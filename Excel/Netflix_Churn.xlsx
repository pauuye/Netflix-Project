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auuh\OneDrive\Desktop\Netflix Churn\Excel\"/>
    </mc:Choice>
  </mc:AlternateContent>
  <xr:revisionPtr revIDLastSave="0" documentId="13_ncr:1_{44E4784D-9F67-4832-A7FA-D29A4C4AC2CE}" xr6:coauthVersionLast="47" xr6:coauthVersionMax="47" xr10:uidLastSave="{00000000-0000-0000-0000-000000000000}"/>
  <bookViews>
    <workbookView xWindow="-108" yWindow="-108" windowWidth="23256" windowHeight="12456" activeTab="1" xr2:uid="{0A3D5530-19A0-4F1D-8755-5C7BAE255D5E}"/>
  </bookViews>
  <sheets>
    <sheet name="netflix_customer_churn" sheetId="1" r:id="rId1"/>
    <sheet name="Summary" sheetId="4" r:id="rId2"/>
    <sheet name="Pivot Tables" sheetId="2" r:id="rId3"/>
    <sheet name="Dashboard" sheetId="3" r:id="rId4"/>
  </sheets>
  <definedNames>
    <definedName name="_xlchart.v1.0" hidden="1">netflix_customer_churn!$F$2:$F$5001</definedName>
    <definedName name="Slicer_age_group">#N/A</definedName>
    <definedName name="Slicer_region">#N/A</definedName>
    <definedName name="Slicer_subscription_type">#N/A</definedName>
  </definedNames>
  <calcPr calcId="191029"/>
  <pivotCaches>
    <pivotCache cacheId="8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c r="C193" i="1" a="1"/>
  <c r="C193" i="1" s="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c r="C216" i="1" a="1"/>
  <c r="C216" i="1" s="1"/>
  <c r="C217" i="1" a="1"/>
  <c r="C217" i="1" s="1"/>
  <c r="C218" i="1" a="1"/>
  <c r="C218" i="1" s="1"/>
  <c r="C219" i="1" a="1"/>
  <c r="C219" i="1" s="1"/>
  <c r="C220" i="1" a="1"/>
  <c r="C220" i="1" s="1"/>
  <c r="C221" i="1" a="1"/>
  <c r="C221" i="1" s="1"/>
  <c r="C222" i="1" a="1"/>
  <c r="C222" i="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s="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s="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s="1"/>
  <c r="C512" i="1" a="1"/>
  <c r="C512" i="1" s="1"/>
  <c r="C513" i="1" a="1"/>
  <c r="C513" i="1" s="1"/>
  <c r="C514" i="1" a="1"/>
  <c r="C514" i="1" s="1"/>
  <c r="C515" i="1" a="1"/>
  <c r="C515" i="1" s="1"/>
  <c r="C516" i="1" a="1"/>
  <c r="C516" i="1" s="1"/>
  <c r="C517" i="1" a="1"/>
  <c r="C517" i="1" s="1"/>
  <c r="C518" i="1" a="1"/>
  <c r="C518" i="1" s="1"/>
  <c r="C519" i="1" a="1"/>
  <c r="C519" i="1" s="1"/>
  <c r="C520" i="1" a="1"/>
  <c r="C520" i="1" s="1"/>
  <c r="C521" i="1" a="1"/>
  <c r="C521"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s="1"/>
  <c r="C558" i="1" a="1"/>
  <c r="C558" i="1" s="1"/>
  <c r="C559" i="1" a="1"/>
  <c r="C559" i="1" s="1"/>
  <c r="C560" i="1" a="1"/>
  <c r="C560" i="1" s="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C589" i="1" a="1"/>
  <c r="C589" i="1" s="1"/>
  <c r="C590" i="1" a="1"/>
  <c r="C590" i="1" s="1"/>
  <c r="C591" i="1" a="1"/>
  <c r="C591" i="1" s="1"/>
  <c r="C592" i="1" a="1"/>
  <c r="C592" i="1" s="1"/>
  <c r="C593" i="1" a="1"/>
  <c r="C593" i="1" s="1"/>
  <c r="C594" i="1" a="1"/>
  <c r="C594" i="1" s="1"/>
  <c r="C595" i="1" a="1"/>
  <c r="C595" i="1" s="1"/>
  <c r="C596" i="1" a="1"/>
  <c r="C596" i="1" s="1"/>
  <c r="C597" i="1" a="1"/>
  <c r="C597" i="1" s="1"/>
  <c r="C598" i="1" a="1"/>
  <c r="C598" i="1" s="1"/>
  <c r="C599" i="1" a="1"/>
  <c r="C599" i="1" s="1"/>
  <c r="C600" i="1" a="1"/>
  <c r="C600" i="1" s="1"/>
  <c r="C601" i="1" a="1"/>
  <c r="C601" i="1" s="1"/>
  <c r="C602" i="1" a="1"/>
  <c r="C602" i="1" s="1"/>
  <c r="C603" i="1" a="1"/>
  <c r="C603" i="1" s="1"/>
  <c r="C604" i="1" a="1"/>
  <c r="C604" i="1" s="1"/>
  <c r="C605" i="1" a="1"/>
  <c r="C605" i="1" s="1"/>
  <c r="C606" i="1" a="1"/>
  <c r="C606" i="1" s="1"/>
  <c r="C607" i="1" a="1"/>
  <c r="C607" i="1" s="1"/>
  <c r="C608" i="1" a="1"/>
  <c r="C608" i="1" s="1"/>
  <c r="C609" i="1" a="1"/>
  <c r="C609" i="1" s="1"/>
  <c r="C610" i="1" a="1"/>
  <c r="C610" i="1" s="1"/>
  <c r="C611" i="1" a="1"/>
  <c r="C611" i="1" s="1"/>
  <c r="C612" i="1" a="1"/>
  <c r="C612" i="1" s="1"/>
  <c r="C613" i="1" a="1"/>
  <c r="C613" i="1" s="1"/>
  <c r="C614" i="1" a="1"/>
  <c r="C614" i="1" s="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s="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s="1"/>
  <c r="C649" i="1" a="1"/>
  <c r="C649" i="1" s="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s="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s="1"/>
  <c r="C698" i="1" a="1"/>
  <c r="C698" i="1" s="1"/>
  <c r="C699" i="1" a="1"/>
  <c r="C699" i="1" s="1"/>
  <c r="C700" i="1" a="1"/>
  <c r="C700" i="1" s="1"/>
  <c r="C701" i="1" a="1"/>
  <c r="C701" i="1" s="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s="1"/>
  <c r="C716" i="1" a="1"/>
  <c r="C716" i="1" s="1"/>
  <c r="C717" i="1" a="1"/>
  <c r="C717" i="1" s="1"/>
  <c r="C718" i="1" a="1"/>
  <c r="C718" i="1" s="1"/>
  <c r="C719" i="1" a="1"/>
  <c r="C719" i="1" s="1"/>
  <c r="C720" i="1" a="1"/>
  <c r="C720" i="1" s="1"/>
  <c r="C721" i="1" a="1"/>
  <c r="C721" i="1" s="1"/>
  <c r="C722" i="1" a="1"/>
  <c r="C722" i="1" s="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s="1"/>
  <c r="C734" i="1" a="1"/>
  <c r="C734" i="1" s="1"/>
  <c r="C735" i="1" a="1"/>
  <c r="C735" i="1" s="1"/>
  <c r="C736" i="1" a="1"/>
  <c r="C736" i="1" s="1"/>
  <c r="C737" i="1" a="1"/>
  <c r="C737" i="1" s="1"/>
  <c r="C738" i="1" a="1"/>
  <c r="C738" i="1" s="1"/>
  <c r="C739" i="1" a="1"/>
  <c r="C739" i="1" s="1"/>
  <c r="C740" i="1" a="1"/>
  <c r="C740" i="1" s="1"/>
  <c r="C741" i="1" a="1"/>
  <c r="C741" i="1" s="1"/>
  <c r="C742" i="1" a="1"/>
  <c r="C742" i="1" s="1"/>
  <c r="C743" i="1" a="1"/>
  <c r="C743" i="1" s="1"/>
  <c r="C744" i="1" a="1"/>
  <c r="C744" i="1" s="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s="1"/>
  <c r="C760" i="1" a="1"/>
  <c r="C760" i="1" s="1"/>
  <c r="C761" i="1" a="1"/>
  <c r="C761" i="1" s="1"/>
  <c r="C762" i="1" a="1"/>
  <c r="C762" i="1" s="1"/>
  <c r="C763" i="1" a="1"/>
  <c r="C763" i="1" s="1"/>
  <c r="C764" i="1" a="1"/>
  <c r="C764" i="1" s="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s="1"/>
  <c r="C776" i="1" a="1"/>
  <c r="C776" i="1" s="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s="1"/>
  <c r="C792" i="1" a="1"/>
  <c r="C792" i="1" s="1"/>
  <c r="C793" i="1" a="1"/>
  <c r="C793" i="1" s="1"/>
  <c r="C794" i="1" a="1"/>
  <c r="C794" i="1" s="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s="1"/>
  <c r="C806" i="1" a="1"/>
  <c r="C806" i="1" s="1"/>
  <c r="C807" i="1" a="1"/>
  <c r="C807" i="1" s="1"/>
  <c r="C808" i="1" a="1"/>
  <c r="C808" i="1" s="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s="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s="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s="1"/>
  <c r="C902" i="1" a="1"/>
  <c r="C902" i="1" s="1"/>
  <c r="C903" i="1" a="1"/>
  <c r="C903" i="1" s="1"/>
  <c r="C904" i="1" a="1"/>
  <c r="C904" i="1" s="1"/>
  <c r="C905" i="1" a="1"/>
  <c r="C905" i="1" s="1"/>
  <c r="C906" i="1" a="1"/>
  <c r="C906" i="1" s="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s="1"/>
  <c r="C918" i="1" a="1"/>
  <c r="C918" i="1" s="1"/>
  <c r="C919" i="1" a="1"/>
  <c r="C919" i="1" s="1"/>
  <c r="C920" i="1" a="1"/>
  <c r="C920" i="1" s="1"/>
  <c r="C921" i="1" a="1"/>
  <c r="C921" i="1" s="1"/>
  <c r="C922" i="1" a="1"/>
  <c r="C922" i="1" s="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s="1"/>
  <c r="C934" i="1" a="1"/>
  <c r="C934" i="1" s="1"/>
  <c r="C935" i="1" a="1"/>
  <c r="C935" i="1" s="1"/>
  <c r="C936" i="1" a="1"/>
  <c r="C936" i="1" s="1"/>
  <c r="C937" i="1" a="1"/>
  <c r="C937" i="1" s="1"/>
  <c r="C938" i="1" a="1"/>
  <c r="C938" i="1" s="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s="1"/>
  <c r="C950" i="1" a="1"/>
  <c r="C950" i="1" s="1"/>
  <c r="C951" i="1" a="1"/>
  <c r="C951" i="1" s="1"/>
  <c r="C952" i="1" a="1"/>
  <c r="C952" i="1" s="1"/>
  <c r="C953" i="1" a="1"/>
  <c r="C953" i="1" s="1"/>
  <c r="C954" i="1" a="1"/>
  <c r="C954" i="1" s="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s="1"/>
  <c r="C966" i="1" a="1"/>
  <c r="C966" i="1" s="1"/>
  <c r="C967" i="1" a="1"/>
  <c r="C967" i="1" s="1"/>
  <c r="C968" i="1" a="1"/>
  <c r="C968" i="1" s="1"/>
  <c r="C969" i="1" a="1"/>
  <c r="C969" i="1" s="1"/>
  <c r="C970" i="1" a="1"/>
  <c r="C970" i="1" s="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s="1"/>
  <c r="C982" i="1" a="1"/>
  <c r="C982" i="1" s="1"/>
  <c r="C983" i="1" a="1"/>
  <c r="C983" i="1" s="1"/>
  <c r="C984" i="1" a="1"/>
  <c r="C984" i="1" s="1"/>
  <c r="C985" i="1" a="1"/>
  <c r="C985" i="1" s="1"/>
  <c r="C986" i="1" a="1"/>
  <c r="C986" i="1" s="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s="1"/>
  <c r="C998" i="1" a="1"/>
  <c r="C998" i="1" s="1"/>
  <c r="C999" i="1" a="1"/>
  <c r="C999" i="1" s="1"/>
  <c r="C1000" i="1" a="1"/>
  <c r="C1000" i="1" s="1"/>
  <c r="C1001" i="1" a="1"/>
  <c r="C1001" i="1" s="1"/>
  <c r="C1002" i="1" a="1"/>
  <c r="C1002" i="1" s="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s="1"/>
  <c r="C1014" i="1" a="1"/>
  <c r="C1014" i="1" s="1"/>
  <c r="C1015" i="1" a="1"/>
  <c r="C1015" i="1" s="1"/>
  <c r="C1016" i="1" a="1"/>
  <c r="C1016" i="1" s="1"/>
  <c r="C1017" i="1" a="1"/>
  <c r="C1017" i="1" s="1"/>
  <c r="C1018" i="1" a="1"/>
  <c r="C1018" i="1" s="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s="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s="1"/>
  <c r="C1061" i="1" a="1"/>
  <c r="C1061" i="1" s="1"/>
  <c r="C1062" i="1" a="1"/>
  <c r="C1062" i="1" s="1"/>
  <c r="C1063" i="1" a="1"/>
  <c r="C1063" i="1" s="1"/>
  <c r="C1064" i="1" a="1"/>
  <c r="C1064" i="1" s="1"/>
  <c r="C1065" i="1" a="1"/>
  <c r="C1065" i="1" s="1"/>
  <c r="C1066" i="1" a="1"/>
  <c r="C1066" i="1" s="1"/>
  <c r="C1067" i="1" a="1"/>
  <c r="C1067" i="1" s="1"/>
  <c r="C1068" i="1" a="1"/>
  <c r="C1068" i="1" s="1"/>
  <c r="C1069" i="1" a="1"/>
  <c r="C1069" i="1" s="1"/>
  <c r="C1070" i="1" a="1"/>
  <c r="C1070" i="1" s="1"/>
  <c r="C1071" i="1" a="1"/>
  <c r="C1071" i="1" s="1"/>
  <c r="C1072" i="1" a="1"/>
  <c r="C1072" i="1" s="1"/>
  <c r="C1073" i="1" a="1"/>
  <c r="C1073" i="1" s="1"/>
  <c r="C1074" i="1" a="1"/>
  <c r="C1074" i="1" s="1"/>
  <c r="C1075" i="1" a="1"/>
  <c r="C1075" i="1" s="1"/>
  <c r="C1076" i="1" a="1"/>
  <c r="C1076" i="1" s="1"/>
  <c r="C1077" i="1" a="1"/>
  <c r="C1077" i="1" s="1"/>
  <c r="C1078" i="1" a="1"/>
  <c r="C1078" i="1" s="1"/>
  <c r="C1079" i="1" a="1"/>
  <c r="C1079" i="1" s="1"/>
  <c r="C1080" i="1" a="1"/>
  <c r="C1080" i="1" s="1"/>
  <c r="C1081" i="1" a="1"/>
  <c r="C1081" i="1" s="1"/>
  <c r="C1082" i="1" a="1"/>
  <c r="C1082" i="1" s="1"/>
  <c r="C1083" i="1" a="1"/>
  <c r="C1083" i="1" s="1"/>
  <c r="C1084" i="1" a="1"/>
  <c r="C1084" i="1" s="1"/>
  <c r="C1085" i="1" a="1"/>
  <c r="C1085" i="1" s="1"/>
  <c r="C1086" i="1" a="1"/>
  <c r="C1086" i="1" s="1"/>
  <c r="C1087" i="1" a="1"/>
  <c r="C1087" i="1" s="1"/>
  <c r="C1088" i="1" a="1"/>
  <c r="C1088" i="1" s="1"/>
  <c r="C1089" i="1" a="1"/>
  <c r="C1089" i="1" s="1"/>
  <c r="C1090" i="1" a="1"/>
  <c r="C1090" i="1" s="1"/>
  <c r="C1091" i="1" a="1"/>
  <c r="C1091" i="1" s="1"/>
  <c r="C1092" i="1" a="1"/>
  <c r="C1092" i="1" s="1"/>
  <c r="C1093" i="1" a="1"/>
  <c r="C1093" i="1" s="1"/>
  <c r="C1094" i="1" a="1"/>
  <c r="C1094" i="1" s="1"/>
  <c r="C1095" i="1" a="1"/>
  <c r="C1095" i="1" s="1"/>
  <c r="C1096" i="1" a="1"/>
  <c r="C1096" i="1" s="1"/>
  <c r="C1097" i="1" a="1"/>
  <c r="C1097" i="1" s="1"/>
  <c r="C1098" i="1" a="1"/>
  <c r="C1098" i="1" s="1"/>
  <c r="C1099" i="1" a="1"/>
  <c r="C1099" i="1" s="1"/>
  <c r="C1100" i="1" a="1"/>
  <c r="C1100" i="1" s="1"/>
  <c r="C1101" i="1" a="1"/>
  <c r="C1101" i="1" s="1"/>
  <c r="C1102" i="1" a="1"/>
  <c r="C1102" i="1" s="1"/>
  <c r="C1103" i="1" a="1"/>
  <c r="C1103" i="1" s="1"/>
  <c r="C1104" i="1" a="1"/>
  <c r="C1104" i="1" s="1"/>
  <c r="C1105" i="1" a="1"/>
  <c r="C1105" i="1" s="1"/>
  <c r="C1106" i="1" a="1"/>
  <c r="C1106" i="1" s="1"/>
  <c r="C1107" i="1" a="1"/>
  <c r="C1107" i="1" s="1"/>
  <c r="C1108" i="1" a="1"/>
  <c r="C1108" i="1" s="1"/>
  <c r="C1109" i="1" a="1"/>
  <c r="C1109" i="1" s="1"/>
  <c r="C1110" i="1" a="1"/>
  <c r="C1110" i="1" s="1"/>
  <c r="C1111" i="1" a="1"/>
  <c r="C1111" i="1" s="1"/>
  <c r="C1112" i="1" a="1"/>
  <c r="C1112" i="1" s="1"/>
  <c r="C1113" i="1" a="1"/>
  <c r="C1113" i="1" s="1"/>
  <c r="C1114" i="1" a="1"/>
  <c r="C1114" i="1" s="1"/>
  <c r="C1115" i="1" a="1"/>
  <c r="C1115" i="1" s="1"/>
  <c r="C1116" i="1" a="1"/>
  <c r="C1116" i="1" s="1"/>
  <c r="C1117" i="1" a="1"/>
  <c r="C1117" i="1" s="1"/>
  <c r="C1118" i="1" a="1"/>
  <c r="C1118" i="1" s="1"/>
  <c r="C1119" i="1" a="1"/>
  <c r="C1119" i="1" s="1"/>
  <c r="C1120" i="1" a="1"/>
  <c r="C1120" i="1" s="1"/>
  <c r="C1121" i="1" a="1"/>
  <c r="C1121" i="1" s="1"/>
  <c r="C1122" i="1" a="1"/>
  <c r="C1122" i="1" s="1"/>
  <c r="C1123" i="1" a="1"/>
  <c r="C1123" i="1" s="1"/>
  <c r="C1124" i="1" a="1"/>
  <c r="C1124" i="1" s="1"/>
  <c r="C1125" i="1" a="1"/>
  <c r="C1125" i="1" s="1"/>
  <c r="C1126" i="1" a="1"/>
  <c r="C1126" i="1" s="1"/>
  <c r="C1127" i="1" a="1"/>
  <c r="C1127" i="1" s="1"/>
  <c r="C1128" i="1" a="1"/>
  <c r="C1128" i="1" s="1"/>
  <c r="C1129" i="1" a="1"/>
  <c r="C1129" i="1" s="1"/>
  <c r="C1130" i="1" a="1"/>
  <c r="C1130" i="1" s="1"/>
  <c r="C1131" i="1" a="1"/>
  <c r="C1131" i="1" s="1"/>
  <c r="C1132" i="1" a="1"/>
  <c r="C1132" i="1" s="1"/>
  <c r="C1133" i="1" a="1"/>
  <c r="C1133" i="1" s="1"/>
  <c r="C1134" i="1" a="1"/>
  <c r="C1134" i="1" s="1"/>
  <c r="C1135" i="1" a="1"/>
  <c r="C1135" i="1" s="1"/>
  <c r="C1136" i="1" a="1"/>
  <c r="C1136" i="1" s="1"/>
  <c r="C1137" i="1" a="1"/>
  <c r="C1137" i="1" s="1"/>
  <c r="C1138" i="1" a="1"/>
  <c r="C1138" i="1" s="1"/>
  <c r="C1139" i="1" a="1"/>
  <c r="C1139" i="1" s="1"/>
  <c r="C1140" i="1" a="1"/>
  <c r="C1140" i="1" s="1"/>
  <c r="C1141" i="1" a="1"/>
  <c r="C1141" i="1" s="1"/>
  <c r="C1142" i="1" a="1"/>
  <c r="C1142" i="1" s="1"/>
  <c r="C1143" i="1" a="1"/>
  <c r="C1143" i="1" s="1"/>
  <c r="C1144" i="1" a="1"/>
  <c r="C1144" i="1" s="1"/>
  <c r="C1145" i="1" a="1"/>
  <c r="C1145" i="1" s="1"/>
  <c r="C1146" i="1" a="1"/>
  <c r="C1146" i="1" s="1"/>
  <c r="C1147" i="1" a="1"/>
  <c r="C1147" i="1" s="1"/>
  <c r="C1148" i="1" a="1"/>
  <c r="C1148" i="1" s="1"/>
  <c r="C1149" i="1" a="1"/>
  <c r="C1149" i="1" s="1"/>
  <c r="C1150" i="1" a="1"/>
  <c r="C1150" i="1" s="1"/>
  <c r="C1151" i="1" a="1"/>
  <c r="C1151" i="1" s="1"/>
  <c r="C1152" i="1" a="1"/>
  <c r="C1152" i="1" s="1"/>
  <c r="C1153" i="1" a="1"/>
  <c r="C1153" i="1" s="1"/>
  <c r="C1154" i="1" a="1"/>
  <c r="C1154" i="1" s="1"/>
  <c r="C1155" i="1" a="1"/>
  <c r="C1155" i="1" s="1"/>
  <c r="C1156" i="1" a="1"/>
  <c r="C1156" i="1" s="1"/>
  <c r="C1157" i="1" a="1"/>
  <c r="C1157" i="1" s="1"/>
  <c r="C1158" i="1" a="1"/>
  <c r="C1158" i="1" s="1"/>
  <c r="C1159" i="1" a="1"/>
  <c r="C1159" i="1" s="1"/>
  <c r="C1160" i="1" a="1"/>
  <c r="C1160" i="1" s="1"/>
  <c r="C1161" i="1" a="1"/>
  <c r="C1161" i="1" s="1"/>
  <c r="C1162" i="1" a="1"/>
  <c r="C1162" i="1" s="1"/>
  <c r="C1163" i="1" a="1"/>
  <c r="C1163" i="1" s="1"/>
  <c r="C1164" i="1" a="1"/>
  <c r="C1164" i="1" s="1"/>
  <c r="C1165" i="1" a="1"/>
  <c r="C1165" i="1" s="1"/>
  <c r="C1166" i="1" a="1"/>
  <c r="C1166" i="1" s="1"/>
  <c r="C1167" i="1" a="1"/>
  <c r="C1167" i="1" s="1"/>
  <c r="C1168" i="1" a="1"/>
  <c r="C1168" i="1" s="1"/>
  <c r="C1169" i="1" a="1"/>
  <c r="C1169" i="1" s="1"/>
  <c r="C1170" i="1" a="1"/>
  <c r="C1170" i="1" s="1"/>
  <c r="C1171" i="1" a="1"/>
  <c r="C1171" i="1" s="1"/>
  <c r="C1172" i="1" a="1"/>
  <c r="C1172" i="1" s="1"/>
  <c r="C1173" i="1" a="1"/>
  <c r="C1173" i="1" s="1"/>
  <c r="C1174" i="1" a="1"/>
  <c r="C1174" i="1" s="1"/>
  <c r="C1175" i="1" a="1"/>
  <c r="C1175" i="1" s="1"/>
  <c r="C1176" i="1" a="1"/>
  <c r="C1176" i="1" s="1"/>
  <c r="C1177" i="1" a="1"/>
  <c r="C1177" i="1" s="1"/>
  <c r="C1178" i="1" a="1"/>
  <c r="C1178" i="1" s="1"/>
  <c r="C1179" i="1" a="1"/>
  <c r="C1179" i="1" s="1"/>
  <c r="C1180" i="1" a="1"/>
  <c r="C1180" i="1" s="1"/>
  <c r="C1181" i="1" a="1"/>
  <c r="C1181" i="1" s="1"/>
  <c r="C1182" i="1" a="1"/>
  <c r="C1182" i="1" s="1"/>
  <c r="C1183" i="1" a="1"/>
  <c r="C1183" i="1" s="1"/>
  <c r="C1184" i="1" a="1"/>
  <c r="C1184" i="1" s="1"/>
  <c r="C1185" i="1" a="1"/>
  <c r="C1185" i="1" s="1"/>
  <c r="C1186" i="1" a="1"/>
  <c r="C1186" i="1" s="1"/>
  <c r="C1187" i="1" a="1"/>
  <c r="C1187" i="1" s="1"/>
  <c r="C1188" i="1" a="1"/>
  <c r="C1188" i="1" s="1"/>
  <c r="C1189" i="1" a="1"/>
  <c r="C1189" i="1" s="1"/>
  <c r="C1190" i="1" a="1"/>
  <c r="C1190" i="1" s="1"/>
  <c r="C1191" i="1" a="1"/>
  <c r="C1191" i="1" s="1"/>
  <c r="C1192" i="1" a="1"/>
  <c r="C1192" i="1" s="1"/>
  <c r="C1193" i="1" a="1"/>
  <c r="C1193" i="1" s="1"/>
  <c r="C1194" i="1" a="1"/>
  <c r="C1194" i="1" s="1"/>
  <c r="C1195" i="1" a="1"/>
  <c r="C1195" i="1" s="1"/>
  <c r="C1196" i="1" a="1"/>
  <c r="C1196" i="1" s="1"/>
  <c r="C1197" i="1" a="1"/>
  <c r="C1197" i="1" s="1"/>
  <c r="C1198" i="1" a="1"/>
  <c r="C1198" i="1" s="1"/>
  <c r="C1199" i="1" a="1"/>
  <c r="C1199" i="1" s="1"/>
  <c r="C1200" i="1" a="1"/>
  <c r="C1200" i="1" s="1"/>
  <c r="C1201" i="1" a="1"/>
  <c r="C1201" i="1" s="1"/>
  <c r="C1202" i="1" a="1"/>
  <c r="C1202" i="1" s="1"/>
  <c r="C1203" i="1" a="1"/>
  <c r="C1203" i="1" s="1"/>
  <c r="C1204" i="1" a="1"/>
  <c r="C1204" i="1" s="1"/>
  <c r="C1205" i="1" a="1"/>
  <c r="C1205" i="1" s="1"/>
  <c r="C1206" i="1" a="1"/>
  <c r="C1206" i="1" s="1"/>
  <c r="C1207" i="1" a="1"/>
  <c r="C1207" i="1" s="1"/>
  <c r="C1208" i="1" a="1"/>
  <c r="C1208" i="1" s="1"/>
  <c r="C1209" i="1" a="1"/>
  <c r="C1209" i="1" s="1"/>
  <c r="C1210" i="1" a="1"/>
  <c r="C1210" i="1" s="1"/>
  <c r="C1211" i="1" a="1"/>
  <c r="C1211" i="1" s="1"/>
  <c r="C1212" i="1" a="1"/>
  <c r="C1212" i="1" s="1"/>
  <c r="C1213" i="1" a="1"/>
  <c r="C1213" i="1" s="1"/>
  <c r="C1214" i="1" a="1"/>
  <c r="C1214" i="1" s="1"/>
  <c r="C1215" i="1" a="1"/>
  <c r="C1215" i="1" s="1"/>
  <c r="C1216" i="1" a="1"/>
  <c r="C1216" i="1" s="1"/>
  <c r="C1217" i="1" a="1"/>
  <c r="C1217" i="1" s="1"/>
  <c r="C1218" i="1" a="1"/>
  <c r="C1218" i="1" s="1"/>
  <c r="C1219" i="1" a="1"/>
  <c r="C1219" i="1" s="1"/>
  <c r="C1220" i="1" a="1"/>
  <c r="C1220" i="1" s="1"/>
  <c r="C1221" i="1" a="1"/>
  <c r="C1221" i="1" s="1"/>
  <c r="C1222" i="1" a="1"/>
  <c r="C1222" i="1" s="1"/>
  <c r="C1223" i="1" a="1"/>
  <c r="C1223" i="1" s="1"/>
  <c r="C1224" i="1" a="1"/>
  <c r="C1224" i="1" s="1"/>
  <c r="C1225" i="1" a="1"/>
  <c r="C1225" i="1" s="1"/>
  <c r="C1226" i="1" a="1"/>
  <c r="C1226" i="1" s="1"/>
  <c r="C1227" i="1" a="1"/>
  <c r="C1227" i="1" s="1"/>
  <c r="C1228" i="1" a="1"/>
  <c r="C1228" i="1" s="1"/>
  <c r="C1229" i="1" a="1"/>
  <c r="C1229" i="1" s="1"/>
  <c r="C1230" i="1" a="1"/>
  <c r="C1230" i="1" s="1"/>
  <c r="C1231" i="1" a="1"/>
  <c r="C1231" i="1" s="1"/>
  <c r="C1232" i="1" a="1"/>
  <c r="C1232" i="1" s="1"/>
  <c r="C1233" i="1" a="1"/>
  <c r="C1233" i="1" s="1"/>
  <c r="C1234" i="1" a="1"/>
  <c r="C1234" i="1" s="1"/>
  <c r="C1235" i="1" a="1"/>
  <c r="C1235" i="1" s="1"/>
  <c r="C1236" i="1" a="1"/>
  <c r="C1236" i="1" s="1"/>
  <c r="C1237" i="1" a="1"/>
  <c r="C1237" i="1" s="1"/>
  <c r="C1238" i="1" a="1"/>
  <c r="C1238" i="1" s="1"/>
  <c r="C1239" i="1" a="1"/>
  <c r="C1239" i="1" s="1"/>
  <c r="C1240" i="1" a="1"/>
  <c r="C1240" i="1" s="1"/>
  <c r="C1241" i="1" a="1"/>
  <c r="C1241" i="1" s="1"/>
  <c r="C1242" i="1" a="1"/>
  <c r="C1242" i="1" s="1"/>
  <c r="C1243" i="1" a="1"/>
  <c r="C1243" i="1" s="1"/>
  <c r="C1244" i="1" a="1"/>
  <c r="C1244" i="1" s="1"/>
  <c r="C1245" i="1" a="1"/>
  <c r="C1245" i="1" s="1"/>
  <c r="C1246" i="1" a="1"/>
  <c r="C1246" i="1" s="1"/>
  <c r="C1247" i="1" a="1"/>
  <c r="C1247" i="1" s="1"/>
  <c r="C1248" i="1" a="1"/>
  <c r="C1248" i="1" s="1"/>
  <c r="C1249" i="1" a="1"/>
  <c r="C1249" i="1" s="1"/>
  <c r="C1250" i="1" a="1"/>
  <c r="C1250" i="1" s="1"/>
  <c r="C1251" i="1" a="1"/>
  <c r="C1251" i="1" s="1"/>
  <c r="C1252" i="1" a="1"/>
  <c r="C1252" i="1" s="1"/>
  <c r="C1253" i="1" a="1"/>
  <c r="C1253" i="1" s="1"/>
  <c r="C1254" i="1" a="1"/>
  <c r="C1254" i="1" s="1"/>
  <c r="C1255" i="1" a="1"/>
  <c r="C1255" i="1" s="1"/>
  <c r="C1256" i="1" a="1"/>
  <c r="C1256" i="1" s="1"/>
  <c r="C1257" i="1" a="1"/>
  <c r="C1257" i="1" s="1"/>
  <c r="C1258" i="1" a="1"/>
  <c r="C1258" i="1" s="1"/>
  <c r="C1259" i="1" a="1"/>
  <c r="C1259" i="1" s="1"/>
  <c r="C1260" i="1" a="1"/>
  <c r="C1260" i="1" s="1"/>
  <c r="C1261" i="1" a="1"/>
  <c r="C1261" i="1" s="1"/>
  <c r="C1262" i="1" a="1"/>
  <c r="C1262" i="1" s="1"/>
  <c r="C1263" i="1" a="1"/>
  <c r="C1263" i="1" s="1"/>
  <c r="C1264" i="1" a="1"/>
  <c r="C1264" i="1" s="1"/>
  <c r="C1265" i="1" a="1"/>
  <c r="C1265" i="1" s="1"/>
  <c r="C1266" i="1" a="1"/>
  <c r="C1266" i="1" s="1"/>
  <c r="C1267" i="1" a="1"/>
  <c r="C1267" i="1" s="1"/>
  <c r="C1268" i="1" a="1"/>
  <c r="C1268" i="1" s="1"/>
  <c r="C1269" i="1" a="1"/>
  <c r="C1269" i="1" s="1"/>
  <c r="C1270" i="1" a="1"/>
  <c r="C1270" i="1" s="1"/>
  <c r="C1271" i="1" a="1"/>
  <c r="C1271" i="1" s="1"/>
  <c r="C1272" i="1" a="1"/>
  <c r="C1272" i="1" s="1"/>
  <c r="C1273" i="1" a="1"/>
  <c r="C1273" i="1" s="1"/>
  <c r="C1274" i="1" a="1"/>
  <c r="C1274" i="1" s="1"/>
  <c r="C1275" i="1" a="1"/>
  <c r="C1275" i="1" s="1"/>
  <c r="C1276" i="1" a="1"/>
  <c r="C1276" i="1" s="1"/>
  <c r="C1277" i="1" a="1"/>
  <c r="C1277" i="1" s="1"/>
  <c r="C1278" i="1" a="1"/>
  <c r="C1278" i="1" s="1"/>
  <c r="C1279" i="1" a="1"/>
  <c r="C1279" i="1" s="1"/>
  <c r="C1280" i="1" a="1"/>
  <c r="C1280" i="1" s="1"/>
  <c r="C1281" i="1" a="1"/>
  <c r="C1281" i="1" s="1"/>
  <c r="C1282" i="1" a="1"/>
  <c r="C1282" i="1" s="1"/>
  <c r="C1283" i="1" a="1"/>
  <c r="C1283" i="1" s="1"/>
  <c r="C1284" i="1" a="1"/>
  <c r="C1284" i="1" s="1"/>
  <c r="C1285" i="1" a="1"/>
  <c r="C1285" i="1" s="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s="1"/>
  <c r="C1296" i="1" a="1"/>
  <c r="C1296" i="1" s="1"/>
  <c r="C1297" i="1" a="1"/>
  <c r="C1297" i="1" s="1"/>
  <c r="C1298" i="1" a="1"/>
  <c r="C1298" i="1" s="1"/>
  <c r="C1299" i="1" a="1"/>
  <c r="C1299" i="1" s="1"/>
  <c r="C1300" i="1" a="1"/>
  <c r="C1300" i="1" s="1"/>
  <c r="C1301" i="1" a="1"/>
  <c r="C1301" i="1" s="1"/>
  <c r="C1302" i="1" a="1"/>
  <c r="C1302" i="1" s="1"/>
  <c r="C1303" i="1" a="1"/>
  <c r="C1303" i="1" s="1"/>
  <c r="C1304" i="1" a="1"/>
  <c r="C1304" i="1" s="1"/>
  <c r="C1305" i="1" a="1"/>
  <c r="C1305" i="1" s="1"/>
  <c r="C1306" i="1" a="1"/>
  <c r="C1306" i="1" s="1"/>
  <c r="C1307" i="1" a="1"/>
  <c r="C1307" i="1" s="1"/>
  <c r="C1308" i="1" a="1"/>
  <c r="C1308" i="1" s="1"/>
  <c r="C1309" i="1" a="1"/>
  <c r="C1309" i="1" s="1"/>
  <c r="C1310" i="1" a="1"/>
  <c r="C1310" i="1" s="1"/>
  <c r="C1311" i="1" a="1"/>
  <c r="C1311" i="1" s="1"/>
  <c r="C1312" i="1" a="1"/>
  <c r="C1312" i="1" s="1"/>
  <c r="C1313" i="1" a="1"/>
  <c r="C1313" i="1" s="1"/>
  <c r="C1314" i="1" a="1"/>
  <c r="C1314" i="1" s="1"/>
  <c r="C1315" i="1" a="1"/>
  <c r="C1315" i="1" s="1"/>
  <c r="C1316" i="1" a="1"/>
  <c r="C1316" i="1" s="1"/>
  <c r="C1317" i="1" a="1"/>
  <c r="C1317" i="1" s="1"/>
  <c r="C1318" i="1" a="1"/>
  <c r="C1318" i="1" s="1"/>
  <c r="C1319" i="1" a="1"/>
  <c r="C1319" i="1" s="1"/>
  <c r="C1320" i="1" a="1"/>
  <c r="C1320" i="1" s="1"/>
  <c r="C1321" i="1" a="1"/>
  <c r="C1321" i="1" s="1"/>
  <c r="C1322" i="1" a="1"/>
  <c r="C1322" i="1" s="1"/>
  <c r="C1323" i="1" a="1"/>
  <c r="C1323" i="1" s="1"/>
  <c r="C1324" i="1" a="1"/>
  <c r="C1324" i="1" s="1"/>
  <c r="C1325" i="1" a="1"/>
  <c r="C1325" i="1" s="1"/>
  <c r="C1326" i="1" a="1"/>
  <c r="C1326" i="1" s="1"/>
  <c r="C1327" i="1" a="1"/>
  <c r="C1327" i="1" s="1"/>
  <c r="C1328" i="1" a="1"/>
  <c r="C1328" i="1" s="1"/>
  <c r="C1329" i="1" a="1"/>
  <c r="C1329" i="1" s="1"/>
  <c r="C1330" i="1" a="1"/>
  <c r="C1330" i="1" s="1"/>
  <c r="C1331" i="1" a="1"/>
  <c r="C1331" i="1" s="1"/>
  <c r="C1332" i="1" a="1"/>
  <c r="C1332" i="1" s="1"/>
  <c r="C1333" i="1" a="1"/>
  <c r="C1333" i="1" s="1"/>
  <c r="C1334" i="1" a="1"/>
  <c r="C1334" i="1" s="1"/>
  <c r="C1335" i="1" a="1"/>
  <c r="C1335" i="1" s="1"/>
  <c r="C1336" i="1" a="1"/>
  <c r="C1336" i="1" s="1"/>
  <c r="C1337" i="1" a="1"/>
  <c r="C1337" i="1" s="1"/>
  <c r="C1338" i="1" a="1"/>
  <c r="C1338" i="1" s="1"/>
  <c r="C1339" i="1" a="1"/>
  <c r="C1339" i="1" s="1"/>
  <c r="C1340" i="1" a="1"/>
  <c r="C1340" i="1" s="1"/>
  <c r="C1341" i="1" a="1"/>
  <c r="C1341" i="1" s="1"/>
  <c r="C1342" i="1" a="1"/>
  <c r="C1342" i="1" s="1"/>
  <c r="C1343" i="1" a="1"/>
  <c r="C1343" i="1" s="1"/>
  <c r="C1344" i="1" a="1"/>
  <c r="C1344" i="1" s="1"/>
  <c r="C1345" i="1" a="1"/>
  <c r="C1345" i="1" s="1"/>
  <c r="C1346" i="1" a="1"/>
  <c r="C1346" i="1" s="1"/>
  <c r="C1347" i="1" a="1"/>
  <c r="C1347" i="1" s="1"/>
  <c r="C1348" i="1" a="1"/>
  <c r="C1348" i="1" s="1"/>
  <c r="C1349" i="1" a="1"/>
  <c r="C1349" i="1" s="1"/>
  <c r="C1350" i="1" a="1"/>
  <c r="C1350" i="1" s="1"/>
  <c r="C1351" i="1" a="1"/>
  <c r="C1351" i="1" s="1"/>
  <c r="C1352" i="1" a="1"/>
  <c r="C1352" i="1" s="1"/>
  <c r="C1353" i="1" a="1"/>
  <c r="C1353" i="1" s="1"/>
  <c r="C1354" i="1" a="1"/>
  <c r="C1354" i="1" s="1"/>
  <c r="C1355" i="1" a="1"/>
  <c r="C1355" i="1" s="1"/>
  <c r="C1356" i="1" a="1"/>
  <c r="C1356" i="1" s="1"/>
  <c r="C1357" i="1" a="1"/>
  <c r="C1357" i="1" s="1"/>
  <c r="C1358" i="1" a="1"/>
  <c r="C1358" i="1" s="1"/>
  <c r="C1359" i="1" a="1"/>
  <c r="C1359" i="1" s="1"/>
  <c r="C1360" i="1" a="1"/>
  <c r="C1360" i="1" s="1"/>
  <c r="C1361" i="1" a="1"/>
  <c r="C1361" i="1" s="1"/>
  <c r="C1362" i="1" a="1"/>
  <c r="C1362" i="1" s="1"/>
  <c r="C1363" i="1" a="1"/>
  <c r="C1363" i="1" s="1"/>
  <c r="C1364" i="1" a="1"/>
  <c r="C1364" i="1" s="1"/>
  <c r="C1365" i="1" a="1"/>
  <c r="C1365" i="1" s="1"/>
  <c r="C1366" i="1" a="1"/>
  <c r="C1366" i="1" s="1"/>
  <c r="C1367" i="1" a="1"/>
  <c r="C1367" i="1" s="1"/>
  <c r="C1368" i="1" a="1"/>
  <c r="C1368" i="1" s="1"/>
  <c r="C1369" i="1" a="1"/>
  <c r="C1369" i="1" s="1"/>
  <c r="C1370" i="1" a="1"/>
  <c r="C1370" i="1" s="1"/>
  <c r="C1371" i="1" a="1"/>
  <c r="C1371" i="1" s="1"/>
  <c r="C1372" i="1" a="1"/>
  <c r="C1372" i="1" s="1"/>
  <c r="C1373" i="1" a="1"/>
  <c r="C1373" i="1" s="1"/>
  <c r="C1374" i="1" a="1"/>
  <c r="C1374" i="1" s="1"/>
  <c r="C1375" i="1" a="1"/>
  <c r="C1375" i="1" s="1"/>
  <c r="C1376" i="1" a="1"/>
  <c r="C1376" i="1" s="1"/>
  <c r="C1377" i="1" a="1"/>
  <c r="C1377" i="1" s="1"/>
  <c r="C1378" i="1" a="1"/>
  <c r="C1378" i="1" s="1"/>
  <c r="C1379" i="1" a="1"/>
  <c r="C1379" i="1" s="1"/>
  <c r="C1380" i="1" a="1"/>
  <c r="C1380" i="1" s="1"/>
  <c r="C1381" i="1" a="1"/>
  <c r="C1381" i="1" s="1"/>
  <c r="C1382" i="1" a="1"/>
  <c r="C1382" i="1" s="1"/>
  <c r="C1383" i="1" a="1"/>
  <c r="C1383" i="1" s="1"/>
  <c r="C1384" i="1" a="1"/>
  <c r="C1384" i="1" s="1"/>
  <c r="C1385" i="1" a="1"/>
  <c r="C1385" i="1" s="1"/>
  <c r="C1386" i="1" a="1"/>
  <c r="C1386" i="1" s="1"/>
  <c r="C1387" i="1" a="1"/>
  <c r="C1387" i="1" s="1"/>
  <c r="C1388" i="1" a="1"/>
  <c r="C1388" i="1" s="1"/>
  <c r="C1389" i="1" a="1"/>
  <c r="C1389" i="1" s="1"/>
  <c r="C1390" i="1" a="1"/>
  <c r="C1390" i="1" s="1"/>
  <c r="C1391" i="1" a="1"/>
  <c r="C1391" i="1" s="1"/>
  <c r="C1392" i="1" a="1"/>
  <c r="C1392" i="1" s="1"/>
  <c r="C1393" i="1" a="1"/>
  <c r="C1393" i="1" s="1"/>
  <c r="C1394" i="1" a="1"/>
  <c r="C1394" i="1" s="1"/>
  <c r="C1395" i="1" a="1"/>
  <c r="C1395" i="1" s="1"/>
  <c r="C1396" i="1" a="1"/>
  <c r="C1396" i="1" s="1"/>
  <c r="C1397" i="1" a="1"/>
  <c r="C1397" i="1" s="1"/>
  <c r="C1398" i="1" a="1"/>
  <c r="C1398" i="1" s="1"/>
  <c r="C1399" i="1" a="1"/>
  <c r="C1399" i="1" s="1"/>
  <c r="C1400" i="1" a="1"/>
  <c r="C1400" i="1" s="1"/>
  <c r="C1401" i="1" a="1"/>
  <c r="C1401" i="1" s="1"/>
  <c r="C1402" i="1" a="1"/>
  <c r="C1402" i="1" s="1"/>
  <c r="C1403" i="1" a="1"/>
  <c r="C1403" i="1" s="1"/>
  <c r="C1404" i="1" a="1"/>
  <c r="C1404" i="1" s="1"/>
  <c r="C1405" i="1" a="1"/>
  <c r="C1405" i="1" s="1"/>
  <c r="C1406" i="1" a="1"/>
  <c r="C1406" i="1" s="1"/>
  <c r="C1407" i="1" a="1"/>
  <c r="C1407" i="1" s="1"/>
  <c r="C1408" i="1" a="1"/>
  <c r="C1408" i="1" s="1"/>
  <c r="C1409" i="1" a="1"/>
  <c r="C1409" i="1" s="1"/>
  <c r="C1410" i="1" a="1"/>
  <c r="C1410" i="1" s="1"/>
  <c r="C1411" i="1" a="1"/>
  <c r="C1411" i="1" s="1"/>
  <c r="C1412" i="1" a="1"/>
  <c r="C1412" i="1" s="1"/>
  <c r="C1413" i="1" a="1"/>
  <c r="C1413" i="1" s="1"/>
  <c r="C1414" i="1" a="1"/>
  <c r="C1414" i="1" s="1"/>
  <c r="C1415" i="1" a="1"/>
  <c r="C1415" i="1" s="1"/>
  <c r="C1416" i="1" a="1"/>
  <c r="C1416" i="1" s="1"/>
  <c r="C1417" i="1" a="1"/>
  <c r="C1417" i="1" s="1"/>
  <c r="C1418" i="1" a="1"/>
  <c r="C1418" i="1" s="1"/>
  <c r="C1419" i="1" a="1"/>
  <c r="C1419" i="1" s="1"/>
  <c r="C1420" i="1" a="1"/>
  <c r="C1420" i="1" s="1"/>
  <c r="C1421" i="1" a="1"/>
  <c r="C1421" i="1" s="1"/>
  <c r="C1422" i="1" a="1"/>
  <c r="C1422" i="1" s="1"/>
  <c r="C1423" i="1" a="1"/>
  <c r="C1423" i="1" s="1"/>
  <c r="C1424" i="1" a="1"/>
  <c r="C1424" i="1" s="1"/>
  <c r="C1425" i="1" a="1"/>
  <c r="C1425" i="1" s="1"/>
  <c r="C1426" i="1" a="1"/>
  <c r="C1426" i="1" s="1"/>
  <c r="C1427" i="1" a="1"/>
  <c r="C1427" i="1" s="1"/>
  <c r="C1428" i="1" a="1"/>
  <c r="C1428" i="1" s="1"/>
  <c r="C1429" i="1" a="1"/>
  <c r="C1429" i="1" s="1"/>
  <c r="C1430" i="1" a="1"/>
  <c r="C1430" i="1" s="1"/>
  <c r="C1431" i="1" a="1"/>
  <c r="C1431" i="1" s="1"/>
  <c r="C1432" i="1" a="1"/>
  <c r="C1432" i="1" s="1"/>
  <c r="C1433" i="1" a="1"/>
  <c r="C1433" i="1" s="1"/>
  <c r="C1434" i="1" a="1"/>
  <c r="C1434" i="1" s="1"/>
  <c r="C1435" i="1" a="1"/>
  <c r="C1435" i="1" s="1"/>
  <c r="C1436" i="1" a="1"/>
  <c r="C1436" i="1" s="1"/>
  <c r="C1437" i="1" a="1"/>
  <c r="C1437" i="1" s="1"/>
  <c r="C1438" i="1" a="1"/>
  <c r="C1438" i="1" s="1"/>
  <c r="C1439" i="1" a="1"/>
  <c r="C1439" i="1" s="1"/>
  <c r="C1440" i="1" a="1"/>
  <c r="C1440" i="1" s="1"/>
  <c r="C1441" i="1" a="1"/>
  <c r="C1441" i="1" s="1"/>
  <c r="C1442" i="1" a="1"/>
  <c r="C1442" i="1" s="1"/>
  <c r="C1443" i="1" a="1"/>
  <c r="C1443" i="1" s="1"/>
  <c r="C1444" i="1" a="1"/>
  <c r="C1444" i="1" s="1"/>
  <c r="C1445" i="1" a="1"/>
  <c r="C1445" i="1" s="1"/>
  <c r="C1446" i="1" a="1"/>
  <c r="C1446" i="1" s="1"/>
  <c r="C1447" i="1" a="1"/>
  <c r="C1447" i="1" s="1"/>
  <c r="C1448" i="1" a="1"/>
  <c r="C1448" i="1" s="1"/>
  <c r="C1449" i="1" a="1"/>
  <c r="C1449" i="1" s="1"/>
  <c r="C1450" i="1" a="1"/>
  <c r="C1450" i="1" s="1"/>
  <c r="C1451" i="1" a="1"/>
  <c r="C1451" i="1" s="1"/>
  <c r="C1452" i="1" a="1"/>
  <c r="C1452" i="1" s="1"/>
  <c r="C1453" i="1" a="1"/>
  <c r="C1453" i="1" s="1"/>
  <c r="C1454" i="1" a="1"/>
  <c r="C1454" i="1" s="1"/>
  <c r="C1455" i="1" a="1"/>
  <c r="C1455" i="1" s="1"/>
  <c r="C1456" i="1" a="1"/>
  <c r="C1456" i="1" s="1"/>
  <c r="C1457" i="1" a="1"/>
  <c r="C1457" i="1" s="1"/>
  <c r="C1458" i="1" a="1"/>
  <c r="C1458" i="1" s="1"/>
  <c r="C1459" i="1" a="1"/>
  <c r="C1459" i="1" s="1"/>
  <c r="C1460" i="1" a="1"/>
  <c r="C1460" i="1" s="1"/>
  <c r="C1461" i="1" a="1"/>
  <c r="C1461" i="1" s="1"/>
  <c r="C1462" i="1" a="1"/>
  <c r="C1462" i="1" s="1"/>
  <c r="C1463" i="1" a="1"/>
  <c r="C1463" i="1" s="1"/>
  <c r="C1464" i="1" a="1"/>
  <c r="C1464" i="1" s="1"/>
  <c r="C1465" i="1" a="1"/>
  <c r="C1465" i="1" s="1"/>
  <c r="C1466" i="1" a="1"/>
  <c r="C1466" i="1" s="1"/>
  <c r="C1467" i="1" a="1"/>
  <c r="C1467" i="1" s="1"/>
  <c r="C1468" i="1" a="1"/>
  <c r="C1468" i="1" s="1"/>
  <c r="C1469" i="1" a="1"/>
  <c r="C1469" i="1" s="1"/>
  <c r="C1470" i="1" a="1"/>
  <c r="C1470" i="1" s="1"/>
  <c r="C1471" i="1" a="1"/>
  <c r="C1471" i="1" s="1"/>
  <c r="C1472" i="1" a="1"/>
  <c r="C1472" i="1" s="1"/>
  <c r="C1473" i="1" a="1"/>
  <c r="C1473" i="1" s="1"/>
  <c r="C1474" i="1" a="1"/>
  <c r="C1474" i="1" s="1"/>
  <c r="C1475" i="1" a="1"/>
  <c r="C1475" i="1" s="1"/>
  <c r="C1476" i="1" a="1"/>
  <c r="C1476" i="1" s="1"/>
  <c r="C1477" i="1" a="1"/>
  <c r="C1477" i="1" s="1"/>
  <c r="C1478" i="1" a="1"/>
  <c r="C1478" i="1" s="1"/>
  <c r="C1479" i="1" a="1"/>
  <c r="C1479" i="1" s="1"/>
  <c r="C1480" i="1" a="1"/>
  <c r="C1480" i="1" s="1"/>
  <c r="C1481" i="1" a="1"/>
  <c r="C1481" i="1" s="1"/>
  <c r="C1482" i="1" a="1"/>
  <c r="C1482" i="1" s="1"/>
  <c r="C1483" i="1" a="1"/>
  <c r="C1483" i="1" s="1"/>
  <c r="C1484" i="1" a="1"/>
  <c r="C1484" i="1" s="1"/>
  <c r="C1485" i="1" a="1"/>
  <c r="C1485" i="1" s="1"/>
  <c r="C1486" i="1" a="1"/>
  <c r="C1486" i="1" s="1"/>
  <c r="C1487" i="1" a="1"/>
  <c r="C1487" i="1" s="1"/>
  <c r="C1488" i="1" a="1"/>
  <c r="C1488" i="1" s="1"/>
  <c r="C1489" i="1" a="1"/>
  <c r="C1489" i="1" s="1"/>
  <c r="C1490" i="1" a="1"/>
  <c r="C1490" i="1" s="1"/>
  <c r="C1491" i="1" a="1"/>
  <c r="C1491" i="1" s="1"/>
  <c r="C1492" i="1" a="1"/>
  <c r="C1492" i="1" s="1"/>
  <c r="C1493" i="1" a="1"/>
  <c r="C1493" i="1" s="1"/>
  <c r="C1494" i="1" a="1"/>
  <c r="C1494" i="1" s="1"/>
  <c r="C1495" i="1" a="1"/>
  <c r="C1495" i="1" s="1"/>
  <c r="C1496" i="1" a="1"/>
  <c r="C1496" i="1" s="1"/>
  <c r="C1497" i="1" a="1"/>
  <c r="C1497" i="1" s="1"/>
  <c r="C1498" i="1" a="1"/>
  <c r="C1498" i="1" s="1"/>
  <c r="C1499" i="1" a="1"/>
  <c r="C1499" i="1" s="1"/>
  <c r="C1500" i="1" a="1"/>
  <c r="C1500" i="1" s="1"/>
  <c r="C1501" i="1" a="1"/>
  <c r="C1501" i="1" s="1"/>
  <c r="C1502" i="1" a="1"/>
  <c r="C1502" i="1" s="1"/>
  <c r="C1503" i="1" a="1"/>
  <c r="C1503" i="1" s="1"/>
  <c r="C1504" i="1" a="1"/>
  <c r="C1504" i="1" s="1"/>
  <c r="C1505" i="1" a="1"/>
  <c r="C1505" i="1" s="1"/>
  <c r="C1506" i="1" a="1"/>
  <c r="C1506" i="1" s="1"/>
  <c r="C1507" i="1" a="1"/>
  <c r="C1507" i="1" s="1"/>
  <c r="C1508" i="1" a="1"/>
  <c r="C1508" i="1" s="1"/>
  <c r="C1509" i="1" a="1"/>
  <c r="C1509" i="1" s="1"/>
  <c r="C1510" i="1" a="1"/>
  <c r="C1510" i="1" s="1"/>
  <c r="C1511" i="1" a="1"/>
  <c r="C1511" i="1" s="1"/>
  <c r="C1512" i="1" a="1"/>
  <c r="C1512" i="1" s="1"/>
  <c r="C1513" i="1" a="1"/>
  <c r="C1513" i="1" s="1"/>
  <c r="C1514" i="1" a="1"/>
  <c r="C1514" i="1" s="1"/>
  <c r="C1515" i="1" a="1"/>
  <c r="C1515" i="1" s="1"/>
  <c r="C1516" i="1" a="1"/>
  <c r="C1516" i="1" s="1"/>
  <c r="C1517" i="1" a="1"/>
  <c r="C1517" i="1" s="1"/>
  <c r="C1518" i="1" a="1"/>
  <c r="C1518" i="1" s="1"/>
  <c r="C1519" i="1" a="1"/>
  <c r="C1519" i="1" s="1"/>
  <c r="C1520" i="1" a="1"/>
  <c r="C1520" i="1" s="1"/>
  <c r="C1521" i="1" a="1"/>
  <c r="C1521" i="1" s="1"/>
  <c r="C1522" i="1" a="1"/>
  <c r="C1522" i="1" s="1"/>
  <c r="C1523" i="1" a="1"/>
  <c r="C1523" i="1" s="1"/>
  <c r="C1524" i="1" a="1"/>
  <c r="C1524" i="1" s="1"/>
  <c r="C1525" i="1" a="1"/>
  <c r="C1525" i="1" s="1"/>
  <c r="C1526" i="1" a="1"/>
  <c r="C1526" i="1" s="1"/>
  <c r="C1527" i="1" a="1"/>
  <c r="C1527" i="1" s="1"/>
  <c r="C1528" i="1" a="1"/>
  <c r="C1528" i="1" s="1"/>
  <c r="C1529" i="1" a="1"/>
  <c r="C1529" i="1" s="1"/>
  <c r="C1530" i="1" a="1"/>
  <c r="C1530" i="1" s="1"/>
  <c r="C1531" i="1" a="1"/>
  <c r="C1531" i="1" s="1"/>
  <c r="C1532" i="1" a="1"/>
  <c r="C1532" i="1" s="1"/>
  <c r="C1533" i="1" a="1"/>
  <c r="C1533" i="1" s="1"/>
  <c r="C1534" i="1" a="1"/>
  <c r="C1534" i="1" s="1"/>
  <c r="C1535" i="1" a="1"/>
  <c r="C1535" i="1" s="1"/>
  <c r="C1536" i="1" a="1"/>
  <c r="C1536" i="1" s="1"/>
  <c r="C1537" i="1" a="1"/>
  <c r="C1537" i="1" s="1"/>
  <c r="C1538" i="1" a="1"/>
  <c r="C1538" i="1" s="1"/>
  <c r="C1539" i="1" a="1"/>
  <c r="C1539" i="1" s="1"/>
  <c r="C1540" i="1" a="1"/>
  <c r="C1540" i="1" s="1"/>
  <c r="C1541" i="1" a="1"/>
  <c r="C1541" i="1" s="1"/>
  <c r="C1542" i="1" a="1"/>
  <c r="C1542" i="1" s="1"/>
  <c r="C1543" i="1" a="1"/>
  <c r="C1543" i="1" s="1"/>
  <c r="C1544" i="1" a="1"/>
  <c r="C1544" i="1" s="1"/>
  <c r="C1545" i="1" a="1"/>
  <c r="C1545" i="1" s="1"/>
  <c r="C1546" i="1" a="1"/>
  <c r="C1546" i="1" s="1"/>
  <c r="C1547" i="1" a="1"/>
  <c r="C1547" i="1" s="1"/>
  <c r="C1548" i="1" a="1"/>
  <c r="C1548" i="1" s="1"/>
  <c r="C1549" i="1" a="1"/>
  <c r="C1549" i="1" s="1"/>
  <c r="C1550" i="1" a="1"/>
  <c r="C1550" i="1" s="1"/>
  <c r="C1551" i="1" a="1"/>
  <c r="C1551" i="1" s="1"/>
  <c r="C1552" i="1" a="1"/>
  <c r="C1552" i="1" s="1"/>
  <c r="C1553" i="1" a="1"/>
  <c r="C1553" i="1" s="1"/>
  <c r="C1554" i="1" a="1"/>
  <c r="C1554" i="1" s="1"/>
  <c r="C1555" i="1" a="1"/>
  <c r="C1555" i="1" s="1"/>
  <c r="C1556" i="1" a="1"/>
  <c r="C1556" i="1" s="1"/>
  <c r="C1557" i="1" a="1"/>
  <c r="C1557" i="1" s="1"/>
  <c r="C1558" i="1" a="1"/>
  <c r="C1558" i="1" s="1"/>
  <c r="C1559" i="1" a="1"/>
  <c r="C1559" i="1" s="1"/>
  <c r="C1560" i="1" a="1"/>
  <c r="C1560" i="1" s="1"/>
  <c r="C1561" i="1" a="1"/>
  <c r="C1561" i="1" s="1"/>
  <c r="C1562" i="1" a="1"/>
  <c r="C1562" i="1" s="1"/>
  <c r="C1563" i="1" a="1"/>
  <c r="C1563" i="1" s="1"/>
  <c r="C1564" i="1" a="1"/>
  <c r="C1564" i="1" s="1"/>
  <c r="C1565" i="1" a="1"/>
  <c r="C1565" i="1" s="1"/>
  <c r="C1566" i="1" a="1"/>
  <c r="C1566" i="1" s="1"/>
  <c r="C1567" i="1" a="1"/>
  <c r="C1567" i="1" s="1"/>
  <c r="C1568" i="1" a="1"/>
  <c r="C1568" i="1" s="1"/>
  <c r="C1569" i="1" a="1"/>
  <c r="C1569" i="1" s="1"/>
  <c r="C1570" i="1" a="1"/>
  <c r="C1570" i="1" s="1"/>
  <c r="C1571" i="1" a="1"/>
  <c r="C1571" i="1" s="1"/>
  <c r="C1572" i="1" a="1"/>
  <c r="C1572" i="1" s="1"/>
  <c r="C1573" i="1" a="1"/>
  <c r="C1573" i="1" s="1"/>
  <c r="C1574" i="1" a="1"/>
  <c r="C1574" i="1" s="1"/>
  <c r="C1575" i="1" a="1"/>
  <c r="C1575" i="1" s="1"/>
  <c r="C1576" i="1" a="1"/>
  <c r="C1576" i="1" s="1"/>
  <c r="C1577" i="1" a="1"/>
  <c r="C1577" i="1" s="1"/>
  <c r="C1578" i="1" a="1"/>
  <c r="C1578" i="1" s="1"/>
  <c r="C1579" i="1" a="1"/>
  <c r="C1579" i="1" s="1"/>
  <c r="C1580" i="1" a="1"/>
  <c r="C1580" i="1" s="1"/>
  <c r="C1581" i="1" a="1"/>
  <c r="C1581" i="1" s="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s="1"/>
  <c r="C1593" i="1" a="1"/>
  <c r="C1593" i="1" s="1"/>
  <c r="C1594" i="1" a="1"/>
  <c r="C1594" i="1" s="1"/>
  <c r="C1595" i="1" a="1"/>
  <c r="C1595" i="1" s="1"/>
  <c r="C1596" i="1" a="1"/>
  <c r="C1596" i="1" s="1"/>
  <c r="C1597" i="1" a="1"/>
  <c r="C1597" i="1" s="1"/>
  <c r="C1598" i="1" a="1"/>
  <c r="C1598" i="1" s="1"/>
  <c r="C1599" i="1" a="1"/>
  <c r="C1599" i="1" s="1"/>
  <c r="C1600" i="1" a="1"/>
  <c r="C1600" i="1" s="1"/>
  <c r="C1601" i="1" a="1"/>
  <c r="C1601" i="1" s="1"/>
  <c r="C1602" i="1" a="1"/>
  <c r="C1602" i="1" s="1"/>
  <c r="C1603" i="1" a="1"/>
  <c r="C1603" i="1" s="1"/>
  <c r="C1604" i="1" a="1"/>
  <c r="C1604" i="1" s="1"/>
  <c r="C1605" i="1" a="1"/>
  <c r="C1605" i="1" s="1"/>
  <c r="C1606" i="1" a="1"/>
  <c r="C1606" i="1" s="1"/>
  <c r="C1607" i="1" a="1"/>
  <c r="C1607" i="1" s="1"/>
  <c r="C1608" i="1" a="1"/>
  <c r="C1608" i="1" s="1"/>
  <c r="C1609" i="1" a="1"/>
  <c r="C1609" i="1" s="1"/>
  <c r="C1610" i="1" a="1"/>
  <c r="C1610" i="1" s="1"/>
  <c r="C1611" i="1" a="1"/>
  <c r="C1611" i="1" s="1"/>
  <c r="C1612" i="1" a="1"/>
  <c r="C1612" i="1" s="1"/>
  <c r="C1613" i="1" a="1"/>
  <c r="C1613" i="1" s="1"/>
  <c r="C1614" i="1" a="1"/>
  <c r="C1614" i="1" s="1"/>
  <c r="C1615" i="1" a="1"/>
  <c r="C1615" i="1" s="1"/>
  <c r="C1616" i="1" a="1"/>
  <c r="C1616" i="1" s="1"/>
  <c r="C1617" i="1" a="1"/>
  <c r="C1617" i="1" s="1"/>
  <c r="C1618" i="1" a="1"/>
  <c r="C1618" i="1" s="1"/>
  <c r="C1619" i="1" a="1"/>
  <c r="C1619" i="1" s="1"/>
  <c r="C1620" i="1" a="1"/>
  <c r="C1620" i="1" s="1"/>
  <c r="C1621" i="1" a="1"/>
  <c r="C1621" i="1" s="1"/>
  <c r="C1622" i="1" a="1"/>
  <c r="C1622" i="1" s="1"/>
  <c r="C1623" i="1" a="1"/>
  <c r="C1623" i="1" s="1"/>
  <c r="C1624" i="1" a="1"/>
  <c r="C1624" i="1" s="1"/>
  <c r="C1625" i="1" a="1"/>
  <c r="C1625" i="1" s="1"/>
  <c r="C1626" i="1" a="1"/>
  <c r="C1626" i="1" s="1"/>
  <c r="C1627" i="1" a="1"/>
  <c r="C1627" i="1" s="1"/>
  <c r="C1628" i="1" a="1"/>
  <c r="C1628" i="1" s="1"/>
  <c r="C1629" i="1" a="1"/>
  <c r="C1629" i="1" s="1"/>
  <c r="C1630" i="1" a="1"/>
  <c r="C1630" i="1" s="1"/>
  <c r="C1631" i="1" a="1"/>
  <c r="C1631" i="1" s="1"/>
  <c r="C1632" i="1" a="1"/>
  <c r="C1632" i="1" s="1"/>
  <c r="C1633" i="1" a="1"/>
  <c r="C1633" i="1" s="1"/>
  <c r="C1634" i="1" a="1"/>
  <c r="C1634" i="1" s="1"/>
  <c r="C1635" i="1" a="1"/>
  <c r="C1635" i="1" s="1"/>
  <c r="C1636" i="1" a="1"/>
  <c r="C1636" i="1" s="1"/>
  <c r="C1637" i="1" a="1"/>
  <c r="C1637" i="1" s="1"/>
  <c r="C1638" i="1" a="1"/>
  <c r="C1638" i="1" s="1"/>
  <c r="C1639" i="1" a="1"/>
  <c r="C1639" i="1" s="1"/>
  <c r="C1640" i="1" a="1"/>
  <c r="C1640" i="1" s="1"/>
  <c r="C1641" i="1" a="1"/>
  <c r="C1641" i="1" s="1"/>
  <c r="C1642" i="1" a="1"/>
  <c r="C1642" i="1" s="1"/>
  <c r="C1643" i="1" a="1"/>
  <c r="C1643" i="1" s="1"/>
  <c r="C1644" i="1" a="1"/>
  <c r="C1644" i="1" s="1"/>
  <c r="C1645" i="1" a="1"/>
  <c r="C1645" i="1" s="1"/>
  <c r="C1646" i="1" a="1"/>
  <c r="C1646" i="1" s="1"/>
  <c r="C1647" i="1" a="1"/>
  <c r="C1647" i="1" s="1"/>
  <c r="C1648" i="1" a="1"/>
  <c r="C1648" i="1" s="1"/>
  <c r="C1649" i="1" a="1"/>
  <c r="C1649" i="1" s="1"/>
  <c r="C1650" i="1" a="1"/>
  <c r="C1650" i="1" s="1"/>
  <c r="C1651" i="1" a="1"/>
  <c r="C1651" i="1" s="1"/>
  <c r="C1652" i="1" a="1"/>
  <c r="C1652" i="1" s="1"/>
  <c r="C1653" i="1" a="1"/>
  <c r="C1653" i="1" s="1"/>
  <c r="C1654" i="1" a="1"/>
  <c r="C1654" i="1" s="1"/>
  <c r="C1655" i="1" a="1"/>
  <c r="C1655" i="1" s="1"/>
  <c r="C1656" i="1" a="1"/>
  <c r="C1656" i="1" s="1"/>
  <c r="C1657" i="1" a="1"/>
  <c r="C1657" i="1" s="1"/>
  <c r="C1658" i="1" a="1"/>
  <c r="C1658" i="1" s="1"/>
  <c r="C1659" i="1" a="1"/>
  <c r="C1659" i="1" s="1"/>
  <c r="C1660" i="1" a="1"/>
  <c r="C1660" i="1" s="1"/>
  <c r="C1661" i="1" a="1"/>
  <c r="C1661" i="1" s="1"/>
  <c r="C1662" i="1" a="1"/>
  <c r="C1662" i="1" s="1"/>
  <c r="C1663" i="1" a="1"/>
  <c r="C1663" i="1" s="1"/>
  <c r="C1664" i="1" a="1"/>
  <c r="C1664" i="1" s="1"/>
  <c r="C1665" i="1" a="1"/>
  <c r="C1665" i="1" s="1"/>
  <c r="C1666" i="1" a="1"/>
  <c r="C1666" i="1" s="1"/>
  <c r="C1667" i="1" a="1"/>
  <c r="C1667" i="1" s="1"/>
  <c r="C1668" i="1" a="1"/>
  <c r="C1668" i="1" s="1"/>
  <c r="C1669" i="1" a="1"/>
  <c r="C1669" i="1" s="1"/>
  <c r="C1670" i="1" a="1"/>
  <c r="C1670" i="1" s="1"/>
  <c r="C1671" i="1" a="1"/>
  <c r="C1671" i="1" s="1"/>
  <c r="C1672" i="1" a="1"/>
  <c r="C1672" i="1" s="1"/>
  <c r="C1673" i="1" a="1"/>
  <c r="C1673" i="1" s="1"/>
  <c r="C1674" i="1" a="1"/>
  <c r="C1674" i="1" s="1"/>
  <c r="C1675" i="1" a="1"/>
  <c r="C1675" i="1" s="1"/>
  <c r="C1676" i="1" a="1"/>
  <c r="C1676" i="1" s="1"/>
  <c r="C1677" i="1" a="1"/>
  <c r="C1677" i="1" s="1"/>
  <c r="C1678" i="1" a="1"/>
  <c r="C1678" i="1" s="1"/>
  <c r="C1679" i="1" a="1"/>
  <c r="C1679" i="1" s="1"/>
  <c r="C1680" i="1" a="1"/>
  <c r="C1680" i="1" s="1"/>
  <c r="C1681" i="1" a="1"/>
  <c r="C1681" i="1" s="1"/>
  <c r="C1682" i="1" a="1"/>
  <c r="C1682" i="1" s="1"/>
  <c r="C1683" i="1" a="1"/>
  <c r="C1683" i="1" s="1"/>
  <c r="C1684" i="1" a="1"/>
  <c r="C1684" i="1" s="1"/>
  <c r="C1685" i="1" a="1"/>
  <c r="C1685" i="1" s="1"/>
  <c r="C1686" i="1" a="1"/>
  <c r="C1686" i="1" s="1"/>
  <c r="C1687" i="1" a="1"/>
  <c r="C1687" i="1" s="1"/>
  <c r="C1688" i="1" a="1"/>
  <c r="C1688" i="1" s="1"/>
  <c r="C1689" i="1" a="1"/>
  <c r="C1689" i="1" s="1"/>
  <c r="C1690" i="1" a="1"/>
  <c r="C1690" i="1" s="1"/>
  <c r="C1691" i="1" a="1"/>
  <c r="C1691" i="1" s="1"/>
  <c r="C1692" i="1" a="1"/>
  <c r="C1692" i="1" s="1"/>
  <c r="C1693" i="1" a="1"/>
  <c r="C1693" i="1" s="1"/>
  <c r="C1694" i="1" a="1"/>
  <c r="C1694" i="1" s="1"/>
  <c r="C1695" i="1" a="1"/>
  <c r="C1695" i="1" s="1"/>
  <c r="C1696" i="1" a="1"/>
  <c r="C1696" i="1" s="1"/>
  <c r="C1697" i="1" a="1"/>
  <c r="C1697" i="1" s="1"/>
  <c r="C1698" i="1" a="1"/>
  <c r="C1698" i="1" s="1"/>
  <c r="C1699" i="1" a="1"/>
  <c r="C1699" i="1" s="1"/>
  <c r="C1700" i="1" a="1"/>
  <c r="C1700" i="1" s="1"/>
  <c r="C1701" i="1" a="1"/>
  <c r="C1701" i="1" s="1"/>
  <c r="C1702" i="1" a="1"/>
  <c r="C1702" i="1" s="1"/>
  <c r="C1703" i="1" a="1"/>
  <c r="C1703" i="1" s="1"/>
  <c r="C1704" i="1" a="1"/>
  <c r="C1704" i="1" s="1"/>
  <c r="C1705" i="1" a="1"/>
  <c r="C1705" i="1" s="1"/>
  <c r="C1706" i="1" a="1"/>
  <c r="C1706" i="1" s="1"/>
  <c r="C1707" i="1" a="1"/>
  <c r="C1707" i="1" s="1"/>
  <c r="C1708" i="1" a="1"/>
  <c r="C1708" i="1" s="1"/>
  <c r="C1709" i="1" a="1"/>
  <c r="C1709" i="1" s="1"/>
  <c r="C1710" i="1" a="1"/>
  <c r="C1710" i="1" s="1"/>
  <c r="C1711" i="1" a="1"/>
  <c r="C1711" i="1" s="1"/>
  <c r="C1712" i="1" a="1"/>
  <c r="C1712" i="1" s="1"/>
  <c r="C1713" i="1" a="1"/>
  <c r="C1713" i="1" s="1"/>
  <c r="C1714" i="1" a="1"/>
  <c r="C1714" i="1" s="1"/>
  <c r="C1715" i="1" a="1"/>
  <c r="C1715" i="1" s="1"/>
  <c r="C1716" i="1" a="1"/>
  <c r="C1716" i="1" s="1"/>
  <c r="C1717" i="1" a="1"/>
  <c r="C1717" i="1" s="1"/>
  <c r="C1718" i="1" a="1"/>
  <c r="C1718" i="1" s="1"/>
  <c r="C1719" i="1" a="1"/>
  <c r="C1719" i="1" s="1"/>
  <c r="C1720" i="1" a="1"/>
  <c r="C1720" i="1" s="1"/>
  <c r="C1721" i="1" a="1"/>
  <c r="C1721" i="1" s="1"/>
  <c r="C1722" i="1" a="1"/>
  <c r="C1722" i="1" s="1"/>
  <c r="C1723" i="1" a="1"/>
  <c r="C1723" i="1" s="1"/>
  <c r="C1724" i="1" a="1"/>
  <c r="C1724" i="1" s="1"/>
  <c r="C1725" i="1" a="1"/>
  <c r="C1725" i="1" s="1"/>
  <c r="C1726" i="1" a="1"/>
  <c r="C1726" i="1" s="1"/>
  <c r="C1727" i="1" a="1"/>
  <c r="C1727" i="1" s="1"/>
  <c r="C1728" i="1" a="1"/>
  <c r="C1728" i="1" s="1"/>
  <c r="C1729" i="1" a="1"/>
  <c r="C1729" i="1" s="1"/>
  <c r="C1730" i="1" a="1"/>
  <c r="C1730" i="1" s="1"/>
  <c r="C1731" i="1" a="1"/>
  <c r="C1731" i="1" s="1"/>
  <c r="C1732" i="1" a="1"/>
  <c r="C1732" i="1" s="1"/>
  <c r="C1733" i="1" a="1"/>
  <c r="C1733" i="1" s="1"/>
  <c r="C1734" i="1" a="1"/>
  <c r="C1734" i="1" s="1"/>
  <c r="C1735" i="1" a="1"/>
  <c r="C1735" i="1" s="1"/>
  <c r="C1736" i="1" a="1"/>
  <c r="C1736" i="1" s="1"/>
  <c r="C1737" i="1" a="1"/>
  <c r="C1737" i="1" s="1"/>
  <c r="C1738" i="1" a="1"/>
  <c r="C1738" i="1" s="1"/>
  <c r="C1739" i="1" a="1"/>
  <c r="C1739" i="1" s="1"/>
  <c r="C1740" i="1" a="1"/>
  <c r="C1740" i="1" s="1"/>
  <c r="C1741" i="1" a="1"/>
  <c r="C1741" i="1" s="1"/>
  <c r="C1742" i="1" a="1"/>
  <c r="C1742" i="1" s="1"/>
  <c r="C1743" i="1" a="1"/>
  <c r="C1743" i="1" s="1"/>
  <c r="C1744" i="1" a="1"/>
  <c r="C1744" i="1" s="1"/>
  <c r="C1745" i="1" a="1"/>
  <c r="C1745" i="1" s="1"/>
  <c r="C1746" i="1" a="1"/>
  <c r="C1746" i="1" s="1"/>
  <c r="C1747" i="1" a="1"/>
  <c r="C1747" i="1" s="1"/>
  <c r="C1748" i="1" a="1"/>
  <c r="C1748" i="1" s="1"/>
  <c r="C1749" i="1" a="1"/>
  <c r="C1749" i="1" s="1"/>
  <c r="C1750" i="1" a="1"/>
  <c r="C1750" i="1" s="1"/>
  <c r="C1751" i="1" a="1"/>
  <c r="C1751" i="1" s="1"/>
  <c r="C1752" i="1" a="1"/>
  <c r="C1752" i="1" s="1"/>
  <c r="C1753" i="1" a="1"/>
  <c r="C1753" i="1" s="1"/>
  <c r="C1754" i="1" a="1"/>
  <c r="C1754" i="1" s="1"/>
  <c r="C1755" i="1" a="1"/>
  <c r="C1755" i="1" s="1"/>
  <c r="C1756" i="1" a="1"/>
  <c r="C1756" i="1" s="1"/>
  <c r="C1757" i="1" a="1"/>
  <c r="C1757" i="1" s="1"/>
  <c r="C1758" i="1" a="1"/>
  <c r="C1758" i="1" s="1"/>
  <c r="C1759" i="1" a="1"/>
  <c r="C1759" i="1" s="1"/>
  <c r="C1760" i="1" a="1"/>
  <c r="C1760" i="1" s="1"/>
  <c r="C1761" i="1" a="1"/>
  <c r="C1761" i="1" s="1"/>
  <c r="C1762" i="1" a="1"/>
  <c r="C1762" i="1" s="1"/>
  <c r="C1763" i="1" a="1"/>
  <c r="C1763" i="1" s="1"/>
  <c r="C1764" i="1" a="1"/>
  <c r="C1764" i="1" s="1"/>
  <c r="C1765" i="1" a="1"/>
  <c r="C1765" i="1" s="1"/>
  <c r="C1766" i="1" a="1"/>
  <c r="C1766" i="1" s="1"/>
  <c r="C1767" i="1" a="1"/>
  <c r="C1767" i="1" s="1"/>
  <c r="C1768" i="1" a="1"/>
  <c r="C1768" i="1" s="1"/>
  <c r="C1769" i="1" a="1"/>
  <c r="C1769" i="1" s="1"/>
  <c r="C1770" i="1" a="1"/>
  <c r="C1770" i="1" s="1"/>
  <c r="C1771" i="1" a="1"/>
  <c r="C1771" i="1" s="1"/>
  <c r="C1772" i="1" a="1"/>
  <c r="C1772" i="1" s="1"/>
  <c r="C1773" i="1" a="1"/>
  <c r="C1773" i="1" s="1"/>
  <c r="C1774" i="1" a="1"/>
  <c r="C1774" i="1" s="1"/>
  <c r="C1775" i="1" a="1"/>
  <c r="C1775" i="1" s="1"/>
  <c r="C1776" i="1" a="1"/>
  <c r="C1776" i="1" s="1"/>
  <c r="C1777" i="1" a="1"/>
  <c r="C1777" i="1" s="1"/>
  <c r="C1778" i="1" a="1"/>
  <c r="C1778" i="1" s="1"/>
  <c r="C1779" i="1" a="1"/>
  <c r="C1779" i="1" s="1"/>
  <c r="C1780" i="1" a="1"/>
  <c r="C1780" i="1" s="1"/>
  <c r="C1781" i="1" a="1"/>
  <c r="C1781" i="1" s="1"/>
  <c r="C1782" i="1" a="1"/>
  <c r="C1782" i="1" s="1"/>
  <c r="C1783" i="1" a="1"/>
  <c r="C1783" i="1" s="1"/>
  <c r="C1784" i="1" a="1"/>
  <c r="C1784" i="1" s="1"/>
  <c r="C1785" i="1" a="1"/>
  <c r="C1785" i="1" s="1"/>
  <c r="C1786" i="1" a="1"/>
  <c r="C1786" i="1" s="1"/>
  <c r="C1787" i="1" a="1"/>
  <c r="C1787" i="1" s="1"/>
  <c r="C1788" i="1" a="1"/>
  <c r="C1788" i="1" s="1"/>
  <c r="C1789" i="1" a="1"/>
  <c r="C1789" i="1" s="1"/>
  <c r="C1790" i="1" a="1"/>
  <c r="C1790" i="1" s="1"/>
  <c r="C1791" i="1" a="1"/>
  <c r="C1791" i="1" s="1"/>
  <c r="C1792" i="1" a="1"/>
  <c r="C1792" i="1" s="1"/>
  <c r="C1793" i="1" a="1"/>
  <c r="C1793" i="1" s="1"/>
  <c r="C1794" i="1" a="1"/>
  <c r="C1794" i="1" s="1"/>
  <c r="C1795" i="1" a="1"/>
  <c r="C1795" i="1" s="1"/>
  <c r="C1796" i="1" a="1"/>
  <c r="C1796" i="1" s="1"/>
  <c r="C1797" i="1" a="1"/>
  <c r="C1797" i="1" s="1"/>
  <c r="C1798" i="1" a="1"/>
  <c r="C1798" i="1" s="1"/>
  <c r="C1799" i="1" a="1"/>
  <c r="C1799" i="1" s="1"/>
  <c r="C1800" i="1" a="1"/>
  <c r="C1800" i="1" s="1"/>
  <c r="C1801" i="1" a="1"/>
  <c r="C1801" i="1" s="1"/>
  <c r="C1802" i="1" a="1"/>
  <c r="C1802" i="1" s="1"/>
  <c r="C1803" i="1" a="1"/>
  <c r="C1803" i="1" s="1"/>
  <c r="C1804" i="1" a="1"/>
  <c r="C1804" i="1" s="1"/>
  <c r="C1805" i="1" a="1"/>
  <c r="C1805" i="1" s="1"/>
  <c r="C1806" i="1" a="1"/>
  <c r="C1806" i="1" s="1"/>
  <c r="C1807" i="1" a="1"/>
  <c r="C1807" i="1" s="1"/>
  <c r="C1808" i="1" a="1"/>
  <c r="C1808" i="1" s="1"/>
  <c r="C1809" i="1" a="1"/>
  <c r="C1809" i="1" s="1"/>
  <c r="C1810" i="1" a="1"/>
  <c r="C1810" i="1" s="1"/>
  <c r="C1811" i="1" a="1"/>
  <c r="C1811" i="1" s="1"/>
  <c r="C1812" i="1" a="1"/>
  <c r="C1812" i="1" s="1"/>
  <c r="C1813" i="1" a="1"/>
  <c r="C1813" i="1" s="1"/>
  <c r="C1814" i="1" a="1"/>
  <c r="C1814" i="1" s="1"/>
  <c r="C1815" i="1" a="1"/>
  <c r="C1815" i="1" s="1"/>
  <c r="C1816" i="1" a="1"/>
  <c r="C1816" i="1" s="1"/>
  <c r="C1817" i="1" a="1"/>
  <c r="C1817" i="1" s="1"/>
  <c r="C1818" i="1" a="1"/>
  <c r="C1818" i="1" s="1"/>
  <c r="C1819" i="1" a="1"/>
  <c r="C1819" i="1" s="1"/>
  <c r="C1820" i="1" a="1"/>
  <c r="C1820" i="1" s="1"/>
  <c r="C1821" i="1" a="1"/>
  <c r="C1821" i="1" s="1"/>
  <c r="C1822" i="1" a="1"/>
  <c r="C1822" i="1" s="1"/>
  <c r="C1823" i="1" a="1"/>
  <c r="C1823" i="1" s="1"/>
  <c r="C1824" i="1" a="1"/>
  <c r="C1824" i="1" s="1"/>
  <c r="C1825" i="1" a="1"/>
  <c r="C1825" i="1" s="1"/>
  <c r="C1826" i="1" a="1"/>
  <c r="C1826" i="1" s="1"/>
  <c r="C1827" i="1" a="1"/>
  <c r="C1827" i="1" s="1"/>
  <c r="C1828" i="1" a="1"/>
  <c r="C1828" i="1" s="1"/>
  <c r="C1829" i="1" a="1"/>
  <c r="C1829" i="1" s="1"/>
  <c r="C1830" i="1" a="1"/>
  <c r="C1830" i="1" s="1"/>
  <c r="C1831" i="1" a="1"/>
  <c r="C1831" i="1" s="1"/>
  <c r="C1832" i="1" a="1"/>
  <c r="C1832" i="1" s="1"/>
  <c r="C1833" i="1" a="1"/>
  <c r="C1833" i="1" s="1"/>
  <c r="C1834" i="1" a="1"/>
  <c r="C1834" i="1" s="1"/>
  <c r="C1835" i="1" a="1"/>
  <c r="C1835" i="1" s="1"/>
  <c r="C1836" i="1" a="1"/>
  <c r="C1836" i="1" s="1"/>
  <c r="C1837" i="1" a="1"/>
  <c r="C1837" i="1" s="1"/>
  <c r="C1838" i="1" a="1"/>
  <c r="C1838" i="1" s="1"/>
  <c r="C1839" i="1" a="1"/>
  <c r="C1839" i="1" s="1"/>
  <c r="C1840" i="1" a="1"/>
  <c r="C1840" i="1" s="1"/>
  <c r="C1841" i="1" a="1"/>
  <c r="C1841" i="1" s="1"/>
  <c r="C1842" i="1" a="1"/>
  <c r="C1842" i="1" s="1"/>
  <c r="C1843" i="1" a="1"/>
  <c r="C1843" i="1" s="1"/>
  <c r="C1844" i="1" a="1"/>
  <c r="C1844" i="1" s="1"/>
  <c r="C1845" i="1" a="1"/>
  <c r="C1845" i="1" s="1"/>
  <c r="C1846" i="1" a="1"/>
  <c r="C1846" i="1" s="1"/>
  <c r="C1847" i="1" a="1"/>
  <c r="C1847" i="1" s="1"/>
  <c r="C1848" i="1" a="1"/>
  <c r="C1848" i="1" s="1"/>
  <c r="C1849" i="1" a="1"/>
  <c r="C1849" i="1" s="1"/>
  <c r="C1850" i="1" a="1"/>
  <c r="C1850" i="1" s="1"/>
  <c r="C1851" i="1" a="1"/>
  <c r="C1851" i="1" s="1"/>
  <c r="C1852" i="1" a="1"/>
  <c r="C1852" i="1" s="1"/>
  <c r="C1853" i="1" a="1"/>
  <c r="C1853" i="1" s="1"/>
  <c r="C1854" i="1" a="1"/>
  <c r="C1854" i="1" s="1"/>
  <c r="C1855" i="1" a="1"/>
  <c r="C1855" i="1" s="1"/>
  <c r="C1856" i="1" a="1"/>
  <c r="C1856" i="1" s="1"/>
  <c r="C1857" i="1" a="1"/>
  <c r="C1857" i="1" s="1"/>
  <c r="C1858" i="1" a="1"/>
  <c r="C1858" i="1" s="1"/>
  <c r="C1859" i="1" a="1"/>
  <c r="C1859" i="1" s="1"/>
  <c r="C1860" i="1" a="1"/>
  <c r="C1860" i="1" s="1"/>
  <c r="C1861" i="1" a="1"/>
  <c r="C1861" i="1" s="1"/>
  <c r="C1862" i="1" a="1"/>
  <c r="C1862" i="1" s="1"/>
  <c r="C1863" i="1" a="1"/>
  <c r="C1863" i="1" s="1"/>
  <c r="C1864" i="1" a="1"/>
  <c r="C1864" i="1" s="1"/>
  <c r="C1865" i="1" a="1"/>
  <c r="C1865" i="1" s="1"/>
  <c r="C1866" i="1" a="1"/>
  <c r="C1866" i="1" s="1"/>
  <c r="C1867" i="1" a="1"/>
  <c r="C1867" i="1" s="1"/>
  <c r="C1868" i="1" a="1"/>
  <c r="C1868" i="1" s="1"/>
  <c r="C1869" i="1" a="1"/>
  <c r="C1869" i="1" s="1"/>
  <c r="C1870" i="1" a="1"/>
  <c r="C1870" i="1" s="1"/>
  <c r="C1871" i="1" a="1"/>
  <c r="C1871" i="1" s="1"/>
  <c r="C1872" i="1" a="1"/>
  <c r="C1872" i="1" s="1"/>
  <c r="C1873" i="1" a="1"/>
  <c r="C1873" i="1" s="1"/>
  <c r="C1874" i="1" a="1"/>
  <c r="C1874" i="1" s="1"/>
  <c r="C1875" i="1" a="1"/>
  <c r="C1875" i="1" s="1"/>
  <c r="C1876" i="1" a="1"/>
  <c r="C1876" i="1" s="1"/>
  <c r="C1877" i="1" a="1"/>
  <c r="C1877" i="1" s="1"/>
  <c r="C1878" i="1" a="1"/>
  <c r="C1878" i="1" s="1"/>
  <c r="C1879" i="1" a="1"/>
  <c r="C1879" i="1" s="1"/>
  <c r="C1880" i="1" a="1"/>
  <c r="C1880" i="1" s="1"/>
  <c r="C1881" i="1" a="1"/>
  <c r="C1881" i="1" s="1"/>
  <c r="C1882" i="1" a="1"/>
  <c r="C1882" i="1" s="1"/>
  <c r="C1883" i="1" a="1"/>
  <c r="C1883" i="1" s="1"/>
  <c r="C1884" i="1" a="1"/>
  <c r="C1884" i="1" s="1"/>
  <c r="C1885" i="1" a="1"/>
  <c r="C1885" i="1" s="1"/>
  <c r="C1886" i="1" a="1"/>
  <c r="C1886" i="1" s="1"/>
  <c r="C1887" i="1" a="1"/>
  <c r="C1887" i="1" s="1"/>
  <c r="C1888" i="1" a="1"/>
  <c r="C1888" i="1" s="1"/>
  <c r="C1889" i="1" a="1"/>
  <c r="C1889" i="1" s="1"/>
  <c r="C1890" i="1" a="1"/>
  <c r="C1890" i="1" s="1"/>
  <c r="C1891" i="1" a="1"/>
  <c r="C1891" i="1" s="1"/>
  <c r="C1892" i="1" a="1"/>
  <c r="C1892" i="1" s="1"/>
  <c r="C1893" i="1" a="1"/>
  <c r="C1893" i="1" s="1"/>
  <c r="C1894" i="1" a="1"/>
  <c r="C1894" i="1" s="1"/>
  <c r="C1895" i="1" a="1"/>
  <c r="C1895" i="1" s="1"/>
  <c r="C1896" i="1" a="1"/>
  <c r="C1896" i="1" s="1"/>
  <c r="C1897" i="1" a="1"/>
  <c r="C1897" i="1" s="1"/>
  <c r="C1898" i="1" a="1"/>
  <c r="C1898" i="1" s="1"/>
  <c r="C1899" i="1" a="1"/>
  <c r="C1899" i="1" s="1"/>
  <c r="C1900" i="1" a="1"/>
  <c r="C1900" i="1" s="1"/>
  <c r="C1901" i="1" a="1"/>
  <c r="C1901" i="1" s="1"/>
  <c r="C1902" i="1" a="1"/>
  <c r="C1902" i="1" s="1"/>
  <c r="C1903" i="1" a="1"/>
  <c r="C1903" i="1" s="1"/>
  <c r="C1904" i="1" a="1"/>
  <c r="C1904" i="1" s="1"/>
  <c r="C1905" i="1" a="1"/>
  <c r="C1905" i="1" s="1"/>
  <c r="C1906" i="1" a="1"/>
  <c r="C1906" i="1" s="1"/>
  <c r="C1907" i="1" a="1"/>
  <c r="C1907" i="1" s="1"/>
  <c r="C1908" i="1" a="1"/>
  <c r="C1908" i="1" s="1"/>
  <c r="C1909" i="1" a="1"/>
  <c r="C1909" i="1" s="1"/>
  <c r="C1910" i="1" a="1"/>
  <c r="C1910" i="1" s="1"/>
  <c r="C1911" i="1" a="1"/>
  <c r="C1911" i="1" s="1"/>
  <c r="C1912" i="1" a="1"/>
  <c r="C1912" i="1" s="1"/>
  <c r="C1913" i="1" a="1"/>
  <c r="C1913" i="1" s="1"/>
  <c r="C1914" i="1" a="1"/>
  <c r="C1914" i="1" s="1"/>
  <c r="C1915" i="1" a="1"/>
  <c r="C1915" i="1" s="1"/>
  <c r="C1916" i="1" a="1"/>
  <c r="C1916" i="1" s="1"/>
  <c r="C1917" i="1" a="1"/>
  <c r="C1917" i="1" s="1"/>
  <c r="C1918" i="1" a="1"/>
  <c r="C1918" i="1" s="1"/>
  <c r="C1919" i="1" a="1"/>
  <c r="C1919" i="1" s="1"/>
  <c r="C1920" i="1" a="1"/>
  <c r="C1920" i="1" s="1"/>
  <c r="C1921" i="1" a="1"/>
  <c r="C1921" i="1" s="1"/>
  <c r="C1922" i="1" a="1"/>
  <c r="C1922" i="1" s="1"/>
  <c r="C1923" i="1" a="1"/>
  <c r="C1923" i="1" s="1"/>
  <c r="C1924" i="1" a="1"/>
  <c r="C1924" i="1" s="1"/>
  <c r="C1925" i="1" a="1"/>
  <c r="C1925" i="1" s="1"/>
  <c r="C1926" i="1" a="1"/>
  <c r="C1926" i="1" s="1"/>
  <c r="C1927" i="1" a="1"/>
  <c r="C1927" i="1" s="1"/>
  <c r="C1928" i="1" a="1"/>
  <c r="C1928" i="1" s="1"/>
  <c r="C1929" i="1" a="1"/>
  <c r="C1929" i="1" s="1"/>
  <c r="C1930" i="1" a="1"/>
  <c r="C1930" i="1" s="1"/>
  <c r="C1931" i="1" a="1"/>
  <c r="C1931" i="1" s="1"/>
  <c r="C1932" i="1" a="1"/>
  <c r="C1932" i="1" s="1"/>
  <c r="C1933" i="1" a="1"/>
  <c r="C1933" i="1" s="1"/>
  <c r="C1934" i="1" a="1"/>
  <c r="C1934" i="1" s="1"/>
  <c r="C1935" i="1" a="1"/>
  <c r="C1935" i="1" s="1"/>
  <c r="C1936" i="1" a="1"/>
  <c r="C1936" i="1" s="1"/>
  <c r="C1937" i="1" a="1"/>
  <c r="C1937" i="1" s="1"/>
  <c r="C1938" i="1" a="1"/>
  <c r="C1938" i="1" s="1"/>
  <c r="C1939" i="1" a="1"/>
  <c r="C1939" i="1" s="1"/>
  <c r="C1940" i="1" a="1"/>
  <c r="C1940" i="1" s="1"/>
  <c r="C1941" i="1" a="1"/>
  <c r="C1941" i="1" s="1"/>
  <c r="C1942" i="1" a="1"/>
  <c r="C1942" i="1" s="1"/>
  <c r="C1943" i="1" a="1"/>
  <c r="C1943" i="1" s="1"/>
  <c r="C1944" i="1" a="1"/>
  <c r="C1944" i="1" s="1"/>
  <c r="C1945" i="1" a="1"/>
  <c r="C1945" i="1" s="1"/>
  <c r="C1946" i="1" a="1"/>
  <c r="C1946" i="1" s="1"/>
  <c r="C1947" i="1" a="1"/>
  <c r="C1947" i="1" s="1"/>
  <c r="C1948" i="1" a="1"/>
  <c r="C1948" i="1" s="1"/>
  <c r="C1949" i="1" a="1"/>
  <c r="C1949" i="1" s="1"/>
  <c r="C1950" i="1" a="1"/>
  <c r="C1950" i="1" s="1"/>
  <c r="C1951" i="1" a="1"/>
  <c r="C1951" i="1" s="1"/>
  <c r="C1952" i="1" a="1"/>
  <c r="C1952" i="1" s="1"/>
  <c r="C1953" i="1" a="1"/>
  <c r="C1953" i="1" s="1"/>
  <c r="C1954" i="1" a="1"/>
  <c r="C1954" i="1" s="1"/>
  <c r="C1955" i="1" a="1"/>
  <c r="C1955" i="1" s="1"/>
  <c r="C1956" i="1" a="1"/>
  <c r="C1956" i="1" s="1"/>
  <c r="C1957" i="1" a="1"/>
  <c r="C1957" i="1" s="1"/>
  <c r="C1958" i="1" a="1"/>
  <c r="C1958" i="1" s="1"/>
  <c r="C1959" i="1" a="1"/>
  <c r="C1959" i="1" s="1"/>
  <c r="C1960" i="1" a="1"/>
  <c r="C1960" i="1" s="1"/>
  <c r="C1961" i="1" a="1"/>
  <c r="C1961" i="1" s="1"/>
  <c r="C1962" i="1" a="1"/>
  <c r="C1962" i="1" s="1"/>
  <c r="C1963" i="1" a="1"/>
  <c r="C1963" i="1" s="1"/>
  <c r="C1964" i="1" a="1"/>
  <c r="C1964" i="1" s="1"/>
  <c r="C1965" i="1" a="1"/>
  <c r="C1965" i="1" s="1"/>
  <c r="C1966" i="1" a="1"/>
  <c r="C1966" i="1" s="1"/>
  <c r="C1967" i="1" a="1"/>
  <c r="C1967" i="1" s="1"/>
  <c r="C1968" i="1" a="1"/>
  <c r="C1968" i="1" s="1"/>
  <c r="C1969" i="1" a="1"/>
  <c r="C1969" i="1" s="1"/>
  <c r="C1970" i="1" a="1"/>
  <c r="C1970" i="1" s="1"/>
  <c r="C1971" i="1" a="1"/>
  <c r="C1971" i="1" s="1"/>
  <c r="C1972" i="1" a="1"/>
  <c r="C1972" i="1" s="1"/>
  <c r="C1973" i="1" a="1"/>
  <c r="C1973" i="1" s="1"/>
  <c r="C1974" i="1" a="1"/>
  <c r="C1974" i="1" s="1"/>
  <c r="C1975" i="1" a="1"/>
  <c r="C1975" i="1" s="1"/>
  <c r="C1976" i="1" a="1"/>
  <c r="C1976" i="1" s="1"/>
  <c r="C1977" i="1" a="1"/>
  <c r="C1977" i="1" s="1"/>
  <c r="C1978" i="1" a="1"/>
  <c r="C1978" i="1" s="1"/>
  <c r="C1979" i="1" a="1"/>
  <c r="C1979" i="1" s="1"/>
  <c r="C1980" i="1" a="1"/>
  <c r="C1980" i="1" s="1"/>
  <c r="C1981" i="1" a="1"/>
  <c r="C1981" i="1" s="1"/>
  <c r="C1982" i="1" a="1"/>
  <c r="C1982" i="1" s="1"/>
  <c r="C1983" i="1" a="1"/>
  <c r="C1983" i="1" s="1"/>
  <c r="C1984" i="1" a="1"/>
  <c r="C1984" i="1" s="1"/>
  <c r="C1985" i="1" a="1"/>
  <c r="C1985" i="1" s="1"/>
  <c r="C1986" i="1" a="1"/>
  <c r="C1986" i="1" s="1"/>
  <c r="C1987" i="1" a="1"/>
  <c r="C1987" i="1" s="1"/>
  <c r="C1988" i="1" a="1"/>
  <c r="C1988" i="1"/>
  <c r="C1989" i="1" a="1"/>
  <c r="C1989" i="1" s="1"/>
  <c r="C1990" i="1" a="1"/>
  <c r="C1990" i="1" s="1"/>
  <c r="C1991" i="1" a="1"/>
  <c r="C1991" i="1" s="1"/>
  <c r="C1992" i="1" a="1"/>
  <c r="C1992" i="1" s="1"/>
  <c r="C1993" i="1" a="1"/>
  <c r="C1993" i="1" s="1"/>
  <c r="C1994" i="1" a="1"/>
  <c r="C1994" i="1" s="1"/>
  <c r="C1995" i="1" a="1"/>
  <c r="C1995" i="1" s="1"/>
  <c r="C1996" i="1" a="1"/>
  <c r="C1996" i="1" s="1"/>
  <c r="C1997" i="1" a="1"/>
  <c r="C1997" i="1" s="1"/>
  <c r="C1998" i="1" a="1"/>
  <c r="C1998" i="1" s="1"/>
  <c r="C1999" i="1" a="1"/>
  <c r="C1999" i="1" s="1"/>
  <c r="C2000" i="1" a="1"/>
  <c r="C2000" i="1" s="1"/>
  <c r="C2001" i="1" a="1"/>
  <c r="C2001" i="1" s="1"/>
  <c r="C2002" i="1" a="1"/>
  <c r="C2002" i="1" s="1"/>
  <c r="C2003" i="1" a="1"/>
  <c r="C2003" i="1" s="1"/>
  <c r="C2004" i="1" a="1"/>
  <c r="C2004" i="1" s="1"/>
  <c r="C2005" i="1" a="1"/>
  <c r="C2005" i="1" s="1"/>
  <c r="C2006" i="1" a="1"/>
  <c r="C2006" i="1" s="1"/>
  <c r="C2007" i="1" a="1"/>
  <c r="C2007" i="1" s="1"/>
  <c r="C2008" i="1" a="1"/>
  <c r="C2008" i="1" s="1"/>
  <c r="C2009" i="1" a="1"/>
  <c r="C2009" i="1" s="1"/>
  <c r="C2010" i="1" a="1"/>
  <c r="C2010" i="1" s="1"/>
  <c r="C2011" i="1" a="1"/>
  <c r="C2011" i="1" s="1"/>
  <c r="C2012" i="1" a="1"/>
  <c r="C2012" i="1" s="1"/>
  <c r="C2013" i="1" a="1"/>
  <c r="C2013" i="1" s="1"/>
  <c r="C2014" i="1" a="1"/>
  <c r="C2014" i="1" s="1"/>
  <c r="C2015" i="1" a="1"/>
  <c r="C2015" i="1" s="1"/>
  <c r="C2016" i="1" a="1"/>
  <c r="C2016" i="1" s="1"/>
  <c r="C2017" i="1" a="1"/>
  <c r="C2017" i="1" s="1"/>
  <c r="C2018" i="1" a="1"/>
  <c r="C2018" i="1" s="1"/>
  <c r="C2019" i="1" a="1"/>
  <c r="C2019" i="1" s="1"/>
  <c r="C2020" i="1" a="1"/>
  <c r="C2020" i="1" s="1"/>
  <c r="C2021" i="1" a="1"/>
  <c r="C2021" i="1" s="1"/>
  <c r="C2022" i="1" a="1"/>
  <c r="C2022" i="1" s="1"/>
  <c r="C2023" i="1" a="1"/>
  <c r="C2023" i="1" s="1"/>
  <c r="C2024" i="1" a="1"/>
  <c r="C2024" i="1" s="1"/>
  <c r="C2025" i="1" a="1"/>
  <c r="C2025" i="1" s="1"/>
  <c r="C2026" i="1" a="1"/>
  <c r="C2026" i="1" s="1"/>
  <c r="C2027" i="1" a="1"/>
  <c r="C2027" i="1" s="1"/>
  <c r="C2028" i="1" a="1"/>
  <c r="C2028" i="1" s="1"/>
  <c r="C2029" i="1" a="1"/>
  <c r="C2029" i="1" s="1"/>
  <c r="C2030" i="1" a="1"/>
  <c r="C2030" i="1" s="1"/>
  <c r="C2031" i="1" a="1"/>
  <c r="C2031" i="1" s="1"/>
  <c r="C2032" i="1" a="1"/>
  <c r="C2032" i="1" s="1"/>
  <c r="C2033" i="1" a="1"/>
  <c r="C2033" i="1" s="1"/>
  <c r="C2034" i="1" a="1"/>
  <c r="C2034" i="1" s="1"/>
  <c r="C2035" i="1" a="1"/>
  <c r="C2035" i="1" s="1"/>
  <c r="C2036" i="1" a="1"/>
  <c r="C2036" i="1" s="1"/>
  <c r="C2037" i="1" a="1"/>
  <c r="C2037" i="1" s="1"/>
  <c r="C2038" i="1" a="1"/>
  <c r="C2038" i="1" s="1"/>
  <c r="C2039" i="1" a="1"/>
  <c r="C2039" i="1" s="1"/>
  <c r="C2040" i="1" a="1"/>
  <c r="C2040" i="1" s="1"/>
  <c r="C2041" i="1" a="1"/>
  <c r="C2041" i="1" s="1"/>
  <c r="C2042" i="1" a="1"/>
  <c r="C2042" i="1" s="1"/>
  <c r="C2043" i="1" a="1"/>
  <c r="C2043" i="1" s="1"/>
  <c r="C2044" i="1" a="1"/>
  <c r="C2044" i="1" s="1"/>
  <c r="C2045" i="1" a="1"/>
  <c r="C2045" i="1" s="1"/>
  <c r="C2046" i="1" a="1"/>
  <c r="C2046" i="1" s="1"/>
  <c r="C2047" i="1" a="1"/>
  <c r="C2047" i="1" s="1"/>
  <c r="C2048" i="1" a="1"/>
  <c r="C2048" i="1" s="1"/>
  <c r="C2049" i="1" a="1"/>
  <c r="C2049" i="1" s="1"/>
  <c r="C2050" i="1" a="1"/>
  <c r="C2050" i="1" s="1"/>
  <c r="C2051" i="1" a="1"/>
  <c r="C2051" i="1" s="1"/>
  <c r="C2052" i="1" a="1"/>
  <c r="C2052" i="1" s="1"/>
  <c r="C2053" i="1" a="1"/>
  <c r="C2053" i="1" s="1"/>
  <c r="C2054" i="1" a="1"/>
  <c r="C2054" i="1" s="1"/>
  <c r="C2055" i="1" a="1"/>
  <c r="C2055" i="1" s="1"/>
  <c r="C2056" i="1" a="1"/>
  <c r="C2056" i="1" s="1"/>
  <c r="C2057" i="1" a="1"/>
  <c r="C2057" i="1" s="1"/>
  <c r="C2058" i="1" a="1"/>
  <c r="C2058" i="1" s="1"/>
  <c r="C2059" i="1" a="1"/>
  <c r="C2059" i="1" s="1"/>
  <c r="C2060" i="1" a="1"/>
  <c r="C2060" i="1" s="1"/>
  <c r="C2061" i="1" a="1"/>
  <c r="C2061" i="1" s="1"/>
  <c r="C2062" i="1" a="1"/>
  <c r="C2062" i="1" s="1"/>
  <c r="C2063" i="1" a="1"/>
  <c r="C2063" i="1" s="1"/>
  <c r="C2064" i="1" a="1"/>
  <c r="C2064" i="1" s="1"/>
  <c r="C2065" i="1" a="1"/>
  <c r="C2065" i="1" s="1"/>
  <c r="C2066" i="1" a="1"/>
  <c r="C2066" i="1" s="1"/>
  <c r="C2067" i="1" a="1"/>
  <c r="C2067" i="1" s="1"/>
  <c r="C2068" i="1" a="1"/>
  <c r="C2068" i="1" s="1"/>
  <c r="C2069" i="1" a="1"/>
  <c r="C2069" i="1" s="1"/>
  <c r="C2070" i="1" a="1"/>
  <c r="C2070" i="1" s="1"/>
  <c r="C2071" i="1" a="1"/>
  <c r="C2071" i="1" s="1"/>
  <c r="C2072" i="1" a="1"/>
  <c r="C2072" i="1" s="1"/>
  <c r="C2073" i="1" a="1"/>
  <c r="C2073" i="1" s="1"/>
  <c r="C2074" i="1" a="1"/>
  <c r="C2074" i="1" s="1"/>
  <c r="C2075" i="1" a="1"/>
  <c r="C2075" i="1" s="1"/>
  <c r="C2076" i="1" a="1"/>
  <c r="C2076" i="1" s="1"/>
  <c r="C2077" i="1" a="1"/>
  <c r="C2077" i="1" s="1"/>
  <c r="C2078" i="1" a="1"/>
  <c r="C2078" i="1" s="1"/>
  <c r="C2079" i="1" a="1"/>
  <c r="C2079" i="1" s="1"/>
  <c r="C2080" i="1" a="1"/>
  <c r="C2080" i="1" s="1"/>
  <c r="C2081" i="1" a="1"/>
  <c r="C2081" i="1" s="1"/>
  <c r="C2082" i="1" a="1"/>
  <c r="C2082" i="1" s="1"/>
  <c r="C2083" i="1" a="1"/>
  <c r="C2083" i="1" s="1"/>
  <c r="C2084" i="1" a="1"/>
  <c r="C2084" i="1" s="1"/>
  <c r="C2085" i="1" a="1"/>
  <c r="C2085" i="1" s="1"/>
  <c r="C2086" i="1" a="1"/>
  <c r="C2086" i="1" s="1"/>
  <c r="C2087" i="1" a="1"/>
  <c r="C2087" i="1" s="1"/>
  <c r="C2088" i="1" a="1"/>
  <c r="C2088" i="1" s="1"/>
  <c r="C2089" i="1" a="1"/>
  <c r="C2089" i="1" s="1"/>
  <c r="C2090" i="1" a="1"/>
  <c r="C2090" i="1" s="1"/>
  <c r="C2091" i="1" a="1"/>
  <c r="C2091" i="1" s="1"/>
  <c r="C2092" i="1" a="1"/>
  <c r="C2092" i="1" s="1"/>
  <c r="C2093" i="1" a="1"/>
  <c r="C2093" i="1" s="1"/>
  <c r="C2094" i="1" a="1"/>
  <c r="C2094" i="1" s="1"/>
  <c r="C2095" i="1" a="1"/>
  <c r="C2095" i="1" s="1"/>
  <c r="C2096" i="1" a="1"/>
  <c r="C2096" i="1" s="1"/>
  <c r="C2097" i="1" a="1"/>
  <c r="C2097" i="1" s="1"/>
  <c r="C2098" i="1" a="1"/>
  <c r="C2098" i="1" s="1"/>
  <c r="C2099" i="1" a="1"/>
  <c r="C2099" i="1" s="1"/>
  <c r="C2100" i="1" a="1"/>
  <c r="C2100" i="1" s="1"/>
  <c r="C2101" i="1" a="1"/>
  <c r="C2101" i="1" s="1"/>
  <c r="C2102" i="1" a="1"/>
  <c r="C2102" i="1" s="1"/>
  <c r="C2103" i="1" a="1"/>
  <c r="C2103" i="1" s="1"/>
  <c r="C2104" i="1" a="1"/>
  <c r="C2104" i="1" s="1"/>
  <c r="C2105" i="1" a="1"/>
  <c r="C2105" i="1" s="1"/>
  <c r="C2106" i="1" a="1"/>
  <c r="C2106" i="1" s="1"/>
  <c r="C2107" i="1" a="1"/>
  <c r="C2107" i="1" s="1"/>
  <c r="C2108" i="1" a="1"/>
  <c r="C2108" i="1" s="1"/>
  <c r="C2109" i="1" a="1"/>
  <c r="C2109" i="1" s="1"/>
  <c r="C2110" i="1" a="1"/>
  <c r="C2110" i="1" s="1"/>
  <c r="C2111" i="1" a="1"/>
  <c r="C2111" i="1" s="1"/>
  <c r="C2112" i="1" a="1"/>
  <c r="C2112" i="1" s="1"/>
  <c r="C2113" i="1" a="1"/>
  <c r="C2113" i="1" s="1"/>
  <c r="C2114" i="1" a="1"/>
  <c r="C2114" i="1" s="1"/>
  <c r="C2115" i="1" a="1"/>
  <c r="C2115" i="1" s="1"/>
  <c r="C2116" i="1" a="1"/>
  <c r="C2116" i="1" s="1"/>
  <c r="C2117" i="1" a="1"/>
  <c r="C2117" i="1" s="1"/>
  <c r="C2118" i="1" a="1"/>
  <c r="C2118" i="1" s="1"/>
  <c r="C2119" i="1" a="1"/>
  <c r="C2119" i="1" s="1"/>
  <c r="C2120" i="1" a="1"/>
  <c r="C2120" i="1" s="1"/>
  <c r="C2121" i="1" a="1"/>
  <c r="C2121" i="1" s="1"/>
  <c r="C2122" i="1" a="1"/>
  <c r="C2122" i="1" s="1"/>
  <c r="C2123" i="1" a="1"/>
  <c r="C2123" i="1" s="1"/>
  <c r="C2124" i="1" a="1"/>
  <c r="C2124" i="1" s="1"/>
  <c r="C2125" i="1" a="1"/>
  <c r="C2125" i="1" s="1"/>
  <c r="C2126" i="1" a="1"/>
  <c r="C2126" i="1" s="1"/>
  <c r="C2127" i="1" a="1"/>
  <c r="C2127" i="1" s="1"/>
  <c r="C2128" i="1" a="1"/>
  <c r="C2128" i="1" s="1"/>
  <c r="C2129" i="1" a="1"/>
  <c r="C2129" i="1" s="1"/>
  <c r="C2130" i="1" a="1"/>
  <c r="C2130" i="1" s="1"/>
  <c r="C2131" i="1" a="1"/>
  <c r="C2131" i="1" s="1"/>
  <c r="C2132" i="1" a="1"/>
  <c r="C2132" i="1" s="1"/>
  <c r="C2133" i="1" a="1"/>
  <c r="C2133" i="1" s="1"/>
  <c r="C2134" i="1" a="1"/>
  <c r="C2134" i="1" s="1"/>
  <c r="C2135" i="1" a="1"/>
  <c r="C2135" i="1" s="1"/>
  <c r="C2136" i="1" a="1"/>
  <c r="C2136" i="1" s="1"/>
  <c r="C2137" i="1" a="1"/>
  <c r="C2137" i="1" s="1"/>
  <c r="C2138" i="1" a="1"/>
  <c r="C2138" i="1" s="1"/>
  <c r="C2139" i="1" a="1"/>
  <c r="C2139" i="1" s="1"/>
  <c r="C2140" i="1" a="1"/>
  <c r="C2140" i="1" s="1"/>
  <c r="C2141" i="1" a="1"/>
  <c r="C2141" i="1" s="1"/>
  <c r="C2142" i="1" a="1"/>
  <c r="C2142" i="1" s="1"/>
  <c r="C2143" i="1" a="1"/>
  <c r="C2143" i="1" s="1"/>
  <c r="C2144" i="1" a="1"/>
  <c r="C2144" i="1" s="1"/>
  <c r="C2145" i="1" a="1"/>
  <c r="C2145" i="1" s="1"/>
  <c r="C2146" i="1" a="1"/>
  <c r="C2146" i="1" s="1"/>
  <c r="C2147" i="1" a="1"/>
  <c r="C2147" i="1" s="1"/>
  <c r="C2148" i="1" a="1"/>
  <c r="C2148" i="1" s="1"/>
  <c r="C2149" i="1" a="1"/>
  <c r="C2149" i="1" s="1"/>
  <c r="C2150" i="1" a="1"/>
  <c r="C2150" i="1" s="1"/>
  <c r="C2151" i="1" a="1"/>
  <c r="C2151" i="1" s="1"/>
  <c r="C2152" i="1" a="1"/>
  <c r="C2152" i="1" s="1"/>
  <c r="C2153" i="1" a="1"/>
  <c r="C2153" i="1" s="1"/>
  <c r="C2154" i="1" a="1"/>
  <c r="C2154" i="1" s="1"/>
  <c r="C2155" i="1" a="1"/>
  <c r="C2155" i="1" s="1"/>
  <c r="C2156" i="1" a="1"/>
  <c r="C2156" i="1" s="1"/>
  <c r="C2157" i="1" a="1"/>
  <c r="C2157" i="1" s="1"/>
  <c r="C2158" i="1" a="1"/>
  <c r="C2158" i="1" s="1"/>
  <c r="C2159" i="1" a="1"/>
  <c r="C2159" i="1" s="1"/>
  <c r="C2160" i="1" a="1"/>
  <c r="C2160" i="1" s="1"/>
  <c r="C2161" i="1" a="1"/>
  <c r="C2161" i="1" s="1"/>
  <c r="C2162" i="1" a="1"/>
  <c r="C2162" i="1" s="1"/>
  <c r="C2163" i="1" a="1"/>
  <c r="C2163" i="1" s="1"/>
  <c r="C2164" i="1" a="1"/>
  <c r="C2164" i="1" s="1"/>
  <c r="C2165" i="1" a="1"/>
  <c r="C2165" i="1" s="1"/>
  <c r="C2166" i="1" a="1"/>
  <c r="C2166" i="1" s="1"/>
  <c r="C2167" i="1" a="1"/>
  <c r="C2167" i="1" s="1"/>
  <c r="C2168" i="1" a="1"/>
  <c r="C2168" i="1" s="1"/>
  <c r="C2169" i="1" a="1"/>
  <c r="C2169" i="1" s="1"/>
  <c r="C2170" i="1" a="1"/>
  <c r="C2170" i="1" s="1"/>
  <c r="C2171" i="1" a="1"/>
  <c r="C2171" i="1" s="1"/>
  <c r="C2172" i="1" a="1"/>
  <c r="C2172" i="1" s="1"/>
  <c r="C2173" i="1" a="1"/>
  <c r="C2173" i="1" s="1"/>
  <c r="C2174" i="1" a="1"/>
  <c r="C2174" i="1" s="1"/>
  <c r="C2175" i="1" a="1"/>
  <c r="C2175" i="1" s="1"/>
  <c r="C2176" i="1" a="1"/>
  <c r="C2176" i="1" s="1"/>
  <c r="C2177" i="1" a="1"/>
  <c r="C2177" i="1" s="1"/>
  <c r="C2178" i="1" a="1"/>
  <c r="C2178" i="1" s="1"/>
  <c r="C2179" i="1" a="1"/>
  <c r="C2179" i="1" s="1"/>
  <c r="C2180" i="1" a="1"/>
  <c r="C2180" i="1" s="1"/>
  <c r="C2181" i="1" a="1"/>
  <c r="C2181" i="1" s="1"/>
  <c r="C2182" i="1" a="1"/>
  <c r="C2182" i="1" s="1"/>
  <c r="C2183" i="1" a="1"/>
  <c r="C2183" i="1" s="1"/>
  <c r="C2184" i="1" a="1"/>
  <c r="C2184" i="1" s="1"/>
  <c r="C2185" i="1" a="1"/>
  <c r="C2185" i="1" s="1"/>
  <c r="C2186" i="1" a="1"/>
  <c r="C2186" i="1" s="1"/>
  <c r="C2187" i="1" a="1"/>
  <c r="C2187" i="1" s="1"/>
  <c r="C2188" i="1" a="1"/>
  <c r="C2188" i="1" s="1"/>
  <c r="C2189" i="1" a="1"/>
  <c r="C2189" i="1" s="1"/>
  <c r="C2190" i="1" a="1"/>
  <c r="C2190" i="1" s="1"/>
  <c r="C2191" i="1" a="1"/>
  <c r="C2191" i="1" s="1"/>
  <c r="C2192" i="1" a="1"/>
  <c r="C2192" i="1" s="1"/>
  <c r="C2193" i="1" a="1"/>
  <c r="C2193" i="1" s="1"/>
  <c r="C2194" i="1" a="1"/>
  <c r="C2194" i="1" s="1"/>
  <c r="C2195" i="1" a="1"/>
  <c r="C2195" i="1" s="1"/>
  <c r="C2196" i="1" a="1"/>
  <c r="C2196" i="1" s="1"/>
  <c r="C2197" i="1" a="1"/>
  <c r="C2197" i="1" s="1"/>
  <c r="C2198" i="1" a="1"/>
  <c r="C2198" i="1" s="1"/>
  <c r="C2199" i="1" a="1"/>
  <c r="C2199" i="1" s="1"/>
  <c r="C2200" i="1" a="1"/>
  <c r="C2200" i="1" s="1"/>
  <c r="C2201" i="1" a="1"/>
  <c r="C2201" i="1" s="1"/>
  <c r="C2202" i="1" a="1"/>
  <c r="C2202" i="1" s="1"/>
  <c r="C2203" i="1" a="1"/>
  <c r="C2203" i="1" s="1"/>
  <c r="C2204" i="1" a="1"/>
  <c r="C2204" i="1" s="1"/>
  <c r="C2205" i="1" a="1"/>
  <c r="C2205" i="1" s="1"/>
  <c r="C2206" i="1" a="1"/>
  <c r="C2206" i="1" s="1"/>
  <c r="C2207" i="1" a="1"/>
  <c r="C2207" i="1" s="1"/>
  <c r="C2208" i="1" a="1"/>
  <c r="C2208" i="1" s="1"/>
  <c r="C2209" i="1" a="1"/>
  <c r="C2209" i="1" s="1"/>
  <c r="C2210" i="1" a="1"/>
  <c r="C2210" i="1" s="1"/>
  <c r="C2211" i="1" a="1"/>
  <c r="C2211" i="1" s="1"/>
  <c r="C2212" i="1" a="1"/>
  <c r="C2212" i="1" s="1"/>
  <c r="C2213" i="1" a="1"/>
  <c r="C2213" i="1" s="1"/>
  <c r="C2214" i="1" a="1"/>
  <c r="C2214" i="1" s="1"/>
  <c r="C2215" i="1" a="1"/>
  <c r="C2215" i="1" s="1"/>
  <c r="C2216" i="1" a="1"/>
  <c r="C2216" i="1" s="1"/>
  <c r="C2217" i="1" a="1"/>
  <c r="C2217" i="1" s="1"/>
  <c r="C2218" i="1" a="1"/>
  <c r="C2218" i="1" s="1"/>
  <c r="C2219" i="1" a="1"/>
  <c r="C2219" i="1" s="1"/>
  <c r="C2220" i="1" a="1"/>
  <c r="C2220" i="1" s="1"/>
  <c r="C2221" i="1" a="1"/>
  <c r="C2221" i="1" s="1"/>
  <c r="C2222" i="1" a="1"/>
  <c r="C2222" i="1" s="1"/>
  <c r="C2223" i="1" a="1"/>
  <c r="C2223" i="1" s="1"/>
  <c r="C2224" i="1" a="1"/>
  <c r="C2224" i="1" s="1"/>
  <c r="C2225" i="1" a="1"/>
  <c r="C2225" i="1" s="1"/>
  <c r="C2226" i="1" a="1"/>
  <c r="C2226" i="1" s="1"/>
  <c r="C2227" i="1" a="1"/>
  <c r="C2227" i="1" s="1"/>
  <c r="C2228" i="1" a="1"/>
  <c r="C2228" i="1" s="1"/>
  <c r="C2229" i="1" a="1"/>
  <c r="C2229" i="1" s="1"/>
  <c r="C2230" i="1" a="1"/>
  <c r="C2230" i="1" s="1"/>
  <c r="C2231" i="1" a="1"/>
  <c r="C2231" i="1" s="1"/>
  <c r="C2232" i="1" a="1"/>
  <c r="C2232" i="1" s="1"/>
  <c r="C2233" i="1" a="1"/>
  <c r="C2233" i="1" s="1"/>
  <c r="C2234" i="1" a="1"/>
  <c r="C2234" i="1" s="1"/>
  <c r="C2235" i="1" a="1"/>
  <c r="C2235" i="1" s="1"/>
  <c r="C2236" i="1" a="1"/>
  <c r="C2236" i="1" s="1"/>
  <c r="C2237" i="1" a="1"/>
  <c r="C2237" i="1" s="1"/>
  <c r="C2238" i="1" a="1"/>
  <c r="C2238" i="1" s="1"/>
  <c r="C2239" i="1" a="1"/>
  <c r="C2239" i="1" s="1"/>
  <c r="C2240" i="1" a="1"/>
  <c r="C2240" i="1" s="1"/>
  <c r="C2241" i="1" a="1"/>
  <c r="C2241" i="1" s="1"/>
  <c r="C2242" i="1" a="1"/>
  <c r="C2242" i="1" s="1"/>
  <c r="C2243" i="1" a="1"/>
  <c r="C2243" i="1" s="1"/>
  <c r="C2244" i="1" a="1"/>
  <c r="C2244" i="1" s="1"/>
  <c r="C2245" i="1" a="1"/>
  <c r="C2245" i="1" s="1"/>
  <c r="C2246" i="1" a="1"/>
  <c r="C2246" i="1" s="1"/>
  <c r="C2247" i="1" a="1"/>
  <c r="C2247" i="1" s="1"/>
  <c r="C2248" i="1" a="1"/>
  <c r="C2248" i="1" s="1"/>
  <c r="C2249" i="1" a="1"/>
  <c r="C2249" i="1" s="1"/>
  <c r="C2250" i="1" a="1"/>
  <c r="C2250" i="1" s="1"/>
  <c r="C2251" i="1" a="1"/>
  <c r="C2251" i="1" s="1"/>
  <c r="C2252" i="1" a="1"/>
  <c r="C2252" i="1" s="1"/>
  <c r="C2253" i="1" a="1"/>
  <c r="C2253" i="1" s="1"/>
  <c r="C2254" i="1" a="1"/>
  <c r="C2254" i="1" s="1"/>
  <c r="C2255" i="1" a="1"/>
  <c r="C2255" i="1" s="1"/>
  <c r="C2256" i="1" a="1"/>
  <c r="C2256" i="1" s="1"/>
  <c r="C2257" i="1" a="1"/>
  <c r="C2257" i="1" s="1"/>
  <c r="C2258" i="1" a="1"/>
  <c r="C2258" i="1" s="1"/>
  <c r="C2259" i="1" a="1"/>
  <c r="C2259" i="1" s="1"/>
  <c r="C2260" i="1" a="1"/>
  <c r="C2260" i="1" s="1"/>
  <c r="C2261" i="1" a="1"/>
  <c r="C2261" i="1" s="1"/>
  <c r="C2262" i="1" a="1"/>
  <c r="C2262" i="1" s="1"/>
  <c r="C2263" i="1" a="1"/>
  <c r="C2263" i="1" s="1"/>
  <c r="C2264" i="1" a="1"/>
  <c r="C2264" i="1" s="1"/>
  <c r="C2265" i="1" a="1"/>
  <c r="C2265" i="1" s="1"/>
  <c r="C2266" i="1" a="1"/>
  <c r="C2266" i="1" s="1"/>
  <c r="C2267" i="1" a="1"/>
  <c r="C2267" i="1" s="1"/>
  <c r="C2268" i="1" a="1"/>
  <c r="C2268" i="1" s="1"/>
  <c r="C2269" i="1" a="1"/>
  <c r="C2269" i="1" s="1"/>
  <c r="C2270" i="1" a="1"/>
  <c r="C2270" i="1" s="1"/>
  <c r="C2271" i="1" a="1"/>
  <c r="C2271" i="1" s="1"/>
  <c r="C2272" i="1" a="1"/>
  <c r="C2272" i="1" s="1"/>
  <c r="C2273" i="1" a="1"/>
  <c r="C2273" i="1" s="1"/>
  <c r="C2274" i="1" a="1"/>
  <c r="C2274" i="1" s="1"/>
  <c r="C2275" i="1" a="1"/>
  <c r="C2275" i="1" s="1"/>
  <c r="C2276" i="1" a="1"/>
  <c r="C2276" i="1" s="1"/>
  <c r="C2277" i="1" a="1"/>
  <c r="C2277" i="1" s="1"/>
  <c r="C2278" i="1" a="1"/>
  <c r="C2278" i="1" s="1"/>
  <c r="C2279" i="1" a="1"/>
  <c r="C2279" i="1" s="1"/>
  <c r="C2280" i="1" a="1"/>
  <c r="C2280" i="1" s="1"/>
  <c r="C2281" i="1" a="1"/>
  <c r="C2281" i="1" s="1"/>
  <c r="C2282" i="1" a="1"/>
  <c r="C2282" i="1" s="1"/>
  <c r="C2283" i="1" a="1"/>
  <c r="C2283" i="1" s="1"/>
  <c r="C2284" i="1" a="1"/>
  <c r="C2284" i="1" s="1"/>
  <c r="C2285" i="1" a="1"/>
  <c r="C2285" i="1" s="1"/>
  <c r="C2286" i="1" a="1"/>
  <c r="C2286" i="1" s="1"/>
  <c r="C2287" i="1" a="1"/>
  <c r="C2287" i="1" s="1"/>
  <c r="C2288" i="1" a="1"/>
  <c r="C2288" i="1" s="1"/>
  <c r="C2289" i="1" a="1"/>
  <c r="C2289" i="1" s="1"/>
  <c r="C2290" i="1" a="1"/>
  <c r="C2290" i="1" s="1"/>
  <c r="C2291" i="1" a="1"/>
  <c r="C2291" i="1" s="1"/>
  <c r="C2292" i="1" a="1"/>
  <c r="C2292" i="1" s="1"/>
  <c r="C2293" i="1" a="1"/>
  <c r="C2293" i="1" s="1"/>
  <c r="C2294" i="1" a="1"/>
  <c r="C2294" i="1" s="1"/>
  <c r="C2295" i="1" a="1"/>
  <c r="C2295" i="1" s="1"/>
  <c r="C2296" i="1" a="1"/>
  <c r="C2296" i="1" s="1"/>
  <c r="C2297" i="1" a="1"/>
  <c r="C2297" i="1" s="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s="1"/>
  <c r="C2309" i="1" a="1"/>
  <c r="C2309" i="1" s="1"/>
  <c r="C2310" i="1" a="1"/>
  <c r="C2310" i="1" s="1"/>
  <c r="C2311" i="1" a="1"/>
  <c r="C2311" i="1" s="1"/>
  <c r="C2312" i="1" a="1"/>
  <c r="C2312" i="1" s="1"/>
  <c r="C2313" i="1" a="1"/>
  <c r="C2313" i="1" s="1"/>
  <c r="C2314" i="1" a="1"/>
  <c r="C2314" i="1" s="1"/>
  <c r="C2315" i="1" a="1"/>
  <c r="C2315" i="1" s="1"/>
  <c r="C2316" i="1" a="1"/>
  <c r="C2316" i="1" s="1"/>
  <c r="C2317" i="1" a="1"/>
  <c r="C2317" i="1" s="1"/>
  <c r="C2318" i="1" a="1"/>
  <c r="C2318" i="1" s="1"/>
  <c r="C2319" i="1" a="1"/>
  <c r="C2319" i="1" s="1"/>
  <c r="C2320" i="1" a="1"/>
  <c r="C2320" i="1" s="1"/>
  <c r="C2321" i="1" a="1"/>
  <c r="C2321" i="1" s="1"/>
  <c r="C2322" i="1" a="1"/>
  <c r="C2322" i="1" s="1"/>
  <c r="C2323" i="1" a="1"/>
  <c r="C2323" i="1" s="1"/>
  <c r="C2324" i="1" a="1"/>
  <c r="C2324" i="1" s="1"/>
  <c r="C2325" i="1" a="1"/>
  <c r="C2325" i="1" s="1"/>
  <c r="C2326" i="1" a="1"/>
  <c r="C2326" i="1" s="1"/>
  <c r="C2327" i="1" a="1"/>
  <c r="C2327" i="1" s="1"/>
  <c r="C2328" i="1" a="1"/>
  <c r="C2328" i="1" s="1"/>
  <c r="C2329" i="1" a="1"/>
  <c r="C2329" i="1" s="1"/>
  <c r="C2330" i="1" a="1"/>
  <c r="C2330" i="1" s="1"/>
  <c r="C2331" i="1" a="1"/>
  <c r="C2331" i="1" s="1"/>
  <c r="C2332" i="1" a="1"/>
  <c r="C2332" i="1" s="1"/>
  <c r="C2333" i="1" a="1"/>
  <c r="C2333" i="1" s="1"/>
  <c r="C2334" i="1" a="1"/>
  <c r="C2334" i="1" s="1"/>
  <c r="C2335" i="1" a="1"/>
  <c r="C2335" i="1" s="1"/>
  <c r="C2336" i="1" a="1"/>
  <c r="C2336" i="1" s="1"/>
  <c r="C2337" i="1" a="1"/>
  <c r="C2337" i="1" s="1"/>
  <c r="C2338" i="1" a="1"/>
  <c r="C2338" i="1" s="1"/>
  <c r="C2339" i="1" a="1"/>
  <c r="C2339" i="1" s="1"/>
  <c r="C2340" i="1" a="1"/>
  <c r="C2340" i="1" s="1"/>
  <c r="C2341" i="1" a="1"/>
  <c r="C2341" i="1" s="1"/>
  <c r="C2342" i="1" a="1"/>
  <c r="C2342" i="1" s="1"/>
  <c r="C2343" i="1" a="1"/>
  <c r="C2343" i="1" s="1"/>
  <c r="C2344" i="1" a="1"/>
  <c r="C2344" i="1" s="1"/>
  <c r="C2345" i="1" a="1"/>
  <c r="C2345" i="1" s="1"/>
  <c r="C2346" i="1" a="1"/>
  <c r="C2346" i="1" s="1"/>
  <c r="C2347" i="1" a="1"/>
  <c r="C2347" i="1" s="1"/>
  <c r="C2348" i="1" a="1"/>
  <c r="C2348" i="1" s="1"/>
  <c r="C2349" i="1" a="1"/>
  <c r="C2349" i="1" s="1"/>
  <c r="C2350" i="1" a="1"/>
  <c r="C2350" i="1" s="1"/>
  <c r="C2351" i="1" a="1"/>
  <c r="C2351" i="1" s="1"/>
  <c r="C2352" i="1" a="1"/>
  <c r="C2352" i="1" s="1"/>
  <c r="C2353" i="1" a="1"/>
  <c r="C2353" i="1" s="1"/>
  <c r="C2354" i="1" a="1"/>
  <c r="C2354" i="1" s="1"/>
  <c r="C2355" i="1" a="1"/>
  <c r="C2355" i="1" s="1"/>
  <c r="C2356" i="1" a="1"/>
  <c r="C2356" i="1" s="1"/>
  <c r="C2357" i="1" a="1"/>
  <c r="C2357" i="1" s="1"/>
  <c r="C2358" i="1" a="1"/>
  <c r="C2358" i="1" s="1"/>
  <c r="C2359" i="1" a="1"/>
  <c r="C2359" i="1" s="1"/>
  <c r="C2360" i="1" a="1"/>
  <c r="C2360" i="1" s="1"/>
  <c r="C2361" i="1" a="1"/>
  <c r="C2361" i="1" s="1"/>
  <c r="C2362" i="1" a="1"/>
  <c r="C2362" i="1" s="1"/>
  <c r="C2363" i="1" a="1"/>
  <c r="C2363" i="1" s="1"/>
  <c r="C2364" i="1" a="1"/>
  <c r="C2364" i="1" s="1"/>
  <c r="C2365" i="1" a="1"/>
  <c r="C2365" i="1" s="1"/>
  <c r="C2366" i="1" a="1"/>
  <c r="C2366" i="1" s="1"/>
  <c r="C2367" i="1" a="1"/>
  <c r="C2367" i="1" s="1"/>
  <c r="C2368" i="1" a="1"/>
  <c r="C2368" i="1" s="1"/>
  <c r="C2369" i="1" a="1"/>
  <c r="C2369" i="1" s="1"/>
  <c r="C2370" i="1" a="1"/>
  <c r="C2370" i="1" s="1"/>
  <c r="C2371" i="1" a="1"/>
  <c r="C2371" i="1" s="1"/>
  <c r="C2372" i="1" a="1"/>
  <c r="C2372" i="1" s="1"/>
  <c r="C2373" i="1" a="1"/>
  <c r="C2373" i="1" s="1"/>
  <c r="C2374" i="1" a="1"/>
  <c r="C2374" i="1" s="1"/>
  <c r="C2375" i="1" a="1"/>
  <c r="C2375" i="1" s="1"/>
  <c r="C2376" i="1" a="1"/>
  <c r="C2376" i="1" s="1"/>
  <c r="C2377" i="1" a="1"/>
  <c r="C2377" i="1" s="1"/>
  <c r="C2378" i="1" a="1"/>
  <c r="C2378" i="1" s="1"/>
  <c r="C2379" i="1" a="1"/>
  <c r="C2379" i="1" s="1"/>
  <c r="C2380" i="1" a="1"/>
  <c r="C2380" i="1" s="1"/>
  <c r="C2381" i="1" a="1"/>
  <c r="C2381" i="1" s="1"/>
  <c r="C2382" i="1" a="1"/>
  <c r="C2382" i="1" s="1"/>
  <c r="C2383" i="1" a="1"/>
  <c r="C2383" i="1" s="1"/>
  <c r="C2384" i="1" a="1"/>
  <c r="C2384" i="1" s="1"/>
  <c r="C2385" i="1" a="1"/>
  <c r="C2385" i="1" s="1"/>
  <c r="C2386" i="1" a="1"/>
  <c r="C2386" i="1" s="1"/>
  <c r="C2387" i="1" a="1"/>
  <c r="C2387" i="1" s="1"/>
  <c r="C2388" i="1" a="1"/>
  <c r="C2388" i="1" s="1"/>
  <c r="C2389" i="1" a="1"/>
  <c r="C2389" i="1" s="1"/>
  <c r="C2390" i="1" a="1"/>
  <c r="C2390" i="1" s="1"/>
  <c r="C2391" i="1" a="1"/>
  <c r="C2391" i="1" s="1"/>
  <c r="C2392" i="1" a="1"/>
  <c r="C2392" i="1" s="1"/>
  <c r="C2393" i="1" a="1"/>
  <c r="C2393" i="1" s="1"/>
  <c r="C2394" i="1" a="1"/>
  <c r="C2394" i="1" s="1"/>
  <c r="C2395" i="1" a="1"/>
  <c r="C2395" i="1" s="1"/>
  <c r="C2396" i="1" a="1"/>
  <c r="C2396" i="1" s="1"/>
  <c r="C2397" i="1" a="1"/>
  <c r="C2397" i="1" s="1"/>
  <c r="C2398" i="1" a="1"/>
  <c r="C2398" i="1" s="1"/>
  <c r="C2399" i="1" a="1"/>
  <c r="C2399" i="1" s="1"/>
  <c r="C2400" i="1" a="1"/>
  <c r="C2400" i="1" s="1"/>
  <c r="C2401" i="1" a="1"/>
  <c r="C2401" i="1" s="1"/>
  <c r="C2402" i="1" a="1"/>
  <c r="C2402" i="1" s="1"/>
  <c r="C2403" i="1" a="1"/>
  <c r="C2403" i="1" s="1"/>
  <c r="C2404" i="1" a="1"/>
  <c r="C2404" i="1" s="1"/>
  <c r="C2405" i="1" a="1"/>
  <c r="C2405" i="1" s="1"/>
  <c r="C2406" i="1" a="1"/>
  <c r="C2406" i="1" s="1"/>
  <c r="C2407" i="1" a="1"/>
  <c r="C2407" i="1" s="1"/>
  <c r="C2408" i="1" a="1"/>
  <c r="C2408" i="1" s="1"/>
  <c r="C2409" i="1" a="1"/>
  <c r="C2409" i="1" s="1"/>
  <c r="C2410" i="1" a="1"/>
  <c r="C2410" i="1" s="1"/>
  <c r="C2411" i="1" a="1"/>
  <c r="C2411" i="1" s="1"/>
  <c r="C2412" i="1" a="1"/>
  <c r="C2412" i="1" s="1"/>
  <c r="C2413" i="1" a="1"/>
  <c r="C2413" i="1" s="1"/>
  <c r="C2414" i="1" a="1"/>
  <c r="C2414" i="1" s="1"/>
  <c r="C2415" i="1" a="1"/>
  <c r="C2415" i="1" s="1"/>
  <c r="C2416" i="1" a="1"/>
  <c r="C2416" i="1" s="1"/>
  <c r="C2417" i="1" a="1"/>
  <c r="C2417" i="1" s="1"/>
  <c r="C2418" i="1" a="1"/>
  <c r="C2418" i="1" s="1"/>
  <c r="C2419" i="1" a="1"/>
  <c r="C2419" i="1" s="1"/>
  <c r="C2420" i="1" a="1"/>
  <c r="C2420" i="1" s="1"/>
  <c r="C2421" i="1" a="1"/>
  <c r="C2421" i="1" s="1"/>
  <c r="C2422" i="1" a="1"/>
  <c r="C2422" i="1" s="1"/>
  <c r="C2423" i="1" a="1"/>
  <c r="C2423" i="1" s="1"/>
  <c r="C2424" i="1" a="1"/>
  <c r="C2424" i="1" s="1"/>
  <c r="C2425" i="1" a="1"/>
  <c r="C2425" i="1" s="1"/>
  <c r="C2426" i="1" a="1"/>
  <c r="C2426" i="1" s="1"/>
  <c r="C2427" i="1" a="1"/>
  <c r="C2427" i="1" s="1"/>
  <c r="C2428" i="1" a="1"/>
  <c r="C2428" i="1" s="1"/>
  <c r="C2429" i="1" a="1"/>
  <c r="C2429" i="1" s="1"/>
  <c r="C2430" i="1" a="1"/>
  <c r="C2430" i="1"/>
  <c r="C2431" i="1" a="1"/>
  <c r="C2431" i="1" s="1"/>
  <c r="C2432" i="1" a="1"/>
  <c r="C2432" i="1" s="1"/>
  <c r="C2433" i="1" a="1"/>
  <c r="C2433" i="1" s="1"/>
  <c r="C2434" i="1" a="1"/>
  <c r="C2434" i="1" s="1"/>
  <c r="C2435" i="1" a="1"/>
  <c r="C2435" i="1" s="1"/>
  <c r="C2436" i="1" a="1"/>
  <c r="C2436" i="1" s="1"/>
  <c r="C2437" i="1" a="1"/>
  <c r="C2437" i="1" s="1"/>
  <c r="C2438" i="1" a="1"/>
  <c r="C2438" i="1" s="1"/>
  <c r="C2439" i="1" a="1"/>
  <c r="C2439" i="1" s="1"/>
  <c r="C2440" i="1" a="1"/>
  <c r="C2440" i="1" s="1"/>
  <c r="C2441" i="1" a="1"/>
  <c r="C2441" i="1" s="1"/>
  <c r="C2442" i="1" a="1"/>
  <c r="C2442" i="1" s="1"/>
  <c r="C2443" i="1" a="1"/>
  <c r="C2443" i="1" s="1"/>
  <c r="C2444" i="1" a="1"/>
  <c r="C2444" i="1" s="1"/>
  <c r="C2445" i="1" a="1"/>
  <c r="C2445" i="1" s="1"/>
  <c r="C2446" i="1" a="1"/>
  <c r="C2446" i="1" s="1"/>
  <c r="C2447" i="1" a="1"/>
  <c r="C2447" i="1" s="1"/>
  <c r="C2448" i="1" a="1"/>
  <c r="C2448" i="1" s="1"/>
  <c r="C2449" i="1" a="1"/>
  <c r="C2449" i="1" s="1"/>
  <c r="C2450" i="1" a="1"/>
  <c r="C2450" i="1" s="1"/>
  <c r="C2451" i="1" a="1"/>
  <c r="C2451" i="1" s="1"/>
  <c r="C2452" i="1" a="1"/>
  <c r="C2452" i="1" s="1"/>
  <c r="C2453" i="1" a="1"/>
  <c r="C2453" i="1" s="1"/>
  <c r="C2454" i="1" a="1"/>
  <c r="C2454" i="1" s="1"/>
  <c r="C2455" i="1" a="1"/>
  <c r="C2455" i="1" s="1"/>
  <c r="C2456" i="1" a="1"/>
  <c r="C2456" i="1" s="1"/>
  <c r="C2457" i="1" a="1"/>
  <c r="C2457" i="1" s="1"/>
  <c r="C2458" i="1" a="1"/>
  <c r="C2458" i="1" s="1"/>
  <c r="C2459" i="1" a="1"/>
  <c r="C2459" i="1" s="1"/>
  <c r="C2460" i="1" a="1"/>
  <c r="C2460" i="1" s="1"/>
  <c r="C2461" i="1" a="1"/>
  <c r="C2461" i="1" s="1"/>
  <c r="C2462" i="1" a="1"/>
  <c r="C2462" i="1" s="1"/>
  <c r="C2463" i="1" a="1"/>
  <c r="C2463" i="1" s="1"/>
  <c r="C2464" i="1" a="1"/>
  <c r="C2464" i="1" s="1"/>
  <c r="C2465" i="1" a="1"/>
  <c r="C2465" i="1" s="1"/>
  <c r="C2466" i="1" a="1"/>
  <c r="C2466" i="1" s="1"/>
  <c r="C2467" i="1" a="1"/>
  <c r="C2467" i="1" s="1"/>
  <c r="C2468" i="1" a="1"/>
  <c r="C2468" i="1" s="1"/>
  <c r="C2469" i="1" a="1"/>
  <c r="C2469" i="1" s="1"/>
  <c r="C2470" i="1" a="1"/>
  <c r="C2470" i="1" s="1"/>
  <c r="C2471" i="1" a="1"/>
  <c r="C2471" i="1" s="1"/>
  <c r="C2472" i="1" a="1"/>
  <c r="C2472" i="1" s="1"/>
  <c r="C2473" i="1" a="1"/>
  <c r="C2473" i="1" s="1"/>
  <c r="C2474" i="1" a="1"/>
  <c r="C2474" i="1" s="1"/>
  <c r="C2475" i="1" a="1"/>
  <c r="C2475" i="1" s="1"/>
  <c r="C2476" i="1" a="1"/>
  <c r="C2476" i="1" s="1"/>
  <c r="C2477" i="1" a="1"/>
  <c r="C2477" i="1" s="1"/>
  <c r="C2478" i="1" a="1"/>
  <c r="C2478" i="1" s="1"/>
  <c r="C2479" i="1" a="1"/>
  <c r="C2479" i="1" s="1"/>
  <c r="C2480" i="1" a="1"/>
  <c r="C2480" i="1" s="1"/>
  <c r="C2481" i="1" a="1"/>
  <c r="C2481" i="1" s="1"/>
  <c r="C2482" i="1" a="1"/>
  <c r="C2482" i="1" s="1"/>
  <c r="C2483" i="1" a="1"/>
  <c r="C2483" i="1" s="1"/>
  <c r="C2484" i="1" a="1"/>
  <c r="C2484" i="1" s="1"/>
  <c r="C2485" i="1" a="1"/>
  <c r="C2485" i="1" s="1"/>
  <c r="C2486" i="1" a="1"/>
  <c r="C2486" i="1" s="1"/>
  <c r="C2487" i="1" a="1"/>
  <c r="C2487" i="1" s="1"/>
  <c r="C2488" i="1" a="1"/>
  <c r="C2488" i="1" s="1"/>
  <c r="C2489" i="1" a="1"/>
  <c r="C2489" i="1" s="1"/>
  <c r="C2490" i="1" a="1"/>
  <c r="C2490" i="1" s="1"/>
  <c r="C2491" i="1" a="1"/>
  <c r="C2491" i="1" s="1"/>
  <c r="C2492" i="1" a="1"/>
  <c r="C2492" i="1" s="1"/>
  <c r="C2493" i="1" a="1"/>
  <c r="C2493" i="1" s="1"/>
  <c r="C2494" i="1" a="1"/>
  <c r="C2494" i="1" s="1"/>
  <c r="C2495" i="1" a="1"/>
  <c r="C2495" i="1" s="1"/>
  <c r="C2496" i="1" a="1"/>
  <c r="C2496" i="1" s="1"/>
  <c r="C2497" i="1" a="1"/>
  <c r="C2497" i="1" s="1"/>
  <c r="C2498" i="1" a="1"/>
  <c r="C2498" i="1" s="1"/>
  <c r="C2499" i="1" a="1"/>
  <c r="C2499" i="1" s="1"/>
  <c r="C2500" i="1" a="1"/>
  <c r="C2500" i="1" s="1"/>
  <c r="C2501" i="1" a="1"/>
  <c r="C2501" i="1" s="1"/>
  <c r="C2502" i="1" a="1"/>
  <c r="C2502" i="1" s="1"/>
  <c r="C2503" i="1" a="1"/>
  <c r="C2503" i="1" s="1"/>
  <c r="C2504" i="1" a="1"/>
  <c r="C2504" i="1" s="1"/>
  <c r="C2505" i="1" a="1"/>
  <c r="C2505" i="1" s="1"/>
  <c r="C2506" i="1" a="1"/>
  <c r="C2506" i="1" s="1"/>
  <c r="C2507" i="1" a="1"/>
  <c r="C2507" i="1" s="1"/>
  <c r="C2508" i="1" a="1"/>
  <c r="C2508" i="1" s="1"/>
  <c r="C2509" i="1" a="1"/>
  <c r="C2509" i="1" s="1"/>
  <c r="C2510" i="1" a="1"/>
  <c r="C2510" i="1" s="1"/>
  <c r="C2511" i="1" a="1"/>
  <c r="C2511" i="1" s="1"/>
  <c r="C2512" i="1" a="1"/>
  <c r="C2512" i="1" s="1"/>
  <c r="C2513" i="1" a="1"/>
  <c r="C2513" i="1" s="1"/>
  <c r="C2514" i="1" a="1"/>
  <c r="C2514" i="1" s="1"/>
  <c r="C2515" i="1" a="1"/>
  <c r="C2515" i="1" s="1"/>
  <c r="C2516" i="1" a="1"/>
  <c r="C2516" i="1" s="1"/>
  <c r="C2517" i="1" a="1"/>
  <c r="C2517" i="1"/>
  <c r="C2518" i="1" a="1"/>
  <c r="C2518" i="1" s="1"/>
  <c r="C2519" i="1" a="1"/>
  <c r="C2519" i="1" s="1"/>
  <c r="C2520" i="1" a="1"/>
  <c r="C2520" i="1" s="1"/>
  <c r="C2521" i="1" a="1"/>
  <c r="C2521" i="1" s="1"/>
  <c r="C2522" i="1" a="1"/>
  <c r="C2522" i="1" s="1"/>
  <c r="C2523" i="1" a="1"/>
  <c r="C2523" i="1" s="1"/>
  <c r="C2524" i="1" a="1"/>
  <c r="C2524" i="1" s="1"/>
  <c r="C2525" i="1" a="1"/>
  <c r="C2525" i="1" s="1"/>
  <c r="C2526" i="1" a="1"/>
  <c r="C2526" i="1" s="1"/>
  <c r="C2527" i="1" a="1"/>
  <c r="C2527" i="1" s="1"/>
  <c r="C2528" i="1" a="1"/>
  <c r="C2528" i="1" s="1"/>
  <c r="C2529" i="1" a="1"/>
  <c r="C2529" i="1" s="1"/>
  <c r="C2530" i="1" a="1"/>
  <c r="C2530" i="1" s="1"/>
  <c r="C2531" i="1" a="1"/>
  <c r="C2531" i="1" s="1"/>
  <c r="C2532" i="1" a="1"/>
  <c r="C2532" i="1" s="1"/>
  <c r="C2533" i="1" a="1"/>
  <c r="C2533" i="1" s="1"/>
  <c r="C2534" i="1" a="1"/>
  <c r="C2534" i="1" s="1"/>
  <c r="C2535" i="1" a="1"/>
  <c r="C2535" i="1" s="1"/>
  <c r="C2536" i="1" a="1"/>
  <c r="C2536" i="1" s="1"/>
  <c r="C2537" i="1" a="1"/>
  <c r="C2537" i="1" s="1"/>
  <c r="C2538" i="1" a="1"/>
  <c r="C2538" i="1" s="1"/>
  <c r="C2539" i="1" a="1"/>
  <c r="C2539" i="1" s="1"/>
  <c r="C2540" i="1" a="1"/>
  <c r="C2540" i="1" s="1"/>
  <c r="C2541" i="1" a="1"/>
  <c r="C2541" i="1" s="1"/>
  <c r="C2542" i="1" a="1"/>
  <c r="C2542" i="1" s="1"/>
  <c r="C2543" i="1" a="1"/>
  <c r="C2543" i="1" s="1"/>
  <c r="C2544" i="1" a="1"/>
  <c r="C2544" i="1" s="1"/>
  <c r="C2545" i="1" a="1"/>
  <c r="C2545" i="1" s="1"/>
  <c r="C2546" i="1" a="1"/>
  <c r="C2546" i="1" s="1"/>
  <c r="C2547" i="1" a="1"/>
  <c r="C2547" i="1" s="1"/>
  <c r="C2548" i="1" a="1"/>
  <c r="C2548" i="1" s="1"/>
  <c r="C2549" i="1" a="1"/>
  <c r="C2549" i="1" s="1"/>
  <c r="C2550" i="1" a="1"/>
  <c r="C2550" i="1" s="1"/>
  <c r="C2551" i="1" a="1"/>
  <c r="C2551" i="1" s="1"/>
  <c r="C2552" i="1" a="1"/>
  <c r="C2552" i="1" s="1"/>
  <c r="C2553" i="1" a="1"/>
  <c r="C2553" i="1" s="1"/>
  <c r="C2554" i="1" a="1"/>
  <c r="C2554" i="1" s="1"/>
  <c r="C2555" i="1" a="1"/>
  <c r="C2555" i="1" s="1"/>
  <c r="C2556" i="1" a="1"/>
  <c r="C2556" i="1" s="1"/>
  <c r="C2557" i="1" a="1"/>
  <c r="C2557" i="1" s="1"/>
  <c r="C2558" i="1" a="1"/>
  <c r="C2558" i="1" s="1"/>
  <c r="C2559" i="1" a="1"/>
  <c r="C2559" i="1" s="1"/>
  <c r="C2560" i="1" a="1"/>
  <c r="C2560" i="1" s="1"/>
  <c r="C2561" i="1" a="1"/>
  <c r="C2561" i="1" s="1"/>
  <c r="C2562" i="1" a="1"/>
  <c r="C2562" i="1" s="1"/>
  <c r="C2563" i="1" a="1"/>
  <c r="C2563" i="1" s="1"/>
  <c r="C2564" i="1" a="1"/>
  <c r="C2564" i="1" s="1"/>
  <c r="C2565" i="1" a="1"/>
  <c r="C2565" i="1" s="1"/>
  <c r="C2566" i="1" a="1"/>
  <c r="C2566" i="1" s="1"/>
  <c r="C2567" i="1" a="1"/>
  <c r="C2567" i="1" s="1"/>
  <c r="C2568" i="1" a="1"/>
  <c r="C2568" i="1" s="1"/>
  <c r="C2569" i="1" a="1"/>
  <c r="C2569" i="1" s="1"/>
  <c r="C2570" i="1" a="1"/>
  <c r="C2570" i="1" s="1"/>
  <c r="C2571" i="1" a="1"/>
  <c r="C2571" i="1" s="1"/>
  <c r="C2572" i="1" a="1"/>
  <c r="C2572" i="1" s="1"/>
  <c r="C2573" i="1" a="1"/>
  <c r="C2573" i="1" s="1"/>
  <c r="C2574" i="1" a="1"/>
  <c r="C2574" i="1" s="1"/>
  <c r="C2575" i="1" a="1"/>
  <c r="C2575" i="1" s="1"/>
  <c r="C2576" i="1" a="1"/>
  <c r="C2576" i="1" s="1"/>
  <c r="C2577" i="1" a="1"/>
  <c r="C2577" i="1" s="1"/>
  <c r="C2578" i="1" a="1"/>
  <c r="C2578" i="1" s="1"/>
  <c r="C2579" i="1" a="1"/>
  <c r="C2579" i="1" s="1"/>
  <c r="C2580" i="1" a="1"/>
  <c r="C2580" i="1" s="1"/>
  <c r="C2581" i="1" a="1"/>
  <c r="C2581" i="1" s="1"/>
  <c r="C2582" i="1" a="1"/>
  <c r="C2582" i="1" s="1"/>
  <c r="C2583" i="1" a="1"/>
  <c r="C2583" i="1" s="1"/>
  <c r="C2584" i="1" a="1"/>
  <c r="C2584" i="1" s="1"/>
  <c r="C2585" i="1" a="1"/>
  <c r="C2585" i="1" s="1"/>
  <c r="C2586" i="1" a="1"/>
  <c r="C2586" i="1" s="1"/>
  <c r="C2587" i="1" a="1"/>
  <c r="C2587" i="1" s="1"/>
  <c r="C2588" i="1" a="1"/>
  <c r="C2588" i="1" s="1"/>
  <c r="C2589" i="1" a="1"/>
  <c r="C2589" i="1" s="1"/>
  <c r="C2590" i="1" a="1"/>
  <c r="C2590" i="1" s="1"/>
  <c r="C2591" i="1" a="1"/>
  <c r="C2591" i="1" s="1"/>
  <c r="C2592" i="1" a="1"/>
  <c r="C2592" i="1" s="1"/>
  <c r="C2593" i="1" a="1"/>
  <c r="C2593" i="1" s="1"/>
  <c r="C2594" i="1" a="1"/>
  <c r="C2594" i="1" s="1"/>
  <c r="C2595" i="1" a="1"/>
  <c r="C2595" i="1" s="1"/>
  <c r="C2596" i="1" a="1"/>
  <c r="C2596" i="1" s="1"/>
  <c r="C2597" i="1" a="1"/>
  <c r="C2597" i="1" s="1"/>
  <c r="C2598" i="1" a="1"/>
  <c r="C2598" i="1" s="1"/>
  <c r="C2599" i="1" a="1"/>
  <c r="C2599" i="1" s="1"/>
  <c r="C2600" i="1" a="1"/>
  <c r="C2600" i="1" s="1"/>
  <c r="C2601" i="1" a="1"/>
  <c r="C2601" i="1" s="1"/>
  <c r="C2602" i="1" a="1"/>
  <c r="C2602" i="1" s="1"/>
  <c r="C2603" i="1" a="1"/>
  <c r="C2603" i="1" s="1"/>
  <c r="C2604" i="1" a="1"/>
  <c r="C2604" i="1" s="1"/>
  <c r="C2605" i="1" a="1"/>
  <c r="C2605" i="1" s="1"/>
  <c r="C2606" i="1" a="1"/>
  <c r="C2606" i="1" s="1"/>
  <c r="C2607" i="1" a="1"/>
  <c r="C2607" i="1" s="1"/>
  <c r="C2608" i="1" a="1"/>
  <c r="C2608" i="1" s="1"/>
  <c r="C2609" i="1" a="1"/>
  <c r="C2609" i="1" s="1"/>
  <c r="C2610" i="1" a="1"/>
  <c r="C2610" i="1" s="1"/>
  <c r="C2611" i="1" a="1"/>
  <c r="C2611" i="1" s="1"/>
  <c r="C2612" i="1" a="1"/>
  <c r="C2612" i="1" s="1"/>
  <c r="C2613" i="1" a="1"/>
  <c r="C2613" i="1" s="1"/>
  <c r="C2614" i="1" a="1"/>
  <c r="C2614" i="1" s="1"/>
  <c r="C2615" i="1" a="1"/>
  <c r="C2615" i="1" s="1"/>
  <c r="C2616" i="1" a="1"/>
  <c r="C2616" i="1" s="1"/>
  <c r="C2617" i="1" a="1"/>
  <c r="C2617" i="1" s="1"/>
  <c r="C2618" i="1" a="1"/>
  <c r="C2618" i="1" s="1"/>
  <c r="C2619" i="1" a="1"/>
  <c r="C2619" i="1" s="1"/>
  <c r="C2620" i="1" a="1"/>
  <c r="C2620" i="1" s="1"/>
  <c r="C2621" i="1" a="1"/>
  <c r="C2621" i="1" s="1"/>
  <c r="C2622" i="1" a="1"/>
  <c r="C2622" i="1" s="1"/>
  <c r="C2623" i="1" a="1"/>
  <c r="C2623" i="1" s="1"/>
  <c r="C2624" i="1" a="1"/>
  <c r="C2624" i="1" s="1"/>
  <c r="C2625" i="1" a="1"/>
  <c r="C2625" i="1" s="1"/>
  <c r="C2626" i="1" a="1"/>
  <c r="C2626" i="1" s="1"/>
  <c r="C2627" i="1" a="1"/>
  <c r="C2627" i="1" s="1"/>
  <c r="C2628" i="1" a="1"/>
  <c r="C2628" i="1" s="1"/>
  <c r="C2629" i="1" a="1"/>
  <c r="C2629" i="1" s="1"/>
  <c r="C2630" i="1" a="1"/>
  <c r="C2630" i="1" s="1"/>
  <c r="C2631" i="1" a="1"/>
  <c r="C2631" i="1" s="1"/>
  <c r="C2632" i="1" a="1"/>
  <c r="C2632" i="1" s="1"/>
  <c r="C2633" i="1" a="1"/>
  <c r="C2633" i="1" s="1"/>
  <c r="C2634" i="1" a="1"/>
  <c r="C2634" i="1" s="1"/>
  <c r="C2635" i="1" a="1"/>
  <c r="C2635" i="1" s="1"/>
  <c r="C2636" i="1" a="1"/>
  <c r="C2636" i="1" s="1"/>
  <c r="C2637" i="1" a="1"/>
  <c r="C2637" i="1" s="1"/>
  <c r="C2638" i="1" a="1"/>
  <c r="C2638" i="1" s="1"/>
  <c r="C2639" i="1" a="1"/>
  <c r="C2639" i="1" s="1"/>
  <c r="C2640" i="1" a="1"/>
  <c r="C2640" i="1" s="1"/>
  <c r="C2641" i="1" a="1"/>
  <c r="C2641" i="1" s="1"/>
  <c r="C2642" i="1" a="1"/>
  <c r="C2642" i="1" s="1"/>
  <c r="C2643" i="1" a="1"/>
  <c r="C2643" i="1" s="1"/>
  <c r="C2644" i="1" a="1"/>
  <c r="C2644" i="1" s="1"/>
  <c r="C2645" i="1" a="1"/>
  <c r="C2645" i="1" s="1"/>
  <c r="C2646" i="1" a="1"/>
  <c r="C2646" i="1" s="1"/>
  <c r="C2647" i="1" a="1"/>
  <c r="C2647" i="1" s="1"/>
  <c r="C2648" i="1" a="1"/>
  <c r="C2648" i="1" s="1"/>
  <c r="C2649" i="1" a="1"/>
  <c r="C2649" i="1" s="1"/>
  <c r="C2650" i="1" a="1"/>
  <c r="C2650" i="1" s="1"/>
  <c r="C2651" i="1" a="1"/>
  <c r="C2651" i="1" s="1"/>
  <c r="C2652" i="1" a="1"/>
  <c r="C2652" i="1" s="1"/>
  <c r="C2653" i="1" a="1"/>
  <c r="C2653" i="1" s="1"/>
  <c r="C2654" i="1" a="1"/>
  <c r="C2654" i="1" s="1"/>
  <c r="C2655" i="1" a="1"/>
  <c r="C2655" i="1" s="1"/>
  <c r="C2656" i="1" a="1"/>
  <c r="C2656" i="1" s="1"/>
  <c r="C2657" i="1" a="1"/>
  <c r="C2657" i="1" s="1"/>
  <c r="C2658" i="1" a="1"/>
  <c r="C2658" i="1" s="1"/>
  <c r="C2659" i="1" a="1"/>
  <c r="C2659" i="1" s="1"/>
  <c r="C2660" i="1" a="1"/>
  <c r="C2660" i="1" s="1"/>
  <c r="C2661" i="1" a="1"/>
  <c r="C2661" i="1" s="1"/>
  <c r="C2662" i="1" a="1"/>
  <c r="C2662" i="1" s="1"/>
  <c r="C2663" i="1" a="1"/>
  <c r="C2663" i="1" s="1"/>
  <c r="C2664" i="1" a="1"/>
  <c r="C2664" i="1" s="1"/>
  <c r="C2665" i="1" a="1"/>
  <c r="C2665" i="1" s="1"/>
  <c r="C2666" i="1" a="1"/>
  <c r="C2666" i="1" s="1"/>
  <c r="C2667" i="1" a="1"/>
  <c r="C2667" i="1" s="1"/>
  <c r="C2668" i="1" a="1"/>
  <c r="C2668" i="1" s="1"/>
  <c r="C2669" i="1" a="1"/>
  <c r="C2669" i="1" s="1"/>
  <c r="C2670" i="1" a="1"/>
  <c r="C2670" i="1" s="1"/>
  <c r="C2671" i="1" a="1"/>
  <c r="C2671" i="1" s="1"/>
  <c r="C2672" i="1" a="1"/>
  <c r="C2672" i="1" s="1"/>
  <c r="C2673" i="1" a="1"/>
  <c r="C2673" i="1" s="1"/>
  <c r="C2674" i="1" a="1"/>
  <c r="C2674" i="1" s="1"/>
  <c r="C2675" i="1" a="1"/>
  <c r="C2675" i="1" s="1"/>
  <c r="C2676" i="1" a="1"/>
  <c r="C2676" i="1" s="1"/>
  <c r="C2677" i="1" a="1"/>
  <c r="C2677" i="1" s="1"/>
  <c r="C2678" i="1" a="1"/>
  <c r="C2678" i="1" s="1"/>
  <c r="C2679" i="1" a="1"/>
  <c r="C2679" i="1" s="1"/>
  <c r="C2680" i="1" a="1"/>
  <c r="C2680" i="1" s="1"/>
  <c r="C2681" i="1" a="1"/>
  <c r="C2681" i="1" s="1"/>
  <c r="C2682" i="1" a="1"/>
  <c r="C2682" i="1" s="1"/>
  <c r="C2683" i="1" a="1"/>
  <c r="C2683" i="1" s="1"/>
  <c r="C2684" i="1" a="1"/>
  <c r="C2684" i="1" s="1"/>
  <c r="C2685" i="1" a="1"/>
  <c r="C2685" i="1" s="1"/>
  <c r="C2686" i="1" a="1"/>
  <c r="C2686" i="1" s="1"/>
  <c r="C2687" i="1" a="1"/>
  <c r="C2687" i="1" s="1"/>
  <c r="C2688" i="1" a="1"/>
  <c r="C2688" i="1" s="1"/>
  <c r="C2689" i="1" a="1"/>
  <c r="C2689" i="1" s="1"/>
  <c r="C2690" i="1" a="1"/>
  <c r="C2690" i="1" s="1"/>
  <c r="C2691" i="1" a="1"/>
  <c r="C2691" i="1" s="1"/>
  <c r="C2692" i="1" a="1"/>
  <c r="C2692" i="1" s="1"/>
  <c r="C2693" i="1" a="1"/>
  <c r="C2693" i="1" s="1"/>
  <c r="C2694" i="1" a="1"/>
  <c r="C2694" i="1" s="1"/>
  <c r="C2695" i="1" a="1"/>
  <c r="C2695" i="1" s="1"/>
  <c r="C2696" i="1" a="1"/>
  <c r="C2696" i="1" s="1"/>
  <c r="C2697" i="1" a="1"/>
  <c r="C2697" i="1" s="1"/>
  <c r="C2698" i="1" a="1"/>
  <c r="C2698" i="1" s="1"/>
  <c r="C2699" i="1" a="1"/>
  <c r="C2699" i="1" s="1"/>
  <c r="C2700" i="1" a="1"/>
  <c r="C2700" i="1" s="1"/>
  <c r="C2701" i="1" a="1"/>
  <c r="C2701" i="1" s="1"/>
  <c r="C2702" i="1" a="1"/>
  <c r="C2702" i="1" s="1"/>
  <c r="C2703" i="1" a="1"/>
  <c r="C2703" i="1" s="1"/>
  <c r="C2704" i="1" a="1"/>
  <c r="C2704" i="1" s="1"/>
  <c r="C2705" i="1" a="1"/>
  <c r="C2705" i="1" s="1"/>
  <c r="C2706" i="1" a="1"/>
  <c r="C2706" i="1" s="1"/>
  <c r="C2707" i="1" a="1"/>
  <c r="C2707" i="1" s="1"/>
  <c r="C2708" i="1" a="1"/>
  <c r="C2708" i="1" s="1"/>
  <c r="C2709" i="1" a="1"/>
  <c r="C2709" i="1" s="1"/>
  <c r="C2710" i="1" a="1"/>
  <c r="C2710" i="1" s="1"/>
  <c r="C2711" i="1" a="1"/>
  <c r="C2711" i="1" s="1"/>
  <c r="C2712" i="1" a="1"/>
  <c r="C2712" i="1" s="1"/>
  <c r="C2713" i="1" a="1"/>
  <c r="C2713" i="1" s="1"/>
  <c r="C2714" i="1" a="1"/>
  <c r="C2714" i="1" s="1"/>
  <c r="C2715" i="1" a="1"/>
  <c r="C2715" i="1" s="1"/>
  <c r="C2716" i="1" a="1"/>
  <c r="C2716" i="1" s="1"/>
  <c r="C2717" i="1" a="1"/>
  <c r="C2717" i="1" s="1"/>
  <c r="C2718" i="1" a="1"/>
  <c r="C2718" i="1" s="1"/>
  <c r="C2719" i="1" a="1"/>
  <c r="C2719" i="1" s="1"/>
  <c r="C2720" i="1" a="1"/>
  <c r="C2720" i="1" s="1"/>
  <c r="C2721" i="1" a="1"/>
  <c r="C2721" i="1" s="1"/>
  <c r="C2722" i="1" a="1"/>
  <c r="C2722" i="1" s="1"/>
  <c r="C2723" i="1" a="1"/>
  <c r="C2723" i="1" s="1"/>
  <c r="C2724" i="1" a="1"/>
  <c r="C2724" i="1" s="1"/>
  <c r="C2725" i="1" a="1"/>
  <c r="C2725" i="1" s="1"/>
  <c r="C2726" i="1" a="1"/>
  <c r="C2726" i="1" s="1"/>
  <c r="C2727" i="1" a="1"/>
  <c r="C2727" i="1" s="1"/>
  <c r="C2728" i="1" a="1"/>
  <c r="C2728" i="1" s="1"/>
  <c r="C2729" i="1" a="1"/>
  <c r="C2729" i="1" s="1"/>
  <c r="C2730" i="1" a="1"/>
  <c r="C2730" i="1" s="1"/>
  <c r="C2731" i="1" a="1"/>
  <c r="C2731" i="1" s="1"/>
  <c r="C2732" i="1" a="1"/>
  <c r="C2732" i="1" s="1"/>
  <c r="C2733" i="1" a="1"/>
  <c r="C2733" i="1" s="1"/>
  <c r="C2734" i="1" a="1"/>
  <c r="C2734" i="1" s="1"/>
  <c r="C2735" i="1" a="1"/>
  <c r="C2735" i="1" s="1"/>
  <c r="C2736" i="1" a="1"/>
  <c r="C2736" i="1" s="1"/>
  <c r="C2737" i="1" a="1"/>
  <c r="C2737" i="1" s="1"/>
  <c r="C2738" i="1" a="1"/>
  <c r="C2738" i="1" s="1"/>
  <c r="C2739" i="1" a="1"/>
  <c r="C2739" i="1" s="1"/>
  <c r="C2740" i="1" a="1"/>
  <c r="C2740" i="1" s="1"/>
  <c r="C2741" i="1" a="1"/>
  <c r="C2741" i="1" s="1"/>
  <c r="C2742" i="1" a="1"/>
  <c r="C2742" i="1" s="1"/>
  <c r="C2743" i="1" a="1"/>
  <c r="C2743" i="1" s="1"/>
  <c r="C2744" i="1" a="1"/>
  <c r="C2744" i="1" s="1"/>
  <c r="C2745" i="1" a="1"/>
  <c r="C2745" i="1" s="1"/>
  <c r="C2746" i="1" a="1"/>
  <c r="C2746" i="1" s="1"/>
  <c r="C2747" i="1" a="1"/>
  <c r="C2747" i="1" s="1"/>
  <c r="C2748" i="1" a="1"/>
  <c r="C2748" i="1" s="1"/>
  <c r="C2749" i="1" a="1"/>
  <c r="C2749" i="1" s="1"/>
  <c r="C2750" i="1" a="1"/>
  <c r="C2750" i="1" s="1"/>
  <c r="C2751" i="1" a="1"/>
  <c r="C2751" i="1" s="1"/>
  <c r="C2752" i="1" a="1"/>
  <c r="C2752" i="1" s="1"/>
  <c r="C2753" i="1" a="1"/>
  <c r="C2753" i="1" s="1"/>
  <c r="C2754" i="1" a="1"/>
  <c r="C2754" i="1" s="1"/>
  <c r="C2755" i="1" a="1"/>
  <c r="C2755" i="1" s="1"/>
  <c r="C2756" i="1" a="1"/>
  <c r="C2756" i="1" s="1"/>
  <c r="C2757" i="1" a="1"/>
  <c r="C2757" i="1" s="1"/>
  <c r="C2758" i="1" a="1"/>
  <c r="C2758" i="1" s="1"/>
  <c r="C2759" i="1" a="1"/>
  <c r="C2759" i="1" s="1"/>
  <c r="C2760" i="1" a="1"/>
  <c r="C2760" i="1" s="1"/>
  <c r="C2761" i="1" a="1"/>
  <c r="C2761" i="1" s="1"/>
  <c r="C2762" i="1" a="1"/>
  <c r="C2762" i="1" s="1"/>
  <c r="C2763" i="1" a="1"/>
  <c r="C2763" i="1" s="1"/>
  <c r="C2764" i="1" a="1"/>
  <c r="C2764" i="1" s="1"/>
  <c r="C2765" i="1" a="1"/>
  <c r="C2765" i="1" s="1"/>
  <c r="C2766" i="1" a="1"/>
  <c r="C2766" i="1" s="1"/>
  <c r="C2767" i="1" a="1"/>
  <c r="C2767" i="1" s="1"/>
  <c r="C2768" i="1" a="1"/>
  <c r="C2768" i="1" s="1"/>
  <c r="C2769" i="1" a="1"/>
  <c r="C2769" i="1" s="1"/>
  <c r="C2770" i="1" a="1"/>
  <c r="C2770" i="1" s="1"/>
  <c r="C2771" i="1" a="1"/>
  <c r="C2771" i="1" s="1"/>
  <c r="C2772" i="1" a="1"/>
  <c r="C2772" i="1" s="1"/>
  <c r="C2773" i="1" a="1"/>
  <c r="C2773" i="1" s="1"/>
  <c r="C2774" i="1" a="1"/>
  <c r="C2774" i="1" s="1"/>
  <c r="C2775" i="1" a="1"/>
  <c r="C2775" i="1" s="1"/>
  <c r="C2776" i="1" a="1"/>
  <c r="C2776" i="1" s="1"/>
  <c r="C2777" i="1" a="1"/>
  <c r="C2777" i="1" s="1"/>
  <c r="C2778" i="1" a="1"/>
  <c r="C2778" i="1" s="1"/>
  <c r="C2779" i="1" a="1"/>
  <c r="C2779" i="1" s="1"/>
  <c r="C2780" i="1" a="1"/>
  <c r="C2780" i="1" s="1"/>
  <c r="C2781" i="1" a="1"/>
  <c r="C2781" i="1" s="1"/>
  <c r="C2782" i="1" a="1"/>
  <c r="C2782" i="1" s="1"/>
  <c r="C2783" i="1" a="1"/>
  <c r="C2783" i="1" s="1"/>
  <c r="C2784" i="1" a="1"/>
  <c r="C2784" i="1" s="1"/>
  <c r="C2785" i="1" a="1"/>
  <c r="C2785" i="1" s="1"/>
  <c r="C2786" i="1" a="1"/>
  <c r="C2786" i="1" s="1"/>
  <c r="C2787" i="1" a="1"/>
  <c r="C2787" i="1" s="1"/>
  <c r="C2788" i="1" a="1"/>
  <c r="C2788" i="1" s="1"/>
  <c r="C2789" i="1" a="1"/>
  <c r="C2789" i="1" s="1"/>
  <c r="C2790" i="1" a="1"/>
  <c r="C2790" i="1" s="1"/>
  <c r="C2791" i="1" a="1"/>
  <c r="C2791" i="1" s="1"/>
  <c r="C2792" i="1" a="1"/>
  <c r="C2792" i="1" s="1"/>
  <c r="C2793" i="1" a="1"/>
  <c r="C2793" i="1" s="1"/>
  <c r="C2794" i="1" a="1"/>
  <c r="C2794" i="1" s="1"/>
  <c r="C2795" i="1" a="1"/>
  <c r="C2795" i="1" s="1"/>
  <c r="C2796" i="1" a="1"/>
  <c r="C2796" i="1" s="1"/>
  <c r="C2797" i="1" a="1"/>
  <c r="C2797" i="1" s="1"/>
  <c r="C2798" i="1" a="1"/>
  <c r="C2798" i="1" s="1"/>
  <c r="C2799" i="1" a="1"/>
  <c r="C2799" i="1" s="1"/>
  <c r="C2800" i="1" a="1"/>
  <c r="C2800" i="1" s="1"/>
  <c r="C2801" i="1" a="1"/>
  <c r="C2801" i="1" s="1"/>
  <c r="C2802" i="1" a="1"/>
  <c r="C2802" i="1" s="1"/>
  <c r="C2803" i="1" a="1"/>
  <c r="C2803" i="1" s="1"/>
  <c r="C2804" i="1" a="1"/>
  <c r="C2804" i="1" s="1"/>
  <c r="C2805" i="1" a="1"/>
  <c r="C2805" i="1" s="1"/>
  <c r="C2806" i="1" a="1"/>
  <c r="C2806" i="1" s="1"/>
  <c r="C2807" i="1" a="1"/>
  <c r="C2807" i="1" s="1"/>
  <c r="C2808" i="1" a="1"/>
  <c r="C2808" i="1" s="1"/>
  <c r="C2809" i="1" a="1"/>
  <c r="C2809" i="1" s="1"/>
  <c r="C2810" i="1" a="1"/>
  <c r="C2810" i="1" s="1"/>
  <c r="C2811" i="1" a="1"/>
  <c r="C2811" i="1" s="1"/>
  <c r="C2812" i="1" a="1"/>
  <c r="C2812" i="1" s="1"/>
  <c r="C2813" i="1" a="1"/>
  <c r="C2813" i="1" s="1"/>
  <c r="C2814" i="1" a="1"/>
  <c r="C2814" i="1" s="1"/>
  <c r="C2815" i="1" a="1"/>
  <c r="C2815" i="1" s="1"/>
  <c r="C2816" i="1" a="1"/>
  <c r="C2816" i="1" s="1"/>
  <c r="C2817" i="1" a="1"/>
  <c r="C2817" i="1" s="1"/>
  <c r="C2818" i="1" a="1"/>
  <c r="C2818" i="1" s="1"/>
  <c r="C2819" i="1" a="1"/>
  <c r="C2819" i="1" s="1"/>
  <c r="C2820" i="1" a="1"/>
  <c r="C2820" i="1" s="1"/>
  <c r="C2821" i="1" a="1"/>
  <c r="C2821" i="1" s="1"/>
  <c r="C2822" i="1" a="1"/>
  <c r="C2822" i="1" s="1"/>
  <c r="C2823" i="1" a="1"/>
  <c r="C2823" i="1" s="1"/>
  <c r="C2824" i="1" a="1"/>
  <c r="C2824" i="1" s="1"/>
  <c r="C2825" i="1" a="1"/>
  <c r="C2825" i="1" s="1"/>
  <c r="C2826" i="1" a="1"/>
  <c r="C2826" i="1" s="1"/>
  <c r="C2827" i="1" a="1"/>
  <c r="C2827" i="1" s="1"/>
  <c r="C2828" i="1" a="1"/>
  <c r="C2828" i="1" s="1"/>
  <c r="C2829" i="1" a="1"/>
  <c r="C2829" i="1" s="1"/>
  <c r="C2830" i="1" a="1"/>
  <c r="C2830" i="1" s="1"/>
  <c r="C2831" i="1" a="1"/>
  <c r="C2831" i="1" s="1"/>
  <c r="C2832" i="1" a="1"/>
  <c r="C2832" i="1" s="1"/>
  <c r="C2833" i="1" a="1"/>
  <c r="C2833" i="1" s="1"/>
  <c r="C2834" i="1" a="1"/>
  <c r="C2834" i="1" s="1"/>
  <c r="C2835" i="1" a="1"/>
  <c r="C2835" i="1" s="1"/>
  <c r="C2836" i="1" a="1"/>
  <c r="C2836" i="1" s="1"/>
  <c r="C2837" i="1" a="1"/>
  <c r="C2837" i="1" s="1"/>
  <c r="C2838" i="1" a="1"/>
  <c r="C2838" i="1" s="1"/>
  <c r="C2839" i="1" a="1"/>
  <c r="C2839" i="1" s="1"/>
  <c r="C2840" i="1" a="1"/>
  <c r="C2840" i="1" s="1"/>
  <c r="C2841" i="1" a="1"/>
  <c r="C2841" i="1" s="1"/>
  <c r="C2842" i="1" a="1"/>
  <c r="C2842" i="1" s="1"/>
  <c r="C2843" i="1" a="1"/>
  <c r="C2843" i="1" s="1"/>
  <c r="C2844" i="1" a="1"/>
  <c r="C2844" i="1" s="1"/>
  <c r="C2845" i="1" a="1"/>
  <c r="C2845" i="1" s="1"/>
  <c r="C2846" i="1" a="1"/>
  <c r="C2846" i="1" s="1"/>
  <c r="C2847" i="1" a="1"/>
  <c r="C2847" i="1" s="1"/>
  <c r="C2848" i="1" a="1"/>
  <c r="C2848" i="1" s="1"/>
  <c r="C2849" i="1" a="1"/>
  <c r="C2849" i="1" s="1"/>
  <c r="C2850" i="1" a="1"/>
  <c r="C2850" i="1" s="1"/>
  <c r="C2851" i="1" a="1"/>
  <c r="C2851" i="1" s="1"/>
  <c r="C2852" i="1" a="1"/>
  <c r="C2852" i="1" s="1"/>
  <c r="C2853" i="1" a="1"/>
  <c r="C2853" i="1" s="1"/>
  <c r="C2854" i="1" a="1"/>
  <c r="C2854" i="1" s="1"/>
  <c r="C2855" i="1" a="1"/>
  <c r="C2855" i="1" s="1"/>
  <c r="C2856" i="1" a="1"/>
  <c r="C2856" i="1" s="1"/>
  <c r="C2857" i="1" a="1"/>
  <c r="C2857" i="1" s="1"/>
  <c r="C2858" i="1" a="1"/>
  <c r="C2858" i="1" s="1"/>
  <c r="C2859" i="1" a="1"/>
  <c r="C2859" i="1" s="1"/>
  <c r="C2860" i="1" a="1"/>
  <c r="C2860" i="1" s="1"/>
  <c r="C2861" i="1" a="1"/>
  <c r="C2861" i="1" s="1"/>
  <c r="C2862" i="1" a="1"/>
  <c r="C2862" i="1" s="1"/>
  <c r="C2863" i="1" a="1"/>
  <c r="C2863" i="1" s="1"/>
  <c r="C2864" i="1" a="1"/>
  <c r="C2864" i="1" s="1"/>
  <c r="C2865" i="1" a="1"/>
  <c r="C2865" i="1" s="1"/>
  <c r="C2866" i="1" a="1"/>
  <c r="C2866" i="1" s="1"/>
  <c r="C2867" i="1" a="1"/>
  <c r="C2867" i="1" s="1"/>
  <c r="C2868" i="1" a="1"/>
  <c r="C2868" i="1" s="1"/>
  <c r="C2869" i="1" a="1"/>
  <c r="C2869" i="1" s="1"/>
  <c r="C2870" i="1" a="1"/>
  <c r="C2870" i="1" s="1"/>
  <c r="C2871" i="1" a="1"/>
  <c r="C2871" i="1" s="1"/>
  <c r="C2872" i="1" a="1"/>
  <c r="C2872" i="1" s="1"/>
  <c r="C2873" i="1" a="1"/>
  <c r="C2873" i="1" s="1"/>
  <c r="C2874" i="1" a="1"/>
  <c r="C2874" i="1" s="1"/>
  <c r="C2875" i="1" a="1"/>
  <c r="C2875" i="1" s="1"/>
  <c r="C2876" i="1" a="1"/>
  <c r="C2876" i="1" s="1"/>
  <c r="C2877" i="1" a="1"/>
  <c r="C2877" i="1" s="1"/>
  <c r="C2878" i="1" a="1"/>
  <c r="C2878" i="1" s="1"/>
  <c r="C2879" i="1" a="1"/>
  <c r="C2879" i="1" s="1"/>
  <c r="C2880" i="1" a="1"/>
  <c r="C2880" i="1" s="1"/>
  <c r="C2881" i="1" a="1"/>
  <c r="C2881" i="1" s="1"/>
  <c r="C2882" i="1" a="1"/>
  <c r="C2882" i="1" s="1"/>
  <c r="C2883" i="1" a="1"/>
  <c r="C2883" i="1" s="1"/>
  <c r="C2884" i="1" a="1"/>
  <c r="C2884" i="1" s="1"/>
  <c r="C2885" i="1" a="1"/>
  <c r="C2885" i="1" s="1"/>
  <c r="C2886" i="1" a="1"/>
  <c r="C2886" i="1" s="1"/>
  <c r="C2887" i="1" a="1"/>
  <c r="C2887" i="1" s="1"/>
  <c r="C2888" i="1" a="1"/>
  <c r="C2888" i="1" s="1"/>
  <c r="C2889" i="1" a="1"/>
  <c r="C2889" i="1" s="1"/>
  <c r="C2890" i="1" a="1"/>
  <c r="C2890" i="1" s="1"/>
  <c r="C2891" i="1" a="1"/>
  <c r="C2891" i="1" s="1"/>
  <c r="C2892" i="1" a="1"/>
  <c r="C2892" i="1" s="1"/>
  <c r="C2893" i="1" a="1"/>
  <c r="C2893" i="1" s="1"/>
  <c r="C2894" i="1" a="1"/>
  <c r="C2894" i="1" s="1"/>
  <c r="C2895" i="1" a="1"/>
  <c r="C2895" i="1" s="1"/>
  <c r="C2896" i="1" a="1"/>
  <c r="C2896" i="1" s="1"/>
  <c r="C2897" i="1" a="1"/>
  <c r="C2897" i="1" s="1"/>
  <c r="C2898" i="1" a="1"/>
  <c r="C2898" i="1" s="1"/>
  <c r="C2899" i="1" a="1"/>
  <c r="C2899" i="1" s="1"/>
  <c r="C2900" i="1" a="1"/>
  <c r="C2900" i="1" s="1"/>
  <c r="C2901" i="1" a="1"/>
  <c r="C2901" i="1" s="1"/>
  <c r="C2902" i="1" a="1"/>
  <c r="C2902" i="1" s="1"/>
  <c r="C2903" i="1" a="1"/>
  <c r="C2903" i="1" s="1"/>
  <c r="C2904" i="1" a="1"/>
  <c r="C2904" i="1" s="1"/>
  <c r="C2905" i="1" a="1"/>
  <c r="C2905" i="1" s="1"/>
  <c r="C2906" i="1" a="1"/>
  <c r="C2906" i="1" s="1"/>
  <c r="C2907" i="1" a="1"/>
  <c r="C2907" i="1" s="1"/>
  <c r="C2908" i="1" a="1"/>
  <c r="C2908" i="1" s="1"/>
  <c r="C2909" i="1" a="1"/>
  <c r="C2909" i="1" s="1"/>
  <c r="C2910" i="1" a="1"/>
  <c r="C2910" i="1" s="1"/>
  <c r="C2911" i="1" a="1"/>
  <c r="C2911" i="1" s="1"/>
  <c r="C2912" i="1" a="1"/>
  <c r="C2912" i="1" s="1"/>
  <c r="C2913" i="1" a="1"/>
  <c r="C2913" i="1" s="1"/>
  <c r="C2914" i="1" a="1"/>
  <c r="C2914" i="1" s="1"/>
  <c r="C2915" i="1" a="1"/>
  <c r="C2915" i="1" s="1"/>
  <c r="C2916" i="1" a="1"/>
  <c r="C2916" i="1" s="1"/>
  <c r="C2917" i="1" a="1"/>
  <c r="C2917" i="1" s="1"/>
  <c r="C2918" i="1" a="1"/>
  <c r="C2918" i="1" s="1"/>
  <c r="C2919" i="1" a="1"/>
  <c r="C2919" i="1" s="1"/>
  <c r="C2920" i="1" a="1"/>
  <c r="C2920" i="1" s="1"/>
  <c r="C2921" i="1" a="1"/>
  <c r="C2921" i="1" s="1"/>
  <c r="C2922" i="1" a="1"/>
  <c r="C2922" i="1" s="1"/>
  <c r="C2923" i="1" a="1"/>
  <c r="C2923" i="1" s="1"/>
  <c r="C2924" i="1" a="1"/>
  <c r="C2924" i="1" s="1"/>
  <c r="C2925" i="1" a="1"/>
  <c r="C2925" i="1" s="1"/>
  <c r="C2926" i="1" a="1"/>
  <c r="C2926" i="1" s="1"/>
  <c r="C2927" i="1" a="1"/>
  <c r="C2927" i="1" s="1"/>
  <c r="C2928" i="1" a="1"/>
  <c r="C2928" i="1" s="1"/>
  <c r="C2929" i="1" a="1"/>
  <c r="C2929" i="1" s="1"/>
  <c r="C2930" i="1" a="1"/>
  <c r="C2930" i="1" s="1"/>
  <c r="C2931" i="1" a="1"/>
  <c r="C2931" i="1" s="1"/>
  <c r="C2932" i="1" a="1"/>
  <c r="C2932" i="1" s="1"/>
  <c r="C2933" i="1" a="1"/>
  <c r="C2933" i="1" s="1"/>
  <c r="C2934" i="1" a="1"/>
  <c r="C2934" i="1" s="1"/>
  <c r="C2935" i="1" a="1"/>
  <c r="C2935" i="1" s="1"/>
  <c r="C2936" i="1" a="1"/>
  <c r="C2936" i="1" s="1"/>
  <c r="C2937" i="1" a="1"/>
  <c r="C2937" i="1" s="1"/>
  <c r="C2938" i="1" a="1"/>
  <c r="C2938" i="1" s="1"/>
  <c r="C2939" i="1" a="1"/>
  <c r="C2939" i="1" s="1"/>
  <c r="C2940" i="1" a="1"/>
  <c r="C2940" i="1" s="1"/>
  <c r="C2941" i="1" a="1"/>
  <c r="C2941" i="1" s="1"/>
  <c r="C2942" i="1" a="1"/>
  <c r="C2942" i="1" s="1"/>
  <c r="C2943" i="1" a="1"/>
  <c r="C2943" i="1" s="1"/>
  <c r="C2944" i="1" a="1"/>
  <c r="C2944" i="1" s="1"/>
  <c r="C2945" i="1" a="1"/>
  <c r="C2945" i="1" s="1"/>
  <c r="C2946" i="1" a="1"/>
  <c r="C2946" i="1" s="1"/>
  <c r="C2947" i="1" a="1"/>
  <c r="C2947" i="1" s="1"/>
  <c r="C2948" i="1" a="1"/>
  <c r="C2948" i="1" s="1"/>
  <c r="C2949" i="1" a="1"/>
  <c r="C2949" i="1" s="1"/>
  <c r="C2950" i="1" a="1"/>
  <c r="C2950" i="1" s="1"/>
  <c r="C2951" i="1" a="1"/>
  <c r="C2951" i="1" s="1"/>
  <c r="C2952" i="1" a="1"/>
  <c r="C2952" i="1" s="1"/>
  <c r="C2953" i="1" a="1"/>
  <c r="C2953" i="1" s="1"/>
  <c r="C2954" i="1" a="1"/>
  <c r="C2954" i="1" s="1"/>
  <c r="C2955" i="1" a="1"/>
  <c r="C2955" i="1" s="1"/>
  <c r="C2956" i="1" a="1"/>
  <c r="C2956" i="1" s="1"/>
  <c r="C2957" i="1" a="1"/>
  <c r="C2957" i="1" s="1"/>
  <c r="C2958" i="1" a="1"/>
  <c r="C2958" i="1" s="1"/>
  <c r="C2959" i="1" a="1"/>
  <c r="C2959" i="1" s="1"/>
  <c r="C2960" i="1" a="1"/>
  <c r="C2960" i="1" s="1"/>
  <c r="C2961" i="1" a="1"/>
  <c r="C2961" i="1" s="1"/>
  <c r="C2962" i="1" a="1"/>
  <c r="C2962" i="1" s="1"/>
  <c r="C2963" i="1" a="1"/>
  <c r="C2963" i="1" s="1"/>
  <c r="C2964" i="1" a="1"/>
  <c r="C2964" i="1" s="1"/>
  <c r="C2965" i="1" a="1"/>
  <c r="C2965" i="1" s="1"/>
  <c r="C2966" i="1" a="1"/>
  <c r="C2966" i="1" s="1"/>
  <c r="C2967" i="1" a="1"/>
  <c r="C2967" i="1" s="1"/>
  <c r="C2968" i="1" a="1"/>
  <c r="C2968" i="1" s="1"/>
  <c r="C2969" i="1" a="1"/>
  <c r="C2969" i="1" s="1"/>
  <c r="C2970" i="1" a="1"/>
  <c r="C2970" i="1" s="1"/>
  <c r="C2971" i="1" a="1"/>
  <c r="C2971" i="1" s="1"/>
  <c r="C2972" i="1" a="1"/>
  <c r="C2972" i="1" s="1"/>
  <c r="C2973" i="1" a="1"/>
  <c r="C2973" i="1" s="1"/>
  <c r="C2974" i="1" a="1"/>
  <c r="C2974" i="1" s="1"/>
  <c r="C2975" i="1" a="1"/>
  <c r="C2975" i="1" s="1"/>
  <c r="C2976" i="1" a="1"/>
  <c r="C2976" i="1" s="1"/>
  <c r="C2977" i="1" a="1"/>
  <c r="C2977" i="1" s="1"/>
  <c r="C2978" i="1" a="1"/>
  <c r="C2978" i="1" s="1"/>
  <c r="C2979" i="1" a="1"/>
  <c r="C2979" i="1" s="1"/>
  <c r="C2980" i="1" a="1"/>
  <c r="C2980" i="1" s="1"/>
  <c r="C2981" i="1" a="1"/>
  <c r="C2981" i="1" s="1"/>
  <c r="C2982" i="1" a="1"/>
  <c r="C2982" i="1" s="1"/>
  <c r="C2983" i="1" a="1"/>
  <c r="C2983" i="1" s="1"/>
  <c r="C2984" i="1" a="1"/>
  <c r="C2984" i="1" s="1"/>
  <c r="C2985" i="1" a="1"/>
  <c r="C2985" i="1" s="1"/>
  <c r="C2986" i="1" a="1"/>
  <c r="C2986" i="1" s="1"/>
  <c r="C2987" i="1" a="1"/>
  <c r="C2987" i="1" s="1"/>
  <c r="C2988" i="1" a="1"/>
  <c r="C2988" i="1" s="1"/>
  <c r="C2989" i="1" a="1"/>
  <c r="C2989" i="1" s="1"/>
  <c r="C2990" i="1" a="1"/>
  <c r="C2990" i="1" s="1"/>
  <c r="C2991" i="1" a="1"/>
  <c r="C2991" i="1" s="1"/>
  <c r="C2992" i="1" a="1"/>
  <c r="C2992" i="1" s="1"/>
  <c r="C2993" i="1" a="1"/>
  <c r="C2993" i="1" s="1"/>
  <c r="C2994" i="1" a="1"/>
  <c r="C2994" i="1" s="1"/>
  <c r="C2995" i="1" a="1"/>
  <c r="C2995" i="1" s="1"/>
  <c r="C2996" i="1" a="1"/>
  <c r="C2996" i="1" s="1"/>
  <c r="C2997" i="1" a="1"/>
  <c r="C2997" i="1" s="1"/>
  <c r="C2998" i="1" a="1"/>
  <c r="C2998" i="1" s="1"/>
  <c r="C2999" i="1" a="1"/>
  <c r="C2999" i="1" s="1"/>
  <c r="C3000" i="1" a="1"/>
  <c r="C3000" i="1" s="1"/>
  <c r="C3001" i="1" a="1"/>
  <c r="C3001" i="1" s="1"/>
  <c r="C3002" i="1" a="1"/>
  <c r="C3002" i="1" s="1"/>
  <c r="C3003" i="1" a="1"/>
  <c r="C3003" i="1" s="1"/>
  <c r="C3004" i="1" a="1"/>
  <c r="C3004" i="1" s="1"/>
  <c r="C3005" i="1" a="1"/>
  <c r="C3005" i="1" s="1"/>
  <c r="C3006" i="1" a="1"/>
  <c r="C3006" i="1" s="1"/>
  <c r="C3007" i="1" a="1"/>
  <c r="C3007" i="1" s="1"/>
  <c r="C3008" i="1" a="1"/>
  <c r="C3008" i="1" s="1"/>
  <c r="C3009" i="1" a="1"/>
  <c r="C3009" i="1" s="1"/>
  <c r="C3010" i="1" a="1"/>
  <c r="C3010" i="1" s="1"/>
  <c r="C3011" i="1" a="1"/>
  <c r="C3011" i="1" s="1"/>
  <c r="C3012" i="1" a="1"/>
  <c r="C3012" i="1" s="1"/>
  <c r="C3013" i="1" a="1"/>
  <c r="C3013" i="1" s="1"/>
  <c r="C3014" i="1" a="1"/>
  <c r="C3014" i="1" s="1"/>
  <c r="C3015" i="1" a="1"/>
  <c r="C3015" i="1" s="1"/>
  <c r="C3016" i="1" a="1"/>
  <c r="C3016" i="1" s="1"/>
  <c r="C3017" i="1" a="1"/>
  <c r="C3017" i="1" s="1"/>
  <c r="C3018" i="1" a="1"/>
  <c r="C3018" i="1" s="1"/>
  <c r="C3019" i="1" a="1"/>
  <c r="C3019" i="1" s="1"/>
  <c r="C3020" i="1" a="1"/>
  <c r="C3020" i="1" s="1"/>
  <c r="C3021" i="1" a="1"/>
  <c r="C3021" i="1" s="1"/>
  <c r="C3022" i="1" a="1"/>
  <c r="C3022" i="1" s="1"/>
  <c r="C3023" i="1" a="1"/>
  <c r="C3023" i="1" s="1"/>
  <c r="C3024" i="1" a="1"/>
  <c r="C3024" i="1" s="1"/>
  <c r="C3025" i="1" a="1"/>
  <c r="C3025" i="1" s="1"/>
  <c r="C3026" i="1" a="1"/>
  <c r="C3026" i="1" s="1"/>
  <c r="C3027" i="1" a="1"/>
  <c r="C3027" i="1" s="1"/>
  <c r="C3028" i="1" a="1"/>
  <c r="C3028" i="1" s="1"/>
  <c r="C3029" i="1" a="1"/>
  <c r="C3029" i="1" s="1"/>
  <c r="C3030" i="1" a="1"/>
  <c r="C3030" i="1" s="1"/>
  <c r="C3031" i="1" a="1"/>
  <c r="C3031" i="1" s="1"/>
  <c r="C3032" i="1" a="1"/>
  <c r="C3032" i="1" s="1"/>
  <c r="C3033" i="1" a="1"/>
  <c r="C3033" i="1" s="1"/>
  <c r="C3034" i="1" a="1"/>
  <c r="C3034" i="1" s="1"/>
  <c r="C3035" i="1" a="1"/>
  <c r="C3035" i="1" s="1"/>
  <c r="C3036" i="1" a="1"/>
  <c r="C3036" i="1" s="1"/>
  <c r="C3037" i="1" a="1"/>
  <c r="C3037" i="1" s="1"/>
  <c r="C3038" i="1" a="1"/>
  <c r="C3038" i="1" s="1"/>
  <c r="C3039" i="1" a="1"/>
  <c r="C3039" i="1" s="1"/>
  <c r="C3040" i="1" a="1"/>
  <c r="C3040" i="1" s="1"/>
  <c r="C3041" i="1" a="1"/>
  <c r="C3041" i="1" s="1"/>
  <c r="C3042" i="1" a="1"/>
  <c r="C3042" i="1" s="1"/>
  <c r="C3043" i="1" a="1"/>
  <c r="C3043" i="1" s="1"/>
  <c r="C3044" i="1" a="1"/>
  <c r="C3044" i="1" s="1"/>
  <c r="C3045" i="1" a="1"/>
  <c r="C3045" i="1" s="1"/>
  <c r="C3046" i="1" a="1"/>
  <c r="C3046" i="1" s="1"/>
  <c r="C3047" i="1" a="1"/>
  <c r="C3047" i="1" s="1"/>
  <c r="C3048" i="1" a="1"/>
  <c r="C3048" i="1" s="1"/>
  <c r="C3049" i="1" a="1"/>
  <c r="C3049" i="1" s="1"/>
  <c r="C3050" i="1" a="1"/>
  <c r="C3050" i="1" s="1"/>
  <c r="C3051" i="1" a="1"/>
  <c r="C3051" i="1" s="1"/>
  <c r="C3052" i="1" a="1"/>
  <c r="C3052" i="1" s="1"/>
  <c r="C3053" i="1" a="1"/>
  <c r="C3053" i="1" s="1"/>
  <c r="C3054" i="1" a="1"/>
  <c r="C3054" i="1" s="1"/>
  <c r="C3055" i="1" a="1"/>
  <c r="C3055" i="1" s="1"/>
  <c r="C3056" i="1" a="1"/>
  <c r="C3056" i="1" s="1"/>
  <c r="C3057" i="1" a="1"/>
  <c r="C3057" i="1" s="1"/>
  <c r="C3058" i="1" a="1"/>
  <c r="C3058" i="1" s="1"/>
  <c r="C3059" i="1" a="1"/>
  <c r="C3059" i="1" s="1"/>
  <c r="C3060" i="1" a="1"/>
  <c r="C3060" i="1" s="1"/>
  <c r="C3061" i="1" a="1"/>
  <c r="C3061" i="1" s="1"/>
  <c r="C3062" i="1" a="1"/>
  <c r="C3062" i="1" s="1"/>
  <c r="C3063" i="1" a="1"/>
  <c r="C3063" i="1" s="1"/>
  <c r="C3064" i="1" a="1"/>
  <c r="C3064" i="1" s="1"/>
  <c r="C3065" i="1" a="1"/>
  <c r="C3065" i="1" s="1"/>
  <c r="C3066" i="1" a="1"/>
  <c r="C3066" i="1" s="1"/>
  <c r="C3067" i="1" a="1"/>
  <c r="C3067" i="1" s="1"/>
  <c r="C3068" i="1" a="1"/>
  <c r="C3068" i="1" s="1"/>
  <c r="C3069" i="1" a="1"/>
  <c r="C3069" i="1" s="1"/>
  <c r="C3070" i="1" a="1"/>
  <c r="C3070" i="1" s="1"/>
  <c r="C3071" i="1" a="1"/>
  <c r="C3071" i="1" s="1"/>
  <c r="C3072" i="1" a="1"/>
  <c r="C3072" i="1" s="1"/>
  <c r="C3073" i="1" a="1"/>
  <c r="C3073" i="1" s="1"/>
  <c r="C3074" i="1" a="1"/>
  <c r="C3074" i="1" s="1"/>
  <c r="C3075" i="1" a="1"/>
  <c r="C3075" i="1" s="1"/>
  <c r="C3076" i="1" a="1"/>
  <c r="C3076" i="1" s="1"/>
  <c r="C3077" i="1" a="1"/>
  <c r="C3077" i="1" s="1"/>
  <c r="C3078" i="1" a="1"/>
  <c r="C3078" i="1" s="1"/>
  <c r="C3079" i="1" a="1"/>
  <c r="C3079" i="1" s="1"/>
  <c r="C3080" i="1" a="1"/>
  <c r="C3080" i="1" s="1"/>
  <c r="C3081" i="1" a="1"/>
  <c r="C3081" i="1" s="1"/>
  <c r="C3082" i="1" a="1"/>
  <c r="C3082" i="1" s="1"/>
  <c r="C3083" i="1" a="1"/>
  <c r="C3083" i="1" s="1"/>
  <c r="C3084" i="1" a="1"/>
  <c r="C3084" i="1" s="1"/>
  <c r="C3085" i="1" a="1"/>
  <c r="C3085" i="1" s="1"/>
  <c r="C3086" i="1" a="1"/>
  <c r="C3086" i="1" s="1"/>
  <c r="C3087" i="1" a="1"/>
  <c r="C3087" i="1" s="1"/>
  <c r="C3088" i="1" a="1"/>
  <c r="C3088" i="1" s="1"/>
  <c r="C3089" i="1" a="1"/>
  <c r="C3089" i="1" s="1"/>
  <c r="C3090" i="1" a="1"/>
  <c r="C3090" i="1" s="1"/>
  <c r="C3091" i="1" a="1"/>
  <c r="C3091" i="1" s="1"/>
  <c r="C3092" i="1" a="1"/>
  <c r="C3092" i="1" s="1"/>
  <c r="C3093" i="1" a="1"/>
  <c r="C3093" i="1" s="1"/>
  <c r="C3094" i="1" a="1"/>
  <c r="C3094" i="1" s="1"/>
  <c r="C3095" i="1" a="1"/>
  <c r="C3095" i="1" s="1"/>
  <c r="C3096" i="1" a="1"/>
  <c r="C3096" i="1" s="1"/>
  <c r="C3097" i="1" a="1"/>
  <c r="C3097" i="1" s="1"/>
  <c r="C3098" i="1" a="1"/>
  <c r="C3098" i="1" s="1"/>
  <c r="C3099" i="1" a="1"/>
  <c r="C3099" i="1" s="1"/>
  <c r="C3100" i="1" a="1"/>
  <c r="C3100" i="1" s="1"/>
  <c r="C3101" i="1" a="1"/>
  <c r="C3101" i="1" s="1"/>
  <c r="C3102" i="1" a="1"/>
  <c r="C3102" i="1" s="1"/>
  <c r="C3103" i="1" a="1"/>
  <c r="C3103" i="1" s="1"/>
  <c r="C3104" i="1" a="1"/>
  <c r="C3104" i="1" s="1"/>
  <c r="C3105" i="1" a="1"/>
  <c r="C3105" i="1" s="1"/>
  <c r="C3106" i="1" a="1"/>
  <c r="C3106" i="1" s="1"/>
  <c r="C3107" i="1" a="1"/>
  <c r="C3107" i="1" s="1"/>
  <c r="C3108" i="1" a="1"/>
  <c r="C3108" i="1" s="1"/>
  <c r="C3109" i="1" a="1"/>
  <c r="C3109" i="1" s="1"/>
  <c r="C3110" i="1" a="1"/>
  <c r="C3110" i="1" s="1"/>
  <c r="C3111" i="1" a="1"/>
  <c r="C3111" i="1" s="1"/>
  <c r="C3112" i="1" a="1"/>
  <c r="C3112" i="1" s="1"/>
  <c r="C3113" i="1" a="1"/>
  <c r="C3113" i="1" s="1"/>
  <c r="C3114" i="1" a="1"/>
  <c r="C3114" i="1" s="1"/>
  <c r="C3115" i="1" a="1"/>
  <c r="C3115" i="1" s="1"/>
  <c r="C3116" i="1" a="1"/>
  <c r="C3116" i="1" s="1"/>
  <c r="C3117" i="1" a="1"/>
  <c r="C3117" i="1" s="1"/>
  <c r="C3118" i="1" a="1"/>
  <c r="C3118" i="1" s="1"/>
  <c r="C3119" i="1" a="1"/>
  <c r="C3119" i="1" s="1"/>
  <c r="C3120" i="1" a="1"/>
  <c r="C3120" i="1" s="1"/>
  <c r="C3121" i="1" a="1"/>
  <c r="C3121" i="1" s="1"/>
  <c r="C3122" i="1" a="1"/>
  <c r="C3122" i="1" s="1"/>
  <c r="C3123" i="1" a="1"/>
  <c r="C3123" i="1" s="1"/>
  <c r="C3124" i="1" a="1"/>
  <c r="C3124" i="1" s="1"/>
  <c r="C3125" i="1" a="1"/>
  <c r="C3125" i="1" s="1"/>
  <c r="C3126" i="1" a="1"/>
  <c r="C3126" i="1" s="1"/>
  <c r="C3127" i="1" a="1"/>
  <c r="C3127" i="1" s="1"/>
  <c r="C3128" i="1" a="1"/>
  <c r="C3128" i="1" s="1"/>
  <c r="C3129" i="1" a="1"/>
  <c r="C3129" i="1" s="1"/>
  <c r="C3130" i="1" a="1"/>
  <c r="C3130" i="1" s="1"/>
  <c r="C3131" i="1" a="1"/>
  <c r="C3131" i="1" s="1"/>
  <c r="C3132" i="1" a="1"/>
  <c r="C3132" i="1" s="1"/>
  <c r="C3133" i="1" a="1"/>
  <c r="C3133" i="1" s="1"/>
  <c r="C3134" i="1" a="1"/>
  <c r="C3134" i="1" s="1"/>
  <c r="C3135" i="1" a="1"/>
  <c r="C3135" i="1" s="1"/>
  <c r="C3136" i="1" a="1"/>
  <c r="C3136" i="1" s="1"/>
  <c r="C3137" i="1" a="1"/>
  <c r="C3137" i="1" s="1"/>
  <c r="C3138" i="1" a="1"/>
  <c r="C3138" i="1" s="1"/>
  <c r="C3139" i="1" a="1"/>
  <c r="C3139" i="1" s="1"/>
  <c r="C3140" i="1" a="1"/>
  <c r="C3140" i="1" s="1"/>
  <c r="C3141" i="1" a="1"/>
  <c r="C3141" i="1" s="1"/>
  <c r="C3142" i="1" a="1"/>
  <c r="C3142" i="1" s="1"/>
  <c r="C3143" i="1" a="1"/>
  <c r="C3143" i="1" s="1"/>
  <c r="C3144" i="1" a="1"/>
  <c r="C3144" i="1" s="1"/>
  <c r="C3145" i="1" a="1"/>
  <c r="C3145" i="1" s="1"/>
  <c r="C3146" i="1" a="1"/>
  <c r="C3146" i="1" s="1"/>
  <c r="C3147" i="1" a="1"/>
  <c r="C3147" i="1" s="1"/>
  <c r="C3148" i="1" a="1"/>
  <c r="C3148" i="1" s="1"/>
  <c r="C3149" i="1" a="1"/>
  <c r="C3149" i="1" s="1"/>
  <c r="C3150" i="1" a="1"/>
  <c r="C3150" i="1" s="1"/>
  <c r="C3151" i="1" a="1"/>
  <c r="C3151" i="1" s="1"/>
  <c r="C3152" i="1" a="1"/>
  <c r="C3152" i="1" s="1"/>
  <c r="C3153" i="1" a="1"/>
  <c r="C3153" i="1" s="1"/>
  <c r="C3154" i="1" a="1"/>
  <c r="C3154" i="1" s="1"/>
  <c r="C3155" i="1" a="1"/>
  <c r="C3155" i="1" s="1"/>
  <c r="C3156" i="1" a="1"/>
  <c r="C3156" i="1" s="1"/>
  <c r="C3157" i="1" a="1"/>
  <c r="C3157" i="1" s="1"/>
  <c r="C3158" i="1" a="1"/>
  <c r="C3158" i="1" s="1"/>
  <c r="C3159" i="1" a="1"/>
  <c r="C3159" i="1" s="1"/>
  <c r="C3160" i="1" a="1"/>
  <c r="C3160" i="1" s="1"/>
  <c r="C3161" i="1" a="1"/>
  <c r="C3161" i="1" s="1"/>
  <c r="C3162" i="1" a="1"/>
  <c r="C3162" i="1" s="1"/>
  <c r="C3163" i="1" a="1"/>
  <c r="C3163" i="1" s="1"/>
  <c r="C3164" i="1" a="1"/>
  <c r="C3164" i="1" s="1"/>
  <c r="C3165" i="1" a="1"/>
  <c r="C3165" i="1" s="1"/>
  <c r="C3166" i="1" a="1"/>
  <c r="C3166" i="1" s="1"/>
  <c r="C3167" i="1" a="1"/>
  <c r="C3167" i="1" s="1"/>
  <c r="C3168" i="1" a="1"/>
  <c r="C3168" i="1" s="1"/>
  <c r="C3169" i="1" a="1"/>
  <c r="C3169" i="1" s="1"/>
  <c r="C3170" i="1" a="1"/>
  <c r="C3170" i="1" s="1"/>
  <c r="C3171" i="1" a="1"/>
  <c r="C3171" i="1" s="1"/>
  <c r="C3172" i="1" a="1"/>
  <c r="C3172" i="1" s="1"/>
  <c r="C3173" i="1" a="1"/>
  <c r="C3173" i="1" s="1"/>
  <c r="C3174" i="1" a="1"/>
  <c r="C3174" i="1" s="1"/>
  <c r="C3175" i="1" a="1"/>
  <c r="C3175" i="1" s="1"/>
  <c r="C3176" i="1" a="1"/>
  <c r="C3176" i="1" s="1"/>
  <c r="C3177" i="1" a="1"/>
  <c r="C3177" i="1" s="1"/>
  <c r="C3178" i="1" a="1"/>
  <c r="C3178" i="1" s="1"/>
  <c r="C3179" i="1" a="1"/>
  <c r="C3179" i="1" s="1"/>
  <c r="C3180" i="1" a="1"/>
  <c r="C3180" i="1" s="1"/>
  <c r="C3181" i="1" a="1"/>
  <c r="C3181" i="1" s="1"/>
  <c r="C3182" i="1" a="1"/>
  <c r="C3182" i="1" s="1"/>
  <c r="C3183" i="1" a="1"/>
  <c r="C3183" i="1" s="1"/>
  <c r="C3184" i="1" a="1"/>
  <c r="C3184" i="1" s="1"/>
  <c r="C3185" i="1" a="1"/>
  <c r="C3185" i="1" s="1"/>
  <c r="C3186" i="1" a="1"/>
  <c r="C3186" i="1" s="1"/>
  <c r="C3187" i="1" a="1"/>
  <c r="C3187" i="1" s="1"/>
  <c r="C3188" i="1" a="1"/>
  <c r="C3188" i="1" s="1"/>
  <c r="C3189" i="1" a="1"/>
  <c r="C3189" i="1" s="1"/>
  <c r="C3190" i="1" a="1"/>
  <c r="C3190" i="1" s="1"/>
  <c r="C3191" i="1" a="1"/>
  <c r="C3191" i="1" s="1"/>
  <c r="C3192" i="1" a="1"/>
  <c r="C3192" i="1" s="1"/>
  <c r="C3193" i="1" a="1"/>
  <c r="C3193" i="1" s="1"/>
  <c r="C3194" i="1" a="1"/>
  <c r="C3194" i="1" s="1"/>
  <c r="C3195" i="1" a="1"/>
  <c r="C3195" i="1" s="1"/>
  <c r="C3196" i="1" a="1"/>
  <c r="C3196" i="1" s="1"/>
  <c r="C3197" i="1" a="1"/>
  <c r="C3197" i="1" s="1"/>
  <c r="C3198" i="1" a="1"/>
  <c r="C3198" i="1" s="1"/>
  <c r="C3199" i="1" a="1"/>
  <c r="C3199" i="1" s="1"/>
  <c r="C3200" i="1" a="1"/>
  <c r="C3200" i="1" s="1"/>
  <c r="C3201" i="1" a="1"/>
  <c r="C3201" i="1" s="1"/>
  <c r="C3202" i="1" a="1"/>
  <c r="C3202" i="1" s="1"/>
  <c r="C3203" i="1" a="1"/>
  <c r="C3203" i="1" s="1"/>
  <c r="C3204" i="1" a="1"/>
  <c r="C3204" i="1" s="1"/>
  <c r="C3205" i="1" a="1"/>
  <c r="C3205" i="1" s="1"/>
  <c r="C3206" i="1" a="1"/>
  <c r="C3206" i="1" s="1"/>
  <c r="C3207" i="1" a="1"/>
  <c r="C3207" i="1" s="1"/>
  <c r="C3208" i="1" a="1"/>
  <c r="C3208" i="1" s="1"/>
  <c r="C3209" i="1" a="1"/>
  <c r="C3209" i="1" s="1"/>
  <c r="C3210" i="1" a="1"/>
  <c r="C3210" i="1" s="1"/>
  <c r="C3211" i="1" a="1"/>
  <c r="C3211" i="1" s="1"/>
  <c r="C3212" i="1" a="1"/>
  <c r="C3212" i="1" s="1"/>
  <c r="C3213" i="1" a="1"/>
  <c r="C3213" i="1" s="1"/>
  <c r="C3214" i="1" a="1"/>
  <c r="C3214" i="1" s="1"/>
  <c r="C3215" i="1" a="1"/>
  <c r="C3215" i="1" s="1"/>
  <c r="C3216" i="1" a="1"/>
  <c r="C3216" i="1" s="1"/>
  <c r="C3217" i="1" a="1"/>
  <c r="C3217" i="1" s="1"/>
  <c r="C3218" i="1" a="1"/>
  <c r="C3218" i="1" s="1"/>
  <c r="C3219" i="1" a="1"/>
  <c r="C3219" i="1" s="1"/>
  <c r="C3220" i="1" a="1"/>
  <c r="C3220" i="1" s="1"/>
  <c r="C3221" i="1" a="1"/>
  <c r="C3221" i="1" s="1"/>
  <c r="C3222" i="1" a="1"/>
  <c r="C3222" i="1" s="1"/>
  <c r="C3223" i="1" a="1"/>
  <c r="C3223" i="1" s="1"/>
  <c r="C3224" i="1" a="1"/>
  <c r="C3224" i="1" s="1"/>
  <c r="C3225" i="1" a="1"/>
  <c r="C3225" i="1" s="1"/>
  <c r="C3226" i="1" a="1"/>
  <c r="C3226" i="1" s="1"/>
  <c r="C3227" i="1" a="1"/>
  <c r="C3227" i="1" s="1"/>
  <c r="C3228" i="1" a="1"/>
  <c r="C3228" i="1" s="1"/>
  <c r="C3229" i="1" a="1"/>
  <c r="C3229" i="1" s="1"/>
  <c r="C3230" i="1" a="1"/>
  <c r="C3230" i="1" s="1"/>
  <c r="C3231" i="1" a="1"/>
  <c r="C3231" i="1" s="1"/>
  <c r="C3232" i="1" a="1"/>
  <c r="C3232" i="1" s="1"/>
  <c r="C3233" i="1" a="1"/>
  <c r="C3233" i="1" s="1"/>
  <c r="C3234" i="1" a="1"/>
  <c r="C3234" i="1" s="1"/>
  <c r="C3235" i="1" a="1"/>
  <c r="C3235" i="1" s="1"/>
  <c r="C3236" i="1" a="1"/>
  <c r="C3236" i="1" s="1"/>
  <c r="C3237" i="1" a="1"/>
  <c r="C3237" i="1" s="1"/>
  <c r="C3238" i="1" a="1"/>
  <c r="C3238" i="1" s="1"/>
  <c r="C3239" i="1" a="1"/>
  <c r="C3239" i="1" s="1"/>
  <c r="C3240" i="1" a="1"/>
  <c r="C3240" i="1" s="1"/>
  <c r="C3241" i="1" a="1"/>
  <c r="C3241" i="1" s="1"/>
  <c r="C3242" i="1" a="1"/>
  <c r="C3242" i="1" s="1"/>
  <c r="C3243" i="1" a="1"/>
  <c r="C3243" i="1" s="1"/>
  <c r="C3244" i="1" a="1"/>
  <c r="C3244" i="1" s="1"/>
  <c r="C3245" i="1" a="1"/>
  <c r="C3245" i="1" s="1"/>
  <c r="C3246" i="1" a="1"/>
  <c r="C3246" i="1" s="1"/>
  <c r="C3247" i="1" a="1"/>
  <c r="C3247" i="1" s="1"/>
  <c r="C3248" i="1" a="1"/>
  <c r="C3248" i="1" s="1"/>
  <c r="C3249" i="1" a="1"/>
  <c r="C3249" i="1" s="1"/>
  <c r="C3250" i="1" a="1"/>
  <c r="C3250" i="1" s="1"/>
  <c r="C3251" i="1" a="1"/>
  <c r="C3251" i="1" s="1"/>
  <c r="C3252" i="1" a="1"/>
  <c r="C3252" i="1" s="1"/>
  <c r="C3253" i="1" a="1"/>
  <c r="C3253" i="1" s="1"/>
  <c r="C3254" i="1" a="1"/>
  <c r="C3254" i="1" s="1"/>
  <c r="C3255" i="1" a="1"/>
  <c r="C3255" i="1" s="1"/>
  <c r="C3256" i="1" a="1"/>
  <c r="C3256" i="1" s="1"/>
  <c r="C3257" i="1" a="1"/>
  <c r="C3257" i="1" s="1"/>
  <c r="C3258" i="1" a="1"/>
  <c r="C3258" i="1" s="1"/>
  <c r="C3259" i="1" a="1"/>
  <c r="C3259" i="1" s="1"/>
  <c r="C3260" i="1" a="1"/>
  <c r="C3260" i="1" s="1"/>
  <c r="C3261" i="1" a="1"/>
  <c r="C3261" i="1" s="1"/>
  <c r="C3262" i="1" a="1"/>
  <c r="C3262" i="1" s="1"/>
  <c r="C3263" i="1" a="1"/>
  <c r="C3263" i="1" s="1"/>
  <c r="C3264" i="1" a="1"/>
  <c r="C3264" i="1" s="1"/>
  <c r="C3265" i="1" a="1"/>
  <c r="C3265" i="1" s="1"/>
  <c r="C3266" i="1" a="1"/>
  <c r="C3266" i="1" s="1"/>
  <c r="C3267" i="1" a="1"/>
  <c r="C3267" i="1" s="1"/>
  <c r="C3268" i="1" a="1"/>
  <c r="C3268" i="1" s="1"/>
  <c r="C3269" i="1" a="1"/>
  <c r="C3269" i="1" s="1"/>
  <c r="C3270" i="1" a="1"/>
  <c r="C3270" i="1" s="1"/>
  <c r="C3271" i="1" a="1"/>
  <c r="C3271" i="1" s="1"/>
  <c r="C3272" i="1" a="1"/>
  <c r="C3272" i="1" s="1"/>
  <c r="C3273" i="1" a="1"/>
  <c r="C3273" i="1" s="1"/>
  <c r="C3274" i="1" a="1"/>
  <c r="C3274" i="1" s="1"/>
  <c r="C3275" i="1" a="1"/>
  <c r="C3275" i="1" s="1"/>
  <c r="C3276" i="1" a="1"/>
  <c r="C3276" i="1" s="1"/>
  <c r="C3277" i="1" a="1"/>
  <c r="C3277" i="1" s="1"/>
  <c r="C3278" i="1" a="1"/>
  <c r="C3278" i="1" s="1"/>
  <c r="C3279" i="1" a="1"/>
  <c r="C3279" i="1" s="1"/>
  <c r="C3280" i="1" a="1"/>
  <c r="C3280" i="1" s="1"/>
  <c r="C3281" i="1" a="1"/>
  <c r="C3281" i="1" s="1"/>
  <c r="C3282" i="1" a="1"/>
  <c r="C3282" i="1" s="1"/>
  <c r="C3283" i="1" a="1"/>
  <c r="C3283" i="1" s="1"/>
  <c r="C3284" i="1" a="1"/>
  <c r="C3284" i="1" s="1"/>
  <c r="C3285" i="1" a="1"/>
  <c r="C3285" i="1" s="1"/>
  <c r="C3286" i="1" a="1"/>
  <c r="C3286" i="1" s="1"/>
  <c r="C3287" i="1" a="1"/>
  <c r="C3287" i="1" s="1"/>
  <c r="C3288" i="1" a="1"/>
  <c r="C3288" i="1" s="1"/>
  <c r="C3289" i="1" a="1"/>
  <c r="C3289" i="1" s="1"/>
  <c r="C3290" i="1" a="1"/>
  <c r="C3290" i="1" s="1"/>
  <c r="C3291" i="1" a="1"/>
  <c r="C3291" i="1" s="1"/>
  <c r="C3292" i="1" a="1"/>
  <c r="C3292" i="1" s="1"/>
  <c r="C3293" i="1" a="1"/>
  <c r="C3293" i="1" s="1"/>
  <c r="C3294" i="1" a="1"/>
  <c r="C3294" i="1" s="1"/>
  <c r="C3295" i="1" a="1"/>
  <c r="C3295" i="1" s="1"/>
  <c r="C3296" i="1" a="1"/>
  <c r="C3296" i="1" s="1"/>
  <c r="C3297" i="1" a="1"/>
  <c r="C3297" i="1" s="1"/>
  <c r="C3298" i="1" a="1"/>
  <c r="C3298" i="1" s="1"/>
  <c r="C3299" i="1" a="1"/>
  <c r="C3299" i="1" s="1"/>
  <c r="C3300" i="1" a="1"/>
  <c r="C3300" i="1" s="1"/>
  <c r="C3301" i="1" a="1"/>
  <c r="C3301" i="1" s="1"/>
  <c r="C3302" i="1" a="1"/>
  <c r="C3302" i="1" s="1"/>
  <c r="C3303" i="1" a="1"/>
  <c r="C3303" i="1" s="1"/>
  <c r="C3304" i="1" a="1"/>
  <c r="C3304" i="1" s="1"/>
  <c r="C3305" i="1" a="1"/>
  <c r="C3305" i="1" s="1"/>
  <c r="C3306" i="1" a="1"/>
  <c r="C3306" i="1" s="1"/>
  <c r="C3307" i="1" a="1"/>
  <c r="C3307" i="1" s="1"/>
  <c r="C3308" i="1" a="1"/>
  <c r="C3308" i="1" s="1"/>
  <c r="C3309" i="1" a="1"/>
  <c r="C3309" i="1" s="1"/>
  <c r="C3310" i="1" a="1"/>
  <c r="C3310" i="1" s="1"/>
  <c r="C3311" i="1" a="1"/>
  <c r="C3311" i="1" s="1"/>
  <c r="C3312" i="1" a="1"/>
  <c r="C3312" i="1" s="1"/>
  <c r="C3313" i="1" a="1"/>
  <c r="C3313" i="1" s="1"/>
  <c r="C3314" i="1" a="1"/>
  <c r="C3314" i="1" s="1"/>
  <c r="C3315" i="1" a="1"/>
  <c r="C3315" i="1" s="1"/>
  <c r="C3316" i="1" a="1"/>
  <c r="C3316" i="1" s="1"/>
  <c r="C3317" i="1" a="1"/>
  <c r="C3317" i="1" s="1"/>
  <c r="C3318" i="1" a="1"/>
  <c r="C3318" i="1" s="1"/>
  <c r="C3319" i="1" a="1"/>
  <c r="C3319" i="1" s="1"/>
  <c r="C3320" i="1" a="1"/>
  <c r="C3320" i="1" s="1"/>
  <c r="C3321" i="1" a="1"/>
  <c r="C3321" i="1" s="1"/>
  <c r="C3322" i="1" a="1"/>
  <c r="C3322" i="1" s="1"/>
  <c r="C3323" i="1" a="1"/>
  <c r="C3323" i="1" s="1"/>
  <c r="C3324" i="1" a="1"/>
  <c r="C3324" i="1" s="1"/>
  <c r="C3325" i="1" a="1"/>
  <c r="C3325" i="1" s="1"/>
  <c r="C3326" i="1" a="1"/>
  <c r="C3326" i="1" s="1"/>
  <c r="C3327" i="1" a="1"/>
  <c r="C3327" i="1" s="1"/>
  <c r="C3328" i="1" a="1"/>
  <c r="C3328" i="1" s="1"/>
  <c r="C3329" i="1" a="1"/>
  <c r="C3329" i="1" s="1"/>
  <c r="C3330" i="1" a="1"/>
  <c r="C3330" i="1" s="1"/>
  <c r="C3331" i="1" a="1"/>
  <c r="C3331" i="1" s="1"/>
  <c r="C3332" i="1" a="1"/>
  <c r="C3332" i="1" s="1"/>
  <c r="C3333" i="1" a="1"/>
  <c r="C3333" i="1" s="1"/>
  <c r="C3334" i="1" a="1"/>
  <c r="C3334" i="1" s="1"/>
  <c r="C3335" i="1" a="1"/>
  <c r="C3335" i="1" s="1"/>
  <c r="C3336" i="1" a="1"/>
  <c r="C3336" i="1" s="1"/>
  <c r="C3337" i="1" a="1"/>
  <c r="C3337" i="1" s="1"/>
  <c r="C3338" i="1" a="1"/>
  <c r="C3338" i="1" s="1"/>
  <c r="C3339" i="1" a="1"/>
  <c r="C3339" i="1" s="1"/>
  <c r="C3340" i="1" a="1"/>
  <c r="C3340" i="1" s="1"/>
  <c r="C3341" i="1" a="1"/>
  <c r="C3341" i="1" s="1"/>
  <c r="C3342" i="1" a="1"/>
  <c r="C3342" i="1" s="1"/>
  <c r="C3343" i="1" a="1"/>
  <c r="C3343" i="1" s="1"/>
  <c r="C3344" i="1" a="1"/>
  <c r="C3344" i="1" s="1"/>
  <c r="C3345" i="1" a="1"/>
  <c r="C3345" i="1" s="1"/>
  <c r="C3346" i="1" a="1"/>
  <c r="C3346" i="1" s="1"/>
  <c r="C3347" i="1" a="1"/>
  <c r="C3347" i="1" s="1"/>
  <c r="C3348" i="1" a="1"/>
  <c r="C3348" i="1" s="1"/>
  <c r="C3349" i="1" a="1"/>
  <c r="C3349" i="1" s="1"/>
  <c r="C3350" i="1" a="1"/>
  <c r="C3350" i="1" s="1"/>
  <c r="C3351" i="1" a="1"/>
  <c r="C3351" i="1" s="1"/>
  <c r="C3352" i="1" a="1"/>
  <c r="C3352" i="1" s="1"/>
  <c r="C3353" i="1" a="1"/>
  <c r="C3353" i="1" s="1"/>
  <c r="C3354" i="1" a="1"/>
  <c r="C3354" i="1" s="1"/>
  <c r="C3355" i="1" a="1"/>
  <c r="C3355" i="1" s="1"/>
  <c r="C3356" i="1" a="1"/>
  <c r="C3356" i="1" s="1"/>
  <c r="C3357" i="1" a="1"/>
  <c r="C3357" i="1" s="1"/>
  <c r="C3358" i="1" a="1"/>
  <c r="C3358" i="1" s="1"/>
  <c r="C3359" i="1" a="1"/>
  <c r="C3359" i="1" s="1"/>
  <c r="C3360" i="1" a="1"/>
  <c r="C3360" i="1" s="1"/>
  <c r="C3361" i="1" a="1"/>
  <c r="C3361" i="1" s="1"/>
  <c r="C3362" i="1" a="1"/>
  <c r="C3362" i="1" s="1"/>
  <c r="C3363" i="1" a="1"/>
  <c r="C3363" i="1" s="1"/>
  <c r="C3364" i="1" a="1"/>
  <c r="C3364" i="1" s="1"/>
  <c r="C3365" i="1" a="1"/>
  <c r="C3365" i="1" s="1"/>
  <c r="C3366" i="1" a="1"/>
  <c r="C3366" i="1" s="1"/>
  <c r="C3367" i="1" a="1"/>
  <c r="C3367" i="1" s="1"/>
  <c r="C3368" i="1" a="1"/>
  <c r="C3368" i="1" s="1"/>
  <c r="C3369" i="1" a="1"/>
  <c r="C3369" i="1" s="1"/>
  <c r="C3370" i="1" a="1"/>
  <c r="C3370" i="1" s="1"/>
  <c r="C3371" i="1" a="1"/>
  <c r="C3371" i="1" s="1"/>
  <c r="C3372" i="1" a="1"/>
  <c r="C3372" i="1" s="1"/>
  <c r="C3373" i="1" a="1"/>
  <c r="C3373" i="1" s="1"/>
  <c r="C3374" i="1" a="1"/>
  <c r="C3374" i="1" s="1"/>
  <c r="C3375" i="1" a="1"/>
  <c r="C3375" i="1" s="1"/>
  <c r="C3376" i="1" a="1"/>
  <c r="C3376" i="1" s="1"/>
  <c r="C3377" i="1" a="1"/>
  <c r="C3377" i="1" s="1"/>
  <c r="C3378" i="1" a="1"/>
  <c r="C3378" i="1" s="1"/>
  <c r="C3379" i="1" a="1"/>
  <c r="C3379" i="1" s="1"/>
  <c r="C3380" i="1" a="1"/>
  <c r="C3380" i="1" s="1"/>
  <c r="C3381" i="1" a="1"/>
  <c r="C3381" i="1" s="1"/>
  <c r="C3382" i="1" a="1"/>
  <c r="C3382" i="1" s="1"/>
  <c r="C3383" i="1" a="1"/>
  <c r="C3383" i="1" s="1"/>
  <c r="C3384" i="1" a="1"/>
  <c r="C3384" i="1" s="1"/>
  <c r="C3385" i="1" a="1"/>
  <c r="C3385" i="1" s="1"/>
  <c r="C3386" i="1" a="1"/>
  <c r="C3386" i="1" s="1"/>
  <c r="C3387" i="1" a="1"/>
  <c r="C3387" i="1" s="1"/>
  <c r="C3388" i="1" a="1"/>
  <c r="C3388" i="1" s="1"/>
  <c r="C3389" i="1" a="1"/>
  <c r="C3389" i="1" s="1"/>
  <c r="C3390" i="1" a="1"/>
  <c r="C3390" i="1" s="1"/>
  <c r="C3391" i="1" a="1"/>
  <c r="C3391" i="1" s="1"/>
  <c r="C3392" i="1" a="1"/>
  <c r="C3392" i="1" s="1"/>
  <c r="C3393" i="1" a="1"/>
  <c r="C3393" i="1" s="1"/>
  <c r="C3394" i="1" a="1"/>
  <c r="C3394" i="1" s="1"/>
  <c r="C3395" i="1" a="1"/>
  <c r="C3395" i="1" s="1"/>
  <c r="C3396" i="1" a="1"/>
  <c r="C3396" i="1" s="1"/>
  <c r="C3397" i="1" a="1"/>
  <c r="C3397" i="1" s="1"/>
  <c r="C3398" i="1" a="1"/>
  <c r="C3398" i="1" s="1"/>
  <c r="C3399" i="1" a="1"/>
  <c r="C3399" i="1" s="1"/>
  <c r="C3400" i="1" a="1"/>
  <c r="C3400" i="1" s="1"/>
  <c r="C3401" i="1" a="1"/>
  <c r="C3401" i="1" s="1"/>
  <c r="C3402" i="1" a="1"/>
  <c r="C3402" i="1" s="1"/>
  <c r="C3403" i="1" a="1"/>
  <c r="C3403" i="1" s="1"/>
  <c r="C3404" i="1" a="1"/>
  <c r="C3404" i="1" s="1"/>
  <c r="C3405" i="1" a="1"/>
  <c r="C3405" i="1" s="1"/>
  <c r="C3406" i="1" a="1"/>
  <c r="C3406" i="1" s="1"/>
  <c r="C3407" i="1" a="1"/>
  <c r="C3407" i="1" s="1"/>
  <c r="C3408" i="1" a="1"/>
  <c r="C3408" i="1" s="1"/>
  <c r="C3409" i="1" a="1"/>
  <c r="C3409" i="1" s="1"/>
  <c r="C3410" i="1" a="1"/>
  <c r="C3410" i="1" s="1"/>
  <c r="C3411" i="1" a="1"/>
  <c r="C3411" i="1" s="1"/>
  <c r="C3412" i="1" a="1"/>
  <c r="C3412" i="1" s="1"/>
  <c r="C3413" i="1" a="1"/>
  <c r="C3413" i="1" s="1"/>
  <c r="C3414" i="1" a="1"/>
  <c r="C3414" i="1" s="1"/>
  <c r="C3415" i="1" a="1"/>
  <c r="C3415" i="1" s="1"/>
  <c r="C3416" i="1" a="1"/>
  <c r="C3416" i="1" s="1"/>
  <c r="C3417" i="1" a="1"/>
  <c r="C3417" i="1" s="1"/>
  <c r="C3418" i="1" a="1"/>
  <c r="C3418" i="1" s="1"/>
  <c r="C3419" i="1" a="1"/>
  <c r="C3419" i="1" s="1"/>
  <c r="C3420" i="1" a="1"/>
  <c r="C3420" i="1" s="1"/>
  <c r="C3421" i="1" a="1"/>
  <c r="C3421" i="1" s="1"/>
  <c r="C3422" i="1" a="1"/>
  <c r="C3422" i="1" s="1"/>
  <c r="C3423" i="1" a="1"/>
  <c r="C3423" i="1" s="1"/>
  <c r="C3424" i="1" a="1"/>
  <c r="C3424" i="1" s="1"/>
  <c r="C3425" i="1" a="1"/>
  <c r="C3425" i="1" s="1"/>
  <c r="C3426" i="1" a="1"/>
  <c r="C3426" i="1" s="1"/>
  <c r="C3427" i="1" a="1"/>
  <c r="C3427" i="1" s="1"/>
  <c r="C3428" i="1" a="1"/>
  <c r="C3428" i="1" s="1"/>
  <c r="C3429" i="1" a="1"/>
  <c r="C3429" i="1" s="1"/>
  <c r="C3430" i="1" a="1"/>
  <c r="C3430" i="1" s="1"/>
  <c r="C3431" i="1" a="1"/>
  <c r="C3431" i="1" s="1"/>
  <c r="C3432" i="1" a="1"/>
  <c r="C3432" i="1" s="1"/>
  <c r="C3433" i="1" a="1"/>
  <c r="C3433" i="1" s="1"/>
  <c r="C3434" i="1" a="1"/>
  <c r="C3434" i="1" s="1"/>
  <c r="C3435" i="1" a="1"/>
  <c r="C3435" i="1" s="1"/>
  <c r="C3436" i="1" a="1"/>
  <c r="C3436" i="1" s="1"/>
  <c r="C3437" i="1" a="1"/>
  <c r="C3437" i="1" s="1"/>
  <c r="C3438" i="1" a="1"/>
  <c r="C3438" i="1" s="1"/>
  <c r="C3439" i="1" a="1"/>
  <c r="C3439" i="1" s="1"/>
  <c r="C3440" i="1" a="1"/>
  <c r="C3440" i="1" s="1"/>
  <c r="C3441" i="1" a="1"/>
  <c r="C3441" i="1" s="1"/>
  <c r="C3442" i="1" a="1"/>
  <c r="C3442" i="1" s="1"/>
  <c r="C3443" i="1" a="1"/>
  <c r="C3443" i="1" s="1"/>
  <c r="C3444" i="1" a="1"/>
  <c r="C3444" i="1" s="1"/>
  <c r="C3445" i="1" a="1"/>
  <c r="C3445" i="1" s="1"/>
  <c r="C3446" i="1" a="1"/>
  <c r="C3446" i="1" s="1"/>
  <c r="C3447" i="1" a="1"/>
  <c r="C3447" i="1" s="1"/>
  <c r="C3448" i="1" a="1"/>
  <c r="C3448" i="1" s="1"/>
  <c r="C3449" i="1" a="1"/>
  <c r="C3449" i="1" s="1"/>
  <c r="C3450" i="1" a="1"/>
  <c r="C3450" i="1" s="1"/>
  <c r="C3451" i="1" a="1"/>
  <c r="C3451" i="1" s="1"/>
  <c r="C3452" i="1" a="1"/>
  <c r="C3452" i="1" s="1"/>
  <c r="C3453" i="1" a="1"/>
  <c r="C3453" i="1" s="1"/>
  <c r="C3454" i="1" a="1"/>
  <c r="C3454" i="1" s="1"/>
  <c r="C3455" i="1" a="1"/>
  <c r="C3455" i="1" s="1"/>
  <c r="C3456" i="1" a="1"/>
  <c r="C3456" i="1" s="1"/>
  <c r="C3457" i="1" a="1"/>
  <c r="C3457" i="1" s="1"/>
  <c r="C3458" i="1" a="1"/>
  <c r="C3458" i="1" s="1"/>
  <c r="C3459" i="1" a="1"/>
  <c r="C3459" i="1" s="1"/>
  <c r="C3460" i="1" a="1"/>
  <c r="C3460" i="1" s="1"/>
  <c r="C3461" i="1" a="1"/>
  <c r="C3461" i="1" s="1"/>
  <c r="C3462" i="1" a="1"/>
  <c r="C3462" i="1" s="1"/>
  <c r="C3463" i="1" a="1"/>
  <c r="C3463" i="1" s="1"/>
  <c r="C3464" i="1" a="1"/>
  <c r="C3464" i="1" s="1"/>
  <c r="C3465" i="1" a="1"/>
  <c r="C3465" i="1" s="1"/>
  <c r="C3466" i="1" a="1"/>
  <c r="C3466" i="1" s="1"/>
  <c r="C3467" i="1" a="1"/>
  <c r="C3467" i="1" s="1"/>
  <c r="C3468" i="1" a="1"/>
  <c r="C3468" i="1" s="1"/>
  <c r="C3469" i="1" a="1"/>
  <c r="C3469" i="1" s="1"/>
  <c r="C3470" i="1" a="1"/>
  <c r="C3470" i="1" s="1"/>
  <c r="C3471" i="1" a="1"/>
  <c r="C3471" i="1" s="1"/>
  <c r="C3472" i="1" a="1"/>
  <c r="C3472" i="1" s="1"/>
  <c r="C3473" i="1" a="1"/>
  <c r="C3473" i="1" s="1"/>
  <c r="C3474" i="1" a="1"/>
  <c r="C3474" i="1" s="1"/>
  <c r="C3475" i="1" a="1"/>
  <c r="C3475" i="1" s="1"/>
  <c r="C3476" i="1" a="1"/>
  <c r="C3476" i="1" s="1"/>
  <c r="C3477" i="1" a="1"/>
  <c r="C3477" i="1" s="1"/>
  <c r="C3478" i="1" a="1"/>
  <c r="C3478" i="1" s="1"/>
  <c r="C3479" i="1" a="1"/>
  <c r="C3479" i="1" s="1"/>
  <c r="C3480" i="1" a="1"/>
  <c r="C3480" i="1" s="1"/>
  <c r="C3481" i="1" a="1"/>
  <c r="C3481" i="1" s="1"/>
  <c r="C3482" i="1" a="1"/>
  <c r="C3482" i="1" s="1"/>
  <c r="C3483" i="1" a="1"/>
  <c r="C3483" i="1" s="1"/>
  <c r="C3484" i="1" a="1"/>
  <c r="C3484" i="1" s="1"/>
  <c r="C3485" i="1" a="1"/>
  <c r="C3485" i="1" s="1"/>
  <c r="C3486" i="1" a="1"/>
  <c r="C3486" i="1" s="1"/>
  <c r="C3487" i="1" a="1"/>
  <c r="C3487" i="1" s="1"/>
  <c r="C3488" i="1" a="1"/>
  <c r="C3488" i="1" s="1"/>
  <c r="C3489" i="1" a="1"/>
  <c r="C3489" i="1" s="1"/>
  <c r="C3490" i="1" a="1"/>
  <c r="C3490" i="1" s="1"/>
  <c r="C3491" i="1" a="1"/>
  <c r="C3491" i="1" s="1"/>
  <c r="C3492" i="1" a="1"/>
  <c r="C3492" i="1" s="1"/>
  <c r="C3493" i="1" a="1"/>
  <c r="C3493" i="1" s="1"/>
  <c r="C3494" i="1" a="1"/>
  <c r="C3494" i="1" s="1"/>
  <c r="C3495" i="1" a="1"/>
  <c r="C3495" i="1" s="1"/>
  <c r="C3496" i="1" a="1"/>
  <c r="C3496" i="1" s="1"/>
  <c r="C3497" i="1" a="1"/>
  <c r="C3497" i="1" s="1"/>
  <c r="C3498" i="1" a="1"/>
  <c r="C3498" i="1" s="1"/>
  <c r="C3499" i="1" a="1"/>
  <c r="C3499" i="1" s="1"/>
  <c r="C3500" i="1" a="1"/>
  <c r="C3500" i="1" s="1"/>
  <c r="C3501" i="1" a="1"/>
  <c r="C3501" i="1" s="1"/>
  <c r="C3502" i="1" a="1"/>
  <c r="C3502" i="1" s="1"/>
  <c r="C3503" i="1" a="1"/>
  <c r="C3503" i="1" s="1"/>
  <c r="C3504" i="1" a="1"/>
  <c r="C3504" i="1" s="1"/>
  <c r="C3505" i="1" a="1"/>
  <c r="C3505" i="1" s="1"/>
  <c r="C3506" i="1" a="1"/>
  <c r="C3506" i="1" s="1"/>
  <c r="C3507" i="1" a="1"/>
  <c r="C3507" i="1" s="1"/>
  <c r="C3508" i="1" a="1"/>
  <c r="C3508" i="1" s="1"/>
  <c r="C3509" i="1" a="1"/>
  <c r="C3509" i="1" s="1"/>
  <c r="C3510" i="1" a="1"/>
  <c r="C3510" i="1" s="1"/>
  <c r="C3511" i="1" a="1"/>
  <c r="C3511" i="1" s="1"/>
  <c r="C3512" i="1" a="1"/>
  <c r="C3512" i="1" s="1"/>
  <c r="C3513" i="1" a="1"/>
  <c r="C3513" i="1" s="1"/>
  <c r="C3514" i="1" a="1"/>
  <c r="C3514" i="1" s="1"/>
  <c r="C3515" i="1" a="1"/>
  <c r="C3515" i="1" s="1"/>
  <c r="C3516" i="1" a="1"/>
  <c r="C3516" i="1" s="1"/>
  <c r="C3517" i="1" a="1"/>
  <c r="C3517" i="1" s="1"/>
  <c r="C3518" i="1" a="1"/>
  <c r="C3518" i="1" s="1"/>
  <c r="C3519" i="1" a="1"/>
  <c r="C3519" i="1" s="1"/>
  <c r="C3520" i="1" a="1"/>
  <c r="C3520" i="1" s="1"/>
  <c r="C3521" i="1" a="1"/>
  <c r="C3521" i="1" s="1"/>
  <c r="C3522" i="1" a="1"/>
  <c r="C3522" i="1" s="1"/>
  <c r="C3523" i="1" a="1"/>
  <c r="C3523" i="1" s="1"/>
  <c r="C3524" i="1" a="1"/>
  <c r="C3524" i="1" s="1"/>
  <c r="C3525" i="1" a="1"/>
  <c r="C3525" i="1" s="1"/>
  <c r="C3526" i="1" a="1"/>
  <c r="C3526" i="1" s="1"/>
  <c r="C3527" i="1" a="1"/>
  <c r="C3527" i="1" s="1"/>
  <c r="C3528" i="1" a="1"/>
  <c r="C3528" i="1" s="1"/>
  <c r="C3529" i="1" a="1"/>
  <c r="C3529" i="1" s="1"/>
  <c r="C3530" i="1" a="1"/>
  <c r="C3530" i="1" s="1"/>
  <c r="C3531" i="1" a="1"/>
  <c r="C3531" i="1" s="1"/>
  <c r="C3532" i="1" a="1"/>
  <c r="C3532" i="1" s="1"/>
  <c r="C3533" i="1" a="1"/>
  <c r="C3533" i="1" s="1"/>
  <c r="C3534" i="1" a="1"/>
  <c r="C3534" i="1" s="1"/>
  <c r="C3535" i="1" a="1"/>
  <c r="C3535" i="1" s="1"/>
  <c r="C3536" i="1" a="1"/>
  <c r="C3536" i="1" s="1"/>
  <c r="C3537" i="1" a="1"/>
  <c r="C3537" i="1" s="1"/>
  <c r="C3538" i="1" a="1"/>
  <c r="C3538" i="1" s="1"/>
  <c r="C3539" i="1" a="1"/>
  <c r="C3539" i="1" s="1"/>
  <c r="C3540" i="1" a="1"/>
  <c r="C3540" i="1" s="1"/>
  <c r="C3541" i="1" a="1"/>
  <c r="C3541" i="1" s="1"/>
  <c r="C3542" i="1" a="1"/>
  <c r="C3542" i="1" s="1"/>
  <c r="C3543" i="1" a="1"/>
  <c r="C3543" i="1" s="1"/>
  <c r="C3544" i="1" a="1"/>
  <c r="C3544" i="1" s="1"/>
  <c r="C3545" i="1" a="1"/>
  <c r="C3545" i="1" s="1"/>
  <c r="C3546" i="1" a="1"/>
  <c r="C3546" i="1" s="1"/>
  <c r="C3547" i="1" a="1"/>
  <c r="C3547" i="1" s="1"/>
  <c r="C3548" i="1" a="1"/>
  <c r="C3548" i="1" s="1"/>
  <c r="C3549" i="1" a="1"/>
  <c r="C3549" i="1" s="1"/>
  <c r="C3550" i="1" a="1"/>
  <c r="C3550" i="1" s="1"/>
  <c r="C3551" i="1" a="1"/>
  <c r="C3551" i="1" s="1"/>
  <c r="C3552" i="1" a="1"/>
  <c r="C3552" i="1" s="1"/>
  <c r="C3553" i="1" a="1"/>
  <c r="C3553" i="1" s="1"/>
  <c r="C3554" i="1" a="1"/>
  <c r="C3554" i="1" s="1"/>
  <c r="C3555" i="1" a="1"/>
  <c r="C3555" i="1" s="1"/>
  <c r="C3556" i="1" a="1"/>
  <c r="C3556" i="1" s="1"/>
  <c r="C3557" i="1" a="1"/>
  <c r="C3557" i="1" s="1"/>
  <c r="C3558" i="1" a="1"/>
  <c r="C3558" i="1" s="1"/>
  <c r="C3559" i="1" a="1"/>
  <c r="C3559" i="1" s="1"/>
  <c r="C3560" i="1" a="1"/>
  <c r="C3560" i="1" s="1"/>
  <c r="C3561" i="1" a="1"/>
  <c r="C3561" i="1" s="1"/>
  <c r="C3562" i="1" a="1"/>
  <c r="C3562" i="1" s="1"/>
  <c r="C3563" i="1" a="1"/>
  <c r="C3563" i="1" s="1"/>
  <c r="C3564" i="1" a="1"/>
  <c r="C3564" i="1" s="1"/>
  <c r="C3565" i="1" a="1"/>
  <c r="C3565" i="1" s="1"/>
  <c r="C3566" i="1" a="1"/>
  <c r="C3566" i="1" s="1"/>
  <c r="C3567" i="1" a="1"/>
  <c r="C3567" i="1" s="1"/>
  <c r="C3568" i="1" a="1"/>
  <c r="C3568" i="1" s="1"/>
  <c r="C3569" i="1" a="1"/>
  <c r="C3569" i="1" s="1"/>
  <c r="C3570" i="1" a="1"/>
  <c r="C3570" i="1" s="1"/>
  <c r="C3571" i="1" a="1"/>
  <c r="C3571" i="1" s="1"/>
  <c r="C3572" i="1" a="1"/>
  <c r="C3572" i="1" s="1"/>
  <c r="C3573" i="1" a="1"/>
  <c r="C3573" i="1" s="1"/>
  <c r="C3574" i="1" a="1"/>
  <c r="C3574" i="1" s="1"/>
  <c r="C3575" i="1" a="1"/>
  <c r="C3575" i="1" s="1"/>
  <c r="C3576" i="1" a="1"/>
  <c r="C3576" i="1" s="1"/>
  <c r="C3577" i="1" a="1"/>
  <c r="C3577" i="1" s="1"/>
  <c r="C3578" i="1" a="1"/>
  <c r="C3578" i="1" s="1"/>
  <c r="C3579" i="1" a="1"/>
  <c r="C3579" i="1" s="1"/>
  <c r="C3580" i="1" a="1"/>
  <c r="C3580" i="1" s="1"/>
  <c r="C3581" i="1" a="1"/>
  <c r="C3581" i="1" s="1"/>
  <c r="C3582" i="1" a="1"/>
  <c r="C3582" i="1" s="1"/>
  <c r="C3583" i="1" a="1"/>
  <c r="C3583" i="1" s="1"/>
  <c r="C3584" i="1" a="1"/>
  <c r="C3584" i="1" s="1"/>
  <c r="C3585" i="1" a="1"/>
  <c r="C3585" i="1" s="1"/>
  <c r="C3586" i="1" a="1"/>
  <c r="C3586" i="1" s="1"/>
  <c r="C3587" i="1" a="1"/>
  <c r="C3587" i="1" s="1"/>
  <c r="C3588" i="1" a="1"/>
  <c r="C3588" i="1" s="1"/>
  <c r="C3589" i="1" a="1"/>
  <c r="C3589" i="1" s="1"/>
  <c r="C3590" i="1" a="1"/>
  <c r="C3590" i="1" s="1"/>
  <c r="C3591" i="1" a="1"/>
  <c r="C3591" i="1" s="1"/>
  <c r="C3592" i="1" a="1"/>
  <c r="C3592" i="1" s="1"/>
  <c r="C3593" i="1" a="1"/>
  <c r="C3593" i="1" s="1"/>
  <c r="C3594" i="1" a="1"/>
  <c r="C3594" i="1" s="1"/>
  <c r="C3595" i="1" a="1"/>
  <c r="C3595" i="1" s="1"/>
  <c r="C3596" i="1" a="1"/>
  <c r="C3596" i="1" s="1"/>
  <c r="C3597" i="1" a="1"/>
  <c r="C3597" i="1" s="1"/>
  <c r="C3598" i="1" a="1"/>
  <c r="C3598" i="1" s="1"/>
  <c r="C3599" i="1" a="1"/>
  <c r="C3599" i="1" s="1"/>
  <c r="C3600" i="1" a="1"/>
  <c r="C3600" i="1" s="1"/>
  <c r="C3601" i="1" a="1"/>
  <c r="C3601" i="1" s="1"/>
  <c r="C3602" i="1" a="1"/>
  <c r="C3602" i="1" s="1"/>
  <c r="C3603" i="1" a="1"/>
  <c r="C3603" i="1" s="1"/>
  <c r="C3604" i="1" a="1"/>
  <c r="C3604" i="1" s="1"/>
  <c r="C3605" i="1" a="1"/>
  <c r="C3605" i="1" s="1"/>
  <c r="C3606" i="1" a="1"/>
  <c r="C3606" i="1" s="1"/>
  <c r="C3607" i="1" a="1"/>
  <c r="C3607" i="1" s="1"/>
  <c r="C3608" i="1" a="1"/>
  <c r="C3608" i="1" s="1"/>
  <c r="C3609" i="1" a="1"/>
  <c r="C3609" i="1" s="1"/>
  <c r="C3610" i="1" a="1"/>
  <c r="C3610" i="1" s="1"/>
  <c r="C3611" i="1" a="1"/>
  <c r="C3611" i="1" s="1"/>
  <c r="C3612" i="1" a="1"/>
  <c r="C3612" i="1" s="1"/>
  <c r="C3613" i="1" a="1"/>
  <c r="C3613" i="1" s="1"/>
  <c r="C3614" i="1" a="1"/>
  <c r="C3614" i="1" s="1"/>
  <c r="C3615" i="1" a="1"/>
  <c r="C3615" i="1" s="1"/>
  <c r="C3616" i="1" a="1"/>
  <c r="C3616" i="1" s="1"/>
  <c r="C3617" i="1" a="1"/>
  <c r="C3617" i="1" s="1"/>
  <c r="C3618" i="1" a="1"/>
  <c r="C3618" i="1" s="1"/>
  <c r="C3619" i="1" a="1"/>
  <c r="C3619" i="1" s="1"/>
  <c r="C3620" i="1" a="1"/>
  <c r="C3620" i="1" s="1"/>
  <c r="C3621" i="1" a="1"/>
  <c r="C3621" i="1" s="1"/>
  <c r="C3622" i="1" a="1"/>
  <c r="C3622" i="1" s="1"/>
  <c r="C3623" i="1" a="1"/>
  <c r="C3623" i="1" s="1"/>
  <c r="C3624" i="1" a="1"/>
  <c r="C3624" i="1" s="1"/>
  <c r="C3625" i="1" a="1"/>
  <c r="C3625" i="1" s="1"/>
  <c r="C3626" i="1" a="1"/>
  <c r="C3626" i="1" s="1"/>
  <c r="C3627" i="1" a="1"/>
  <c r="C3627" i="1" s="1"/>
  <c r="C3628" i="1" a="1"/>
  <c r="C3628" i="1" s="1"/>
  <c r="C3629" i="1" a="1"/>
  <c r="C3629" i="1" s="1"/>
  <c r="C3630" i="1" a="1"/>
  <c r="C3630" i="1" s="1"/>
  <c r="C3631" i="1" a="1"/>
  <c r="C3631" i="1" s="1"/>
  <c r="C3632" i="1" a="1"/>
  <c r="C3632" i="1" s="1"/>
  <c r="C3633" i="1" a="1"/>
  <c r="C3633" i="1" s="1"/>
  <c r="C3634" i="1" a="1"/>
  <c r="C3634" i="1" s="1"/>
  <c r="C3635" i="1" a="1"/>
  <c r="C3635" i="1" s="1"/>
  <c r="C3636" i="1" a="1"/>
  <c r="C3636" i="1" s="1"/>
  <c r="C3637" i="1" a="1"/>
  <c r="C3637" i="1" s="1"/>
  <c r="C3638" i="1" a="1"/>
  <c r="C3638" i="1" s="1"/>
  <c r="C3639" i="1" a="1"/>
  <c r="C3639" i="1" s="1"/>
  <c r="C3640" i="1" a="1"/>
  <c r="C3640" i="1" s="1"/>
  <c r="C3641" i="1" a="1"/>
  <c r="C3641" i="1" s="1"/>
  <c r="C3642" i="1" a="1"/>
  <c r="C3642" i="1" s="1"/>
  <c r="C3643" i="1" a="1"/>
  <c r="C3643" i="1" s="1"/>
  <c r="C3644" i="1" a="1"/>
  <c r="C3644" i="1" s="1"/>
  <c r="C3645" i="1" a="1"/>
  <c r="C3645" i="1" s="1"/>
  <c r="C3646" i="1" a="1"/>
  <c r="C3646" i="1" s="1"/>
  <c r="C3647" i="1" a="1"/>
  <c r="C3647" i="1" s="1"/>
  <c r="C3648" i="1" a="1"/>
  <c r="C3648" i="1" s="1"/>
  <c r="C3649" i="1" a="1"/>
  <c r="C3649" i="1" s="1"/>
  <c r="C3650" i="1" a="1"/>
  <c r="C3650" i="1" s="1"/>
  <c r="C3651" i="1" a="1"/>
  <c r="C3651" i="1" s="1"/>
  <c r="C3652" i="1" a="1"/>
  <c r="C3652" i="1" s="1"/>
  <c r="C3653" i="1" a="1"/>
  <c r="C3653" i="1" s="1"/>
  <c r="C3654" i="1" a="1"/>
  <c r="C3654" i="1" s="1"/>
  <c r="C3655" i="1" a="1"/>
  <c r="C3655" i="1" s="1"/>
  <c r="C3656" i="1" a="1"/>
  <c r="C3656" i="1" s="1"/>
  <c r="C3657" i="1" a="1"/>
  <c r="C3657" i="1" s="1"/>
  <c r="C3658" i="1" a="1"/>
  <c r="C3658" i="1" s="1"/>
  <c r="C3659" i="1" a="1"/>
  <c r="C3659" i="1" s="1"/>
  <c r="C3660" i="1" a="1"/>
  <c r="C3660" i="1" s="1"/>
  <c r="C3661" i="1" a="1"/>
  <c r="C3661" i="1" s="1"/>
  <c r="C3662" i="1" a="1"/>
  <c r="C3662" i="1" s="1"/>
  <c r="C3663" i="1" a="1"/>
  <c r="C3663" i="1" s="1"/>
  <c r="C3664" i="1" a="1"/>
  <c r="C3664" i="1" s="1"/>
  <c r="C3665" i="1" a="1"/>
  <c r="C3665" i="1" s="1"/>
  <c r="C3666" i="1" a="1"/>
  <c r="C3666" i="1" s="1"/>
  <c r="C3667" i="1" a="1"/>
  <c r="C3667" i="1" s="1"/>
  <c r="C3668" i="1" a="1"/>
  <c r="C3668" i="1" s="1"/>
  <c r="C3669" i="1" a="1"/>
  <c r="C3669" i="1" s="1"/>
  <c r="C3670" i="1" a="1"/>
  <c r="C3670" i="1" s="1"/>
  <c r="C3671" i="1" a="1"/>
  <c r="C3671" i="1" s="1"/>
  <c r="C3672" i="1" a="1"/>
  <c r="C3672" i="1" s="1"/>
  <c r="C3673" i="1" a="1"/>
  <c r="C3673" i="1" s="1"/>
  <c r="C3674" i="1" a="1"/>
  <c r="C3674" i="1" s="1"/>
  <c r="C3675" i="1" a="1"/>
  <c r="C3675" i="1" s="1"/>
  <c r="C3676" i="1" a="1"/>
  <c r="C3676" i="1" s="1"/>
  <c r="C3677" i="1" a="1"/>
  <c r="C3677" i="1" s="1"/>
  <c r="C3678" i="1" a="1"/>
  <c r="C3678" i="1" s="1"/>
  <c r="C3679" i="1" a="1"/>
  <c r="C3679" i="1" s="1"/>
  <c r="C3680" i="1" a="1"/>
  <c r="C3680" i="1" s="1"/>
  <c r="C3681" i="1" a="1"/>
  <c r="C3681" i="1" s="1"/>
  <c r="C3682" i="1" a="1"/>
  <c r="C3682" i="1" s="1"/>
  <c r="C3683" i="1" a="1"/>
  <c r="C3683" i="1" s="1"/>
  <c r="C3684" i="1" a="1"/>
  <c r="C3684" i="1" s="1"/>
  <c r="C3685" i="1" a="1"/>
  <c r="C3685" i="1" s="1"/>
  <c r="C3686" i="1" a="1"/>
  <c r="C3686" i="1" s="1"/>
  <c r="C3687" i="1" a="1"/>
  <c r="C3687" i="1" s="1"/>
  <c r="C3688" i="1" a="1"/>
  <c r="C3688" i="1" s="1"/>
  <c r="C3689" i="1" a="1"/>
  <c r="C3689" i="1" s="1"/>
  <c r="C3690" i="1" a="1"/>
  <c r="C3690" i="1" s="1"/>
  <c r="C3691" i="1" a="1"/>
  <c r="C3691" i="1" s="1"/>
  <c r="C3692" i="1" a="1"/>
  <c r="C3692" i="1" s="1"/>
  <c r="C3693" i="1" a="1"/>
  <c r="C3693" i="1" s="1"/>
  <c r="C3694" i="1" a="1"/>
  <c r="C3694" i="1" s="1"/>
  <c r="C3695" i="1" a="1"/>
  <c r="C3695" i="1" s="1"/>
  <c r="C3696" i="1" a="1"/>
  <c r="C3696" i="1" s="1"/>
  <c r="C3697" i="1" a="1"/>
  <c r="C3697" i="1" s="1"/>
  <c r="C3698" i="1" a="1"/>
  <c r="C3698" i="1" s="1"/>
  <c r="C3699" i="1" a="1"/>
  <c r="C3699" i="1" s="1"/>
  <c r="C3700" i="1" a="1"/>
  <c r="C3700" i="1" s="1"/>
  <c r="C3701" i="1" a="1"/>
  <c r="C3701" i="1" s="1"/>
  <c r="C3702" i="1" a="1"/>
  <c r="C3702" i="1" s="1"/>
  <c r="C3703" i="1" a="1"/>
  <c r="C3703" i="1" s="1"/>
  <c r="C3704" i="1" a="1"/>
  <c r="C3704" i="1" s="1"/>
  <c r="C3705" i="1" a="1"/>
  <c r="C3705" i="1" s="1"/>
  <c r="C3706" i="1" a="1"/>
  <c r="C3706" i="1" s="1"/>
  <c r="C3707" i="1" a="1"/>
  <c r="C3707" i="1" s="1"/>
  <c r="C3708" i="1" a="1"/>
  <c r="C3708" i="1" s="1"/>
  <c r="C3709" i="1" a="1"/>
  <c r="C3709" i="1" s="1"/>
  <c r="C3710" i="1" a="1"/>
  <c r="C3710" i="1" s="1"/>
  <c r="C3711" i="1" a="1"/>
  <c r="C3711" i="1" s="1"/>
  <c r="C3712" i="1" a="1"/>
  <c r="C3712" i="1" s="1"/>
  <c r="C3713" i="1" a="1"/>
  <c r="C3713" i="1" s="1"/>
  <c r="C3714" i="1" a="1"/>
  <c r="C3714" i="1" s="1"/>
  <c r="C3715" i="1" a="1"/>
  <c r="C3715" i="1" s="1"/>
  <c r="C3716" i="1" a="1"/>
  <c r="C3716" i="1" s="1"/>
  <c r="C3717" i="1" a="1"/>
  <c r="C3717" i="1" s="1"/>
  <c r="C3718" i="1" a="1"/>
  <c r="C3718" i="1" s="1"/>
  <c r="C3719" i="1" a="1"/>
  <c r="C3719" i="1" s="1"/>
  <c r="C3720" i="1" a="1"/>
  <c r="C3720" i="1" s="1"/>
  <c r="C3721" i="1" a="1"/>
  <c r="C3721" i="1" s="1"/>
  <c r="C3722" i="1" a="1"/>
  <c r="C3722" i="1" s="1"/>
  <c r="C3723" i="1" a="1"/>
  <c r="C3723" i="1" s="1"/>
  <c r="C3724" i="1" a="1"/>
  <c r="C3724" i="1" s="1"/>
  <c r="C3725" i="1" a="1"/>
  <c r="C3725" i="1" s="1"/>
  <c r="C3726" i="1" a="1"/>
  <c r="C3726" i="1" s="1"/>
  <c r="C3727" i="1" a="1"/>
  <c r="C3727" i="1" s="1"/>
  <c r="C3728" i="1" a="1"/>
  <c r="C3728" i="1" s="1"/>
  <c r="C3729" i="1" a="1"/>
  <c r="C3729" i="1" s="1"/>
  <c r="C3730" i="1" a="1"/>
  <c r="C3730" i="1" s="1"/>
  <c r="C3731" i="1" a="1"/>
  <c r="C3731" i="1" s="1"/>
  <c r="C3732" i="1" a="1"/>
  <c r="C3732" i="1" s="1"/>
  <c r="C3733" i="1" a="1"/>
  <c r="C3733" i="1" s="1"/>
  <c r="C3734" i="1" a="1"/>
  <c r="C3734" i="1" s="1"/>
  <c r="C3735" i="1" a="1"/>
  <c r="C3735" i="1" s="1"/>
  <c r="C3736" i="1" a="1"/>
  <c r="C3736" i="1" s="1"/>
  <c r="C3737" i="1" a="1"/>
  <c r="C3737" i="1" s="1"/>
  <c r="C3738" i="1" a="1"/>
  <c r="C3738" i="1" s="1"/>
  <c r="C3739" i="1" a="1"/>
  <c r="C3739" i="1" s="1"/>
  <c r="C3740" i="1" a="1"/>
  <c r="C3740" i="1" s="1"/>
  <c r="C3741" i="1" a="1"/>
  <c r="C3741" i="1" s="1"/>
  <c r="C3742" i="1" a="1"/>
  <c r="C3742" i="1" s="1"/>
  <c r="C3743" i="1" a="1"/>
  <c r="C3743" i="1" s="1"/>
  <c r="C3744" i="1" a="1"/>
  <c r="C3744" i="1" s="1"/>
  <c r="C3745" i="1" a="1"/>
  <c r="C3745" i="1" s="1"/>
  <c r="C3746" i="1" a="1"/>
  <c r="C3746" i="1" s="1"/>
  <c r="C3747" i="1" a="1"/>
  <c r="C3747" i="1" s="1"/>
  <c r="C3748" i="1" a="1"/>
  <c r="C3748" i="1" s="1"/>
  <c r="C3749" i="1" a="1"/>
  <c r="C3749" i="1" s="1"/>
  <c r="C3750" i="1" a="1"/>
  <c r="C3750" i="1" s="1"/>
  <c r="C3751" i="1" a="1"/>
  <c r="C3751" i="1" s="1"/>
  <c r="C3752" i="1" a="1"/>
  <c r="C3752" i="1" s="1"/>
  <c r="C3753" i="1" a="1"/>
  <c r="C3753" i="1" s="1"/>
  <c r="C3754" i="1" a="1"/>
  <c r="C3754" i="1" s="1"/>
  <c r="C3755" i="1" a="1"/>
  <c r="C3755" i="1" s="1"/>
  <c r="C3756" i="1" a="1"/>
  <c r="C3756" i="1" s="1"/>
  <c r="C3757" i="1" a="1"/>
  <c r="C3757" i="1" s="1"/>
  <c r="C3758" i="1" a="1"/>
  <c r="C3758" i="1" s="1"/>
  <c r="C3759" i="1" a="1"/>
  <c r="C3759" i="1" s="1"/>
  <c r="C3760" i="1" a="1"/>
  <c r="C3760" i="1" s="1"/>
  <c r="C3761" i="1" a="1"/>
  <c r="C3761" i="1" s="1"/>
  <c r="C3762" i="1" a="1"/>
  <c r="C3762" i="1" s="1"/>
  <c r="C3763" i="1" a="1"/>
  <c r="C3763" i="1" s="1"/>
  <c r="C3764" i="1" a="1"/>
  <c r="C3764" i="1" s="1"/>
  <c r="C3765" i="1" a="1"/>
  <c r="C3765" i="1" s="1"/>
  <c r="C3766" i="1" a="1"/>
  <c r="C3766" i="1" s="1"/>
  <c r="C3767" i="1" a="1"/>
  <c r="C3767" i="1" s="1"/>
  <c r="C3768" i="1" a="1"/>
  <c r="C3768" i="1" s="1"/>
  <c r="C3769" i="1" a="1"/>
  <c r="C3769" i="1" s="1"/>
  <c r="C3770" i="1" a="1"/>
  <c r="C3770" i="1" s="1"/>
  <c r="C3771" i="1" a="1"/>
  <c r="C3771" i="1" s="1"/>
  <c r="C3772" i="1" a="1"/>
  <c r="C3772" i="1" s="1"/>
  <c r="C3773" i="1" a="1"/>
  <c r="C3773" i="1" s="1"/>
  <c r="C3774" i="1" a="1"/>
  <c r="C3774" i="1" s="1"/>
  <c r="C3775" i="1" a="1"/>
  <c r="C3775" i="1" s="1"/>
  <c r="C3776" i="1" a="1"/>
  <c r="C3776" i="1" s="1"/>
  <c r="C3777" i="1" a="1"/>
  <c r="C3777" i="1" s="1"/>
  <c r="C3778" i="1" a="1"/>
  <c r="C3778" i="1" s="1"/>
  <c r="C3779" i="1" a="1"/>
  <c r="C3779" i="1" s="1"/>
  <c r="C3780" i="1" a="1"/>
  <c r="C3780" i="1" s="1"/>
  <c r="C3781" i="1" a="1"/>
  <c r="C3781" i="1" s="1"/>
  <c r="C3782" i="1" a="1"/>
  <c r="C3782" i="1" s="1"/>
  <c r="C3783" i="1" a="1"/>
  <c r="C3783" i="1" s="1"/>
  <c r="C3784" i="1" a="1"/>
  <c r="C3784" i="1" s="1"/>
  <c r="C3785" i="1" a="1"/>
  <c r="C3785" i="1" s="1"/>
  <c r="C3786" i="1" a="1"/>
  <c r="C3786" i="1" s="1"/>
  <c r="C3787" i="1" a="1"/>
  <c r="C3787" i="1" s="1"/>
  <c r="C3788" i="1" a="1"/>
  <c r="C3788" i="1" s="1"/>
  <c r="C3789" i="1" a="1"/>
  <c r="C3789" i="1" s="1"/>
  <c r="C3790" i="1" a="1"/>
  <c r="C3790" i="1" s="1"/>
  <c r="C3791" i="1" a="1"/>
  <c r="C3791" i="1" s="1"/>
  <c r="C3792" i="1" a="1"/>
  <c r="C3792" i="1" s="1"/>
  <c r="C3793" i="1" a="1"/>
  <c r="C3793" i="1" s="1"/>
  <c r="C3794" i="1" a="1"/>
  <c r="C3794" i="1" s="1"/>
  <c r="C3795" i="1" a="1"/>
  <c r="C3795" i="1" s="1"/>
  <c r="C3796" i="1" a="1"/>
  <c r="C3796" i="1" s="1"/>
  <c r="C3797" i="1" a="1"/>
  <c r="C3797" i="1" s="1"/>
  <c r="C3798" i="1" a="1"/>
  <c r="C3798" i="1" s="1"/>
  <c r="C3799" i="1" a="1"/>
  <c r="C3799" i="1" s="1"/>
  <c r="C3800" i="1" a="1"/>
  <c r="C3800" i="1" s="1"/>
  <c r="C3801" i="1" a="1"/>
  <c r="C3801" i="1" s="1"/>
  <c r="C3802" i="1" a="1"/>
  <c r="C3802" i="1" s="1"/>
  <c r="C3803" i="1" a="1"/>
  <c r="C3803" i="1" s="1"/>
  <c r="C3804" i="1" a="1"/>
  <c r="C3804" i="1" s="1"/>
  <c r="C3805" i="1" a="1"/>
  <c r="C3805" i="1" s="1"/>
  <c r="C3806" i="1" a="1"/>
  <c r="C3806" i="1" s="1"/>
  <c r="C3807" i="1" a="1"/>
  <c r="C3807" i="1" s="1"/>
  <c r="C3808" i="1" a="1"/>
  <c r="C3808" i="1" s="1"/>
  <c r="C3809" i="1" a="1"/>
  <c r="C3809" i="1" s="1"/>
  <c r="C3810" i="1" a="1"/>
  <c r="C3810" i="1" s="1"/>
  <c r="C3811" i="1" a="1"/>
  <c r="C3811" i="1" s="1"/>
  <c r="C3812" i="1" a="1"/>
  <c r="C3812" i="1" s="1"/>
  <c r="C3813" i="1" a="1"/>
  <c r="C3813" i="1" s="1"/>
  <c r="C3814" i="1" a="1"/>
  <c r="C3814" i="1" s="1"/>
  <c r="C3815" i="1" a="1"/>
  <c r="C3815" i="1" s="1"/>
  <c r="C3816" i="1" a="1"/>
  <c r="C3816" i="1" s="1"/>
  <c r="C3817" i="1" a="1"/>
  <c r="C3817" i="1" s="1"/>
  <c r="C3818" i="1" a="1"/>
  <c r="C3818" i="1" s="1"/>
  <c r="C3819" i="1" a="1"/>
  <c r="C3819" i="1" s="1"/>
  <c r="C3820" i="1" a="1"/>
  <c r="C3820" i="1" s="1"/>
  <c r="C3821" i="1" a="1"/>
  <c r="C3821" i="1" s="1"/>
  <c r="C3822" i="1" a="1"/>
  <c r="C3822" i="1" s="1"/>
  <c r="C3823" i="1" a="1"/>
  <c r="C3823" i="1" s="1"/>
  <c r="C3824" i="1" a="1"/>
  <c r="C3824" i="1" s="1"/>
  <c r="C3825" i="1" a="1"/>
  <c r="C3825" i="1" s="1"/>
  <c r="C3826" i="1" a="1"/>
  <c r="C3826" i="1" s="1"/>
  <c r="C3827" i="1" a="1"/>
  <c r="C3827" i="1" s="1"/>
  <c r="C3828" i="1" a="1"/>
  <c r="C3828" i="1" s="1"/>
  <c r="C3829" i="1" a="1"/>
  <c r="C3829" i="1" s="1"/>
  <c r="C3830" i="1" a="1"/>
  <c r="C3830" i="1" s="1"/>
  <c r="C3831" i="1" a="1"/>
  <c r="C3831" i="1" s="1"/>
  <c r="C3832" i="1" a="1"/>
  <c r="C3832" i="1" s="1"/>
  <c r="C3833" i="1" a="1"/>
  <c r="C3833" i="1" s="1"/>
  <c r="C3834" i="1" a="1"/>
  <c r="C3834" i="1" s="1"/>
  <c r="C3835" i="1" a="1"/>
  <c r="C3835" i="1" s="1"/>
  <c r="C3836" i="1" a="1"/>
  <c r="C3836" i="1" s="1"/>
  <c r="C3837" i="1" a="1"/>
  <c r="C3837" i="1" s="1"/>
  <c r="C3838" i="1" a="1"/>
  <c r="C3838" i="1" s="1"/>
  <c r="C3839" i="1" a="1"/>
  <c r="C3839" i="1" s="1"/>
  <c r="C3840" i="1" a="1"/>
  <c r="C3840" i="1" s="1"/>
  <c r="C3841" i="1" a="1"/>
  <c r="C3841" i="1" s="1"/>
  <c r="C3842" i="1" a="1"/>
  <c r="C3842" i="1" s="1"/>
  <c r="C3843" i="1" a="1"/>
  <c r="C3843" i="1" s="1"/>
  <c r="C3844" i="1" a="1"/>
  <c r="C3844" i="1" s="1"/>
  <c r="C3845" i="1" a="1"/>
  <c r="C3845" i="1" s="1"/>
  <c r="C3846" i="1" a="1"/>
  <c r="C3846" i="1" s="1"/>
  <c r="C3847" i="1" a="1"/>
  <c r="C3847" i="1" s="1"/>
  <c r="C3848" i="1" a="1"/>
  <c r="C3848" i="1" s="1"/>
  <c r="C3849" i="1" a="1"/>
  <c r="C3849" i="1" s="1"/>
  <c r="C3850" i="1" a="1"/>
  <c r="C3850" i="1" s="1"/>
  <c r="C3851" i="1" a="1"/>
  <c r="C3851" i="1" s="1"/>
  <c r="C3852" i="1" a="1"/>
  <c r="C3852" i="1" s="1"/>
  <c r="C3853" i="1" a="1"/>
  <c r="C3853" i="1" s="1"/>
  <c r="C3854" i="1" a="1"/>
  <c r="C3854" i="1" s="1"/>
  <c r="C3855" i="1" a="1"/>
  <c r="C3855" i="1" s="1"/>
  <c r="C3856" i="1" a="1"/>
  <c r="C3856" i="1" s="1"/>
  <c r="C3857" i="1" a="1"/>
  <c r="C3857" i="1" s="1"/>
  <c r="C3858" i="1" a="1"/>
  <c r="C3858" i="1" s="1"/>
  <c r="C3859" i="1" a="1"/>
  <c r="C3859" i="1" s="1"/>
  <c r="C3860" i="1" a="1"/>
  <c r="C3860" i="1" s="1"/>
  <c r="C3861" i="1" a="1"/>
  <c r="C3861" i="1" s="1"/>
  <c r="C3862" i="1" a="1"/>
  <c r="C3862" i="1" s="1"/>
  <c r="C3863" i="1" a="1"/>
  <c r="C3863" i="1" s="1"/>
  <c r="C3864" i="1" a="1"/>
  <c r="C3864" i="1" s="1"/>
  <c r="C3865" i="1" a="1"/>
  <c r="C3865" i="1" s="1"/>
  <c r="C3866" i="1" a="1"/>
  <c r="C3866" i="1" s="1"/>
  <c r="C3867" i="1" a="1"/>
  <c r="C3867" i="1" s="1"/>
  <c r="C3868" i="1" a="1"/>
  <c r="C3868" i="1" s="1"/>
  <c r="C3869" i="1" a="1"/>
  <c r="C3869" i="1" s="1"/>
  <c r="C3870" i="1" a="1"/>
  <c r="C3870" i="1" s="1"/>
  <c r="C3871" i="1" a="1"/>
  <c r="C3871" i="1" s="1"/>
  <c r="C3872" i="1" a="1"/>
  <c r="C3872" i="1" s="1"/>
  <c r="C3873" i="1" a="1"/>
  <c r="C3873" i="1" s="1"/>
  <c r="C3874" i="1" a="1"/>
  <c r="C3874" i="1" s="1"/>
  <c r="C3875" i="1" a="1"/>
  <c r="C3875" i="1" s="1"/>
  <c r="C3876" i="1" a="1"/>
  <c r="C3876" i="1" s="1"/>
  <c r="C3877" i="1" a="1"/>
  <c r="C3877" i="1" s="1"/>
  <c r="C3878" i="1" a="1"/>
  <c r="C3878" i="1" s="1"/>
  <c r="C3879" i="1" a="1"/>
  <c r="C3879" i="1" s="1"/>
  <c r="C3880" i="1" a="1"/>
  <c r="C3880" i="1" s="1"/>
  <c r="C3881" i="1" a="1"/>
  <c r="C3881" i="1" s="1"/>
  <c r="C3882" i="1" a="1"/>
  <c r="C3882" i="1" s="1"/>
  <c r="C3883" i="1" a="1"/>
  <c r="C3883" i="1" s="1"/>
  <c r="C3884" i="1" a="1"/>
  <c r="C3884" i="1" s="1"/>
  <c r="C3885" i="1" a="1"/>
  <c r="C3885" i="1" s="1"/>
  <c r="C3886" i="1" a="1"/>
  <c r="C3886" i="1" s="1"/>
  <c r="C3887" i="1" a="1"/>
  <c r="C3887" i="1" s="1"/>
  <c r="C3888" i="1" a="1"/>
  <c r="C3888" i="1" s="1"/>
  <c r="C3889" i="1" a="1"/>
  <c r="C3889" i="1" s="1"/>
  <c r="C3890" i="1" a="1"/>
  <c r="C3890" i="1" s="1"/>
  <c r="C3891" i="1" a="1"/>
  <c r="C3891" i="1" s="1"/>
  <c r="C3892" i="1" a="1"/>
  <c r="C3892" i="1" s="1"/>
  <c r="C3893" i="1" a="1"/>
  <c r="C3893" i="1" s="1"/>
  <c r="C3894" i="1" a="1"/>
  <c r="C3894" i="1" s="1"/>
  <c r="C3895" i="1" a="1"/>
  <c r="C3895" i="1" s="1"/>
  <c r="C3896" i="1" a="1"/>
  <c r="C3896" i="1" s="1"/>
  <c r="C3897" i="1" a="1"/>
  <c r="C3897" i="1" s="1"/>
  <c r="C3898" i="1" a="1"/>
  <c r="C3898" i="1" s="1"/>
  <c r="C3899" i="1" a="1"/>
  <c r="C3899" i="1" s="1"/>
  <c r="C3900" i="1" a="1"/>
  <c r="C3900" i="1" s="1"/>
  <c r="C3901" i="1" a="1"/>
  <c r="C3901" i="1" s="1"/>
  <c r="C3902" i="1" a="1"/>
  <c r="C3902" i="1" s="1"/>
  <c r="C3903" i="1" a="1"/>
  <c r="C3903" i="1" s="1"/>
  <c r="C3904" i="1" a="1"/>
  <c r="C3904" i="1" s="1"/>
  <c r="C3905" i="1" a="1"/>
  <c r="C3905" i="1" s="1"/>
  <c r="C3906" i="1" a="1"/>
  <c r="C3906" i="1" s="1"/>
  <c r="C3907" i="1" a="1"/>
  <c r="C3907" i="1" s="1"/>
  <c r="C3908" i="1" a="1"/>
  <c r="C3908" i="1" s="1"/>
  <c r="C3909" i="1" a="1"/>
  <c r="C3909" i="1" s="1"/>
  <c r="C3910" i="1" a="1"/>
  <c r="C3910" i="1" s="1"/>
  <c r="C3911" i="1" a="1"/>
  <c r="C3911" i="1" s="1"/>
  <c r="C3912" i="1" a="1"/>
  <c r="C3912" i="1" s="1"/>
  <c r="C3913" i="1" a="1"/>
  <c r="C3913" i="1" s="1"/>
  <c r="C3914" i="1" a="1"/>
  <c r="C3914" i="1" s="1"/>
  <c r="C3915" i="1" a="1"/>
  <c r="C3915" i="1" s="1"/>
  <c r="C3916" i="1" a="1"/>
  <c r="C3916" i="1" s="1"/>
  <c r="C3917" i="1" a="1"/>
  <c r="C3917" i="1" s="1"/>
  <c r="C3918" i="1" a="1"/>
  <c r="C3918" i="1" s="1"/>
  <c r="C3919" i="1" a="1"/>
  <c r="C3919" i="1" s="1"/>
  <c r="C3920" i="1" a="1"/>
  <c r="C3920" i="1" s="1"/>
  <c r="C3921" i="1" a="1"/>
  <c r="C3921" i="1" s="1"/>
  <c r="C3922" i="1" a="1"/>
  <c r="C3922" i="1" s="1"/>
  <c r="C3923" i="1" a="1"/>
  <c r="C3923" i="1" s="1"/>
  <c r="C3924" i="1" a="1"/>
  <c r="C3924" i="1" s="1"/>
  <c r="C3925" i="1" a="1"/>
  <c r="C3925" i="1" s="1"/>
  <c r="C3926" i="1" a="1"/>
  <c r="C3926" i="1" s="1"/>
  <c r="C3927" i="1" a="1"/>
  <c r="C3927" i="1" s="1"/>
  <c r="C3928" i="1" a="1"/>
  <c r="C3928" i="1" s="1"/>
  <c r="C3929" i="1" a="1"/>
  <c r="C3929" i="1" s="1"/>
  <c r="C3930" i="1" a="1"/>
  <c r="C3930" i="1" s="1"/>
  <c r="C3931" i="1" a="1"/>
  <c r="C3931" i="1" s="1"/>
  <c r="C3932" i="1" a="1"/>
  <c r="C3932" i="1" s="1"/>
  <c r="C3933" i="1" a="1"/>
  <c r="C3933" i="1" s="1"/>
  <c r="C3934" i="1" a="1"/>
  <c r="C3934" i="1" s="1"/>
  <c r="C3935" i="1" a="1"/>
  <c r="C3935" i="1" s="1"/>
  <c r="C3936" i="1" a="1"/>
  <c r="C3936" i="1" s="1"/>
  <c r="C3937" i="1" a="1"/>
  <c r="C3937" i="1" s="1"/>
  <c r="C3938" i="1" a="1"/>
  <c r="C3938" i="1" s="1"/>
  <c r="C3939" i="1" a="1"/>
  <c r="C3939" i="1" s="1"/>
  <c r="C3940" i="1" a="1"/>
  <c r="C3940" i="1" s="1"/>
  <c r="C3941" i="1" a="1"/>
  <c r="C3941" i="1" s="1"/>
  <c r="C3942" i="1" a="1"/>
  <c r="C3942" i="1" s="1"/>
  <c r="C3943" i="1" a="1"/>
  <c r="C3943" i="1" s="1"/>
  <c r="C3944" i="1" a="1"/>
  <c r="C3944" i="1" s="1"/>
  <c r="C3945" i="1" a="1"/>
  <c r="C3945" i="1" s="1"/>
  <c r="C3946" i="1" a="1"/>
  <c r="C3946" i="1" s="1"/>
  <c r="C3947" i="1" a="1"/>
  <c r="C3947" i="1" s="1"/>
  <c r="C3948" i="1" a="1"/>
  <c r="C3948" i="1" s="1"/>
  <c r="C3949" i="1" a="1"/>
  <c r="C3949" i="1" s="1"/>
  <c r="C3950" i="1" a="1"/>
  <c r="C3950" i="1" s="1"/>
  <c r="C3951" i="1" a="1"/>
  <c r="C3951" i="1" s="1"/>
  <c r="C3952" i="1" a="1"/>
  <c r="C3952" i="1" s="1"/>
  <c r="C3953" i="1" a="1"/>
  <c r="C3953" i="1" s="1"/>
  <c r="C3954" i="1" a="1"/>
  <c r="C3954" i="1" s="1"/>
  <c r="C3955" i="1" a="1"/>
  <c r="C3955" i="1" s="1"/>
  <c r="C3956" i="1" a="1"/>
  <c r="C3956" i="1" s="1"/>
  <c r="C3957" i="1" a="1"/>
  <c r="C3957" i="1" s="1"/>
  <c r="C3958" i="1" a="1"/>
  <c r="C3958" i="1" s="1"/>
  <c r="C3959" i="1" a="1"/>
  <c r="C3959" i="1" s="1"/>
  <c r="C3960" i="1" a="1"/>
  <c r="C3960" i="1" s="1"/>
  <c r="C3961" i="1" a="1"/>
  <c r="C3961" i="1" s="1"/>
  <c r="C3962" i="1" a="1"/>
  <c r="C3962" i="1" s="1"/>
  <c r="C3963" i="1" a="1"/>
  <c r="C3963" i="1" s="1"/>
  <c r="C3964" i="1" a="1"/>
  <c r="C3964" i="1" s="1"/>
  <c r="C3965" i="1" a="1"/>
  <c r="C3965" i="1" s="1"/>
  <c r="C3966" i="1" a="1"/>
  <c r="C3966" i="1" s="1"/>
  <c r="C3967" i="1" a="1"/>
  <c r="C3967" i="1" s="1"/>
  <c r="C3968" i="1" a="1"/>
  <c r="C3968" i="1" s="1"/>
  <c r="C3969" i="1" a="1"/>
  <c r="C3969" i="1" s="1"/>
  <c r="C3970" i="1" a="1"/>
  <c r="C3970" i="1" s="1"/>
  <c r="C3971" i="1" a="1"/>
  <c r="C3971" i="1" s="1"/>
  <c r="C3972" i="1" a="1"/>
  <c r="C3972" i="1" s="1"/>
  <c r="C3973" i="1" a="1"/>
  <c r="C3973" i="1" s="1"/>
  <c r="C3974" i="1" a="1"/>
  <c r="C3974" i="1" s="1"/>
  <c r="C3975" i="1" a="1"/>
  <c r="C3975" i="1" s="1"/>
  <c r="C3976" i="1" a="1"/>
  <c r="C3976" i="1" s="1"/>
  <c r="C3977" i="1" a="1"/>
  <c r="C3977" i="1" s="1"/>
  <c r="C3978" i="1" a="1"/>
  <c r="C3978" i="1" s="1"/>
  <c r="C3979" i="1" a="1"/>
  <c r="C3979" i="1" s="1"/>
  <c r="C3980" i="1" a="1"/>
  <c r="C3980" i="1" s="1"/>
  <c r="C3981" i="1" a="1"/>
  <c r="C3981" i="1" s="1"/>
  <c r="C3982" i="1" a="1"/>
  <c r="C3982" i="1" s="1"/>
  <c r="C3983" i="1" a="1"/>
  <c r="C3983" i="1" s="1"/>
  <c r="C3984" i="1" a="1"/>
  <c r="C3984" i="1" s="1"/>
  <c r="C3985" i="1" a="1"/>
  <c r="C3985" i="1" s="1"/>
  <c r="C3986" i="1" a="1"/>
  <c r="C3986" i="1" s="1"/>
  <c r="C3987" i="1" a="1"/>
  <c r="C3987" i="1" s="1"/>
  <c r="C3988" i="1" a="1"/>
  <c r="C3988" i="1" s="1"/>
  <c r="C3989" i="1" a="1"/>
  <c r="C3989" i="1" s="1"/>
  <c r="C3990" i="1" a="1"/>
  <c r="C3990" i="1" s="1"/>
  <c r="C3991" i="1" a="1"/>
  <c r="C3991" i="1" s="1"/>
  <c r="C3992" i="1" a="1"/>
  <c r="C3992" i="1" s="1"/>
  <c r="C3993" i="1" a="1"/>
  <c r="C3993" i="1" s="1"/>
  <c r="C3994" i="1" a="1"/>
  <c r="C3994" i="1" s="1"/>
  <c r="C3995" i="1" a="1"/>
  <c r="C3995" i="1" s="1"/>
  <c r="C3996" i="1" a="1"/>
  <c r="C3996" i="1" s="1"/>
  <c r="C3997" i="1" a="1"/>
  <c r="C3997" i="1" s="1"/>
  <c r="C3998" i="1" a="1"/>
  <c r="C3998" i="1" s="1"/>
  <c r="C3999" i="1" a="1"/>
  <c r="C3999" i="1" s="1"/>
  <c r="C4000" i="1" a="1"/>
  <c r="C4000" i="1" s="1"/>
  <c r="C4001" i="1" a="1"/>
  <c r="C4001" i="1" s="1"/>
  <c r="C4002" i="1" a="1"/>
  <c r="C4002" i="1" s="1"/>
  <c r="C4003" i="1" a="1"/>
  <c r="C4003" i="1" s="1"/>
  <c r="C4004" i="1" a="1"/>
  <c r="C4004" i="1" s="1"/>
  <c r="C4005" i="1" a="1"/>
  <c r="C4005" i="1" s="1"/>
  <c r="C4006" i="1" a="1"/>
  <c r="C4006" i="1" s="1"/>
  <c r="C4007" i="1" a="1"/>
  <c r="C4007" i="1" s="1"/>
  <c r="C4008" i="1" a="1"/>
  <c r="C4008" i="1" s="1"/>
  <c r="C4009" i="1" a="1"/>
  <c r="C4009" i="1" s="1"/>
  <c r="C4010" i="1" a="1"/>
  <c r="C4010" i="1" s="1"/>
  <c r="C4011" i="1" a="1"/>
  <c r="C4011" i="1" s="1"/>
  <c r="C4012" i="1" a="1"/>
  <c r="C4012" i="1" s="1"/>
  <c r="C4013" i="1" a="1"/>
  <c r="C4013" i="1" s="1"/>
  <c r="C4014" i="1" a="1"/>
  <c r="C4014" i="1" s="1"/>
  <c r="C4015" i="1" a="1"/>
  <c r="C4015" i="1" s="1"/>
  <c r="C4016" i="1" a="1"/>
  <c r="C4016" i="1" s="1"/>
  <c r="C4017" i="1" a="1"/>
  <c r="C4017" i="1" s="1"/>
  <c r="C4018" i="1" a="1"/>
  <c r="C4018" i="1" s="1"/>
  <c r="C4019" i="1" a="1"/>
  <c r="C4019" i="1" s="1"/>
  <c r="C4020" i="1" a="1"/>
  <c r="C4020" i="1" s="1"/>
  <c r="C4021" i="1" a="1"/>
  <c r="C4021" i="1" s="1"/>
  <c r="C4022" i="1" a="1"/>
  <c r="C4022" i="1" s="1"/>
  <c r="C4023" i="1" a="1"/>
  <c r="C4023" i="1" s="1"/>
  <c r="C4024" i="1" a="1"/>
  <c r="C4024" i="1" s="1"/>
  <c r="C4025" i="1" a="1"/>
  <c r="C4025" i="1" s="1"/>
  <c r="C4026" i="1" a="1"/>
  <c r="C4026" i="1" s="1"/>
  <c r="C4027" i="1" a="1"/>
  <c r="C4027" i="1" s="1"/>
  <c r="C4028" i="1" a="1"/>
  <c r="C4028" i="1" s="1"/>
  <c r="C4029" i="1" a="1"/>
  <c r="C4029" i="1" s="1"/>
  <c r="C4030" i="1" a="1"/>
  <c r="C4030" i="1" s="1"/>
  <c r="C4031" i="1" a="1"/>
  <c r="C4031" i="1" s="1"/>
  <c r="C4032" i="1" a="1"/>
  <c r="C4032" i="1" s="1"/>
  <c r="C4033" i="1" a="1"/>
  <c r="C4033" i="1" s="1"/>
  <c r="C4034" i="1" a="1"/>
  <c r="C4034" i="1" s="1"/>
  <c r="C4035" i="1" a="1"/>
  <c r="C4035" i="1" s="1"/>
  <c r="C4036" i="1" a="1"/>
  <c r="C4036" i="1" s="1"/>
  <c r="C4037" i="1" a="1"/>
  <c r="C4037" i="1" s="1"/>
  <c r="C4038" i="1" a="1"/>
  <c r="C4038" i="1" s="1"/>
  <c r="C4039" i="1" a="1"/>
  <c r="C4039" i="1" s="1"/>
  <c r="C4040" i="1" a="1"/>
  <c r="C4040" i="1" s="1"/>
  <c r="C4041" i="1" a="1"/>
  <c r="C4041" i="1" s="1"/>
  <c r="C4042" i="1" a="1"/>
  <c r="C4042" i="1" s="1"/>
  <c r="C4043" i="1" a="1"/>
  <c r="C4043" i="1" s="1"/>
  <c r="C4044" i="1" a="1"/>
  <c r="C4044" i="1" s="1"/>
  <c r="C4045" i="1" a="1"/>
  <c r="C4045" i="1" s="1"/>
  <c r="C4046" i="1" a="1"/>
  <c r="C4046" i="1" s="1"/>
  <c r="C4047" i="1" a="1"/>
  <c r="C4047" i="1" s="1"/>
  <c r="C4048" i="1" a="1"/>
  <c r="C4048" i="1" s="1"/>
  <c r="C4049" i="1" a="1"/>
  <c r="C4049" i="1" s="1"/>
  <c r="C4050" i="1" a="1"/>
  <c r="C4050" i="1" s="1"/>
  <c r="C4051" i="1" a="1"/>
  <c r="C4051" i="1" s="1"/>
  <c r="C4052" i="1" a="1"/>
  <c r="C4052" i="1" s="1"/>
  <c r="C4053" i="1" a="1"/>
  <c r="C4053" i="1" s="1"/>
  <c r="C4054" i="1" a="1"/>
  <c r="C4054" i="1" s="1"/>
  <c r="C4055" i="1" a="1"/>
  <c r="C4055" i="1" s="1"/>
  <c r="C4056" i="1" a="1"/>
  <c r="C4056" i="1" s="1"/>
  <c r="C4057" i="1" a="1"/>
  <c r="C4057" i="1" s="1"/>
  <c r="C4058" i="1" a="1"/>
  <c r="C4058" i="1" s="1"/>
  <c r="C4059" i="1" a="1"/>
  <c r="C4059" i="1" s="1"/>
  <c r="C4060" i="1" a="1"/>
  <c r="C4060" i="1" s="1"/>
  <c r="C4061" i="1" a="1"/>
  <c r="C4061" i="1" s="1"/>
  <c r="C4062" i="1" a="1"/>
  <c r="C4062" i="1" s="1"/>
  <c r="C4063" i="1" a="1"/>
  <c r="C4063" i="1" s="1"/>
  <c r="C4064" i="1" a="1"/>
  <c r="C4064" i="1" s="1"/>
  <c r="C4065" i="1" a="1"/>
  <c r="C4065" i="1" s="1"/>
  <c r="C4066" i="1" a="1"/>
  <c r="C4066" i="1" s="1"/>
  <c r="C4067" i="1" a="1"/>
  <c r="C4067" i="1" s="1"/>
  <c r="C4068" i="1" a="1"/>
  <c r="C4068" i="1" s="1"/>
  <c r="C4069" i="1" a="1"/>
  <c r="C4069" i="1" s="1"/>
  <c r="C4070" i="1" a="1"/>
  <c r="C4070" i="1" s="1"/>
  <c r="C4071" i="1" a="1"/>
  <c r="C4071" i="1" s="1"/>
  <c r="C4072" i="1" a="1"/>
  <c r="C4072" i="1" s="1"/>
  <c r="C4073" i="1" a="1"/>
  <c r="C4073" i="1" s="1"/>
  <c r="C4074" i="1" a="1"/>
  <c r="C4074" i="1" s="1"/>
  <c r="C4075" i="1" a="1"/>
  <c r="C4075" i="1" s="1"/>
  <c r="C4076" i="1" a="1"/>
  <c r="C4076" i="1" s="1"/>
  <c r="C4077" i="1" a="1"/>
  <c r="C4077" i="1" s="1"/>
  <c r="C4078" i="1" a="1"/>
  <c r="C4078" i="1" s="1"/>
  <c r="C4079" i="1" a="1"/>
  <c r="C4079" i="1" s="1"/>
  <c r="C4080" i="1" a="1"/>
  <c r="C4080" i="1" s="1"/>
  <c r="C4081" i="1" a="1"/>
  <c r="C4081" i="1" s="1"/>
  <c r="C4082" i="1" a="1"/>
  <c r="C4082" i="1" s="1"/>
  <c r="C4083" i="1" a="1"/>
  <c r="C4083" i="1" s="1"/>
  <c r="C4084" i="1" a="1"/>
  <c r="C4084" i="1" s="1"/>
  <c r="C4085" i="1" a="1"/>
  <c r="C4085" i="1" s="1"/>
  <c r="C4086" i="1" a="1"/>
  <c r="C4086" i="1" s="1"/>
  <c r="C4087" i="1" a="1"/>
  <c r="C4087" i="1" s="1"/>
  <c r="C4088" i="1" a="1"/>
  <c r="C4088" i="1" s="1"/>
  <c r="C4089" i="1" a="1"/>
  <c r="C4089" i="1" s="1"/>
  <c r="C4090" i="1" a="1"/>
  <c r="C4090" i="1" s="1"/>
  <c r="C4091" i="1" a="1"/>
  <c r="C4091" i="1" s="1"/>
  <c r="C4092" i="1" a="1"/>
  <c r="C4092" i="1" s="1"/>
  <c r="C4093" i="1" a="1"/>
  <c r="C4093" i="1" s="1"/>
  <c r="C4094" i="1" a="1"/>
  <c r="C4094" i="1" s="1"/>
  <c r="C4095" i="1" a="1"/>
  <c r="C4095" i="1" s="1"/>
  <c r="C4096" i="1" a="1"/>
  <c r="C4096" i="1" s="1"/>
  <c r="C4097" i="1" a="1"/>
  <c r="C4097" i="1" s="1"/>
  <c r="C4098" i="1" a="1"/>
  <c r="C4098" i="1" s="1"/>
  <c r="C4099" i="1" a="1"/>
  <c r="C4099" i="1" s="1"/>
  <c r="C4100" i="1" a="1"/>
  <c r="C4100" i="1" s="1"/>
  <c r="C4101" i="1" a="1"/>
  <c r="C4101" i="1" s="1"/>
  <c r="C4102" i="1" a="1"/>
  <c r="C4102" i="1" s="1"/>
  <c r="C4103" i="1" a="1"/>
  <c r="C4103" i="1" s="1"/>
  <c r="C4104" i="1" a="1"/>
  <c r="C4104" i="1" s="1"/>
  <c r="C4105" i="1" a="1"/>
  <c r="C4105" i="1" s="1"/>
  <c r="C4106" i="1" a="1"/>
  <c r="C4106" i="1" s="1"/>
  <c r="C4107" i="1" a="1"/>
  <c r="C4107" i="1" s="1"/>
  <c r="C4108" i="1" a="1"/>
  <c r="C4108" i="1" s="1"/>
  <c r="C4109" i="1" a="1"/>
  <c r="C4109" i="1" s="1"/>
  <c r="C4110" i="1" a="1"/>
  <c r="C4110" i="1" s="1"/>
  <c r="C4111" i="1" a="1"/>
  <c r="C4111" i="1" s="1"/>
  <c r="C4112" i="1" a="1"/>
  <c r="C4112" i="1" s="1"/>
  <c r="C4113" i="1" a="1"/>
  <c r="C4113" i="1" s="1"/>
  <c r="C4114" i="1" a="1"/>
  <c r="C4114" i="1" s="1"/>
  <c r="C4115" i="1" a="1"/>
  <c r="C4115" i="1" s="1"/>
  <c r="C4116" i="1" a="1"/>
  <c r="C4116" i="1" s="1"/>
  <c r="C4117" i="1" a="1"/>
  <c r="C4117" i="1" s="1"/>
  <c r="C4118" i="1" a="1"/>
  <c r="C4118" i="1" s="1"/>
  <c r="C4119" i="1" a="1"/>
  <c r="C4119" i="1" s="1"/>
  <c r="C4120" i="1" a="1"/>
  <c r="C4120" i="1" s="1"/>
  <c r="C4121" i="1" a="1"/>
  <c r="C4121" i="1" s="1"/>
  <c r="C4122" i="1" a="1"/>
  <c r="C4122" i="1" s="1"/>
  <c r="C4123" i="1" a="1"/>
  <c r="C4123" i="1" s="1"/>
  <c r="C4124" i="1" a="1"/>
  <c r="C4124" i="1" s="1"/>
  <c r="C4125" i="1" a="1"/>
  <c r="C4125" i="1" s="1"/>
  <c r="C4126" i="1" a="1"/>
  <c r="C4126" i="1" s="1"/>
  <c r="C4127" i="1" a="1"/>
  <c r="C4127" i="1" s="1"/>
  <c r="C4128" i="1" a="1"/>
  <c r="C4128" i="1" s="1"/>
  <c r="C4129" i="1" a="1"/>
  <c r="C4129" i="1" s="1"/>
  <c r="C4130" i="1" a="1"/>
  <c r="C4130" i="1" s="1"/>
  <c r="C4131" i="1" a="1"/>
  <c r="C4131" i="1" s="1"/>
  <c r="C4132" i="1" a="1"/>
  <c r="C4132" i="1" s="1"/>
  <c r="C4133" i="1" a="1"/>
  <c r="C4133" i="1" s="1"/>
  <c r="C4134" i="1" a="1"/>
  <c r="C4134" i="1" s="1"/>
  <c r="C4135" i="1" a="1"/>
  <c r="C4135" i="1" s="1"/>
  <c r="C4136" i="1" a="1"/>
  <c r="C4136" i="1" s="1"/>
  <c r="C4137" i="1" a="1"/>
  <c r="C4137" i="1" s="1"/>
  <c r="C4138" i="1" a="1"/>
  <c r="C4138" i="1" s="1"/>
  <c r="C4139" i="1" a="1"/>
  <c r="C4139" i="1" s="1"/>
  <c r="C4140" i="1" a="1"/>
  <c r="C4140" i="1" s="1"/>
  <c r="C4141" i="1" a="1"/>
  <c r="C4141" i="1" s="1"/>
  <c r="C4142" i="1" a="1"/>
  <c r="C4142" i="1" s="1"/>
  <c r="C4143" i="1" a="1"/>
  <c r="C4143" i="1" s="1"/>
  <c r="C4144" i="1" a="1"/>
  <c r="C4144" i="1" s="1"/>
  <c r="C4145" i="1" a="1"/>
  <c r="C4145" i="1" s="1"/>
  <c r="C4146" i="1" a="1"/>
  <c r="C4146" i="1" s="1"/>
  <c r="C4147" i="1" a="1"/>
  <c r="C4147" i="1" s="1"/>
  <c r="C4148" i="1" a="1"/>
  <c r="C4148" i="1" s="1"/>
  <c r="C4149" i="1" a="1"/>
  <c r="C4149" i="1" s="1"/>
  <c r="C4150" i="1" a="1"/>
  <c r="C4150" i="1" s="1"/>
  <c r="C4151" i="1" a="1"/>
  <c r="C4151" i="1" s="1"/>
  <c r="C4152" i="1" a="1"/>
  <c r="C4152" i="1" s="1"/>
  <c r="C4153" i="1" a="1"/>
  <c r="C4153" i="1" s="1"/>
  <c r="C4154" i="1" a="1"/>
  <c r="C4154" i="1" s="1"/>
  <c r="C4155" i="1" a="1"/>
  <c r="C4155" i="1" s="1"/>
  <c r="C4156" i="1" a="1"/>
  <c r="C4156" i="1" s="1"/>
  <c r="C4157" i="1" a="1"/>
  <c r="C4157" i="1" s="1"/>
  <c r="C4158" i="1" a="1"/>
  <c r="C4158" i="1" s="1"/>
  <c r="C4159" i="1" a="1"/>
  <c r="C4159" i="1" s="1"/>
  <c r="C4160" i="1" a="1"/>
  <c r="C4160" i="1" s="1"/>
  <c r="C4161" i="1" a="1"/>
  <c r="C4161" i="1" s="1"/>
  <c r="C4162" i="1" a="1"/>
  <c r="C4162" i="1" s="1"/>
  <c r="C4163" i="1" a="1"/>
  <c r="C4163" i="1" s="1"/>
  <c r="C4164" i="1" a="1"/>
  <c r="C4164" i="1" s="1"/>
  <c r="C4165" i="1" a="1"/>
  <c r="C4165" i="1" s="1"/>
  <c r="C4166" i="1" a="1"/>
  <c r="C4166" i="1" s="1"/>
  <c r="C4167" i="1" a="1"/>
  <c r="C4167" i="1" s="1"/>
  <c r="C4168" i="1" a="1"/>
  <c r="C4168" i="1" s="1"/>
  <c r="C4169" i="1" a="1"/>
  <c r="C4169" i="1" s="1"/>
  <c r="C4170" i="1" a="1"/>
  <c r="C4170" i="1" s="1"/>
  <c r="C4171" i="1" a="1"/>
  <c r="C4171" i="1" s="1"/>
  <c r="C4172" i="1" a="1"/>
  <c r="C4172" i="1" s="1"/>
  <c r="C4173" i="1" a="1"/>
  <c r="C4173" i="1" s="1"/>
  <c r="C4174" i="1" a="1"/>
  <c r="C4174" i="1" s="1"/>
  <c r="C4175" i="1" a="1"/>
  <c r="C4175" i="1" s="1"/>
  <c r="C4176" i="1" a="1"/>
  <c r="C4176" i="1" s="1"/>
  <c r="C4177" i="1" a="1"/>
  <c r="C4177" i="1" s="1"/>
  <c r="C4178" i="1" a="1"/>
  <c r="C4178" i="1" s="1"/>
  <c r="C4179" i="1" a="1"/>
  <c r="C4179" i="1" s="1"/>
  <c r="C4180" i="1" a="1"/>
  <c r="C4180" i="1" s="1"/>
  <c r="C4181" i="1" a="1"/>
  <c r="C4181" i="1" s="1"/>
  <c r="C4182" i="1" a="1"/>
  <c r="C4182" i="1" s="1"/>
  <c r="C4183" i="1" a="1"/>
  <c r="C4183" i="1" s="1"/>
  <c r="C4184" i="1" a="1"/>
  <c r="C4184" i="1" s="1"/>
  <c r="C4185" i="1" a="1"/>
  <c r="C4185" i="1" s="1"/>
  <c r="C4186" i="1" a="1"/>
  <c r="C4186" i="1" s="1"/>
  <c r="C4187" i="1" a="1"/>
  <c r="C4187" i="1" s="1"/>
  <c r="C4188" i="1" a="1"/>
  <c r="C4188" i="1" s="1"/>
  <c r="C4189" i="1" a="1"/>
  <c r="C4189" i="1" s="1"/>
  <c r="C4190" i="1" a="1"/>
  <c r="C4190" i="1" s="1"/>
  <c r="C4191" i="1" a="1"/>
  <c r="C4191" i="1" s="1"/>
  <c r="C4192" i="1" a="1"/>
  <c r="C4192" i="1" s="1"/>
  <c r="C4193" i="1" a="1"/>
  <c r="C4193" i="1" s="1"/>
  <c r="C4194" i="1" a="1"/>
  <c r="C4194" i="1" s="1"/>
  <c r="C4195" i="1" a="1"/>
  <c r="C4195" i="1" s="1"/>
  <c r="C4196" i="1" a="1"/>
  <c r="C4196" i="1" s="1"/>
  <c r="C4197" i="1" a="1"/>
  <c r="C4197" i="1" s="1"/>
  <c r="C4198" i="1" a="1"/>
  <c r="C4198" i="1" s="1"/>
  <c r="C4199" i="1" a="1"/>
  <c r="C4199" i="1" s="1"/>
  <c r="C4200" i="1" a="1"/>
  <c r="C4200" i="1" s="1"/>
  <c r="C4201" i="1" a="1"/>
  <c r="C4201" i="1" s="1"/>
  <c r="C4202" i="1" a="1"/>
  <c r="C4202" i="1" s="1"/>
  <c r="C4203" i="1" a="1"/>
  <c r="C4203" i="1" s="1"/>
  <c r="C4204" i="1" a="1"/>
  <c r="C4204" i="1" s="1"/>
  <c r="C4205" i="1" a="1"/>
  <c r="C4205" i="1" s="1"/>
  <c r="C4206" i="1" a="1"/>
  <c r="C4206" i="1" s="1"/>
  <c r="C4207" i="1" a="1"/>
  <c r="C4207" i="1" s="1"/>
  <c r="C4208" i="1" a="1"/>
  <c r="C4208" i="1" s="1"/>
  <c r="C4209" i="1" a="1"/>
  <c r="C4209" i="1" s="1"/>
  <c r="C4210" i="1" a="1"/>
  <c r="C4210" i="1" s="1"/>
  <c r="C4211" i="1" a="1"/>
  <c r="C4211" i="1" s="1"/>
  <c r="C4212" i="1" a="1"/>
  <c r="C4212" i="1" s="1"/>
  <c r="C4213" i="1" a="1"/>
  <c r="C4213" i="1" s="1"/>
  <c r="C4214" i="1" a="1"/>
  <c r="C4214" i="1" s="1"/>
  <c r="C4215" i="1" a="1"/>
  <c r="C4215" i="1" s="1"/>
  <c r="C4216" i="1" a="1"/>
  <c r="C4216" i="1" s="1"/>
  <c r="C4217" i="1" a="1"/>
  <c r="C4217" i="1" s="1"/>
  <c r="C4218" i="1" a="1"/>
  <c r="C4218" i="1" s="1"/>
  <c r="C4219" i="1" a="1"/>
  <c r="C4219" i="1" s="1"/>
  <c r="C4220" i="1" a="1"/>
  <c r="C4220" i="1" s="1"/>
  <c r="C4221" i="1" a="1"/>
  <c r="C4221" i="1" s="1"/>
  <c r="C4222" i="1" a="1"/>
  <c r="C4222" i="1" s="1"/>
  <c r="C4223" i="1" a="1"/>
  <c r="C4223" i="1" s="1"/>
  <c r="C4224" i="1" a="1"/>
  <c r="C4224" i="1" s="1"/>
  <c r="C4225" i="1" a="1"/>
  <c r="C4225" i="1" s="1"/>
  <c r="C4226" i="1" a="1"/>
  <c r="C4226" i="1" s="1"/>
  <c r="C4227" i="1" a="1"/>
  <c r="C4227" i="1" s="1"/>
  <c r="C4228" i="1" a="1"/>
  <c r="C4228" i="1" s="1"/>
  <c r="C4229" i="1" a="1"/>
  <c r="C4229" i="1" s="1"/>
  <c r="C4230" i="1" a="1"/>
  <c r="C4230" i="1" s="1"/>
  <c r="C4231" i="1" a="1"/>
  <c r="C4231" i="1" s="1"/>
  <c r="C4232" i="1" a="1"/>
  <c r="C4232" i="1" s="1"/>
  <c r="C4233" i="1" a="1"/>
  <c r="C4233" i="1" s="1"/>
  <c r="C4234" i="1" a="1"/>
  <c r="C4234" i="1" s="1"/>
  <c r="C4235" i="1" a="1"/>
  <c r="C4235" i="1" s="1"/>
  <c r="C4236" i="1" a="1"/>
  <c r="C4236" i="1" s="1"/>
  <c r="C4237" i="1" a="1"/>
  <c r="C4237" i="1" s="1"/>
  <c r="C4238" i="1" a="1"/>
  <c r="C4238" i="1" s="1"/>
  <c r="C4239" i="1" a="1"/>
  <c r="C4239" i="1" s="1"/>
  <c r="C4240" i="1" a="1"/>
  <c r="C4240" i="1" s="1"/>
  <c r="C4241" i="1" a="1"/>
  <c r="C4241" i="1" s="1"/>
  <c r="C4242" i="1" a="1"/>
  <c r="C4242" i="1" s="1"/>
  <c r="C4243" i="1" a="1"/>
  <c r="C4243" i="1" s="1"/>
  <c r="C4244" i="1" a="1"/>
  <c r="C4244" i="1" s="1"/>
  <c r="C4245" i="1" a="1"/>
  <c r="C4245" i="1" s="1"/>
  <c r="C4246" i="1" a="1"/>
  <c r="C4246" i="1" s="1"/>
  <c r="C4247" i="1" a="1"/>
  <c r="C4247" i="1" s="1"/>
  <c r="C4248" i="1" a="1"/>
  <c r="C4248" i="1" s="1"/>
  <c r="C4249" i="1" a="1"/>
  <c r="C4249" i="1" s="1"/>
  <c r="C4250" i="1" a="1"/>
  <c r="C4250" i="1" s="1"/>
  <c r="C4251" i="1" a="1"/>
  <c r="C4251" i="1" s="1"/>
  <c r="C4252" i="1" a="1"/>
  <c r="C4252" i="1" s="1"/>
  <c r="C4253" i="1" a="1"/>
  <c r="C4253" i="1" s="1"/>
  <c r="C4254" i="1" a="1"/>
  <c r="C4254" i="1" s="1"/>
  <c r="C4255" i="1" a="1"/>
  <c r="C4255" i="1" s="1"/>
  <c r="C4256" i="1" a="1"/>
  <c r="C4256" i="1" s="1"/>
  <c r="C4257" i="1" a="1"/>
  <c r="C4257" i="1" s="1"/>
  <c r="C4258" i="1" a="1"/>
  <c r="C4258" i="1" s="1"/>
  <c r="C4259" i="1" a="1"/>
  <c r="C4259" i="1" s="1"/>
  <c r="C4260" i="1" a="1"/>
  <c r="C4260" i="1" s="1"/>
  <c r="C4261" i="1" a="1"/>
  <c r="C4261" i="1" s="1"/>
  <c r="C4262" i="1" a="1"/>
  <c r="C4262" i="1" s="1"/>
  <c r="C4263" i="1" a="1"/>
  <c r="C4263" i="1" s="1"/>
  <c r="C4264" i="1" a="1"/>
  <c r="C4264" i="1" s="1"/>
  <c r="C4265" i="1" a="1"/>
  <c r="C4265" i="1" s="1"/>
  <c r="C4266" i="1" a="1"/>
  <c r="C4266" i="1" s="1"/>
  <c r="C4267" i="1" a="1"/>
  <c r="C4267" i="1" s="1"/>
  <c r="C4268" i="1" a="1"/>
  <c r="C4268" i="1" s="1"/>
  <c r="C4269" i="1" a="1"/>
  <c r="C4269" i="1" s="1"/>
  <c r="C4270" i="1" a="1"/>
  <c r="C4270" i="1" s="1"/>
  <c r="C4271" i="1" a="1"/>
  <c r="C4271" i="1" s="1"/>
  <c r="C4272" i="1" a="1"/>
  <c r="C4272" i="1" s="1"/>
  <c r="C4273" i="1" a="1"/>
  <c r="C4273" i="1" s="1"/>
  <c r="C4274" i="1" a="1"/>
  <c r="C4274" i="1" s="1"/>
  <c r="C4275" i="1" a="1"/>
  <c r="C4275" i="1" s="1"/>
  <c r="C4276" i="1" a="1"/>
  <c r="C4276" i="1" s="1"/>
  <c r="C4277" i="1" a="1"/>
  <c r="C4277" i="1" s="1"/>
  <c r="C4278" i="1" a="1"/>
  <c r="C4278" i="1" s="1"/>
  <c r="C4279" i="1" a="1"/>
  <c r="C4279" i="1" s="1"/>
  <c r="C4280" i="1" a="1"/>
  <c r="C4280" i="1" s="1"/>
  <c r="C4281" i="1" a="1"/>
  <c r="C4281" i="1" s="1"/>
  <c r="C4282" i="1" a="1"/>
  <c r="C4282" i="1" s="1"/>
  <c r="C4283" i="1" a="1"/>
  <c r="C4283" i="1" s="1"/>
  <c r="C4284" i="1" a="1"/>
  <c r="C4284" i="1" s="1"/>
  <c r="C4285" i="1" a="1"/>
  <c r="C4285" i="1" s="1"/>
  <c r="C4286" i="1" a="1"/>
  <c r="C4286" i="1" s="1"/>
  <c r="C4287" i="1" a="1"/>
  <c r="C4287" i="1" s="1"/>
  <c r="C4288" i="1" a="1"/>
  <c r="C4288" i="1" s="1"/>
  <c r="C4289" i="1" a="1"/>
  <c r="C4289" i="1" s="1"/>
  <c r="C4290" i="1" a="1"/>
  <c r="C4290" i="1" s="1"/>
  <c r="C4291" i="1" a="1"/>
  <c r="C4291" i="1" s="1"/>
  <c r="C4292" i="1" a="1"/>
  <c r="C4292" i="1" s="1"/>
  <c r="C4293" i="1" a="1"/>
  <c r="C4293" i="1" s="1"/>
  <c r="C4294" i="1" a="1"/>
  <c r="C4294" i="1" s="1"/>
  <c r="C4295" i="1" a="1"/>
  <c r="C4295" i="1" s="1"/>
  <c r="C4296" i="1" a="1"/>
  <c r="C4296" i="1" s="1"/>
  <c r="C4297" i="1" a="1"/>
  <c r="C4297" i="1" s="1"/>
  <c r="C4298" i="1" a="1"/>
  <c r="C4298" i="1" s="1"/>
  <c r="C4299" i="1" a="1"/>
  <c r="C4299" i="1" s="1"/>
  <c r="C4300" i="1" a="1"/>
  <c r="C4300" i="1" s="1"/>
  <c r="C4301" i="1" a="1"/>
  <c r="C4301" i="1" s="1"/>
  <c r="C4302" i="1" a="1"/>
  <c r="C4302" i="1" s="1"/>
  <c r="C4303" i="1" a="1"/>
  <c r="C4303" i="1" s="1"/>
  <c r="C4304" i="1" a="1"/>
  <c r="C4304" i="1" s="1"/>
  <c r="C4305" i="1" a="1"/>
  <c r="C4305" i="1" s="1"/>
  <c r="C4306" i="1" a="1"/>
  <c r="C4306" i="1" s="1"/>
  <c r="C4307" i="1" a="1"/>
  <c r="C4307" i="1" s="1"/>
  <c r="C4308" i="1" a="1"/>
  <c r="C4308" i="1" s="1"/>
  <c r="C4309" i="1" a="1"/>
  <c r="C4309" i="1" s="1"/>
  <c r="C4310" i="1" a="1"/>
  <c r="C4310" i="1" s="1"/>
  <c r="C4311" i="1" a="1"/>
  <c r="C4311" i="1" s="1"/>
  <c r="C4312" i="1" a="1"/>
  <c r="C4312" i="1" s="1"/>
  <c r="C4313" i="1" a="1"/>
  <c r="C4313" i="1" s="1"/>
  <c r="C4314" i="1" a="1"/>
  <c r="C4314" i="1" s="1"/>
  <c r="C4315" i="1" a="1"/>
  <c r="C4315" i="1" s="1"/>
  <c r="C4316" i="1" a="1"/>
  <c r="C4316" i="1" s="1"/>
  <c r="C4317" i="1" a="1"/>
  <c r="C4317" i="1" s="1"/>
  <c r="C4318" i="1" a="1"/>
  <c r="C4318" i="1" s="1"/>
  <c r="C4319" i="1" a="1"/>
  <c r="C4319" i="1" s="1"/>
  <c r="C4320" i="1" a="1"/>
  <c r="C4320" i="1" s="1"/>
  <c r="C4321" i="1" a="1"/>
  <c r="C4321" i="1" s="1"/>
  <c r="C4322" i="1" a="1"/>
  <c r="C4322" i="1" s="1"/>
  <c r="C4323" i="1" a="1"/>
  <c r="C4323" i="1" s="1"/>
  <c r="C4324" i="1" a="1"/>
  <c r="C4324" i="1" s="1"/>
  <c r="C4325" i="1" a="1"/>
  <c r="C4325" i="1" s="1"/>
  <c r="C4326" i="1" a="1"/>
  <c r="C4326" i="1" s="1"/>
  <c r="C4327" i="1" a="1"/>
  <c r="C4327" i="1" s="1"/>
  <c r="C4328" i="1" a="1"/>
  <c r="C4328" i="1" s="1"/>
  <c r="C4329" i="1" a="1"/>
  <c r="C4329" i="1" s="1"/>
  <c r="C4330" i="1" a="1"/>
  <c r="C4330" i="1" s="1"/>
  <c r="C4331" i="1" a="1"/>
  <c r="C4331" i="1" s="1"/>
  <c r="C4332" i="1" a="1"/>
  <c r="C4332" i="1" s="1"/>
  <c r="C4333" i="1" a="1"/>
  <c r="C4333" i="1" s="1"/>
  <c r="C4334" i="1" a="1"/>
  <c r="C4334" i="1" s="1"/>
  <c r="C4335" i="1" a="1"/>
  <c r="C4335" i="1" s="1"/>
  <c r="C4336" i="1" a="1"/>
  <c r="C4336" i="1" s="1"/>
  <c r="C4337" i="1" a="1"/>
  <c r="C4337" i="1" s="1"/>
  <c r="C4338" i="1" a="1"/>
  <c r="C4338" i="1" s="1"/>
  <c r="C4339" i="1" a="1"/>
  <c r="C4339" i="1" s="1"/>
  <c r="C4340" i="1" a="1"/>
  <c r="C4340" i="1" s="1"/>
  <c r="C4341" i="1" a="1"/>
  <c r="C4341" i="1" s="1"/>
  <c r="C4342" i="1" a="1"/>
  <c r="C4342" i="1" s="1"/>
  <c r="C4343" i="1" a="1"/>
  <c r="C4343" i="1" s="1"/>
  <c r="C4344" i="1" a="1"/>
  <c r="C4344" i="1" s="1"/>
  <c r="C4345" i="1" a="1"/>
  <c r="C4345" i="1" s="1"/>
  <c r="C4346" i="1" a="1"/>
  <c r="C4346" i="1" s="1"/>
  <c r="C4347" i="1" a="1"/>
  <c r="C4347" i="1" s="1"/>
  <c r="C4348" i="1" a="1"/>
  <c r="C4348" i="1" s="1"/>
  <c r="C4349" i="1" a="1"/>
  <c r="C4349" i="1" s="1"/>
  <c r="C4350" i="1" a="1"/>
  <c r="C4350" i="1" s="1"/>
  <c r="C4351" i="1" a="1"/>
  <c r="C4351" i="1" s="1"/>
  <c r="C4352" i="1" a="1"/>
  <c r="C4352" i="1" s="1"/>
  <c r="C4353" i="1" a="1"/>
  <c r="C4353" i="1" s="1"/>
  <c r="C4354" i="1" a="1"/>
  <c r="C4354" i="1" s="1"/>
  <c r="C4355" i="1" a="1"/>
  <c r="C4355" i="1" s="1"/>
  <c r="C4356" i="1" a="1"/>
  <c r="C4356" i="1" s="1"/>
  <c r="C4357" i="1" a="1"/>
  <c r="C4357" i="1" s="1"/>
  <c r="C4358" i="1" a="1"/>
  <c r="C4358" i="1" s="1"/>
  <c r="C4359" i="1" a="1"/>
  <c r="C4359" i="1" s="1"/>
  <c r="C4360" i="1" a="1"/>
  <c r="C4360" i="1" s="1"/>
  <c r="C4361" i="1" a="1"/>
  <c r="C4361" i="1" s="1"/>
  <c r="C4362" i="1" a="1"/>
  <c r="C4362" i="1" s="1"/>
  <c r="C4363" i="1" a="1"/>
  <c r="C4363" i="1" s="1"/>
  <c r="C4364" i="1" a="1"/>
  <c r="C4364" i="1" s="1"/>
  <c r="C4365" i="1" a="1"/>
  <c r="C4365" i="1" s="1"/>
  <c r="C4366" i="1" a="1"/>
  <c r="C4366" i="1" s="1"/>
  <c r="C4367" i="1" a="1"/>
  <c r="C4367" i="1" s="1"/>
  <c r="C4368" i="1" a="1"/>
  <c r="C4368" i="1" s="1"/>
  <c r="C4369" i="1" a="1"/>
  <c r="C4369" i="1" s="1"/>
  <c r="C4370" i="1" a="1"/>
  <c r="C4370" i="1" s="1"/>
  <c r="C4371" i="1" a="1"/>
  <c r="C4371" i="1" s="1"/>
  <c r="C4372" i="1" a="1"/>
  <c r="C4372" i="1" s="1"/>
  <c r="C4373" i="1" a="1"/>
  <c r="C4373" i="1" s="1"/>
  <c r="C4374" i="1" a="1"/>
  <c r="C4374" i="1" s="1"/>
  <c r="C4375" i="1" a="1"/>
  <c r="C4375" i="1" s="1"/>
  <c r="C4376" i="1" a="1"/>
  <c r="C4376" i="1" s="1"/>
  <c r="C4377" i="1" a="1"/>
  <c r="C4377" i="1" s="1"/>
  <c r="C4378" i="1" a="1"/>
  <c r="C4378" i="1" s="1"/>
  <c r="C4379" i="1" a="1"/>
  <c r="C4379" i="1" s="1"/>
  <c r="C4380" i="1" a="1"/>
  <c r="C4380" i="1" s="1"/>
  <c r="C4381" i="1" a="1"/>
  <c r="C4381" i="1" s="1"/>
  <c r="C4382" i="1" a="1"/>
  <c r="C4382" i="1" s="1"/>
  <c r="C4383" i="1" a="1"/>
  <c r="C4383" i="1" s="1"/>
  <c r="C4384" i="1" a="1"/>
  <c r="C4384" i="1" s="1"/>
  <c r="C4385" i="1" a="1"/>
  <c r="C4385" i="1" s="1"/>
  <c r="C4386" i="1" a="1"/>
  <c r="C4386" i="1" s="1"/>
  <c r="C4387" i="1" a="1"/>
  <c r="C4387" i="1" s="1"/>
  <c r="C4388" i="1" a="1"/>
  <c r="C4388" i="1" s="1"/>
  <c r="C4389" i="1" a="1"/>
  <c r="C4389" i="1" s="1"/>
  <c r="C4390" i="1" a="1"/>
  <c r="C4390" i="1" s="1"/>
  <c r="C4391" i="1" a="1"/>
  <c r="C4391" i="1" s="1"/>
  <c r="C4392" i="1" a="1"/>
  <c r="C4392" i="1" s="1"/>
  <c r="C4393" i="1" a="1"/>
  <c r="C4393" i="1" s="1"/>
  <c r="C4394" i="1" a="1"/>
  <c r="C4394" i="1" s="1"/>
  <c r="C4395" i="1" a="1"/>
  <c r="C4395" i="1" s="1"/>
  <c r="C4396" i="1" a="1"/>
  <c r="C4396" i="1" s="1"/>
  <c r="C4397" i="1" a="1"/>
  <c r="C4397" i="1" s="1"/>
  <c r="C4398" i="1" a="1"/>
  <c r="C4398" i="1" s="1"/>
  <c r="C4399" i="1" a="1"/>
  <c r="C4399" i="1" s="1"/>
  <c r="C4400" i="1" a="1"/>
  <c r="C4400" i="1" s="1"/>
  <c r="C4401" i="1" a="1"/>
  <c r="C4401" i="1" s="1"/>
  <c r="C4402" i="1" a="1"/>
  <c r="C4402" i="1" s="1"/>
  <c r="C4403" i="1" a="1"/>
  <c r="C4403" i="1" s="1"/>
  <c r="C4404" i="1" a="1"/>
  <c r="C4404" i="1" s="1"/>
  <c r="C4405" i="1" a="1"/>
  <c r="C4405" i="1" s="1"/>
  <c r="C4406" i="1" a="1"/>
  <c r="C4406" i="1" s="1"/>
  <c r="C4407" i="1" a="1"/>
  <c r="C4407" i="1" s="1"/>
  <c r="C4408" i="1" a="1"/>
  <c r="C4408" i="1" s="1"/>
  <c r="C4409" i="1" a="1"/>
  <c r="C4409" i="1" s="1"/>
  <c r="C4410" i="1" a="1"/>
  <c r="C4410" i="1" s="1"/>
  <c r="C4411" i="1" a="1"/>
  <c r="C4411" i="1" s="1"/>
  <c r="C4412" i="1" a="1"/>
  <c r="C4412" i="1" s="1"/>
  <c r="C4413" i="1" a="1"/>
  <c r="C4413" i="1" s="1"/>
  <c r="C4414" i="1" a="1"/>
  <c r="C4414" i="1" s="1"/>
  <c r="C4415" i="1" a="1"/>
  <c r="C4415" i="1" s="1"/>
  <c r="C4416" i="1" a="1"/>
  <c r="C4416" i="1" s="1"/>
  <c r="C4417" i="1" a="1"/>
  <c r="C4417" i="1" s="1"/>
  <c r="C4418" i="1" a="1"/>
  <c r="C4418" i="1" s="1"/>
  <c r="C4419" i="1" a="1"/>
  <c r="C4419" i="1" s="1"/>
  <c r="C4420" i="1" a="1"/>
  <c r="C4420" i="1" s="1"/>
  <c r="C4421" i="1" a="1"/>
  <c r="C4421" i="1" s="1"/>
  <c r="C4422" i="1" a="1"/>
  <c r="C4422" i="1" s="1"/>
  <c r="C4423" i="1" a="1"/>
  <c r="C4423" i="1" s="1"/>
  <c r="C4424" i="1" a="1"/>
  <c r="C4424" i="1" s="1"/>
  <c r="C4425" i="1" a="1"/>
  <c r="C4425" i="1" s="1"/>
  <c r="C4426" i="1" a="1"/>
  <c r="C4426" i="1" s="1"/>
  <c r="C4427" i="1" a="1"/>
  <c r="C4427" i="1" s="1"/>
  <c r="C4428" i="1" a="1"/>
  <c r="C4428" i="1" s="1"/>
  <c r="C4429" i="1" a="1"/>
  <c r="C4429" i="1" s="1"/>
  <c r="C4430" i="1" a="1"/>
  <c r="C4430" i="1" s="1"/>
  <c r="C4431" i="1" a="1"/>
  <c r="C4431" i="1" s="1"/>
  <c r="C4432" i="1" a="1"/>
  <c r="C4432" i="1" s="1"/>
  <c r="C4433" i="1" a="1"/>
  <c r="C4433" i="1" s="1"/>
  <c r="C4434" i="1" a="1"/>
  <c r="C4434" i="1" s="1"/>
  <c r="C4435" i="1" a="1"/>
  <c r="C4435" i="1" s="1"/>
  <c r="C4436" i="1" a="1"/>
  <c r="C4436" i="1" s="1"/>
  <c r="C4437" i="1" a="1"/>
  <c r="C4437" i="1" s="1"/>
  <c r="C4438" i="1" a="1"/>
  <c r="C4438" i="1" s="1"/>
  <c r="C4439" i="1" a="1"/>
  <c r="C4439" i="1" s="1"/>
  <c r="C4440" i="1" a="1"/>
  <c r="C4440" i="1" s="1"/>
  <c r="C4441" i="1" a="1"/>
  <c r="C4441" i="1" s="1"/>
  <c r="C4442" i="1" a="1"/>
  <c r="C4442" i="1" s="1"/>
  <c r="C4443" i="1" a="1"/>
  <c r="C4443" i="1" s="1"/>
  <c r="C4444" i="1" a="1"/>
  <c r="C4444" i="1" s="1"/>
  <c r="C4445" i="1" a="1"/>
  <c r="C4445" i="1" s="1"/>
  <c r="C4446" i="1" a="1"/>
  <c r="C4446" i="1" s="1"/>
  <c r="C4447" i="1" a="1"/>
  <c r="C4447" i="1" s="1"/>
  <c r="C4448" i="1" a="1"/>
  <c r="C4448" i="1" s="1"/>
  <c r="C4449" i="1" a="1"/>
  <c r="C4449" i="1" s="1"/>
  <c r="C4450" i="1" a="1"/>
  <c r="C4450" i="1" s="1"/>
  <c r="C4451" i="1" a="1"/>
  <c r="C4451" i="1" s="1"/>
  <c r="C4452" i="1" a="1"/>
  <c r="C4452" i="1" s="1"/>
  <c r="C4453" i="1" a="1"/>
  <c r="C4453" i="1" s="1"/>
  <c r="C4454" i="1" a="1"/>
  <c r="C4454" i="1" s="1"/>
  <c r="C4455" i="1" a="1"/>
  <c r="C4455" i="1" s="1"/>
  <c r="C4456" i="1" a="1"/>
  <c r="C4456" i="1" s="1"/>
  <c r="C4457" i="1" a="1"/>
  <c r="C4457" i="1" s="1"/>
  <c r="C4458" i="1" a="1"/>
  <c r="C4458" i="1" s="1"/>
  <c r="C4459" i="1" a="1"/>
  <c r="C4459" i="1" s="1"/>
  <c r="C4460" i="1" a="1"/>
  <c r="C4460" i="1" s="1"/>
  <c r="C4461" i="1" a="1"/>
  <c r="C4461" i="1" s="1"/>
  <c r="C4462" i="1" a="1"/>
  <c r="C4462" i="1" s="1"/>
  <c r="C4463" i="1" a="1"/>
  <c r="C4463" i="1" s="1"/>
  <c r="C4464" i="1" a="1"/>
  <c r="C4464" i="1" s="1"/>
  <c r="C4465" i="1" a="1"/>
  <c r="C4465" i="1" s="1"/>
  <c r="C4466" i="1" a="1"/>
  <c r="C4466" i="1" s="1"/>
  <c r="C4467" i="1" a="1"/>
  <c r="C4467" i="1" s="1"/>
  <c r="C4468" i="1" a="1"/>
  <c r="C4468" i="1" s="1"/>
  <c r="C4469" i="1" a="1"/>
  <c r="C4469" i="1" s="1"/>
  <c r="C4470" i="1" a="1"/>
  <c r="C4470" i="1" s="1"/>
  <c r="C4471" i="1" a="1"/>
  <c r="C4471" i="1" s="1"/>
  <c r="C4472" i="1" a="1"/>
  <c r="C4472" i="1" s="1"/>
  <c r="C4473" i="1" a="1"/>
  <c r="C4473" i="1" s="1"/>
  <c r="C4474" i="1" a="1"/>
  <c r="C4474" i="1" s="1"/>
  <c r="C4475" i="1" a="1"/>
  <c r="C4475" i="1" s="1"/>
  <c r="C4476" i="1" a="1"/>
  <c r="C4476" i="1" s="1"/>
  <c r="C4477" i="1" a="1"/>
  <c r="C4477" i="1" s="1"/>
  <c r="C4478" i="1" a="1"/>
  <c r="C4478" i="1" s="1"/>
  <c r="C4479" i="1" a="1"/>
  <c r="C4479" i="1" s="1"/>
  <c r="C4480" i="1" a="1"/>
  <c r="C4480" i="1" s="1"/>
  <c r="C4481" i="1" a="1"/>
  <c r="C4481" i="1" s="1"/>
  <c r="C4482" i="1" a="1"/>
  <c r="C4482" i="1" s="1"/>
  <c r="C4483" i="1" a="1"/>
  <c r="C4483" i="1" s="1"/>
  <c r="C4484" i="1" a="1"/>
  <c r="C4484" i="1" s="1"/>
  <c r="C4485" i="1" a="1"/>
  <c r="C4485" i="1" s="1"/>
  <c r="C4486" i="1" a="1"/>
  <c r="C4486" i="1" s="1"/>
  <c r="C4487" i="1" a="1"/>
  <c r="C4487" i="1" s="1"/>
  <c r="C4488" i="1" a="1"/>
  <c r="C4488" i="1" s="1"/>
  <c r="C4489" i="1" a="1"/>
  <c r="C4489" i="1" s="1"/>
  <c r="C4490" i="1" a="1"/>
  <c r="C4490" i="1" s="1"/>
  <c r="C4491" i="1" a="1"/>
  <c r="C4491" i="1" s="1"/>
  <c r="C4492" i="1" a="1"/>
  <c r="C4492" i="1" s="1"/>
  <c r="C4493" i="1" a="1"/>
  <c r="C4493" i="1" s="1"/>
  <c r="C4494" i="1" a="1"/>
  <c r="C4494" i="1" s="1"/>
  <c r="C4495" i="1" a="1"/>
  <c r="C4495" i="1" s="1"/>
  <c r="C4496" i="1" a="1"/>
  <c r="C4496" i="1" s="1"/>
  <c r="C4497" i="1" a="1"/>
  <c r="C4497" i="1" s="1"/>
  <c r="C4498" i="1" a="1"/>
  <c r="C4498" i="1" s="1"/>
  <c r="C4499" i="1" a="1"/>
  <c r="C4499" i="1" s="1"/>
  <c r="C4500" i="1" a="1"/>
  <c r="C4500" i="1" s="1"/>
  <c r="C4501" i="1" a="1"/>
  <c r="C4501" i="1" s="1"/>
  <c r="C4502" i="1" a="1"/>
  <c r="C4502" i="1" s="1"/>
  <c r="C4503" i="1" a="1"/>
  <c r="C4503" i="1" s="1"/>
  <c r="C4504" i="1" a="1"/>
  <c r="C4504" i="1" s="1"/>
  <c r="C4505" i="1" a="1"/>
  <c r="C4505" i="1" s="1"/>
  <c r="C4506" i="1" a="1"/>
  <c r="C4506" i="1" s="1"/>
  <c r="C4507" i="1" a="1"/>
  <c r="C4507" i="1" s="1"/>
  <c r="C4508" i="1" a="1"/>
  <c r="C4508" i="1" s="1"/>
  <c r="C4509" i="1" a="1"/>
  <c r="C4509" i="1" s="1"/>
  <c r="C4510" i="1" a="1"/>
  <c r="C4510" i="1" s="1"/>
  <c r="C4511" i="1" a="1"/>
  <c r="C4511" i="1" s="1"/>
  <c r="C4512" i="1" a="1"/>
  <c r="C4512" i="1" s="1"/>
  <c r="C4513" i="1" a="1"/>
  <c r="C4513" i="1" s="1"/>
  <c r="C4514" i="1" a="1"/>
  <c r="C4514" i="1" s="1"/>
  <c r="C4515" i="1" a="1"/>
  <c r="C4515" i="1" s="1"/>
  <c r="C4516" i="1" a="1"/>
  <c r="C4516" i="1" s="1"/>
  <c r="C4517" i="1" a="1"/>
  <c r="C4517" i="1" s="1"/>
  <c r="C4518" i="1" a="1"/>
  <c r="C4518" i="1" s="1"/>
  <c r="C4519" i="1" a="1"/>
  <c r="C4519" i="1" s="1"/>
  <c r="C4520" i="1" a="1"/>
  <c r="C4520" i="1" s="1"/>
  <c r="C4521" i="1" a="1"/>
  <c r="C4521" i="1" s="1"/>
  <c r="C4522" i="1" a="1"/>
  <c r="C4522" i="1" s="1"/>
  <c r="C4523" i="1" a="1"/>
  <c r="C4523" i="1" s="1"/>
  <c r="C4524" i="1" a="1"/>
  <c r="C4524" i="1" s="1"/>
  <c r="C4525" i="1" a="1"/>
  <c r="C4525" i="1" s="1"/>
  <c r="C4526" i="1" a="1"/>
  <c r="C4526" i="1" s="1"/>
  <c r="C4527" i="1" a="1"/>
  <c r="C4527" i="1" s="1"/>
  <c r="C4528" i="1" a="1"/>
  <c r="C4528" i="1" s="1"/>
  <c r="C4529" i="1" a="1"/>
  <c r="C4529" i="1" s="1"/>
  <c r="C4530" i="1" a="1"/>
  <c r="C4530" i="1" s="1"/>
  <c r="C4531" i="1" a="1"/>
  <c r="C4531" i="1" s="1"/>
  <c r="C4532" i="1" a="1"/>
  <c r="C4532" i="1" s="1"/>
  <c r="C4533" i="1" a="1"/>
  <c r="C4533" i="1" s="1"/>
  <c r="C4534" i="1" a="1"/>
  <c r="C4534" i="1" s="1"/>
  <c r="C4535" i="1" a="1"/>
  <c r="C4535" i="1" s="1"/>
  <c r="C4536" i="1" a="1"/>
  <c r="C4536" i="1" s="1"/>
  <c r="C4537" i="1" a="1"/>
  <c r="C4537" i="1" s="1"/>
  <c r="C4538" i="1" a="1"/>
  <c r="C4538" i="1" s="1"/>
  <c r="C4539" i="1" a="1"/>
  <c r="C4539" i="1" s="1"/>
  <c r="C4540" i="1" a="1"/>
  <c r="C4540" i="1" s="1"/>
  <c r="C4541" i="1" a="1"/>
  <c r="C4541" i="1" s="1"/>
  <c r="C4542" i="1" a="1"/>
  <c r="C4542" i="1" s="1"/>
  <c r="C4543" i="1" a="1"/>
  <c r="C4543" i="1" s="1"/>
  <c r="C4544" i="1" a="1"/>
  <c r="C4544" i="1" s="1"/>
  <c r="C4545" i="1" a="1"/>
  <c r="C4545" i="1" s="1"/>
  <c r="C4546" i="1" a="1"/>
  <c r="C4546" i="1" s="1"/>
  <c r="C4547" i="1" a="1"/>
  <c r="C4547" i="1" s="1"/>
  <c r="C4548" i="1" a="1"/>
  <c r="C4548" i="1" s="1"/>
  <c r="C4549" i="1" a="1"/>
  <c r="C4549" i="1" s="1"/>
  <c r="C4550" i="1" a="1"/>
  <c r="C4550" i="1" s="1"/>
  <c r="C4551" i="1" a="1"/>
  <c r="C4551" i="1" s="1"/>
  <c r="C4552" i="1" a="1"/>
  <c r="C4552" i="1" s="1"/>
  <c r="C4553" i="1" a="1"/>
  <c r="C4553" i="1" s="1"/>
  <c r="C4554" i="1" a="1"/>
  <c r="C4554" i="1" s="1"/>
  <c r="C4555" i="1" a="1"/>
  <c r="C4555" i="1" s="1"/>
  <c r="C4556" i="1" a="1"/>
  <c r="C4556" i="1" s="1"/>
  <c r="C4557" i="1" a="1"/>
  <c r="C4557" i="1" s="1"/>
  <c r="C4558" i="1" a="1"/>
  <c r="C4558" i="1" s="1"/>
  <c r="C4559" i="1" a="1"/>
  <c r="C4559" i="1" s="1"/>
  <c r="C4560" i="1" a="1"/>
  <c r="C4560" i="1" s="1"/>
  <c r="C4561" i="1" a="1"/>
  <c r="C4561" i="1" s="1"/>
  <c r="C4562" i="1" a="1"/>
  <c r="C4562" i="1" s="1"/>
  <c r="C4563" i="1" a="1"/>
  <c r="C4563" i="1" s="1"/>
  <c r="C4564" i="1" a="1"/>
  <c r="C4564" i="1" s="1"/>
  <c r="C4565" i="1" a="1"/>
  <c r="C4565" i="1" s="1"/>
  <c r="C4566" i="1" a="1"/>
  <c r="C4566" i="1" s="1"/>
  <c r="C4567" i="1" a="1"/>
  <c r="C4567" i="1" s="1"/>
  <c r="C4568" i="1" a="1"/>
  <c r="C4568" i="1" s="1"/>
  <c r="C4569" i="1" a="1"/>
  <c r="C4569" i="1" s="1"/>
  <c r="C4570" i="1" a="1"/>
  <c r="C4570" i="1" s="1"/>
  <c r="C4571" i="1" a="1"/>
  <c r="C4571" i="1" s="1"/>
  <c r="C4572" i="1" a="1"/>
  <c r="C4572" i="1" s="1"/>
  <c r="C4573" i="1" a="1"/>
  <c r="C4573" i="1" s="1"/>
  <c r="C4574" i="1" a="1"/>
  <c r="C4574" i="1" s="1"/>
  <c r="C4575" i="1" a="1"/>
  <c r="C4575" i="1" s="1"/>
  <c r="C4576" i="1" a="1"/>
  <c r="C4576" i="1" s="1"/>
  <c r="C4577" i="1" a="1"/>
  <c r="C4577" i="1" s="1"/>
  <c r="C4578" i="1" a="1"/>
  <c r="C4578" i="1" s="1"/>
  <c r="C4579" i="1" a="1"/>
  <c r="C4579" i="1" s="1"/>
  <c r="C4580" i="1" a="1"/>
  <c r="C4580" i="1" s="1"/>
  <c r="C4581" i="1" a="1"/>
  <c r="C4581" i="1" s="1"/>
  <c r="C4582" i="1" a="1"/>
  <c r="C4582" i="1" s="1"/>
  <c r="C4583" i="1" a="1"/>
  <c r="C4583" i="1" s="1"/>
  <c r="C4584" i="1" a="1"/>
  <c r="C4584" i="1" s="1"/>
  <c r="C4585" i="1" a="1"/>
  <c r="C4585" i="1" s="1"/>
  <c r="C4586" i="1" a="1"/>
  <c r="C4586" i="1" s="1"/>
  <c r="C4587" i="1" a="1"/>
  <c r="C4587" i="1" s="1"/>
  <c r="C4588" i="1" a="1"/>
  <c r="C4588" i="1" s="1"/>
  <c r="C4589" i="1" a="1"/>
  <c r="C4589" i="1" s="1"/>
  <c r="C4590" i="1" a="1"/>
  <c r="C4590" i="1" s="1"/>
  <c r="C4591" i="1" a="1"/>
  <c r="C4591" i="1" s="1"/>
  <c r="C4592" i="1" a="1"/>
  <c r="C4592" i="1" s="1"/>
  <c r="C4593" i="1" a="1"/>
  <c r="C4593" i="1" s="1"/>
  <c r="C4594" i="1" a="1"/>
  <c r="C4594" i="1" s="1"/>
  <c r="C4595" i="1" a="1"/>
  <c r="C4595" i="1" s="1"/>
  <c r="C4596" i="1" a="1"/>
  <c r="C4596" i="1" s="1"/>
  <c r="C4597" i="1" a="1"/>
  <c r="C4597" i="1" s="1"/>
  <c r="C4598" i="1" a="1"/>
  <c r="C4598" i="1" s="1"/>
  <c r="C4599" i="1" a="1"/>
  <c r="C4599" i="1" s="1"/>
  <c r="C4600" i="1" a="1"/>
  <c r="C4600" i="1" s="1"/>
  <c r="C4601" i="1" a="1"/>
  <c r="C4601" i="1" s="1"/>
  <c r="C4602" i="1" a="1"/>
  <c r="C4602" i="1" s="1"/>
  <c r="C4603" i="1" a="1"/>
  <c r="C4603" i="1" s="1"/>
  <c r="C4604" i="1" a="1"/>
  <c r="C4604" i="1" s="1"/>
  <c r="C4605" i="1" a="1"/>
  <c r="C4605" i="1" s="1"/>
  <c r="C4606" i="1" a="1"/>
  <c r="C4606" i="1" s="1"/>
  <c r="C4607" i="1" a="1"/>
  <c r="C4607" i="1" s="1"/>
  <c r="C4608" i="1" a="1"/>
  <c r="C4608" i="1" s="1"/>
  <c r="C4609" i="1" a="1"/>
  <c r="C4609" i="1" s="1"/>
  <c r="C4610" i="1" a="1"/>
  <c r="C4610" i="1" s="1"/>
  <c r="C4611" i="1" a="1"/>
  <c r="C4611" i="1" s="1"/>
  <c r="C4612" i="1" a="1"/>
  <c r="C4612" i="1" s="1"/>
  <c r="C4613" i="1" a="1"/>
  <c r="C4613" i="1" s="1"/>
  <c r="C4614" i="1" a="1"/>
  <c r="C4614" i="1" s="1"/>
  <c r="C4615" i="1" a="1"/>
  <c r="C4615" i="1" s="1"/>
  <c r="C4616" i="1" a="1"/>
  <c r="C4616" i="1" s="1"/>
  <c r="C4617" i="1" a="1"/>
  <c r="C4617" i="1" s="1"/>
  <c r="C4618" i="1" a="1"/>
  <c r="C4618" i="1" s="1"/>
  <c r="C4619" i="1" a="1"/>
  <c r="C4619" i="1" s="1"/>
  <c r="C4620" i="1" a="1"/>
  <c r="C4620" i="1" s="1"/>
  <c r="C4621" i="1" a="1"/>
  <c r="C4621" i="1" s="1"/>
  <c r="C4622" i="1" a="1"/>
  <c r="C4622" i="1" s="1"/>
  <c r="C4623" i="1" a="1"/>
  <c r="C4623" i="1" s="1"/>
  <c r="C4624" i="1" a="1"/>
  <c r="C4624" i="1" s="1"/>
  <c r="C4625" i="1" a="1"/>
  <c r="C4625" i="1" s="1"/>
  <c r="C4626" i="1" a="1"/>
  <c r="C4626" i="1" s="1"/>
  <c r="C4627" i="1" a="1"/>
  <c r="C4627" i="1" s="1"/>
  <c r="C4628" i="1" a="1"/>
  <c r="C4628" i="1" s="1"/>
  <c r="C4629" i="1" a="1"/>
  <c r="C4629" i="1" s="1"/>
  <c r="C4630" i="1" a="1"/>
  <c r="C4630" i="1" s="1"/>
  <c r="C4631" i="1" a="1"/>
  <c r="C4631" i="1" s="1"/>
  <c r="C4632" i="1" a="1"/>
  <c r="C4632" i="1" s="1"/>
  <c r="C4633" i="1" a="1"/>
  <c r="C4633" i="1" s="1"/>
  <c r="C4634" i="1" a="1"/>
  <c r="C4634" i="1" s="1"/>
  <c r="C4635" i="1" a="1"/>
  <c r="C4635" i="1" s="1"/>
  <c r="C4636" i="1" a="1"/>
  <c r="C4636" i="1" s="1"/>
  <c r="C4637" i="1" a="1"/>
  <c r="C4637" i="1" s="1"/>
  <c r="C4638" i="1" a="1"/>
  <c r="C4638" i="1" s="1"/>
  <c r="C4639" i="1" a="1"/>
  <c r="C4639" i="1" s="1"/>
  <c r="C4640" i="1" a="1"/>
  <c r="C4640" i="1" s="1"/>
  <c r="C4641" i="1" a="1"/>
  <c r="C4641" i="1" s="1"/>
  <c r="C4642" i="1" a="1"/>
  <c r="C4642" i="1" s="1"/>
  <c r="C4643" i="1" a="1"/>
  <c r="C4643" i="1" s="1"/>
  <c r="C4644" i="1" a="1"/>
  <c r="C4644" i="1" s="1"/>
  <c r="C4645" i="1" a="1"/>
  <c r="C4645" i="1" s="1"/>
  <c r="C4646" i="1" a="1"/>
  <c r="C4646" i="1" s="1"/>
  <c r="C4647" i="1" a="1"/>
  <c r="C4647" i="1" s="1"/>
  <c r="C4648" i="1" a="1"/>
  <c r="C4648" i="1" s="1"/>
  <c r="C4649" i="1" a="1"/>
  <c r="C4649" i="1" s="1"/>
  <c r="C4650" i="1" a="1"/>
  <c r="C4650" i="1" s="1"/>
  <c r="C4651" i="1" a="1"/>
  <c r="C4651" i="1" s="1"/>
  <c r="C4652" i="1" a="1"/>
  <c r="C4652" i="1" s="1"/>
  <c r="C4653" i="1" a="1"/>
  <c r="C4653" i="1" s="1"/>
  <c r="C4654" i="1" a="1"/>
  <c r="C4654" i="1" s="1"/>
  <c r="C4655" i="1" a="1"/>
  <c r="C4655" i="1" s="1"/>
  <c r="C4656" i="1" a="1"/>
  <c r="C4656" i="1" s="1"/>
  <c r="C4657" i="1" a="1"/>
  <c r="C4657" i="1" s="1"/>
  <c r="C4658" i="1" a="1"/>
  <c r="C4658" i="1" s="1"/>
  <c r="C4659" i="1" a="1"/>
  <c r="C4659" i="1" s="1"/>
  <c r="C4660" i="1" a="1"/>
  <c r="C4660" i="1" s="1"/>
  <c r="C4661" i="1" a="1"/>
  <c r="C4661" i="1" s="1"/>
  <c r="C4662" i="1" a="1"/>
  <c r="C4662" i="1" s="1"/>
  <c r="C4663" i="1" a="1"/>
  <c r="C4663" i="1" s="1"/>
  <c r="C4664" i="1" a="1"/>
  <c r="C4664" i="1" s="1"/>
  <c r="C4665" i="1" a="1"/>
  <c r="C4665" i="1" s="1"/>
  <c r="C4666" i="1" a="1"/>
  <c r="C4666" i="1" s="1"/>
  <c r="C4667" i="1" a="1"/>
  <c r="C4667" i="1" s="1"/>
  <c r="C4668" i="1" a="1"/>
  <c r="C4668" i="1" s="1"/>
  <c r="C4669" i="1" a="1"/>
  <c r="C4669" i="1" s="1"/>
  <c r="C4670" i="1" a="1"/>
  <c r="C4670" i="1" s="1"/>
  <c r="C4671" i="1" a="1"/>
  <c r="C4671" i="1" s="1"/>
  <c r="C4672" i="1" a="1"/>
  <c r="C4672" i="1" s="1"/>
  <c r="C4673" i="1" a="1"/>
  <c r="C4673" i="1" s="1"/>
  <c r="C4674" i="1" a="1"/>
  <c r="C4674" i="1" s="1"/>
  <c r="C4675" i="1" a="1"/>
  <c r="C4675" i="1" s="1"/>
  <c r="C4676" i="1" a="1"/>
  <c r="C4676" i="1" s="1"/>
  <c r="C4677" i="1" a="1"/>
  <c r="C4677" i="1" s="1"/>
  <c r="C4678" i="1" a="1"/>
  <c r="C4678" i="1" s="1"/>
  <c r="C4679" i="1" a="1"/>
  <c r="C4679" i="1" s="1"/>
  <c r="C4680" i="1" a="1"/>
  <c r="C4680" i="1" s="1"/>
  <c r="C4681" i="1" a="1"/>
  <c r="C4681" i="1" s="1"/>
  <c r="C4682" i="1" a="1"/>
  <c r="C4682" i="1" s="1"/>
  <c r="C4683" i="1" a="1"/>
  <c r="C4683" i="1" s="1"/>
  <c r="C4684" i="1" a="1"/>
  <c r="C4684" i="1" s="1"/>
  <c r="C4685" i="1" a="1"/>
  <c r="C4685" i="1" s="1"/>
  <c r="C4686" i="1" a="1"/>
  <c r="C4686" i="1" s="1"/>
  <c r="C4687" i="1" a="1"/>
  <c r="C4687" i="1" s="1"/>
  <c r="C4688" i="1" a="1"/>
  <c r="C4688" i="1" s="1"/>
  <c r="C4689" i="1" a="1"/>
  <c r="C4689" i="1" s="1"/>
  <c r="C4690" i="1" a="1"/>
  <c r="C4690" i="1" s="1"/>
  <c r="C4691" i="1" a="1"/>
  <c r="C4691" i="1" s="1"/>
  <c r="C4692" i="1" a="1"/>
  <c r="C4692" i="1" s="1"/>
  <c r="C4693" i="1" a="1"/>
  <c r="C4693" i="1" s="1"/>
  <c r="C4694" i="1" a="1"/>
  <c r="C4694" i="1" s="1"/>
  <c r="C4695" i="1" a="1"/>
  <c r="C4695" i="1" s="1"/>
  <c r="C4696" i="1" a="1"/>
  <c r="C4696" i="1" s="1"/>
  <c r="C4697" i="1" a="1"/>
  <c r="C4697" i="1" s="1"/>
  <c r="C4698" i="1" a="1"/>
  <c r="C4698" i="1" s="1"/>
  <c r="C4699" i="1" a="1"/>
  <c r="C4699" i="1" s="1"/>
  <c r="C4700" i="1" a="1"/>
  <c r="C4700" i="1" s="1"/>
  <c r="C4701" i="1" a="1"/>
  <c r="C4701" i="1" s="1"/>
  <c r="C4702" i="1" a="1"/>
  <c r="C4702" i="1" s="1"/>
  <c r="C4703" i="1" a="1"/>
  <c r="C4703" i="1" s="1"/>
  <c r="C4704" i="1" a="1"/>
  <c r="C4704" i="1" s="1"/>
  <c r="C4705" i="1" a="1"/>
  <c r="C4705" i="1" s="1"/>
  <c r="C4706" i="1" a="1"/>
  <c r="C4706" i="1" s="1"/>
  <c r="C4707" i="1" a="1"/>
  <c r="C4707" i="1" s="1"/>
  <c r="C4708" i="1" a="1"/>
  <c r="C4708" i="1" s="1"/>
  <c r="C4709" i="1" a="1"/>
  <c r="C4709" i="1" s="1"/>
  <c r="C4710" i="1" a="1"/>
  <c r="C4710" i="1" s="1"/>
  <c r="C4711" i="1" a="1"/>
  <c r="C4711" i="1" s="1"/>
  <c r="C4712" i="1" a="1"/>
  <c r="C4712" i="1" s="1"/>
  <c r="C4713" i="1" a="1"/>
  <c r="C4713" i="1" s="1"/>
  <c r="C4714" i="1" a="1"/>
  <c r="C4714" i="1" s="1"/>
  <c r="C4715" i="1" a="1"/>
  <c r="C4715" i="1" s="1"/>
  <c r="C4716" i="1" a="1"/>
  <c r="C4716" i="1" s="1"/>
  <c r="C4717" i="1" a="1"/>
  <c r="C4717" i="1" s="1"/>
  <c r="C4718" i="1" a="1"/>
  <c r="C4718" i="1" s="1"/>
  <c r="C4719" i="1" a="1"/>
  <c r="C4719" i="1" s="1"/>
  <c r="C4720" i="1" a="1"/>
  <c r="C4720" i="1" s="1"/>
  <c r="C4721" i="1" a="1"/>
  <c r="C4721" i="1" s="1"/>
  <c r="C4722" i="1" a="1"/>
  <c r="C4722" i="1" s="1"/>
  <c r="C4723" i="1" a="1"/>
  <c r="C4723" i="1" s="1"/>
  <c r="C4724" i="1" a="1"/>
  <c r="C4724" i="1" s="1"/>
  <c r="C4725" i="1" a="1"/>
  <c r="C4725" i="1" s="1"/>
  <c r="C4726" i="1" a="1"/>
  <c r="C4726" i="1" s="1"/>
  <c r="C4727" i="1" a="1"/>
  <c r="C4727" i="1" s="1"/>
  <c r="C4728" i="1" a="1"/>
  <c r="C4728" i="1" s="1"/>
  <c r="C4729" i="1" a="1"/>
  <c r="C4729" i="1" s="1"/>
  <c r="C4730" i="1" a="1"/>
  <c r="C4730" i="1" s="1"/>
  <c r="C4731" i="1" a="1"/>
  <c r="C4731" i="1" s="1"/>
  <c r="C4732" i="1" a="1"/>
  <c r="C4732" i="1" s="1"/>
  <c r="C4733" i="1" a="1"/>
  <c r="C4733" i="1" s="1"/>
  <c r="C4734" i="1" a="1"/>
  <c r="C4734" i="1" s="1"/>
  <c r="C4735" i="1" a="1"/>
  <c r="C4735" i="1" s="1"/>
  <c r="C4736" i="1" a="1"/>
  <c r="C4736" i="1" s="1"/>
  <c r="C4737" i="1" a="1"/>
  <c r="C4737" i="1" s="1"/>
  <c r="C4738" i="1" a="1"/>
  <c r="C4738" i="1" s="1"/>
  <c r="C4739" i="1" a="1"/>
  <c r="C4739" i="1" s="1"/>
  <c r="C4740" i="1" a="1"/>
  <c r="C4740" i="1" s="1"/>
  <c r="C4741" i="1" a="1"/>
  <c r="C4741" i="1" s="1"/>
  <c r="C4742" i="1" a="1"/>
  <c r="C4742" i="1" s="1"/>
  <c r="C4743" i="1" a="1"/>
  <c r="C4743" i="1" s="1"/>
  <c r="C4744" i="1" a="1"/>
  <c r="C4744" i="1" s="1"/>
  <c r="C4745" i="1" a="1"/>
  <c r="C4745" i="1" s="1"/>
  <c r="C4746" i="1" a="1"/>
  <c r="C4746" i="1" s="1"/>
  <c r="C4747" i="1" a="1"/>
  <c r="C4747" i="1" s="1"/>
  <c r="C4748" i="1" a="1"/>
  <c r="C4748" i="1" s="1"/>
  <c r="C4749" i="1" a="1"/>
  <c r="C4749" i="1" s="1"/>
  <c r="C4750" i="1" a="1"/>
  <c r="C4750" i="1" s="1"/>
  <c r="C4751" i="1" a="1"/>
  <c r="C4751" i="1"/>
  <c r="C4752" i="1" a="1"/>
  <c r="C4752" i="1" s="1"/>
  <c r="C4753" i="1" a="1"/>
  <c r="C4753" i="1" s="1"/>
  <c r="C4754" i="1" a="1"/>
  <c r="C4754" i="1" s="1"/>
  <c r="C4755" i="1" a="1"/>
  <c r="C4755" i="1" s="1"/>
  <c r="C4756" i="1" a="1"/>
  <c r="C4756" i="1" s="1"/>
  <c r="C4757" i="1" a="1"/>
  <c r="C4757" i="1" s="1"/>
  <c r="C4758" i="1" a="1"/>
  <c r="C4758" i="1" s="1"/>
  <c r="C4759" i="1" a="1"/>
  <c r="C4759" i="1" s="1"/>
  <c r="C4760" i="1" a="1"/>
  <c r="C4760" i="1" s="1"/>
  <c r="C4761" i="1" a="1"/>
  <c r="C4761" i="1" s="1"/>
  <c r="C4762" i="1" a="1"/>
  <c r="C4762" i="1" s="1"/>
  <c r="C4763" i="1" a="1"/>
  <c r="C4763" i="1" s="1"/>
  <c r="C4764" i="1" a="1"/>
  <c r="C4764" i="1" s="1"/>
  <c r="C4765" i="1" a="1"/>
  <c r="C4765" i="1" s="1"/>
  <c r="C4766" i="1" a="1"/>
  <c r="C4766" i="1" s="1"/>
  <c r="C4767" i="1" a="1"/>
  <c r="C4767" i="1" s="1"/>
  <c r="C4768" i="1" a="1"/>
  <c r="C4768" i="1" s="1"/>
  <c r="C4769" i="1" a="1"/>
  <c r="C4769" i="1" s="1"/>
  <c r="C4770" i="1" a="1"/>
  <c r="C4770" i="1" s="1"/>
  <c r="C4771" i="1" a="1"/>
  <c r="C4771" i="1" s="1"/>
  <c r="C4772" i="1" a="1"/>
  <c r="C4772" i="1" s="1"/>
  <c r="C4773" i="1" a="1"/>
  <c r="C4773" i="1" s="1"/>
  <c r="C4774" i="1" a="1"/>
  <c r="C4774" i="1" s="1"/>
  <c r="C4775" i="1" a="1"/>
  <c r="C4775" i="1" s="1"/>
  <c r="C4776" i="1" a="1"/>
  <c r="C4776" i="1" s="1"/>
  <c r="C4777" i="1" a="1"/>
  <c r="C4777" i="1" s="1"/>
  <c r="C4778" i="1" a="1"/>
  <c r="C4778" i="1" s="1"/>
  <c r="C4779" i="1" a="1"/>
  <c r="C4779" i="1" s="1"/>
  <c r="C4780" i="1" a="1"/>
  <c r="C4780" i="1" s="1"/>
  <c r="C4781" i="1" a="1"/>
  <c r="C4781" i="1" s="1"/>
  <c r="C4782" i="1" a="1"/>
  <c r="C4782" i="1" s="1"/>
  <c r="C4783" i="1" a="1"/>
  <c r="C4783" i="1" s="1"/>
  <c r="C4784" i="1" a="1"/>
  <c r="C4784" i="1" s="1"/>
  <c r="C4785" i="1" a="1"/>
  <c r="C4785" i="1" s="1"/>
  <c r="C4786" i="1" a="1"/>
  <c r="C4786" i="1" s="1"/>
  <c r="C4787" i="1" a="1"/>
  <c r="C4787" i="1" s="1"/>
  <c r="C4788" i="1" a="1"/>
  <c r="C4788" i="1" s="1"/>
  <c r="C4789" i="1" a="1"/>
  <c r="C4789" i="1" s="1"/>
  <c r="C4790" i="1" a="1"/>
  <c r="C4790" i="1" s="1"/>
  <c r="C4791" i="1" a="1"/>
  <c r="C4791" i="1" s="1"/>
  <c r="C4792" i="1" a="1"/>
  <c r="C4792" i="1" s="1"/>
  <c r="C4793" i="1" a="1"/>
  <c r="C4793" i="1" s="1"/>
  <c r="C4794" i="1" a="1"/>
  <c r="C4794" i="1" s="1"/>
  <c r="C4795" i="1" a="1"/>
  <c r="C4795" i="1" s="1"/>
  <c r="C4796" i="1" a="1"/>
  <c r="C4796" i="1" s="1"/>
  <c r="C4797" i="1" a="1"/>
  <c r="C4797" i="1" s="1"/>
  <c r="C4798" i="1" a="1"/>
  <c r="C4798" i="1" s="1"/>
  <c r="C4799" i="1" a="1"/>
  <c r="C4799" i="1" s="1"/>
  <c r="C4800" i="1" a="1"/>
  <c r="C4800" i="1" s="1"/>
  <c r="C4801" i="1" a="1"/>
  <c r="C4801" i="1" s="1"/>
  <c r="C4802" i="1" a="1"/>
  <c r="C4802" i="1" s="1"/>
  <c r="C4803" i="1" a="1"/>
  <c r="C4803" i="1" s="1"/>
  <c r="C4804" i="1" a="1"/>
  <c r="C4804" i="1" s="1"/>
  <c r="C4805" i="1" a="1"/>
  <c r="C4805" i="1" s="1"/>
  <c r="C4806" i="1" a="1"/>
  <c r="C4806" i="1" s="1"/>
  <c r="C4807" i="1" a="1"/>
  <c r="C4807" i="1" s="1"/>
  <c r="C4808" i="1" a="1"/>
  <c r="C4808" i="1" s="1"/>
  <c r="C4809" i="1" a="1"/>
  <c r="C4809" i="1" s="1"/>
  <c r="C4810" i="1" a="1"/>
  <c r="C4810" i="1" s="1"/>
  <c r="C4811" i="1" a="1"/>
  <c r="C4811" i="1" s="1"/>
  <c r="C4812" i="1" a="1"/>
  <c r="C4812" i="1" s="1"/>
  <c r="C4813" i="1" a="1"/>
  <c r="C4813" i="1" s="1"/>
  <c r="C4814" i="1" a="1"/>
  <c r="C4814" i="1" s="1"/>
  <c r="C4815" i="1" a="1"/>
  <c r="C4815" i="1" s="1"/>
  <c r="C4816" i="1" a="1"/>
  <c r="C4816" i="1" s="1"/>
  <c r="C4817" i="1" a="1"/>
  <c r="C4817" i="1" s="1"/>
  <c r="C4818" i="1" a="1"/>
  <c r="C4818" i="1" s="1"/>
  <c r="C4819" i="1" a="1"/>
  <c r="C4819" i="1" s="1"/>
  <c r="C4820" i="1" a="1"/>
  <c r="C4820" i="1" s="1"/>
  <c r="C4821" i="1" a="1"/>
  <c r="C4821" i="1" s="1"/>
  <c r="C4822" i="1" a="1"/>
  <c r="C4822" i="1" s="1"/>
  <c r="C4823" i="1" a="1"/>
  <c r="C4823" i="1" s="1"/>
  <c r="C4824" i="1" a="1"/>
  <c r="C4824" i="1" s="1"/>
  <c r="C4825" i="1" a="1"/>
  <c r="C4825" i="1" s="1"/>
  <c r="C4826" i="1" a="1"/>
  <c r="C4826" i="1" s="1"/>
  <c r="C4827" i="1" a="1"/>
  <c r="C4827" i="1" s="1"/>
  <c r="C4828" i="1" a="1"/>
  <c r="C4828" i="1" s="1"/>
  <c r="C4829" i="1" a="1"/>
  <c r="C4829" i="1" s="1"/>
  <c r="C4830" i="1" a="1"/>
  <c r="C4830" i="1" s="1"/>
  <c r="C4831" i="1" a="1"/>
  <c r="C4831" i="1" s="1"/>
  <c r="C4832" i="1" a="1"/>
  <c r="C4832" i="1" s="1"/>
  <c r="C4833" i="1" a="1"/>
  <c r="C4833" i="1" s="1"/>
  <c r="C4834" i="1" a="1"/>
  <c r="C4834" i="1" s="1"/>
  <c r="C4835" i="1" a="1"/>
  <c r="C4835" i="1" s="1"/>
  <c r="C4836" i="1" a="1"/>
  <c r="C4836" i="1" s="1"/>
  <c r="C4837" i="1" a="1"/>
  <c r="C4837" i="1" s="1"/>
  <c r="C4838" i="1" a="1"/>
  <c r="C4838" i="1" s="1"/>
  <c r="C4839" i="1" a="1"/>
  <c r="C4839" i="1" s="1"/>
  <c r="C4840" i="1" a="1"/>
  <c r="C4840" i="1" s="1"/>
  <c r="C4841" i="1" a="1"/>
  <c r="C4841" i="1" s="1"/>
  <c r="C4842" i="1" a="1"/>
  <c r="C4842" i="1" s="1"/>
  <c r="C4843" i="1" a="1"/>
  <c r="C4843" i="1" s="1"/>
  <c r="C4844" i="1" a="1"/>
  <c r="C4844" i="1" s="1"/>
  <c r="C4845" i="1" a="1"/>
  <c r="C4845" i="1" s="1"/>
  <c r="C4846" i="1" a="1"/>
  <c r="C4846" i="1" s="1"/>
  <c r="C4847" i="1" a="1"/>
  <c r="C4847" i="1" s="1"/>
  <c r="C4848" i="1" a="1"/>
  <c r="C4848" i="1" s="1"/>
  <c r="C4849" i="1" a="1"/>
  <c r="C4849" i="1" s="1"/>
  <c r="C4850" i="1" a="1"/>
  <c r="C4850" i="1" s="1"/>
  <c r="C4851" i="1" a="1"/>
  <c r="C4851" i="1" s="1"/>
  <c r="C4852" i="1" a="1"/>
  <c r="C4852" i="1" s="1"/>
  <c r="C4853" i="1" a="1"/>
  <c r="C4853" i="1" s="1"/>
  <c r="C4854" i="1" a="1"/>
  <c r="C4854" i="1" s="1"/>
  <c r="C4855" i="1" a="1"/>
  <c r="C4855" i="1" s="1"/>
  <c r="C4856" i="1" a="1"/>
  <c r="C4856" i="1" s="1"/>
  <c r="C4857" i="1" a="1"/>
  <c r="C4857" i="1" s="1"/>
  <c r="C4858" i="1" a="1"/>
  <c r="C4858" i="1" s="1"/>
  <c r="C4859" i="1" a="1"/>
  <c r="C4859" i="1" s="1"/>
  <c r="C4860" i="1" a="1"/>
  <c r="C4860" i="1" s="1"/>
  <c r="C4861" i="1" a="1"/>
  <c r="C4861" i="1" s="1"/>
  <c r="C4862" i="1" a="1"/>
  <c r="C4862" i="1" s="1"/>
  <c r="C4863" i="1" a="1"/>
  <c r="C4863" i="1" s="1"/>
  <c r="C4864" i="1" a="1"/>
  <c r="C4864" i="1" s="1"/>
  <c r="C4865" i="1" a="1"/>
  <c r="C4865" i="1" s="1"/>
  <c r="C4866" i="1" a="1"/>
  <c r="C4866" i="1" s="1"/>
  <c r="C4867" i="1" a="1"/>
  <c r="C4867" i="1" s="1"/>
  <c r="C4868" i="1" a="1"/>
  <c r="C4868" i="1" s="1"/>
  <c r="C4869" i="1" a="1"/>
  <c r="C4869" i="1" s="1"/>
  <c r="C4870" i="1" a="1"/>
  <c r="C4870" i="1" s="1"/>
  <c r="C4871" i="1" a="1"/>
  <c r="C4871" i="1" s="1"/>
  <c r="C4872" i="1" a="1"/>
  <c r="C4872" i="1" s="1"/>
  <c r="C4873" i="1" a="1"/>
  <c r="C4873" i="1" s="1"/>
  <c r="C4874" i="1" a="1"/>
  <c r="C4874" i="1" s="1"/>
  <c r="C4875" i="1" a="1"/>
  <c r="C4875" i="1" s="1"/>
  <c r="C4876" i="1" a="1"/>
  <c r="C4876" i="1" s="1"/>
  <c r="C4877" i="1" a="1"/>
  <c r="C4877" i="1" s="1"/>
  <c r="C4878" i="1" a="1"/>
  <c r="C4878" i="1" s="1"/>
  <c r="C4879" i="1" a="1"/>
  <c r="C4879" i="1" s="1"/>
  <c r="C4880" i="1" a="1"/>
  <c r="C4880" i="1" s="1"/>
  <c r="C4881" i="1" a="1"/>
  <c r="C4881" i="1" s="1"/>
  <c r="C4882" i="1" a="1"/>
  <c r="C4882" i="1" s="1"/>
  <c r="C4883" i="1" a="1"/>
  <c r="C4883" i="1" s="1"/>
  <c r="C4884" i="1" a="1"/>
  <c r="C4884" i="1" s="1"/>
  <c r="C4885" i="1" a="1"/>
  <c r="C4885" i="1" s="1"/>
  <c r="C4886" i="1" a="1"/>
  <c r="C4886" i="1" s="1"/>
  <c r="C4887" i="1" a="1"/>
  <c r="C4887" i="1" s="1"/>
  <c r="C4888" i="1" a="1"/>
  <c r="C4888" i="1" s="1"/>
  <c r="C4889" i="1" a="1"/>
  <c r="C4889" i="1" s="1"/>
  <c r="C4890" i="1" a="1"/>
  <c r="C4890" i="1" s="1"/>
  <c r="C4891" i="1" a="1"/>
  <c r="C4891" i="1" s="1"/>
  <c r="C4892" i="1" a="1"/>
  <c r="C4892" i="1" s="1"/>
  <c r="C4893" i="1" a="1"/>
  <c r="C4893" i="1" s="1"/>
  <c r="C4894" i="1" a="1"/>
  <c r="C4894" i="1" s="1"/>
  <c r="C4895" i="1" a="1"/>
  <c r="C4895" i="1"/>
  <c r="C4896" i="1" a="1"/>
  <c r="C4896" i="1" s="1"/>
  <c r="C4897" i="1" a="1"/>
  <c r="C4897" i="1" s="1"/>
  <c r="C4898" i="1" a="1"/>
  <c r="C4898" i="1" s="1"/>
  <c r="C4899" i="1" a="1"/>
  <c r="C4899" i="1" s="1"/>
  <c r="C4900" i="1" a="1"/>
  <c r="C4900" i="1" s="1"/>
  <c r="C4901" i="1" a="1"/>
  <c r="C4901" i="1" s="1"/>
  <c r="C4902" i="1" a="1"/>
  <c r="C4902" i="1" s="1"/>
  <c r="C4903" i="1" a="1"/>
  <c r="C4903" i="1" s="1"/>
  <c r="C4904" i="1" a="1"/>
  <c r="C4904" i="1" s="1"/>
  <c r="C4905" i="1" a="1"/>
  <c r="C4905" i="1" s="1"/>
  <c r="C4906" i="1" a="1"/>
  <c r="C4906" i="1" s="1"/>
  <c r="C4907" i="1" a="1"/>
  <c r="C4907" i="1" s="1"/>
  <c r="C4908" i="1" a="1"/>
  <c r="C4908" i="1" s="1"/>
  <c r="C4909" i="1" a="1"/>
  <c r="C4909" i="1" s="1"/>
  <c r="C4910" i="1" a="1"/>
  <c r="C4910" i="1" s="1"/>
  <c r="C4911" i="1" a="1"/>
  <c r="C4911" i="1" s="1"/>
  <c r="C4912" i="1" a="1"/>
  <c r="C4912" i="1" s="1"/>
  <c r="C4913" i="1" a="1"/>
  <c r="C4913" i="1" s="1"/>
  <c r="C4914" i="1" a="1"/>
  <c r="C4914" i="1" s="1"/>
  <c r="C4915" i="1" a="1"/>
  <c r="C4915" i="1" s="1"/>
  <c r="C4916" i="1" a="1"/>
  <c r="C4916" i="1" s="1"/>
  <c r="C4917" i="1" a="1"/>
  <c r="C4917" i="1" s="1"/>
  <c r="C4918" i="1" a="1"/>
  <c r="C4918" i="1" s="1"/>
  <c r="C4919" i="1" a="1"/>
  <c r="C4919" i="1" s="1"/>
  <c r="C4920" i="1" a="1"/>
  <c r="C4920" i="1" s="1"/>
  <c r="C4921" i="1" a="1"/>
  <c r="C4921" i="1" s="1"/>
  <c r="C4922" i="1" a="1"/>
  <c r="C4922" i="1" s="1"/>
  <c r="C4923" i="1" a="1"/>
  <c r="C4923" i="1" s="1"/>
  <c r="C4924" i="1" a="1"/>
  <c r="C4924" i="1" s="1"/>
  <c r="C4925" i="1" a="1"/>
  <c r="C4925" i="1" s="1"/>
  <c r="C4926" i="1" a="1"/>
  <c r="C4926" i="1" s="1"/>
  <c r="C4927" i="1" a="1"/>
  <c r="C4927" i="1" s="1"/>
  <c r="C4928" i="1" a="1"/>
  <c r="C4928" i="1" s="1"/>
  <c r="C4929" i="1" a="1"/>
  <c r="C4929" i="1" s="1"/>
  <c r="C4930" i="1" a="1"/>
  <c r="C4930" i="1" s="1"/>
  <c r="C4931" i="1" a="1"/>
  <c r="C4931" i="1" s="1"/>
  <c r="C4932" i="1" a="1"/>
  <c r="C4932" i="1" s="1"/>
  <c r="C4933" i="1" a="1"/>
  <c r="C4933" i="1" s="1"/>
  <c r="C4934" i="1" a="1"/>
  <c r="C4934" i="1" s="1"/>
  <c r="C4935" i="1" a="1"/>
  <c r="C4935" i="1" s="1"/>
  <c r="C4936" i="1" a="1"/>
  <c r="C4936" i="1" s="1"/>
  <c r="C4937" i="1" a="1"/>
  <c r="C4937" i="1" s="1"/>
  <c r="C4938" i="1" a="1"/>
  <c r="C4938" i="1" s="1"/>
  <c r="C4939" i="1" a="1"/>
  <c r="C4939" i="1" s="1"/>
  <c r="C4940" i="1" a="1"/>
  <c r="C4940" i="1" s="1"/>
  <c r="C4941" i="1" a="1"/>
  <c r="C4941" i="1" s="1"/>
  <c r="C4942" i="1" a="1"/>
  <c r="C4942" i="1" s="1"/>
  <c r="C4943" i="1" a="1"/>
  <c r="C4943" i="1" s="1"/>
  <c r="C4944" i="1" a="1"/>
  <c r="C4944" i="1" s="1"/>
  <c r="C4945" i="1" a="1"/>
  <c r="C4945" i="1" s="1"/>
  <c r="C4946" i="1" a="1"/>
  <c r="C4946" i="1" s="1"/>
  <c r="C4947" i="1" a="1"/>
  <c r="C4947" i="1" s="1"/>
  <c r="C4948" i="1" a="1"/>
  <c r="C4948" i="1" s="1"/>
  <c r="C4949" i="1" a="1"/>
  <c r="C4949" i="1" s="1"/>
  <c r="C4950" i="1" a="1"/>
  <c r="C4950" i="1" s="1"/>
  <c r="C4951" i="1" a="1"/>
  <c r="C4951" i="1" s="1"/>
  <c r="C4952" i="1" a="1"/>
  <c r="C4952" i="1" s="1"/>
  <c r="C4953" i="1" a="1"/>
  <c r="C4953" i="1" s="1"/>
  <c r="C4954" i="1" a="1"/>
  <c r="C4954" i="1" s="1"/>
  <c r="C4955" i="1" a="1"/>
  <c r="C4955" i="1" s="1"/>
  <c r="C4956" i="1" a="1"/>
  <c r="C4956" i="1" s="1"/>
  <c r="C4957" i="1" a="1"/>
  <c r="C4957" i="1" s="1"/>
  <c r="C4958" i="1" a="1"/>
  <c r="C4958" i="1" s="1"/>
  <c r="C4959" i="1" a="1"/>
  <c r="C4959" i="1" s="1"/>
  <c r="C4960" i="1" a="1"/>
  <c r="C4960" i="1" s="1"/>
  <c r="C4961" i="1" a="1"/>
  <c r="C4961" i="1" s="1"/>
  <c r="C4962" i="1" a="1"/>
  <c r="C4962" i="1" s="1"/>
  <c r="C4963" i="1" a="1"/>
  <c r="C4963" i="1" s="1"/>
  <c r="C4964" i="1" a="1"/>
  <c r="C4964" i="1" s="1"/>
  <c r="C4965" i="1" a="1"/>
  <c r="C4965" i="1" s="1"/>
  <c r="C4966" i="1" a="1"/>
  <c r="C4966" i="1" s="1"/>
  <c r="C4967" i="1" a="1"/>
  <c r="C4967" i="1" s="1"/>
  <c r="C4968" i="1" a="1"/>
  <c r="C4968" i="1" s="1"/>
  <c r="C4969" i="1" a="1"/>
  <c r="C4969" i="1" s="1"/>
  <c r="C4970" i="1" a="1"/>
  <c r="C4970" i="1" s="1"/>
  <c r="C4971" i="1" a="1"/>
  <c r="C4971" i="1" s="1"/>
  <c r="C4972" i="1" a="1"/>
  <c r="C4972" i="1" s="1"/>
  <c r="C4973" i="1" a="1"/>
  <c r="C4973" i="1" s="1"/>
  <c r="C4974" i="1" a="1"/>
  <c r="C4974" i="1" s="1"/>
  <c r="C4975" i="1" a="1"/>
  <c r="C4975" i="1" s="1"/>
  <c r="C4976" i="1" a="1"/>
  <c r="C4976" i="1" s="1"/>
  <c r="C4977" i="1" a="1"/>
  <c r="C4977" i="1" s="1"/>
  <c r="C4978" i="1" a="1"/>
  <c r="C4978" i="1" s="1"/>
  <c r="C4979" i="1" a="1"/>
  <c r="C4979" i="1" s="1"/>
  <c r="C4980" i="1" a="1"/>
  <c r="C4980" i="1" s="1"/>
  <c r="C4981" i="1" a="1"/>
  <c r="C4981" i="1" s="1"/>
  <c r="C4982" i="1" a="1"/>
  <c r="C4982" i="1" s="1"/>
  <c r="C4983" i="1" a="1"/>
  <c r="C4983" i="1" s="1"/>
  <c r="C4984" i="1" a="1"/>
  <c r="C4984" i="1" s="1"/>
  <c r="C4985" i="1" a="1"/>
  <c r="C4985" i="1" s="1"/>
  <c r="C4986" i="1" a="1"/>
  <c r="C4986" i="1" s="1"/>
  <c r="C4987" i="1" a="1"/>
  <c r="C4987" i="1" s="1"/>
  <c r="C4988" i="1" a="1"/>
  <c r="C4988" i="1" s="1"/>
  <c r="C4989" i="1" a="1"/>
  <c r="C4989" i="1" s="1"/>
  <c r="C4990" i="1" a="1"/>
  <c r="C4990" i="1" s="1"/>
  <c r="C4991" i="1" a="1"/>
  <c r="C4991" i="1" s="1"/>
  <c r="C4992" i="1" a="1"/>
  <c r="C4992" i="1" s="1"/>
  <c r="C4993" i="1" a="1"/>
  <c r="C4993" i="1" s="1"/>
  <c r="C4994" i="1" a="1"/>
  <c r="C4994" i="1" s="1"/>
  <c r="C4995" i="1" a="1"/>
  <c r="C4995" i="1" s="1"/>
  <c r="C4996" i="1" a="1"/>
  <c r="C4996" i="1" s="1"/>
  <c r="C4997" i="1" a="1"/>
  <c r="C4997" i="1" s="1"/>
  <c r="C4998" i="1" a="1"/>
  <c r="C4998" i="1" s="1"/>
  <c r="C4999" i="1" a="1"/>
  <c r="C4999" i="1" s="1"/>
  <c r="C5000" i="1" a="1"/>
  <c r="C5000" i="1" s="1"/>
  <c r="C5001" i="1" a="1"/>
  <c r="C5001" i="1" s="1"/>
  <c r="C20" i="2"/>
  <c r="C43" i="2"/>
  <c r="D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4FBDA8-D7F7-4814-B44D-5C155E5761AC}" keepAlive="1" name="Query - worksheet" description="Connection to the 'worksheet' query in the workbook." type="5" refreshedVersion="0" background="1">
    <dbPr connection="Provider=Microsoft.Mashup.OleDb.1;Data Source=$Workbook$;Location=worksheet;Extended Properties=&quot;&quot;" command="SELECT * FROM [workshee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<sst xmlns="http://schemas.openxmlformats.org/spreadsheetml/2006/main" count="35107" uniqueCount="5082">
  <si>
    <t>customer_id</t>
  </si>
  <si>
    <t>age</t>
  </si>
  <si>
    <t>gender</t>
  </si>
  <si>
    <t>subscription_type</t>
  </si>
  <si>
    <t>watch_hours</t>
  </si>
  <si>
    <t>last_login_days</t>
  </si>
  <si>
    <t>region</t>
  </si>
  <si>
    <t>device</t>
  </si>
  <si>
    <t>monthly_fee</t>
  </si>
  <si>
    <t>churned</t>
  </si>
  <si>
    <t>payment_method</t>
  </si>
  <si>
    <t>number_of_profiles</t>
  </si>
  <si>
    <t>avg_watch_time_per_day</t>
  </si>
  <si>
    <t>favorite_genre</t>
  </si>
  <si>
    <t>a9b75100-82a8-427a-a208-72f24052884a</t>
  </si>
  <si>
    <t>Other</t>
  </si>
  <si>
    <t>Basic</t>
  </si>
  <si>
    <t>Africa</t>
  </si>
  <si>
    <t>TV</t>
  </si>
  <si>
    <t>Gift Card</t>
  </si>
  <si>
    <t>Action</t>
  </si>
  <si>
    <t>49a5dfd9-7e69-4022-a6ad-0a1b9767fb5b</t>
  </si>
  <si>
    <t>Standard</t>
  </si>
  <si>
    <t>Europe</t>
  </si>
  <si>
    <t>Mobile</t>
  </si>
  <si>
    <t>Sci-Fi</t>
  </si>
  <si>
    <t>4d71f6ce-fca9-4ff7-8afa-197ac24de14b</t>
  </si>
  <si>
    <t>Female</t>
  </si>
  <si>
    <t>Asia</t>
  </si>
  <si>
    <t>Crypto</t>
  </si>
  <si>
    <t>Drama</t>
  </si>
  <si>
    <t>d3c72c38-631b-4f9e-8a0e-de103cad1a7d</t>
  </si>
  <si>
    <t>Premium</t>
  </si>
  <si>
    <t>Oceania</t>
  </si>
  <si>
    <t>Horror</t>
  </si>
  <si>
    <t>4e265c34-103a-4dbb-9553-76c9aa47e946</t>
  </si>
  <si>
    <t>d8079475-5be7-47e9-8782-ceb7ff61395e</t>
  </si>
  <si>
    <t>Debit Card</t>
  </si>
  <si>
    <t>8e63450a-13d6-4e83-bbb5-6aebde9152cb</t>
  </si>
  <si>
    <t>Romance</t>
  </si>
  <si>
    <t>02387681-8c42-462a-807a-de0168c73b38</t>
  </si>
  <si>
    <t>Male</t>
  </si>
  <si>
    <t>0bcaad0c-545c-4ee1-85a6-75e165f39361</t>
  </si>
  <si>
    <t>PayPal</t>
  </si>
  <si>
    <t>eae6439e-8cdf-4258-ab49-c493925b927a</t>
  </si>
  <si>
    <t>45a03ce3-26d0-4cd5-a9bd-22d42490b612</t>
  </si>
  <si>
    <t>Laptop</t>
  </si>
  <si>
    <t>Comedy</t>
  </si>
  <si>
    <t>9df43ad1-d6ee-44d0-a79b-c8ab444f10bf</t>
  </si>
  <si>
    <t>South America</t>
  </si>
  <si>
    <t>4690bf9c-b828-44d3-bdb6-f91b10668288</t>
  </si>
  <si>
    <t>0aac0e54-7d40-4cf2-abe4-45f3ff73f5ff</t>
  </si>
  <si>
    <t>Documentary</t>
  </si>
  <si>
    <t>e2a75072-5f48-47ed-a533-eb1b0301aad9</t>
  </si>
  <si>
    <t>25db8257-f409-4acd-81f8-99629fbf15a0</t>
  </si>
  <si>
    <t>Desktop</t>
  </si>
  <si>
    <t>bf48551e-a8e6-4fd9-bb32-3f798ed84680</t>
  </si>
  <si>
    <t>Tablet</t>
  </si>
  <si>
    <t>3819aaed-bed6-49c8-ab53-0fd9d917e4e1</t>
  </si>
  <si>
    <t>e2f28860-44e4-4fc2-a445-014332e7fb11</t>
  </si>
  <si>
    <t>a088d61d-be5a-409e-b943-73b145b358d1</t>
  </si>
  <si>
    <t>Credit Card</t>
  </si>
  <si>
    <t>109cc416-0a22-4c41-93e9-2c7dd24ddd3f</t>
  </si>
  <si>
    <t>a8c8dcff-92d3-4a79-849d-42c6e6bbc7bc</t>
  </si>
  <si>
    <t>8071c1be-1197-49a1-aa75-5fb6a6b3087a</t>
  </si>
  <si>
    <t>98b7c57d-1094-45dd-bb45-d9bb8dff9b83</t>
  </si>
  <si>
    <t>18be905c-203f-4de2-8e78-ef10061fc57f</t>
  </si>
  <si>
    <t>b7c1bdad-cafb-4586-a15d-fc9ff30a8115</t>
  </si>
  <si>
    <t>6e061f35-b1b5-4efe-9e37-f40a14d929b1</t>
  </si>
  <si>
    <t>8c2d377b-f6ec-44b5-ae08-3660c4358a93</t>
  </si>
  <si>
    <t>North America</t>
  </si>
  <si>
    <t>afcc5c55-a3d8-4e2f-ab95-3d34f5e0390d</t>
  </si>
  <si>
    <t>2211b077-0300-4e0c-834c-e7751a45eb96</t>
  </si>
  <si>
    <t>8d755725-4f16-4006-bdae-fa3dc9fa2579</t>
  </si>
  <si>
    <t>c39a5943-fe7c-46ec-8d3c-2a24ab46733b</t>
  </si>
  <si>
    <t>e62d9bc8-dab9-42e0-b6b2-e8d076fe843b</t>
  </si>
  <si>
    <t>7a89d8b6-28ec-4b0c-9d3b-88e0a5119e3b</t>
  </si>
  <si>
    <t>c8648f0f-0b92-4445-a3a7-5c48711cbc07</t>
  </si>
  <si>
    <t>ebe928a7-de65-4567-b349-06056b35e6a6</t>
  </si>
  <si>
    <t>8b3597af-7da9-405d-9815-60d1e4dbe2e5</t>
  </si>
  <si>
    <t>839ec473-5f41-4a8b-955a-ec14b3a9cad4</t>
  </si>
  <si>
    <t>cdf4012d-14b0-41d5-ab40-cc6627fe1e3b</t>
  </si>
  <si>
    <t>aa97d1a3-c4ad-4c76-bd2a-56f1b46a753c</t>
  </si>
  <si>
    <t>6ead42f9-86d8-4c66-b2fc-3d791323186d</t>
  </si>
  <si>
    <t>9235d289-6d46-46ba-a48a-1cf4ea18b599</t>
  </si>
  <si>
    <t>20529e32-d3e7-4cfc-8210-b6468cdbe2a4</t>
  </si>
  <si>
    <t>bfe7729e-7d5d-4850-b496-51e891158836</t>
  </si>
  <si>
    <t>783c7652-37b8-4be0-b8bc-fb51bd4b5578</t>
  </si>
  <si>
    <t>2117b36a-9e3e-4077-ac5b-03540bb38461</t>
  </si>
  <si>
    <t>ceec2c10-9770-48d1-8366-344fa66195b1</t>
  </si>
  <si>
    <t>854b2bfd-6773-413f-b385-02338fa3a316</t>
  </si>
  <si>
    <t>ee53be31-fb36-41d9-8eb2-1a4c1d976552</t>
  </si>
  <si>
    <t>c9c8202c-992c-4e6c-b04f-0e2961ea87cc</t>
  </si>
  <si>
    <t>022f9c7a-8276-494a-8629-086ad5e81df1</t>
  </si>
  <si>
    <t>1a0f21b6-454a-4a22-88a8-5045b9d00fa4</t>
  </si>
  <si>
    <t>616199ed-33c4-4ff5-9450-251fc608d3a1</t>
  </si>
  <si>
    <t>d1593b1d-ef59-4d4a-a169-5ff338b8baef</t>
  </si>
  <si>
    <t>749b69f5-8a24-428a-880c-86057af2a485</t>
  </si>
  <si>
    <t>a2eab47c-dc4c-427f-88f8-755051b303fb</t>
  </si>
  <si>
    <t>b313f39d-0675-4bef-9b10-573146872adf</t>
  </si>
  <si>
    <t>09a76bc9-4048-4403-8087-a31cdb16556e</t>
  </si>
  <si>
    <t>af9b0f0d-9532-48f2-ad24-bf41faa164a6</t>
  </si>
  <si>
    <t>ec202012-e4bf-4b14-b5fe-4447d8cfb730</t>
  </si>
  <si>
    <t>8c78b61b-0d41-4470-ade0-3ed2e2b36c28</t>
  </si>
  <si>
    <t>da57899f-77b4-4b23-bcab-700db438f6d1</t>
  </si>
  <si>
    <t>361aff57-8a5f-4229-b4f5-f52544178dc7</t>
  </si>
  <si>
    <t>900034d1-e7de-4e99-914e-4ad863061834</t>
  </si>
  <si>
    <t>6082e011-4f6d-4acb-93f2-3bfefd532880</t>
  </si>
  <si>
    <t>4c7d404a-ebd5-4881-9fb5-302ad47f2fb8</t>
  </si>
  <si>
    <t>33146637-8d6b-4a63-b0be-65c67a894825</t>
  </si>
  <si>
    <t>746cea20-f12a-4b78-900d-fe19b5eaf91d</t>
  </si>
  <si>
    <t>44361538-0ea0-4b91-bef5-4c5af2dc15bd</t>
  </si>
  <si>
    <t>05e8a643-0a5c-4413-ae75-a4dcdccf9c62</t>
  </si>
  <si>
    <t>85b74247-a98b-47b1-91ba-8b7db3c3662c</t>
  </si>
  <si>
    <t>aaf3513b-97c7-46fa-b889-0d78c2ca0be7</t>
  </si>
  <si>
    <t>62d2ca00-38a2-4f3b-a517-e212fb24e26e</t>
  </si>
  <si>
    <t>005b6afc-cff9-432f-ae0e-265d9acb5a59</t>
  </si>
  <si>
    <t>4dbbc3f7-6ede-48ad-bf36-84c7e9188e3c</t>
  </si>
  <si>
    <t>60559c1a-4093-4379-9e24-d2f033256395</t>
  </si>
  <si>
    <t>842cacde-7763-4505-bef1-538dedd13be7</t>
  </si>
  <si>
    <t>73772dd0-a793-479a-a5fa-51423747291a</t>
  </si>
  <si>
    <t>52aa9ac1-8625-4421-8d2c-3ed00cf83389</t>
  </si>
  <si>
    <t>72452f35-f1ef-4881-a0f6-df6de0351844</t>
  </si>
  <si>
    <t>fdf130c6-cd3c-434b-abbf-4645c8ca928d</t>
  </si>
  <si>
    <t>f3dd9f07-99ca-4425-8eaa-62f1a949e8b1</t>
  </si>
  <si>
    <t>f67b2663-cc48-4d48-a855-fc3e1e323a0f</t>
  </si>
  <si>
    <t>da8c00ec-40b0-400a-90b6-ed24b0b37c89</t>
  </si>
  <si>
    <t>6be0b14c-eaea-4580-b845-457df93bb828</t>
  </si>
  <si>
    <t>134e6a09-9723-4652-9213-fbfecaa84377</t>
  </si>
  <si>
    <t>31563b13-7c8d-41c6-bdf2-6a1a554574cd</t>
  </si>
  <si>
    <t>ce40f5f8-42ee-44e2-b754-bd3a626cf48d</t>
  </si>
  <si>
    <t>2682c90e-8e16-4cb6-88ae-1348cd5a62fb</t>
  </si>
  <si>
    <t>84cbf173-d71c-49cf-b015-0ea96838663a</t>
  </si>
  <si>
    <t>55587cf4-5322-467e-8066-2ac35e023421</t>
  </si>
  <si>
    <t>72c5f29b-8e0a-4b81-99c2-6db14fd602a6</t>
  </si>
  <si>
    <t>f1e8f248-727d-47f5-92da-d6f7610cfc5b</t>
  </si>
  <si>
    <t>1cb5c1a8-8724-4edc-8255-06b1152f5dea</t>
  </si>
  <si>
    <t>72e27837-1995-4843-8284-fadf89a8cfe8</t>
  </si>
  <si>
    <t>40e78b9f-b88b-4eb9-b6dd-f288901b072d</t>
  </si>
  <si>
    <t>c82cb034-7c20-47af-901e-91379d90a183</t>
  </si>
  <si>
    <t>6d9e258d-3110-475f-ac1c-1eba0f56b7e8</t>
  </si>
  <si>
    <t>a9661b26-d812-406e-a1e2-58f640879a0a</t>
  </si>
  <si>
    <t>747d7b40-97b1-4207-923c-72d5c3e65343</t>
  </si>
  <si>
    <t>8ba94dad-4f0e-4aaf-b8d5-c8b4deb2195b</t>
  </si>
  <si>
    <t>cd2fbe59-0226-47ac-83f9-3aad8fdd9fd1</t>
  </si>
  <si>
    <t>e443c6b3-1d47-4274-b231-23f2ffe08dc9</t>
  </si>
  <si>
    <t>7fdace55-3767-41d2-85d3-e43a5eddede6</t>
  </si>
  <si>
    <t>85d2824e-34b3-4e81-8e27-d1426f49ae4b</t>
  </si>
  <si>
    <t>4b1e6601-b97e-479b-b01c-5228f3c6681e</t>
  </si>
  <si>
    <t>fa19687b-872c-4163-a900-59f1b4098ed9</t>
  </si>
  <si>
    <t>90b17b2a-6b37-4913-acb5-70b9a7fb7400</t>
  </si>
  <si>
    <t>f2d0a49a-a99d-440c-8495-66a3e2e4d7f9</t>
  </si>
  <si>
    <t>79f6a459-5e71-40e9-831a-8657ed6f160b</t>
  </si>
  <si>
    <t>fd3c898e-3bfd-453b-b00e-839eaf2dd443</t>
  </si>
  <si>
    <t>d88332b4-4d6a-49a9-a74c-55a5d43f3785</t>
  </si>
  <si>
    <t>ad1d5a11-4a28-49fe-ab0d-9d9708af9ae4</t>
  </si>
  <si>
    <t>f5a0302a-6df7-4cad-b563-199ad2af75da</t>
  </si>
  <si>
    <t>2dab7db6-0652-42aa-9bbd-c685fadca648</t>
  </si>
  <si>
    <t>123f622f-26f1-431d-bc19-2219c6e7fc86</t>
  </si>
  <si>
    <t>4b9d865e-50f1-447e-8e49-89d2c6acd3b3</t>
  </si>
  <si>
    <t>4891e3c6-f53b-45af-ad62-12572f687302</t>
  </si>
  <si>
    <t>2e3a45b3-b511-42dd-b3e3-e9ce9d182b7a</t>
  </si>
  <si>
    <t>5519a119-ca14-4ca1-9518-40ab23d4ea93</t>
  </si>
  <si>
    <t>ccaded82-6e9b-4863-b165-cb90cb39fd26</t>
  </si>
  <si>
    <t>52c7f909-500a-4c6d-851d-e504c27ec859</t>
  </si>
  <si>
    <t>d019bb17-c284-4b18-b15e-a8625a16d93f</t>
  </si>
  <si>
    <t>efe01bcd-e159-4494-a1d3-6e8432a0c269</t>
  </si>
  <si>
    <t>552fb14c-c171-4f05-895a-61d49233686b</t>
  </si>
  <si>
    <t>99e08a07-d0de-46c9-997d-1fb9452bea46</t>
  </si>
  <si>
    <t>45291e8c-5116-4068-9168-545eecfaf691</t>
  </si>
  <si>
    <t>00477256-578d-4abd-8ed8-3a5e75539e7a</t>
  </si>
  <si>
    <t>a8f0268f-cb07-4c40-9fde-dbe0f1c737fc</t>
  </si>
  <si>
    <t>3b237337-1044-4e5d-a612-e1a9e5f6eb36</t>
  </si>
  <si>
    <t>80e4a598-68b9-48e1-8bc0-4dbfa54d769e</t>
  </si>
  <si>
    <t>33563d42-7f51-405c-8328-8cd881128656</t>
  </si>
  <si>
    <t>4949efaa-be29-41cc-a0ee-683eaa53f442</t>
  </si>
  <si>
    <t>4cea2a42-ffdf-49e0-a1c0-5a13b3bdffe3</t>
  </si>
  <si>
    <t>e301bbbc-80e3-4e8a-9016-545ab980b0cf</t>
  </si>
  <si>
    <t>5945dc09-1b5b-4511-ac0d-20135699628e</t>
  </si>
  <si>
    <t>69281385-44f2-48fb-abf2-dc483ee5be8b</t>
  </si>
  <si>
    <t>844f2522-32e3-4f44-a960-cd0c13881618</t>
  </si>
  <si>
    <t>8bc108d0-ddb9-4aa9-8c28-081008f38cb6</t>
  </si>
  <si>
    <t>7bb33e01-e208-48b0-9c0b-cd38833b1124</t>
  </si>
  <si>
    <t>21f1a30f-ff82-424c-b085-7770795446c1</t>
  </si>
  <si>
    <t>5fa579a5-f777-4206-98c3-de5d03627c6c</t>
  </si>
  <si>
    <t>ffdade4e-d794-42ce-a50d-25f0a5729e88</t>
  </si>
  <si>
    <t>e8fda88a-2847-4cb4-b5a0-b7f0c3454405</t>
  </si>
  <si>
    <t>e19a5270-f0e0-4586-8893-ca3fabdc2fc8</t>
  </si>
  <si>
    <t>46fe1eb8-c6f9-4bd4-8a9a-d91919ed031a</t>
  </si>
  <si>
    <t>6735d050-2af6-4030-b34f-9687ab1a8914</t>
  </si>
  <si>
    <t>629a11d7-4bd9-4698-b40f-8638ffd900c7</t>
  </si>
  <si>
    <t>39287652-cd55-45d3-99bc-5b4917558f5e</t>
  </si>
  <si>
    <t>071f4ab9-b7c8-42b9-9571-dac40f75fe29</t>
  </si>
  <si>
    <t>ebfb8aef-3cb5-40e2-9eed-15a73a544d43</t>
  </si>
  <si>
    <t>1ce9139b-2013-4a00-b77f-fbab1b020a00</t>
  </si>
  <si>
    <t>9fbdd1e9-64e2-41a4-8753-fb3412bea228</t>
  </si>
  <si>
    <t>76d56597-dfb2-4223-845f-b8ff46b00ccd</t>
  </si>
  <si>
    <t>7da43629-4c0f-49ff-8bf2-047e7d6ff102</t>
  </si>
  <si>
    <t>fb2804df-cb81-4735-a73b-15241d47b179</t>
  </si>
  <si>
    <t>fd5c0b28-152d-47e2-bc46-c8db8eb99985</t>
  </si>
  <si>
    <t>54ff35f5-4b7d-4740-a2b3-4755a628e79a</t>
  </si>
  <si>
    <t>8af34fa6-55d3-4e2f-bb67-94d27ba89512</t>
  </si>
  <si>
    <t>4ab4899e-8602-4207-8d66-b1d0037f9061</t>
  </si>
  <si>
    <t>d0882378-87e1-4f8c-ae52-9b4c6650ed1d</t>
  </si>
  <si>
    <t>95506f85-ac7c-441f-9653-2ff87e09cf22</t>
  </si>
  <si>
    <t>78f24d23-96c3-46bf-a87a-fb61569fc00b</t>
  </si>
  <si>
    <t>3d2a67b3-9cdb-4e45-9066-27e51d45cb66</t>
  </si>
  <si>
    <t>a8582720-4d1c-4377-8be1-a414bc51938d</t>
  </si>
  <si>
    <t>6ad7f0b7-91f7-4c49-9d03-085ce4845c8e</t>
  </si>
  <si>
    <t>a9bb3c30-19d3-4f1c-ab31-2749363de6ca</t>
  </si>
  <si>
    <t>6517898e-2c6a-4f44-a25a-33272efdc08d</t>
  </si>
  <si>
    <t>ce63b3cf-0d7a-499f-a1d7-5ee3a26a0257</t>
  </si>
  <si>
    <t>5911a679-cdb3-4ccc-8ce8-491fb5a5f538</t>
  </si>
  <si>
    <t>8f45c680-7d92-47c2-910e-2e4c69803700</t>
  </si>
  <si>
    <t>9141433d-3463-435d-9b27-87d08766f03d</t>
  </si>
  <si>
    <t>5131e34f-e327-4746-9132-241d79255ecc</t>
  </si>
  <si>
    <t>8a93c9a8-86d1-4fb8-9f0f-89ff6671601a</t>
  </si>
  <si>
    <t>61e92891-b875-4291-8e37-00d10b069367</t>
  </si>
  <si>
    <t>c96e98a2-6211-4466-9096-6c389ef0143a</t>
  </si>
  <si>
    <t>dd0dd66b-b4e4-4077-b128-50039b87c68f</t>
  </si>
  <si>
    <t>9945eeb5-7747-4c17-a171-35bfde1b29ff</t>
  </si>
  <si>
    <t>e3e9c377-2cb7-4ec4-a85a-f59b9e6f298d</t>
  </si>
  <si>
    <t>01bcc59b-2ffe-4146-9c55-05195c1bfd4f</t>
  </si>
  <si>
    <t>66ee8b3e-54d4-47b0-9bdf-a9830a3be6f0</t>
  </si>
  <si>
    <t>042c6d84-17fa-4c97-a537-dcc1ebfc9b19</t>
  </si>
  <si>
    <t>37bf780f-45c1-471c-8158-9f211fbf9e0a</t>
  </si>
  <si>
    <t>57bea9bb-8e3b-4a70-831b-89ec71163a30</t>
  </si>
  <si>
    <t>ea197301-ecc0-4b24-b3f2-f9c7aa3efccf</t>
  </si>
  <si>
    <t>31dab47e-d021-4d4b-8284-98460539ef0a</t>
  </si>
  <si>
    <t>339bd217-4512-4fce-8e0f-a8ee2938f548</t>
  </si>
  <si>
    <t>e4696783-b60d-40f9-8556-b6aaca0439bb</t>
  </si>
  <si>
    <t>6131b5ac-7daf-4a54-9f44-63fe0fcca85f</t>
  </si>
  <si>
    <t>c81ba12a-e438-42fc-9d0a-045fb8a0e87a</t>
  </si>
  <si>
    <t>d9706e06-14bf-475c-aeb6-1eaaf5a3dd1b</t>
  </si>
  <si>
    <t>db2af8cb-89e8-4d68-b1b4-6620a2d5d041</t>
  </si>
  <si>
    <t>b84c61be-3dbf-4706-9ac0-bf2c77b54dde</t>
  </si>
  <si>
    <t>29c66269-9ffd-4c33-a193-ce878aadd03e</t>
  </si>
  <si>
    <t>5515be5c-4926-4e19-abbf-6f2f6c8da2ac</t>
  </si>
  <si>
    <t>65967ad4-dae6-45d3-9af8-3897eed4bdfb</t>
  </si>
  <si>
    <t>ac2f51d0-0824-4f84-b2cd-ab20ec04b858</t>
  </si>
  <si>
    <t>f1c3c48d-f3d2-4d85-a8c3-f1a96eaacad9</t>
  </si>
  <si>
    <t>2986574c-65fa-40e8-ae90-3c745b045804</t>
  </si>
  <si>
    <t>533ad58f-7675-4e1f-8a7b-27f64e6ac546</t>
  </si>
  <si>
    <t>bf84e8d8-05ec-42a0-acea-ef18118399c7</t>
  </si>
  <si>
    <t>ec781d62-dcea-497b-a9e4-c17263747c67</t>
  </si>
  <si>
    <t>8b81a984-02e2-48aa-9ff5-5f1868dcf643</t>
  </si>
  <si>
    <t>56406333-657b-4c54-8abd-6493fcfb3683</t>
  </si>
  <si>
    <t>7ce062a1-89ad-45c1-a25a-0b3b4ee4ec72</t>
  </si>
  <si>
    <t>2febe28b-3c16-4efb-9188-1f37a1c01d82</t>
  </si>
  <si>
    <t>0480261e-6011-440b-862c-17eb4d5f183f</t>
  </si>
  <si>
    <t>5af996e6-33fe-477d-a99e-1c10776fda79</t>
  </si>
  <si>
    <t>dae2da1f-76cb-41c0-b04f-33dc860fcf32</t>
  </si>
  <si>
    <t>9be09f8c-f7dc-49dd-8c6b-25c8f448d92f</t>
  </si>
  <si>
    <t>a15b0804-4a6c-4410-b37f-a4986930e827</t>
  </si>
  <si>
    <t>6354bb8b-9f9d-440d-bcaf-fb281e48866e</t>
  </si>
  <si>
    <t>c9c2f14e-1e0f-467a-90f5-e8512a867bf1</t>
  </si>
  <si>
    <t>73b4ab33-132d-4c64-b52d-c9aa2e2f85d6</t>
  </si>
  <si>
    <t>a03703b4-96da-4fc9-ab23-dc087a013b7d</t>
  </si>
  <si>
    <t>8e10ed31-6232-49d2-9def-3cb40206c216</t>
  </si>
  <si>
    <t>2c8412ce-38b1-4edd-9a05-23df72e6ec65</t>
  </si>
  <si>
    <t>06d02ff5-4241-48cf-88cd-83e965c477fa</t>
  </si>
  <si>
    <t>feb1f73a-8cc1-44c9-a58e-83bc8d1fd127</t>
  </si>
  <si>
    <t>8f511109-28d6-4502-bb4a-02a31d2fd9b1</t>
  </si>
  <si>
    <t>908d1c29-96cd-4d12-9b7b-6f25c85d46ea</t>
  </si>
  <si>
    <t>59b1d940-2563-4884-9944-87129d5a5399</t>
  </si>
  <si>
    <t>a229903c-f733-4e37-8f53-26759271a27d</t>
  </si>
  <si>
    <t>ecd9a401-3be9-4ff9-8b82-7491e8de3376</t>
  </si>
  <si>
    <t>82247ee5-3c0e-45db-b734-31cf92c63a7a</t>
  </si>
  <si>
    <t>8874bf6b-73ab-4361-9955-e6d678400a2f</t>
  </si>
  <si>
    <t>41e580ba-a11a-416e-863f-d94f0fcb729e</t>
  </si>
  <si>
    <t>80304332-21c7-4123-9691-ec47680ef521</t>
  </si>
  <si>
    <t>e2bade9e-76ad-4e9c-b851-f15137431ca2</t>
  </si>
  <si>
    <t>93991bdd-3b61-4167-ba40-807e3fc24cce</t>
  </si>
  <si>
    <t>5b14b084-6bd2-4df4-b9c5-8839f9e9680a</t>
  </si>
  <si>
    <t>10e3667e-01b2-4340-8f1e-f6eca396f00c</t>
  </si>
  <si>
    <t>ba539916-0de8-4f60-9b2f-fb07ba7f1193</t>
  </si>
  <si>
    <t>ae95f50e-1e2f-4f65-874d-0b6bc9427707</t>
  </si>
  <si>
    <t>10fa7f05-3ce2-4829-bafa-78e5001ebaa0</t>
  </si>
  <si>
    <t>c92450d6-b3fa-47a1-82ac-ebbf6f022eac</t>
  </si>
  <si>
    <t>bc58e790-61ad-438b-9059-67adee68af43</t>
  </si>
  <si>
    <t>a59003ca-fc14-4078-9ed4-d9dbf9d91826</t>
  </si>
  <si>
    <t>075f3920-d7be-49de-b9a8-04ae797d2806</t>
  </si>
  <si>
    <t>c562cd9e-2437-4343-afd8-740938a1b59b</t>
  </si>
  <si>
    <t>e85f81f9-f1c6-4db6-91b8-a68d9a225b14</t>
  </si>
  <si>
    <t>95b61ee7-ccc7-4c12-b422-3518fa9a9de9</t>
  </si>
  <si>
    <t>9479a993-2027-4f6b-90c3-76082a333411</t>
  </si>
  <si>
    <t>258fb686-a114-48c9-b4d9-45d0e773064f</t>
  </si>
  <si>
    <t>dc507aeb-ca76-409a-9ff8-09dd364e0754</t>
  </si>
  <si>
    <t>ed01a482-affc-4e7f-a7b4-ff9fcde8024a</t>
  </si>
  <si>
    <t>af94b7ff-2542-4364-b5fb-a71e0250ef2d</t>
  </si>
  <si>
    <t>0e678d61-af68-4c15-8870-34aeb9e546de</t>
  </si>
  <si>
    <t>0507202b-60a0-4db0-9d84-d54696712eb1</t>
  </si>
  <si>
    <t>613bfc9a-f30f-416c-802a-2aa9327cfa58</t>
  </si>
  <si>
    <t>77cf8860-f7d9-4320-a1eb-c06c6b3941db</t>
  </si>
  <si>
    <t>fe5de36a-ab2a-40c9-9697-4578c5212b9e</t>
  </si>
  <si>
    <t>b512d943-7962-447f-9112-8ff4bf5b2767</t>
  </si>
  <si>
    <t>c91b0ee0-8912-4f6a-bad2-32747ee6e7b4</t>
  </si>
  <si>
    <t>461b021e-97a5-486b-921b-6642c9d3e82a</t>
  </si>
  <si>
    <t>ce433abe-57fd-4e3d-9342-2e73dfda078b</t>
  </si>
  <si>
    <t>8c0e6937-e5a5-4e4b-80e6-734497960ec4</t>
  </si>
  <si>
    <t>c6b0204e-436a-40a3-8de9-2f3a84d799b7</t>
  </si>
  <si>
    <t>7b0bee97-a383-498d-a1d0-2de7c824ce74</t>
  </si>
  <si>
    <t>5ec455c9-3823-4034-b614-261b8e723d17</t>
  </si>
  <si>
    <t>95613c6d-17d2-4b03-8c8b-9ebe03768f44</t>
  </si>
  <si>
    <t>8a88927d-a219-4bb5-8f16-acc4c3171dbf</t>
  </si>
  <si>
    <t>d8da3b68-dfd2-48bb-8717-352605346780</t>
  </si>
  <si>
    <t>6627f98b-c514-4d31-9be0-73d1f859e0bc</t>
  </si>
  <si>
    <t>c0361c14-77f2-4833-ae4a-4fe578223f75</t>
  </si>
  <si>
    <t>8ad4594c-beba-471b-abe6-8071694e4294</t>
  </si>
  <si>
    <t>2b408c37-307e-4e4b-aa9e-df26fd74e648</t>
  </si>
  <si>
    <t>b943a742-e530-4b1d-a717-b6f72c8eb0df</t>
  </si>
  <si>
    <t>86ca5953-8687-4fd4-ad11-0d5d680458a8</t>
  </si>
  <si>
    <t>1e06d863-a4c7-4967-8340-46c14cb445a0</t>
  </si>
  <si>
    <t>860a5a69-185b-4aef-8746-502864830574</t>
  </si>
  <si>
    <t>fd6488c2-9e1f-4227-9498-0a49f3702153</t>
  </si>
  <si>
    <t>0de32e81-bbd2-465d-a0bd-dc9981e9de95</t>
  </si>
  <si>
    <t>d3d8842a-961b-4951-ad19-f2ce40f0bd6c</t>
  </si>
  <si>
    <t>251b46dc-0342-44cf-8868-ac80695ec9df</t>
  </si>
  <si>
    <t>10b94520-29d7-4845-917f-98fd0a3bf3e7</t>
  </si>
  <si>
    <t>c73edd98-948a-45a2-bf02-d8556d7771c1</t>
  </si>
  <si>
    <t>15977af7-baf7-4922-ac0b-06541e0271d3</t>
  </si>
  <si>
    <t>3ca42ba1-9483-49c4-9da0-3261165ecb8e</t>
  </si>
  <si>
    <t>14ab6691-c9c4-479d-b472-b54fad1ea99e</t>
  </si>
  <si>
    <t>32777b99-f320-4575-93f0-635af1cf0b43</t>
  </si>
  <si>
    <t>baee1593-6034-48d7-8a84-7486c56e1563</t>
  </si>
  <si>
    <t>b81c0235-959b-4e73-af06-1a55896f1693</t>
  </si>
  <si>
    <t>314e27f7-020f-48a3-8914-5c0b51f67d00</t>
  </si>
  <si>
    <t>cb507a43-512e-4dec-be49-2489ad065c20</t>
  </si>
  <si>
    <t>505fa98f-6743-4996-abac-4dfadbf39cef</t>
  </si>
  <si>
    <t>b7842c18-8a7c-427d-985c-190fa574149d</t>
  </si>
  <si>
    <t>51efc330-55c5-4b72-98ef-7bb6c3a82162</t>
  </si>
  <si>
    <t>d798a26c-3ede-4a44-b16a-a49c50e8f053</t>
  </si>
  <si>
    <t>7b5ec85e-2ca0-4c16-a1d2-daa5e187fc5c</t>
  </si>
  <si>
    <t>10424d23-f638-4f9b-b107-3a3fc714ebdb</t>
  </si>
  <si>
    <t>318b785e-376e-47cc-bf21-95b314654f83</t>
  </si>
  <si>
    <t>844f557e-b944-4ca0-aa50-1ce827d8bcb8</t>
  </si>
  <si>
    <t>03e51425-ede3-4da6-9769-2ac43a43a6c8</t>
  </si>
  <si>
    <t>f18f3f06-7f7a-4860-8d04-5656e811782e</t>
  </si>
  <si>
    <t>6abb7d1e-a927-4b88-a4f6-a995b5c42361</t>
  </si>
  <si>
    <t>3aabb525-5a7b-4668-af65-a641a594a772</t>
  </si>
  <si>
    <t>4cb69e88-ac09-4383-b583-af8ac1ed8aa7</t>
  </si>
  <si>
    <t>9eb4965a-d5d7-4223-abf2-4bc3205567d5</t>
  </si>
  <si>
    <t>40c040fc-9b95-4b3b-871a-21ff700d0f77</t>
  </si>
  <si>
    <t>83a0d0df-f602-47a7-8f84-ff7b087eb234</t>
  </si>
  <si>
    <t>5226d599-736b-422f-bf60-186a26fdeaca</t>
  </si>
  <si>
    <t>fa3df7a7-031b-4bc3-ad1c-12c10ebc05f7</t>
  </si>
  <si>
    <t>330da1e1-f14f-48b1-a950-169e4c02303d</t>
  </si>
  <si>
    <t>d9536bca-b67a-4e23-88b3-27208462b5f0</t>
  </si>
  <si>
    <t>503bb6a2-47c8-4dee-b381-3b5415ad89c9</t>
  </si>
  <si>
    <t>ff0a52b7-4a72-4a00-b2b9-926f67c65a15</t>
  </si>
  <si>
    <t>97b76db8-4504-438b-b561-4b8c8976c938</t>
  </si>
  <si>
    <t>f5194307-2cf2-4d42-a353-6ed0142b7dee</t>
  </si>
  <si>
    <t>bb60c0f0-462a-411c-bd4a-be52a830f801</t>
  </si>
  <si>
    <t>2147d452-2d5c-4618-aaba-e7feb7d322f5</t>
  </si>
  <si>
    <t>12f4c115-7090-47f6-9450-7f3c5b7ce2ee</t>
  </si>
  <si>
    <t>2f2b96aa-a4b0-47fd-8163-128e7da936ac</t>
  </si>
  <si>
    <t>071580bb-2081-42f1-82d9-55d269964fed</t>
  </si>
  <si>
    <t>49460bf3-2d1f-48a8-abca-b6af133f2803</t>
  </si>
  <si>
    <t>1cddb6f1-fc2f-4e07-887b-e3703974af83</t>
  </si>
  <si>
    <t>00ed9abb-99cc-4b26-bac4-eab742a14f5a</t>
  </si>
  <si>
    <t>304e77f6-80f7-4820-affe-f288fb212762</t>
  </si>
  <si>
    <t>f1664406-d734-495d-8499-225258ceb44d</t>
  </si>
  <si>
    <t>2e7f0f39-fa6e-4eb0-92de-1ec80999427b</t>
  </si>
  <si>
    <t>6419436c-0144-4b48-a8be-7a43d909a91d</t>
  </si>
  <si>
    <t>407bcc3b-fda7-46f1-ad86-4fb4b4d34e84</t>
  </si>
  <si>
    <t>0c7c7313-11c4-4127-86d9-7db7dbc296b3</t>
  </si>
  <si>
    <t>fb18811c-c703-4f82-8119-20f4341d811e</t>
  </si>
  <si>
    <t>2ef8917f-008f-4cda-ac07-1c700c111afd</t>
  </si>
  <si>
    <t>61e9d50e-dbe8-4e0c-99cc-cfd614f9da3c</t>
  </si>
  <si>
    <t>9eb92a08-3a88-47a8-93ed-717e041463d3</t>
  </si>
  <si>
    <t>4ed3af39-edab-4a77-a166-978bd2fe04c3</t>
  </si>
  <si>
    <t>7325ea2c-d50b-4cd1-aad0-245a0602f7ce</t>
  </si>
  <si>
    <t>4e354ac7-0a8e-4e95-bea1-a9075202ef61</t>
  </si>
  <si>
    <t>4857b9de-1edb-4296-b3ad-7a33e68f0c85</t>
  </si>
  <si>
    <t>d5092d9c-c22a-462c-ab30-88227da4a8bd</t>
  </si>
  <si>
    <t>cae4eb59-460f-4819-82ee-b5ac5de9a5bc</t>
  </si>
  <si>
    <t>45fae5a6-eb08-4eae-9ec0-d6530ad02310</t>
  </si>
  <si>
    <t>aaf921c3-5870-4508-8814-a72e0cbd10ff</t>
  </si>
  <si>
    <t>fbf6539b-a9e0-4443-8cd2-46cc1f1c7f81</t>
  </si>
  <si>
    <t>a1683619-5cc2-49c0-9830-26abcf323125</t>
  </si>
  <si>
    <t>8ead4768-c185-45ab-acc0-233037753cf4</t>
  </si>
  <si>
    <t>8ee6ec42-bc06-4390-b152-bbf1c1c0b165</t>
  </si>
  <si>
    <t>9d59350b-6bf3-48ad-aa59-d0fc92f66475</t>
  </si>
  <si>
    <t>463e5585-9dae-4c85-94fd-dd5c15096551</t>
  </si>
  <si>
    <t>0c8b427b-4b17-4656-9664-805fd9d79d94</t>
  </si>
  <si>
    <t>dba7977d-3e9b-444f-9130-e3cf2f18c821</t>
  </si>
  <si>
    <t>57c2ede7-538e-4e16-88a3-fdbea0addc45</t>
  </si>
  <si>
    <t>d6cca673-966d-4c20-b758-19c3510c4219</t>
  </si>
  <si>
    <t>b525f0c4-903c-4313-b1b4-48e7c2ed21fa</t>
  </si>
  <si>
    <t>7aeed096-1bb8-48ca-9bbc-8961abcf5628</t>
  </si>
  <si>
    <t>066c1a91-ea7d-44ec-8d8a-0a7e16d61fad</t>
  </si>
  <si>
    <t>2d9b4222-589e-4c8d-b433-3b6f82c14e4c</t>
  </si>
  <si>
    <t>0bd9e2e0-5f3a-43af-a33e-9b91f849e3df</t>
  </si>
  <si>
    <t>f98dfba7-4659-4486-af51-c26bb5812dd7</t>
  </si>
  <si>
    <t>136dea6e-2ef8-4543-8646-3a53ecf58c37</t>
  </si>
  <si>
    <t>54ba5a09-05cd-4a27-a689-3aacea4bc87a</t>
  </si>
  <si>
    <t>dacb6f05-14d5-4f84-891e-c6498f9a27f2</t>
  </si>
  <si>
    <t>5ce52697-adf6-410e-9fa4-136a826020d3</t>
  </si>
  <si>
    <t>73985dc8-731e-4899-93ad-a2fc6dd855b4</t>
  </si>
  <si>
    <t>65a8b79c-91b9-4e37-8db0-46d6eb08a523</t>
  </si>
  <si>
    <t>54ac9d64-1c06-4c41-af42-cbde0c8b1fb4</t>
  </si>
  <si>
    <t>126ecb5d-8652-497f-b5c4-c30d60a9baaa</t>
  </si>
  <si>
    <t>182a0a12-73f2-430c-ace1-e771d0579b8d</t>
  </si>
  <si>
    <t>32fefe2e-b543-4afe-ad6e-c9a54d4b9a47</t>
  </si>
  <si>
    <t>8a8873b4-5397-44ca-a433-9a870d6876bc</t>
  </si>
  <si>
    <t>a9b1e2d9-7f36-437e-a38b-9339999f2ae3</t>
  </si>
  <si>
    <t>fe70faa8-b5c5-4161-8dc8-d3e67b347bbe</t>
  </si>
  <si>
    <t>652a3ef0-a115-4f83-b5bf-451c62ada858</t>
  </si>
  <si>
    <t>335f4a66-cbce-4d08-affb-aa5c6d92ca89</t>
  </si>
  <si>
    <t>93ea1605-c19e-4faf-8ddb-cd2c4499908c</t>
  </si>
  <si>
    <t>3fa39771-d81f-4b62-a45d-d864399ac4be</t>
  </si>
  <si>
    <t>6701c268-e97f-46a1-891b-a5283d199258</t>
  </si>
  <si>
    <t>e5b3a35a-183b-4048-9eea-11b59ae5ce5f</t>
  </si>
  <si>
    <t>95e16d3f-1437-48a6-878c-5684ef5f409a</t>
  </si>
  <si>
    <t>d482d990-31c6-4a80-a9f3-f4bc26d671cf</t>
  </si>
  <si>
    <t>ad31433b-096b-43e2-b67b-28aac9340c0c</t>
  </si>
  <si>
    <t>6a16e21f-e800-42a9-9c0c-3ef09efe57d4</t>
  </si>
  <si>
    <t>5f976666-0c51-493a-9924-14a17c615b89</t>
  </si>
  <si>
    <t>c71d03ad-0974-4365-9d07-44c31a3dd2ca</t>
  </si>
  <si>
    <t>b8ca4f83-91e4-4913-bb2a-7af18b9df8a5</t>
  </si>
  <si>
    <t>09746f94-c065-41ac-aa70-2c6bd5645554</t>
  </si>
  <si>
    <t>efa03a02-4c30-4ef2-a7ea-5d5f76104688</t>
  </si>
  <si>
    <t>b294bf19-b1f0-4b62-ba68-2b8d4d0bb572</t>
  </si>
  <si>
    <t>676427ff-9d86-4bc4-98aa-4904e25ed3ed</t>
  </si>
  <si>
    <t>0a12e979-14a5-4cd3-bb0f-28768f6a1163</t>
  </si>
  <si>
    <t>f27eb411-b0c4-4cad-8568-c071b05101d1</t>
  </si>
  <si>
    <t>090c334f-63fc-4946-92ad-a588a7600d25</t>
  </si>
  <si>
    <t>06a94eb2-a132-4bd9-8737-99c282f2fcc5</t>
  </si>
  <si>
    <t>5c758e8d-16b7-4015-a0fc-7bb34b34879d</t>
  </si>
  <si>
    <t>00499449-d818-4965-b170-d6a300fca0fd</t>
  </si>
  <si>
    <t>1d186e14-fe68-41bb-abb3-cf5a3055bdd1</t>
  </si>
  <si>
    <t>d38dd14e-66f0-4a23-8c80-370b4f241ec1</t>
  </si>
  <si>
    <t>aa838ade-266b-42a6-96eb-79d73ce1c63a</t>
  </si>
  <si>
    <t>1abd56c9-1fde-473b-89cd-f9d78879fc10</t>
  </si>
  <si>
    <t>d9b3c54f-401e-4ff5-83c5-66c369e26290</t>
  </si>
  <si>
    <t>dd4567d9-cc06-4eed-bf3c-44042f1d4e6b</t>
  </si>
  <si>
    <t>dddfa932-69d3-48e0-81df-8c797829701a</t>
  </si>
  <si>
    <t>5c49d257-0de5-4601-a2ec-ff29a72735ab</t>
  </si>
  <si>
    <t>b34037d6-c10b-4513-9969-2b2578c9e3a8</t>
  </si>
  <si>
    <t>31229975-3432-4e6f-9676-3ba672c58f6a</t>
  </si>
  <si>
    <t>6af6fe1b-f71f-4488-b5a0-749e5ffd0add</t>
  </si>
  <si>
    <t>b54f35bd-04b4-4772-bccc-c0914906efd2</t>
  </si>
  <si>
    <t>7169fc97-817c-4230-9aaf-514d20a0a711</t>
  </si>
  <si>
    <t>b563fad3-459d-424f-b754-d7e38a922faa</t>
  </si>
  <si>
    <t>fbd31429-1b1e-4a66-bcb3-1c571dfe6cd3</t>
  </si>
  <si>
    <t>6946db19-5d1e-450e-9112-2342b6ebb400</t>
  </si>
  <si>
    <t>d16217df-4ad4-42ad-95da-3c3c95f09d2b</t>
  </si>
  <si>
    <t>b039fd18-e62f-4ab4-9bae-db1d0eb6872b</t>
  </si>
  <si>
    <t>bed23ab3-6714-42a2-a245-7865f95bf8ed</t>
  </si>
  <si>
    <t>0e66bbc5-6d6d-400d-971e-7604323c6e5a</t>
  </si>
  <si>
    <t>f0f6032f-1fbc-4115-822e-f85a80af44ba</t>
  </si>
  <si>
    <t>a00452e6-6d9a-4b59-a93d-d52833512ece</t>
  </si>
  <si>
    <t>a78cd558-abc4-4205-8f08-aac802c5d896</t>
  </si>
  <si>
    <t>7c183a33-34e5-4c0b-ad55-ffa5702d8d2e</t>
  </si>
  <si>
    <t>48892130-c90f-4efa-80dd-b26c5de70e6b</t>
  </si>
  <si>
    <t>d9268020-9d9f-4b1a-a284-87ee535bee3f</t>
  </si>
  <si>
    <t>7bbe4107-001f-4bc9-a9b0-c449d046f78b</t>
  </si>
  <si>
    <t>e17a955b-011b-402a-9ee1-58470d595818</t>
  </si>
  <si>
    <t>326aa08e-4b87-4552-ba4b-c12e33b9aadd</t>
  </si>
  <si>
    <t>77998b87-1b1a-4e4d-bbdc-63bc7a33610b</t>
  </si>
  <si>
    <t>0bc35530-60ff-4701-b4a4-82974657d4ab</t>
  </si>
  <si>
    <t>cd662d41-5e22-45b1-a82a-b10b90503d2e</t>
  </si>
  <si>
    <t>9c2ffacf-8752-49e0-ad2c-018b0373d9d3</t>
  </si>
  <si>
    <t>4af19fec-91fd-4307-897a-8820d828d965</t>
  </si>
  <si>
    <t>09900f0a-9376-42db-9958-85c35349ccac</t>
  </si>
  <si>
    <t>2741a884-1629-4cc1-aedb-dd2e1b24bdeb</t>
  </si>
  <si>
    <t>0fa0e024-38a5-4cdf-9595-628ca4218902</t>
  </si>
  <si>
    <t>1972b144-6f74-4774-87db-a6e90f56b0a3</t>
  </si>
  <si>
    <t>9bbc806a-c4c0-4de9-8e5e-4f8b28bfa209</t>
  </si>
  <si>
    <t>3484396b-3ad3-44fe-8288-9cd8fb629122</t>
  </si>
  <si>
    <t>307992d3-bd88-4d61-8c0f-8131659b3076</t>
  </si>
  <si>
    <t>1e6a3b73-f6dd-4bbb-aa8d-b0462877ce4f</t>
  </si>
  <si>
    <t>5ad16f1b-83c8-45eb-b506-7a1baafdab4f</t>
  </si>
  <si>
    <t>f0432d3c-5c75-4cca-b27c-73f92ef194cb</t>
  </si>
  <si>
    <t>8db6b22f-a49a-49a2-a991-901b21d61905</t>
  </si>
  <si>
    <t>eac73a53-f46d-4c9a-ab1e-def6c81b670e</t>
  </si>
  <si>
    <t>a17ade56-9ee7-4d41-8efd-659350776e44</t>
  </si>
  <si>
    <t>f81b3026-7189-46a6-8987-bca6172794b3</t>
  </si>
  <si>
    <t>b6f7895c-4a09-4e75-82cb-06baf8b2ef29</t>
  </si>
  <si>
    <t>24fa2911-7aa9-42dd-88f8-c1f76ff94cba</t>
  </si>
  <si>
    <t>8f6dbb06-4191-4bd6-9147-d9507a3e863b</t>
  </si>
  <si>
    <t>03b2b19e-62cd-4c9e-a3ef-51cb27a687df</t>
  </si>
  <si>
    <t>7afcacfb-38f5-4f28-89d6-93b00a26104c</t>
  </si>
  <si>
    <t>4a62ea61-7fd3-4f73-9d0f-fea08b4087f7</t>
  </si>
  <si>
    <t>05232fb1-bb8f-4e7e-a2fd-d7c0957a3fd0</t>
  </si>
  <si>
    <t>6e8f06ec-bf9b-4aca-82c9-6dfbf5dc0d77</t>
  </si>
  <si>
    <t>9d09dcf2-0456-4e2b-903f-b9e4ccb40654</t>
  </si>
  <si>
    <t>15d5126a-b913-491a-ba7c-73ceca42478c</t>
  </si>
  <si>
    <t>b48359e4-842d-4aeb-8bd5-9775186a9250</t>
  </si>
  <si>
    <t>6bb29066-b9f3-4312-b7ed-07c422adda79</t>
  </si>
  <si>
    <t>35f0abfa-dfe5-4081-ae01-cece7e233dd1</t>
  </si>
  <si>
    <t>60929da4-5915-4610-b737-ba4e7b7fab9a</t>
  </si>
  <si>
    <t>5b71d159-108a-4bc4-ad12-604740c7b9f5</t>
  </si>
  <si>
    <t>2bcb1598-761e-4e79-bbb3-0a27ee8735ad</t>
  </si>
  <si>
    <t>2c7c944e-7d27-409d-aef6-46659c0fb0c5</t>
  </si>
  <si>
    <t>6bb3b410-ec41-4958-a6eb-a1109b526c2e</t>
  </si>
  <si>
    <t>416a1fd1-5f6d-483d-9fb3-75c6e1f01afb</t>
  </si>
  <si>
    <t>980d0f2a-52e1-4525-94a6-0f04c19414cc</t>
  </si>
  <si>
    <t>fa67e175-0a06-4309-b029-013aca420427</t>
  </si>
  <si>
    <t>bec1ae44-944b-454d-afbe-fd5358230b23</t>
  </si>
  <si>
    <t>52a46829-efc4-48f2-adbf-6a7da898af49</t>
  </si>
  <si>
    <t>47e821d7-8960-4158-a530-812f1e4649a9</t>
  </si>
  <si>
    <t>9a51ecb7-e23d-429f-b479-95a6d35fc07d</t>
  </si>
  <si>
    <t>943a4f59-f7b3-406d-90c3-4dfff002c6cc</t>
  </si>
  <si>
    <t>7519830f-3b2a-42c3-91c4-d440cec4edd4</t>
  </si>
  <si>
    <t>eab381c2-b6d8-434b-bc0d-a8631c8c5dbe</t>
  </si>
  <si>
    <t>8d11c2a7-db32-4ffa-bd30-00b65f83f249</t>
  </si>
  <si>
    <t>4ef7aca8-5f78-47ac-a29f-e5aba589a6f8</t>
  </si>
  <si>
    <t>5629ff24-b786-4812-b0fd-bc82d7af1f45</t>
  </si>
  <si>
    <t>10bfc352-0f52-44e7-b086-16fb3b7c4834</t>
  </si>
  <si>
    <t>9440d961-076a-4e3b-bfd3-1faf6b67db3d</t>
  </si>
  <si>
    <t>ffaf5a8f-4a21-4263-b2e6-1661ea990c16</t>
  </si>
  <si>
    <t>ce6a5766-b2c1-47e6-b45e-950bdd6eb6ef</t>
  </si>
  <si>
    <t>b3be52ce-4170-4eac-b249-af6b1475451f</t>
  </si>
  <si>
    <t>7d8f6a29-0e4d-47f5-8bb5-3b07c5ba02ef</t>
  </si>
  <si>
    <t>b7d9b624-c891-4639-87e9-a8eafacf6fc5</t>
  </si>
  <si>
    <t>c24a6c5a-5d0d-4590-be69-7316185ba76f</t>
  </si>
  <si>
    <t>bf0666fc-cc28-486c-8763-e4ae72e567bd</t>
  </si>
  <si>
    <t>05806200-9ba0-4323-adfd-4993ce054d36</t>
  </si>
  <si>
    <t>3eed3d0c-0ee6-4e81-8651-dd2585e2228e</t>
  </si>
  <si>
    <t>2e50b30b-57f0-4ab7-8aa0-7d1c90049955</t>
  </si>
  <si>
    <t>801c7969-7d28-4e6b-8276-b4f92da9f3f6</t>
  </si>
  <si>
    <t>6298bd59-6893-401d-94e5-a69aa8b48d25</t>
  </si>
  <si>
    <t>a0503463-95d6-4b99-87c3-f473b095717d</t>
  </si>
  <si>
    <t>13477d55-06b1-4d0e-a170-4047512eb6c6</t>
  </si>
  <si>
    <t>f807418c-659b-40b0-9741-5045480e70d4</t>
  </si>
  <si>
    <t>35634eef-1966-4d15-992c-7486e67a53c4</t>
  </si>
  <si>
    <t>da7b0235-ccf2-4fc3-8244-cfd2258370ec</t>
  </si>
  <si>
    <t>b27b7e7d-38bd-4baa-9fd2-cf2aae9c5bd5</t>
  </si>
  <si>
    <t>9fa9433e-9b38-4a44-9a82-5c6014630867</t>
  </si>
  <si>
    <t>cf7bca4d-00b0-48ef-930e-f08e2422f3d0</t>
  </si>
  <si>
    <t>a34a0408-ee59-4b6d-ac53-33dd131ba1f2</t>
  </si>
  <si>
    <t>d38a661a-9fbe-4961-90d8-0e8100b13965</t>
  </si>
  <si>
    <t>f6655409-3486-469e-aa75-61a674188c36</t>
  </si>
  <si>
    <t>c08bf813-a733-48df-9388-00b25842fe2b</t>
  </si>
  <si>
    <t>cc539484-c58e-4f2a-8d71-499afab22937</t>
  </si>
  <si>
    <t>ece38646-24dc-4bb9-9aa4-c5f22592d6ad</t>
  </si>
  <si>
    <t>727582cf-31c0-4f90-bfa3-931b71f80ea4</t>
  </si>
  <si>
    <t>e2716bd9-d203-499c-8788-c8a7f8b192a9</t>
  </si>
  <si>
    <t>012128df-8b33-420d-89d1-4716b755bda8</t>
  </si>
  <si>
    <t>aaaf0816-0f3c-4a93-8bbc-ace15d6cf5db</t>
  </si>
  <si>
    <t>f3f3ef4b-6dfa-4504-a0df-68572435dd73</t>
  </si>
  <si>
    <t>3a6e044f-361e-4c4a-be44-67ce2b5fddd5</t>
  </si>
  <si>
    <t>12248975-1f7f-458f-b21e-c3a45986b4c0</t>
  </si>
  <si>
    <t>de73097b-d6cb-4862-9308-ed129859bccb</t>
  </si>
  <si>
    <t>7c48c4cc-32c0-436b-aa5d-da2cb1509f93</t>
  </si>
  <si>
    <t>11f37912-99c6-41fe-ac0c-48dd0930a4b4</t>
  </si>
  <si>
    <t>3b400433-a639-4fe3-a458-dbbb865f8261</t>
  </si>
  <si>
    <t>ca6a16c5-d79c-40a5-949f-ba4b2a45993d</t>
  </si>
  <si>
    <t>d80a7642-b629-4ca4-b51d-91600ae5d0a5</t>
  </si>
  <si>
    <t>fea2691a-fc62-4a68-b155-bd95ecf587de</t>
  </si>
  <si>
    <t>d8127bf4-b7ea-4cf8-81ce-270df2f38163</t>
  </si>
  <si>
    <t>7d980d04-b321-432f-b415-ce55969de68a</t>
  </si>
  <si>
    <t>928dc2a2-8361-4e04-bfef-dcade10168eb</t>
  </si>
  <si>
    <t>3a5bfad8-d098-4418-bdbb-d15c889a2389</t>
  </si>
  <si>
    <t>cd918584-dbe4-43ee-8ee4-f35dcf029de4</t>
  </si>
  <si>
    <t>784bbf74-1bec-42e8-805d-d0a12579432c</t>
  </si>
  <si>
    <t>e76c1166-9bcf-4959-a627-863f1c621434</t>
  </si>
  <si>
    <t>3ed28f9d-f5ec-4a13-afb8-d65fe7f58ab3</t>
  </si>
  <si>
    <t>c0df8988-6625-4beb-8955-1a12520bd8c5</t>
  </si>
  <si>
    <t>14b07c0b-a32b-4f96-a236-6992f512fd8e</t>
  </si>
  <si>
    <t>eec5fa1c-5a41-448a-b4f8-46e7e258acc3</t>
  </si>
  <si>
    <t>bf910ef4-cb21-4375-a624-e57cc2e4c293</t>
  </si>
  <si>
    <t>fed18198-3eef-444c-825e-068b5729aac9</t>
  </si>
  <si>
    <t>7a2c4939-7e7b-4ada-8f61-e09737ba40b3</t>
  </si>
  <si>
    <t>ef372c4a-20ae-4373-a2db-12a114ee5e2b</t>
  </si>
  <si>
    <t>a91bb5e4-a577-4365-8bc6-3a306dcc8dd0</t>
  </si>
  <si>
    <t>0f372dc7-03c2-4955-88bd-4b78deb7bdc1</t>
  </si>
  <si>
    <t>f5dda56c-7406-4db7-90ed-e6738e422b8f</t>
  </si>
  <si>
    <t>04c8618d-f34e-4885-b587-6d6b324603b7</t>
  </si>
  <si>
    <t>6732052d-d079-4067-a288-4c23e1a599b9</t>
  </si>
  <si>
    <t>f3786d5d-fa50-4225-a34c-c869fe92149d</t>
  </si>
  <si>
    <t>4ac8c08a-cb1c-41d8-8834-7f4d43160ca5</t>
  </si>
  <si>
    <t>1c45723e-c679-4557-874e-17971854aea4</t>
  </si>
  <si>
    <t>ed2e6d14-1ec8-4f3a-8a09-10311a97e7db</t>
  </si>
  <si>
    <t>23511a64-59ce-4cc2-bc00-c4fe31339534</t>
  </si>
  <si>
    <t>23800c7b-cb6d-46c8-b966-bbb20f9b0ca5</t>
  </si>
  <si>
    <t>458036e4-1c6f-42b8-819f-e453f97ba7b1</t>
  </si>
  <si>
    <t>fe65b1ac-55dc-4d8e-a802-5867af17f8ea</t>
  </si>
  <si>
    <t>00139d09-c969-4136-987c-6e7d30f41cc0</t>
  </si>
  <si>
    <t>682d7f24-bf51-4e54-a2d2-2e25a3e17b61</t>
  </si>
  <si>
    <t>6004a0a1-5334-4dc7-8cd6-6ad98aa442e7</t>
  </si>
  <si>
    <t>9732c8a3-1080-422b-92c6-ecb2c1f838f3</t>
  </si>
  <si>
    <t>2d356c69-fcbe-4a5d-af62-c41e1944a95b</t>
  </si>
  <si>
    <t>e9b22aff-6ec8-4298-8d8a-74084c1bac83</t>
  </si>
  <si>
    <t>ab588e4b-6d23-4746-a5d3-2380dd359f2c</t>
  </si>
  <si>
    <t>9c254e1c-5ae4-470d-9db9-79fd55092590</t>
  </si>
  <si>
    <t>68111b31-0aa4-40ac-a612-5001e2891b73</t>
  </si>
  <si>
    <t>44fec6f1-73e6-4d9c-93d3-ec91313a4eb8</t>
  </si>
  <si>
    <t>2ad44ab8-c58d-4228-80f8-57d658a25d04</t>
  </si>
  <si>
    <t>157af3fa-dccb-4aba-a47f-a1d91c5426fe</t>
  </si>
  <si>
    <t>a5275893-fc09-4f77-a4bb-7fcb11fbb042</t>
  </si>
  <si>
    <t>04549d24-8090-4c9f-bfd2-d5f77c7dba5e</t>
  </si>
  <si>
    <t>4d4d4e8d-a8e6-44a5-bc8d-e6585696d1b7</t>
  </si>
  <si>
    <t>d700d121-5896-4474-915e-9c163bdf9c32</t>
  </si>
  <si>
    <t>aae17cd4-a7ca-4820-844d-a03761fa27af</t>
  </si>
  <si>
    <t>afa62629-6f9b-48a2-956f-68fdd66e2982</t>
  </si>
  <si>
    <t>d85bd9b4-0564-435a-bd8c-7599b9076257</t>
  </si>
  <si>
    <t>b042695c-e2c1-4f68-ab2d-3446f8f65967</t>
  </si>
  <si>
    <t>d04d1f2d-ed98-4ffe-b4f8-05678d9903a2</t>
  </si>
  <si>
    <t>1d65e890-ed62-468a-b0cd-153ad70cf2d4</t>
  </si>
  <si>
    <t>d0483b77-f8ff-4535-9c53-9ee919409583</t>
  </si>
  <si>
    <t>a525393b-868f-4f37-a301-565e5472a982</t>
  </si>
  <si>
    <t>53b18dce-bb9a-4e83-a4ab-bfb367144160</t>
  </si>
  <si>
    <t>766eaa1d-56f8-441e-a9f0-e8626a5f4d40</t>
  </si>
  <si>
    <t>470675d5-5cf6-4a4c-974d-38ba18e0d875</t>
  </si>
  <si>
    <t>9086d806-dcb7-4c64-9714-765f6a0303c6</t>
  </si>
  <si>
    <t>0d6dae1e-d44c-425b-abf5-371bb1a033db</t>
  </si>
  <si>
    <t>b72d9a7d-7c15-4521-8a90-479596bff39d</t>
  </si>
  <si>
    <t>7f34876f-d31e-4c36-be90-691335b33844</t>
  </si>
  <si>
    <t>f7add970-dc85-4c29-90e7-cdb047f52746</t>
  </si>
  <si>
    <t>51edbf12-a8ef-4848-9be8-b5baeb8adab7</t>
  </si>
  <si>
    <t>8f8e95b6-5be4-47ed-a018-6976631fbe71</t>
  </si>
  <si>
    <t>b15d15eb-0dda-409b-90c8-211757521f5d</t>
  </si>
  <si>
    <t>4f808be4-e7f6-424a-87e8-61497b1afee7</t>
  </si>
  <si>
    <t>ab429cc1-b1b1-4a7c-9a14-38212b83747d</t>
  </si>
  <si>
    <t>cf74b30a-3f9e-4db8-afbd-cb920c58390e</t>
  </si>
  <si>
    <t>ff95f3be-2385-4aca-b331-f385759179bb</t>
  </si>
  <si>
    <t>de93cbf9-0851-4c5b-826f-939b565c632e</t>
  </si>
  <si>
    <t>72fa5202-e5c7-4ac9-9974-05157876aa57</t>
  </si>
  <si>
    <t>68d59730-6ec5-4fe3-8c1a-8f3b7e60c047</t>
  </si>
  <si>
    <t>0b9e8972-a536-4e1c-8f0d-62e22d801f63</t>
  </si>
  <si>
    <t>67155e14-7779-4ff6-9536-1fa72821c3ab</t>
  </si>
  <si>
    <t>38948c93-2299-4dc1-9bcf-aadfdbde8079</t>
  </si>
  <si>
    <t>e9bacc45-dde8-4b72-bfbc-2466280d785a</t>
  </si>
  <si>
    <t>139a0e01-29df-48c9-bdad-fa7801585dea</t>
  </si>
  <si>
    <t>04f5830d-14f7-4ba4-916d-8485f464808a</t>
  </si>
  <si>
    <t>40f087fd-eaa5-407c-8b81-41d6795a73ac</t>
  </si>
  <si>
    <t>51866f33-a26b-4c0e-8aa0-a8d5c11bbfd1</t>
  </si>
  <si>
    <t>49ac3b2b-bdf7-499a-8549-1a66ff5934a5</t>
  </si>
  <si>
    <t>0f0a0838-f17e-4151-be3a-174c1df1d1c7</t>
  </si>
  <si>
    <t>6611dcd9-93b5-4a43-a351-cd9570bd8d8d</t>
  </si>
  <si>
    <t>6ee480c7-c4c3-4dcd-abbc-d46b49f0b6dd</t>
  </si>
  <si>
    <t>0d1c4623-a498-47e4-acb2-bb5d73f9baff</t>
  </si>
  <si>
    <t>ca65ce5d-63ec-4006-86ab-32fb0feda982</t>
  </si>
  <si>
    <t>997c57f8-f1c1-4b92-a9ff-717d6df18df6</t>
  </si>
  <si>
    <t>4a42dedb-08aa-4609-84cf-5b06eae21153</t>
  </si>
  <si>
    <t>101e7c6b-4f18-42d0-9626-5f5fd3bbd2e7</t>
  </si>
  <si>
    <t>7e292c54-b2c4-497a-b05b-00d61d2b824d</t>
  </si>
  <si>
    <t>ad9d7de3-a095-4576-931f-7e06480c9b78</t>
  </si>
  <si>
    <t>916a5696-c195-4934-bddc-ef0b43ec800b</t>
  </si>
  <si>
    <t>e3e4232d-f726-423d-80bc-e293587b52d9</t>
  </si>
  <si>
    <t>a32ab2df-8cda-4673-9acf-c0a20e99522e</t>
  </si>
  <si>
    <t>0dc3af4d-e69a-4efc-ab80-757bf616d4b7</t>
  </si>
  <si>
    <t>15bf4f39-0a66-4d87-a298-8f53c4e0f27d</t>
  </si>
  <si>
    <t>9ab81da7-21f5-4a76-9bd4-10a78fe5ae0a</t>
  </si>
  <si>
    <t>145a8f1f-3c7d-4dd1-b0d4-858bea81ce6f</t>
  </si>
  <si>
    <t>ef94ff72-ab34-4be0-9fdb-525daa2c114c</t>
  </si>
  <si>
    <t>f022ca06-c211-4695-9187-4a67a9f811da</t>
  </si>
  <si>
    <t>5bdfbdcf-ab7b-41da-b1d5-51f819eb66dc</t>
  </si>
  <si>
    <t>900f7a72-5fd2-448b-b8fa-a24862c7766f</t>
  </si>
  <si>
    <t>63f4e2e6-f646-430e-9f39-89f270669dc4</t>
  </si>
  <si>
    <t>2c840d2c-acbe-4a46-8e80-99489a4c1622</t>
  </si>
  <si>
    <t>6c5c94d3-ceba-42ba-8361-235b50a755d9</t>
  </si>
  <si>
    <t>f43dbc00-267c-4582-8a48-c51c960178ab</t>
  </si>
  <si>
    <t>0e3bcd74-c73f-4979-a929-487d0ee88e20</t>
  </si>
  <si>
    <t>5db9fb65-b73d-48b1-b112-619d9ff3cbac</t>
  </si>
  <si>
    <t>ee277a8f-6580-47ff-b15d-bd4c472f7c33</t>
  </si>
  <si>
    <t>2af0fa44-a495-4ed8-b750-e29f5ae68251</t>
  </si>
  <si>
    <t>36cad62c-bef7-4f24-bc63-6a45179bbe5f</t>
  </si>
  <si>
    <t>5db1bdfc-a507-4f07-baad-908aeb6de81a</t>
  </si>
  <si>
    <t>98b942f7-194b-40aa-95ab-66f412de5d19</t>
  </si>
  <si>
    <t>cc99892d-23de-44d2-a63f-f8ac9fab69fe</t>
  </si>
  <si>
    <t>478cb287-75dd-4ed3-99f0-bcc5877f308a</t>
  </si>
  <si>
    <t>2dee33b5-2a32-4b1e-b663-e4e941113df5</t>
  </si>
  <si>
    <t>ff81933a-fb48-42d3-9358-c1aba9255e95</t>
  </si>
  <si>
    <t>901270ae-4cad-4cb8-b501-fa015ea5c5f3</t>
  </si>
  <si>
    <t>a6a0e427-fde3-4051-bced-8486d4bd1883</t>
  </si>
  <si>
    <t>96e2f6c6-657d-4d48-82c0-b2e87060fe56</t>
  </si>
  <si>
    <t>cd276040-08db-4333-90c5-7b14e4af20ae</t>
  </si>
  <si>
    <t>1137c41e-fb4a-4d4b-a92a-075de068f94a</t>
  </si>
  <si>
    <t>d012e665-05a5-454d-bc1c-4eb7f132dc77</t>
  </si>
  <si>
    <t>5b39d054-a85a-472a-9c6b-6ca36f9c6f4c</t>
  </si>
  <si>
    <t>627b1b93-2178-4157-8e76-b8b8326e8694</t>
  </si>
  <si>
    <t>7c5015d6-cb4d-4738-9d1d-7f49dbee59c4</t>
  </si>
  <si>
    <t>eac45018-321f-4108-b08c-70f09651748c</t>
  </si>
  <si>
    <t>e2bb3e3f-6995-4d56-8ada-5b22730b7d50</t>
  </si>
  <si>
    <t>91f223fb-6d17-463e-96e6-dc72621732c3</t>
  </si>
  <si>
    <t>73e2fabe-cd9f-47cd-91c1-fa7d54a00851</t>
  </si>
  <si>
    <t>e9c0dcf8-d2f5-45de-8296-71b278906386</t>
  </si>
  <si>
    <t>09ff548d-7103-467d-b2bb-e7185dae56c3</t>
  </si>
  <si>
    <t>72bb60bf-c49d-4cc3-86c2-8cd3f6be1ce5</t>
  </si>
  <si>
    <t>c8065254-8741-4265-84d7-b72ddf02f2f5</t>
  </si>
  <si>
    <t>bb486791-58b7-43c1-a079-b5388eb2615a</t>
  </si>
  <si>
    <t>cd6292f9-f9aa-4d53-83d2-e1a38238cf1e</t>
  </si>
  <si>
    <t>6dc6596e-60e8-414b-a3b5-c2bca64bb68f</t>
  </si>
  <si>
    <t>7ad15795-15cf-443a-9272-439388f8af25</t>
  </si>
  <si>
    <t>52ff69f9-64ce-456d-a1b9-2494c4b9bdc8</t>
  </si>
  <si>
    <t>57d8b5cf-f8ef-4b53-9b81-ce894a52f74e</t>
  </si>
  <si>
    <t>29a921ff-1567-4ba6-87c0-585ba15fcac7</t>
  </si>
  <si>
    <t>c350d5a0-fef7-4281-b752-42162d72bd05</t>
  </si>
  <si>
    <t>af3557aa-86d0-4ab8-9ea1-28312fef7900</t>
  </si>
  <si>
    <t>d96a205c-59e2-44e0-a5f6-de58c25eb3b1</t>
  </si>
  <si>
    <t>4c77f75f-2b1e-4d25-b652-6047d04741d4</t>
  </si>
  <si>
    <t>58b46654-4b27-4247-ba09-49536ac95586</t>
  </si>
  <si>
    <t>39bad655-5f49-40ce-addd-c69cc6742a25</t>
  </si>
  <si>
    <t>4b8b75ad-626f-4201-aaa3-6b1c4935f342</t>
  </si>
  <si>
    <t>52b32e23-e4d9-4aa8-bdb6-3d8116bc98aa</t>
  </si>
  <si>
    <t>fdd237ec-8cfb-4dc9-94a8-e378c84e1c09</t>
  </si>
  <si>
    <t>74352c11-1327-4522-b04e-09375d2ae60a</t>
  </si>
  <si>
    <t>c49e2f08-2711-434a-86ce-a14869024d33</t>
  </si>
  <si>
    <t>e0f60ffb-2b43-4da0-a550-7567557da37e</t>
  </si>
  <si>
    <t>0a7b5a2a-3292-409a-a758-5c93b920813c</t>
  </si>
  <si>
    <t>df17acd4-8698-461e-9cc7-1ac06d763fbc</t>
  </si>
  <si>
    <t>52281669-df74-44a5-a392-2be8c8a0147c</t>
  </si>
  <si>
    <t>ebdb9ce1-02bf-4681-b86c-a11d237ab90b</t>
  </si>
  <si>
    <t>7f79fa2f-18f5-4f95-8b69-b22fc667f4f4</t>
  </si>
  <si>
    <t>f19ee025-d5a8-41e3-9a40-78a71e473891</t>
  </si>
  <si>
    <t>ebb4aac9-1770-4e76-be32-0a6990073795</t>
  </si>
  <si>
    <t>210b00a5-c07d-401b-8396-3eaba615e20f</t>
  </si>
  <si>
    <t>00bcd65f-ca17-43af-b1a3-c0e310d52966</t>
  </si>
  <si>
    <t>570a21e1-bc72-482a-b2f3-afea983390f0</t>
  </si>
  <si>
    <t>1ad47f3a-f860-4c98-81a5-8616344abafe</t>
  </si>
  <si>
    <t>b82b1e9c-2120-4d5d-ab97-6d871eded035</t>
  </si>
  <si>
    <t>6800590b-a6fe-40ed-81d1-201693007a0a</t>
  </si>
  <si>
    <t>5e4d2986-6750-4833-84d7-bf79f53e92ae</t>
  </si>
  <si>
    <t>047cacb4-85d1-4fb9-82ef-e68ce12afd11</t>
  </si>
  <si>
    <t>054bfc20-e65d-4fd8-a9d4-5cf77eefe836</t>
  </si>
  <si>
    <t>9d45d604-6975-4a0c-9de6-0c1fb839c3e3</t>
  </si>
  <si>
    <t>a02d6ab0-2fda-47eb-8656-158beb0200a4</t>
  </si>
  <si>
    <t>adf86f47-e169-492e-9ec6-d2fed5212796</t>
  </si>
  <si>
    <t>e614db81-6994-48a8-a374-e5aa644e85e0</t>
  </si>
  <si>
    <t>00cadb17-dcde-4cbc-ae45-068cd811df59</t>
  </si>
  <si>
    <t>bbd4f7df-e4dc-4f51-b4ff-473eaf1005ee</t>
  </si>
  <si>
    <t>1f80abbd-35a7-4d62-b292-d31fa23c9f5f</t>
  </si>
  <si>
    <t>19f66e59-f164-47f1-b788-4b1762db226b</t>
  </si>
  <si>
    <t>f7b78561-9d8b-4712-b3f3-238569b95f4b</t>
  </si>
  <si>
    <t>a2ac0be9-2264-4582-9d74-96dcc0c869f8</t>
  </si>
  <si>
    <t>2bb0265f-8add-4083-aed9-1e94748be77b</t>
  </si>
  <si>
    <t>cfd014c4-3952-4b99-b2f1-76ed56da8964</t>
  </si>
  <si>
    <t>93460e1b-34b6-4586-8289-48a6f91e18fb</t>
  </si>
  <si>
    <t>3e46a9e8-ebcc-4569-b534-d1beeb525aa5</t>
  </si>
  <si>
    <t>6175ecf8-a860-463c-90e5-277f36609637</t>
  </si>
  <si>
    <t>3be271a0-02dd-41ad-bed5-3fdeb3a08266</t>
  </si>
  <si>
    <t>3860d316-c068-488e-84ff-747868b9365f</t>
  </si>
  <si>
    <t>22cb4dd5-d158-4dd6-a49d-e8723fadc557</t>
  </si>
  <si>
    <t>48a57226-1b00-4e56-b555-2cf66bc4b9a7</t>
  </si>
  <si>
    <t>50693056-61ef-4ad9-977c-6eaeb1ec5f72</t>
  </si>
  <si>
    <t>6acac882-0bc1-4196-bb12-05ac39dc229c</t>
  </si>
  <si>
    <t>afa322d5-a185-42a6-8cc2-76bcd432403e</t>
  </si>
  <si>
    <t>aa982946-1b7d-4315-8b81-9b19bb6cc8c8</t>
  </si>
  <si>
    <t>642cffb6-ab5c-4931-b947-cfa60413b560</t>
  </si>
  <si>
    <t>09904ad7-d9db-45a3-ba9f-220cfe88a333</t>
  </si>
  <si>
    <t>2c564e41-545b-44a4-bb03-6a827657ea51</t>
  </si>
  <si>
    <t>ee076784-8841-4531-be9c-ca0b916c309a</t>
  </si>
  <si>
    <t>3382730c-46bb-40d1-92de-55f346dda22a</t>
  </si>
  <si>
    <t>06b5b5a3-f995-47a2-af2f-86b9cfbb42ef</t>
  </si>
  <si>
    <t>e6e1e9a3-8bb0-4ebc-a469-fc1581b6d59d</t>
  </si>
  <si>
    <t>7ee9fa15-81b6-4b1b-a841-eec8b03d8b1e</t>
  </si>
  <si>
    <t>babe5601-7e34-47ad-bcb1-0ab32ede5cef</t>
  </si>
  <si>
    <t>7d921bf8-61ef-4609-a46e-96d832d0d04e</t>
  </si>
  <si>
    <t>8042c4ad-3a4a-4994-b81e-8ae09199076c</t>
  </si>
  <si>
    <t>39f699b0-d6db-4b6d-9c15-b8bbc716ce34</t>
  </si>
  <si>
    <t>f28413c0-e4fb-4469-a595-c23e39036e09</t>
  </si>
  <si>
    <t>a62473b8-5d94-4b05-a6b5-bddfa59478c6</t>
  </si>
  <si>
    <t>395e2c15-2abb-4a29-8f8c-06118a5539e2</t>
  </si>
  <si>
    <t>f779a2cd-cb9d-445f-b0f7-2af6c1a514c0</t>
  </si>
  <si>
    <t>4d040be6-2b36-4f59-ba9c-b92c8c683a5f</t>
  </si>
  <si>
    <t>3406522e-fd20-4c37-aeab-1690d6b7cb51</t>
  </si>
  <si>
    <t>dd3b38cd-3856-47f9-8f69-4bdf268983eb</t>
  </si>
  <si>
    <t>746cb060-c9f1-432e-91cc-cb1b57ddb1c0</t>
  </si>
  <si>
    <t>432fa974-2a36-4f64-af1e-770e03b9385f</t>
  </si>
  <si>
    <t>d74666ec-7b7b-4f1a-8776-0a17a1152f47</t>
  </si>
  <si>
    <t>84e4f9a0-f16b-4b00-ba64-a1dc667f9350</t>
  </si>
  <si>
    <t>a756e8d5-a9c2-4520-8f06-1e13159bd0c0</t>
  </si>
  <si>
    <t>7514941b-007c-44ea-90ee-4ae0690f013d</t>
  </si>
  <si>
    <t>0f22beb8-1281-4aca-bfaa-17235c7fb5d5</t>
  </si>
  <si>
    <t>48f68f53-a7ef-4736-91a4-28ba10e80c58</t>
  </si>
  <si>
    <t>5f41a538-a9ef-457b-8022-57fd9cebc8d4</t>
  </si>
  <si>
    <t>c16c6ac0-11d2-496c-b9a3-2117f5d8e0db</t>
  </si>
  <si>
    <t>34e13cb5-2657-4148-ac24-be078c809d92</t>
  </si>
  <si>
    <t>ed148da8-e51d-4504-b40a-e358f6e8238a</t>
  </si>
  <si>
    <t>d89f54d3-882d-4cfc-96c5-b5f0ddbb9915</t>
  </si>
  <si>
    <t>f76a2802-20d0-4772-b6cc-f7e2a95d6384</t>
  </si>
  <si>
    <t>6c75691c-3ea5-49b5-92a9-894b2bd420be</t>
  </si>
  <si>
    <t>286d0a50-0c08-4d40-b50a-38cfbdc3b8fb</t>
  </si>
  <si>
    <t>bb2ec39d-5eeb-478a-b763-0a2528ec4d7b</t>
  </si>
  <si>
    <t>ed93decf-e627-4873-a2f9-8b6bf0d7dce3</t>
  </si>
  <si>
    <t>bd27bcd3-feaa-4a06-a98f-c4f3d61de505</t>
  </si>
  <si>
    <t>178d73ec-7742-4f67-894c-2fe27601cf8b</t>
  </si>
  <si>
    <t>68203b4f-6e76-442b-863a-29eca29cc26b</t>
  </si>
  <si>
    <t>f4af1dff-3131-49eb-a195-0cb169bf9ed4</t>
  </si>
  <si>
    <t>9d6dfd4a-f437-4d78-b291-dc00556b9e40</t>
  </si>
  <si>
    <t>ab1d244f-8750-47b1-8a61-cf8bce66c0fb</t>
  </si>
  <si>
    <t>0eeed5d2-c02e-4f29-bfc4-85a0f21bed79</t>
  </si>
  <si>
    <t>31e1a27e-d7f3-48a6-b560-60963b7ae366</t>
  </si>
  <si>
    <t>08875185-f2ab-42e7-ae3e-5945341e5bb7</t>
  </si>
  <si>
    <t>bb3dc1e7-e1f4-4010-b227-3af57309c626</t>
  </si>
  <si>
    <t>51ac7c84-3653-4bd2-8f22-6f6cace9b98b</t>
  </si>
  <si>
    <t>99f7b4c6-5aea-49ad-b746-6e145c979d52</t>
  </si>
  <si>
    <t>dd11f0f0-3644-48e2-b20c-bca7038b3028</t>
  </si>
  <si>
    <t>6c369c84-7138-451a-98d8-8dd3d2d2b4f2</t>
  </si>
  <si>
    <t>2726ac92-319f-4aac-bf5a-89ce36e291fe</t>
  </si>
  <si>
    <t>a31f2dc4-a9a6-4a19-80d9-8dabb6a104e0</t>
  </si>
  <si>
    <t>76a4093f-a297-45cf-a672-8c52d4743545</t>
  </si>
  <si>
    <t>38d00f7e-c7ba-4cd5-b1fd-fd704cb0502d</t>
  </si>
  <si>
    <t>f337bc34-f6bf-4cf4-a559-4b79ae8ec658</t>
  </si>
  <si>
    <t>18e0afd1-09c2-4c33-8069-4f2aff4d1f3d</t>
  </si>
  <si>
    <t>43e26139-b60e-4374-99a0-4e6c798438de</t>
  </si>
  <si>
    <t>f80ed925-6951-4cf0-8372-8424d7b6af02</t>
  </si>
  <si>
    <t>bad8a04e-c0c9-4084-b4b7-069072424e68</t>
  </si>
  <si>
    <t>b4cc7509-0f49-4213-82c3-be547ead38e7</t>
  </si>
  <si>
    <t>1059ec7d-1182-4b81-98fc-3fa73374a98f</t>
  </si>
  <si>
    <t>80ee7450-f22a-4f0f-b081-c978a5a5b347</t>
  </si>
  <si>
    <t>e02106ca-0101-4adc-963b-9bdfc6e6877c</t>
  </si>
  <si>
    <t>b2c52c4f-2ca8-4719-b798-32128b9009ba</t>
  </si>
  <si>
    <t>def12ba1-ee3f-4059-a620-05d7d523636c</t>
  </si>
  <si>
    <t>eb0cd898-3b91-46fc-9d23-8bb53d4297c4</t>
  </si>
  <si>
    <t>fc76c95d-6886-4993-bc12-adbfcd4cdac0</t>
  </si>
  <si>
    <t>4641b78c-9f54-43b3-8f33-809da152aba2</t>
  </si>
  <si>
    <t>3829a8ad-947c-4e70-906d-bf4bbdf0fe60</t>
  </si>
  <si>
    <t>021af9d9-2fff-4a33-b2c4-710ad6f3f85c</t>
  </si>
  <si>
    <t>0194ee30-cde8-47fd-9568-22e20b2c80dc</t>
  </si>
  <si>
    <t>29836151-75b3-437c-8395-299b962d9f0d</t>
  </si>
  <si>
    <t>5f63adf1-cf70-4f07-8351-63fe77c15857</t>
  </si>
  <si>
    <t>70b0ba0c-2333-4ae5-9860-ec22b91ffc93</t>
  </si>
  <si>
    <t>53ce20da-acf5-45f6-bb0c-958c360dbad6</t>
  </si>
  <si>
    <t>a36c6729-b90c-4514-92d8-4a98a66bfff4</t>
  </si>
  <si>
    <t>193ffca7-6d19-4f3c-85e5-9e8b9f7e160e</t>
  </si>
  <si>
    <t>0146854f-d5a1-4ee7-a28c-69b5af885934</t>
  </si>
  <si>
    <t>fbbbb16f-2d7f-4b68-b601-13da986cdcef</t>
  </si>
  <si>
    <t>da21d05b-cec0-405d-a7d3-3dad478f3bcf</t>
  </si>
  <si>
    <t>0f125ed8-866a-4f58-acd3-f981c2d910c4</t>
  </si>
  <si>
    <t>5736a841-06be-4e91-a475-fdeae4dbb161</t>
  </si>
  <si>
    <t>2088ff07-56ed-49a3-8824-6b0f5577b9eb</t>
  </si>
  <si>
    <t>534f289f-35c5-4314-973b-1b0c9ed473db</t>
  </si>
  <si>
    <t>976212fe-e88c-4118-a57c-8c828ce17f0c</t>
  </si>
  <si>
    <t>8f5e0f72-3edf-4a03-bdb4-44a26f91077b</t>
  </si>
  <si>
    <t>e9e8258f-3f5b-4bbf-99a7-59b4c88125e6</t>
  </si>
  <si>
    <t>51fad2bb-5e3b-45bc-8424-6e7331d255ae</t>
  </si>
  <si>
    <t>7b770d53-7ea7-4ad9-9fa9-17d09f8e857c</t>
  </si>
  <si>
    <t>16359306-8225-4f9c-a0f6-446f18067c00</t>
  </si>
  <si>
    <t>27bb1f44-8d9c-4424-a509-1510f95fa759</t>
  </si>
  <si>
    <t>30999e0c-ada1-4174-89b6-d820cfca282a</t>
  </si>
  <si>
    <t>473f971c-2a0c-48c2-aaaf-b4cdfca5aff3</t>
  </si>
  <si>
    <t>46e95e2c-14c7-45ef-a0a8-b5f76f9e5d75</t>
  </si>
  <si>
    <t>bb0b842b-0a9e-4351-8f7c-89365dde8a9d</t>
  </si>
  <si>
    <t>8c0c7d2b-cefb-48b1-a633-c1c84c36c057</t>
  </si>
  <si>
    <t>64485bba-7db6-4f9a-a22b-5cfec1cd2ee2</t>
  </si>
  <si>
    <t>e674d937-9114-4f7c-887a-1cd491c643c6</t>
  </si>
  <si>
    <t>2d1ea53f-d9bb-453f-b8be-88dfc36df0a3</t>
  </si>
  <si>
    <t>75ef07c7-3ac8-4c14-b9d3-2ce79a3865b7</t>
  </si>
  <si>
    <t>0b11ab87-551c-42d8-a5a4-1cd7ff98386f</t>
  </si>
  <si>
    <t>a5ecf5f2-452b-4dcd-873b-342c6094c012</t>
  </si>
  <si>
    <t>25ca4e8b-4fed-408f-9f94-607529cdd07b</t>
  </si>
  <si>
    <t>5f9af2fd-06c8-4c9e-b327-4830dab0361d</t>
  </si>
  <si>
    <t>fa1f7eb9-e6fd-41f7-943e-1186499aeb8b</t>
  </si>
  <si>
    <t>b88b733e-5ac8-46f5-9137-05b8f9e59898</t>
  </si>
  <si>
    <t>57e7b754-6ed5-43f6-804d-140bef82a2d7</t>
  </si>
  <si>
    <t>60dadbe4-fa7a-4c2d-a577-69aed385c0d0</t>
  </si>
  <si>
    <t>aeef9f76-67de-4dc1-ae73-8f625fe165cd</t>
  </si>
  <si>
    <t>6adc1db8-fe9f-4bec-9cb1-018123ce1b08</t>
  </si>
  <si>
    <t>45e3d341-d04b-4276-99dc-9fc89496e4b9</t>
  </si>
  <si>
    <t>c6ac02c8-fe12-46b3-a1ae-fd7f7ba481f9</t>
  </si>
  <si>
    <t>a3a126f7-1a28-4a66-9a60-6a60f8411e89</t>
  </si>
  <si>
    <t>276c1104-d5fd-4930-8d5d-35956891c4fb</t>
  </si>
  <si>
    <t>83cc815b-5d92-4695-a2a2-dacb964e209f</t>
  </si>
  <si>
    <t>b985d6de-295a-4ecd-9353-4e9357c6c9dc</t>
  </si>
  <si>
    <t>b8f85415-9ec9-4b9b-be60-a88f1b6ecbdd</t>
  </si>
  <si>
    <t>c3f8acfa-5b6c-4778-994d-0b27b839f52e</t>
  </si>
  <si>
    <t>cb415cf6-759a-40bc-873b-1abec0c9b5ec</t>
  </si>
  <si>
    <t>c6028128-8d31-4b45-90a7-4422386e8649</t>
  </si>
  <si>
    <t>24828084-41fa-4b71-a36f-4575ccbe0ca8</t>
  </si>
  <si>
    <t>fa639f8f-0453-46e1-93c3-ed22f0d0dff9</t>
  </si>
  <si>
    <t>7f047317-dfff-44b6-b4fc-4d3b7493da6b</t>
  </si>
  <si>
    <t>a1f99ca8-0b8f-4c59-a52e-4eb2ea8d4bf6</t>
  </si>
  <si>
    <t>d8e3d413-9b2b-47ee-96b7-c1de8ba78a74</t>
  </si>
  <si>
    <t>6f47f4c7-63e3-49c7-8e37-bbb0af66e9eb</t>
  </si>
  <si>
    <t>f18bb534-3003-4858-95d7-fdf908fc7432</t>
  </si>
  <si>
    <t>91c78112-b9eb-48ad-9fca-29f6197be2d7</t>
  </si>
  <si>
    <t>c34baf8c-d65c-4aaa-9602-2bb9efaa4f6c</t>
  </si>
  <si>
    <t>0ef9124e-50c5-411b-b436-edacd29199a8</t>
  </si>
  <si>
    <t>8f74fb47-9bcc-4ec6-a9d8-5e795ef2235d</t>
  </si>
  <si>
    <t>60fbb4af-309d-4a37-93b2-20c05286ac2f</t>
  </si>
  <si>
    <t>d5ebd5d0-4ce3-4120-9c8a-d01de6e00ba5</t>
  </si>
  <si>
    <t>e2fa23ce-0f5d-44a2-8cec-b14660947d11</t>
  </si>
  <si>
    <t>a28580ec-90be-4f6d-ab87-619d8f0679b0</t>
  </si>
  <si>
    <t>d9a89da8-9188-4be1-9fa4-6ff8394bce3a</t>
  </si>
  <si>
    <t>658cf3cd-4370-4794-8745-77395b791c00</t>
  </si>
  <si>
    <t>384e7ce5-f382-45e9-91da-8d4e24b9a392</t>
  </si>
  <si>
    <t>a6b50d35-9ec1-4952-bc1a-4db4877d1b7c</t>
  </si>
  <si>
    <t>609e52d2-62e8-428d-b9fa-f2fb77dd62cb</t>
  </si>
  <si>
    <t>2a70df84-b707-4ccb-b3ac-56b6ccc32347</t>
  </si>
  <si>
    <t>8372f52f-257c-4f58-ae67-dfa618516600</t>
  </si>
  <si>
    <t>d6ad8dcd-7d77-4c28-8a3b-fe698c0f7794</t>
  </si>
  <si>
    <t>2d77b990-4c9b-4602-b2cc-3635194e1daf</t>
  </si>
  <si>
    <t>aaa3844f-e33c-4ea6-b92d-35a5ceec248a</t>
  </si>
  <si>
    <t>277577cb-b4e0-41ca-9c88-2456d7f2ba36</t>
  </si>
  <si>
    <t>3cdce0fe-8109-4092-9d06-4746c152516c</t>
  </si>
  <si>
    <t>7c88ae82-dad4-4bb3-8e01-e587c43395ab</t>
  </si>
  <si>
    <t>e07c609b-0ad2-4f99-bc35-b91288003b2e</t>
  </si>
  <si>
    <t>d786a211-3e93-4204-8b1d-e10f595bf093</t>
  </si>
  <si>
    <t>6928de64-4465-4a01-9208-9597cdf58bf8</t>
  </si>
  <si>
    <t>d1bae981-3ea1-432e-b791-65c33a5310cc</t>
  </si>
  <si>
    <t>d5085dca-434a-4eab-91d5-9a0085af79d2</t>
  </si>
  <si>
    <t>c51c0139-d70e-4eb5-89a0-fb7553e33b4a</t>
  </si>
  <si>
    <t>01c5033b-b19f-4074-a2c2-a1ece7235af7</t>
  </si>
  <si>
    <t>4ce5cf41-1115-4423-ad64-807b0d57c5d7</t>
  </si>
  <si>
    <t>f332b1a7-8ece-44df-8237-bbc843e979b5</t>
  </si>
  <si>
    <t>1f9510bb-4838-49ae-83dd-4331a0f59f22</t>
  </si>
  <si>
    <t>9a31b543-8464-42d2-ab0b-4d9568ebe947</t>
  </si>
  <si>
    <t>7b7213e4-5ca8-4625-b1d2-f73605f5ca06</t>
  </si>
  <si>
    <t>94520f48-96a9-4b36-a6ee-5cfd9ec9143b</t>
  </si>
  <si>
    <t>f258f8f6-080b-4ef1-8884-c508456b9694</t>
  </si>
  <si>
    <t>acee18e9-c039-434c-9c7b-8a2bb81bf19f</t>
  </si>
  <si>
    <t>6e346808-c15b-472c-ab5a-83cc8f70c8cb</t>
  </si>
  <si>
    <t>786dbd2b-3739-4c1b-946b-6c101f827832</t>
  </si>
  <si>
    <t>1c44e21b-8dc4-4deb-b0a5-67556fbdf4a2</t>
  </si>
  <si>
    <t>a300bc71-2231-406c-953c-92a9a5ecbd89</t>
  </si>
  <si>
    <t>4c1eec06-5abb-4b67-a976-0a1b307004ce</t>
  </si>
  <si>
    <t>7dab1ac1-07b0-43d7-a665-63d71f903c49</t>
  </si>
  <si>
    <t>d66b7151-9251-4e63-8bac-8784764de25b</t>
  </si>
  <si>
    <t>d7fe9858-9131-4293-9ab0-88f6275949f8</t>
  </si>
  <si>
    <t>3f1a1195-8bb2-439e-8b0b-09b02dacda0d</t>
  </si>
  <si>
    <t>861019e6-124d-4a7b-8c20-0ea5f85f4b04</t>
  </si>
  <si>
    <t>0caa27d1-1f18-4fa5-97ce-a1656248d78e</t>
  </si>
  <si>
    <t>e2acf824-f42f-4e3b-b767-2d1a38910ce4</t>
  </si>
  <si>
    <t>c9a4793a-ad86-4111-9021-3b66af99fbfb</t>
  </si>
  <si>
    <t>704af732-4f2c-47bd-8005-51eaee71c3bb</t>
  </si>
  <si>
    <t>a6439c47-77e6-4c51-b834-0f66b0f1a239</t>
  </si>
  <si>
    <t>9344e6e8-32e7-4867-a514-a51882b6ab16</t>
  </si>
  <si>
    <t>02629028-5476-4dad-b44b-0c284f757874</t>
  </si>
  <si>
    <t>9e919388-ff51-4cf3-a822-a64ebac6a825</t>
  </si>
  <si>
    <t>af47b2dd-417b-4542-8f5f-34d5f6940e36</t>
  </si>
  <si>
    <t>4403409b-c5ff-4f1d-85b6-d7d26093f6a3</t>
  </si>
  <si>
    <t>c46da64b-c643-414b-9c74-f9c9cfd93905</t>
  </si>
  <si>
    <t>c1d847e8-da01-4f2c-ad47-5ca849b92f6d</t>
  </si>
  <si>
    <t>beba695f-a5c0-4418-a080-59fc806ea0c6</t>
  </si>
  <si>
    <t>722ad842-9f84-4f22-ba03-ec58ac6c23da</t>
  </si>
  <si>
    <t>6ca95308-1b7d-40a9-a8ff-fc292007d82f</t>
  </si>
  <si>
    <t>615e7406-59c1-43a1-a7c2-21eebf7b480b</t>
  </si>
  <si>
    <t>6165db84-db8d-46ac-b332-1c3c11a6a0d0</t>
  </si>
  <si>
    <t>e4a0a6b2-3105-4153-8233-36a82a6f9b11</t>
  </si>
  <si>
    <t>2d92d684-bf9c-4dbf-a3ee-f28d0a610007</t>
  </si>
  <si>
    <t>09861433-8978-4198-a3f3-51e0cbe5b9a0</t>
  </si>
  <si>
    <t>32f4e267-4894-4705-9abb-d834e5c51501</t>
  </si>
  <si>
    <t>a566dd67-1290-4278-8cc9-fd29e99a7aa6</t>
  </si>
  <si>
    <t>ad8ed552-77c0-494b-a820-0ff9eb72124d</t>
  </si>
  <si>
    <t>3497e92a-d299-4252-b5e1-b77c3424dd97</t>
  </si>
  <si>
    <t>cc89e609-6ccc-496f-b4ae-de53496d3706</t>
  </si>
  <si>
    <t>d1abaf68-4ead-452c-9916-921a55246557</t>
  </si>
  <si>
    <t>f872f7f1-9736-4b28-a268-51c252774a54</t>
  </si>
  <si>
    <t>b86bed59-f60a-4ad4-ad4d-1011bda4d143</t>
  </si>
  <si>
    <t>7f1d805c-7098-481c-aa5a-d4c06ab3b77c</t>
  </si>
  <si>
    <t>a3eeb138-744f-4bfb-87bf-72f794b2290a</t>
  </si>
  <si>
    <t>2a99d3ad-4874-4d00-a714-5e17ab8be70e</t>
  </si>
  <si>
    <t>871fbc03-cc9a-4915-a0b2-1b53fa2ea19e</t>
  </si>
  <si>
    <t>59c9af14-e6e7-42b9-bfc6-1e3f7b529c79</t>
  </si>
  <si>
    <t>c8389b66-987e-42cb-a884-a424dd8b6eef</t>
  </si>
  <si>
    <t>f0f2e301-21e8-4b5c-9b1a-69e650630e83</t>
  </si>
  <si>
    <t>2d60c768-c50a-462f-bcbf-e0d5a7715a9c</t>
  </si>
  <si>
    <t>1dedd7bd-4abf-4f4b-8269-f4becf423ce2</t>
  </si>
  <si>
    <t>9cfcedf7-e40b-4540-ba12-84d6f04d55d9</t>
  </si>
  <si>
    <t>29f0d261-6fb7-4413-9e1b-e93d45e073bc</t>
  </si>
  <si>
    <t>0f6eeb6a-a13b-49df-aa42-65048a3879e7</t>
  </si>
  <si>
    <t>867083ff-72cc-4bcb-a44f-442d4a12f7bd</t>
  </si>
  <si>
    <t>b1bc1db4-b670-44f7-a229-9ef130b67a3c</t>
  </si>
  <si>
    <t>91b43c76-8109-4310-9b77-70ff596e5237</t>
  </si>
  <si>
    <t>f7ef1fac-89a3-46ec-856c-daadc20d6e44</t>
  </si>
  <si>
    <t>9b063e64-9ae5-4e10-8b25-04d7859ac28c</t>
  </si>
  <si>
    <t>250343bf-153a-4ecf-969c-591aae270fc8</t>
  </si>
  <si>
    <t>3578445b-fdf1-4151-8f2b-22511480c2ef</t>
  </si>
  <si>
    <t>be23ec59-2fcc-4671-9283-33b1981584f0</t>
  </si>
  <si>
    <t>354dd217-2718-4a52-9640-2100fce27845</t>
  </si>
  <si>
    <t>d9909eed-db58-4db5-b0e4-92b311601ab9</t>
  </si>
  <si>
    <t>312afc5f-e59a-4e90-925d-2a8de08ec764</t>
  </si>
  <si>
    <t>75fc6d6b-4c43-4682-8151-3ca3b9669fb7</t>
  </si>
  <si>
    <t>88316c46-ce49-4f56-bed6-ac68ea711acf</t>
  </si>
  <si>
    <t>301cb0ea-848e-4782-926b-70a7042cd3b8</t>
  </si>
  <si>
    <t>1aa2e994-3eb1-4bd3-88e9-1aa4c4aab306</t>
  </si>
  <si>
    <t>51c26840-b286-42ef-b074-77c2db6c31f5</t>
  </si>
  <si>
    <t>24e4bd86-3468-4e68-befb-bd4b6a6676a9</t>
  </si>
  <si>
    <t>9eca028c-ffdd-4958-9e30-b04a4d3b93bf</t>
  </si>
  <si>
    <t>3d1d46bb-37e3-4347-84f6-1266325022c0</t>
  </si>
  <si>
    <t>054f20d6-02b1-4e8b-845e-85daac125a5a</t>
  </si>
  <si>
    <t>965f3ea1-7c9b-4640-bd10-d27c42163c65</t>
  </si>
  <si>
    <t>d26df67f-9283-43be-be84-53d211ed7bf4</t>
  </si>
  <si>
    <t>02ca32eb-bc08-4a92-8c39-ea2fe7612be9</t>
  </si>
  <si>
    <t>6bc3b8c6-8beb-4c8d-b43e-6f17e0280063</t>
  </si>
  <si>
    <t>aa6f379a-ce91-484e-b54e-c1223dd2a9c0</t>
  </si>
  <si>
    <t>1d3f0f36-3bb5-407a-a51b-4656e78996aa</t>
  </si>
  <si>
    <t>8ab68b44-3c2f-41b6-b3b9-39b79bd94fa8</t>
  </si>
  <si>
    <t>108167e5-098a-4268-834b-c154d0500827</t>
  </si>
  <si>
    <t>20c8a7c5-8ed4-4b39-a8f3-244a4679ff09</t>
  </si>
  <si>
    <t>f2f4b958-e361-4c93-afd5-3ce91d7b7165</t>
  </si>
  <si>
    <t>b305a860-7ad9-4d15-b67d-a8c5f7d04158</t>
  </si>
  <si>
    <t>6dfa61eb-b7eb-4d9f-979a-252808674892</t>
  </si>
  <si>
    <t>58e23f86-3804-49d5-aad4-ddae9767076e</t>
  </si>
  <si>
    <t>d9ab0b45-1fd7-42b4-8cac-954c506f4b0b</t>
  </si>
  <si>
    <t>92f00f87-ff84-41ee-8555-81009d4b6d10</t>
  </si>
  <si>
    <t>8751780d-93c1-4eb9-8905-ec30ecc5cabd</t>
  </si>
  <si>
    <t>5e67d8d5-6502-4810-99de-205eff3fa834</t>
  </si>
  <si>
    <t>337d7132-8164-46fe-9481-78329007a7af</t>
  </si>
  <si>
    <t>09b2a1f5-8eed-45d8-b381-b3327cfcd14f</t>
  </si>
  <si>
    <t>3fad7427-ca8a-45c7-8ace-23b3cfa8b921</t>
  </si>
  <si>
    <t>18780a36-d9e5-4aa3-ad15-3c6d0fb16344</t>
  </si>
  <si>
    <t>55a3fde3-633f-4391-8622-3375e3fa49b7</t>
  </si>
  <si>
    <t>1e9b1aeb-5474-4b08-8588-d736f184d8fe</t>
  </si>
  <si>
    <t>1f81b811-5888-4bae-83fd-50155e50c4da</t>
  </si>
  <si>
    <t>3b6f4e0f-3b8f-43a4-b7cb-806e26bf35d5</t>
  </si>
  <si>
    <t>6dce1b4d-a8d3-4f5a-94dc-b0fe742371df</t>
  </si>
  <si>
    <t>534229c3-8f50-4913-9f38-ceb0de98fa82</t>
  </si>
  <si>
    <t>ff43bebc-c143-44c4-bc18-643f1fab423c</t>
  </si>
  <si>
    <t>eb64992f-d352-47d7-afb7-c03dd58cdba6</t>
  </si>
  <si>
    <t>15f25fe0-0224-44b0-a150-2afc797b5cd5</t>
  </si>
  <si>
    <t>319e82a6-0499-4d27-9f10-f3c05154c3a0</t>
  </si>
  <si>
    <t>60edeb0f-1d93-4636-ad6d-7aafabfe9220</t>
  </si>
  <si>
    <t>1d13d8f1-ee57-45e2-981a-5ec74bc67f1d</t>
  </si>
  <si>
    <t>132eb3c0-beb0-4236-8684-bb3e2fc8cec9</t>
  </si>
  <si>
    <t>cc7b109f-a26d-466b-aee5-eea0b7709004</t>
  </si>
  <si>
    <t>48b066a3-ba77-444f-ac80-33a8b5921cea</t>
  </si>
  <si>
    <t>892b51bc-17bf-44f1-a629-5ab54394fc90</t>
  </si>
  <si>
    <t>e469dd14-2b8e-4054-b091-b7e45361ed5e</t>
  </si>
  <si>
    <t>72227fe7-9cb6-4220-8596-0bcad0d4d3e4</t>
  </si>
  <si>
    <t>53bc3af1-7d15-47c2-a0e0-d07714326d65</t>
  </si>
  <si>
    <t>8cab77af-0730-4c99-abfa-9322d9cd1e3f</t>
  </si>
  <si>
    <t>6af66e55-75f5-4b4b-8cc6-59f5b1a12687</t>
  </si>
  <si>
    <t>74a351ad-a105-47a3-8788-be27f4901415</t>
  </si>
  <si>
    <t>ebfb6de4-10aa-40fd-8f58-14f5bbe80d7f</t>
  </si>
  <si>
    <t>c1dd3024-79ef-48e1-b1f7-420cd63b57bf</t>
  </si>
  <si>
    <t>adb42d2f-cca8-4f85-ba5f-9ce775b0cdb7</t>
  </si>
  <si>
    <t>c44dca13-8b31-45ae-8749-b96c8cc7f207</t>
  </si>
  <si>
    <t>55b61c53-96bb-4c6e-9ebe-21cb327d2935</t>
  </si>
  <si>
    <t>a20e1296-2ca8-4935-9877-ced081fdedd6</t>
  </si>
  <si>
    <t>ed9ece99-238c-42cb-9dec-fd9333218f1a</t>
  </si>
  <si>
    <t>05014de6-4f07-455d-ae29-2ec9600d723c</t>
  </si>
  <si>
    <t>e0907dc5-05e8-4469-822f-a363ed76009f</t>
  </si>
  <si>
    <t>7f20a481-fa8a-466a-8003-791225f73ab2</t>
  </si>
  <si>
    <t>ffa3c2de-0887-4b1a-9f2e-f0aaaf5ea2e5</t>
  </si>
  <si>
    <t>1c351517-e739-4ef8-a0bf-c188dc68abca</t>
  </si>
  <si>
    <t>a54d2797-8e28-42a3-a8b9-74d42fc1d3bd</t>
  </si>
  <si>
    <t>1f1b3a5e-0dbc-4352-ac12-73d9bc1dc7b4</t>
  </si>
  <si>
    <t>7e6f4d69-8626-4fd9-a4b9-f0206bd3fa3b</t>
  </si>
  <si>
    <t>3835799a-8de3-44fd-8982-3f36e75865ed</t>
  </si>
  <si>
    <t>6c6bdb2d-b94f-40dd-9427-be74fdbb7d3b</t>
  </si>
  <si>
    <t>b40e1e26-2209-4e4f-8ca8-5199ec7d599b</t>
  </si>
  <si>
    <t>31785188-5996-4861-a62c-90d91330002d</t>
  </si>
  <si>
    <t>a765f57c-d958-435c-b331-ffc9a8750a0f</t>
  </si>
  <si>
    <t>e8f2664c-402d-4227-975c-6b6f3960336f</t>
  </si>
  <si>
    <t>c78370fc-117b-44eb-927d-1e56d69513fc</t>
  </si>
  <si>
    <t>86f4f231-f362-43d5-91ca-d0045caa2ba6</t>
  </si>
  <si>
    <t>a1ba331a-1851-4e9e-a785-9e38e25fee01</t>
  </si>
  <si>
    <t>31d3a4d3-4f08-4c99-b7c0-b86e5d907649</t>
  </si>
  <si>
    <t>e0cdb351-f217-4c9b-8462-56cd11d35000</t>
  </si>
  <si>
    <t>e8b7beae-b596-437f-9003-baf5250132d1</t>
  </si>
  <si>
    <t>c39feafb-2760-416e-98e6-ec7ba55a88bb</t>
  </si>
  <si>
    <t>e86efcfc-cc7a-402e-b8c1-b2a0a5ad92b8</t>
  </si>
  <si>
    <t>13ce4e0a-ed91-400c-a92a-d6d39c14bdd9</t>
  </si>
  <si>
    <t>51a00cea-7f82-4b3b-b03e-dcd34870ecb6</t>
  </si>
  <si>
    <t>450aaa67-4be4-4d6a-957f-3c3b3e02f741</t>
  </si>
  <si>
    <t>f5309997-6d14-4c98-9379-ac88f9cbbe93</t>
  </si>
  <si>
    <t>7b727762-d96e-4828-bd7d-0548f6311542</t>
  </si>
  <si>
    <t>f0998eae-9a45-4ed5-95e4-0b6a02db0630</t>
  </si>
  <si>
    <t>0cacf79a-fce7-458e-b6c4-875c2af22550</t>
  </si>
  <si>
    <t>725f7196-8df8-4046-8d35-22a7ee20413e</t>
  </si>
  <si>
    <t>7767a55d-bc06-4edf-89a6-0235f5728dd5</t>
  </si>
  <si>
    <t>e12018ab-4d36-4bbe-bd5a-3e7d2c14b5bb</t>
  </si>
  <si>
    <t>c24bf17b-a0f9-429c-9b41-a7b00dcfa39b</t>
  </si>
  <si>
    <t>d2c7c300-4be4-4fc4-9e3b-f7075f0140d4</t>
  </si>
  <si>
    <t>11889462-30c0-4225-a01f-7363d2edb91f</t>
  </si>
  <si>
    <t>ef33bc45-1eef-4924-970e-4fe1e0a2ad6b</t>
  </si>
  <si>
    <t>fb73a240-4dd9-4168-adfa-cd33c41b23a3</t>
  </si>
  <si>
    <t>6f0b25fb-c81b-4416-ad28-7ae1b7f73dfc</t>
  </si>
  <si>
    <t>d4642e0c-7c28-4b72-a098-27f0f6bf51ac</t>
  </si>
  <si>
    <t>c211101f-5e9f-4e0a-b04d-6e14174a8a29</t>
  </si>
  <si>
    <t>7e0c2384-0d8b-4ba9-9ff0-698bbd61512d</t>
  </si>
  <si>
    <t>45217a6b-8346-4945-907e-aa7b308c5d9d</t>
  </si>
  <si>
    <t>abfeba54-42ea-43d9-a800-a069d5b0dbda</t>
  </si>
  <si>
    <t>fac6f604-ca17-4e60-9c5a-50a7bd80f2bb</t>
  </si>
  <si>
    <t>c7370855-3032-43eb-988b-e8ac68458da1</t>
  </si>
  <si>
    <t>c1297aad-0eff-4128-a815-3d35e932b23c</t>
  </si>
  <si>
    <t>272a45af-0205-4022-a7d3-fd8266d2a630</t>
  </si>
  <si>
    <t>0bdf101f-bfac-4ae9-82bb-a063653efd7b</t>
  </si>
  <si>
    <t>305425be-706a-499b-992f-7c0c74027cba</t>
  </si>
  <si>
    <t>0c341383-e13c-495a-97e6-9da049fa458e</t>
  </si>
  <si>
    <t>1839b86b-6680-44d8-91d9-6875ad85997e</t>
  </si>
  <si>
    <t>ed301603-0c5b-4e19-bc71-e669064a348d</t>
  </si>
  <si>
    <t>d63982f2-ea11-489e-9092-559a4f2190ec</t>
  </si>
  <si>
    <t>f45345b7-462c-499d-9ad0-b9852024225d</t>
  </si>
  <si>
    <t>c2f0dedf-b5be-49d7-a724-7ace524e3cbf</t>
  </si>
  <si>
    <t>dbab2c81-25f3-4f64-969d-48093e7989cc</t>
  </si>
  <si>
    <t>e983ae1e-8a1b-4d99-b9fe-35b35f4e5a18</t>
  </si>
  <si>
    <t>1f5bbc73-5a88-444b-9814-ad4f1aa9291c</t>
  </si>
  <si>
    <t>79e33997-7571-4785-bf32-7c6b45dd2a38</t>
  </si>
  <si>
    <t>abac424e-372a-41ae-83ad-49cb2c194231</t>
  </si>
  <si>
    <t>09f7ad4e-663a-4d60-a8cb-28fbb633d12f</t>
  </si>
  <si>
    <t>3b9e88b6-d283-419b-9562-d98fe199e04e</t>
  </si>
  <si>
    <t>c9fa7288-917d-4b7c-8538-dcc9d103ab8b</t>
  </si>
  <si>
    <t>d71984cf-9d1d-4192-95df-020aed82e1af</t>
  </si>
  <si>
    <t>c70b095c-012c-4449-97e4-e685d7b9a45b</t>
  </si>
  <si>
    <t>5b57deb8-313a-4470-b11e-f3a11aecea63</t>
  </si>
  <si>
    <t>ec879c8c-9cc0-41a3-b625-69979bbc565f</t>
  </si>
  <si>
    <t>292f1ea2-d6d7-4446-9ed3-325ed83d4238</t>
  </si>
  <si>
    <t>c8bd8abb-7f19-4148-8b95-bf358610e66e</t>
  </si>
  <si>
    <t>2dcbd1ab-9f58-4dfd-86ae-87927ae211bf</t>
  </si>
  <si>
    <t>645a02c0-c741-4abc-8ac1-a9fb97b766e9</t>
  </si>
  <si>
    <t>ee23b820-b023-455c-a164-7a6f029cb8c8</t>
  </si>
  <si>
    <t>df604392-c45e-4f2d-80d5-544300e084e2</t>
  </si>
  <si>
    <t>9b57e510-576f-4fce-87b1-8f4d2b614820</t>
  </si>
  <si>
    <t>22de8619-8784-4702-a030-c9ca8312d7f1</t>
  </si>
  <si>
    <t>1c47a376-99f8-413d-80a8-1b409b29a493</t>
  </si>
  <si>
    <t>fef2b49b-0991-4aa2-8614-d01832721049</t>
  </si>
  <si>
    <t>a51a0fca-f883-4bde-9acb-a7dd51f56f09</t>
  </si>
  <si>
    <t>6cf5b92e-37e9-4e2e-9993-28d4abdbe701</t>
  </si>
  <si>
    <t>e0a74f0e-ad6f-485f-b40b-a100315bb68d</t>
  </si>
  <si>
    <t>3135c865-75e1-426d-bb90-4f6550be662a</t>
  </si>
  <si>
    <t>2fa4c011-968c-449e-b26f-3cb70ae6a8a0</t>
  </si>
  <si>
    <t>07e2381a-6287-4599-acc0-231fcce39535</t>
  </si>
  <si>
    <t>b40a2be6-d491-4cb7-820e-5d185505bbb6</t>
  </si>
  <si>
    <t>91ec5e63-ded9-4939-9069-d62188a03aef</t>
  </si>
  <si>
    <t>8c1a9225-1585-49c8-84c6-ef0e0cd5265b</t>
  </si>
  <si>
    <t>0a327804-a317-4c35-ba2d-ef4656c5f744</t>
  </si>
  <si>
    <t>76ad4d6a-19dd-42de-add3-bb96a7511b3c</t>
  </si>
  <si>
    <t>1a2dcd89-e8ac-4205-abd6-4f2fa9a6559a</t>
  </si>
  <si>
    <t>06938a8c-6c69-4e18-8c06-17a8f12f6019</t>
  </si>
  <si>
    <t>fef9c533-b570-4ab6-8bbc-8bc6bbec40fd</t>
  </si>
  <si>
    <t>87bb868a-f169-41ac-ab78-94021cf19a0f</t>
  </si>
  <si>
    <t>1d1cd9d8-ec13-4c06-88b3-c7aced7f8570</t>
  </si>
  <si>
    <t>240347ff-cafe-4b8b-86da-a0a0b6b8e162</t>
  </si>
  <si>
    <t>732d67f8-5996-46fe-9b35-695e2c344cee</t>
  </si>
  <si>
    <t>97e6a461-5a39-4cd6-8459-95562f279693</t>
  </si>
  <si>
    <t>c1036f42-7ebe-4737-aa18-7019022de901</t>
  </si>
  <si>
    <t>d7e8c0ad-3178-481a-855e-5fd5fe3ffa43</t>
  </si>
  <si>
    <t>92f2af93-27fc-4030-95ce-aecc9b077942</t>
  </si>
  <si>
    <t>de7ca252-1a6c-444f-950d-1d30acb83619</t>
  </si>
  <si>
    <t>4b2d1a25-31b7-4b0f-bc95-017606ce2284</t>
  </si>
  <si>
    <t>5497a74d-e048-4392-9025-2000dfceb952</t>
  </si>
  <si>
    <t>decb540e-6381-40d1-8c00-29e7277a279d</t>
  </si>
  <si>
    <t>ab11ccda-a915-4c76-851d-663a8e0d10df</t>
  </si>
  <si>
    <t>13d60860-ba76-458b-b4a2-a2b57814f3a5</t>
  </si>
  <si>
    <t>fa434710-e3c5-4591-b249-e7c0091ef66f</t>
  </si>
  <si>
    <t>98006a18-b3dc-4c62-862d-60e463cf6f7f</t>
  </si>
  <si>
    <t>e3eea8bc-2806-4c16-9034-bf7a50dd7acd</t>
  </si>
  <si>
    <t>7d27b819-bbc1-4ed3-90fc-fab14f4f7676</t>
  </si>
  <si>
    <t>f6586998-c5aa-4fc4-86ac-0c0356195134</t>
  </si>
  <si>
    <t>b93f548e-af61-48f2-9b3e-b3ac52460c91</t>
  </si>
  <si>
    <t>17c2628d-07f1-47e3-9684-dedb7aa86b6c</t>
  </si>
  <si>
    <t>12a7aef2-17ed-466d-80e4-e176d2ca52b9</t>
  </si>
  <si>
    <t>a0caf50f-05f2-45a0-8b16-a55f02928a2b</t>
  </si>
  <si>
    <t>06acad39-2870-4b82-be56-ed73b3aa151b</t>
  </si>
  <si>
    <t>71459779-5507-4c55-9b99-c6daee4273f0</t>
  </si>
  <si>
    <t>23f251da-e126-4afc-88a9-12165a683cde</t>
  </si>
  <si>
    <t>d950a7ae-60bd-4f16-ad7e-46c34268c6fd</t>
  </si>
  <si>
    <t>9faa53a9-c587-4b26-830b-365ae864c983</t>
  </si>
  <si>
    <t>68f57553-4bf4-455c-ad2e-ce88ba80449d</t>
  </si>
  <si>
    <t>1fda0f85-9ca8-4a37-b594-0577cc40d107</t>
  </si>
  <si>
    <t>99b75d88-389d-4e15-ae49-2fbda9481a56</t>
  </si>
  <si>
    <t>1ff10a52-1dd7-49be-a93f-16d96d69cfe8</t>
  </si>
  <si>
    <t>28750512-060a-4199-bbb4-ffa43bac55b5</t>
  </si>
  <si>
    <t>85116642-d67a-44fb-8cf1-193e544d9390</t>
  </si>
  <si>
    <t>4c85513b-b640-49e2-966a-ecaf69ed1a62</t>
  </si>
  <si>
    <t>83ca2b12-f1fd-48b2-886b-c795742478a4</t>
  </si>
  <si>
    <t>7003d3e0-38c6-442b-b19e-026dde7d98ea</t>
  </si>
  <si>
    <t>be26463d-8df5-4f33-aaa9-94fd9b9512f9</t>
  </si>
  <si>
    <t>476f04d7-1939-44f5-8231-9970934be051</t>
  </si>
  <si>
    <t>8063a1cf-5f45-417e-ac5b-3660ce54cbb3</t>
  </si>
  <si>
    <t>bbc95670-f863-4860-9cbb-d7b3dec90199</t>
  </si>
  <si>
    <t>abd53402-72af-47cc-812b-9baa61d4d769</t>
  </si>
  <si>
    <t>c3b7f8f2-8065-47c1-b595-aae94c1e9346</t>
  </si>
  <si>
    <t>ba0197bb-b5f5-478a-adda-7fc9c9963ae2</t>
  </si>
  <si>
    <t>dc7b6e36-883c-4d1b-8258-c057e80305e4</t>
  </si>
  <si>
    <t>82861b0b-5c7d-4251-a211-75c0a5b2ee6c</t>
  </si>
  <si>
    <t>a6391928-52e9-4141-85d4-5a49f203a0fb</t>
  </si>
  <si>
    <t>bc638748-782d-4220-8fc7-ed7e6747c894</t>
  </si>
  <si>
    <t>d43c645d-181a-41e8-89a1-051dee52867d</t>
  </si>
  <si>
    <t>5707a108-c200-42ad-af1e-b4653b58d581</t>
  </si>
  <si>
    <t>fd38515a-bac5-4f2e-a993-784b9013fa7b</t>
  </si>
  <si>
    <t>fea19557-12f5-44ac-a0af-198d9808d92b</t>
  </si>
  <si>
    <t>86b8e1a7-89e0-4e3e-9888-b7007b775af0</t>
  </si>
  <si>
    <t>75356eca-46e2-4c47-8f88-59c4646c5827</t>
  </si>
  <si>
    <t>4acacbc6-042b-4dce-aae2-1a5c6d52ce20</t>
  </si>
  <si>
    <t>87c00608-c077-4037-9cfe-11d7e7f3f9f2</t>
  </si>
  <si>
    <t>4ba7f702-5b22-4e31-ac70-272407eb79f8</t>
  </si>
  <si>
    <t>603d23eb-86c6-449e-83a9-626d45204c7f</t>
  </si>
  <si>
    <t>79b69ab0-31aa-48b1-a4bb-2987db4fa802</t>
  </si>
  <si>
    <t>5fb82ca0-59b1-4c7a-ace5-9dc04e30c4ab</t>
  </si>
  <si>
    <t>f42ed003-e8bf-42bd-830e-0286e52956a8</t>
  </si>
  <si>
    <t>376b1e05-d9f2-4a64-a5f9-7817933d9c19</t>
  </si>
  <si>
    <t>4bd379ac-7088-4f76-8659-5dee42ce681e</t>
  </si>
  <si>
    <t>825c1f34-4c70-4e01-88de-57f51cf6bc99</t>
  </si>
  <si>
    <t>47f99416-fe67-4680-89a7-d3fb3aad0529</t>
  </si>
  <si>
    <t>2810911b-db9f-4cf9-97c5-5c22d2d60bee</t>
  </si>
  <si>
    <t>114b979d-9555-470b-990f-4f6851855e8f</t>
  </si>
  <si>
    <t>023b26d4-c93d-4dc3-8397-5f01fd650e10</t>
  </si>
  <si>
    <t>95b8b913-647a-4cf0-8a1c-12eba4a8ed74</t>
  </si>
  <si>
    <t>df48d25d-a147-43c2-a6f4-7995ad062c66</t>
  </si>
  <si>
    <t>e3d1e10c-f5d4-42cb-a0cd-06b860980446</t>
  </si>
  <si>
    <t>3d604c3a-0b78-4192-8389-dd95566832af</t>
  </si>
  <si>
    <t>dda88e04-bad3-4755-9aee-584f129d0d86</t>
  </si>
  <si>
    <t>93880064-9281-4aec-a8f9-0be261a5257c</t>
  </si>
  <si>
    <t>ff06eb31-09ff-48f4-821a-632b3d504124</t>
  </si>
  <si>
    <t>41f6124d-7959-4fc3-83af-7c634c843b10</t>
  </si>
  <si>
    <t>cb4906d4-6473-4dff-a7a6-9188bad17eb7</t>
  </si>
  <si>
    <t>0fb2c3f5-d063-4477-baba-bffd25a2a799</t>
  </si>
  <si>
    <t>915bdcfc-6d40-4333-a5e2-5af8c8f31566</t>
  </si>
  <si>
    <t>414c16e4-7496-4596-b55d-41d8ed0219fe</t>
  </si>
  <si>
    <t>cca8b581-77d7-49a1-91e5-6e68aed943a2</t>
  </si>
  <si>
    <t>7136ba96-f288-4279-a5ea-f9e2305f5387</t>
  </si>
  <si>
    <t>7a83aab4-74d0-4981-a8dc-b3efb61412f6</t>
  </si>
  <si>
    <t>3d5df00c-915c-489c-8b43-5066e165ee26</t>
  </si>
  <si>
    <t>373bbb0c-fe39-494c-a615-e5066a1a2b6d</t>
  </si>
  <si>
    <t>524faae4-641a-4b2f-b59c-1e54ada79b0b</t>
  </si>
  <si>
    <t>3a5d46fd-0ca3-44a1-a8be-d7e35a75218e</t>
  </si>
  <si>
    <t>6b8c4ccd-8bee-4022-94e8-b5f5a0d5bb5f</t>
  </si>
  <si>
    <t>99a0c45f-205b-4979-b1da-1410233ab47f</t>
  </si>
  <si>
    <t>5abf9d55-254b-428f-83be-4bfd21883499</t>
  </si>
  <si>
    <t>0686a45f-68cd-4b98-94f5-3af6be2adc23</t>
  </si>
  <si>
    <t>73b0db82-374c-43df-a4a6-abebae1c9730</t>
  </si>
  <si>
    <t>53280000-5c09-40ef-a4dc-78d8c0583b19</t>
  </si>
  <si>
    <t>a7e20d3f-bf41-4628-8052-ba95cff759c1</t>
  </si>
  <si>
    <t>d8e57ff7-d71c-4ffa-8a92-f63fced488de</t>
  </si>
  <si>
    <t>c701bb39-0cd8-4e31-9b40-944dcc679fcb</t>
  </si>
  <si>
    <t>18bed870-a69b-40c0-8d97-e03ae32e7de8</t>
  </si>
  <si>
    <t>fa491f04-59eb-4305-83ea-0e1a91ac890f</t>
  </si>
  <si>
    <t>7be4e423-83bd-4cc9-96d5-a845a5ae728f</t>
  </si>
  <si>
    <t>69a8fdc5-cf5b-43c9-bd8d-3fb8299eac10</t>
  </si>
  <si>
    <t>dcaf88dd-7810-44bb-ab55-d2ad4410ad63</t>
  </si>
  <si>
    <t>a9d14534-5bca-41dd-8d02-0d92570cb764</t>
  </si>
  <si>
    <t>179e0f5d-799d-4691-accc-09755ff50aac</t>
  </si>
  <si>
    <t>8224eaf1-c683-4c85-a1f9-8bb9c2ef21ec</t>
  </si>
  <si>
    <t>4d72f986-020f-4c5e-9e76-eb69bea859e6</t>
  </si>
  <si>
    <t>39ec453a-2361-4649-b68a-cba07181c4a7</t>
  </si>
  <si>
    <t>f38cb847-0ed5-4a2d-87bb-e740dd8adef2</t>
  </si>
  <si>
    <t>9401354d-1498-4eee-a560-19b633a103b3</t>
  </si>
  <si>
    <t>ec49d8e7-535d-4732-8fd2-f99e64a19a5f</t>
  </si>
  <si>
    <t>27ccc5be-9895-4ee0-86b5-8e917c0650e4</t>
  </si>
  <si>
    <t>cb370c32-624d-42ee-b4c7-d90cd286a11f</t>
  </si>
  <si>
    <t>0ad1bda0-04dc-4731-9a41-b2c54969004c</t>
  </si>
  <si>
    <t>6a99ebb0-cc9f-45ab-b6e9-4791602ae7c4</t>
  </si>
  <si>
    <t>59711c93-38ef-47c5-b728-42fa302cacd0</t>
  </si>
  <si>
    <t>bb67998e-4ac1-45da-b7ca-605ec973e5fe</t>
  </si>
  <si>
    <t>32c0a4d8-3699-4f09-907b-5f303f8274c1</t>
  </si>
  <si>
    <t>e090df54-097b-4e77-87c0-f9e8a965c013</t>
  </si>
  <si>
    <t>ffb75258-7e17-4433-86eb-cca51e35b5de</t>
  </si>
  <si>
    <t>b26a4921-90b8-4360-8834-fad7a130bfb4</t>
  </si>
  <si>
    <t>a539900a-d75e-4437-865c-59d6ba1df7f5</t>
  </si>
  <si>
    <t>eaf0471b-e553-4302-a1aa-cf3284f3a3a9</t>
  </si>
  <si>
    <t>60fddd3f-fcdd-4d60-9195-d733c67449a0</t>
  </si>
  <si>
    <t>38af7deb-8836-4d80-a9fb-01540432a8b3</t>
  </si>
  <si>
    <t>5826ee1b-74c4-4180-bfd3-f486446f0023</t>
  </si>
  <si>
    <t>ccfcd4b9-a541-4751-abb4-571a84c4770c</t>
  </si>
  <si>
    <t>31673a23-132a-46a7-b029-975ac1465c50</t>
  </si>
  <si>
    <t>8c4c751f-f5a4-4ac7-877d-1158db922567</t>
  </si>
  <si>
    <t>90e5aae2-d9c9-4271-afb7-5e4b799ddaa6</t>
  </si>
  <si>
    <t>094c8ee8-4143-4ebf-9ed3-1ad255f30ef5</t>
  </si>
  <si>
    <t>c7429be0-64d2-4995-a915-e1250fbe94ec</t>
  </si>
  <si>
    <t>43359fac-cb1f-4e7e-ae5c-990d96bd2200</t>
  </si>
  <si>
    <t>83404a73-33c4-4297-a97c-8a146155e477</t>
  </si>
  <si>
    <t>2c06953e-4bc1-42f4-8769-813f8f36b530</t>
  </si>
  <si>
    <t>9797381e-3100-410c-8d84-6145bc723595</t>
  </si>
  <si>
    <t>32b9cb76-87c9-48c7-a73a-293d09c61937</t>
  </si>
  <si>
    <t>ab376d84-3616-480d-b4eb-49efee6f2837</t>
  </si>
  <si>
    <t>25fd1786-ff5a-45fc-bb97-0ab5ba25bbd4</t>
  </si>
  <si>
    <t>fcc3fddc-5adf-4ff0-9e0e-c84a424d2070</t>
  </si>
  <si>
    <t>73afe00b-3f93-4cd4-b71f-161f6da7d9a8</t>
  </si>
  <si>
    <t>9f5ad18c-d0a8-4ba0-b642-fa94801265f6</t>
  </si>
  <si>
    <t>3e8c2562-a487-4d89-a1d8-3fdc53caf638</t>
  </si>
  <si>
    <t>63424808-052e-4e93-a382-1bc16302c1cd</t>
  </si>
  <si>
    <t>704f903b-21e4-4101-8321-58d705089b06</t>
  </si>
  <si>
    <t>7ab6446a-575b-4875-ab7a-79bd93c17a64</t>
  </si>
  <si>
    <t>ac7b5aa4-5c89-4616-926f-1b8919909d63</t>
  </si>
  <si>
    <t>c1d2a88a-570a-4de1-8313-46284c224bee</t>
  </si>
  <si>
    <t>45ea1095-e06b-4a1c-a0b7-c3671c9f006a</t>
  </si>
  <si>
    <t>2e46a8d4-de1a-4340-9c8f-215dc059df43</t>
  </si>
  <si>
    <t>a1fceb9a-0b93-4ab1-8cc5-987d5ec80234</t>
  </si>
  <si>
    <t>054b7510-54c8-48f4-bd06-8e2ba58cbd51</t>
  </si>
  <si>
    <t>4a349095-f180-4dbf-981e-94a275412847</t>
  </si>
  <si>
    <t>1af70b1b-d756-415f-a5b4-3861139559d8</t>
  </si>
  <si>
    <t>6b9ce9b4-316f-4e82-a0b9-127441795232</t>
  </si>
  <si>
    <t>0d7ac1da-194d-4844-a919-6bfec0989d14</t>
  </si>
  <si>
    <t>760b70e5-2135-4106-bf18-2df119411aa4</t>
  </si>
  <si>
    <t>2a0fdbe4-588b-40fe-ba75-19cebe31bea8</t>
  </si>
  <si>
    <t>53c38b09-0edc-4eaa-b83f-d8227eb19850</t>
  </si>
  <si>
    <t>825bd557-2be9-4aca-a8d1-eb8a5f1bb037</t>
  </si>
  <si>
    <t>e2975ec5-cdb8-43d8-803a-1ebba615cf15</t>
  </si>
  <si>
    <t>820d7eb0-d64e-4e70-839a-ec9db5bf1969</t>
  </si>
  <si>
    <t>14f4e734-af4b-4566-9b26-a78985629df6</t>
  </si>
  <si>
    <t>9e80b9c8-a0b6-48bf-a0c6-44a0bb9a2fd4</t>
  </si>
  <si>
    <t>8c6cf0c3-b47d-4935-8973-e2a6de582b1c</t>
  </si>
  <si>
    <t>00aa6c2a-b291-411e-b240-202fea9bf417</t>
  </si>
  <si>
    <t>dc13c828-eda9-45c8-909b-cb84e3b0b8fb</t>
  </si>
  <si>
    <t>936b242f-90a4-4a2b-a846-12c531c67df2</t>
  </si>
  <si>
    <t>ec765c0b-cd27-4e30-b514-9509f020f439</t>
  </si>
  <si>
    <t>686ac4a2-1ff7-45dc-82a3-e28d5333190b</t>
  </si>
  <si>
    <t>b622cc96-c02c-4990-bba5-d27f32558b77</t>
  </si>
  <si>
    <t>6e13c94b-65dd-4b6b-b353-aa5382a88546</t>
  </si>
  <si>
    <t>c03d3d6b-a16d-4b1d-bf07-788f0372cec5</t>
  </si>
  <si>
    <t>7a1d3b12-9be6-46eb-baa5-51803a0a4f10</t>
  </si>
  <si>
    <t>0decc7ea-dece-4638-83c8-b1df7e1e54d2</t>
  </si>
  <si>
    <t>89c2cbb3-f9a7-4eb1-86c3-c5488a62490e</t>
  </si>
  <si>
    <t>9e99bc5e-ff55-4cae-8611-2ce51687be6a</t>
  </si>
  <si>
    <t>99b76135-94d0-48e6-9ac7-ada314cc1ad1</t>
  </si>
  <si>
    <t>225699c5-8b55-456f-95e3-7a5780ffac0a</t>
  </si>
  <si>
    <t>e969d3a9-a455-455f-9be8-38e701b1f653</t>
  </si>
  <si>
    <t>96de19f9-6aa8-493d-af89-56dbf25535c7</t>
  </si>
  <si>
    <t>7cdc323f-67af-48e2-b15b-3e94cf19681f</t>
  </si>
  <si>
    <t>fef36da3-13ae-416d-9e67-cfebe1220e24</t>
  </si>
  <si>
    <t>2a1b3474-38d6-4ca0-8c57-b10eaae5e250</t>
  </si>
  <si>
    <t>d7ec3b35-329b-4ea1-b9d7-8e8da1ae05bc</t>
  </si>
  <si>
    <t>38d2d2ab-e9ce-43d7-97bc-c6a2a3d37276</t>
  </si>
  <si>
    <t>b9be612d-c7cc-411f-afac-093196f87239</t>
  </si>
  <si>
    <t>798c452b-e7e0-48f3-a908-4f639ac8e614</t>
  </si>
  <si>
    <t>744ddc65-15bd-4ea4-abe0-e6c0e760796f</t>
  </si>
  <si>
    <t>f9436f14-5021-4177-9206-b79da434105c</t>
  </si>
  <si>
    <t>dccfb706-58be-4f82-9f92-b806781953e0</t>
  </si>
  <si>
    <t>9c9899e3-1edf-4b8b-9c6d-ceedbc530a70</t>
  </si>
  <si>
    <t>19e566a9-a789-4194-92eb-1a06b989a8d5</t>
  </si>
  <si>
    <t>c9f95e61-e079-477f-99b1-1136a2495e2f</t>
  </si>
  <si>
    <t>3bea04a9-f8bc-4696-b3bb-60ebd979b047</t>
  </si>
  <si>
    <t>23a70fc2-9249-43b1-bef3-ea3121bcc6d4</t>
  </si>
  <si>
    <t>46f6a6ef-156a-4979-892f-f6912d017577</t>
  </si>
  <si>
    <t>f426cb2e-e7cc-4571-bedf-ab5972f5ec5e</t>
  </si>
  <si>
    <t>0017c041-a14b-4780-9d9a-7a99558a0768</t>
  </si>
  <si>
    <t>702a602e-e109-4038-b50b-e599b4d7b76f</t>
  </si>
  <si>
    <t>8bbf6861-d17e-4548-bf18-f7f295ce59dd</t>
  </si>
  <si>
    <t>5673adfa-c739-4dbb-b371-fd1f3eaeb562</t>
  </si>
  <si>
    <t>7ff1a77b-f219-42d5-97cd-279306d9c7bc</t>
  </si>
  <si>
    <t>fbd594ee-94ca-41dd-ac59-144c2ceb26c3</t>
  </si>
  <si>
    <t>8095be8a-3220-40ec-a3ad-6bbc2aee0cc9</t>
  </si>
  <si>
    <t>17f2ec1d-c875-43da-9307-7012fa87236c</t>
  </si>
  <si>
    <t>d694ed01-7f0c-40af-8749-f22aa8dd2ffa</t>
  </si>
  <si>
    <t>33624a15-18f7-4ffc-9315-f18f25909579</t>
  </si>
  <si>
    <t>c76f1318-9857-4514-8548-3cd20a91f650</t>
  </si>
  <si>
    <t>68afcc40-9bb4-4903-a7ce-3c64492794f6</t>
  </si>
  <si>
    <t>6bcde048-341c-45ac-98f5-4d14cb9833fb</t>
  </si>
  <si>
    <t>a21b6747-ba7f-45cf-aac1-1356acb9c8ae</t>
  </si>
  <si>
    <t>11d62c4f-c1a0-4356-80eb-394f38d17efe</t>
  </si>
  <si>
    <t>b41e00a2-10d7-46ae-a151-2cc315df1c34</t>
  </si>
  <si>
    <t>2f6ecf7c-ed0c-4011-8d13-90edf44b305d</t>
  </si>
  <si>
    <t>f83a42d7-d5e6-4e72-ad56-651f51927aca</t>
  </si>
  <si>
    <t>8ff31276-200d-4aec-b2e0-6a25c12c51e1</t>
  </si>
  <si>
    <t>2649f2e5-179f-4ae9-8280-0dd4aadb0676</t>
  </si>
  <si>
    <t>dea362ed-393f-43b1-aaff-5195d91b0716</t>
  </si>
  <si>
    <t>414e2477-5a33-4de3-9f34-d375ccd27a80</t>
  </si>
  <si>
    <t>0627fc98-d9f7-49b9-a4cf-fd0b49f4e4d0</t>
  </si>
  <si>
    <t>05bf2a9f-e720-4d01-8ef5-9110d6fca724</t>
  </si>
  <si>
    <t>819a1e55-0a4e-4467-92b3-74936dc87ecd</t>
  </si>
  <si>
    <t>d667d8ed-686c-4d78-b93e-ad2bab070d4a</t>
  </si>
  <si>
    <t>fc8a1ff7-4c98-4ebd-a0cc-0fd7bb0bf243</t>
  </si>
  <si>
    <t>1c1a7d6e-6ca7-4b92-9ca2-8497547c5ba1</t>
  </si>
  <si>
    <t>3d90379c-6a89-4764-803b-b958c1a4e37a</t>
  </si>
  <si>
    <t>8779474b-9c48-4042-ae79-b30c1e583e5d</t>
  </si>
  <si>
    <t>d2538457-5b62-41a2-98c7-4b3b8e570a97</t>
  </si>
  <si>
    <t>d35e9995-4a42-438c-a56f-dff2e9acc65e</t>
  </si>
  <si>
    <t>66d3a92b-4c35-46e6-bf15-cb673be2aee2</t>
  </si>
  <si>
    <t>5dd447db-64ce-4b28-b902-9ca4fa896a61</t>
  </si>
  <si>
    <t>78d39da7-c35a-4a24-a6a2-dcf5627f84f1</t>
  </si>
  <si>
    <t>8fecb4d8-9571-46f5-8773-da640a6481bc</t>
  </si>
  <si>
    <t>7d3f0d0b-9acd-4f21-88ae-3801eba6cd8b</t>
  </si>
  <si>
    <t>a893ce7f-c8bc-427a-b89d-206a94d5a33a</t>
  </si>
  <si>
    <t>23b6e829-8591-490b-b518-20b451b14bb1</t>
  </si>
  <si>
    <t>d16ade89-0f8a-447e-b492-db632a54e02b</t>
  </si>
  <si>
    <t>713434a0-cfc8-456f-b17e-2f35e330560f</t>
  </si>
  <si>
    <t>d3b99f7e-d0ac-4199-8813-91665f16b3fb</t>
  </si>
  <si>
    <t>9f79dcf6-1ff7-4605-b82c-36cd49b06dd2</t>
  </si>
  <si>
    <t>e13622fa-d0b3-44c6-b157-38f7a6933d87</t>
  </si>
  <si>
    <t>45c38646-4908-4075-b81d-b90b507bdc9b</t>
  </si>
  <si>
    <t>ceae0c44-3af1-464c-98de-82c6c0a19ae2</t>
  </si>
  <si>
    <t>35fd09b4-e9f0-4d81-9839-c48198d46cf2</t>
  </si>
  <si>
    <t>92b89aae-d3d2-4715-b669-4634124a6444</t>
  </si>
  <si>
    <t>062c9b99-d361-4c0e-b1dd-507fdd20b1e7</t>
  </si>
  <si>
    <t>ccde27c7-ce46-4ad9-a8b4-8b2e100c2fa1</t>
  </si>
  <si>
    <t>cc5f3372-1199-4095-b04e-5d731f75390e</t>
  </si>
  <si>
    <t>8ea1e41b-df4c-4d34-bb14-d0b5eff7b1e9</t>
  </si>
  <si>
    <t>771523c2-478a-4251-bf5c-8a002d31b068</t>
  </si>
  <si>
    <t>4d3b2dc9-926d-4822-bb9d-93eb38181f03</t>
  </si>
  <si>
    <t>f77b7449-0c29-440f-a2c0-67cd766eb69b</t>
  </si>
  <si>
    <t>0c3d6cf4-03ef-4bdc-90c2-4219f71d505a</t>
  </si>
  <si>
    <t>c7e0f909-6796-452d-a3fd-dc07966ec853</t>
  </si>
  <si>
    <t>c8a3fc80-5146-415e-b463-45b56f4a9c14</t>
  </si>
  <si>
    <t>f86bf906-2201-4800-8413-fba4e4e8ae50</t>
  </si>
  <si>
    <t>59ddcb4d-d232-4415-a32e-7c13d1b268f5</t>
  </si>
  <si>
    <t>7016829c-88f3-4821-9fc1-ce5343e53906</t>
  </si>
  <si>
    <t>8590233c-8a03-4da7-b235-d889a4ba10a7</t>
  </si>
  <si>
    <t>b444d608-a7ec-4a3d-b25b-e182bde9cdca</t>
  </si>
  <si>
    <t>70c22bdb-e226-4a53-b2da-5f00c9873c5c</t>
  </si>
  <si>
    <t>e5d91451-1d12-4a01-a042-87b0f22cc66b</t>
  </si>
  <si>
    <t>a6d3a561-5aff-4eb2-b18a-60064af4a2c4</t>
  </si>
  <si>
    <t>391709dc-2122-409e-9e2c-0bcf6f96d131</t>
  </si>
  <si>
    <t>2995e5e8-b8e9-40d6-b211-a261528128d7</t>
  </si>
  <si>
    <t>a1b7828b-5601-4a18-b19c-fe7268dd5a15</t>
  </si>
  <si>
    <t>49b003fa-4997-4af1-90e2-c4f8ee1f1779</t>
  </si>
  <si>
    <t>30b72525-6af0-428b-a8d9-7451d407f3b9</t>
  </si>
  <si>
    <t>c5012664-e999-48d6-ba20-5a7c51f6f262</t>
  </si>
  <si>
    <t>fc1176e6-bf27-4f67-989e-2bb32af87eb5</t>
  </si>
  <si>
    <t>05e3ec87-8fbd-43ef-aa33-05e871060939</t>
  </si>
  <si>
    <t>e76f0da1-9474-47af-a161-0d2f9a8fda76</t>
  </si>
  <si>
    <t>ff13f6a1-44b1-4c92-b638-17f63606970b</t>
  </si>
  <si>
    <t>e9ea338a-e635-4d42-ab37-96de2f5656ad</t>
  </si>
  <si>
    <t>ddc99c73-7758-4640-aed3-4e11d1f22150</t>
  </si>
  <si>
    <t>561b865b-5d18-4836-b50e-f40bde688bcf</t>
  </si>
  <si>
    <t>6c9f98ff-4f0f-4639-85d0-5e401d743a4c</t>
  </si>
  <si>
    <t>bf6a8e72-8dbc-4f8c-8e6e-77f94994af64</t>
  </si>
  <si>
    <t>2f4ee00e-a84b-43e8-bb6d-64c48d0ce757</t>
  </si>
  <si>
    <t>d727f89d-d107-459c-a343-4c7c59015831</t>
  </si>
  <si>
    <t>101b4ce6-b2f8-41ab-b6f4-2a3ed4dba3eb</t>
  </si>
  <si>
    <t>571a05dc-0525-4962-81b2-e2debf902229</t>
  </si>
  <si>
    <t>01717096-8d78-4952-8e2a-2b736796d452</t>
  </si>
  <si>
    <t>3d81d442-7bd1-472e-be6c-87d59a39d2d6</t>
  </si>
  <si>
    <t>65ff28ce-5167-4737-b5e6-68c27a6a6d8a</t>
  </si>
  <si>
    <t>235a56c4-10be-43f0-ac08-14a913cd1569</t>
  </si>
  <si>
    <t>05b69fb9-1cd4-4eb2-866b-392801328417</t>
  </si>
  <si>
    <t>daa75c56-1674-4ac3-a470-64524a70d5b5</t>
  </si>
  <si>
    <t>537ac1c5-a609-4780-94eb-517b0e64ae21</t>
  </si>
  <si>
    <t>373df7a9-5e18-427a-982f-59e95851f9d7</t>
  </si>
  <si>
    <t>aaf5f091-7785-48d1-84e9-fa47bf7525e5</t>
  </si>
  <si>
    <t>843f9e04-265c-4f69-8cd8-27f093ec3e0f</t>
  </si>
  <si>
    <t>61e49860-703a-4a67-82ad-5749094f5dc2</t>
  </si>
  <si>
    <t>bbe915c1-0aba-4b41-befd-ddb68cdd7b58</t>
  </si>
  <si>
    <t>e45d6c09-50d4-44ae-b8f3-408bcd74cada</t>
  </si>
  <si>
    <t>dfc2c37e-28ec-47db-bfd9-87dce42a6384</t>
  </si>
  <si>
    <t>98b673eb-edbf-4aa3-81d9-b6cb512beb47</t>
  </si>
  <si>
    <t>9359e195-d2cd-4e6d-acdf-3cc04acb7545</t>
  </si>
  <si>
    <t>b1990fc7-29ce-4129-a239-b95591db2fe3</t>
  </si>
  <si>
    <t>ba8c3b67-e723-4833-8515-1909eb090ffc</t>
  </si>
  <si>
    <t>fdf173e9-3cc2-4211-ad97-6a89ab4c992d</t>
  </si>
  <si>
    <t>b2dabfea-7d61-4505-8d8b-15194d98a3c1</t>
  </si>
  <si>
    <t>0a450e9c-d685-4b05-bd36-cb4aab6a21ed</t>
  </si>
  <si>
    <t>e4e9504a-7d5d-47d9-940d-31817782fc8f</t>
  </si>
  <si>
    <t>20e2e96f-2ac5-4a36-9cfa-9d6738c4e1ee</t>
  </si>
  <si>
    <t>ba93d319-ddd9-4d3e-991a-fdcba85570c3</t>
  </si>
  <si>
    <t>3ae5e0f7-8bff-4310-b002-0d99213fadad</t>
  </si>
  <si>
    <t>c8a35af6-aa05-410a-85f0-e8ea8e13d69a</t>
  </si>
  <si>
    <t>a02f28e9-2264-4b14-b562-3098301b12fd</t>
  </si>
  <si>
    <t>e3d31a6c-7408-4ad9-a763-ea9a744f27de</t>
  </si>
  <si>
    <t>d642d465-d3dc-4c44-89d0-a93e4cc2f65d</t>
  </si>
  <si>
    <t>dfd1210c-8265-4142-b69e-e4cdb9258776</t>
  </si>
  <si>
    <t>ad681c74-e812-4922-a966-89fea4750cd4</t>
  </si>
  <si>
    <t>9ae480fe-dab2-482a-86cc-d7ad530f7704</t>
  </si>
  <si>
    <t>422b2b02-7b3c-4fbf-b594-6e2914e469c5</t>
  </si>
  <si>
    <t>6af7638e-274b-40ba-8035-97b8d5181611</t>
  </si>
  <si>
    <t>fd7293ff-a104-4081-b219-8a71ad708cb5</t>
  </si>
  <si>
    <t>892594b0-7698-4b09-9093-39ed12e147ae</t>
  </si>
  <si>
    <t>9f356c38-182c-4951-b612-e9412297b50d</t>
  </si>
  <si>
    <t>63daec73-9ae1-4781-ba06-3950acff9ba6</t>
  </si>
  <si>
    <t>dfbbbb1b-d847-42c1-920c-2e08ad6b3481</t>
  </si>
  <si>
    <t>7159f13c-01b8-4c3c-8d77-8a60df9e2653</t>
  </si>
  <si>
    <t>8329446c-9c38-459b-b296-59f5f19f2a51</t>
  </si>
  <si>
    <t>7aeada68-2ac1-4864-8292-82cc19d446da</t>
  </si>
  <si>
    <t>278c548d-ee93-44b9-aeab-dacd67b66291</t>
  </si>
  <si>
    <t>242a83be-25ed-4b50-966e-126fa3bda7d0</t>
  </si>
  <si>
    <t>0886815c-00c9-4177-bd6b-86b3d1610606</t>
  </si>
  <si>
    <t>19f96bab-f769-4ade-9add-63dd0769e499</t>
  </si>
  <si>
    <t>b586e701-6744-4a21-a4c4-2a434139d2ed</t>
  </si>
  <si>
    <t>2b17d2bf-926e-4ebf-a591-a9966eed3815</t>
  </si>
  <si>
    <t>17ec48bb-58d9-4be7-a2d5-ad5f1bd26c9b</t>
  </si>
  <si>
    <t>c4eb2f57-2a9b-405b-b686-e34aa4c1ba65</t>
  </si>
  <si>
    <t>71231f4a-6054-4c64-8499-31766c837b61</t>
  </si>
  <si>
    <t>acbe95b8-be8f-459a-b0e1-2e9f99755a77</t>
  </si>
  <si>
    <t>0a6816a7-f888-47b3-84f4-937bcd1a9023</t>
  </si>
  <si>
    <t>2e24691d-31e2-4802-af7a-2e2fd8afbee8</t>
  </si>
  <si>
    <t>65cb8d99-164b-4e42-badf-dae7fb16d388</t>
  </si>
  <si>
    <t>31f8fd87-aea7-4f86-ac51-080bbd39c074</t>
  </si>
  <si>
    <t>7d314499-d7e9-4619-a054-c17d976d3aa4</t>
  </si>
  <si>
    <t>22ada47b-5f63-44bc-ac7b-24989a5de212</t>
  </si>
  <si>
    <t>3bf8c2a4-b13f-4ce2-9532-440dfd0472a0</t>
  </si>
  <si>
    <t>0ae85af3-f96d-4d82-a2a0-72b0c0db8529</t>
  </si>
  <si>
    <t>dc684b93-d819-40f9-8e0e-8419b6139db6</t>
  </si>
  <si>
    <t>7c7cb0de-6a7a-4c38-91df-959c1fa55547</t>
  </si>
  <si>
    <t>1b03740b-7608-4b96-a78e-b48bebde5337</t>
  </si>
  <si>
    <t>4e66e2a1-2aa8-42eb-9372-1a01a6f04a8c</t>
  </si>
  <si>
    <t>b5f4e9de-96ed-44b6-9ce8-51d81ac90562</t>
  </si>
  <si>
    <t>a16251fb-f52b-430e-9bb1-272ebfb4a387</t>
  </si>
  <si>
    <t>f4c785ec-5213-4d09-8dfd-af38ed4cc0b8</t>
  </si>
  <si>
    <t>a1cacec9-db50-426d-b7e5-6ec5ccfbc39e</t>
  </si>
  <si>
    <t>84bb4a72-f675-48ba-a3d6-aa4b8c828fe6</t>
  </si>
  <si>
    <t>f29753d3-885d-4d69-a71c-5ac46637749e</t>
  </si>
  <si>
    <t>fe26c901-86af-42bf-a9cf-ec1bc66f6a46</t>
  </si>
  <si>
    <t>cd4e8d09-810c-44a7-a053-37f8f77c0514</t>
  </si>
  <si>
    <t>fa40f79b-8e48-448a-98b0-d9064c1b0115</t>
  </si>
  <si>
    <t>1b43ab83-77a5-4a8f-b68c-bbb2d21d310f</t>
  </si>
  <si>
    <t>51cf9141-4056-4062-85a8-43eb7e6272bc</t>
  </si>
  <si>
    <t>794b6449-c942-4346-82b8-166667e62c6c</t>
  </si>
  <si>
    <t>df4ef614-eed1-4c6c-8472-b5bf8fe1e6ae</t>
  </si>
  <si>
    <t>cff5d87d-e5d3-46a7-a439-b5d14d3aee6b</t>
  </si>
  <si>
    <t>bc14c635-9c82-42e0-9ea1-fb4cba7aacb5</t>
  </si>
  <si>
    <t>baaa1f32-4ba3-46ed-90ef-d74366522631</t>
  </si>
  <si>
    <t>1cedb0ea-4404-4bd3-bd08-e1aa6ee85a12</t>
  </si>
  <si>
    <t>3e453410-a025-42af-b464-f536ad03a150</t>
  </si>
  <si>
    <t>8a558ce9-588b-4840-9e84-5a5d836d430f</t>
  </si>
  <si>
    <t>b68c53e7-4c9f-4258-95b7-c73c28850f7c</t>
  </si>
  <si>
    <t>07ca6c7a-e7fb-498f-91b1-621fc7effa83</t>
  </si>
  <si>
    <t>b187ac76-4367-49b1-8c71-afb04eadbc52</t>
  </si>
  <si>
    <t>de1c3060-c7e2-4ddb-b67d-6c80b0cc9f9b</t>
  </si>
  <si>
    <t>b1255159-1199-4d92-925d-2bd1d66f27a8</t>
  </si>
  <si>
    <t>e68dd843-5ad0-4f96-a114-fecf95b5f4d6</t>
  </si>
  <si>
    <t>f9506e2a-6a22-4945-bb7b-0719c94e9258</t>
  </si>
  <si>
    <t>2779629f-a22b-448b-afe0-e9dedee50eff</t>
  </si>
  <si>
    <t>fbb0e169-5635-4785-8c4c-d8aca6bc724d</t>
  </si>
  <si>
    <t>a4e333cf-cc94-4387-ad6a-c182ab9a943a</t>
  </si>
  <si>
    <t>fb521689-6488-481f-b8eb-bacbf056f385</t>
  </si>
  <si>
    <t>5a65a314-97bb-4893-b479-fe03c3e20276</t>
  </si>
  <si>
    <t>36fdcf0e-96a0-4a84-80e5-92931c07651c</t>
  </si>
  <si>
    <t>d31f19b8-7add-4867-9aee-a9987c498e9d</t>
  </si>
  <si>
    <t>9e12b8bd-a9c9-4bfe-a09d-7df603c13f52</t>
  </si>
  <si>
    <t>8c9f805b-1cea-4395-904e-7a5a310e9234</t>
  </si>
  <si>
    <t>48f3d126-2b72-47ce-a88c-125dbfcea2f6</t>
  </si>
  <si>
    <t>ee80ddff-0534-48ba-a952-aa9e70933650</t>
  </si>
  <si>
    <t>6f90adfd-ddf0-49e9-ac0b-7833fad27958</t>
  </si>
  <si>
    <t>fdbb7c09-86b4-4a59-9772-021f06656aae</t>
  </si>
  <si>
    <t>5fd18efb-f1b5-4ecb-a506-7884ac990fcc</t>
  </si>
  <si>
    <t>7106a199-919c-4dca-bcdd-50de7516208c</t>
  </si>
  <si>
    <t>d2ca8f35-33de-41f7-900d-d56232be43e2</t>
  </si>
  <si>
    <t>a8a06958-f065-4125-ad8c-1d43312e8635</t>
  </si>
  <si>
    <t>8766bf34-0235-4bad-b3d3-4d855393ec68</t>
  </si>
  <si>
    <t>376a8158-1184-4952-ad53-914e27bc8d2e</t>
  </si>
  <si>
    <t>6a551fc0-60a5-483f-a823-de6ecf0ed3fc</t>
  </si>
  <si>
    <t>316b13ff-974f-46ee-a535-0eb0d54dbf08</t>
  </si>
  <si>
    <t>9a579630-34ed-41af-9605-6d16463f51a3</t>
  </si>
  <si>
    <t>99d26b54-a532-497d-891a-457988b8a000</t>
  </si>
  <si>
    <t>b75b9ecb-d8bf-486e-a896-153a2039cc85</t>
  </si>
  <si>
    <t>c6aa9949-ba46-4793-8045-c6c9f528801d</t>
  </si>
  <si>
    <t>f0d16cce-516b-4b52-b541-146fa115d382</t>
  </si>
  <si>
    <t>26028d11-a0cb-4305-89a4-f481f1dcc51e</t>
  </si>
  <si>
    <t>866d76de-f261-47fd-a76b-04d26f4354cd</t>
  </si>
  <si>
    <t>d20f17d4-829d-452f-8b9c-28b86a17ba70</t>
  </si>
  <si>
    <t>d28c2ac2-60ec-4630-b868-74ac7e722cf0</t>
  </si>
  <si>
    <t>51159c3c-65bd-4e2f-be01-7b65fec7cc64</t>
  </si>
  <si>
    <t>5ae85ada-ce4a-4e43-9055-cba17bc8e5e9</t>
  </si>
  <si>
    <t>ac609128-c66e-4721-84fe-5bc8669abe15</t>
  </si>
  <si>
    <t>8a796eb5-411e-4659-8712-f55009816c45</t>
  </si>
  <si>
    <t>c9178b03-a423-4479-8770-a7799b9f3714</t>
  </si>
  <si>
    <t>0e194852-0ef1-49eb-ace7-3995062e3482</t>
  </si>
  <si>
    <t>8045a861-a968-4b58-89c6-dc15c6fd41e8</t>
  </si>
  <si>
    <t>ea08302a-40c0-4e80-a0f6-0d4de8353a19</t>
  </si>
  <si>
    <t>3f98db89-eb95-4beb-9376-cb7e68d988cc</t>
  </si>
  <si>
    <t>44e5ebf4-9957-4c99-addf-0966df3b2db4</t>
  </si>
  <si>
    <t>3ef7aba6-d2db-4bf8-9700-8eaa5f286afe</t>
  </si>
  <si>
    <t>3386b0b9-c2dd-4bc0-aa2f-87fbd712d354</t>
  </si>
  <si>
    <t>8b113aca-3087-4316-b980-6925a693dc6e</t>
  </si>
  <si>
    <t>ac6e7c60-12d5-49f7-927e-a32412e81b93</t>
  </si>
  <si>
    <t>0566c602-68e3-47c4-baab-f9dd4db9dbea</t>
  </si>
  <si>
    <t>d5146e9c-493c-4165-a588-0340f585331c</t>
  </si>
  <si>
    <t>d3a4252b-a64c-4b21-99c8-fa78272e30c8</t>
  </si>
  <si>
    <t>431c392c-36ca-4def-955a-566f02823c23</t>
  </si>
  <si>
    <t>08cc1c3f-bd03-470e-9ee5-f6206ef8f0ea</t>
  </si>
  <si>
    <t>4875bcbf-cc55-419a-8d9d-cec963f0dc03</t>
  </si>
  <si>
    <t>57ffc492-dcb6-416b-a4f3-7109014eb262</t>
  </si>
  <si>
    <t>ecbbc218-4c84-4f64-bb43-ea339a091b4b</t>
  </si>
  <si>
    <t>e8f09351-f30e-4e46-9128-fd3307db7769</t>
  </si>
  <si>
    <t>c0687495-cb7e-4949-b63f-9532608d32f6</t>
  </si>
  <si>
    <t>24fae6e6-0303-46ef-835f-1123d6500129</t>
  </si>
  <si>
    <t>c19ffda9-ff61-4dcc-83a6-1c12abf91b0f</t>
  </si>
  <si>
    <t>22d0434e-3d72-42d0-a21d-0815d6fed80d</t>
  </si>
  <si>
    <t>815bed6b-02ad-465b-9f68-c07c508524ce</t>
  </si>
  <si>
    <t>e9063abe-14f1-4a30-ac69-04109b0bd3a6</t>
  </si>
  <si>
    <t>bc6d4f0a-746b-4b43-b1a9-9a39dac02d85</t>
  </si>
  <si>
    <t>0d120f0a-8b1e-4a3f-8f4c-b9da5114d22e</t>
  </si>
  <si>
    <t>4bb417fa-6c40-4649-a180-c6e5c6011565</t>
  </si>
  <si>
    <t>89c72886-d4cd-472c-82f4-82a56283ff8c</t>
  </si>
  <si>
    <t>5cbe23ea-3cac-44b7-b6cb-e6ccd8e6224c</t>
  </si>
  <si>
    <t>6c7a0786-5bbd-45a6-bf15-a8ca2018cb9f</t>
  </si>
  <si>
    <t>524d67c4-a4d6-46c4-853a-a934c0ccfeea</t>
  </si>
  <si>
    <t>2eb3cff4-1b23-4d37-a3dd-71e3a5a0e463</t>
  </si>
  <si>
    <t>57e4fad4-7fad-49ec-aa15-9e560b0fffae</t>
  </si>
  <si>
    <t>a9ffad05-0e54-445d-ad0d-a8a8da93f6c1</t>
  </si>
  <si>
    <t>1d6b8014-2fc0-431e-aa3e-4754e38b957d</t>
  </si>
  <si>
    <t>73062adc-8195-4300-838c-e746775a3183</t>
  </si>
  <si>
    <t>a20d885b-6335-48e3-bdd1-e4f60ebe2b61</t>
  </si>
  <si>
    <t>ec5c1648-1c9b-42ec-932f-3303d2f85fbf</t>
  </si>
  <si>
    <t>992f57db-5fda-457c-84f3-deb78b71d38d</t>
  </si>
  <si>
    <t>dcea56c8-d72f-4f30-9afb-5b064d171f83</t>
  </si>
  <si>
    <t>b91f25f0-5c8f-44e4-80ff-f3f3ed4eb2aa</t>
  </si>
  <si>
    <t>a2f7e258-4c9b-423f-b78f-23c8f482ef7e</t>
  </si>
  <si>
    <t>ded64a9a-2e56-4024-8a7e-81dc3e63e121</t>
  </si>
  <si>
    <t>fe46b178-30b3-46cf-be44-cac1f583f76c</t>
  </si>
  <si>
    <t>f40f674e-adfa-4d99-bff1-f4742c94a88f</t>
  </si>
  <si>
    <t>1c2f812e-ae76-46aa-ba56-e47b71e83832</t>
  </si>
  <si>
    <t>8c571858-a16e-42d9-b4f0-71986f50d67e</t>
  </si>
  <si>
    <t>29152433-d03d-4d65-bc6a-a13f5319a1d4</t>
  </si>
  <si>
    <t>5eb87ccc-7ce2-4502-b08e-4329d8b2b0ab</t>
  </si>
  <si>
    <t>d292c5c2-afaa-4fa5-b935-feb18b9e3b50</t>
  </si>
  <si>
    <t>268f87dd-8e50-4924-80b5-50821c1a67ed</t>
  </si>
  <si>
    <t>88700df7-f82a-4264-9795-7dbce785fddd</t>
  </si>
  <si>
    <t>54f5cc09-4077-40dc-a4d7-f6fb71e80f17</t>
  </si>
  <si>
    <t>5440ff01-6874-4316-a8de-332c14096e93</t>
  </si>
  <si>
    <t>9659348b-2121-44af-ba88-7d3c1e7f84a7</t>
  </si>
  <si>
    <t>a16386a4-1670-4f10-828f-3ac3c2b798b5</t>
  </si>
  <si>
    <t>b85a5deb-eba1-4241-a0c4-ad0cc05072b3</t>
  </si>
  <si>
    <t>f979c22f-3961-4834-9f65-00418173b159</t>
  </si>
  <si>
    <t>2df5009f-ba10-43b8-a428-572544188b0a</t>
  </si>
  <si>
    <t>dd3c1cea-8f2b-4191-ab60-ecf158741648</t>
  </si>
  <si>
    <t>d3be3978-5f44-44c2-ba5c-5efda55c0788</t>
  </si>
  <si>
    <t>915eb940-938f-4970-8bbf-9030603ae745</t>
  </si>
  <si>
    <t>76d82511-a6f4-4f45-ba69-2717608c288f</t>
  </si>
  <si>
    <t>96dd615f-2a29-4b16-8c77-24d24cfccee9</t>
  </si>
  <si>
    <t>59c7d7a5-6a3b-4790-9380-f763a497e0fa</t>
  </si>
  <si>
    <t>980bdfc4-9915-4faf-807d-013d3b374fcd</t>
  </si>
  <si>
    <t>1954befc-d7f8-4599-9ed6-70debad7d22f</t>
  </si>
  <si>
    <t>454a2114-082e-4421-9edb-12f83e186686</t>
  </si>
  <si>
    <t>3ed1e81a-004f-4f9a-9c08-516cd36f8f79</t>
  </si>
  <si>
    <t>4e1d4840-8dd1-44ec-8965-b46c39a19d9d</t>
  </si>
  <si>
    <t>9efa65da-9012-443d-8e26-ec27937ea9d1</t>
  </si>
  <si>
    <t>654257bf-3f17-4ffd-8a54-3410e94a9954</t>
  </si>
  <si>
    <t>a4d2a10a-b24e-4b17-8dc3-095c6a1a2b87</t>
  </si>
  <si>
    <t>f57ae19e-fab1-45e4-9372-c2574a68aa43</t>
  </si>
  <si>
    <t>27e77aca-ad72-4a6b-bda0-c438d5aa92e9</t>
  </si>
  <si>
    <t>f3848a3d-1201-49b8-bb23-7cbc6a08368b</t>
  </si>
  <si>
    <t>8f35fbad-1939-4a3c-a811-bbe07ef61935</t>
  </si>
  <si>
    <t>89f9379b-bb79-4b69-bdc7-b09d9a1fa20c</t>
  </si>
  <si>
    <t>6138f11f-9232-4a82-bed6-c62b92161da7</t>
  </si>
  <si>
    <t>355644db-e0bf-43b2-8be7-36a1205265c7</t>
  </si>
  <si>
    <t>86966fb9-ef7f-481f-a784-e39ac267b56f</t>
  </si>
  <si>
    <t>94fc55c1-643c-481f-8545-a970f5e10703</t>
  </si>
  <si>
    <t>3eaad6f4-7f15-4c49-87d7-e05105c2eea3</t>
  </si>
  <si>
    <t>2a81ec64-9b95-44ac-9bbd-3e77e004436e</t>
  </si>
  <si>
    <t>d4c626a2-6b6f-412f-b35f-453cc57a08b7</t>
  </si>
  <si>
    <t>7a65b354-9f0c-44fa-a680-0e9d3c87c73e</t>
  </si>
  <si>
    <t>88bacbc1-bb05-43ac-a090-35f31e6074d8</t>
  </si>
  <si>
    <t>8100db00-7b75-4069-93f5-cf74502a98c4</t>
  </si>
  <si>
    <t>21205edc-2ffb-4dce-b6a4-13ad8a8450bf</t>
  </si>
  <si>
    <t>450b6e68-026e-4d1b-b9bb-597f2a9b1bdc</t>
  </si>
  <si>
    <t>b266559f-da1e-48d0-a279-c7b37cdc5899</t>
  </si>
  <si>
    <t>86765856-af6d-4291-8299-8ef70972a583</t>
  </si>
  <si>
    <t>b76c94bc-af32-4a71-ae69-9a2c713cb696</t>
  </si>
  <si>
    <t>930be712-ec74-4260-8c2c-c52f7f2327b7</t>
  </si>
  <si>
    <t>2a290e33-1f4c-4b59-88d5-bb9fb03129ea</t>
  </si>
  <si>
    <t>a338aff4-ae1a-45ce-bea5-bce572efe8c1</t>
  </si>
  <si>
    <t>acb287e0-75a9-4889-8eb6-323d15cc7de3</t>
  </si>
  <si>
    <t>087f0011-86fb-4327-a18a-536a08edfb5d</t>
  </si>
  <si>
    <t>adf1a226-5359-44e7-8690-bbe814ff2ac3</t>
  </si>
  <si>
    <t>785e0652-1283-4c68-a635-e96f3140cbcc</t>
  </si>
  <si>
    <t>b4147601-494d-43c8-8ff2-1320cc1d525f</t>
  </si>
  <si>
    <t>8f340b20-ff03-4b80-9530-ef215931e3b9</t>
  </si>
  <si>
    <t>7116a96f-6d6e-46d3-8176-93513053d545</t>
  </si>
  <si>
    <t>b2b8ae31-eb8a-40a3-a5d9-b131324d826b</t>
  </si>
  <si>
    <t>8c10da11-2dd5-4223-888e-117a748f3107</t>
  </si>
  <si>
    <t>2f5798a1-fb24-4efb-932c-6b0a926a6290</t>
  </si>
  <si>
    <t>0f08014b-da6e-4b79-8171-2c51bdce39a2</t>
  </si>
  <si>
    <t>7abbcd40-0866-480d-9824-635556dbeac1</t>
  </si>
  <si>
    <t>7d2d65f3-ed1f-4425-a325-8f8e43594e69</t>
  </si>
  <si>
    <t>4a8b2fa1-8c5e-47f2-9801-c168aa84121d</t>
  </si>
  <si>
    <t>9c2bece6-8c3e-409b-bf83-40e0508a45cc</t>
  </si>
  <si>
    <t>ed0f871a-c1bc-4b93-9f5d-e2d90206146b</t>
  </si>
  <si>
    <t>b4c3ab7d-546b-4666-9e31-79d34941b0ae</t>
  </si>
  <si>
    <t>01b3b3ce-2c57-42d6-aca9-497b62a1c66b</t>
  </si>
  <si>
    <t>485931a6-ccb3-4436-9554-430fbc8d189a</t>
  </si>
  <si>
    <t>f6bb630e-6a2d-42e4-9371-a598462b1515</t>
  </si>
  <si>
    <t>d72a2ac1-389d-4500-8f2a-65253fd4ebc3</t>
  </si>
  <si>
    <t>5ad14c26-01d1-47d0-97d0-c57fe72f84ee</t>
  </si>
  <si>
    <t>4c0287b1-cf45-4107-a454-cd7c56d26948</t>
  </si>
  <si>
    <t>f6ab90b9-5e01-429e-aac6-b858b434b20c</t>
  </si>
  <si>
    <t>b9ae2a97-9bb7-42f3-b6a9-4c90f221ce64</t>
  </si>
  <si>
    <t>c20324f1-17e6-4484-b4bc-8671f89e607e</t>
  </si>
  <si>
    <t>b98db897-f857-4c18-ba27-c667b30c0dfe</t>
  </si>
  <si>
    <t>8a229d09-04c2-4922-8645-c46ee272ebd2</t>
  </si>
  <si>
    <t>7d6f9c3e-50e3-4059-b5d0-bbc9fcbd3910</t>
  </si>
  <si>
    <t>93b8f61c-4375-49bc-a30d-54b4c319f266</t>
  </si>
  <si>
    <t>b28cfde3-38e8-4dac-943d-c148414757b1</t>
  </si>
  <si>
    <t>3b478fcf-d4a2-4c33-b050-0b45af3c0679</t>
  </si>
  <si>
    <t>ba626d62-c8f5-4f0e-90da-05c8b526e564</t>
  </si>
  <si>
    <t>dda37d3a-c038-448e-894d-630954f9fd3f</t>
  </si>
  <si>
    <t>12f3fe4c-c868-4e9e-82de-21f630ec1e46</t>
  </si>
  <si>
    <t>2cc87dcd-7955-4ec0-b520-000d68d18181</t>
  </si>
  <si>
    <t>eb14315f-33e7-4020-b9f6-f94f2b357828</t>
  </si>
  <si>
    <t>a7bcd2d8-77b6-48b7-ba44-4a1939df29fb</t>
  </si>
  <si>
    <t>21a8aaa5-6af5-4756-be7d-57b226f5c7f3</t>
  </si>
  <si>
    <t>06863a94-2c2d-48b6-8770-af0d3d8a0948</t>
  </si>
  <si>
    <t>2b8002e0-b5f8-48f3-89d2-e7690e565274</t>
  </si>
  <si>
    <t>16a3e295-eada-4912-a842-8a4ed842d77b</t>
  </si>
  <si>
    <t>4d1caeb4-9ec4-4179-bb9b-ff2fd6206951</t>
  </si>
  <si>
    <t>a7f9da07-1c52-4dc2-9ba9-9f3f2b901acd</t>
  </si>
  <si>
    <t>483d0f42-e4be-4801-acaa-ece87555fe7e</t>
  </si>
  <si>
    <t>8b0943cb-2fd8-4ef7-9255-13bf11e0932d</t>
  </si>
  <si>
    <t>9b551d02-4450-4882-abca-6fc87f625427</t>
  </si>
  <si>
    <t>c3665e92-e3c1-4f8f-838f-149f8747bf10</t>
  </si>
  <si>
    <t>97677cac-6110-4fca-8580-98b42a698b5c</t>
  </si>
  <si>
    <t>22d560a5-e928-4526-9802-5c31ca8ae3ca</t>
  </si>
  <si>
    <t>9d8fb170-2207-4356-9a79-049a27db6af1</t>
  </si>
  <si>
    <t>e2c388e8-73e3-43f6-930b-1787b2345d9d</t>
  </si>
  <si>
    <t>95b2428f-6c41-4839-99d9-9e87a3ae603e</t>
  </si>
  <si>
    <t>4b04bf41-8529-490f-aad3-1c84e6f8b8e7</t>
  </si>
  <si>
    <t>84505d11-f057-48b5-a9ff-b18e99e81dcc</t>
  </si>
  <si>
    <t>1bf23e82-0b9d-4e22-92aa-4b8017e43f61</t>
  </si>
  <si>
    <t>984d419a-835e-49dd-be89-bb42da17c25a</t>
  </si>
  <si>
    <t>532673fd-e1a4-45bd-8652-63aaba3617a6</t>
  </si>
  <si>
    <t>64d4e2f0-b796-4477-a2b9-dcb8d011e50f</t>
  </si>
  <si>
    <t>24586107-5506-4471-a0fe-c2f6bdbe3a78</t>
  </si>
  <si>
    <t>ec2ed7b8-5675-4d32-b413-406ef8f75e89</t>
  </si>
  <si>
    <t>aa265a76-e810-4938-8736-3d1eedaa4584</t>
  </si>
  <si>
    <t>496b3ef6-6a0a-4f3b-a4e2-5369a458408a</t>
  </si>
  <si>
    <t>ab89e0ee-0f2c-405f-a6f5-2d32d8179218</t>
  </si>
  <si>
    <t>5c9b9dd1-47d9-4f4f-9e25-d4e7aaaa27a5</t>
  </si>
  <si>
    <t>cdf8f775-0d9f-4cbf-ba73-91ed31fbcf5b</t>
  </si>
  <si>
    <t>b7d06409-49ad-4e7a-9c82-12205a0a36b2</t>
  </si>
  <si>
    <t>93226922-b654-47d2-bee2-6801bd2f8ced</t>
  </si>
  <si>
    <t>e686a25c-0048-4481-b94e-b2668948bd5a</t>
  </si>
  <si>
    <t>9d51a596-157a-488b-955e-4c821202e8f5</t>
  </si>
  <si>
    <t>2fcf265c-b3a8-4d0c-9cb0-3adc351832f6</t>
  </si>
  <si>
    <t>6232c7ae-f01e-4ac3-845c-0f5a3f151e40</t>
  </si>
  <si>
    <t>1b0a8496-8374-45f8-9d5c-41c5f0749ccf</t>
  </si>
  <si>
    <t>309b7813-e5ae-4120-aeae-303993c0136a</t>
  </si>
  <si>
    <t>259e4b86-1544-4c6b-a093-d429692cdf4d</t>
  </si>
  <si>
    <t>c5922e16-8d07-4107-bf11-7a7d14353f44</t>
  </si>
  <si>
    <t>9d5ba8a6-0786-4b13-9c64-881480979699</t>
  </si>
  <si>
    <t>fdd9d730-eff6-4c49-86a3-1a8dbf9069f7</t>
  </si>
  <si>
    <t>0c40bdbb-d30b-489e-ac36-91ab09dfdeab</t>
  </si>
  <si>
    <t>bf7ba12e-d46e-470f-a5b2-ac24e64e1000</t>
  </si>
  <si>
    <t>dd0f0abf-7da7-451d-8303-5c9d4e6c7686</t>
  </si>
  <si>
    <t>40bdcfc1-aa37-4245-8b1a-5457ee4c3329</t>
  </si>
  <si>
    <t>8830a083-de96-4d43-a32b-e3862941a35d</t>
  </si>
  <si>
    <t>029a667b-d5e3-4e33-8804-ae8ad6593a7d</t>
  </si>
  <si>
    <t>b4c0a5b3-9910-4d8d-a34b-c7ac6672e6c3</t>
  </si>
  <si>
    <t>7630541e-4db2-42e7-9ec2-cbad37db0b46</t>
  </si>
  <si>
    <t>0fbffe99-eba0-4a18-b1f4-42b9e249dfae</t>
  </si>
  <si>
    <t>18d21cf8-fa88-4759-9ae3-81e1d3fc58fd</t>
  </si>
  <si>
    <t>8036cdac-84b1-4b10-abd3-f32109c28d1e</t>
  </si>
  <si>
    <t>a981b14d-307e-40e0-b1ac-65f5b3b6621d</t>
  </si>
  <si>
    <t>d65621ad-d7c8-43cb-b2d5-338df3a9e044</t>
  </si>
  <si>
    <t>1afd1afc-9a16-4a59-9391-b5165327d402</t>
  </si>
  <si>
    <t>6242664e-528e-49c3-bd6d-d0449f66cc35</t>
  </si>
  <si>
    <t>ce42525a-3f98-4e08-96d5-22881f3069cb</t>
  </si>
  <si>
    <t>b25014f9-a877-4644-8ca2-3ecc383aede2</t>
  </si>
  <si>
    <t>a92e0986-aa29-4342-a381-38b070a25697</t>
  </si>
  <si>
    <t>72b7cdc5-7d03-4550-8bc6-28db784dc8ca</t>
  </si>
  <si>
    <t>39de63f4-d266-4abf-b0f2-369d426acb2a</t>
  </si>
  <si>
    <t>2858e12c-4b07-4c7d-98d7-1c54f6e93ae1</t>
  </si>
  <si>
    <t>b6b9253b-918d-45e9-8a32-50b03cd7e969</t>
  </si>
  <si>
    <t>56e18a3c-3306-426a-87f4-a30881570966</t>
  </si>
  <si>
    <t>924f48da-83dd-4188-81e0-30d3d4b7753a</t>
  </si>
  <si>
    <t>af8f5153-7336-4fda-9255-900c86922fef</t>
  </si>
  <si>
    <t>11c276ad-6bf4-4e1e-bd5c-ae39ed4bad89</t>
  </si>
  <si>
    <t>3f02596b-e0e2-4a15-8142-60d5d4ea59cb</t>
  </si>
  <si>
    <t>31ff060b-e65e-4ff9-b663-dc0431f70c17</t>
  </si>
  <si>
    <t>2033f502-adfa-4ac1-8bfa-151aa1c6b05b</t>
  </si>
  <si>
    <t>0eac3038-33dd-4516-99ec-84d02f68a2c5</t>
  </si>
  <si>
    <t>a819f681-825a-48b6-9554-03c6ca09838b</t>
  </si>
  <si>
    <t>2d0da2af-0c0a-45d2-90e2-09bf79d186b2</t>
  </si>
  <si>
    <t>7e1fcb2f-e933-483a-a590-2d30a6f08e1b</t>
  </si>
  <si>
    <t>94096f6c-620a-4bb2-a60e-37dd3f3b1c53</t>
  </si>
  <si>
    <t>47bac1f0-d7bf-4c0b-8489-888e89950661</t>
  </si>
  <si>
    <t>7d3a7eb0-43dc-437f-acb9-23282ba7030d</t>
  </si>
  <si>
    <t>0473d552-6b1f-403d-82f0-df9246e4da81</t>
  </si>
  <si>
    <t>f178d493-4e6d-4769-8e2a-fb17b9e3b217</t>
  </si>
  <si>
    <t>8ef7eacb-b757-4433-8663-81f540a1f53f</t>
  </si>
  <si>
    <t>f51adae7-ef23-404a-a35b-af069595bfc3</t>
  </si>
  <si>
    <t>5377482b-2831-42cb-a580-2c8bc3613adc</t>
  </si>
  <si>
    <t>cbd69447-6141-4d27-80e4-3d24b6720c99</t>
  </si>
  <si>
    <t>aa5d28fd-4c26-4f47-8fca-552f071cc0b4</t>
  </si>
  <si>
    <t>651b3e7c-1854-42e0-9a77-5764c9372d8c</t>
  </si>
  <si>
    <t>f8a4d03b-fdf7-4ee5-86e9-411e45645bae</t>
  </si>
  <si>
    <t>3a24c949-e09e-4bae-830b-2c5462cf12dd</t>
  </si>
  <si>
    <t>e14b47da-804c-4813-9b11-42c5bf7a7966</t>
  </si>
  <si>
    <t>2c38e8ff-cf40-454e-b3b0-740af2a79dc4</t>
  </si>
  <si>
    <t>2b91949d-dcf1-41ea-a2d7-4c9314f5279d</t>
  </si>
  <si>
    <t>c6ef4026-e73c-488a-ad6f-9928108317be</t>
  </si>
  <si>
    <t>56a921c2-c213-45f1-9dbb-de2e3301283a</t>
  </si>
  <si>
    <t>ed940bf8-aee8-4084-aea0-c94146d3a17c</t>
  </si>
  <si>
    <t>9dff2733-4de0-4a36-9c8c-0e7dac7e36da</t>
  </si>
  <si>
    <t>f33fab0f-cdc4-4f27-927b-71b8540f1645</t>
  </si>
  <si>
    <t>63a5e679-c714-4728-b7b1-bd682373e173</t>
  </si>
  <si>
    <t>eb856ff3-00f3-44e5-be5b-0d895c9226e5</t>
  </si>
  <si>
    <t>36c1e728-81e6-4d66-99a2-cc8773d2db30</t>
  </si>
  <si>
    <t>59851cb6-1f00-424c-88b2-e1a5a3320650</t>
  </si>
  <si>
    <t>d1a393f0-9e4c-481a-a923-37ac3b34df3e</t>
  </si>
  <si>
    <t>351a84a4-4945-4956-a4f9-191886ec3e59</t>
  </si>
  <si>
    <t>4a96d981-4507-4e47-816a-6b5cf721875f</t>
  </si>
  <si>
    <t>deb7873d-1def-45fa-afd9-1cd7a6c3b199</t>
  </si>
  <si>
    <t>f44bb6f9-a8d9-4bac-95fc-6fd46ca8c65c</t>
  </si>
  <si>
    <t>02ec2522-2ad3-47c8-862a-0ecbcd44d536</t>
  </si>
  <si>
    <t>6308bb89-2d05-4eb5-b8b6-1a29eaa86f65</t>
  </si>
  <si>
    <t>17eb2d4c-2069-4247-9ced-33e6af1ccd4f</t>
  </si>
  <si>
    <t>04664fb8-2dc2-49fc-8f2f-2783dcbe7443</t>
  </si>
  <si>
    <t>e401cb19-1807-4c06-99bc-0cc66b195884</t>
  </si>
  <si>
    <t>0567aa10-7398-4fb5-9ad7-05bc221ccf7b</t>
  </si>
  <si>
    <t>0e38ffca-1f73-4b0d-82c2-e19a2035bab1</t>
  </si>
  <si>
    <t>a3e71728-f0d7-4b75-adf0-6df1d25f662e</t>
  </si>
  <si>
    <t>153f211f-8482-4da2-89b4-44848fa3ee76</t>
  </si>
  <si>
    <t>25d139fe-79a2-42a1-8a50-519177556977</t>
  </si>
  <si>
    <t>a7a5f733-c699-45ee-8aa3-22d484d8dfba</t>
  </si>
  <si>
    <t>c50b4664-7e7c-4c68-8615-0dd35ce09233</t>
  </si>
  <si>
    <t>9a94d32f-e929-4b83-8cb1-b58b14e15500</t>
  </si>
  <si>
    <t>b1fd18d0-3bee-4d64-b41d-20adab557168</t>
  </si>
  <si>
    <t>92880fff-5ea0-438f-b82f-52da83a48a2e</t>
  </si>
  <si>
    <t>275285d4-3473-42ef-9539-36f58642ca2d</t>
  </si>
  <si>
    <t>c7e04e58-fe88-45e8-9b70-e8325d3c0d77</t>
  </si>
  <si>
    <t>ed3733c8-fad9-42d2-a075-753a501485c1</t>
  </si>
  <si>
    <t>bb595ca1-75a4-4ff2-b2d5-7bc616908485</t>
  </si>
  <si>
    <t>de6ffcd0-4344-4bc7-9f81-0a47b718b1c6</t>
  </si>
  <si>
    <t>7ae75372-d52c-4b9f-81db-187b5df11b8f</t>
  </si>
  <si>
    <t>0961b447-259c-4106-9dfc-b29c18ee3268</t>
  </si>
  <si>
    <t>6733fa88-2c22-4289-8f9d-2738f2f223f2</t>
  </si>
  <si>
    <t>ba736959-f583-4739-8968-0290afa029e6</t>
  </si>
  <si>
    <t>d60d6724-ba88-43d6-b084-1098266795e3</t>
  </si>
  <si>
    <t>16e5f52c-b9a9-4682-bd78-bab672de433f</t>
  </si>
  <si>
    <t>cae083ba-161c-4411-a397-aa999397571f</t>
  </si>
  <si>
    <t>c7e024a2-a7b1-42de-9ec8-2eface7a42ea</t>
  </si>
  <si>
    <t>d294b97f-cf2d-4d94-a8ae-75b4fbb91cf6</t>
  </si>
  <si>
    <t>658035e4-1ba4-4be1-9ef9-45b5307d06d0</t>
  </si>
  <si>
    <t>581e6697-714a-4270-a0ee-fa3f59b0af0c</t>
  </si>
  <si>
    <t>803ceff0-36a0-4703-bf52-cad1d975542f</t>
  </si>
  <si>
    <t>73f751c7-8c61-4e76-83b6-452af6a4ede5</t>
  </si>
  <si>
    <t>b599a0ed-bf0a-45bb-aeb6-0722f73a50fa</t>
  </si>
  <si>
    <t>da72bd4b-af88-4044-9054-b1256e865aa1</t>
  </si>
  <si>
    <t>5e38612f-0499-48d1-9b5c-77f3ac880488</t>
  </si>
  <si>
    <t>0a66cb6f-a8c4-44db-bce7-81a5c9e5e968</t>
  </si>
  <si>
    <t>b9444b66-159e-4445-baa3-86b6c67d2a12</t>
  </si>
  <si>
    <t>a4493643-2e07-47da-a9aa-2cfd8b95ee3c</t>
  </si>
  <si>
    <t>9cbb6afa-02d9-4d41-a3a0-2cee0503e9cb</t>
  </si>
  <si>
    <t>7bab1710-b049-40ab-a51a-d4b81eb796ca</t>
  </si>
  <si>
    <t>34a2c2e6-d37c-441d-a3fa-8e2683608dc9</t>
  </si>
  <si>
    <t>d2175c8d-2b9d-4e57-8156-d60a6337269d</t>
  </si>
  <si>
    <t>6c1223e7-81e1-4917-85e5-1a4c20152121</t>
  </si>
  <si>
    <t>5dd87c4e-29ae-4eb3-af0c-170f76727f27</t>
  </si>
  <si>
    <t>459f77f9-49ea-4a47-8ef9-eccbcd48f711</t>
  </si>
  <si>
    <t>593f585f-8c2e-4301-8d4f-9a5072b0521a</t>
  </si>
  <si>
    <t>fcb2d78a-d7e2-4f45-bf6f-5c9d5be316a1</t>
  </si>
  <si>
    <t>9cf92281-2835-407d-8baf-930f65d4a895</t>
  </si>
  <si>
    <t>e0bd7f71-4fed-42d8-9543-838248a460d6</t>
  </si>
  <si>
    <t>f391b24a-8f47-4abf-98c6-2b6dc029b507</t>
  </si>
  <si>
    <t>8d62006d-9f79-4c44-8f55-bc75e32a3113</t>
  </si>
  <si>
    <t>58edff7e-fe12-4847-9d63-96fca02927aa</t>
  </si>
  <si>
    <t>ac249a0b-f687-44e4-8b45-c7e3ca5b62af</t>
  </si>
  <si>
    <t>22cf3563-a74a-422c-b504-4ed96bd42adb</t>
  </si>
  <si>
    <t>a369fdd9-f4e2-4ce1-88b5-8e63a29d3048</t>
  </si>
  <si>
    <t>14fd0c3d-7c20-4f74-b705-fc894aafc0e6</t>
  </si>
  <si>
    <t>c4e791eb-6ab3-4845-a181-b678fa7fa97a</t>
  </si>
  <si>
    <t>ffd64028-3f77-4c63-8a5c-42c17cf277db</t>
  </si>
  <si>
    <t>e873479a-1eee-40eb-b0ff-a77512efc64e</t>
  </si>
  <si>
    <t>ac571168-447d-4a33-9a0e-9ecf66da13a2</t>
  </si>
  <si>
    <t>ab3d3213-c9c4-4843-abef-94fedd12b6b9</t>
  </si>
  <si>
    <t>5f50140b-1f81-4e05-bf0d-e2efdf9d83d0</t>
  </si>
  <si>
    <t>8ca24125-559b-4d91-b405-46de7915f685</t>
  </si>
  <si>
    <t>3687107c-7c9b-40ff-86e7-2d0636774a48</t>
  </si>
  <si>
    <t>97532dfe-a293-4674-8dc1-1a90ca1e2925</t>
  </si>
  <si>
    <t>a7273326-fb8b-470d-ba98-dc6855d36bda</t>
  </si>
  <si>
    <t>d2a0854f-8b84-470a-8f81-ce7c2949e216</t>
  </si>
  <si>
    <t>0ff5f6d7-dc9b-46c0-b3d3-1a613b6f40dc</t>
  </si>
  <si>
    <t>d70e827b-2928-45cb-8c8a-70bb92c01baf</t>
  </si>
  <si>
    <t>aa7a6ff6-6acb-4fa2-80ac-c9df590d99b5</t>
  </si>
  <si>
    <t>f28ba34a-da01-4b10-a6e5-f19be9ec4993</t>
  </si>
  <si>
    <t>f8c37904-7754-4f4f-a0a6-6c300f52d1b9</t>
  </si>
  <si>
    <t>13892f24-0399-43e4-81ad-b2683a5937f3</t>
  </si>
  <si>
    <t>774601aa-0882-4fa4-a7ee-c107ab9822e5</t>
  </si>
  <si>
    <t>032e9a3c-7d07-42e6-8dc5-6c7da4996529</t>
  </si>
  <si>
    <t>4d6d9b2f-0d81-4d94-9269-e312986bcc5d</t>
  </si>
  <si>
    <t>00cf1667-2876-4dc9-978d-c5ab0abbde82</t>
  </si>
  <si>
    <t>85745954-f001-4b50-a3a8-89081a78fdb3</t>
  </si>
  <si>
    <t>d7f4bf21-ac26-45bf-91f0-06e1fcfe9bd7</t>
  </si>
  <si>
    <t>01e6801b-1fef-42fb-8ef2-ea09b77073a7</t>
  </si>
  <si>
    <t>ab0f1851-f5da-466f-9a40-39ac5c454128</t>
  </si>
  <si>
    <t>671165ba-f196-4285-925f-75d561220775</t>
  </si>
  <si>
    <t>d2d40ebb-b8b3-4ad9-ace3-096edd180329</t>
  </si>
  <si>
    <t>5c0b46c2-c510-45ff-98bb-beb686d84154</t>
  </si>
  <si>
    <t>58ded57a-ec90-49e9-963f-dfea5dc82a15</t>
  </si>
  <si>
    <t>66dec43e-1ffc-4923-9e95-3d865f5b8ef2</t>
  </si>
  <si>
    <t>fde12247-9936-42f7-8be1-77087b2ccb06</t>
  </si>
  <si>
    <t>b54bde1d-fa6b-4376-8f85-5daf9af3baf0</t>
  </si>
  <si>
    <t>fa32fedc-ac88-4f28-b1a5-911aa754bb54</t>
  </si>
  <si>
    <t>4acf70a4-4601-4a7b-ba60-ec429e02ed93</t>
  </si>
  <si>
    <t>1f93face-05de-4411-bebd-d5f0d5ca63cd</t>
  </si>
  <si>
    <t>e81aef30-e7a7-4aeb-8eef-c4967596a893</t>
  </si>
  <si>
    <t>99bc6deb-c00c-4e60-bf79-57535827e446</t>
  </si>
  <si>
    <t>44ae8a3c-93f0-4ffa-80ab-a04b49d288ce</t>
  </si>
  <si>
    <t>0bc417ee-3f71-4373-a8cc-331b1aa4a350</t>
  </si>
  <si>
    <t>4cbbe2c6-93a6-4f4a-8a58-cb0568992128</t>
  </si>
  <si>
    <t>842e532f-eafa-43c3-91e1-043216a3a1b9</t>
  </si>
  <si>
    <t>ce76d2eb-7452-44f4-bfe8-8f14ea2d179f</t>
  </si>
  <si>
    <t>b944a82d-8935-4ec4-a9a8-ee375c046361</t>
  </si>
  <si>
    <t>56fc1cd3-f46c-45b1-86c8-a8d814b4b01f</t>
  </si>
  <si>
    <t>eeecc979-d06f-4951-a2cd-655a554aeab5</t>
  </si>
  <si>
    <t>8cba73af-fdd2-40c5-a047-ad5892347414</t>
  </si>
  <si>
    <t>ce9e2886-8929-4783-b4c6-606c0b390a67</t>
  </si>
  <si>
    <t>de4b41a5-0849-4e62-8e1a-8a8402d632bc</t>
  </si>
  <si>
    <t>2def8921-9bc9-4018-94e5-e01583cb4a8a</t>
  </si>
  <si>
    <t>c6866d13-0b06-4e37-9951-7419fe48f070</t>
  </si>
  <si>
    <t>35f91264-6cc8-4a3a-ba35-f41a1f8845b8</t>
  </si>
  <si>
    <t>6322cad7-9bab-45ba-974b-e2761a226ff6</t>
  </si>
  <si>
    <t>0c62aef7-ef41-42aa-8500-89a6c481df76</t>
  </si>
  <si>
    <t>37791795-8e12-4220-89b1-1fcdde816eba</t>
  </si>
  <si>
    <t>48b9de50-6724-44ad-a0d2-d78beb2554c4</t>
  </si>
  <si>
    <t>0c872601-857c-425d-813a-07043f66be87</t>
  </si>
  <si>
    <t>9c36838f-6eaf-4bb4-9024-1e2b376b94ab</t>
  </si>
  <si>
    <t>3a184b71-300b-4893-b4aa-92cff705b7c7</t>
  </si>
  <si>
    <t>d1eea60c-8922-461e-97b9-7c8c3634e4a8</t>
  </si>
  <si>
    <t>ad4116a1-d841-48bb-b96d-4474cbf84c68</t>
  </si>
  <si>
    <t>1ee48ca0-f336-47e8-bc94-950b8fb7b8e4</t>
  </si>
  <si>
    <t>e256a69a-08fe-4384-91d9-c1bc7bb74c96</t>
  </si>
  <si>
    <t>01b9a552-c129-4000-a259-2125118a2d05</t>
  </si>
  <si>
    <t>f3763f9d-ced2-4983-9cfa-203770b1f23d</t>
  </si>
  <si>
    <t>5f4ae876-26fa-4e2d-a50c-06cc47a357a5</t>
  </si>
  <si>
    <t>23701bff-2f61-4efb-8367-a2b937e0a8c4</t>
  </si>
  <si>
    <t>6065d8f7-08e7-421c-ab2c-0f3401c1007e</t>
  </si>
  <si>
    <t>38c98f6f-3535-415c-bfba-78244c1ba199</t>
  </si>
  <si>
    <t>7af0ed2d-08ed-400c-a8e7-b764ab1e1b78</t>
  </si>
  <si>
    <t>14ce19c7-ffce-41b5-b4a1-67314cd5974a</t>
  </si>
  <si>
    <t>46849fbb-5a52-4e73-bb8f-ae01b6fb599c</t>
  </si>
  <si>
    <t>c916c9b4-1164-4387-81e7-0c2d0565b9b1</t>
  </si>
  <si>
    <t>44cc0ae8-cb94-4b3f-9d0d-0c24c1a57267</t>
  </si>
  <si>
    <t>4b3a58cf-f92e-40ab-bfe3-9203f6b813ea</t>
  </si>
  <si>
    <t>7e08b75e-d8c2-4370-917d-99e19d660ed3</t>
  </si>
  <si>
    <t>ecd05571-5133-452b-a15c-58b1d6fcf55b</t>
  </si>
  <si>
    <t>ad1386aa-c4a6-4fef-ac7d-8d017bc1834d</t>
  </si>
  <si>
    <t>5c0d251e-ecf0-42b1-a8a3-92879c7759d2</t>
  </si>
  <si>
    <t>1c50a915-b685-4954-b75e-50696b67585c</t>
  </si>
  <si>
    <t>0dbd65af-cebd-466e-8dae-0faefae015d0</t>
  </si>
  <si>
    <t>b0e1e6b6-595d-40f5-9190-bda8ffaf670c</t>
  </si>
  <si>
    <t>af3333ad-218a-4c59-a505-0bdc6c3a8ff9</t>
  </si>
  <si>
    <t>b86d66cb-9189-4291-b58a-ff82f1400a1b</t>
  </si>
  <si>
    <t>8792f856-e6dc-4e01-9e66-5da330500bb1</t>
  </si>
  <si>
    <t>9ee323d9-03fd-4243-b725-0799969eebe5</t>
  </si>
  <si>
    <t>ed30d9dc-3b8b-4568-90b0-9a4ab37c0b43</t>
  </si>
  <si>
    <t>5fd52a5c-0e8a-4c1f-bce7-fb565f654413</t>
  </si>
  <si>
    <t>646fdaf5-1306-44f0-b02d-00ae75a929ae</t>
  </si>
  <si>
    <t>a29a6a04-1baa-41ca-a6f8-8975da13ccac</t>
  </si>
  <si>
    <t>35687a5e-84aa-4fd3-8a35-6d2c4ede909e</t>
  </si>
  <si>
    <t>092b1c55-371b-4499-a9ba-03a34d3efd9e</t>
  </si>
  <si>
    <t>30f6ab29-5f0d-44e0-b094-8a26164d5303</t>
  </si>
  <si>
    <t>5709d5c3-d7e3-44cb-a414-0401be7a414d</t>
  </si>
  <si>
    <t>ff149146-918e-4a05-802a-08e696b05ca5</t>
  </si>
  <si>
    <t>8d3f248e-ed7c-42cd-b3d4-60774b897d71</t>
  </si>
  <si>
    <t>f0d90afa-ac9b-4248-9f1f-d262d266696b</t>
  </si>
  <si>
    <t>efe7aef5-61d4-4046-b949-8ebb253ea4df</t>
  </si>
  <si>
    <t>5f99dc80-0876-4938-9f32-32f8121def1d</t>
  </si>
  <si>
    <t>7dcf21e0-1891-4a67-8762-5475e064b562</t>
  </si>
  <si>
    <t>8891ec31-2a81-4f19-a0fb-9f092f2fa076</t>
  </si>
  <si>
    <t>b253557e-7e9f-42e7-a964-08409512972c</t>
  </si>
  <si>
    <t>80fa0811-9079-4a4e-bee3-27d5d809118c</t>
  </si>
  <si>
    <t>e0ed8133-983b-499f-aaa2-d55fed500c39</t>
  </si>
  <si>
    <t>0742f86e-5f2d-44ef-99e9-17701ba583e9</t>
  </si>
  <si>
    <t>b75366bb-d3d5-426f-bf5e-c38759e966bc</t>
  </si>
  <si>
    <t>394cb1e4-055f-4966-83e6-243beaeb3aca</t>
  </si>
  <si>
    <t>3a9ecfb2-33d3-4bee-a44a-630de00fbd01</t>
  </si>
  <si>
    <t>38e8f595-7ae2-478a-ad6b-449334d7fc96</t>
  </si>
  <si>
    <t>24796c47-3ab2-4476-834f-b8ee3062a37e</t>
  </si>
  <si>
    <t>41816b3f-56f6-43bf-9115-971ba7dc242f</t>
  </si>
  <si>
    <t>5cde086f-eb25-4291-b2ee-0c6d1c6b5459</t>
  </si>
  <si>
    <t>1dfb56be-d12c-4739-aab0-0f6cd8c3031c</t>
  </si>
  <si>
    <t>d8653e82-a487-4adf-9ac9-64f6664ed08c</t>
  </si>
  <si>
    <t>0cb3b1b4-f56d-4937-a509-b7c79a125bc7</t>
  </si>
  <si>
    <t>e33b05be-fc1b-4cf1-9fcc-185be5525bac</t>
  </si>
  <si>
    <t>e674aba0-35ab-4d84-9283-901a58d5ece9</t>
  </si>
  <si>
    <t>98504084-75ee-40c1-a61e-c01ebf8377d5</t>
  </si>
  <si>
    <t>db86ffd3-430d-4f21-99a0-d0c002b24dfb</t>
  </si>
  <si>
    <t>f2148f5b-1c1c-4924-8f23-c2781fe5c869</t>
  </si>
  <si>
    <t>6b12da3c-c538-4257-b3a8-6ecaaeb07210</t>
  </si>
  <si>
    <t>4419096c-eab3-4723-920e-eac48bdbf287</t>
  </si>
  <si>
    <t>6579bce5-dc6a-481c-b1fe-a22518a7a609</t>
  </si>
  <si>
    <t>891cf0f4-f86f-4ad3-9336-c08226ab832f</t>
  </si>
  <si>
    <t>3a412682-0c12-4379-8613-f752dadfc41d</t>
  </si>
  <si>
    <t>3ea62e22-d039-4d10-bdfb-ff1b821675bb</t>
  </si>
  <si>
    <t>71e228f4-5b7f-4806-8a29-28bf53814d83</t>
  </si>
  <si>
    <t>422bf1a4-f0ed-4bab-a1ff-8269c1c70ecc</t>
  </si>
  <si>
    <t>963809c1-1498-4951-b893-a42cd0b8038a</t>
  </si>
  <si>
    <t>32c89f45-a6e5-450a-991b-ca55e7d3bc65</t>
  </si>
  <si>
    <t>25c15fc4-5df8-45a4-a8f3-4477b6549bb9</t>
  </si>
  <si>
    <t>f80d6eaf-dae4-43ce-8c83-bd1c6ae38c81</t>
  </si>
  <si>
    <t>6861742f-e225-4a48-a899-10515f5fe14a</t>
  </si>
  <si>
    <t>3d12f279-fec1-42b9-8628-9191b773a7f4</t>
  </si>
  <si>
    <t>36490c08-2bed-473e-b421-f79d03e44d36</t>
  </si>
  <si>
    <t>952c3b4f-7921-4f45-bb74-2b229a8312d4</t>
  </si>
  <si>
    <t>b8fdc9d1-5b33-44ff-8112-c60df62d6f32</t>
  </si>
  <si>
    <t>0fe47c7b-385a-478d-bda2-22b84a8712a2</t>
  </si>
  <si>
    <t>18f6b306-a34c-4cfc-9798-99a919a0992f</t>
  </si>
  <si>
    <t>e975682c-48c9-49b9-8381-1fe0f4943c3b</t>
  </si>
  <si>
    <t>b041cc34-ff46-4f7c-8983-f68f29c0d3ef</t>
  </si>
  <si>
    <t>dd14a766-3108-4397-9422-525fac071e57</t>
  </si>
  <si>
    <t>f7e212bf-14ed-4017-ad80-dacd5d6b7be5</t>
  </si>
  <si>
    <t>c33f8bd1-b44c-4e7b-af87-b85574c2bec5</t>
  </si>
  <si>
    <t>d96d507e-5f27-43fc-b25e-c80f3e52f49d</t>
  </si>
  <si>
    <t>2224f87a-30da-4c5e-9ff3-dbdac8e1592e</t>
  </si>
  <si>
    <t>3cb33869-2004-4ce2-8d6d-bcfe4432e0cf</t>
  </si>
  <si>
    <t>1accc892-44fa-4be9-bfc4-c9168ec4417a</t>
  </si>
  <si>
    <t>f06a4e35-9aad-42e2-97b8-88c0876364ae</t>
  </si>
  <si>
    <t>07c019ac-78fd-4f04-99b3-ed1efce17ed2</t>
  </si>
  <si>
    <t>2114f4a9-f892-40f2-ad83-1f6431f06ad6</t>
  </si>
  <si>
    <t>eeafbbe8-c130-4215-98cb-2c50590d4c36</t>
  </si>
  <si>
    <t>b6c7f41f-f9fd-4915-a4b5-eb9eddfcca2f</t>
  </si>
  <si>
    <t>b60244ce-c9ab-4ca7-af7b-a752e7569f20</t>
  </si>
  <si>
    <t>a6af82cf-a6a1-4305-a839-e70b51783c32</t>
  </si>
  <si>
    <t>a70da997-2a45-4bb6-bb24-e40964941eff</t>
  </si>
  <si>
    <t>c306dc87-45f3-4bee-bfbc-2e928cd8c63f</t>
  </si>
  <si>
    <t>f898a1fd-293e-40b3-9a40-e21de4828852</t>
  </si>
  <si>
    <t>b47423e0-fc07-4c45-93e9-5de5f180c69b</t>
  </si>
  <si>
    <t>4bb2258b-b1bf-4e4a-8e25-5738517e9917</t>
  </si>
  <si>
    <t>4ca18b96-1fce-4bcc-9b1e-85c0f699523e</t>
  </si>
  <si>
    <t>45cd4327-0de3-43a8-a581-0bdd0432030d</t>
  </si>
  <si>
    <t>d263f088-0d09-494b-83b1-268d497cbcd0</t>
  </si>
  <si>
    <t>7e16b964-d803-4cb8-94da-29f5660c1027</t>
  </si>
  <si>
    <t>672a8d38-e6ed-4649-8b8f-e31ceedeea37</t>
  </si>
  <si>
    <t>3cffe3c7-6583-4e5a-b615-1fdf922642f9</t>
  </si>
  <si>
    <t>744bf5e8-5096-4082-8903-70e4cfdd1e64</t>
  </si>
  <si>
    <t>b9802ea9-5c98-4d4a-a77c-6de878d22ea4</t>
  </si>
  <si>
    <t>9363bef2-c9cb-4a76-971e-f1a5bb357d58</t>
  </si>
  <si>
    <t>349f7e43-7477-4e48-860d-b838ad415b1c</t>
  </si>
  <si>
    <t>9cc41b86-9e5f-40f1-91f1-5c431290571a</t>
  </si>
  <si>
    <t>6f5a2958-cb64-47b5-af53-1d70ba016494</t>
  </si>
  <si>
    <t>887de878-c150-46f7-9bf5-58c7ef8ce74e</t>
  </si>
  <si>
    <t>291d76b3-d8c3-406e-803f-c9e04fb283de</t>
  </si>
  <si>
    <t>46b5db3d-c2b2-4188-9424-4f7172f15112</t>
  </si>
  <si>
    <t>aaa4f493-b841-42d0-a7ca-644ad0512c3a</t>
  </si>
  <si>
    <t>43c97b11-0e8d-4947-9bdb-12af35174f31</t>
  </si>
  <si>
    <t>565b0478-0a6f-4900-b6b6-285e6656bb91</t>
  </si>
  <si>
    <t>2240c2c4-f736-4caa-bc9f-6500eb1501ba</t>
  </si>
  <si>
    <t>c9ca7e43-bb03-4e5c-82be-057200bc6f32</t>
  </si>
  <si>
    <t>32f97948-ac90-446f-ba8f-0da203d8d523</t>
  </si>
  <si>
    <t>501823e6-8ea5-433b-b0f6-d8c5f53c8907</t>
  </si>
  <si>
    <t>c4c39eed-21ee-4f06-be68-f9f4899be76b</t>
  </si>
  <si>
    <t>16c333fc-47cb-49f9-819b-b9853c0254d7</t>
  </si>
  <si>
    <t>3790887a-7a19-4201-9f39-fec333345e97</t>
  </si>
  <si>
    <t>7bd51ef6-d0f6-4894-ade9-af2b4f2f45b1</t>
  </si>
  <si>
    <t>67db947c-f035-417e-8883-71b4780b4fc0</t>
  </si>
  <si>
    <t>3d394651-d7f9-455c-b308-058cb52f8df8</t>
  </si>
  <si>
    <t>356a678e-8341-481b-b1dd-c3bf8085cdf3</t>
  </si>
  <si>
    <t>af9ce006-0bc4-48ee-ad39-730a74359d03</t>
  </si>
  <si>
    <t>466baf83-d1b8-4d98-9f30-06b1e654f463</t>
  </si>
  <si>
    <t>a902ec06-7bed-4c3d-b664-5e26fc183d7c</t>
  </si>
  <si>
    <t>32484385-55d4-4c6a-ad1a-834abeaaa883</t>
  </si>
  <si>
    <t>1227b01e-1600-46ac-b14f-3991a895796a</t>
  </si>
  <si>
    <t>64f688c6-0b4c-451a-94f9-48a66dd0139d</t>
  </si>
  <si>
    <t>d20c3cd3-e949-4026-a0af-1b9392f4d466</t>
  </si>
  <si>
    <t>16baff30-d637-4241-9b5f-1d0451f30375</t>
  </si>
  <si>
    <t>8b811175-e9c7-4a47-9e23-1b92a6a498aa</t>
  </si>
  <si>
    <t>a2796611-e145-4000-823c-16e30e8f2d03</t>
  </si>
  <si>
    <t>d1f48191-4dfa-474e-b7ca-3b935aee6531</t>
  </si>
  <si>
    <t>e724e4f3-9542-43f8-ab8f-e817d88999a3</t>
  </si>
  <si>
    <t>45c7566b-3b5b-4112-8ed2-89a4d20a3eae</t>
  </si>
  <si>
    <t>6b1bb258-a4c9-41c1-abb5-811dbb60701a</t>
  </si>
  <si>
    <t>d13f6fc0-7d6e-4dce-9798-93a1c6162887</t>
  </si>
  <si>
    <t>8018cc4c-3924-46b3-8fc8-a31de1b42fc2</t>
  </si>
  <si>
    <t>00108bd6-c0ee-42f0-8809-e5be2b6cd12a</t>
  </si>
  <si>
    <t>a7607adf-e66d-431e-ad89-61a216125690</t>
  </si>
  <si>
    <t>5a5cf094-cda6-4488-9171-9747ec590ad0</t>
  </si>
  <si>
    <t>5254de27-f444-44d4-bc79-08efebefaa4b</t>
  </si>
  <si>
    <t>c6d7aa04-5235-4214-b413-8a53f966b119</t>
  </si>
  <si>
    <t>fde18152-cb7b-433c-98b4-cc7b6016b750</t>
  </si>
  <si>
    <t>3155d3e9-2213-4d16-8587-5137a087ef3b</t>
  </si>
  <si>
    <t>104484a9-8ace-4877-a90c-bf2c7e79be7b</t>
  </si>
  <si>
    <t>65fcb9c7-6e5a-4058-86ee-93af0d7bd2fb</t>
  </si>
  <si>
    <t>94b1c205-4fe9-431a-bba7-ca1d0d013436</t>
  </si>
  <si>
    <t>55725796-857e-4b59-b253-187bd5f07d1b</t>
  </si>
  <si>
    <t>d2f0f6e0-fa3c-4b50-97fd-a84f8b4707fe</t>
  </si>
  <si>
    <t>ddb275d9-4e72-4fa7-8ce6-d3d458a81cf3</t>
  </si>
  <si>
    <t>606adbe6-dd8a-4eb8-8ddf-baf3d62da553</t>
  </si>
  <si>
    <t>c172eab0-fd92-44ea-aed5-4119fdf3d104</t>
  </si>
  <si>
    <t>6e118d2b-80ba-4226-8a1a-cdacad3f4448</t>
  </si>
  <si>
    <t>ca6c9e3c-8993-450d-b1fb-49cc7afd440e</t>
  </si>
  <si>
    <t>e4e34065-9917-4bec-9673-b0f75e992985</t>
  </si>
  <si>
    <t>0512ed5b-de30-4681-8b7c-8f2aeaf80725</t>
  </si>
  <si>
    <t>1257021f-5cd1-4213-821c-e0a323d6e2ee</t>
  </si>
  <si>
    <t>9356ab66-a890-48cf-86d8-a569664d9b56</t>
  </si>
  <si>
    <t>3daa3b0c-08d0-4763-876b-dc2c86533963</t>
  </si>
  <si>
    <t>47366ae4-467f-4bec-b49d-a7f22b794f59</t>
  </si>
  <si>
    <t>1b077aeb-57d0-438b-adab-48691727b847</t>
  </si>
  <si>
    <t>49725105-8575-4217-87f4-5733bd288d03</t>
  </si>
  <si>
    <t>6b2ff669-1b0a-4f76-acfe-421153087710</t>
  </si>
  <si>
    <t>a22669d5-6da6-4097-a4e4-4ff4655a0d38</t>
  </si>
  <si>
    <t>aef0ea56-6758-44c7-88b6-32d7ca0556ca</t>
  </si>
  <si>
    <t>fb963246-a793-4d70-a015-0402e3173f5a</t>
  </si>
  <si>
    <t>b1806254-48df-4ade-8024-ce14aab30781</t>
  </si>
  <si>
    <t>cfce115a-0bc5-4aac-bf51-59898240c4a1</t>
  </si>
  <si>
    <t>4c6ba635-f6a3-47b0-b165-d6654655de23</t>
  </si>
  <si>
    <t>5fe4f40a-4055-446d-8d46-e7cb6a540c72</t>
  </si>
  <si>
    <t>266be772-0a13-4114-bd1b-dc40b0516ce2</t>
  </si>
  <si>
    <t>fc9cfb2b-7e44-456d-ad56-cb91f2b276fb</t>
  </si>
  <si>
    <t>1c1ef7b5-72cc-4aa6-95d8-7b26897e9a21</t>
  </si>
  <si>
    <t>baa40e1d-e279-4770-b5fa-1da71e3ab2e2</t>
  </si>
  <si>
    <t>edd9b3d1-bdde-4f75-a7f9-8012744512ba</t>
  </si>
  <si>
    <t>255dd7cf-6113-435a-a958-00f25e1987e5</t>
  </si>
  <si>
    <t>0fa1ce67-73cf-4d9b-a171-81ef2ba271fd</t>
  </si>
  <si>
    <t>23e2a122-9e50-41d8-a434-c25675765f79</t>
  </si>
  <si>
    <t>7ec26427-23a6-4cc3-a188-ac08968e6f3e</t>
  </si>
  <si>
    <t>e012b536-8421-45de-a8ca-caab61d9b1e4</t>
  </si>
  <si>
    <t>7069b89a-b443-4895-89a4-44b719c1e347</t>
  </si>
  <si>
    <t>1dcf08f8-357b-4740-98c1-bb768f842126</t>
  </si>
  <si>
    <t>9ffd0956-8b70-4483-ac93-63f2e5e101cc</t>
  </si>
  <si>
    <t>bfbe5804-1dc1-452b-b92b-a483c5eeb76b</t>
  </si>
  <si>
    <t>7bf23b3d-ab59-48e0-a558-db5c48b1a206</t>
  </si>
  <si>
    <t>02ec20f5-ed7f-4f0e-8c1c-e95b386c28b5</t>
  </si>
  <si>
    <t>7954dfc1-63a1-4207-b3e0-4d55b73f564f</t>
  </si>
  <si>
    <t>48692c47-9278-4198-be47-f921a8ab8299</t>
  </si>
  <si>
    <t>57a8fb5f-c293-4702-ad9e-71cbdb4aa6e8</t>
  </si>
  <si>
    <t>3fe822d8-7078-4018-a420-b4496d29ccf2</t>
  </si>
  <si>
    <t>fcd90302-e7f6-4679-ac49-cffe71a7ee46</t>
  </si>
  <si>
    <t>aae4b13b-2247-4c8b-bdfd-f94dc5ac45e9</t>
  </si>
  <si>
    <t>5d298906-96ce-4a2a-b1f1-8e7b18bbbd25</t>
  </si>
  <si>
    <t>ba02bc00-8be5-478d-92ba-eb993ed9e571</t>
  </si>
  <si>
    <t>05f5d068-70f9-45f7-a440-2eca2e0af6df</t>
  </si>
  <si>
    <t>f57d69c1-f51d-4ec3-b0f7-7cfcc5f49e3b</t>
  </si>
  <si>
    <t>403d8e8c-bc7b-4d0a-8339-07365f767b62</t>
  </si>
  <si>
    <t>792136ad-a56c-4505-abf3-22d4b8fe35d9</t>
  </si>
  <si>
    <t>82eb568e-1658-4648-8809-2a53fafc3dc7</t>
  </si>
  <si>
    <t>8ff8e23b-ac00-4e86-9748-01556e3ecc32</t>
  </si>
  <si>
    <t>5626606a-8708-469e-a1c9-d0d93478c2e1</t>
  </si>
  <si>
    <t>b3b8b32a-3b18-4ef3-86ff-424d50eef43f</t>
  </si>
  <si>
    <t>ee0c0189-40a6-4894-a64a-5c23b3f6b5a2</t>
  </si>
  <si>
    <t>d20a61c2-fa3d-4e57-8b09-3e19ade44d10</t>
  </si>
  <si>
    <t>0301a4b5-7475-4b89-bac5-00093859216d</t>
  </si>
  <si>
    <t>6236413f-44f4-4429-85ba-6ba5dbf37e89</t>
  </si>
  <si>
    <t>154ec30a-7a10-4161-9386-87abd5a14b98</t>
  </si>
  <si>
    <t>88848d87-d7aa-4f30-85e6-af72905dd402</t>
  </si>
  <si>
    <t>e4768262-43e0-4321-929d-d7ac85194afa</t>
  </si>
  <si>
    <t>fd0ebde2-f8c0-4963-a1af-402dd9fe9fb6</t>
  </si>
  <si>
    <t>60d8375e-e90b-4db1-827d-29f59ee209a7</t>
  </si>
  <si>
    <t>dd57db1b-a539-458a-a190-1fa9d3961f20</t>
  </si>
  <si>
    <t>54089806-c774-4d4b-b323-e5f2d42fbb5c</t>
  </si>
  <si>
    <t>f6c76b05-75ec-4bf4-a63d-e8eede4026c6</t>
  </si>
  <si>
    <t>2d1781ac-2416-4df0-8681-e86766db1d33</t>
  </si>
  <si>
    <t>838bc2fe-a146-4520-97ba-0f710f7b1ea3</t>
  </si>
  <si>
    <t>38dde078-8a79-4e50-8d44-dad952e9ae22</t>
  </si>
  <si>
    <t>c0b4153b-d0b1-4974-90f4-28dbb8c88ff8</t>
  </si>
  <si>
    <t>b5c5a9ff-0db7-466e-b0cd-e2948bd83e94</t>
  </si>
  <si>
    <t>aeff1496-6b97-4258-870d-670cd28f4ada</t>
  </si>
  <si>
    <t>c71e9898-65ce-47bd-918c-3ebdd3ffcac9</t>
  </si>
  <si>
    <t>1f9e775f-0ade-4083-9cb5-11b1324985ec</t>
  </si>
  <si>
    <t>a577834a-41c6-489f-9666-5eafe78530a5</t>
  </si>
  <si>
    <t>796a5f77-018a-451d-abc9-46948b6456b2</t>
  </si>
  <si>
    <t>dc518d2a-a7f9-4120-8407-01ccb6efe5cb</t>
  </si>
  <si>
    <t>49ff3afb-cb6c-4dfc-8468-530f9c0abfd6</t>
  </si>
  <si>
    <t>6c561eec-2d63-4ef6-9d9a-18c9c6f1bac1</t>
  </si>
  <si>
    <t>560576d9-5dd5-4ce5-9c25-319ce946f39e</t>
  </si>
  <si>
    <t>3ab879fb-d01a-4c51-b3f9-625d2c4e1860</t>
  </si>
  <si>
    <t>ee70356f-8d7b-4674-bdc8-ee84bf93e296</t>
  </si>
  <si>
    <t>d43ee357-4a11-411a-be89-1e938a2b03c5</t>
  </si>
  <si>
    <t>950d7dad-d93e-43ae-ab6f-1e24d330f4b3</t>
  </si>
  <si>
    <t>a085a33f-40ea-44f0-a592-3869a8fb76d6</t>
  </si>
  <si>
    <t>f1bf566a-dde7-4e4f-8895-4e30277b67fe</t>
  </si>
  <si>
    <t>ff0381b1-21b5-4e1c-9f32-a33104814ce9</t>
  </si>
  <si>
    <t>b02aafea-c911-43ca-8034-748cdba41d79</t>
  </si>
  <si>
    <t>58d12b76-d7ee-481e-b9f8-6d8513ea063d</t>
  </si>
  <si>
    <t>08141b17-2f86-464f-ac79-eac660142aab</t>
  </si>
  <si>
    <t>1560ad96-084e-4aee-9acd-5e46ee8105e4</t>
  </si>
  <si>
    <t>0d26aff1-5dcd-4c72-8853-ac6efd34ca2a</t>
  </si>
  <si>
    <t>84080a5b-af89-4c17-b1f8-6859842d4e5b</t>
  </si>
  <si>
    <t>c0d31bac-2ab7-4f02-a3b0-d9b5a0e1c03d</t>
  </si>
  <si>
    <t>8196f9c1-0f8f-4a56-9eb3-baa2012b65d4</t>
  </si>
  <si>
    <t>01e7ba0e-23f7-4c43-91c2-97ccea703e51</t>
  </si>
  <si>
    <t>4fe787fa-8786-4d56-93d0-ed72f11b7241</t>
  </si>
  <si>
    <t>a9284906-2f35-4b1c-85bb-7eb60338cc2d</t>
  </si>
  <si>
    <t>26b2ed27-68f5-4d21-a1f2-1cd87d048e06</t>
  </si>
  <si>
    <t>92c683ff-034e-4bdd-8c27-d196a4676bed</t>
  </si>
  <si>
    <t>64a5562b-1eeb-4de7-90d8-9eba0b1c09ff</t>
  </si>
  <si>
    <t>1524b909-0e45-44be-8e93-1855b614339c</t>
  </si>
  <si>
    <t>693f8ac0-ef10-4a05-9f43-07e089edab75</t>
  </si>
  <si>
    <t>c31b9740-ad76-4178-9256-2c00a1c7290a</t>
  </si>
  <si>
    <t>c7f1727b-e0a3-4f06-86ba-cc1a3dedfa85</t>
  </si>
  <si>
    <t>f376f532-f75b-4c60-b56e-08527a7facca</t>
  </si>
  <si>
    <t>4a212db8-6b5d-4f86-96c6-027c1d4c5a60</t>
  </si>
  <si>
    <t>16993e91-870b-47d2-9098-b687b2f20336</t>
  </si>
  <si>
    <t>5b5ea547-92ab-40fa-8576-69d92d37557b</t>
  </si>
  <si>
    <t>80545107-3bf0-4bad-8c8e-98950b1e8738</t>
  </si>
  <si>
    <t>0376ecc1-f7bd-41b0-bb41-719f1cdf0853</t>
  </si>
  <si>
    <t>e7aeeddd-1450-47d9-a18a-0e209f5af835</t>
  </si>
  <si>
    <t>19646dbb-a0c8-44c8-a262-169801a59f2f</t>
  </si>
  <si>
    <t>ae7779f6-13a0-43e7-a356-45a7c3965e23</t>
  </si>
  <si>
    <t>2dc2f017-c762-4922-8704-ed47a421afb6</t>
  </si>
  <si>
    <t>d34b78fd-e9fd-4af2-8185-ecad66520d4b</t>
  </si>
  <si>
    <t>910ccab4-1c1a-4591-94c7-8399939f3480</t>
  </si>
  <si>
    <t>cb2b7b7c-60aa-4222-a711-cb109e2aa2b8</t>
  </si>
  <si>
    <t>a7b3553d-e719-4b4d-802d-33622723dd5d</t>
  </si>
  <si>
    <t>d2f0f59a-fd2c-4f32-9da0-a09c7b877025</t>
  </si>
  <si>
    <t>6e99dfd5-3046-4724-8933-41ed69d81932</t>
  </si>
  <si>
    <t>97bb6237-30a3-4795-b9dd-036113d4b3b3</t>
  </si>
  <si>
    <t>efba9209-3221-4892-8d96-23146aef4424</t>
  </si>
  <si>
    <t>8eb5037d-cf60-465e-a7b6-fc940311b87b</t>
  </si>
  <si>
    <t>a9aa274f-d581-457a-ad8e-94d886058ed8</t>
  </si>
  <si>
    <t>92ba884c-d467-4b97-aba0-7032878c1e03</t>
  </si>
  <si>
    <t>0a8bc259-eb14-4cdf-8add-0d96ac8f1646</t>
  </si>
  <si>
    <t>748be132-1b1e-4306-ba23-735a539d422e</t>
  </si>
  <si>
    <t>298435d0-1f7a-4dd4-b065-7801de7e23fd</t>
  </si>
  <si>
    <t>07bb46a2-c255-4133-8fec-c0b3ac944990</t>
  </si>
  <si>
    <t>92c53048-5882-489d-856d-aa142eaf9d80</t>
  </si>
  <si>
    <t>8f16a933-2d0f-43f7-af59-63dba7b6db8d</t>
  </si>
  <si>
    <t>a673ecc2-3f9e-49c8-a8a0-33518170fc75</t>
  </si>
  <si>
    <t>e4c0bdd0-8887-4794-83d0-90bcf550e7f8</t>
  </si>
  <si>
    <t>e1400ac9-2fdf-4207-8c65-82d322a55539</t>
  </si>
  <si>
    <t>f6271f82-73c1-4c68-94f0-00a8c7ee3ec1</t>
  </si>
  <si>
    <t>2af3f4c7-9797-4e72-b0e8-7005376ce267</t>
  </si>
  <si>
    <t>246e7b39-0755-4a0a-9d9b-dfe34ab133cb</t>
  </si>
  <si>
    <t>9fb45fe7-6937-4239-8548-115936dfce77</t>
  </si>
  <si>
    <t>bae9ac0c-dcd5-429b-88df-2af895fc1f3e</t>
  </si>
  <si>
    <t>fbeabb4d-6f7e-4465-881f-bcb265b21ca0</t>
  </si>
  <si>
    <t>db369245-5a2d-4fd1-8463-4679d35d7cd2</t>
  </si>
  <si>
    <t>fbdfea76-1ced-4cf1-96dd-6c38e159ddbb</t>
  </si>
  <si>
    <t>df1f5e40-48f8-4501-b220-53ba2a1001d3</t>
  </si>
  <si>
    <t>fe420cef-9ccb-473e-9ae5-d7ca920ec4fc</t>
  </si>
  <si>
    <t>9b8878c6-238f-44c8-9dfe-4676c66e11f7</t>
  </si>
  <si>
    <t>3cdcd810-39e5-4f28-989b-378a9b976a5d</t>
  </si>
  <si>
    <t>c95f2368-372e-46c4-9f3d-1c82a301fd78</t>
  </si>
  <si>
    <t>c43449fd-4ad5-429d-89c4-74d268dcb6bc</t>
  </si>
  <si>
    <t>365dc778-c1e5-4ab8-8687-f9583f9308e1</t>
  </si>
  <si>
    <t>639cda74-2249-449f-a7f2-64228302647b</t>
  </si>
  <si>
    <t>4fd24bc2-10ac-4a18-96cd-1f062ba5024c</t>
  </si>
  <si>
    <t>7fa02534-0dd1-455f-84ac-dcbef3aa4168</t>
  </si>
  <si>
    <t>27fd0327-3305-449e-b4df-20aeb99d6ea2</t>
  </si>
  <si>
    <t>66284077-a6c7-4460-9cc9-df93097a5fb5</t>
  </si>
  <si>
    <t>9f1d9e64-d5eb-4014-a291-033be9ad6031</t>
  </si>
  <si>
    <t>81f9ef23-4a14-44ac-9c0d-8322b1588958</t>
  </si>
  <si>
    <t>fd89085e-0ec9-40aa-8b8b-b72b7ca501da</t>
  </si>
  <si>
    <t>b3aa4ed8-5a94-461b-8446-d653fc705466</t>
  </si>
  <si>
    <t>099bd55e-eb92-4b54-b33a-c148619d6148</t>
  </si>
  <si>
    <t>90ad70cd-6152-4d45-a6a3-9289f33ed606</t>
  </si>
  <si>
    <t>1a69031e-2a84-46b5-a375-e94e60ab0bc7</t>
  </si>
  <si>
    <t>065606ab-5f1f-428f-b2c5-c6da4baf9597</t>
  </si>
  <si>
    <t>1660ae96-d64f-496c-91cb-bdac9b7722aa</t>
  </si>
  <si>
    <t>eb8761bc-db4a-4e20-951a-e00522afcb18</t>
  </si>
  <si>
    <t>c7d025b0-f633-4505-8793-1401f9c0f412</t>
  </si>
  <si>
    <t>4585284f-5848-44b3-83e5-aac36e6bfe1e</t>
  </si>
  <si>
    <t>ab1a4a62-5d67-4e91-bceb-bfd5cf9779c9</t>
  </si>
  <si>
    <t>a29e03cc-8960-45b2-b2dd-608515080f08</t>
  </si>
  <si>
    <t>f0e1c2de-9251-4a9a-a28d-083519f93a99</t>
  </si>
  <si>
    <t>b7da6db6-172a-4970-b38a-4a375cfa375b</t>
  </si>
  <si>
    <t>a9876912-824c-4e5a-846e-819e55d8269f</t>
  </si>
  <si>
    <t>94f9f356-3b73-4a86-95d0-d27829bd0717</t>
  </si>
  <si>
    <t>a1e0529c-84b2-4403-b3c1-6c64aa9e23cc</t>
  </si>
  <si>
    <t>2e278144-386b-48ff-9777-dbe15a249e13</t>
  </si>
  <si>
    <t>5675244b-3663-4d14-9b6b-b076128889a5</t>
  </si>
  <si>
    <t>6b0cde7d-0f34-41bc-bc64-a3254a2d7561</t>
  </si>
  <si>
    <t>d3911e59-4ea8-4fa9-aeef-5bfb155c103b</t>
  </si>
  <si>
    <t>8c796d6a-ee93-4640-b9a9-7556b5a1a07d</t>
  </si>
  <si>
    <t>1241fd90-c3c5-4a10-a69b-708ba8b4633e</t>
  </si>
  <si>
    <t>eab99641-f7e9-4cba-a913-e1880044e640</t>
  </si>
  <si>
    <t>5acce646-5752-40e2-bc51-1c308240464e</t>
  </si>
  <si>
    <t>b76c3506-251d-4836-a3f7-f3bb62d02ad1</t>
  </si>
  <si>
    <t>bbcb20f1-75b4-4393-95dd-6e2b65d5ff4f</t>
  </si>
  <si>
    <t>59cbff4b-2d9f-4539-b6d6-0d89eddde6bc</t>
  </si>
  <si>
    <t>d8f3a1ce-a034-4298-bdec-7a1edd116231</t>
  </si>
  <si>
    <t>cd82c04b-852d-4e0c-8d5e-68645248bd6f</t>
  </si>
  <si>
    <t>c3335df7-3db5-44c4-bc70-1b03ba03048a</t>
  </si>
  <si>
    <t>dbdbfa7c-7932-46fa-ad10-d53bbd798cf5</t>
  </si>
  <si>
    <t>f608833d-8f7e-4184-a3fc-665f57aba3b0</t>
  </si>
  <si>
    <t>ef61f409-a614-4271-986a-5d40d27e053c</t>
  </si>
  <si>
    <t>aad6f51a-1c6f-46b7-aa7b-768352ed8d1c</t>
  </si>
  <si>
    <t>2723dca3-d1e9-4198-829f-f9ed1fb396b4</t>
  </si>
  <si>
    <t>7984e2c6-c353-4a41-b094-e1dafb4edf8b</t>
  </si>
  <si>
    <t>07dbcfe6-abc1-4d18-8461-eb3989c5462b</t>
  </si>
  <si>
    <t>132aaf5f-1300-43ed-bae5-4887a7e7e6aa</t>
  </si>
  <si>
    <t>08b55574-a0b5-45c8-abea-e84eb7b32975</t>
  </si>
  <si>
    <t>09f04fe7-9954-4df3-9431-cd35713dbc1a</t>
  </si>
  <si>
    <t>f078167b-f855-4987-bfda-6527e54e8d44</t>
  </si>
  <si>
    <t>cabf84bd-b268-4013-af9d-cbe9ffc044af</t>
  </si>
  <si>
    <t>da313250-0337-4225-a411-b5b75ca190d9</t>
  </si>
  <si>
    <t>a7cc0271-0b4c-4da5-869b-7b59ce57d0bd</t>
  </si>
  <si>
    <t>cd0e79d8-3857-4dfb-b7f9-8d7106aa1fce</t>
  </si>
  <si>
    <t>954dcb74-100f-4ceb-8eed-376103cf5436</t>
  </si>
  <si>
    <t>a4c72480-839c-4b10-9139-e602b10215b8</t>
  </si>
  <si>
    <t>06768e6d-9118-44cd-852c-32cce8bfe898</t>
  </si>
  <si>
    <t>d0885607-812a-49f6-b5a4-dbc7a59549f4</t>
  </si>
  <si>
    <t>4bc6206b-a4ee-4f43-a69f-13a03aa8adbe</t>
  </si>
  <si>
    <t>6afbc377-c531-4b4b-ba2d-f616107bea3e</t>
  </si>
  <si>
    <t>e7069522-df6f-43e5-acd7-050d7c3f1fe3</t>
  </si>
  <si>
    <t>9d8871fd-6726-4bdd-b846-4a19c7d197bc</t>
  </si>
  <si>
    <t>fd485b3c-f7bd-4eb2-a742-1d2431bcbb2a</t>
  </si>
  <si>
    <t>efb1d2d1-e437-4a9d-a0e4-6b1da652541e</t>
  </si>
  <si>
    <t>d553a8df-d604-4a85-b7cc-c11980bd7ce2</t>
  </si>
  <si>
    <t>7f73a9ec-fb82-4eb0-bc55-bff60ca0afc4</t>
  </si>
  <si>
    <t>cd3e92be-8dbb-4f0f-a7b7-80be21d85db8</t>
  </si>
  <si>
    <t>7843f07d-f2c8-4ebc-8dc1-9a25d28b8d28</t>
  </si>
  <si>
    <t>8b92d68f-3baa-431c-b556-472d9638ce45</t>
  </si>
  <si>
    <t>6c580d81-de0f-4db3-b8dd-bd1ab10919e4</t>
  </si>
  <si>
    <t>3997f8f9-ed0e-4bda-94b0-6f06372c9506</t>
  </si>
  <si>
    <t>8f556804-a1d0-41b1-930d-96be4a33e606</t>
  </si>
  <si>
    <t>369b918f-c741-4cd7-8f5a-74eaebb3ba16</t>
  </si>
  <si>
    <t>ebd6f9c6-f04e-402a-b3b5-e35e3d1752ca</t>
  </si>
  <si>
    <t>d26a52b3-d9f5-4b5d-8aca-afa2484875ee</t>
  </si>
  <si>
    <t>6a3430a2-4a88-41a8-beaf-fccdd1d45517</t>
  </si>
  <si>
    <t>03572a83-a989-4602-bb89-d6ed424bb61a</t>
  </si>
  <si>
    <t>a0338b15-ee5a-46b7-9ff5-6efb2eb8f5ab</t>
  </si>
  <si>
    <t>30d8cd44-a1a8-4ab7-87f1-99111c75cb6f</t>
  </si>
  <si>
    <t>4efe87f8-2bf7-48e1-85cf-5c1457df9d9d</t>
  </si>
  <si>
    <t>0fc80a72-2d05-4c3c-8136-f544df2093c3</t>
  </si>
  <si>
    <t>5bde9c98-533b-4ba8-8d0d-aed2782d2684</t>
  </si>
  <si>
    <t>074974ed-7713-4edf-abcc-5e200bc8537d</t>
  </si>
  <si>
    <t>5bb7086d-a632-48c5-9b57-a2ff4dc934f8</t>
  </si>
  <si>
    <t>b48455fa-fbdf-4a42-aa4e-cbf8da5d9ee1</t>
  </si>
  <si>
    <t>fcd98704-3381-4da8-a9d0-85206456ca0b</t>
  </si>
  <si>
    <t>03473cbb-116f-4f83-86c0-50d5889eff11</t>
  </si>
  <si>
    <t>1cec8e1a-078f-4340-ba27-a583a615df39</t>
  </si>
  <si>
    <t>9a1b7476-d0e7-436f-ae1b-959aafbad559</t>
  </si>
  <si>
    <t>e8ba80fd-2a67-4540-bd98-b356fd9e2dd2</t>
  </si>
  <si>
    <t>d5959062-3681-408a-a01a-53c7403a89be</t>
  </si>
  <si>
    <t>33fa6e25-f271-47d9-8a29-de91bc1af0d5</t>
  </si>
  <si>
    <t>cdfc45e7-7f97-429e-bb8b-09a7c29b9bd0</t>
  </si>
  <si>
    <t>85a4f95c-60cc-4cb9-814d-d8f745f82325</t>
  </si>
  <si>
    <t>8388cf02-9398-4b74-b67b-56d7a074612e</t>
  </si>
  <si>
    <t>ab956cd0-1819-451c-b8c1-d22b4b6796b2</t>
  </si>
  <si>
    <t>5d77fa6c-4508-4088-9722-5a2902285a19</t>
  </si>
  <si>
    <t>2312ef5d-8274-4e8c-90e6-0f5c3eadd031</t>
  </si>
  <si>
    <t>5a7ab9d8-b064-4994-8477-3a606aad924c</t>
  </si>
  <si>
    <t>3c779e4e-ccc4-4d72-b98e-a1757ac6797f</t>
  </si>
  <si>
    <t>eca1d876-576b-4434-b47b-1bebd8f426d2</t>
  </si>
  <si>
    <t>cb4b90e7-5dcc-4e06-92b4-2aeb4db98cdf</t>
  </si>
  <si>
    <t>08a14bb8-ab48-4170-bccf-ef04ab15c43a</t>
  </si>
  <si>
    <t>05eaae1b-e321-499c-be9b-b6599ad1a880</t>
  </si>
  <si>
    <t>1a594ae9-af38-4c31-a00b-a1cf439139bc</t>
  </si>
  <si>
    <t>ead812db-d371-4bc2-abb4-ca8c8471ca77</t>
  </si>
  <si>
    <t>a3dfcf7d-3765-40d2-8a11-2111df14899b</t>
  </si>
  <si>
    <t>46bdbd12-f628-49d0-850d-40ed37757cdc</t>
  </si>
  <si>
    <t>7dca795d-ec1e-44b2-a87c-daa04461915a</t>
  </si>
  <si>
    <t>ea9dd8be-c392-42e1-8ccc-ace56b211966</t>
  </si>
  <si>
    <t>6d7cc8e5-2cc5-46a0-84c8-43c7f87daf9a</t>
  </si>
  <si>
    <t>1b88d370-7853-4579-99af-dc942e3f248f</t>
  </si>
  <si>
    <t>b8c06b97-66a7-492f-9ee4-a115b51e9dcf</t>
  </si>
  <si>
    <t>ee89f93f-b2ff-459e-93a2-ea8bfa7992f6</t>
  </si>
  <si>
    <t>4473c5da-f69b-4fd8-9a33-1838c1e09fc6</t>
  </si>
  <si>
    <t>6b31ebd3-0df5-4c2f-a137-a81d2c18e90a</t>
  </si>
  <si>
    <t>cadbece8-fd1a-4fcf-a4f5-3dd2e6bdd969</t>
  </si>
  <si>
    <t>33a69d90-e90a-45af-a9ce-eda2a1ab0d7c</t>
  </si>
  <si>
    <t>a59ad549-bbaa-4fee-9eb0-10d7e64b5e3b</t>
  </si>
  <si>
    <t>837a5bb7-7d0f-4315-8528-d5a30bf12108</t>
  </si>
  <si>
    <t>396f6900-f042-44d8-be21-0b167b912ff9</t>
  </si>
  <si>
    <t>c8fb5434-5cc6-4b80-85f4-3bcd5205a7a8</t>
  </si>
  <si>
    <t>59512720-e88a-468c-adda-27695b946960</t>
  </si>
  <si>
    <t>7b7aa94d-7978-405d-874b-593805447b56</t>
  </si>
  <si>
    <t>8134248c-be39-48b8-ae98-f9e508dbb240</t>
  </si>
  <si>
    <t>c86981de-a762-42d2-8576-c52e61cf46b6</t>
  </si>
  <si>
    <t>435e0df1-9dc6-4dbc-8a22-d98d9287743f</t>
  </si>
  <si>
    <t>4e273869-ee28-46a6-b32d-41c1b291af1e</t>
  </si>
  <si>
    <t>c93b183b-6934-4630-b9b9-727cf3a44d9f</t>
  </si>
  <si>
    <t>984f7f4a-0e12-47d7-8f25-00433e9a81ab</t>
  </si>
  <si>
    <t>2c7ccf0f-852f-4359-a5bf-1e15605d2411</t>
  </si>
  <si>
    <t>e0203e9a-2724-4032-b679-6c33795c4d13</t>
  </si>
  <si>
    <t>b2976ddf-b2bb-4870-8fcf-2377c119d2cd</t>
  </si>
  <si>
    <t>4b4e57f2-0dce-4598-885f-71fa5662cf0e</t>
  </si>
  <si>
    <t>521d1f0d-3f5f-438f-8c6d-6c9aab0299af</t>
  </si>
  <si>
    <t>c8a08658-20ab-4f89-a0e7-3f614340eb78</t>
  </si>
  <si>
    <t>b010be93-76b2-4b4d-bdbc-a420fc96aeaf</t>
  </si>
  <si>
    <t>7e4e462c-f211-4671-b964-ee732464853e</t>
  </si>
  <si>
    <t>35cdcfe1-c48a-43b6-8533-8f70aa35c713</t>
  </si>
  <si>
    <t>1df5b1e8-8112-471d-80aa-74af1982324f</t>
  </si>
  <si>
    <t>eb295874-e3cf-4c03-8fcc-0d20f7002487</t>
  </si>
  <si>
    <t>b46fb518-339f-4c79-a429-f00e662c7085</t>
  </si>
  <si>
    <t>d6b8270f-7185-40df-9965-535dc995fafb</t>
  </si>
  <si>
    <t>5f8bdd64-2a4f-404d-9cdc-a1ada06cafe8</t>
  </si>
  <si>
    <t>cb5d5d80-7f94-421c-a76a-fb560beeb1ba</t>
  </si>
  <si>
    <t>1de5ede5-f00c-473f-9a4c-adb67defa9a2</t>
  </si>
  <si>
    <t>31cd336c-f793-4bec-bc4c-039d941c2490</t>
  </si>
  <si>
    <t>29208590-743a-425b-9077-67234e055f13</t>
  </si>
  <si>
    <t>3db1dae5-386e-4bcd-8696-37840c900ccf</t>
  </si>
  <si>
    <t>7ba75cd9-df14-4e14-a22c-3ddc259ef325</t>
  </si>
  <si>
    <t>8109f1c7-ba4f-46ec-b3c5-46243b944811</t>
  </si>
  <si>
    <t>06465985-0b74-4942-bae3-5d65186df92b</t>
  </si>
  <si>
    <t>ca45e25e-8bdd-4799-8c0c-2eccdcb6bbf2</t>
  </si>
  <si>
    <t>b2b6a0a2-6478-467c-b4f6-901fde495cec</t>
  </si>
  <si>
    <t>9181fa02-7760-4f1e-a008-1a54d063fb9b</t>
  </si>
  <si>
    <t>bb097e87-3e4e-40ad-b791-cd342f7ad67b</t>
  </si>
  <si>
    <t>1c813952-7e02-4264-a834-416e29ccb810</t>
  </si>
  <si>
    <t>f4d7fadf-5c3b-41d9-b4fb-f6df2bfaaa2d</t>
  </si>
  <si>
    <t>7b2aae74-2b75-4973-93ec-b657bff5a9a1</t>
  </si>
  <si>
    <t>09263d5f-674e-482d-a8c0-324762193672</t>
  </si>
  <si>
    <t>3dd65018-61b5-4329-a9cc-bac8c15a6b25</t>
  </si>
  <si>
    <t>516e93d4-bbed-4673-9afd-e3e853754100</t>
  </si>
  <si>
    <t>42466881-a58b-4057-a0ea-615af204f9a6</t>
  </si>
  <si>
    <t>6dde2c86-7593-4d49-aee0-38ae33b01060</t>
  </si>
  <si>
    <t>1a0feffc-117c-4e7c-a2cf-8c2c3548f658</t>
  </si>
  <si>
    <t>a0acfed2-3ecb-4404-a39e-2fc473381219</t>
  </si>
  <si>
    <t>3cef2ed3-dfec-427e-ba70-5d08fa92a631</t>
  </si>
  <si>
    <t>25c3f6c6-d0d4-4135-b2e8-67e3d423fa2d</t>
  </si>
  <si>
    <t>fa6410af-b085-4a71-9789-00ccefdeb848</t>
  </si>
  <si>
    <t>ea172916-31b9-429f-b590-a746507bb20e</t>
  </si>
  <si>
    <t>b36b2e7d-ddd2-41ee-8a2f-00154f07b184</t>
  </si>
  <si>
    <t>1b82995d-cc3f-4f27-a87f-2dd1b6c9fc2e</t>
  </si>
  <si>
    <t>eb0149c4-6c4f-4467-92f1-32a3745766f7</t>
  </si>
  <si>
    <t>eb6c6692-bbc5-40f1-b191-88b47869c368</t>
  </si>
  <si>
    <t>181aa143-101d-4965-9ab4-80edcaedd194</t>
  </si>
  <si>
    <t>0066a45e-d10f-4519-9e4a-15e32388ad00</t>
  </si>
  <si>
    <t>41750832-10d6-4ce6-ae6c-494a1d849b0a</t>
  </si>
  <si>
    <t>e55e1e83-d28d-4691-a909-185781512ae0</t>
  </si>
  <si>
    <t>1ad376c4-db63-48e2-92ea-1f2f94d583ce</t>
  </si>
  <si>
    <t>79d11806-228a-4fab-8270-a7d65c9cecf7</t>
  </si>
  <si>
    <t>b69ffd1c-443e-47a7-ac67-b304ee8ece03</t>
  </si>
  <si>
    <t>cff04a7a-b133-49e2-9a12-16c9c89c1a7a</t>
  </si>
  <si>
    <t>2d6e45f9-c626-4f26-b7ca-7fbea55a3773</t>
  </si>
  <si>
    <t>78a91b6f-0e0a-4432-b7cf-170f0d378356</t>
  </si>
  <si>
    <t>ce4be12e-c15f-46e0-8026-f3e4935d04b4</t>
  </si>
  <si>
    <t>1c8ec967-8010-404b-b7d6-767a09e543bc</t>
  </si>
  <si>
    <t>a35353ba-7e5d-4a4e-b1e2-851b4ce3ed64</t>
  </si>
  <si>
    <t>ab117f6f-73fc-4211-b264-db6211bd97f3</t>
  </si>
  <si>
    <t>a060eae1-66cc-4f52-9aef-d512ccc77f47</t>
  </si>
  <si>
    <t>1663f5da-a60e-41d7-a9ae-5704f4c7a196</t>
  </si>
  <si>
    <t>24be0465-3bee-4952-bc5b-8b0227a6baaa</t>
  </si>
  <si>
    <t>a952d34f-2ec1-4daf-9ee0-9c06351caa91</t>
  </si>
  <si>
    <t>f7b5a5d9-ce05-4088-8839-e0ee991872ec</t>
  </si>
  <si>
    <t>8f38ef25-91a6-42e2-947f-9d9d094a2d0d</t>
  </si>
  <si>
    <t>2756a817-e711-4a26-b146-2e793e01d065</t>
  </si>
  <si>
    <t>f1bbc7ec-707d-4d01-b7fc-ceb06bd4de36</t>
  </si>
  <si>
    <t>4b488ecd-4021-414b-9e79-052a51e982e6</t>
  </si>
  <si>
    <t>2919e65b-e387-49f7-8afa-26b4cb2f5d35</t>
  </si>
  <si>
    <t>abe07eca-d0df-4a23-8b09-738a81049742</t>
  </si>
  <si>
    <t>03e076ee-865e-440a-bf29-41053d4f0b3b</t>
  </si>
  <si>
    <t>37cfcd56-9185-4c3d-8049-8ac6b15e6cbb</t>
  </si>
  <si>
    <t>7e65ef60-0906-4e1e-9b54-b8d89cefddae</t>
  </si>
  <si>
    <t>5c619083-1760-4a87-a00a-3ca15ffccf0c</t>
  </si>
  <si>
    <t>4d396fff-770c-4879-ab7d-562cd5347d99</t>
  </si>
  <si>
    <t>e1c24850-9ba6-4b3c-b64c-b3dc0e49a8f0</t>
  </si>
  <si>
    <t>80ae474f-2e01-4732-a930-00d3e2cd07ba</t>
  </si>
  <si>
    <t>e9c0e33c-d11c-49fe-8c0a-7cd7c19bccb6</t>
  </si>
  <si>
    <t>eb61a935-8dbb-40cc-83eb-a4b86a1c5f82</t>
  </si>
  <si>
    <t>6ef75419-014d-484f-b0b5-ad892dc6355a</t>
  </si>
  <si>
    <t>78881b37-93a3-40e3-af3f-0ed648260308</t>
  </si>
  <si>
    <t>3e5ca0e8-0ee4-442c-a7d5-42e317f42e32</t>
  </si>
  <si>
    <t>1ef03e82-e34c-4c29-b256-b321b3a5ce99</t>
  </si>
  <si>
    <t>74321b67-ea33-4478-a9a2-a5d32e6eab48</t>
  </si>
  <si>
    <t>5a8ba2fb-5253-47fd-8008-44384430edf1</t>
  </si>
  <si>
    <t>ba7257d0-99c8-4c55-a657-6537eb677dfb</t>
  </si>
  <si>
    <t>fa287c41-72cd-40a9-82b6-1fc0737ab235</t>
  </si>
  <si>
    <t>09054f5f-12f8-4050-a4a3-0200272daaa0</t>
  </si>
  <si>
    <t>900d8e75-3067-4dfb-8193-9f2a21e0678e</t>
  </si>
  <si>
    <t>e158767d-d404-4c70-9ab1-df830be9d0d7</t>
  </si>
  <si>
    <t>804256f3-09b1-43a2-9e9b-2e12ed16cffe</t>
  </si>
  <si>
    <t>210b9c3e-61bd-419b-842d-72ed78d38e9e</t>
  </si>
  <si>
    <t>5ab5431d-4185-4b4f-be21-4183473aa0a9</t>
  </si>
  <si>
    <t>eb0d1e13-35b7-472c-a39c-c5211ebb80e4</t>
  </si>
  <si>
    <t>83f21fb5-7cfa-45e9-875e-819c773032fb</t>
  </si>
  <si>
    <t>33bca94a-0b75-4ad7-b4fe-db44cfdd6992</t>
  </si>
  <si>
    <t>ac790561-30ba-49da-b38b-56e3f1d6898d</t>
  </si>
  <si>
    <t>1b49ab1b-80c6-48a5-8fa2-99155b0d743d</t>
  </si>
  <si>
    <t>2053f03c-0aff-41b0-be01-b4b81f0b1c6b</t>
  </si>
  <si>
    <t>77b85c42-c67d-4876-b26b-6ab89ed8bbaf</t>
  </si>
  <si>
    <t>6b608954-fb0e-409e-bb61-f6b97fea7fb5</t>
  </si>
  <si>
    <t>7fc041a7-0fd1-44e9-b505-6dd1e752a78c</t>
  </si>
  <si>
    <t>cd3d65e9-6653-4206-8809-0665721a1af5</t>
  </si>
  <si>
    <t>d7fbf7d7-9302-402c-a84e-d8303dedc8cd</t>
  </si>
  <si>
    <t>4715e1c8-4447-49fb-aaf6-d1f7cdc5a4a3</t>
  </si>
  <si>
    <t>e6d043fa-2dd1-45d0-876c-a7c704f2ce1f</t>
  </si>
  <si>
    <t>84e37d64-6055-4386-ba92-21d96a511b3b</t>
  </si>
  <si>
    <t>b16c9135-2798-4e1d-a48a-1d9c64d459f2</t>
  </si>
  <si>
    <t>029e94b4-bc1c-4602-a8ef-7fe92c78f4c2</t>
  </si>
  <si>
    <t>28c6e751-2511-479d-83c1-455a6e1fc02a</t>
  </si>
  <si>
    <t>727e553f-d207-4563-9a00-8d82561e7817</t>
  </si>
  <si>
    <t>3f14d6e0-dd02-4fe1-82ff-bd5cec08118b</t>
  </si>
  <si>
    <t>43c2a767-ad49-4977-b9b7-e87e81e9e93d</t>
  </si>
  <si>
    <t>2b7bf795-ccef-4bca-93a6-d00318b73c50</t>
  </si>
  <si>
    <t>f1200806-6780-4b17-b062-50507384f5ce</t>
  </si>
  <si>
    <t>e3a57085-5027-4193-90fd-91b31d51ffe8</t>
  </si>
  <si>
    <t>214cb42c-b964-4040-9c71-0251fb9a4a1e</t>
  </si>
  <si>
    <t>e8e2671b-ef4f-4d9b-a1b3-0b642a8eff25</t>
  </si>
  <si>
    <t>4d29e9ee-d620-4826-934a-0ad009294493</t>
  </si>
  <si>
    <t>ecb0426b-5580-4337-a6c4-add3b523895d</t>
  </si>
  <si>
    <t>83a192a7-6748-40bc-a60b-004e4a03e87b</t>
  </si>
  <si>
    <t>85420440-ebf6-49e6-af14-16079557b57a</t>
  </si>
  <si>
    <t>57212dcb-1d06-4d90-8679-277113d72959</t>
  </si>
  <si>
    <t>69f107ad-0d39-475d-850e-6d718d486ae4</t>
  </si>
  <si>
    <t>18a5612d-f555-46c6-ad9a-ec247c068c0e</t>
  </si>
  <si>
    <t>cc8ec647-33c7-46cf-af2b-141363c9314f</t>
  </si>
  <si>
    <t>63c3d866-4c2f-4b50-9e58-332a2bbea4e5</t>
  </si>
  <si>
    <t>981b303b-c6cd-438a-9e2a-d360db261b75</t>
  </si>
  <si>
    <t>b6a5e8ca-ccd7-4fca-a1d3-949bffc746cf</t>
  </si>
  <si>
    <t>c3bb2207-5913-4675-9977-5a1a64de72e1</t>
  </si>
  <si>
    <t>ac6d762a-91b1-494e-9ce5-cdccfd177f90</t>
  </si>
  <si>
    <t>9084d77f-70c5-4e36-91f5-57f8f36c20c7</t>
  </si>
  <si>
    <t>b2bf8c40-7a2a-4695-8a51-354e6021337e</t>
  </si>
  <si>
    <t>75213958-6f81-4fc1-a446-5eafb01dca12</t>
  </si>
  <si>
    <t>ead37a59-af0e-4cd8-a764-f2cdbe727457</t>
  </si>
  <si>
    <t>91b02759-584d-4f29-b1a4-5818311708d1</t>
  </si>
  <si>
    <t>2b8e4729-3d02-40e1-86ba-7cb9241b7f80</t>
  </si>
  <si>
    <t>10fe2d39-3e7a-4fd6-afef-fd7885f1fd16</t>
  </si>
  <si>
    <t>8f256cb4-eb43-4eaf-a0f9-ee1436424b70</t>
  </si>
  <si>
    <t>47787f39-8e7e-44fb-b179-442e3735f82f</t>
  </si>
  <si>
    <t>b6083e69-466b-43ff-bd61-d835ff91dfae</t>
  </si>
  <si>
    <t>225a3fb2-e273-4726-a0f3-0fea1aa6f0c9</t>
  </si>
  <si>
    <t>bdfa953f-4810-434e-a574-205313689450</t>
  </si>
  <si>
    <t>9f3553ad-d5b2-4d08-85f8-1560403a619d</t>
  </si>
  <si>
    <t>11ea4551-84fd-4d94-b679-4a8f5d4fd69a</t>
  </si>
  <si>
    <t>6a2c245c-1c2b-4aab-8133-182c39000b3a</t>
  </si>
  <si>
    <t>435ccceb-38f8-40a8-86eb-7629bd3d9c54</t>
  </si>
  <si>
    <t>437ee4e8-fc39-4e80-99a5-3e8aa461522a</t>
  </si>
  <si>
    <t>3a541439-f431-4fbc-9f60-8434d47eaae8</t>
  </si>
  <si>
    <t>28c544f1-3e87-4ae2-bd03-8bb94284b82c</t>
  </si>
  <si>
    <t>9927198c-86e3-4f28-a6ce-397acc4caf69</t>
  </si>
  <si>
    <t>2381eca7-1a48-4bfb-8dab-c7a632ed0058</t>
  </si>
  <si>
    <t>c6e7dcc7-f791-40a3-ac2e-7604b3a98468</t>
  </si>
  <si>
    <t>0986188b-fb15-47a9-afc2-8a22c131768f</t>
  </si>
  <si>
    <t>51846af3-4ee8-4383-b77e-c7941ff99e4f</t>
  </si>
  <si>
    <t>872edb94-4351-4086-b95a-9e27431cc43f</t>
  </si>
  <si>
    <t>5387eb2d-2e8e-47aa-a12f-9202951e5f69</t>
  </si>
  <si>
    <t>887211af-46f5-4170-b67d-ae4b857a3e02</t>
  </si>
  <si>
    <t>19cef185-673b-4519-9fb2-cd85a59f6528</t>
  </si>
  <si>
    <t>398c5457-acaa-41b1-887c-eb2b44578430</t>
  </si>
  <si>
    <t>87224324-13d4-4c0c-b5a2-8f782c47cccd</t>
  </si>
  <si>
    <t>67cf164d-d961-4310-8646-8b5792f20876</t>
  </si>
  <si>
    <t>5c55ebb6-04ac-4d5d-9d7c-32ea910c88ba</t>
  </si>
  <si>
    <t>de02cddd-08a6-42fe-99bc-06cc033f2bd5</t>
  </si>
  <si>
    <t>d625591a-3bbc-429e-a938-e0c608d79b57</t>
  </si>
  <si>
    <t>51902957-4d34-4297-ae4b-fb94b2467e14</t>
  </si>
  <si>
    <t>42c50042-91a6-424a-b693-29d883255e61</t>
  </si>
  <si>
    <t>5ad29c73-f218-4cb0-b44c-628973888c49</t>
  </si>
  <si>
    <t>226c0013-0f4e-437e-a087-e806934fc1fb</t>
  </si>
  <si>
    <t>5952e659-bab6-482a-96c4-f44b828be07a</t>
  </si>
  <si>
    <t>07cbc13d-c375-4955-a2a8-15fd519c8740</t>
  </si>
  <si>
    <t>dbb5d434-8a56-41f9-87eb-1cf8dc563b1b</t>
  </si>
  <si>
    <t>40f121cf-8cc7-4e5a-bf91-dfa99f774bca</t>
  </si>
  <si>
    <t>4be265b7-f86a-4d63-913d-f15259bbc9ad</t>
  </si>
  <si>
    <t>4b9cde42-026c-4e54-a2d5-c417ffca15ac</t>
  </si>
  <si>
    <t>cd892f9f-b0e1-4c18-b7da-e733c906f25a</t>
  </si>
  <si>
    <t>207339d4-84f7-4562-aeab-481ca61807c6</t>
  </si>
  <si>
    <t>755f3ee0-6334-4300-8117-dd9d43d6b113</t>
  </si>
  <si>
    <t>5cd4bc7f-42fe-4ca5-8903-f154b5473974</t>
  </si>
  <si>
    <t>803b8187-d2cd-405e-9016-a8aa418384e1</t>
  </si>
  <si>
    <t>61ed2c75-3159-4640-9a7f-adbdcd9f6144</t>
  </si>
  <si>
    <t>47ef1fd4-7788-481e-829c-abd737dbd61f</t>
  </si>
  <si>
    <t>2820c5f3-3394-45aa-930f-e4e26a781c66</t>
  </si>
  <si>
    <t>3080b07c-545a-4370-9485-b288de08764f</t>
  </si>
  <si>
    <t>c0874a78-dcb0-4a64-b41d-1995f7c54cab</t>
  </si>
  <si>
    <t>c2edf117-ec72-4ee9-bf3c-bb67ea3ce636</t>
  </si>
  <si>
    <t>8eebe75f-d578-48f5-9c59-5a5864dfa1c2</t>
  </si>
  <si>
    <t>d87c00e4-e192-46ea-a7cf-353a90d06715</t>
  </si>
  <si>
    <t>10d5f159-a06d-4c0b-8ca6-20231beefa15</t>
  </si>
  <si>
    <t>7ffed6ac-db02-4e27-9368-551fb7b66687</t>
  </si>
  <si>
    <t>c8a454e7-9cfd-41de-a06e-f0251becf007</t>
  </si>
  <si>
    <t>2f7bc8a8-1433-4c9e-976d-02584059d9c4</t>
  </si>
  <si>
    <t>724af657-0df2-4775-8850-9e3cd124f620</t>
  </si>
  <si>
    <t>5c4b45aa-9549-406c-9b5a-efbc6faf2a36</t>
  </si>
  <si>
    <t>19ff99c9-4347-4ec5-9ba7-d9680a0268a6</t>
  </si>
  <si>
    <t>f933c9ef-6e58-4e70-b20d-e7d40e7c0ea2</t>
  </si>
  <si>
    <t>e334edac-479f-4209-a523-985d5244f439</t>
  </si>
  <si>
    <t>76cf661d-95cb-4b43-bd4e-a2fb1e1ca16c</t>
  </si>
  <si>
    <t>2736897f-a383-4813-bb71-2a3b303dc1be</t>
  </si>
  <si>
    <t>d178f7f4-f66b-4f59-8ab8-d15e9b51a915</t>
  </si>
  <si>
    <t>14505c8a-5d16-4808-8a62-75fcdfbb28d1</t>
  </si>
  <si>
    <t>a20bd2c0-01c9-46f2-883e-addc3a0b0ab3</t>
  </si>
  <si>
    <t>3a85cb4f-fbe6-43cd-9e48-561e968a38ba</t>
  </si>
  <si>
    <t>df6931fb-0022-4c8a-a665-d7a6fa7e896d</t>
  </si>
  <si>
    <t>a4cfac30-906c-46c6-9613-799375ab5c8a</t>
  </si>
  <si>
    <t>4accb3d6-cb3e-4912-955e-5c7ab5b2f60a</t>
  </si>
  <si>
    <t>ee1c6064-32f6-488d-b0c5-e7ff7fc46d64</t>
  </si>
  <si>
    <t>d3b41960-c2b4-4bf5-92cb-243fd3dd3839</t>
  </si>
  <si>
    <t>88007999-8185-4c2c-8bb7-019af9a4268a</t>
  </si>
  <si>
    <t>bbc959b5-3e2d-486d-afe6-f5604ccd8353</t>
  </si>
  <si>
    <t>c7070081-a154-4414-b413-bef90b05e624</t>
  </si>
  <si>
    <t>0048f001-a72c-4307-8f2d-3820bdf4ed80</t>
  </si>
  <si>
    <t>37d89df6-e945-4365-b6bf-f153ff42dba6</t>
  </si>
  <si>
    <t>81264692-e2fd-4344-9f2b-0826d6bb7edf</t>
  </si>
  <si>
    <t>0b23f53c-b88a-4f84-9ad7-a5c6c58468c1</t>
  </si>
  <si>
    <t>baf77c0b-ae75-441e-a9ca-10dcb0ca8a86</t>
  </si>
  <si>
    <t>e6f30248-cada-456a-9bad-60136760979b</t>
  </si>
  <si>
    <t>07b6de05-0028-418a-9e1c-09a345bd813c</t>
  </si>
  <si>
    <t>a07f537a-651f-4bfd-894c-91d437fe5a2f</t>
  </si>
  <si>
    <t>49d28e48-9b37-4e3d-b921-06b3c1ff01f3</t>
  </si>
  <si>
    <t>005bfa8f-2b5b-4b77-8285-3bf38fc632da</t>
  </si>
  <si>
    <t>6463ec75-e456-45e7-8cfb-a377f3842234</t>
  </si>
  <si>
    <t>acccbbd5-848f-4151-a9e8-33e653d4e494</t>
  </si>
  <si>
    <t>31f056a8-4f89-4d97-a971-d157f79285c2</t>
  </si>
  <si>
    <t>86222aa8-5671-4c15-b626-a0b47e66afcf</t>
  </si>
  <si>
    <t>3a338129-8b57-498d-b986-04c650132c87</t>
  </si>
  <si>
    <t>119a8e37-6e68-4055-b5bb-012e97bc9ffb</t>
  </si>
  <si>
    <t>8cb6d729-372a-415e-a63f-7460bf042fb5</t>
  </si>
  <si>
    <t>6cdf0799-8c0c-40af-8522-41cb8dedbd76</t>
  </si>
  <si>
    <t>fd0ef1ea-371a-4e71-8fb7-c9a05f7ccd03</t>
  </si>
  <si>
    <t>0d84a40e-1adf-46a9-850f-312e3efd401b</t>
  </si>
  <si>
    <t>3fede56d-0d7a-4aa2-93b7-acc1341f620b</t>
  </si>
  <si>
    <t>c55bd57e-3c4f-495c-be97-d55c21b22f6f</t>
  </si>
  <si>
    <t>7b4e29be-baa8-42c4-a7e8-3a707d8ef336</t>
  </si>
  <si>
    <t>00e9f683-9379-4296-a5a6-76bc2c9dd117</t>
  </si>
  <si>
    <t>3c9f262f-a793-4935-8967-c74dbadf9938</t>
  </si>
  <si>
    <t>a70e3fc7-66f5-4ab7-ac53-4875558a9a48</t>
  </si>
  <si>
    <t>fb35081c-372b-46f2-afb1-a239c1ca535b</t>
  </si>
  <si>
    <t>c214a79d-72d0-4384-8a5a-619721b76c8e</t>
  </si>
  <si>
    <t>0090f79e-a776-489a-9112-5f71e7870f94</t>
  </si>
  <si>
    <t>df3978cc-64e6-4e40-9cd3-10a6a5dda843</t>
  </si>
  <si>
    <t>174b96de-7b2d-4934-a5a0-35ba2d435c5a</t>
  </si>
  <si>
    <t>69aedea2-3081-4c29-805a-c76edff4c5a3</t>
  </si>
  <si>
    <t>0bd8dee5-47a9-4349-9d55-e109f81d4394</t>
  </si>
  <si>
    <t>593b2af6-e882-4129-8c49-1deddd7278fb</t>
  </si>
  <si>
    <t>cfe10e0f-1aac-495b-b869-4af2359dbb3a</t>
  </si>
  <si>
    <t>a65d3fbe-d5b0-4ac7-840c-fdca8d9a9379</t>
  </si>
  <si>
    <t>3fa23200-518c-4593-983c-1114bf8ee2e7</t>
  </si>
  <si>
    <t>75994c2a-9f9a-4701-b51d-ad8b7e3787cb</t>
  </si>
  <si>
    <t>b96865dc-ec6f-42ff-8d8b-9a0bf7d5b6be</t>
  </si>
  <si>
    <t>99700d41-55b7-4d78-acd3-86a1060d880c</t>
  </si>
  <si>
    <t>14032ec1-bd28-4b6e-8baf-e87a673489b1</t>
  </si>
  <si>
    <t>c73888d0-47c7-49e4-ac1f-8c525c426907</t>
  </si>
  <si>
    <t>99ac905d-c892-41e1-b9dc-619aace2175a</t>
  </si>
  <si>
    <t>d7f8474a-aa5c-452d-b85d-c86132f7e5c0</t>
  </si>
  <si>
    <t>236586ff-c75c-4dfa-b787-19a63e0b4dbd</t>
  </si>
  <si>
    <t>30bc483c-87d9-4a9a-9863-6eb5c6bdcb66</t>
  </si>
  <si>
    <t>374de352-5868-4026-b9fb-57fd075b1fb3</t>
  </si>
  <si>
    <t>bb31bd8f-7d63-4280-ada1-f1e832fcfdd6</t>
  </si>
  <si>
    <t>71c014eb-50d0-488e-9f41-b4db638f20be</t>
  </si>
  <si>
    <t>eaafa153-5c55-4d3b-897c-ef6198ece521</t>
  </si>
  <si>
    <t>5d64d061-91f4-4dd9-ab18-93007717e295</t>
  </si>
  <si>
    <t>2e409def-802a-4a41-9972-8c8864802af3</t>
  </si>
  <si>
    <t>4d71c035-c5c9-4da6-907e-171241ea0922</t>
  </si>
  <si>
    <t>93a74dd5-ab90-4ce9-a0b9-8eb45b50e030</t>
  </si>
  <si>
    <t>8f6ce173-fad9-4b9f-bb9c-54cf1f37d6ef</t>
  </si>
  <si>
    <t>9db403c5-08c3-4cee-8e71-59423d132195</t>
  </si>
  <si>
    <t>a8f4a8ea-a8a6-4ebb-bcd8-b22e7da612a5</t>
  </si>
  <si>
    <t>b4866929-b3fb-47af-a191-0afaf68d14c8</t>
  </si>
  <si>
    <t>941a7320-7c18-442a-9184-f56d633b7b8e</t>
  </si>
  <si>
    <t>abb4775a-faff-43c3-8d78-641ec98033a8</t>
  </si>
  <si>
    <t>f234490c-9b75-4956-9efa-ed1c14b00599</t>
  </si>
  <si>
    <t>a5796917-05b1-456c-8d56-a2d396ebfcf2</t>
  </si>
  <si>
    <t>8c15047a-4ddf-4b9b-9f42-5e616af49dc1</t>
  </si>
  <si>
    <t>1d4d7280-ee29-4030-8773-d70bea7b2b3b</t>
  </si>
  <si>
    <t>58bf1357-6164-4e5f-a325-69d1bbd93289</t>
  </si>
  <si>
    <t>919cd49b-f1e4-4deb-82e8-ed7db297d9b8</t>
  </si>
  <si>
    <t>2f4b3f98-c2e9-49e2-bc44-5bfd637d4dec</t>
  </si>
  <si>
    <t>18886a51-c0a1-4984-90d4-d4a65e31e03b</t>
  </si>
  <si>
    <t>11ff4157-7112-460a-b2f0-b74ee12ee607</t>
  </si>
  <si>
    <t>61ad71a3-40b3-487a-9f6d-38a74144f87b</t>
  </si>
  <si>
    <t>70b1a663-57dc-4d65-8665-808f618abbba</t>
  </si>
  <si>
    <t>8790e02e-d917-4c2b-bcae-249e1597109c</t>
  </si>
  <si>
    <t>2f38faa5-6695-40e3-892a-ecd94ff19800</t>
  </si>
  <si>
    <t>75f21653-1613-4eb8-92a6-5b82721d96df</t>
  </si>
  <si>
    <t>6a427566-52a2-4932-9486-979c1bc514d8</t>
  </si>
  <si>
    <t>904460bb-b5a1-4450-bc0f-5fec7fd21583</t>
  </si>
  <si>
    <t>5fd7658b-f5bb-462e-b9e4-86a4485b0fb0</t>
  </si>
  <si>
    <t>9e060381-f27b-4fbf-b098-6415f3eb4bbb</t>
  </si>
  <si>
    <t>5c4d8663-35c7-4f51-a930-5b1a7059a8b0</t>
  </si>
  <si>
    <t>1934ae7e-6f01-40d2-a15c-ee3db2650f99</t>
  </si>
  <si>
    <t>9eacdfae-16bb-4a84-8c31-dd5976efb95f</t>
  </si>
  <si>
    <t>9f085e5d-c6b2-4ec1-a43f-1307f1f59222</t>
  </si>
  <si>
    <t>444b694b-d1b2-476b-98d7-f05298e37b91</t>
  </si>
  <si>
    <t>e5fa0aa5-41a0-4c47-8547-4d9600229701</t>
  </si>
  <si>
    <t>4937c49d-70db-459d-b2d1-ac7f33f0dfc5</t>
  </si>
  <si>
    <t>3d36ed49-a4f4-4fb2-80ea-f90f048bc0e1</t>
  </si>
  <si>
    <t>e5a706a6-0a02-4a59-93ae-8d86ea5fcb6e</t>
  </si>
  <si>
    <t>511d9a10-669b-4283-bc6d-40c10a595b43</t>
  </si>
  <si>
    <t>92bd3cd1-3724-4b30-a56c-4929277c2461</t>
  </si>
  <si>
    <t>68be0bb5-a6ed-4dfd-889d-0e116265290d</t>
  </si>
  <si>
    <t>bfe8f1a3-00d5-436f-b79a-553651c553f7</t>
  </si>
  <si>
    <t>f4fc7c39-6b78-4437-ab00-8ab2957f73f7</t>
  </si>
  <si>
    <t>7d7ec060-ca0f-4371-a86a-69bf262b94bb</t>
  </si>
  <si>
    <t>bce13731-9d24-4bbe-9b0f-97221e952048</t>
  </si>
  <si>
    <t>489dcbd1-474e-42b6-878e-f62c181860f6</t>
  </si>
  <si>
    <t>571102fa-b9c7-4e1c-8e0f-bc6642d36cb0</t>
  </si>
  <si>
    <t>e5ba5dd3-a246-4526-9616-662dd7188e7c</t>
  </si>
  <si>
    <t>b4aae09c-528f-445d-afb3-68ab027b8d48</t>
  </si>
  <si>
    <t>0210bc7e-5a01-4a6b-b3c1-8c1a332ab7f6</t>
  </si>
  <si>
    <t>e5e25330-3900-43bf-a8e2-45a13d1ec806</t>
  </si>
  <si>
    <t>95c88693-4388-4ab9-bd37-c917bc4c8d1d</t>
  </si>
  <si>
    <t>3e87afc6-292d-4a8b-8399-1a8fe6aad089</t>
  </si>
  <si>
    <t>8e57aa17-60f6-4c7e-9e15-a886a240c4d7</t>
  </si>
  <si>
    <t>e16e6ae0-8e67-4b63-80a5-a0f7e8801ed7</t>
  </si>
  <si>
    <t>cb219c7b-8d77-454d-8967-2b4529a0e172</t>
  </si>
  <si>
    <t>abf01a4a-4b6f-477f-943c-7189c33cd6cc</t>
  </si>
  <si>
    <t>520074a5-0028-44e4-b17a-199d74134190</t>
  </si>
  <si>
    <t>b64e1a04-ef14-4a6c-ad72-640a941c2612</t>
  </si>
  <si>
    <t>b963a331-91ee-4a6a-9d9c-208788c49074</t>
  </si>
  <si>
    <t>2f55007a-9682-4109-8431-2fa060e85673</t>
  </si>
  <si>
    <t>17874397-5431-4e69-9bf9-19d705faab2e</t>
  </si>
  <si>
    <t>d3975aa1-9bf5-45a5-9375-ff6ced50de42</t>
  </si>
  <si>
    <t>22266a98-3d16-4f4e-b382-ffa5d3aed831</t>
  </si>
  <si>
    <t>44d3397a-806f-43c1-8907-aa8c27ed8079</t>
  </si>
  <si>
    <t>521382de-978e-48ad-b161-5d8ab6b7234e</t>
  </si>
  <si>
    <t>72601ad7-f6b1-4f64-8c07-f1a0a787a386</t>
  </si>
  <si>
    <t>ab5b6ce1-4472-4987-b7ca-dd71334f9592</t>
  </si>
  <si>
    <t>697ba97e-0ab7-465c-8c43-87a7e484dfac</t>
  </si>
  <si>
    <t>c1d6b7a6-e749-43fc-8430-e0f0057aca5f</t>
  </si>
  <si>
    <t>a683a981-d35f-49f3-9b9a-a8ad04fd7b16</t>
  </si>
  <si>
    <t>5548db44-9939-45ea-8cde-6dd44b0d8036</t>
  </si>
  <si>
    <t>30add045-ab3e-4753-abfa-c317ec02730a</t>
  </si>
  <si>
    <t>ec4fcd72-7a49-473c-85ca-390fc9e57d52</t>
  </si>
  <si>
    <t>6c7026ab-704b-4d7d-b658-66432e78fbf8</t>
  </si>
  <si>
    <t>aeb6a179-a31d-4430-9d79-388dbd8b552f</t>
  </si>
  <si>
    <t>60334592-83df-4b11-a2e1-da7ded2535aa</t>
  </si>
  <si>
    <t>1b829a44-ed16-4913-aac5-28506c92e0a9</t>
  </si>
  <si>
    <t>55aa7135-3268-48a1-a965-0fac4eddb7b8</t>
  </si>
  <si>
    <t>2ad8b82e-2168-47f7-9744-e845a8e48a18</t>
  </si>
  <si>
    <t>b88a132f-9afd-4eb8-9e78-2d359cc78a22</t>
  </si>
  <si>
    <t>2d25d85a-6085-4ad8-ae08-1a4d21b7c05b</t>
  </si>
  <si>
    <t>51ba57c9-cf31-4241-9a54-ad1abaf17326</t>
  </si>
  <si>
    <t>a8f8a526-8289-46fc-83a3-9717a64af759</t>
  </si>
  <si>
    <t>2975d560-cd13-47c5-8216-f8847177ed85</t>
  </si>
  <si>
    <t>edaac9b2-7788-4cc2-bcae-8cf07f8afb3a</t>
  </si>
  <si>
    <t>55987346-c6e1-4766-8226-74d0fcf02ff5</t>
  </si>
  <si>
    <t>feca176b-1ae3-47f9-82d6-ebee151dcd65</t>
  </si>
  <si>
    <t>70877fd0-301a-4021-9bca-539c1833ae4d</t>
  </si>
  <si>
    <t>bcae9b58-6081-44e3-8dec-26406f6835e7</t>
  </si>
  <si>
    <t>0e9c2a39-12f4-4bf6-be86-deaccd099fec</t>
  </si>
  <si>
    <t>c0d2bb59-f5bb-4da4-88ed-9d670e2ec727</t>
  </si>
  <si>
    <t>1bc58c87-ff12-4ead-995a-c2c35062e450</t>
  </si>
  <si>
    <t>eec8b59a-4325-43d3-9308-fc5cc94830fa</t>
  </si>
  <si>
    <t>6ef3d5c9-1d7f-4100-9b17-22a554e8caad</t>
  </si>
  <si>
    <t>287ec5fe-48e9-4538-b9c9-71bf23aa8781</t>
  </si>
  <si>
    <t>036b4a5f-d26d-40e3-ba14-669a725bdb1f</t>
  </si>
  <si>
    <t>0691d9e7-92de-4dc5-ae11-64824edbf9e0</t>
  </si>
  <si>
    <t>099473b4-b27c-4cf8-9bb1-862c639701f3</t>
  </si>
  <si>
    <t>0ac19238-cb50-4882-b4bb-3d068dc29494</t>
  </si>
  <si>
    <t>8728e75d-5ce9-4a44-b6ab-f53ffaacf6c5</t>
  </si>
  <si>
    <t>8050afa7-ecbe-4ad4-a793-50f42ab423d3</t>
  </si>
  <si>
    <t>5ed9091c-6b7e-4351-b526-d57df230b26d</t>
  </si>
  <si>
    <t>4d37690f-3d7f-4aae-9b34-9a45b65cf63d</t>
  </si>
  <si>
    <t>81a2a8c7-3f1b-47be-b787-9730e6874b3b</t>
  </si>
  <si>
    <t>b1b17c62-0907-4594-8477-b6d9a1de203c</t>
  </si>
  <si>
    <t>41667e6f-421b-44dc-a22e-6f49d64d11c7</t>
  </si>
  <si>
    <t>7987069d-efaa-4d6b-bf85-de78408157c5</t>
  </si>
  <si>
    <t>f6790d45-e49b-478e-9535-ee8ce7ef1cdf</t>
  </si>
  <si>
    <t>a4a081bf-78e0-49f2-b13d-edb25ab7ea32</t>
  </si>
  <si>
    <t>3a705431-53dc-4ec6-a4e5-2960228a1ad8</t>
  </si>
  <si>
    <t>b9fd67cd-6bf0-4c9c-ab2f-2d3060247949</t>
  </si>
  <si>
    <t>1009cba1-e578-425e-99b7-0693b4024e29</t>
  </si>
  <si>
    <t>9448266e-01a1-472a-9fe4-37d4e1a6b7b4</t>
  </si>
  <si>
    <t>9c5addc5-de2b-4614-8efc-afc56a0ac20b</t>
  </si>
  <si>
    <t>fbf7eced-0008-448b-a601-d051971b1764</t>
  </si>
  <si>
    <t>7b929fce-23d0-4c91-886c-e9d3c60f2a03</t>
  </si>
  <si>
    <t>e938d06e-fcc5-4768-86d8-6aaf73f4fa35</t>
  </si>
  <si>
    <t>a5e54cb5-cab8-452b-9592-f2b83dadb4c5</t>
  </si>
  <si>
    <t>c7ef45c3-a8d7-4952-bf06-66e39f308471</t>
  </si>
  <si>
    <t>6e91dbee-b822-44c0-a014-a48a452ec9d0</t>
  </si>
  <si>
    <t>49d191d4-94d6-46a0-a47a-f36813b05dfb</t>
  </si>
  <si>
    <t>f500aa1d-d760-42ea-8cd1-725d5aa13413</t>
  </si>
  <si>
    <t>da1d94c9-af82-46ad-a2a3-112aa874e2c2</t>
  </si>
  <si>
    <t>6eaa7000-e450-4dbd-9eea-6abe53a3ccea</t>
  </si>
  <si>
    <t>14b8d5b4-acf9-4243-bfc7-371bfc3b67df</t>
  </si>
  <si>
    <t>5ff64e1b-5ffa-4f13-827c-62773ab1ab6f</t>
  </si>
  <si>
    <t>89931699-5ba5-434a-8dca-32e18d7dbd4b</t>
  </si>
  <si>
    <t>46621af8-c4ca-4079-87d7-a8b68c9461b3</t>
  </si>
  <si>
    <t>750a6638-3b93-407c-80b6-074f7b7e9673</t>
  </si>
  <si>
    <t>a1419778-cfb0-47d8-8e7a-bc5d093195d2</t>
  </si>
  <si>
    <t>4933b25d-6722-45b2-b706-e08605c11066</t>
  </si>
  <si>
    <t>24405e27-b8b8-4ef8-9cb0-c7974bd0dcd7</t>
  </si>
  <si>
    <t>3fb95ed2-0c85-4197-9463-622b3ca9a90c</t>
  </si>
  <si>
    <t>c414e639-5ea4-4481-b760-4c16636863fb</t>
  </si>
  <si>
    <t>f7b0c51e-0031-4647-900a-115a166b40b5</t>
  </si>
  <si>
    <t>17219697-8881-42f0-aba7-7ab8fdd11da9</t>
  </si>
  <si>
    <t>b4af5cfb-b811-4ec6-9b0e-b8fbf7de35b5</t>
  </si>
  <si>
    <t>9216565f-576a-44ed-9d7a-a8aab306d7fb</t>
  </si>
  <si>
    <t>7f00af18-e9a7-464e-a6b5-b9b10a54b27d</t>
  </si>
  <si>
    <t>931bee39-98db-4b72-9e52-f40e09e00738</t>
  </si>
  <si>
    <t>8c2d6f55-ade2-477e-b273-53e50b0a40b7</t>
  </si>
  <si>
    <t>6b1bf8c4-e894-4ba9-9fad-7497ef253b7f</t>
  </si>
  <si>
    <t>1a7ac656-bafb-4e6a-a5ac-ae0416f3dbe1</t>
  </si>
  <si>
    <t>6034d060-391f-4f38-9ff7-870fb4d6c241</t>
  </si>
  <si>
    <t>e1ba461d-21c7-4a8a-9629-d916d9b5cff7</t>
  </si>
  <si>
    <t>f0b6c5bd-f49e-4cd3-90f5-29b4b00a8ab3</t>
  </si>
  <si>
    <t>17570efb-4ba0-4b9f-8841-56492358c59a</t>
  </si>
  <si>
    <t>17d1f30d-33be-4bc4-ba78-8a57cdc8ef8d</t>
  </si>
  <si>
    <t>cf036ddf-1a7e-4a72-b1ea-55b11a87b482</t>
  </si>
  <si>
    <t>62bf9eae-d919-4c34-8bc2-2ffedcc4ec5d</t>
  </si>
  <si>
    <t>3b71b9da-ed2a-4bac-935d-60979792672e</t>
  </si>
  <si>
    <t>d4fa918c-1bfb-4a9f-ab36-2179e743db0b</t>
  </si>
  <si>
    <t>b585c7c3-46df-4c32-95eb-12551b1bb2d8</t>
  </si>
  <si>
    <t>91cf940b-4be6-4692-b46e-53cc59c3bc36</t>
  </si>
  <si>
    <t>1b5f4177-371a-4c9a-a4fd-46ccc96103dd</t>
  </si>
  <si>
    <t>cf0e854c-0608-40f6-b631-6b4d5f7a0ce9</t>
  </si>
  <si>
    <t>2c906f73-b731-418e-8097-95c0f874c3eb</t>
  </si>
  <si>
    <t>6843cc5d-4c0d-4a4f-a479-05001622c9bb</t>
  </si>
  <si>
    <t>4ffd8a27-1149-4b0c-a822-1da56b80b212</t>
  </si>
  <si>
    <t>dcece5b0-43e4-466c-9511-3fbae0a3b624</t>
  </si>
  <si>
    <t>56664bb3-161c-447c-a977-00f18bc4787d</t>
  </si>
  <si>
    <t>552546fb-dfc4-48e2-a13e-183c8fb7c18f</t>
  </si>
  <si>
    <t>da959d35-24c6-46e5-b52b-a2908e645ed7</t>
  </si>
  <si>
    <t>a4eaedbe-375c-472f-bf56-15f560afa034</t>
  </si>
  <si>
    <t>b9d07746-6aa5-48e1-9033-e37b45cefb34</t>
  </si>
  <si>
    <t>fcf7205d-ed92-45a1-a608-75f6a70e5ed7</t>
  </si>
  <si>
    <t>43e3cd1c-2c5a-4b3b-bd24-5a7d4ccd8bf2</t>
  </si>
  <si>
    <t>87c2892e-e449-40c4-b110-0824c85d14af</t>
  </si>
  <si>
    <t>ccada82d-8cc9-47a7-bc93-ac1b8fa07b8e</t>
  </si>
  <si>
    <t>5526ab76-d30d-4cdf-84cb-ff2d3217274a</t>
  </si>
  <si>
    <t>086a7a3f-9a89-42cd-8b47-ac858b72722a</t>
  </si>
  <si>
    <t>d6fde866-8dab-414d-93a6-44293e26c97b</t>
  </si>
  <si>
    <t>f2b16c7f-4760-4f1e-a4b2-b5e50e67fb27</t>
  </si>
  <si>
    <t>6e160b44-363a-4d57-bab6-5b22e979e887</t>
  </si>
  <si>
    <t>f0e8e312-3315-46d4-9475-d376bb231524</t>
  </si>
  <si>
    <t>3ee82784-d01b-44da-b1fe-bbfa81b78bf1</t>
  </si>
  <si>
    <t>27df865c-d4b2-4981-a525-360126dcd57a</t>
  </si>
  <si>
    <t>efd974fa-1dce-41ff-9d11-0d2f181559a0</t>
  </si>
  <si>
    <t>e2c3f40a-af6b-49bb-a8c6-85691505fae8</t>
  </si>
  <si>
    <t>8e595ac0-28a0-4178-b0bb-04b452326a5b</t>
  </si>
  <si>
    <t>e49a8c45-d0f3-40a4-bbdf-08134e2c2a91</t>
  </si>
  <si>
    <t>47f88627-cafa-48f1-be88-630ac9399313</t>
  </si>
  <si>
    <t>140050f4-0857-4a05-b012-34001d8114a6</t>
  </si>
  <si>
    <t>fae18ffd-0f18-453b-9a08-6af102c029fa</t>
  </si>
  <si>
    <t>25d38511-efff-416e-a92e-af59e71aedae</t>
  </si>
  <si>
    <t>37df711b-35ee-4ed8-83d2-922c80ffa1a1</t>
  </si>
  <si>
    <t>94db0386-f234-4ee7-8aa0-dcc0ff457278</t>
  </si>
  <si>
    <t>73133473-9657-49c2-b4f8-77b2380ca309</t>
  </si>
  <si>
    <t>e19f60cc-7e74-458f-9e37-12511d3a3506</t>
  </si>
  <si>
    <t>ddb44990-503f-4d57-b23e-81ee8e33e31c</t>
  </si>
  <si>
    <t>fefecab1-579c-48fa-8803-253dfbdf42d5</t>
  </si>
  <si>
    <t>46fd4297-b49a-45d6-a09d-19a26147e19a</t>
  </si>
  <si>
    <t>89c5d399-6c86-4310-b981-2bd58fc37e57</t>
  </si>
  <si>
    <t>f1506978-d456-462e-a6c7-85a160c9b82e</t>
  </si>
  <si>
    <t>165348b6-2c90-4d08-88c4-9c3a76076b85</t>
  </si>
  <si>
    <t>146bc219-473c-4813-9d27-f584962bdb44</t>
  </si>
  <si>
    <t>1715c4e4-7c56-4bcf-845a-4c366c39e8fc</t>
  </si>
  <si>
    <t>1986a40f-eb95-42f1-866c-0aa905972aa5</t>
  </si>
  <si>
    <t>eb982e0d-4adc-47a3-98e8-4e86a3befe48</t>
  </si>
  <si>
    <t>c469045f-ec87-42e4-82a1-be8e5bab2135</t>
  </si>
  <si>
    <t>b74f6b4b-a83d-4319-a121-99c5b4e1a7ed</t>
  </si>
  <si>
    <t>23d09f18-697f-4233-b1a5-6fe4513aab29</t>
  </si>
  <si>
    <t>b12d8725-09de-44f9-8b52-603ba1c99166</t>
  </si>
  <si>
    <t>c26d29b3-eac5-4ac4-82a5-116833c65582</t>
  </si>
  <si>
    <t>c53745c7-448f-4527-be6b-734d02c8548e</t>
  </si>
  <si>
    <t>a2147627-7d68-4461-8c26-3192b1252e0e</t>
  </si>
  <si>
    <t>dd2569d2-b6cc-474b-be8b-bc3dc7a5cb4a</t>
  </si>
  <si>
    <t>cd974314-1954-4de9-9813-63cb988be716</t>
  </si>
  <si>
    <t>7f3ea46a-0d94-46df-a668-471a6e468f64</t>
  </si>
  <si>
    <t>89fa6c7c-ab59-40a0-aab5-8a9c35733ad5</t>
  </si>
  <si>
    <t>0908b54f-538e-4a4b-bc5e-e93d4b529d8d</t>
  </si>
  <si>
    <t>e4d4a948-04d2-434f-a52c-ebc5151db43e</t>
  </si>
  <si>
    <t>edf8770b-4690-4b30-a9da-a5bc9ef3c615</t>
  </si>
  <si>
    <t>8571850d-e2cd-47a6-bc93-63f2d3f9cb30</t>
  </si>
  <si>
    <t>2b696005-f4d7-40c5-bcc3-587d2910a8e3</t>
  </si>
  <si>
    <t>77f8d2da-3f34-4a02-8780-fcaab801b7fb</t>
  </si>
  <si>
    <t>2986b2af-cafa-4e8e-84ef-935c90683c79</t>
  </si>
  <si>
    <t>23a6a866-d1a1-4929-9b5d-97c99ed39c80</t>
  </si>
  <si>
    <t>81572c13-a12d-4bf8-a510-5bdb12c9c16a</t>
  </si>
  <si>
    <t>1f89f505-ac3f-4538-9215-063c70b48b98</t>
  </si>
  <si>
    <t>dcf62189-400f-4b2a-afc7-9b673182c229</t>
  </si>
  <si>
    <t>3c84119c-5db9-4cbb-ac42-45757da0210f</t>
  </si>
  <si>
    <t>729ef660-eb97-4b5e-8765-4791dba2f754</t>
  </si>
  <si>
    <t>93ddd2c6-7761-44e5-a8b5-a43863575f33</t>
  </si>
  <si>
    <t>3c43176b-3672-4722-87a6-74a88692c573</t>
  </si>
  <si>
    <t>0e9cfc52-27cb-4fed-97cd-46f4bbacfa31</t>
  </si>
  <si>
    <t>973e84f5-3ef5-4309-9b37-2b4af45ed4b9</t>
  </si>
  <si>
    <t>0301dc2e-b1d8-46ad-a291-0f056e28896a</t>
  </si>
  <si>
    <t>e5bd752b-a772-4775-b45b-1f2fdd438ba7</t>
  </si>
  <si>
    <t>e33f6670-abe6-4931-8c94-3c94e8a9ce49</t>
  </si>
  <si>
    <t>ad445a45-e3da-485d-9d7c-d174bd6cb9fd</t>
  </si>
  <si>
    <t>23f24aaf-241e-4d60-a09e-7b0ca98bc162</t>
  </si>
  <si>
    <t>9fc308fa-66ba-46c2-ab5d-96a0592bfdb6</t>
  </si>
  <si>
    <t>535f3322-6658-449b-8cca-0942262d1c30</t>
  </si>
  <si>
    <t>df0faf6a-31a9-4e2a-bb49-3ec85a23da60</t>
  </si>
  <si>
    <t>ac816925-161d-46fb-94c9-1fd98990a8a9</t>
  </si>
  <si>
    <t>99ad0075-1330-459a-80ee-c657f8d65788</t>
  </si>
  <si>
    <t>46c6cf49-e8b6-475d-9252-218a53be060c</t>
  </si>
  <si>
    <t>d1beab45-e3a2-4cbd-84d3-15d4409cfab0</t>
  </si>
  <si>
    <t>421eaae8-990a-4421-be7e-b58f45b36d28</t>
  </si>
  <si>
    <t>28dd1332-f527-4429-88e4-2c54f09b4578</t>
  </si>
  <si>
    <t>2094b063-9307-43b4-93e2-c886a4267f3e</t>
  </si>
  <si>
    <t>32e6a570-0814-4ec5-9437-964eb1c0628c</t>
  </si>
  <si>
    <t>2f3049d1-4d2c-4843-a9c2-8fc9120b4c94</t>
  </si>
  <si>
    <t>67e5d466-d227-4f8e-9bda-0149ee523745</t>
  </si>
  <si>
    <t>373a5341-9fae-4e0f-b0cb-940c4142c903</t>
  </si>
  <si>
    <t>aac9ebfd-3df9-483c-8fa5-ff1d45671696</t>
  </si>
  <si>
    <t>44dbc1a9-eb73-4769-bb12-4664aaac9fd5</t>
  </si>
  <si>
    <t>96e05214-21b3-4450-ab7c-2722a75e519d</t>
  </si>
  <si>
    <t>d9e6a910-4984-4cba-bacc-406df78a9267</t>
  </si>
  <si>
    <t>46251140-d9fd-4ce3-b8dd-fb44601072b2</t>
  </si>
  <si>
    <t>34b11349-c05d-4937-a515-141c02818f64</t>
  </si>
  <si>
    <t>07aaee5a-c849-49f0-bc95-4ec089ebd3fd</t>
  </si>
  <si>
    <t>e7ef30c9-36eb-4033-ba19-2baf2f0563c8</t>
  </si>
  <si>
    <t>39047018-dbfe-4cd5-8d42-abef35b1be4a</t>
  </si>
  <si>
    <t>91218fe1-6859-4876-80f7-d6165cbd7bd0</t>
  </si>
  <si>
    <t>6c6c1bb7-6107-461d-ae34-e6759269a77d</t>
  </si>
  <si>
    <t>03c16f8b-64ce-4d37-9afe-f7a7359a10b8</t>
  </si>
  <si>
    <t>24f1f8ac-6d0e-4447-a0db-c3ab27251400</t>
  </si>
  <si>
    <t>4264a846-1da0-44d8-b472-dee73a80502e</t>
  </si>
  <si>
    <t>027c06c0-4dec-43d4-91eb-d2a5a70f92e0</t>
  </si>
  <si>
    <t>fb5cc622-695b-4447-b65e-173ed40be7fd</t>
  </si>
  <si>
    <t>7344e8a9-c160-4f84-9215-54be55f8b369</t>
  </si>
  <si>
    <t>0690ee56-dbe2-4187-9a3b-db22c49cea51</t>
  </si>
  <si>
    <t>72c79df9-fe17-4b36-887c-9ac68890f255</t>
  </si>
  <si>
    <t>34795a37-7635-423e-9ecb-56194c0ee1ef</t>
  </si>
  <si>
    <t>504c17d7-19fd-456d-a80e-b60c45ce6e7f</t>
  </si>
  <si>
    <t>64d66fab-5ec1-4ae5-9010-b72c1aefa827</t>
  </si>
  <si>
    <t>15f35d98-ef62-4252-a44a-98483ecfdc6b</t>
  </si>
  <si>
    <t>381b9550-7403-48dc-bcff-6dad9fc2fa87</t>
  </si>
  <si>
    <t>3ead40cc-03a1-4cf8-abf1-cfed74120c33</t>
  </si>
  <si>
    <t>91f3fee3-3140-4e9a-a53e-b7cd3160bbb8</t>
  </si>
  <si>
    <t>35eda14f-a4c1-4e4d-a0ff-48d5f47d6cd0</t>
  </si>
  <si>
    <t>ac468cbb-0f55-48fd-978f-33519d3c4e8f</t>
  </si>
  <si>
    <t>4d1f6b5b-7652-4e4e-b63b-a8bc84930962</t>
  </si>
  <si>
    <t>0c23ddf6-2f6f-4738-bbbe-d03878cef662</t>
  </si>
  <si>
    <t>85b672b9-5979-4d69-a17e-9fab8ddf7175</t>
  </si>
  <si>
    <t>f2cd737b-75dc-4064-bd5c-de2ee6af51c9</t>
  </si>
  <si>
    <t>5b1eeeb3-53e3-4ae2-bcfb-2b0d60e1a21c</t>
  </si>
  <si>
    <t>6c63319f-2d29-4cd8-ae08-7d646783282a</t>
  </si>
  <si>
    <t>ef8a5d14-205a-47a3-a595-acef403bffa7</t>
  </si>
  <si>
    <t>af35351d-11cc-4c32-8b3c-6d477cb05b19</t>
  </si>
  <si>
    <t>cfe60bd5-d9f0-4eb7-bd59-3358e35bca91</t>
  </si>
  <si>
    <t>2c9b21d9-8b8d-4e69-bb70-e20d34b16983</t>
  </si>
  <si>
    <t>1211c375-77c5-456b-b087-adb685025dd0</t>
  </si>
  <si>
    <t>e093d405-4d3f-489f-969f-6c14fcac2a33</t>
  </si>
  <si>
    <t>25790560-f785-425f-a426-fd3545fc21ad</t>
  </si>
  <si>
    <t>ffbe0e7c-9921-4107-9d4c-f75a1a70ac2a</t>
  </si>
  <si>
    <t>7d0a7427-093b-4583-9b8e-13162463ad6a</t>
  </si>
  <si>
    <t>08d9dcda-cbfc-4b6b-adc8-658ae78cdcf3</t>
  </si>
  <si>
    <t>5d798ad1-efc9-4cfe-99af-7dcae34b5c0e</t>
  </si>
  <si>
    <t>acb5b541-437d-4150-9562-2639a38159db</t>
  </si>
  <si>
    <t>643494e4-afe5-405d-b0e2-daec487796a3</t>
  </si>
  <si>
    <t>96845736-2edd-450d-8678-2d935b5b3f09</t>
  </si>
  <si>
    <t>42fb7dc0-56cd-426e-8c8e-19808925ea59</t>
  </si>
  <si>
    <t>2024bd7e-e873-48c0-9e44-5c66143e14a2</t>
  </si>
  <si>
    <t>28e30bf4-e7c0-4579-9c38-0aee5d5ea3f2</t>
  </si>
  <si>
    <t>196f5f4b-47a8-496e-9ddb-9299912fd698</t>
  </si>
  <si>
    <t>4b1c7681-3221-44aa-82c7-02aebdd20434</t>
  </si>
  <si>
    <t>179fd5bc-99d7-42ca-96e9-194c7c1068be</t>
  </si>
  <si>
    <t>ecd368fd-0a23-436c-b18c-f79fa8d974c1</t>
  </si>
  <si>
    <t>faddd042-b338-4999-ab4a-21667a8aff99</t>
  </si>
  <si>
    <t>3fd47b85-cf5a-414e-9929-7ed51be738ab</t>
  </si>
  <si>
    <t>548084c6-48aa-4110-ae71-02c2cd0640d8</t>
  </si>
  <si>
    <t>200744fd-339d-46b7-bdd7-75f6311d10c2</t>
  </si>
  <si>
    <t>4f3c78e6-9e90-4601-bece-377f38567cef</t>
  </si>
  <si>
    <t>faf264ee-c0a0-400b-9d77-353c6ced1a8c</t>
  </si>
  <si>
    <t>44e14173-268c-47b3-b10d-35e655f1b8d5</t>
  </si>
  <si>
    <t>f0e9091e-2431-4ab8-8bb9-444c5c39c800</t>
  </si>
  <si>
    <t>1f0b6300-2576-4798-bd4a-7645fc55445b</t>
  </si>
  <si>
    <t>514c1267-5be8-4418-9efb-f7999a11f894</t>
  </si>
  <si>
    <t>ec5781d8-464a-454c-baff-392f96621e07</t>
  </si>
  <si>
    <t>4c9eda19-2bb3-43e7-8e1c-0a0ff9357bd4</t>
  </si>
  <si>
    <t>910c5164-93ec-4e31-88ad-549868476466</t>
  </si>
  <si>
    <t>2d4805d4-31be-4eb1-940d-a328774e9e5d</t>
  </si>
  <si>
    <t>d2d6b334-a048-454e-a756-1d925a2445eb</t>
  </si>
  <si>
    <t>f3246e5b-ec85-446b-bcf2-30b15de58d9d</t>
  </si>
  <si>
    <t>346ab0c2-f11d-4a08-a0ef-7694363f3ae0</t>
  </si>
  <si>
    <t>6e50444c-6c08-423f-b720-847af215bd41</t>
  </si>
  <si>
    <t>5e0f5d5f-f7b8-4ad4-a56f-22b2bb3c43e4</t>
  </si>
  <si>
    <t>a48287db-3d2e-40a0-a0b8-8675d4589388</t>
  </si>
  <si>
    <t>26622754-7436-4bf5-adea-04a292f06216</t>
  </si>
  <si>
    <t>abd4eaa5-969c-4035-bd81-b98533442ae0</t>
  </si>
  <si>
    <t>faf370da-6bed-4d99-aa01-15b0f2868a9e</t>
  </si>
  <si>
    <t>28b8c898-187c-49cb-b827-d91fd93bec70</t>
  </si>
  <si>
    <t>049ec9ab-b09f-461c-b774-5810bc5789c9</t>
  </si>
  <si>
    <t>18529d93-893a-4903-8289-5bc00dfbbbc6</t>
  </si>
  <si>
    <t>1303b7b6-6ec5-4e7a-af22-ea429515357d</t>
  </si>
  <si>
    <t>654260fa-24d7-4f03-b32c-f5ab977a1031</t>
  </si>
  <si>
    <t>301e8131-5946-4245-ba48-2dc3fd552cb8</t>
  </si>
  <si>
    <t>ffd7a77d-7608-4dbc-82d1-c2d4d1d5d132</t>
  </si>
  <si>
    <t>b2b3bbdb-482c-4388-b355-c728f9da748f</t>
  </si>
  <si>
    <t>1f796607-be06-4e6a-a102-2efc78b1ca16</t>
  </si>
  <si>
    <t>bfa02557-5441-4042-8137-793c43a422e8</t>
  </si>
  <si>
    <t>f6907862-a9fd-4a23-aae1-6edbf491d7f1</t>
  </si>
  <si>
    <t>5144a8df-7f6d-4e84-9022-66f39e58bb68</t>
  </si>
  <si>
    <t>7b0d81cd-c249-4d2d-9cdc-6ee9d85ed283</t>
  </si>
  <si>
    <t>769674ba-19e5-4a6a-b353-facf54fbb6e0</t>
  </si>
  <si>
    <t>1679b3fc-718f-4000-8f69-3b9366299e49</t>
  </si>
  <si>
    <t>d88c20b8-c0af-41e5-8d59-65a345133fb3</t>
  </si>
  <si>
    <t>e5a8e0b5-5b5e-4613-acc4-76b38e03f958</t>
  </si>
  <si>
    <t>b034d781-e4ca-4cfc-b645-e9531ef2d347</t>
  </si>
  <si>
    <t>0c07f09f-a442-4a69-a25d-8af2df6af414</t>
  </si>
  <si>
    <t>916d87c9-3f88-4f0e-98ee-0f27d8e62b0a</t>
  </si>
  <si>
    <t>9b6193ab-b21c-4cc8-b45d-2bd11475efb3</t>
  </si>
  <si>
    <t>14b956af-aa78-468c-a20d-daabae23108d</t>
  </si>
  <si>
    <t>6032d0f5-e5c0-49d2-971d-079db6c358df</t>
  </si>
  <si>
    <t>d59ba34e-6680-40f2-ae1a-14f2d2c88e91</t>
  </si>
  <si>
    <t>1ba18211-9c5f-498f-b188-b5b5f58ff198</t>
  </si>
  <si>
    <t>7fc98c2f-c71a-4af0-b532-7bb513272815</t>
  </si>
  <si>
    <t>c6f3374b-7a7f-4219-b194-f0c989f78cfc</t>
  </si>
  <si>
    <t>fcf17ea1-2e26-45b6-8c64-052a0c84e1a4</t>
  </si>
  <si>
    <t>af2f7a8e-6611-416a-8cbc-871e3df33a1b</t>
  </si>
  <si>
    <t>8329b08a-22c9-41c9-b4a2-ede2a1407ca9</t>
  </si>
  <si>
    <t>e7e2dc97-77cb-4657-a75c-7b909b1f473f</t>
  </si>
  <si>
    <t>e96f9dcb-1d39-48ea-8c76-83d4526b1d5f</t>
  </si>
  <si>
    <t>63b76069-9c9c-4030-8501-e9bd5f70baac</t>
  </si>
  <si>
    <t>d5494de3-5422-4437-a937-9e9fc1673b23</t>
  </si>
  <si>
    <t>965d9ef5-fdbf-48e4-a11e-8fd70b8dd4a9</t>
  </si>
  <si>
    <t>b3e8ad34-ade8-4b9e-a72d-1629275399eb</t>
  </si>
  <si>
    <t>1a417fbf-866c-4ff1-af44-13e90cbbb9db</t>
  </si>
  <si>
    <t>29495870-356f-4676-9bf8-f8ba49204d46</t>
  </si>
  <si>
    <t>161da9aa-5e4f-427e-a647-bc015a469252</t>
  </si>
  <si>
    <t>93c00b2a-b12a-4729-978a-1856748fec65</t>
  </si>
  <si>
    <t>d3bfe52c-7f6a-4e4a-b895-a3210b84d94d</t>
  </si>
  <si>
    <t>99d5bb9e-b3ce-4e56-a8d2-493bed4864e1</t>
  </si>
  <si>
    <t>4e3cbc2a-8c21-4845-932b-bd5bbb02e10b</t>
  </si>
  <si>
    <t>1c1c5145-fd13-4c0e-9a45-e18e9ebb6a07</t>
  </si>
  <si>
    <t>9e153932-2f33-4f32-ac2d-279f5c5ffaab</t>
  </si>
  <si>
    <t>a2860e45-9812-4952-8865-2c9113baae8d</t>
  </si>
  <si>
    <t>eb9ffc1d-90cf-41bb-b18e-b118d745b184</t>
  </si>
  <si>
    <t>f3d58e2f-b78f-4df7-8455-58ecd328798d</t>
  </si>
  <si>
    <t>ed233136-d1c6-4e17-8ea3-64ec10d8f882</t>
  </si>
  <si>
    <t>065fa014-3a3e-4d9a-a54f-60f91fae5820</t>
  </si>
  <si>
    <t>b942a90e-e80a-4079-94cf-b6657f127de4</t>
  </si>
  <si>
    <t>bf57159a-63c5-479a-b4c8-ced4a60e2d2d</t>
  </si>
  <si>
    <t>ebdbba9b-b3c9-4074-b02d-4ee57b51f8f6</t>
  </si>
  <si>
    <t>e433a731-5370-4d70-8852-a81c478d4483</t>
  </si>
  <si>
    <t>3d0ef301-6769-46fc-b331-ce295cd74e80</t>
  </si>
  <si>
    <t>f71aec52-ab1e-4dcf-a184-69646fe45f56</t>
  </si>
  <si>
    <t>303e5d95-809b-4bf4-92ac-6e5f2cc59ba8</t>
  </si>
  <si>
    <t>412c7e89-3176-4918-9264-dd82be8010f5</t>
  </si>
  <si>
    <t>1a681a1b-25e5-4de8-837d-0cf7d69b7a21</t>
  </si>
  <si>
    <t>3c7bdc9d-9591-4914-8ba0-50080fe98b08</t>
  </si>
  <si>
    <t>8bd100a3-8559-404b-bdd6-ddaa029b6c70</t>
  </si>
  <si>
    <t>e4b24812-efbd-4593-9d9c-00b531d763c4</t>
  </si>
  <si>
    <t>803da581-3136-49b8-8fcc-7a3b32964c21</t>
  </si>
  <si>
    <t>f3c0fef7-e0e2-4559-9541-63d4d6c943ce</t>
  </si>
  <si>
    <t>5fc305d7-0598-4114-bd7d-e523aa1befc9</t>
  </si>
  <si>
    <t>e43fd57a-efec-41d1-93be-ef8bb0e913be</t>
  </si>
  <si>
    <t>96cd4e09-7d3a-44ac-8895-3e579b483e67</t>
  </si>
  <si>
    <t>9b84c381-8a4e-425e-82d6-e4574ce7eaef</t>
  </si>
  <si>
    <t>ae61debd-11d7-4e74-90b0-5058e273c518</t>
  </si>
  <si>
    <t>027d0683-397f-4764-b23b-26c0baa7dd31</t>
  </si>
  <si>
    <t>69fce7d7-873c-4a8c-9e16-31b51f8a5b89</t>
  </si>
  <si>
    <t>b51e3fd6-b485-4fb4-8f4d-7308e8f8637f</t>
  </si>
  <si>
    <t>f542341a-c266-4e89-a629-a1bd8ea7b663</t>
  </si>
  <si>
    <t>a0aa33e6-8d16-4270-8fff-50888fca0dcf</t>
  </si>
  <si>
    <t>b92f9947-8cc5-4c19-a6e2-92166d3183a6</t>
  </si>
  <si>
    <t>20610703-f205-4e18-8f71-b06869a773d9</t>
  </si>
  <si>
    <t>27ad2e65-11c8-44ef-b468-c1b5a271b2d6</t>
  </si>
  <si>
    <t>9eee1bd0-7e98-411b-8970-2fe112d7ebec</t>
  </si>
  <si>
    <t>43f062ac-2abc-4849-b273-eee6c1d03926</t>
  </si>
  <si>
    <t>80bdb6a9-af1d-4bf8-bdd6-d44d23361ec7</t>
  </si>
  <si>
    <t>4b561de5-67ca-4d0c-8e49-ec97fa83626a</t>
  </si>
  <si>
    <t>ae401f97-f477-4b59-835c-80aba1166e34</t>
  </si>
  <si>
    <t>31a4140a-c4fb-42c7-8854-4c24c438d18e</t>
  </si>
  <si>
    <t>ce3fbd40-95b0-45e9-b263-3c8ec20036c0</t>
  </si>
  <si>
    <t>b7738cff-10aa-4e6f-9fef-e9fcf917d1c4</t>
  </si>
  <si>
    <t>57f1d116-ea1e-43db-93e6-4a9324378aa1</t>
  </si>
  <si>
    <t>0ca91c24-0ea5-4885-8ae4-665754c4a464</t>
  </si>
  <si>
    <t>c98976dd-6fef-4649-bf60-100427cfa861</t>
  </si>
  <si>
    <t>bf4af9cd-1b68-481c-96aa-d569dc62852d</t>
  </si>
  <si>
    <t>13480445-fc86-4991-89e5-ab251055352d</t>
  </si>
  <si>
    <t>d0a6eca4-bb35-4ab4-a281-9a5427cd35af</t>
  </si>
  <si>
    <t>1a2e23e5-b228-4e47-b7cc-0ae914646afd</t>
  </si>
  <si>
    <t>6f635592-2a83-4d81-bfc8-1bc88a9a26a2</t>
  </si>
  <si>
    <t>3ba1272d-37f8-45eb-89d8-9a1dfbc113dc</t>
  </si>
  <si>
    <t>7ae87f0b-ec48-4a45-9947-aadbd421a2d8</t>
  </si>
  <si>
    <t>d074446a-701b-4b52-8a63-790ae3d922b0</t>
  </si>
  <si>
    <t>d1957af6-689c-4010-81fd-fd8590ba41b6</t>
  </si>
  <si>
    <t>663438b8-2e83-49b7-8ca1-f4e8d89fa67f</t>
  </si>
  <si>
    <t>017de893-5eca-4abb-a6fb-235bf52e1183</t>
  </si>
  <si>
    <t>bb58fe93-e0b2-4946-b2f9-f150f203a485</t>
  </si>
  <si>
    <t>82ce0b3d-f1d9-4a0f-92cf-cef581133e3f</t>
  </si>
  <si>
    <t>f1f1260d-5360-470d-9818-505f8db68230</t>
  </si>
  <si>
    <t>2fe5ac5c-459b-49f1-a673-398b1db9b72e</t>
  </si>
  <si>
    <t>ebf85bd7-b3b1-4299-9d0f-e32e7fc3cd4a</t>
  </si>
  <si>
    <t>7864a64d-b304-4501-84ea-cfd022c2f1bc</t>
  </si>
  <si>
    <t>e6b3368d-95d8-445d-bf7e-102d660f0c57</t>
  </si>
  <si>
    <t>3944f950-85d8-4cb2-bedb-09ce9cbed09c</t>
  </si>
  <si>
    <t>9bae5e8d-359c-48c6-ad6f-c791395832e2</t>
  </si>
  <si>
    <t>a24bb748-6eb6-4841-94a9-bf532feac6e6</t>
  </si>
  <si>
    <t>ead6bbc7-1708-4702-99d6-95f30ea755bb</t>
  </si>
  <si>
    <t>a2794c07-a79c-43a9-ba77-bcbc4cfb17ef</t>
  </si>
  <si>
    <t>d9fc180d-06dc-4976-b536-f86b54c3006f</t>
  </si>
  <si>
    <t>b80f6489-78a5-440f-8084-6db353891aeb</t>
  </si>
  <si>
    <t>4fc4e447-3b9a-4414-aed8-894d34103034</t>
  </si>
  <si>
    <t>83bad4fe-fb54-4501-8bfc-0b1f728b523e</t>
  </si>
  <si>
    <t>00ce9289-e055-4962-ad61-110ce7d37ff4</t>
  </si>
  <si>
    <t>9ac104ea-5967-4a62-8f82-3a14e82ecde0</t>
  </si>
  <si>
    <t>5055574d-e03a-4409-8940-5aa540f8c7b1</t>
  </si>
  <si>
    <t>886ecf0d-e049-42b3-bb10-c2e7993a5682</t>
  </si>
  <si>
    <t>2a8b672e-c40e-4884-a460-33c3a34a315e</t>
  </si>
  <si>
    <t>a0e1dbff-bcc6-41c4-97f6-1a3a032b39f4</t>
  </si>
  <si>
    <t>90e19cd2-bb3b-4fd6-bec6-db40cf203781</t>
  </si>
  <si>
    <t>cb532b75-eac0-49c2-898e-6f86e94cd9ee</t>
  </si>
  <si>
    <t>a8013c09-772b-450f-9e42-403cdabc7b2d</t>
  </si>
  <si>
    <t>2f313767-ac03-459d-9300-05962c229980</t>
  </si>
  <si>
    <t>5294d27c-a856-43bb-a560-05cd5d08b939</t>
  </si>
  <si>
    <t>673c0432-05df-4c54-98bb-2cf25801fc96</t>
  </si>
  <si>
    <t>f749e2c8-e004-479b-b690-6a89ef434ddb</t>
  </si>
  <si>
    <t>05ec7918-ccd6-4042-9577-99ccf86b3031</t>
  </si>
  <si>
    <t>64a172b5-1f6b-4618-aeb1-50fef19ae22f</t>
  </si>
  <si>
    <t>06ca1b4c-5275-4cf2-b1e3-44955c49c0aa</t>
  </si>
  <si>
    <t>64b4c226-5693-4b0c-a064-e5e7567ef883</t>
  </si>
  <si>
    <t>5a4745cf-5727-463f-a722-07eaf6b09ee6</t>
  </si>
  <si>
    <t>cfea570a-88d4-4f81-88ae-d89496ed6c87</t>
  </si>
  <si>
    <t>0be77627-7c87-403b-9aa1-35591b045fba</t>
  </si>
  <si>
    <t>d50c7902-2f7e-4db5-b315-db3e9f0c2496</t>
  </si>
  <si>
    <t>344c5424-1d19-4abe-9252-a8ca71cf5aca</t>
  </si>
  <si>
    <t>8e927d87-d1c2-4694-8abb-afc222021faa</t>
  </si>
  <si>
    <t>44c26f24-daef-4b15-bed0-ec68547f0413</t>
  </si>
  <si>
    <t>22f875b0-1894-46a3-b73c-e077fa665873</t>
  </si>
  <si>
    <t>606e1bbd-36d5-45a1-9932-cf5aa3484e5c</t>
  </si>
  <si>
    <t>c69e8c4a-8081-46ab-9482-0147501a5603</t>
  </si>
  <si>
    <t>b312c59e-92cd-4b0a-9baa-d6477c72a8a5</t>
  </si>
  <si>
    <t>b9616946-7d01-4c68-ac7d-b7dcd62fb6ad</t>
  </si>
  <si>
    <t>d019d181-62ae-4042-80fc-61c843545bcd</t>
  </si>
  <si>
    <t>cd2b2235-3612-4d81-b143-1a3af5884238</t>
  </si>
  <si>
    <t>f78f708e-fc00-4c1d-823b-8798f10c8b83</t>
  </si>
  <si>
    <t>4c1a5dd9-a2d2-46f0-870e-a6142afbb3a9</t>
  </si>
  <si>
    <t>4dc3204a-1c4f-4afd-9597-9dc4e9166bd9</t>
  </si>
  <si>
    <t>054d48d4-e95f-4bb8-a4cb-e1bd7c448dbc</t>
  </si>
  <si>
    <t>b0fde5ba-8a38-45ee-b7fb-6c35851e8975</t>
  </si>
  <si>
    <t>c4a05da1-d840-47cf-baf8-d8f4005a4928</t>
  </si>
  <si>
    <t>caaa5ce7-686c-4498-add9-565eb0493c6d</t>
  </si>
  <si>
    <t>9829890a-3880-439c-a2b4-80afeb217997</t>
  </si>
  <si>
    <t>3c07805f-4275-40c9-ac26-921ea46824e8</t>
  </si>
  <si>
    <t>30f6a1ee-33d7-4a8a-a6cb-82c3aa6a16ae</t>
  </si>
  <si>
    <t>59adee7e-d7d6-4c22-b62c-1b42311f77a2</t>
  </si>
  <si>
    <t>bd4aab1a-8302-4e08-a648-a63609db66df</t>
  </si>
  <si>
    <t>11373011-9e1b-41f4-ab76-15ee1c916105</t>
  </si>
  <si>
    <t>e9087e86-8089-43bc-be36-a876aeb5ceb6</t>
  </si>
  <si>
    <t>0ad6fe46-9b24-46fc-9698-7001aa3c071b</t>
  </si>
  <si>
    <t>2f8c9d54-7c13-4902-bc95-dca665d28276</t>
  </si>
  <si>
    <t>3ee5c136-2055-4e39-a9b9-46da20b123a7</t>
  </si>
  <si>
    <t>9274feb4-b477-492e-8ebe-8e6a3466bbdf</t>
  </si>
  <si>
    <t>7bb73ff8-9bb9-4f6d-866f-240f38cc21ee</t>
  </si>
  <si>
    <t>09676128-1363-46d4-8e65-fb15aab4502c</t>
  </si>
  <si>
    <t>3117ae22-8768-4682-b37c-f6788ee60ace</t>
  </si>
  <si>
    <t>e5697b4f-3b1f-40d0-a27f-ffbe199aa1fa</t>
  </si>
  <si>
    <t>1829ac6c-bf86-4add-93af-ef3534a06c28</t>
  </si>
  <si>
    <t>7d44b140-388b-45e7-90be-3989f2c186ef</t>
  </si>
  <si>
    <t>7f720eb2-a80f-4b4d-8daf-1f6829e1e9ae</t>
  </si>
  <si>
    <t>a854b579-3d98-44fb-9d45-00ab83f24a6f</t>
  </si>
  <si>
    <t>c614659a-26da-476a-864b-718733fe9da3</t>
  </si>
  <si>
    <t>948ce2cb-69d0-44e8-82d3-77e8e7e8faef</t>
  </si>
  <si>
    <t>7d08d89e-8404-4b5f-9997-bf9e6b5fb250</t>
  </si>
  <si>
    <t>8ca4333b-e984-423e-8c3b-359064e08c95</t>
  </si>
  <si>
    <t>bfa1ea14-554f-4ea6-bdde-025e9f3797f5</t>
  </si>
  <si>
    <t>b188eb5c-8e85-49e6-be94-ebd9f6c8db61</t>
  </si>
  <si>
    <t>e5cd7a56-d6f1-4023-81ab-11a379047f1d</t>
  </si>
  <si>
    <t>1532673a-a236-4238-8071-860e099bd870</t>
  </si>
  <si>
    <t>760e2c65-f8d5-4600-802d-36cb875e9a19</t>
  </si>
  <si>
    <t>15717c27-c14f-451f-9cd6-8cfa0a2d24e1</t>
  </si>
  <si>
    <t>9352be40-839f-4dcc-af25-f8edd6a94669</t>
  </si>
  <si>
    <t>416b8522-14e6-4803-8f23-a434add52670</t>
  </si>
  <si>
    <t>cd60de06-e3c0-4b41-914f-f63e856ddd67</t>
  </si>
  <si>
    <t>2026cff5-8c58-4355-8d63-cd1bd67114a1</t>
  </si>
  <si>
    <t>9ad724af-34b1-4dc6-913d-291f9a5e5d26</t>
  </si>
  <si>
    <t>0ce8e49e-5fe9-4acc-a9fa-9cc3afcfde73</t>
  </si>
  <si>
    <t>2fcd7184-dbcc-40ba-9107-01eb946cd492</t>
  </si>
  <si>
    <t>8b5b904f-29d5-4933-ba64-957976fa103c</t>
  </si>
  <si>
    <t>9b509a70-72ae-4d6a-8ec3-7501f5220d76</t>
  </si>
  <si>
    <t>76410bb6-7942-4be9-a862-94701d4dcbd3</t>
  </si>
  <si>
    <t>9d93da93-4af0-4ee3-a33a-e9113bb9e909</t>
  </si>
  <si>
    <t>38769edf-d82f-4be4-98b2-324b1295e6d9</t>
  </si>
  <si>
    <t>1bc9bedd-0caf-425e-aed3-5faf9a0c2d27</t>
  </si>
  <si>
    <t>9aa74495-95c3-4d40-afa8-6b352ea283ae</t>
  </si>
  <si>
    <t>24920cb3-62f7-4d92-85b5-ad23f9c29103</t>
  </si>
  <si>
    <t>5fd6b79c-c1c6-45e2-9604-58cece9a92f7</t>
  </si>
  <si>
    <t>6d029724-a31c-4ef1-aea2-59c572067d27</t>
  </si>
  <si>
    <t>b918e3f7-644c-4be8-9b94-e079f0e57adb</t>
  </si>
  <si>
    <t>4b7b3437-9e9b-476a-93e2-b566045c069e</t>
  </si>
  <si>
    <t>051f8977-2874-40a1-b3ff-2374156b1ea0</t>
  </si>
  <si>
    <t>23dbe855-88b7-49e6-8afd-c87e6e7a3789</t>
  </si>
  <si>
    <t>c5070e45-4a31-420c-aa42-6c8733276b63</t>
  </si>
  <si>
    <t>b5acd69b-8cd3-401d-88c2-40c7d6ce48c6</t>
  </si>
  <si>
    <t>595dbdea-9fbb-419c-9e52-4bf9e64d802e</t>
  </si>
  <si>
    <t>3c7f59b3-1c9e-4dc6-9b84-9ef32bde9b1a</t>
  </si>
  <si>
    <t>891545a3-c612-41af-b037-c9513bd65f4d</t>
  </si>
  <si>
    <t>a897c8ea-28f4-4fc2-a050-9b41f2188f72</t>
  </si>
  <si>
    <t>f3fd9e3a-3a0c-4290-8368-4ec6535a24fa</t>
  </si>
  <si>
    <t>fb7ccdf3-68c3-4ed8-bc57-04ba93357cfd</t>
  </si>
  <si>
    <t>069324d5-5b98-413b-b77a-f60ebb7a0342</t>
  </si>
  <si>
    <t>cf4022df-7092-48f3-8264-878f8fba98e5</t>
  </si>
  <si>
    <t>bbfa791d-bf59-4022-b8fc-3c0a64e7c2f4</t>
  </si>
  <si>
    <t>2aa44138-b15c-461f-ba7b-6b1718fc3f8f</t>
  </si>
  <si>
    <t>ae174d75-414d-4847-b752-44d73211df8e</t>
  </si>
  <si>
    <t>8a61f494-bab5-4e82-a508-a7120e973db8</t>
  </si>
  <si>
    <t>47a75ee0-4752-4838-9962-891abdb5c0ea</t>
  </si>
  <si>
    <t>745745e9-e354-486c-952d-1cf7bcc6451f</t>
  </si>
  <si>
    <t>a41dd9ef-0764-4f95-9101-e9d5bb30c03a</t>
  </si>
  <si>
    <t>f31c3891-2944-40ab-a8ef-92b11b3f4334</t>
  </si>
  <si>
    <t>a63f5214-db0f-4cac-a315-64d3499cde08</t>
  </si>
  <si>
    <t>66cd6ce6-43f8-4f9b-920c-03fe32f6b3c1</t>
  </si>
  <si>
    <t>adbfc678-4fe5-4b2e-b071-f72b8bdf9aa1</t>
  </si>
  <si>
    <t>fbe0177d-1a78-4759-91f1-ba62b03acc15</t>
  </si>
  <si>
    <t>27cea559-7785-44c0-ac70-6b3494eeb70b</t>
  </si>
  <si>
    <t>8a0848fd-4827-4f85-9b6f-007ffe391d30</t>
  </si>
  <si>
    <t>84ee2484-f659-41f0-b358-119262ea7d5d</t>
  </si>
  <si>
    <t>94135b4f-6a37-41c4-8625-d91c4926ec68</t>
  </si>
  <si>
    <t>8d2214a8-eef2-4345-ab43-dc9fa0719c72</t>
  </si>
  <si>
    <t>b72a5d95-24ba-4440-8288-b9aacfee95b9</t>
  </si>
  <si>
    <t>abb262e4-25f1-48a4-a322-879a563a00af</t>
  </si>
  <si>
    <t>8f6dc546-9b9c-41fb-9ed2-afac4e5c5a9e</t>
  </si>
  <si>
    <t>ed668da3-d99b-4026-92a3-300a114142e7</t>
  </si>
  <si>
    <t>ee57514c-eefb-44e1-a80d-8dfe36cee93b</t>
  </si>
  <si>
    <t>fa307a7f-4a55-4e3a-a385-0de816f61de8</t>
  </si>
  <si>
    <t>30ce7dcc-c41f-48e9-8e16-b6cfb0e9d1a3</t>
  </si>
  <si>
    <t>d8a6954a-bf7f-45fa-bde0-90266d3195fb</t>
  </si>
  <si>
    <t>bba14e0b-05f9-4cf4-b201-41398c6d4ec5</t>
  </si>
  <si>
    <t>47537e18-5119-4d3c-934e-c0fa3646be77</t>
  </si>
  <si>
    <t>1f70867f-6022-4521-8138-3116b8a88a5c</t>
  </si>
  <si>
    <t>49261e9e-fdd0-48df-87f7-3eab7d66fa81</t>
  </si>
  <si>
    <t>a065e7e1-f8a6-429b-90be-e5b35e78f22a</t>
  </si>
  <si>
    <t>9f43a60a-bd6e-42de-9707-0a3b942d97fc</t>
  </si>
  <si>
    <t>5cdde76b-50a8-4d41-a799-177a2e77e581</t>
  </si>
  <si>
    <t>b21baa2a-9c93-4d91-92bc-88f708dabe32</t>
  </si>
  <si>
    <t>73a4b76c-1e0c-4d55-9ef4-cfce29a688ba</t>
  </si>
  <si>
    <t>1e89c820-f686-4a32-aeab-924d79f6d288</t>
  </si>
  <si>
    <t>f8520665-cd2a-42c9-ba24-3da9505579a9</t>
  </si>
  <si>
    <t>7e06975c-0bf7-4fe1-b884-8e7de13b702d</t>
  </si>
  <si>
    <t>f6abaaad-45a9-4879-8e66-3b1d4d5c3cbc</t>
  </si>
  <si>
    <t>f1c437f2-b4be-40fb-9007-03dece9b63bd</t>
  </si>
  <si>
    <t>1b217597-8e8c-475f-bfc2-df1b648f3ec8</t>
  </si>
  <si>
    <t>a7b7aed8-c00a-4d06-8ffc-bf527572f7bb</t>
  </si>
  <si>
    <t>ccbcbfcb-32f4-4cfb-be96-79bb84daf04b</t>
  </si>
  <si>
    <t>febacab1-7c87-4a27-b2a5-6aaa51021c13</t>
  </si>
  <si>
    <t>deadc085-ed13-47fb-81b4-45eadc08353d</t>
  </si>
  <si>
    <t>5b9fc53d-960a-475a-b189-b54d9c7564a6</t>
  </si>
  <si>
    <t>065fe85d-0373-4737-bbf9-0880fc13ad44</t>
  </si>
  <si>
    <t>88fd7813-ff27-47be-9470-b4ad4044ccef</t>
  </si>
  <si>
    <t>20eb5fec-6d12-4d6a-b791-c984c662cd33</t>
  </si>
  <si>
    <t>c1c6bed5-6167-4c79-bd6f-4c27851ce580</t>
  </si>
  <si>
    <t>c4da46c8-aadf-4aca-98c3-b2e9422c1e93</t>
  </si>
  <si>
    <t>089c7011-1dec-412d-a160-d029ac6eb0a5</t>
  </si>
  <si>
    <t>20971458-c879-4bdc-bf4f-6a4758552a35</t>
  </si>
  <si>
    <t>c3144388-5e8f-4c1c-83ff-3129e562ba4e</t>
  </si>
  <si>
    <t>4489b67d-456a-40da-941e-68facbe3bdb4</t>
  </si>
  <si>
    <t>90acaef3-45c4-49e4-bd9f-1faf1b350e71</t>
  </si>
  <si>
    <t>c42b0dd0-9d7e-47eb-9b16-18c2195e9fce</t>
  </si>
  <si>
    <t>590d4fc0-17ef-42af-aa91-778aa0d317d6</t>
  </si>
  <si>
    <t>55125abd-2493-40cf-8843-604709af81e7</t>
  </si>
  <si>
    <t>24d6f90a-ea1f-44cb-a83b-4d3d53c4d152</t>
  </si>
  <si>
    <t>a525e81a-ceac-45bf-9aaf-312b292c0ab2</t>
  </si>
  <si>
    <t>4e16202d-72c0-4a59-974b-ba3e9c9fb04d</t>
  </si>
  <si>
    <t>b74fff72-ab6f-46d9-a86c-66e7b580c4f3</t>
  </si>
  <si>
    <t>ecf5d19d-4bb9-4dd4-9b1f-1e34cf7b03cf</t>
  </si>
  <si>
    <t>cb28901c-b8a3-43aa-9580-f116d219bf30</t>
  </si>
  <si>
    <t>3db02ad4-41a1-4582-975d-a3a19e873c5a</t>
  </si>
  <si>
    <t>39c2f74d-e634-4686-b4a4-7f3617f6db10</t>
  </si>
  <si>
    <t>b4c1296b-4b42-4988-8541-0e5e848c4488</t>
  </si>
  <si>
    <t>18c08dd6-5cd2-49ff-b9d4-d1e5d3b4aaf1</t>
  </si>
  <si>
    <t>33a14e13-98be-4886-8707-28184c66ae0d</t>
  </si>
  <si>
    <t>0658b8ed-13e8-4ea7-a31f-8afeb49acd60</t>
  </si>
  <si>
    <t>f49a225d-d3da-4584-8f5b-2d17ebb19bd7</t>
  </si>
  <si>
    <t>2d41aa15-7acd-4ab4-b5df-2d6a316ddb17</t>
  </si>
  <si>
    <t>3f593c64-f2eb-4736-974a-5efadabce25a</t>
  </si>
  <si>
    <t>8966b795-f82f-4c5d-a80c-5244a1016339</t>
  </si>
  <si>
    <t>88023604-f612-409e-9761-9fe2336a43e4</t>
  </si>
  <si>
    <t>2635a91a-d4db-4458-8100-c8aa01ee55f1</t>
  </si>
  <si>
    <t>e3852e2b-3a3c-466a-916e-edd403c5353f</t>
  </si>
  <si>
    <t>eeca7e99-fc70-4609-aeb1-5ba88fd7daef</t>
  </si>
  <si>
    <t>8632438c-1adb-4a0f-9d3b-9eed17db3536</t>
  </si>
  <si>
    <t>4020ae84-bece-4f52-bee7-b9ea56435b36</t>
  </si>
  <si>
    <t>8918b03e-e245-4ebf-b05f-158b557fcaea</t>
  </si>
  <si>
    <t>67b67fc6-7750-44bd-896c-3260f78d8e53</t>
  </si>
  <si>
    <t>f8839f01-4286-4f45-a675-f09d869146c1</t>
  </si>
  <si>
    <t>3cb37e51-569d-4238-9854-5e659abf16c4</t>
  </si>
  <si>
    <t>d64c129e-b523-4e14-ab3a-ec621137c3af</t>
  </si>
  <si>
    <t>d08e5984-dcc6-4e82-9190-c0532bbb7cae</t>
  </si>
  <si>
    <t>5299c7dd-6117-44fb-b316-41e3c6ca0e8f</t>
  </si>
  <si>
    <t>187a5666-9d16-459c-a524-35b1789ba1ae</t>
  </si>
  <si>
    <t>3fd34d59-ed02-4b2a-a7b7-7c8dba676ef9</t>
  </si>
  <si>
    <t>79b3f0bd-b45f-444d-a121-5b7a374c0780</t>
  </si>
  <si>
    <t>d74761a3-27c1-4593-92ee-084f86b6c7f5</t>
  </si>
  <si>
    <t>14e1fddb-7d3b-4098-b5f5-98d0467d9921</t>
  </si>
  <si>
    <t>d3cdf140-4887-4f53-a5d3-ec891892c883</t>
  </si>
  <si>
    <t>2fae4d1f-9063-4947-aac3-ec1c00169d35</t>
  </si>
  <si>
    <t>4beaf71e-a65e-4ddd-a643-c8e5acf5bd55</t>
  </si>
  <si>
    <t>d0c512fc-8212-4d61-9ad2-dce10af1dbf7</t>
  </si>
  <si>
    <t>76a7587e-4288-4134-acd3-1c161865573a</t>
  </si>
  <si>
    <t>8868e07d-acc4-4b62-808a-ad4553109922</t>
  </si>
  <si>
    <t>91a11dc0-b609-434f-a1d2-3ecd42d2321b</t>
  </si>
  <si>
    <t>3bca6390-0c4b-4f47-a993-8e49139361c3</t>
  </si>
  <si>
    <t>f6aa3008-2137-480e-ac38-70d58514af59</t>
  </si>
  <si>
    <t>6fb2caa8-9389-4816-91cb-d1134a7b15a1</t>
  </si>
  <si>
    <t>a96d856f-c265-4f78-80d5-f6d85c2e3e48</t>
  </si>
  <si>
    <t>0769f070-5b48-4e47-9507-35259b4dfc71</t>
  </si>
  <si>
    <t>57b1d167-a660-48d5-8fca-f75fa0837d41</t>
  </si>
  <si>
    <t>9bc6420a-4fe7-4bda-97db-6689849cc101</t>
  </si>
  <si>
    <t>9127fd59-f25d-4b74-a710-7f60b1804252</t>
  </si>
  <si>
    <t>39a2da01-6445-4ba4-8dd5-846b8fe23c43</t>
  </si>
  <si>
    <t>ac511430-85a0-40ed-bac6-423c3fe14a63</t>
  </si>
  <si>
    <t>c42c5dc0-22f1-464b-9aa8-9ff0661a54c3</t>
  </si>
  <si>
    <t>7d756761-f638-4e9b-8c0a-00492281d68d</t>
  </si>
  <si>
    <t>cade9688-a34c-4bf1-a49a-962d5d8fb7c4</t>
  </si>
  <si>
    <t>466eaa12-9e20-4d53-860f-a8dccfb242b8</t>
  </si>
  <si>
    <t>57a0a7ed-21ea-4587-b519-ab35689cc9c8</t>
  </si>
  <si>
    <t>4e091ec6-3c1b-4649-aed7-cf99cc9da60d</t>
  </si>
  <si>
    <t>3afd0a8c-2d06-41f8-954a-e439e193f21d</t>
  </si>
  <si>
    <t>63fb5a17-b9fc-4191-8cec-ca2848cc3e54</t>
  </si>
  <si>
    <t>1c663855-e700-49cf-8512-224b34d1efac</t>
  </si>
  <si>
    <t>ca44d69c-f059-423e-82e2-65550f1314be</t>
  </si>
  <si>
    <t>07b638bb-a4bf-4938-9b81-3160ecf59053</t>
  </si>
  <si>
    <t>10187a53-e499-45ef-b5b2-0c0d16ffaef7</t>
  </si>
  <si>
    <t>fe5bdcb9-aa57-47ff-b123-33e4842057da</t>
  </si>
  <si>
    <t>dc67ab9c-2786-4c67-8b27-3891f2676446</t>
  </si>
  <si>
    <t>92ea3113-82a0-40c9-8d98-142d22f0799b</t>
  </si>
  <si>
    <t>834274e5-cea9-4d78-a673-89b85674de2a</t>
  </si>
  <si>
    <t>68fcc8f2-4100-4fb8-bc83-efdca9a49322</t>
  </si>
  <si>
    <t>e0306a29-e5de-43f9-a455-6955498cd3ed</t>
  </si>
  <si>
    <t>27482340-b055-4041-aeb1-1a0feb5dec60</t>
  </si>
  <si>
    <t>ab2d8fa6-2f40-4122-ae99-bf400c1301b1</t>
  </si>
  <si>
    <t>4f6ec262-da69-45ec-914c-026309454e98</t>
  </si>
  <si>
    <t>fbdb9c05-f713-42da-acbc-426247e3dae8</t>
  </si>
  <si>
    <t>63fefe7d-6134-49fb-95fc-5b011b8583c7</t>
  </si>
  <si>
    <t>72913cf5-928b-4c70-9fdf-23f320b7387e</t>
  </si>
  <si>
    <t>e9ecd068-dda1-43b9-a4fb-c17b3e2c9455</t>
  </si>
  <si>
    <t>aa56b066-fb34-4c3c-8ffa-913e48221d38</t>
  </si>
  <si>
    <t>4b34b055-d1b3-401e-8b73-b8c3297396d0</t>
  </si>
  <si>
    <t>2c4ab875-d3c3-429d-9dad-fdf4c0f850d7</t>
  </si>
  <si>
    <t>dba01592-6410-4be2-b930-10d122fabfef</t>
  </si>
  <si>
    <t>35119411-b270-46a9-b807-5f703dc512e5</t>
  </si>
  <si>
    <t>63d9d93c-1c27-4123-951c-81f49f5bcc38</t>
  </si>
  <si>
    <t>794a55aa-41e8-4973-a92d-e694ac1d2c10</t>
  </si>
  <si>
    <t>8ca9ce9b-95f1-480a-bdf8-7ab9b97535ce</t>
  </si>
  <si>
    <t>9c5b8ee6-d18b-4614-8c23-4a4fcac04d80</t>
  </si>
  <si>
    <t>604f83af-4c1b-4e00-897c-82ce3d3a5727</t>
  </si>
  <si>
    <t>2e1aad64-26cc-449a-b08c-fbedd731de31</t>
  </si>
  <si>
    <t>7aa81ae5-8879-4d6b-ac2c-e30ddadbbef6</t>
  </si>
  <si>
    <t>73c16c1b-0b24-47d3-b7c8-41a1fac54b48</t>
  </si>
  <si>
    <t>58540f35-ed97-4eef-9638-9039f8eddb3d</t>
  </si>
  <si>
    <t>59631c00-9348-44af-a232-40e34ec07c22</t>
  </si>
  <si>
    <t>2b59d33a-1b53-4131-a0d5-4d3e56e07d85</t>
  </si>
  <si>
    <t>1f736007-b6d2-447a-840d-89c0ee65629b</t>
  </si>
  <si>
    <t>02421d84-5f78-429d-a2f6-be81c656dc0a</t>
  </si>
  <si>
    <t>797e3a2d-50ad-478d-9f62-48f49771dd87</t>
  </si>
  <si>
    <t>98850d40-9bb7-46e5-bf51-9c36ff13ccf1</t>
  </si>
  <si>
    <t>6df50497-d522-4c9e-ae35-b570fc2656cf</t>
  </si>
  <si>
    <t>1e7bde1f-8158-40b9-9aa5-97cf0312ed3f</t>
  </si>
  <si>
    <t>5bc33d7d-2258-438c-9c77-7cfb0af09acb</t>
  </si>
  <si>
    <t>e40b9738-ff59-46b5-a2bb-3dc95a2a429c</t>
  </si>
  <si>
    <t>12fa97b3-078a-4a97-b338-f130fb3762a4</t>
  </si>
  <si>
    <t>1753bc3c-d5f3-4507-bbc9-3d8d2de87bf6</t>
  </si>
  <si>
    <t>b13b45b8-9130-4222-aced-db116c542c50</t>
  </si>
  <si>
    <t>5843bccd-c8a2-4294-b541-85481a633beb</t>
  </si>
  <si>
    <t>56e385b7-755f-4c91-917e-0a5a60db358a</t>
  </si>
  <si>
    <t>f2477cdd-25e4-47c2-8b0e-2194e62a4ea2</t>
  </si>
  <si>
    <t>153d426a-bfd4-47d8-9821-a84a5e9fee7b</t>
  </si>
  <si>
    <t>b512a9aa-3832-4ec2-bfc0-65cec94afd68</t>
  </si>
  <si>
    <t>19ef59d2-6a1c-4507-8b4c-8d8fbd68db12</t>
  </si>
  <si>
    <t>7ccb2fc4-29ae-47d5-b9ca-c10d7e9dce63</t>
  </si>
  <si>
    <t>51440c93-aa74-453e-a0ac-0fd9cb25409f</t>
  </si>
  <si>
    <t>d78f5876-1525-463f-9790-58f96401020d</t>
  </si>
  <si>
    <t>b4a4ef53-4da5-4b3a-818d-7a2db7b6dc3c</t>
  </si>
  <si>
    <t>5e5dcb10-52c2-4611-b0a2-c083f94dde3c</t>
  </si>
  <si>
    <t>0244ba1e-f643-4f1a-9ed1-2531650a2ace</t>
  </si>
  <si>
    <t>43c345f1-1534-4f02-afed-866b3515059b</t>
  </si>
  <si>
    <t>31a08a9f-e3b2-46ed-80fc-4cdc63f2e593</t>
  </si>
  <si>
    <t>0abfd213-ef70-4c96-979a-95401f2d222a</t>
  </si>
  <si>
    <t>9318ddca-73d1-425f-8cf2-180b30bf5c37</t>
  </si>
  <si>
    <t>e95ba0a7-3085-4358-9fac-b404fdb198b3</t>
  </si>
  <si>
    <t>5405f752-cb3f-4f59-9206-4e7cdc662738</t>
  </si>
  <si>
    <t>bfb8411b-0e6a-4f69-b072-24ed44cc094e</t>
  </si>
  <si>
    <t>9fbafa7f-e3de-4166-b71b-e4bc230715a5</t>
  </si>
  <si>
    <t>575e8cef-5ce2-4bbc-80a0-bdf68bd29505</t>
  </si>
  <si>
    <t>17bd8bda-c161-413a-bb7d-8453978c974b</t>
  </si>
  <si>
    <t>a36af881-f75f-42aa-bb55-aa8f43cd2c1f</t>
  </si>
  <si>
    <t>dd222a27-27ab-459a-994a-8c5ad58ddeeb</t>
  </si>
  <si>
    <t>9216acf7-bc86-44f9-95d5-2d5e96d459d4</t>
  </si>
  <si>
    <t>1b673fc7-2b1b-4f12-ae55-6f61e739c483</t>
  </si>
  <si>
    <t>8643fbb4-e91f-40d3-bb3d-9da4cf47d8d2</t>
  </si>
  <si>
    <t>efa05e12-91f5-4de0-886d-7efe2b13e3df</t>
  </si>
  <si>
    <t>de40d774-89d7-43ef-81f2-a845c85cb3a3</t>
  </si>
  <si>
    <t>e3b0394b-c1e2-4d2a-8f3e-881750fa9401</t>
  </si>
  <si>
    <t>c42c3176-bb7e-411d-a769-0b2ad9e8ed2a</t>
  </si>
  <si>
    <t>433c3f13-1127-42b6-bff7-8801b71cdaf6</t>
  </si>
  <si>
    <t>e8e4d4ec-8d71-4f31-9a49-18b68cb209b8</t>
  </si>
  <si>
    <t>3b6ad87b-8320-46b3-8cd0-ba38c3def845</t>
  </si>
  <si>
    <t>b239abd3-b75b-4da5-9794-0de700a9d4a7</t>
  </si>
  <si>
    <t>87dd331e-af28-4193-ad16-3fa4dde9f4df</t>
  </si>
  <si>
    <t>1a222df2-070f-4549-b164-a9baa2bbdafe</t>
  </si>
  <si>
    <t>dd06b1e7-368e-4a14-9c4b-1167e1751312</t>
  </si>
  <si>
    <t>bdeb4f47-097c-49b8-956a-d9fa25802324</t>
  </si>
  <si>
    <t>23983a3b-9ddb-44ee-b02d-7128ffc31a36</t>
  </si>
  <si>
    <t>1f21093e-a068-4fd4-a23a-3bdbe2a2ac90</t>
  </si>
  <si>
    <t>452e1227-fdcd-4f2a-b51d-93c972870576</t>
  </si>
  <si>
    <t>f53aabeb-9951-48d4-a47c-ee92be30b9ef</t>
  </si>
  <si>
    <t>d0478dc6-40b3-4217-b23b-1e5d368d99e3</t>
  </si>
  <si>
    <t>9b97bbce-cee3-4f9f-929a-91a55540665a</t>
  </si>
  <si>
    <t>1a4dc981-f642-40e7-be57-eb92abdce2cd</t>
  </si>
  <si>
    <t>789522f8-c4a7-458c-8303-68262a0f458a</t>
  </si>
  <si>
    <t>ca235c75-ef56-4b6e-b147-144484fc7a68</t>
  </si>
  <si>
    <t>e7be6384-c0d8-4762-8490-1242e245f14a</t>
  </si>
  <si>
    <t>530f7589-89c5-487c-a14a-d1500bb9fc21</t>
  </si>
  <si>
    <t>cc1eecc4-1916-4342-9400-b18c036d98e5</t>
  </si>
  <si>
    <t>8629cc72-e810-4acd-89b5-51614d21b070</t>
  </si>
  <si>
    <t>fa0f95cd-a763-4ca0-b86c-dc7d1e93f8a9</t>
  </si>
  <si>
    <t>f58d7d36-bc85-44c4-b74a-e7de9cf5104a</t>
  </si>
  <si>
    <t>094fe1ea-c59b-434b-afd9-be895740dea7</t>
  </si>
  <si>
    <t>a35dfad2-b67f-40ea-871c-37c1ec686bda</t>
  </si>
  <si>
    <t>234a89e9-0793-4c4b-8855-8afaf76b3bc7</t>
  </si>
  <si>
    <t>7a889b45-8ea4-416d-b58f-d38b5eb7ea45</t>
  </si>
  <si>
    <t>6818695a-d9b5-47c0-98dc-c1b0c1c379ce</t>
  </si>
  <si>
    <t>0cff8cd5-ab3c-4116-8edb-fa314b5a3273</t>
  </si>
  <si>
    <t>2774bcf2-ddec-44c9-a3bc-ff87a8a96dee</t>
  </si>
  <si>
    <t>eb0251cf-302e-4e08-a31d-a9a5ab2baef3</t>
  </si>
  <si>
    <t>e001f24e-444b-4781-84bf-a90a3b374710</t>
  </si>
  <si>
    <t>83913311-e86f-4750-98dc-e9d4bf78e544</t>
  </si>
  <si>
    <t>463a6397-5c89-4ad4-8d08-f9c6e3081f25</t>
  </si>
  <si>
    <t>7dae8155-8114-4ead-acab-712cdb9fecda</t>
  </si>
  <si>
    <t>1d0e9016-5635-4615-b5aa-defaadffcc7f</t>
  </si>
  <si>
    <t>4d84f911-ed8d-42bd-a583-924e3b9dafd8</t>
  </si>
  <si>
    <t>0a77605c-e86e-4b72-91a1-7a49969c1ac1</t>
  </si>
  <si>
    <t>17edb2d1-c14b-4e51-a874-2f1658336201</t>
  </si>
  <si>
    <t>f8bef0a9-79f7-4d01-9699-f7d9ca36129b</t>
  </si>
  <si>
    <t>5eaaffbf-db92-48f4-88e2-6d0924f6bc9c</t>
  </si>
  <si>
    <t>b2ec2304-01bd-4336-8a61-f0b0abbba0db</t>
  </si>
  <si>
    <t>1a3b4d35-f6d2-4645-a156-55305464e7ae</t>
  </si>
  <si>
    <t>9eec9d5c-6e0e-4796-b55f-75b8b68180b4</t>
  </si>
  <si>
    <t>5f426a25-b218-474f-8d86-484cb97d3a29</t>
  </si>
  <si>
    <t>c40c9949-8c3e-4002-9ad3-3e98abf9d759</t>
  </si>
  <si>
    <t>629cdfb3-3b30-4a6d-8112-8a323da83e34</t>
  </si>
  <si>
    <t>9e095556-c0fe-4ebd-9e42-00fdbd49a5e6</t>
  </si>
  <si>
    <t>54c05598-365d-4f0a-9053-47c773d60fb0</t>
  </si>
  <si>
    <t>33b1d71a-a301-4ff5-b31e-e0ae15703dc6</t>
  </si>
  <si>
    <t>a7e66b70-b8a9-466c-83c2-28f7ee12b1f5</t>
  </si>
  <si>
    <t>23738ea6-6051-407f-b134-54b5abf97c76</t>
  </si>
  <si>
    <t>127c0924-f08c-4b58-826e-eaba5d7e5684</t>
  </si>
  <si>
    <t>5db3f1f4-2a78-4905-a404-38b184a190d4</t>
  </si>
  <si>
    <t>ca048e28-c4a0-423c-abe2-a0da5ead69a1</t>
  </si>
  <si>
    <t>ece55bb3-fc9a-4a30-92b0-fb95a55aec51</t>
  </si>
  <si>
    <t>2f262b29-6001-432d-9f5c-0f6558826627</t>
  </si>
  <si>
    <t>bc7703f4-a5d9-4d99-955e-158eb11751ef</t>
  </si>
  <si>
    <t>9253a50a-fd90-4a43-a419-1a8725cdaaad</t>
  </si>
  <si>
    <t>6dd30fa8-e9be-4ba1-831d-ec479489390d</t>
  </si>
  <si>
    <t>0f3aff18-a29f-48d1-96fd-3dce25aa3f30</t>
  </si>
  <si>
    <t>b2ac1325-4f88-49f8-b626-c339c8a839b8</t>
  </si>
  <si>
    <t>2cea2e6f-6ac0-451e-bc97-28c032b6431b</t>
  </si>
  <si>
    <t>daba8bad-2131-40db-9fa3-467c7da43703</t>
  </si>
  <si>
    <t>ad2be0d3-7744-43bd-b4b8-5b61799756a1</t>
  </si>
  <si>
    <t>2e6ffbc2-aaf8-41c1-9d30-47ae9260fb4b</t>
  </si>
  <si>
    <t>13fc0db0-35b8-4902-a770-11a2aade369d</t>
  </si>
  <si>
    <t>286e9bc1-b9d2-4d4d-9b46-8f823a170139</t>
  </si>
  <si>
    <t>a9bac7bd-9fb2-43cc-b170-fb3a6c9772f7</t>
  </si>
  <si>
    <t>6e498648-f7cf-4fd0-9315-df66b413fba8</t>
  </si>
  <si>
    <t>0acb8995-d92d-46a1-b80a-2c5d7fac4df3</t>
  </si>
  <si>
    <t>b81c524a-a1a3-4047-a9ca-a656564f9ad2</t>
  </si>
  <si>
    <t>8c722fa9-57be-4fa0-a466-f43e61d35f94</t>
  </si>
  <si>
    <t>67261644-d5d8-4867-a359-22d606e2dcc9</t>
  </si>
  <si>
    <t>3cbf2873-561b-4ef3-a946-fc8693dab3bc</t>
  </si>
  <si>
    <t>d021c19c-289d-44b2-959c-bb3231f5f23a</t>
  </si>
  <si>
    <t>d73ea6c0-c6a3-43ef-b4df-34d432f0295f</t>
  </si>
  <si>
    <t>9ab55bb5-1957-46a6-8472-d26b2fda624a</t>
  </si>
  <si>
    <t>7492f32f-8c97-4a80-81ad-78749329c8f3</t>
  </si>
  <si>
    <t>d9ea07b7-ffa7-4165-8d37-04fdfe0fd5fa</t>
  </si>
  <si>
    <t>ad0caecf-9b95-4921-8a81-7bb311564c2a</t>
  </si>
  <si>
    <t>5b2ec7eb-5ee5-4b1a-a409-88f9b0dba73e</t>
  </si>
  <si>
    <t>9fa65636-ca49-40ef-bd85-85dac00a0612</t>
  </si>
  <si>
    <t>f916f25f-2303-4145-af99-99a0b8e8de5b</t>
  </si>
  <si>
    <t>37b1f7e9-731b-45f0-8b64-0019780a7c3c</t>
  </si>
  <si>
    <t>0c65fd72-9e3b-4033-99ed-4397ccf9346f</t>
  </si>
  <si>
    <t>9212f1ee-8fcc-49de-9379-496677369ec0</t>
  </si>
  <si>
    <t>245a68d0-ff48-4300-8fd9-94cc361e02c9</t>
  </si>
  <si>
    <t>88d0c4cb-a32d-45df-b849-536859b8ba10</t>
  </si>
  <si>
    <t>9b18d52f-d169-4ac0-aae9-840d5b8fd937</t>
  </si>
  <si>
    <t>85f3c893-5cb4-402f-893a-563686a5a644</t>
  </si>
  <si>
    <t>ff5354ce-5deb-4dc4-8d39-a68c03938af3</t>
  </si>
  <si>
    <t>e60d2e98-1236-4d67-aa6c-b5b3ca28e7a0</t>
  </si>
  <si>
    <t>d6dbab58-a030-43a9-9873-06b044b65052</t>
  </si>
  <si>
    <t>f290c3ba-8bc9-48c3-8b9f-d4c878f405fa</t>
  </si>
  <si>
    <t>a12e71fd-b9d2-4a9f-aa23-ec9901dd1fc3</t>
  </si>
  <si>
    <t>44bf9ce1-bd7d-40f8-a16c-abce926888ae</t>
  </si>
  <si>
    <t>10b310c8-dca5-4bbc-a54e-696beba345f2</t>
  </si>
  <si>
    <t>38d1c68c-e901-4446-a303-9ea123048b89</t>
  </si>
  <si>
    <t>795a4e3f-5b2a-4d74-94c7-0879c68f7140</t>
  </si>
  <si>
    <t>5eb42c33-ba38-441a-8c46-55726449543b</t>
  </si>
  <si>
    <t>6bbbd9ca-d3d6-443d-aed6-a5c6d9a6aa03</t>
  </si>
  <si>
    <t>7c517774-77b3-4c4c-acb6-8d338fcb3a6f</t>
  </si>
  <si>
    <t>3485b497-ec38-4c7f-abdb-05c2bad0e25b</t>
  </si>
  <si>
    <t>4b02c88c-a29d-46c6-aa87-2dae9f140e4e</t>
  </si>
  <si>
    <t>1f0e4cc1-431d-4fbe-89ca-3bd42241cd29</t>
  </si>
  <si>
    <t>2a059484-209d-4e60-8329-4344aac42bbb</t>
  </si>
  <si>
    <t>1ee12cc7-48c9-452c-83d0-aaf89ee786ff</t>
  </si>
  <si>
    <t>2fb99e15-5e31-4f4e-acaa-78dc5da4b8bf</t>
  </si>
  <si>
    <t>75609f51-5ee6-4cac-ad28-a3821e94554e</t>
  </si>
  <si>
    <t>f33d248f-0bb4-4189-919e-61f1a239d69e</t>
  </si>
  <si>
    <t>43cb53f5-d22c-4cb2-ae1c-879ffabb8b97</t>
  </si>
  <si>
    <t>85629d48-5eda-4610-b233-c4e4d562c796</t>
  </si>
  <si>
    <t>207f99b4-fa1e-4ed8-ad8e-7fb58d76e1aa</t>
  </si>
  <si>
    <t>39319e9d-faad-4026-bac4-4270b7853cd0</t>
  </si>
  <si>
    <t>a5c028fb-e6fd-43ab-a87c-bd591558b580</t>
  </si>
  <si>
    <t>1a19714f-fc3f-4023-8006-84d562378a9b</t>
  </si>
  <si>
    <t>96506b65-616a-497c-a3e4-888b830db1c3</t>
  </si>
  <si>
    <t>2d7ebb9d-93bb-495c-80de-4346c8a4cbee</t>
  </si>
  <si>
    <t>9d34ab95-164d-4c46-8f82-38b03ea4a17f</t>
  </si>
  <si>
    <t>025f67d8-5ff0-4e79-9463-ec829fec6755</t>
  </si>
  <si>
    <t>72795539-6b5f-4f9a-8105-7f15dba34e9d</t>
  </si>
  <si>
    <t>610b1d2e-92ab-4c35-868a-3227a0e36ba5</t>
  </si>
  <si>
    <t>7b2c7b95-8650-4966-80b5-50bcedc9ef73</t>
  </si>
  <si>
    <t>2ce755db-5314-4c64-b00b-ad8c71df90f8</t>
  </si>
  <si>
    <t>905edc2c-831c-4d3a-90e1-c80fd7f63a97</t>
  </si>
  <si>
    <t>b3210d44-92c1-40ad-b881-b560dda637c1</t>
  </si>
  <si>
    <t>9e87210e-05ee-4e33-9e89-9cd544cf9a4e</t>
  </si>
  <si>
    <t>6380741d-7d1c-4c91-8df5-cb4db02fbac7</t>
  </si>
  <si>
    <t>67f97be2-f7bd-4fe4-b6f9-5b5f3fd1da4c</t>
  </si>
  <si>
    <t>3b02d521-586b-4e03-88dc-a0e6f9d01eda</t>
  </si>
  <si>
    <t>053a53a2-0627-432e-b93b-ae6465d32095</t>
  </si>
  <si>
    <t>a2e3e19d-086e-4e27-9fcd-4677c429156f</t>
  </si>
  <si>
    <t>559d5073-6ed9-4e7a-ab5c-4cabe918406b</t>
  </si>
  <si>
    <t>6be63f37-9c93-4781-b9d3-ee6e4170a2c5</t>
  </si>
  <si>
    <t>0ba4451f-8bef-4373-99e9-338665b1faaf</t>
  </si>
  <si>
    <t>d4a3ccb8-d383-49aa-8b56-259c70e96ec1</t>
  </si>
  <si>
    <t>1b5e5fe1-2e6d-44d7-9a7c-e5bccbfe2c6d</t>
  </si>
  <si>
    <t>febcc30f-5bb3-4977-ba96-f546920d93c9</t>
  </si>
  <si>
    <t>362b51e7-e0eb-49f2-aa16-2e94b8062820</t>
  </si>
  <si>
    <t>759ff976-7636-4958-8a91-acb48aa80dfe</t>
  </si>
  <si>
    <t>33522bd5-ca92-4999-9077-ded7f2fb1e49</t>
  </si>
  <si>
    <t>32d86b8c-cf94-4d2e-9963-baae45c6b1ea</t>
  </si>
  <si>
    <t>b58920d7-b06e-4602-8f17-6351acee76bb</t>
  </si>
  <si>
    <t>40426e9f-3686-43a6-b231-f0d6d435df43</t>
  </si>
  <si>
    <t>34ce66fa-96d9-43d5-a840-7d0f624e6686</t>
  </si>
  <si>
    <t>9ae7d36b-12f9-4d0d-a13e-dbade0db9f8e</t>
  </si>
  <si>
    <t>06571e46-9baa-43e8-a233-e03930636b84</t>
  </si>
  <si>
    <t>3fd709e6-3919-422b-a31f-5d087936d68b</t>
  </si>
  <si>
    <t>8701ef59-597f-4cb4-abf3-c2fac543e7e4</t>
  </si>
  <si>
    <t>cd226887-22a7-4f48-ab87-03e7b874b9cb</t>
  </si>
  <si>
    <t>2eba8457-300a-470e-add1-a90f68e6b02a</t>
  </si>
  <si>
    <t>115385ba-4d05-41c3-8437-4c6892265daa</t>
  </si>
  <si>
    <t>d42b27cf-7d96-4bd9-8752-2a3e2dbc0def</t>
  </si>
  <si>
    <t>64c6a3d1-570a-4835-9f8a-295e5f4f5607</t>
  </si>
  <si>
    <t>1ab284de-6a45-4a1e-bccb-f31c7e8304b9</t>
  </si>
  <si>
    <t>3da7720a-a9fb-48f9-835c-45d6eba9a95c</t>
  </si>
  <si>
    <t>501815fc-7cd1-4680-8c34-93a69e69f7eb</t>
  </si>
  <si>
    <t>8a86d03a-5e09-42ff-bd95-e5195e959450</t>
  </si>
  <si>
    <t>9aaa979e-72ef-477c-b2ea-e1e373a1533e</t>
  </si>
  <si>
    <t>dcf5f39e-43d4-4d3e-bd9a-217b4ef016b8</t>
  </si>
  <si>
    <t>193ff2d8-d842-4028-837d-b13263e2f08f</t>
  </si>
  <si>
    <t>8798f187-18cb-42aa-a3bf-698dfd72a880</t>
  </si>
  <si>
    <t>81ff625a-3b7d-4d84-8a40-c0e42881eab7</t>
  </si>
  <si>
    <t>af59c21c-5c00-4051-b1a8-96b84b8c46be</t>
  </si>
  <si>
    <t>25af57e2-b956-4155-bf4c-3d7687b5d3b8</t>
  </si>
  <si>
    <t>4fc64b59-3f7e-4560-b434-027440fd4e30</t>
  </si>
  <si>
    <t>e8dd552e-5b29-4c98-b499-ac4be92ea012</t>
  </si>
  <si>
    <t>2a0d5401-4f2f-49e7-811e-f0ea4fe51a48</t>
  </si>
  <si>
    <t>1feead91-6d5b-4113-84f7-8a01c3112fa4</t>
  </si>
  <si>
    <t>5508c3b7-0927-40eb-9e4f-b9fed144ab44</t>
  </si>
  <si>
    <t>47fe2c0b-aac3-4406-9d6f-fac41aa6ef9b</t>
  </si>
  <si>
    <t>ec4b1929-7af9-4042-af0d-580378d7fd70</t>
  </si>
  <si>
    <t>b81d84e9-720c-4ebf-88d1-76fb220fec64</t>
  </si>
  <si>
    <t>dc750f45-8d0f-4d97-9c14-5f2c12b388df</t>
  </si>
  <si>
    <t>35183e0c-9d34-4de7-8e56-c02d8150d52a</t>
  </si>
  <si>
    <t>ea0ee4eb-bc26-492d-a755-e024bd41fc86</t>
  </si>
  <si>
    <t>e68ca7ad-262c-4faa-8f72-31acf9b3520c</t>
  </si>
  <si>
    <t>5cbb9981-6f2d-424f-af91-af52901b2f54</t>
  </si>
  <si>
    <t>c7d5fd94-65a7-44d0-9950-cbd4a81baefc</t>
  </si>
  <si>
    <t>5ff73d3c-2fab-46f6-9b67-48982872780e</t>
  </si>
  <si>
    <t>1d278ed7-0ab6-4012-8ab9-58513b6242e1</t>
  </si>
  <si>
    <t>37371173-515b-475e-afc8-832445a40a2a</t>
  </si>
  <si>
    <t>175442f3-3430-402e-8032-bd875f2163c2</t>
  </si>
  <si>
    <t>74c58c56-4bbd-4e7c-8ff9-1853e03f0e7b</t>
  </si>
  <si>
    <t>1367ea74-884b-4db8-b4be-43a00413f280</t>
  </si>
  <si>
    <t>b5632911-eebb-4df5-98e5-68ba421fee57</t>
  </si>
  <si>
    <t>10b6a948-69ee-4074-8e15-c15ce0304f8f</t>
  </si>
  <si>
    <t>05cc6f25-3ad7-48e3-b37d-cd542f0facd8</t>
  </si>
  <si>
    <t>1170be2f-64e5-4819-856d-961cd44a38d4</t>
  </si>
  <si>
    <t>c6a8e5fa-5432-47ce-b361-ae6096451a27</t>
  </si>
  <si>
    <t>ec9db0f2-3043-427d-a332-28ec111524de</t>
  </si>
  <si>
    <t>2773e85d-c7cf-4a74-885e-e2f0d15c50f5</t>
  </si>
  <si>
    <t>82f97023-7abf-4356-9b04-437f708c843a</t>
  </si>
  <si>
    <t>7cdbbdf7-d057-4b7f-b595-38a19016ad63</t>
  </si>
  <si>
    <t>7d6adea2-0428-4b69-b74a-83be5a20dcdd</t>
  </si>
  <si>
    <t>58c2d13e-80d1-4d13-ba1b-c10fdb76845d</t>
  </si>
  <si>
    <t>fd0bbc67-8b8e-4ced-ae4b-67e27c0e854e</t>
  </si>
  <si>
    <t>0b3ee497-e62e-42de-907d-169ab8c05e41</t>
  </si>
  <si>
    <t>578a0a90-3fed-4c72-ba24-bb08903f1d4e</t>
  </si>
  <si>
    <t>7a9a43fb-a99f-4468-a7df-8b037e5723d7</t>
  </si>
  <si>
    <t>9bdf15cd-9bb1-498f-ae9f-182f09db433a</t>
  </si>
  <si>
    <t>c3f7aa56-f0bd-416c-8351-b4a71bb9cc03</t>
  </si>
  <si>
    <t>b21933f8-6d51-47a5-8cc3-800b518ebd77</t>
  </si>
  <si>
    <t>816f0519-7f1f-4840-b216-b8c08471d1c9</t>
  </si>
  <si>
    <t>fbf49131-0d40-4538-b833-61f2853232f7</t>
  </si>
  <si>
    <t>fca823b8-3edd-4563-a0cf-b232af5e2b5b</t>
  </si>
  <si>
    <t>003a0b79-bbe0-4fc3-a472-6f41163304f6</t>
  </si>
  <si>
    <t>9df42ee9-00e2-45dc-90a7-f5111edb1dd4</t>
  </si>
  <si>
    <t>a5274505-ce99-404d-91d2-7eb2b196c891</t>
  </si>
  <si>
    <t>ab0b6855-52b4-4535-bde3-ef4e0941742b</t>
  </si>
  <si>
    <t>b69cfa34-4ed4-4990-91ba-4e92acf4365d</t>
  </si>
  <si>
    <t>9ec86251-a006-474a-a64e-cdca8f8c125d</t>
  </si>
  <si>
    <t>28da7e28-603e-4b58-90d9-084ffdc09314</t>
  </si>
  <si>
    <t>168a2180-feec-4b0e-82e7-a717621851ad</t>
  </si>
  <si>
    <t>66b059d7-75da-4083-ae90-baf7321930ba</t>
  </si>
  <si>
    <t>1fda63bb-9af0-4c63-b275-92e1711d8c2f</t>
  </si>
  <si>
    <t>1e5ea5bb-78d0-44d0-8ed9-1ab9ee0f5ec6</t>
  </si>
  <si>
    <t>3e7541bd-bfd7-4c88-a7f6-bcdb0c97507a</t>
  </si>
  <si>
    <t>5ce962cf-4737-4fed-b993-de3e16546c74</t>
  </si>
  <si>
    <t>3fe2608c-c96b-44ba-9bd4-3b9815ca30a8</t>
  </si>
  <si>
    <t>0518f586-beca-4a14-89bc-b8084bcf6599</t>
  </si>
  <si>
    <t>2841bec1-e995-44c2-a8a3-461e3eb33cb6</t>
  </si>
  <si>
    <t>79834450-f52d-498e-902b-cb69d3f6c6a4</t>
  </si>
  <si>
    <t>2efa1510-6349-40ab-8c60-5b5abec779a6</t>
  </si>
  <si>
    <t>2adb38da-c9e8-43dc-b500-4ebdfc5187e1</t>
  </si>
  <si>
    <t>fa4ec32f-55e7-4609-bb12-293d41b042f6</t>
  </si>
  <si>
    <t>54ef27f9-1c05-4e92-8b3d-adbaf901c73f</t>
  </si>
  <si>
    <t>6a973e51-c068-46f4-92f7-8eec5d2028cd</t>
  </si>
  <si>
    <t>6c9531ae-10ec-45cf-99bc-971287abef2a</t>
  </si>
  <si>
    <t>b6b5ba74-46cf-4df3-aeae-c16d3338d3e3</t>
  </si>
  <si>
    <t>04df6b31-22ff-4a64-b1f9-fde97eed25f8</t>
  </si>
  <si>
    <t>aa9475e4-00e1-4e7c-9c1b-780632d33b3d</t>
  </si>
  <si>
    <t>aa019cbc-24d5-4898-93ee-5b2f4b89ef68</t>
  </si>
  <si>
    <t>f8b2fc02-c42f-48c0-a07b-56e4d8eb9d85</t>
  </si>
  <si>
    <t>57e85db6-af70-499c-9d7d-c89dcc29a52d</t>
  </si>
  <si>
    <t>86b5d63b-5dd5-4d9b-907e-ef44a55e3c9e</t>
  </si>
  <si>
    <t>15e35649-01d8-4a27-849b-6aab102fce77</t>
  </si>
  <si>
    <t>5bf04dcf-b209-4833-a2b7-be6c11aa6a41</t>
  </si>
  <si>
    <t>3cf947ab-e2d5-43cf-8dee-e8b8566d5dee</t>
  </si>
  <si>
    <t>3a5fcf0b-57a7-4e8d-8afd-7bcf84b8adc5</t>
  </si>
  <si>
    <t>61ae1e60-0d02-409b-b105-b64c3f2ecf90</t>
  </si>
  <si>
    <t>884c5fad-a79e-457f-be31-813997b37cf6</t>
  </si>
  <si>
    <t>3414e470-95a7-4043-b8ce-b7c876fa0969</t>
  </si>
  <si>
    <t>2a4f3f62-fb1c-4854-b2d0-8078586f0eff</t>
  </si>
  <si>
    <t>6d118c34-ab50-4536-a2a2-b07a214e2343</t>
  </si>
  <si>
    <t>147bda63-2552-4e10-a3d7-3ad43264b5e2</t>
  </si>
  <si>
    <t>43711252-d3df-41aa-98bf-b17bd33ad95e</t>
  </si>
  <si>
    <t>755df1c3-0358-4107-9e92-d5bcc92e25ff</t>
  </si>
  <si>
    <t>a29dec9d-fc5a-4d29-9c63-5d4465de58c6</t>
  </si>
  <si>
    <t>4e50ad61-f951-418f-88ca-cbdaf2b57e8d</t>
  </si>
  <si>
    <t>cc3ba241-0ca3-40b2-a1f9-a8e88cb724e8</t>
  </si>
  <si>
    <t>a8eeb6ff-e4e6-4fa6-b4dd-2147d66e5234</t>
  </si>
  <si>
    <t>81a4ab80-32bd-4d9a-9e23-6cecbebf2173</t>
  </si>
  <si>
    <t>9677ed5d-0bf2-4ccc-92ca-c176e3ed5ab2</t>
  </si>
  <si>
    <t>bc860dfd-b813-4828-a17c-0b55c994de44</t>
  </si>
  <si>
    <t>a5f996c0-05a7-4654-b5ee-46b897cfbb83</t>
  </si>
  <si>
    <t>ac99a3e4-fbf6-4b32-82cc-76d8d2d528f1</t>
  </si>
  <si>
    <t>dc8a8278-a2ed-47b1-aa4f-c0693a216b8f</t>
  </si>
  <si>
    <t>19f92e26-27ea-420a-803a-fffce53367a5</t>
  </si>
  <si>
    <t>1ada8db6-b7b4-4bfc-ae3d-600e0fce87c6</t>
  </si>
  <si>
    <t>9e87a156-02ad-45a1-b98f-e218859f3d38</t>
  </si>
  <si>
    <t>eb5b6e30-6cc5-4abf-a0e0-99faac5951e6</t>
  </si>
  <si>
    <t>4abe31be-3910-4fe0-9b6b-17481304f2c6</t>
  </si>
  <si>
    <t>99e90dad-2eaa-46e0-838a-ed38065dcef8</t>
  </si>
  <si>
    <t>012bcaff-f27c-444f-bba9-0e8d362980d6</t>
  </si>
  <si>
    <t>67370c23-ea2c-4fae-a662-bac10e67fb5d</t>
  </si>
  <si>
    <t>d58c60e4-282f-48df-a284-f965335453a6</t>
  </si>
  <si>
    <t>2a7592d1-a98b-47f9-9b78-1da8608e4ba2</t>
  </si>
  <si>
    <t>fb89a317-d2a8-4415-b75b-923bc1f30e87</t>
  </si>
  <si>
    <t>eae91e7a-6c46-4327-b6d4-a5ad5d813d39</t>
  </si>
  <si>
    <t>c2e7c00e-db9d-4789-89ad-76d415275d8d</t>
  </si>
  <si>
    <t>95b33d84-4e8c-487c-80e1-3612c7911294</t>
  </si>
  <si>
    <t>9691b88b-4dcc-4c06-a61b-7703cc740491</t>
  </si>
  <si>
    <t>819a11d2-8939-4883-84fb-7983e1326cbb</t>
  </si>
  <si>
    <t>09cb6244-abf9-46b2-98fe-24e87b26170e</t>
  </si>
  <si>
    <t>eb9c8e47-3f0f-4851-95fc-9edd7ff39aa2</t>
  </si>
  <si>
    <t>d2947208-73ad-4e8c-9665-809f51d636fb</t>
  </si>
  <si>
    <t>cc7fca45-d81c-4971-8fd7-2a953250de71</t>
  </si>
  <si>
    <t>28da3fe8-e182-4b9e-874c-0ac4c7cdf9cd</t>
  </si>
  <si>
    <t>6ef6129f-8d85-4be9-a20a-bd1e67689ab7</t>
  </si>
  <si>
    <t>bead6a43-11a4-4f53-af77-0d537fe06928</t>
  </si>
  <si>
    <t>e2f70790-f0ed-4ad8-8985-bc89def534a9</t>
  </si>
  <si>
    <t>8710f794-e3ec-4fd0-b4aa-f9feff298048</t>
  </si>
  <si>
    <t>35ccb42a-5b8f-4a56-b979-56ef4df94413</t>
  </si>
  <si>
    <t>3032fb1b-eee1-4e0b-8b51-30b6a52cd563</t>
  </si>
  <si>
    <t>a47b3283-a619-43f4-8ae0-b649ee493a8e</t>
  </si>
  <si>
    <t>e27f7ce7-451e-43a1-921d-805411db2e25</t>
  </si>
  <si>
    <t>985405ca-0c9a-41bb-b747-4c142f3e339a</t>
  </si>
  <si>
    <t>d8a243e7-f547-459a-929c-4105fd3f8b38</t>
  </si>
  <si>
    <t>ca6b3804-bb03-4b9b-b835-76b2fe647189</t>
  </si>
  <si>
    <t>1bbee03c-aa9a-43ba-a760-10d789b2bb68</t>
  </si>
  <si>
    <t>b8c8c57b-903f-448b-88fc-0313c24694b7</t>
  </si>
  <si>
    <t>39414f09-6fcd-4d7e-a1f0-f4345620df82</t>
  </si>
  <si>
    <t>b4aebd19-20bf-4d4e-a458-45038b95a910</t>
  </si>
  <si>
    <t>4ca1ccbe-5e66-4bdc-b1d4-282060b755ed</t>
  </si>
  <si>
    <t>c5bfe476-a505-42d5-8a63-9ec89b17d347</t>
  </si>
  <si>
    <t>2d9e4af8-9f66-4585-9e71-d42609937bb8</t>
  </si>
  <si>
    <t>0bf9c06d-e909-461d-9505-147648fc9e80</t>
  </si>
  <si>
    <t>730c39fa-5f30-44a1-9ca8-0fb76e80cd16</t>
  </si>
  <si>
    <t>dd50e0b3-cece-4441-881f-09eee537b752</t>
  </si>
  <si>
    <t>7ebf8b63-c79a-41b3-b418-e06465b5d3ee</t>
  </si>
  <si>
    <t>95f04ac9-d1ae-4d72-874a-8e2927626532</t>
  </si>
  <si>
    <t>a76291ab-bfb6-4bb9-8467-2c5c89ce0c01</t>
  </si>
  <si>
    <t>3d0adeac-cb46-4796-8548-b37987c94581</t>
  </si>
  <si>
    <t>54b96af4-ca5c-4846-a42d-4d6f8698163d</t>
  </si>
  <si>
    <t>e6a7df09-1068-494e-86b1-382393fc5ee9</t>
  </si>
  <si>
    <t>b96e7dcf-5d14-4745-bb48-28c661562440</t>
  </si>
  <si>
    <t>ad17bae3-ef4b-43ea-95f6-c26fd969493e</t>
  </si>
  <si>
    <t>2cb5d01b-9a5a-4270-a03f-d487eb11ae88</t>
  </si>
  <si>
    <t>b832a589-8dc2-48a0-8a58-25d1035941ec</t>
  </si>
  <si>
    <t>728a8191-97ca-408b-882e-f8f5ec540146</t>
  </si>
  <si>
    <t>10d74e3d-d297-4008-9a90-bd424fd2423e</t>
  </si>
  <si>
    <t>8492a1da-4c16-458f-b27f-7f3127b402bb</t>
  </si>
  <si>
    <t>ac9e9c4b-a50e-4c0c-9f68-d0a2b3a657f5</t>
  </si>
  <si>
    <t>ccddfb15-797a-4e9e-b571-4675290b071d</t>
  </si>
  <si>
    <t>414f08d4-5a4c-4113-b152-09813060f9a4</t>
  </si>
  <si>
    <t>16bb271f-9990-42ef-a49e-5563fb1d11b9</t>
  </si>
  <si>
    <t>724493ea-fdfc-4cb1-914c-4f157f8803a8</t>
  </si>
  <si>
    <t>525028b4-ea2d-463f-892f-86a839621ee9</t>
  </si>
  <si>
    <t>ea3decc3-11cf-464e-8b9b-91e394e97d41</t>
  </si>
  <si>
    <t>ad8bfdb0-341b-4c9c-8e83-d96aed9203e5</t>
  </si>
  <si>
    <t>b146adf9-cdfd-48d7-bc1c-0748cca548b2</t>
  </si>
  <si>
    <t>b488bac9-04c0-425b-a671-70598580c686</t>
  </si>
  <si>
    <t>d29365dc-c4e0-4b7e-a094-b3aee49a99f4</t>
  </si>
  <si>
    <t>63f9d986-7068-49e3-b822-fab8e0a49bc1</t>
  </si>
  <si>
    <t>d2bbf3a7-d910-4d8b-b554-497251508886</t>
  </si>
  <si>
    <t>0ceddb1d-533e-46bc-967f-823b87b432fa</t>
  </si>
  <si>
    <t>9747ed12-6f16-46af-8c59-c54fcd947b73</t>
  </si>
  <si>
    <t>08dbcf43-5ce6-4326-a997-8da4cf6f731f</t>
  </si>
  <si>
    <t>3c78a99f-e9a5-4f6a-9bd4-9bea5f137515</t>
  </si>
  <si>
    <t>99cbb3de-fe56-4704-82c1-ffa8dd5c7a36</t>
  </si>
  <si>
    <t>ae2fd5ac-59e1-4433-b26b-3ac43b42a4bf</t>
  </si>
  <si>
    <t>0a82244e-e72e-46a5-9d96-76eedc5674c6</t>
  </si>
  <si>
    <t>8316d994-9295-49d6-b608-7a27856fa6cf</t>
  </si>
  <si>
    <t>e1b71893-1f20-45ab-b9e6-0edacceaf9d3</t>
  </si>
  <si>
    <t>00c85c4a-478b-411c-a06f-8d229eea4684</t>
  </si>
  <si>
    <t>77601669-57ba-4d83-822b-2c9d3fbee785</t>
  </si>
  <si>
    <t>aa3d931e-f2c1-4a87-ac26-f4feed539178</t>
  </si>
  <si>
    <t>4abb2b16-b493-4d53-a738-9475abc94756</t>
  </si>
  <si>
    <t>dbee2c1d-4003-4723-b0db-0cdd117d341d</t>
  </si>
  <si>
    <t>06ad36eb-67ec-4eb4-93d7-fa5c1a4abded</t>
  </si>
  <si>
    <t>74296717-7313-49b7-a0ff-17281751b037</t>
  </si>
  <si>
    <t>10374c5a-0a9b-46c9-a19a-4b9acbfe6322</t>
  </si>
  <si>
    <t>107f9e60-e4ce-4fe0-b90f-7f478b64e346</t>
  </si>
  <si>
    <t>e6f5aad8-3d0d-482c-b377-0399c888f984</t>
  </si>
  <si>
    <t>e88ae0bf-e5ca-4295-ab09-1ea14e389b70</t>
  </si>
  <si>
    <t>3c748cc8-fab5-41d0-971e-eba32b247a66</t>
  </si>
  <si>
    <t>bd3ee325-8a00-419a-b1a6-e976080197f5</t>
  </si>
  <si>
    <t>ce5f31e7-101e-4709-ac71-b46dfd8c8c59</t>
  </si>
  <si>
    <t>f9aae5f5-3f3b-4afe-ba24-4f313a94ec46</t>
  </si>
  <si>
    <t>46942525-7197-40ab-a5d1-79e46f5e09f4</t>
  </si>
  <si>
    <t>eca3b2cc-7fa6-4731-93c2-c2af38d448ad</t>
  </si>
  <si>
    <t>17f77859-2514-41c7-95be-cd3570d0025c</t>
  </si>
  <si>
    <t>e0795841-bcb5-499e-86e6-cb0f87f9870f</t>
  </si>
  <si>
    <t>c76969cd-336d-4838-a240-8002d91705f2</t>
  </si>
  <si>
    <t>74dcb7c7-74c6-43e6-9034-d1a72adad651</t>
  </si>
  <si>
    <t>9ee5c445-56ec-4208-b47c-759c3b7f01bb</t>
  </si>
  <si>
    <t>999d8e4e-1e8e-46fa-818e-9657afcc0068</t>
  </si>
  <si>
    <t>a1743e4c-9e2c-4f48-a208-dba3b8df1c91</t>
  </si>
  <si>
    <t>32b42dc3-6e82-44bb-b5d0-f323244aba7c</t>
  </si>
  <si>
    <t>1386123c-5f7c-459e-ae51-08ae5fbe47bb</t>
  </si>
  <si>
    <t>b1298a61-b99b-4b75-a99a-ad94966f69f6</t>
  </si>
  <si>
    <t>71f9b5da-cd65-4d82-aadc-03be9f0d0822</t>
  </si>
  <si>
    <t>feb0dafb-ef3c-4cd8-a3e4-530babafb063</t>
  </si>
  <si>
    <t>68fd098e-d088-47eb-b14f-bd5e306322a0</t>
  </si>
  <si>
    <t>ad293cc0-f9c5-41cc-b98b-d30104acd571</t>
  </si>
  <si>
    <t>2d709119-8028-4486-8e2c-d140c42a3e33</t>
  </si>
  <si>
    <t>2619177e-ff09-4d89-b00b-f61e7dad8bf9</t>
  </si>
  <si>
    <t>a2fa6fbd-35f8-4db0-aff2-2673727dc84c</t>
  </si>
  <si>
    <t>dc3a0a45-0717-4baa-86f2-8d6573d5cd0c</t>
  </si>
  <si>
    <t>5fa5ca82-b81d-40df-a054-96e09acb28ea</t>
  </si>
  <si>
    <t>ce71d08b-80b9-4b6a-a055-d07ad964b74e</t>
  </si>
  <si>
    <t>3f0c299b-2856-4fcd-9da8-a1d19afa1365</t>
  </si>
  <si>
    <t>c298405c-4f93-4e45-b8ce-de46bc13b51a</t>
  </si>
  <si>
    <t>107b7ac2-d69a-482e-ba42-0707d07983f5</t>
  </si>
  <si>
    <t>a9414457-2c36-4d97-8820-4dcc8349368e</t>
  </si>
  <si>
    <t>db07d34d-d62e-4cee-a65b-00f8a336c73b</t>
  </si>
  <si>
    <t>a1fa1e89-c730-4c7f-b615-5fc51f92abfc</t>
  </si>
  <si>
    <t>df2e5ee6-a486-4cd8-b452-959e63e397c6</t>
  </si>
  <si>
    <t>5dbd7687-5f99-4393-93cd-22ad811b4d22</t>
  </si>
  <si>
    <t>3f8f748f-aae8-4ebd-8e6d-a88ed721f2fd</t>
  </si>
  <si>
    <t>dfb72a40-99ce-419c-8bb8-a7e6d80f8d0f</t>
  </si>
  <si>
    <t>2c9893fa-7934-40a5-8ddb-85f934f5dbe0</t>
  </si>
  <si>
    <t>45c38e06-d28c-46b6-b473-bd983b259d4c</t>
  </si>
  <si>
    <t>64d85f24-42f8-48b1-8675-590db42d23e5</t>
  </si>
  <si>
    <t>0aa018d1-6f8d-493a-bd1b-7d79b803fd22</t>
  </si>
  <si>
    <t>d50276ec-30c4-4e33-94b1-68cb83eaf5a7</t>
  </si>
  <si>
    <t>76cc2999-f28b-46ee-b31d-a27407c1f421</t>
  </si>
  <si>
    <t>9ae4fd75-7402-4539-8d0d-a5d7d1ac9596</t>
  </si>
  <si>
    <t>1b9db6e9-6522-4731-9474-7b1f63da1fc9</t>
  </si>
  <si>
    <t>0c7a461a-e6f9-45c9-a1ba-b9745a6b3b17</t>
  </si>
  <si>
    <t>37dd41be-f537-46b1-8e2e-905604a8cdad</t>
  </si>
  <si>
    <t>2fa9fc55-ecbd-428f-a0e6-7ce6f60e8975</t>
  </si>
  <si>
    <t>76f5fba2-0349-4f73-84aa-475fa2f8c789</t>
  </si>
  <si>
    <t>cf48d58a-217e-40c4-b6c5-72bbbe03fd56</t>
  </si>
  <si>
    <t>ac919ac2-e711-45b2-8d74-f2d164585c15</t>
  </si>
  <si>
    <t>dbdab0cd-577e-49b5-b94e-4c5d8162c4f5</t>
  </si>
  <si>
    <t>d85e4916-857b-4008-b7a5-20ea8157e9af</t>
  </si>
  <si>
    <t>17ed341d-de04-4466-8b18-bda03f5e38fd</t>
  </si>
  <si>
    <t>274599c6-5a23-4d2e-a471-22fa0e76e24e</t>
  </si>
  <si>
    <t>dc5b0984-88d3-4ff3-b093-f0cfdb80070d</t>
  </si>
  <si>
    <t>ca23a8be-fef8-4b6c-afba-136af304b2d5</t>
  </si>
  <si>
    <t>4099d31a-cc4b-4948-bcb8-d3270cf3a9f5</t>
  </si>
  <si>
    <t>37c521d5-e042-4dc6-a38a-be7eafeb9092</t>
  </si>
  <si>
    <t>17ce1fd9-fa04-4c76-b7c0-f23519005371</t>
  </si>
  <si>
    <t>c1660018-6e78-4bd4-88f0-3a1faa017c4c</t>
  </si>
  <si>
    <t>86079cfc-0cd9-4487-ac31-0e38a2859cd2</t>
  </si>
  <si>
    <t>3e3cfb79-20ef-4690-a186-7f69adb9c1c6</t>
  </si>
  <si>
    <t>c726aec5-29ec-4b62-b752-7d9f91d7ebd1</t>
  </si>
  <si>
    <t>7911e6e5-fad9-423b-b343-c74a045ad2ae</t>
  </si>
  <si>
    <t>0a5ee218-5618-44fe-b90d-cae6da8f6859</t>
  </si>
  <si>
    <t>99b365a9-075d-4ed6-b3a4-539d4245cd22</t>
  </si>
  <si>
    <t>20b10142-39c2-4061-8573-a1e5f91ad019</t>
  </si>
  <si>
    <t>2b784338-d744-4800-b6f8-4508260255b7</t>
  </si>
  <si>
    <t>ac8576dd-8167-485c-9452-c8fc0e559ed8</t>
  </si>
  <si>
    <t>e95a32d7-dbb3-457d-b655-df5765b3ea84</t>
  </si>
  <si>
    <t>a22b2cef-2032-47d9-8fb4-36f3dcf93b94</t>
  </si>
  <si>
    <t>ba13ed63-7cc2-4a1e-9d77-d45bfe793cc5</t>
  </si>
  <si>
    <t>8bdf4628-437d-4675-a5bd-c0e70adb590d</t>
  </si>
  <si>
    <t>e203e4ef-dc62-4e97-884d-77a46ddf3813</t>
  </si>
  <si>
    <t>5b4c2040-0725-49cd-b8bb-0c1848fe1577</t>
  </si>
  <si>
    <t>cdd7611f-d900-43cf-b218-71d45bca9a13</t>
  </si>
  <si>
    <t>11d562cc-a296-442c-8ad0-4c2a5f5f2e1f</t>
  </si>
  <si>
    <t>1fb210c3-6369-4fb9-9abc-f56736df9f47</t>
  </si>
  <si>
    <t>1aab7315-184d-4e18-8338-071aab257e63</t>
  </si>
  <si>
    <t>33e54062-d5b6-400e-9f34-fe98abbe476c</t>
  </si>
  <si>
    <t>5d0fd4a3-dc03-4a99-8cb0-087424513a52</t>
  </si>
  <si>
    <t>d16fcf8a-89ce-4b6c-9083-bf9e43fbd8d7</t>
  </si>
  <si>
    <t>609e1a47-614a-4c12-b0c7-50c6a27c83bb</t>
  </si>
  <si>
    <t>c3fc2a8b-b9e3-48b3-9c46-b3a64b62157d</t>
  </si>
  <si>
    <t>6af2ef31-7637-45a5-8a64-201ec7cb3065</t>
  </si>
  <si>
    <t>a35b0e4d-c43a-48cb-8c56-e49d6879c391</t>
  </si>
  <si>
    <t>1c904da9-0232-449d-a20e-43a3c0e409b7</t>
  </si>
  <si>
    <t>3f0b4a45-5ec6-4a10-a6f0-dfab7d32c292</t>
  </si>
  <si>
    <t>696ead93-5262-4d00-a2ab-042f737bcb9c</t>
  </si>
  <si>
    <t>eacf58bf-9e97-4299-b176-75e028554818</t>
  </si>
  <si>
    <t>75c9cb84-d05c-4a42-8ab2-828d008f94ba</t>
  </si>
  <si>
    <t>dac932ff-cdf8-4b8d-a369-7a25f9bd7a0e</t>
  </si>
  <si>
    <t>39000a6b-840b-4387-8278-74242df72456</t>
  </si>
  <si>
    <t>0c1633dd-ffdf-4a8e-acf3-6b8726513703</t>
  </si>
  <si>
    <t>4c9b0d0f-1fa8-439e-af1f-8282130cf0bf</t>
  </si>
  <si>
    <t>dbaf9169-5442-4b8c-b41d-b9f87f96e404</t>
  </si>
  <si>
    <t>56eae98d-0f94-42e9-bc74-b87ee559adc0</t>
  </si>
  <si>
    <t>4234d7ee-c5d2-43be-ad24-1545623c4983</t>
  </si>
  <si>
    <t>a880a8d5-fd6c-4056-8fea-151329ac0bc0</t>
  </si>
  <si>
    <t>fe3fe07b-85b9-4f24-aef0-78a120ffca7d</t>
  </si>
  <si>
    <t>da3695da-d79e-4240-be6f-e5252500e74c</t>
  </si>
  <si>
    <t>45556d1e-cca3-4681-91f0-c400a3523511</t>
  </si>
  <si>
    <t>755ce452-4079-48bb-bc47-4ba2b2ecd942</t>
  </si>
  <si>
    <t>fa010757-b01a-4f20-abed-bce22f5a810a</t>
  </si>
  <si>
    <t>e2dfa569-35ea-412e-9a4e-2b194f5d62c8</t>
  </si>
  <si>
    <t>003e8ce2-25ac-44b6-91db-fc2784528c36</t>
  </si>
  <si>
    <t>e25b97a4-daab-4243-8698-14b71b085a13</t>
  </si>
  <si>
    <t>8acd78db-f4ed-4bc0-a385-0764a60e7b9f</t>
  </si>
  <si>
    <t>8a3af76b-7153-48c0-a775-3534fd49fe16</t>
  </si>
  <si>
    <t>8661f083-bf8b-497e-80af-74b5442aa691</t>
  </si>
  <si>
    <t>e444d340-ba14-40bd-99f4-85f85f98cf78</t>
  </si>
  <si>
    <t>e12dbde6-af94-4fed-8392-75efd9f8c1a8</t>
  </si>
  <si>
    <t>095b2666-34f3-42ba-aaa6-f9512b8d30cc</t>
  </si>
  <si>
    <t>d3c3d095-8b42-45d2-9c19-7e3fa96ca787</t>
  </si>
  <si>
    <t>1aa16b12-fff7-48b4-9b72-fa22e08d058d</t>
  </si>
  <si>
    <t>f8aa86e5-518a-4051-9727-74947064db92</t>
  </si>
  <si>
    <t>a92a788b-ae74-4716-9bea-7eb0b3cef793</t>
  </si>
  <si>
    <t>17183448-1fc2-4e97-a5f2-36d1d5a9ca1e</t>
  </si>
  <si>
    <t>cdb0c59c-6086-4985-a133-bd141e1bb6ca</t>
  </si>
  <si>
    <t>dcb91836-142b-4bcd-b42c-f0b34c272121</t>
  </si>
  <si>
    <t>828e263c-a5a2-4390-8880-5851ba9395c1</t>
  </si>
  <si>
    <t>c54f6982-c7af-4460-b1ca-661c411ee091</t>
  </si>
  <si>
    <t>e7c17a68-7cb0-445f-8d31-f2c1d07aab3d</t>
  </si>
  <si>
    <t>da5099cc-9057-4fcd-a133-8873336c7697</t>
  </si>
  <si>
    <t>2d6081cb-4964-472e-ad69-86ebf0dd7c1c</t>
  </si>
  <si>
    <t>45edfde5-88c9-424d-8d71-709998c94939</t>
  </si>
  <si>
    <t>55e8d23c-b8a3-4bb1-9c03-3e14641639ac</t>
  </si>
  <si>
    <t>def3e5b6-5ce0-4d69-b0b5-b39fad417a6d</t>
  </si>
  <si>
    <t>b27e3290-ca39-4779-89db-6402ae280a3d</t>
  </si>
  <si>
    <t>3a23e4a5-22f8-4647-8717-8331fa5eba94</t>
  </si>
  <si>
    <t>b945055d-449d-47e8-9f14-574ea7cea9a1</t>
  </si>
  <si>
    <t>c5dc62ac-e177-461a-bc76-d7842de60ca8</t>
  </si>
  <si>
    <t>035988be-2cdb-4a69-a630-6d76bc1b97f6</t>
  </si>
  <si>
    <t>8a0a4ccf-0708-43c7-8b95-12cf9b4fb001</t>
  </si>
  <si>
    <t>f044c71b-3fed-4121-9cd6-b3a3d0be4cf6</t>
  </si>
  <si>
    <t>77a6c968-3ec1-4c82-ae01-a2e5b4db0931</t>
  </si>
  <si>
    <t>6a53dd10-b7e8-44f2-8f4a-56015f9a5c61</t>
  </si>
  <si>
    <t>bbe577b2-0e7e-44de-aec5-8d54cbb0eed8</t>
  </si>
  <si>
    <t>8b412cdc-c03a-456c-af50-3d045bc026ee</t>
  </si>
  <si>
    <t>735190c8-4a3d-46a6-885f-795f3ecdad42</t>
  </si>
  <si>
    <t>f60e85aa-2c80-4282-9a7e-885c5b1801fd</t>
  </si>
  <si>
    <t>43316923-630e-4b9d-97af-cc263e0b56e3</t>
  </si>
  <si>
    <t>67ce86b7-0f74-4af8-acf1-5987206db796</t>
  </si>
  <si>
    <t>87d5811f-29bd-480a-b53e-8b2775331cfe</t>
  </si>
  <si>
    <t>6d446445-a1b2-455d-bba9-d7f3077c0a10</t>
  </si>
  <si>
    <t>dce7ccc8-e51c-4cb3-9aed-7f952220a2d1</t>
  </si>
  <si>
    <t>688d52ac-3051-4780-b1f1-5436fdb4d51b</t>
  </si>
  <si>
    <t>efe57503-644e-4224-a159-a8d880e1676b</t>
  </si>
  <si>
    <t>8a965066-832a-445b-a5d3-6935102c89a0</t>
  </si>
  <si>
    <t>211cc3e6-2493-4cb5-a05d-648a8b62339e</t>
  </si>
  <si>
    <t>827b839a-2a40-41e8-a668-3e84708aab8d</t>
  </si>
  <si>
    <t>5a434596-ec80-4d47-a472-46587f20a98f</t>
  </si>
  <si>
    <t>6c297fda-c973-4435-ac49-c330b5e20030</t>
  </si>
  <si>
    <t>e7336493-b9bd-47ee-9298-a74a91625ab9</t>
  </si>
  <si>
    <t>14ef7d6f-0c7f-448e-8bb2-a718401cd8a9</t>
  </si>
  <si>
    <t>3914fd90-24cd-4681-a26a-2ba4a2a159f9</t>
  </si>
  <si>
    <t>5f056e77-b597-4372-81ec-74cfa153e832</t>
  </si>
  <si>
    <t>f1f834a6-23c4-405a-b5f2-dfd604ce318b</t>
  </si>
  <si>
    <t>2cf69775-8761-45e2-a44d-b4bd0669b757</t>
  </si>
  <si>
    <t>4f25b8c4-d5c9-4131-af78-55e3ffeed2dd</t>
  </si>
  <si>
    <t>c51b4715-3ce4-49e7-9102-508107212399</t>
  </si>
  <si>
    <t>2430b31a-ab1d-4aeb-9d8f-5b5bb2427ff5</t>
  </si>
  <si>
    <t>a06f6ebb-cdf1-4d0a-ab74-c3c1b86d53ae</t>
  </si>
  <si>
    <t>b160aa5f-532a-4e17-999d-5d17abb3926f</t>
  </si>
  <si>
    <t>f7f78b0a-14a9-43c0-8ab4-dbae4364badc</t>
  </si>
  <si>
    <t>6516706c-08dd-4be3-9bcf-d8cc39b8e59b</t>
  </si>
  <si>
    <t>e518b0d5-b916-43a0-9f3e-23030ae34aa7</t>
  </si>
  <si>
    <t>ca6e759e-e5b0-4f69-b548-2acfba9ef338</t>
  </si>
  <si>
    <t>b0d6c364-2083-42c5-9c6f-92fb5a21a71a</t>
  </si>
  <si>
    <t>5d26a7bf-3240-4197-a94c-369861b65c37</t>
  </si>
  <si>
    <t>58ae61ba-c2a5-4ae2-b3ec-3a99c8ea6357</t>
  </si>
  <si>
    <t>f55fe025-31da-4f50-ab61-f691c3fc3631</t>
  </si>
  <si>
    <t>b78b1bc6-d7d2-45a0-ba76-f10383ccc023</t>
  </si>
  <si>
    <t>7bb98f8f-da88-4641-9a18-990f20e1ec42</t>
  </si>
  <si>
    <t>8639ee6f-b8d5-4f6a-949e-ede441e48612</t>
  </si>
  <si>
    <t>4cac4adf-90cb-4cce-a753-7aee0a1c21ae</t>
  </si>
  <si>
    <t>ed8ebb86-abad-4cd8-b5b9-c5a6fb6abac7</t>
  </si>
  <si>
    <t>d9ebed4c-cdb4-468e-a1e1-9e2cf8ad491d</t>
  </si>
  <si>
    <t>ad1bd590-72fa-472e-9a02-22ec6cd82e5f</t>
  </si>
  <si>
    <t>e68fd0c3-ad0e-46be-b2c8-233662c68310</t>
  </si>
  <si>
    <t>6b127fa4-cce8-4a17-8b7f-926b1d1edd42</t>
  </si>
  <si>
    <t>c8cfc65c-6035-46d5-8c9c-d7bb68bf9f20</t>
  </si>
  <si>
    <t>c0670d76-1e6f-4c29-b07e-c28c5ce90b62</t>
  </si>
  <si>
    <t>dca23069-4f5f-4525-9277-eadd2bc97e9c</t>
  </si>
  <si>
    <t>8e164955-faf6-4390-8b3f-f65a067bdf27</t>
  </si>
  <si>
    <t>8f0aadba-150a-48c7-a659-16e5cee03b2e</t>
  </si>
  <si>
    <t>9836211a-c1be-4ccd-b56c-fe50e8f975fd</t>
  </si>
  <si>
    <t>28f087f2-d7ca-4d0c-b8cc-17ac530ecd68</t>
  </si>
  <si>
    <t>b392aeef-57c0-4bfd-95a8-0d91d61a7493</t>
  </si>
  <si>
    <t>be65e2d8-f330-4919-af85-108de70426dd</t>
  </si>
  <si>
    <t>2b853bf7-98c9-4980-8425-80cf8a0b472b</t>
  </si>
  <si>
    <t>48231d68-14ab-4cff-a17c-f9fb1022ba1a</t>
  </si>
  <si>
    <t>7501de45-fff5-4212-8179-1c1877baab45</t>
  </si>
  <si>
    <t>c8dd50f4-f755-486a-a904-024a1be2ba69</t>
  </si>
  <si>
    <t>f739acc1-b74a-4659-87ee-b634e946c9b5</t>
  </si>
  <si>
    <t>5095a93a-4007-4f71-b9c0-063e9a8f41e5</t>
  </si>
  <si>
    <t>927b4844-c0e6-41ba-bb80-76019beb67c8</t>
  </si>
  <si>
    <t>a4d87de9-69bf-459a-b5e9-95b76b21badb</t>
  </si>
  <si>
    <t>625dc945-cbd7-42b5-9199-2f64f2abd664</t>
  </si>
  <si>
    <t>72adca9f-6269-4e59-a56b-cb03c699549c</t>
  </si>
  <si>
    <t>fce4863c-99e6-4058-ab31-561b8607bbe4</t>
  </si>
  <si>
    <t>f6652572-c33f-4cf6-ba8e-db6ce43bf4b9</t>
  </si>
  <si>
    <t>b9380b2a-266e-4475-a158-19726cfc98f7</t>
  </si>
  <si>
    <t>e9b2749d-d99a-4826-96f7-a9b971b69714</t>
  </si>
  <si>
    <t>c448fef8-33e2-4067-b717-ae7f77695a51</t>
  </si>
  <si>
    <t>aed594ac-9218-427f-8d52-d137f7604c5f</t>
  </si>
  <si>
    <t>7370e647-9b05-42bd-8ede-b893eebcbafc</t>
  </si>
  <si>
    <t>60d0282f-3849-479f-a487-9a3b59e0c727</t>
  </si>
  <si>
    <t>3f92d3cc-76cc-4fc6-a6fb-cfea5a0292be</t>
  </si>
  <si>
    <t>c98b0d35-2af6-43a6-8589-e358859de87f</t>
  </si>
  <si>
    <t>052e5ea6-7c77-4cc2-9437-1baf5694adb5</t>
  </si>
  <si>
    <t>2452bd61-488e-4fa5-a947-3329c9d4aac3</t>
  </si>
  <si>
    <t>800c65d1-ea65-45d2-843e-b710461c44fd</t>
  </si>
  <si>
    <t>00dda31e-daec-401f-af63-32a4bd2be0f9</t>
  </si>
  <si>
    <t>62d7e157-addd-463a-8fa3-07f8f309d8ca</t>
  </si>
  <si>
    <t>134fda45-9bd5-42dd-8192-f1b24ff87fc8</t>
  </si>
  <si>
    <t>5df7e878-2b99-4215-813e-76ddff65867e</t>
  </si>
  <si>
    <t>f6b53553-e1df-4c96-ab51-1b9f5d512011</t>
  </si>
  <si>
    <t>4bcc6a9a-9a97-477c-9fef-531b6bee4626</t>
  </si>
  <si>
    <t>4b1239ba-6b62-4d21-a8a6-2b59b284a1b9</t>
  </si>
  <si>
    <t>10180c1a-d001-46c9-910a-1a232602a1e2</t>
  </si>
  <si>
    <t>91d28d6e-d797-43b0-918a-180131e67a89</t>
  </si>
  <si>
    <t>0e25484d-2192-4933-af25-8c1ce66ddef1</t>
  </si>
  <si>
    <t>b8109934-3350-4d7d-a4a2-4665cbbac2b0</t>
  </si>
  <si>
    <t>37efe8d4-f30b-4839-8707-67cfb77cc1ff</t>
  </si>
  <si>
    <t>3127338f-47d9-4aa7-b9f6-79107e057b80</t>
  </si>
  <si>
    <t>0a8aa6a2-ba3d-4042-b959-8cb224db42f2</t>
  </si>
  <si>
    <t>f267db4a-af7e-447d-b5b2-09798e3160a4</t>
  </si>
  <si>
    <t>7e3de2a4-1eda-4822-9414-edf630b56ca0</t>
  </si>
  <si>
    <t>c08952b5-9e61-464b-8118-851535b2f0a0</t>
  </si>
  <si>
    <t>e183f03b-e7ec-425a-b5be-b5c7ee8010b2</t>
  </si>
  <si>
    <t>fa9e2423-d295-4fb8-af3c-4197ee5b7435</t>
  </si>
  <si>
    <t>ed914a01-62e5-4b18-b4ad-1e9a28c3a68c</t>
  </si>
  <si>
    <t>53c0345a-7d19-48bd-b659-70d4a6781dfb</t>
  </si>
  <si>
    <t>6d6a8d7b-f943-4279-ba4f-f2fcc8df2fc0</t>
  </si>
  <si>
    <t>783898c5-a397-44be-9556-e1fd61bf35e9</t>
  </si>
  <si>
    <t>82dee3af-9f17-421c-8d3e-2177420183e1</t>
  </si>
  <si>
    <t>05aa98f7-b533-4184-9f57-bafe5be92e11</t>
  </si>
  <si>
    <t>a16eabd8-7500-401f-a09f-c196e8084525</t>
  </si>
  <si>
    <t>125660b9-b996-4330-b1c1-c12ecf075f80</t>
  </si>
  <si>
    <t>c214433b-2cd5-42bb-8b59-657928b311a6</t>
  </si>
  <si>
    <t>ff769f45-e8c0-4224-8fef-763d9b9cf9b6</t>
  </si>
  <si>
    <t>7aaf4a07-bbee-41cc-b800-8084935b8b7c</t>
  </si>
  <si>
    <t>7cd4a8f6-a14a-4c46-9c67-d52b2279855e</t>
  </si>
  <si>
    <t>4231d1df-7cdf-491d-b0ca-794940a56bfd</t>
  </si>
  <si>
    <t>f1cfed63-b6f3-4af8-b406-dc92beac76ce</t>
  </si>
  <si>
    <t>914a0ec2-9ccc-4c89-a18e-4a95f8f38049</t>
  </si>
  <si>
    <t>c39ca4e9-d9f8-440e-a74b-56d91473dd2c</t>
  </si>
  <si>
    <t>edfd175f-6d64-4ba5-9c17-5ed2312cfb32</t>
  </si>
  <si>
    <t>c251eb3b-1929-4c6a-a29e-7bb49e637a0a</t>
  </si>
  <si>
    <t>4c80103d-ac0a-4e95-a494-7ba0f6388867</t>
  </si>
  <si>
    <t>ae7ea312-9fa1-40ef-a563-25d4efa57399</t>
  </si>
  <si>
    <t>9eec0f0f-8898-49ab-bdd4-59839a8a1d9d</t>
  </si>
  <si>
    <t>0b97eae3-769e-4f45-bdc7-47173286870f</t>
  </si>
  <si>
    <t>97b3ebca-2895-42c0-8c95-d75f212b5efa</t>
  </si>
  <si>
    <t>72b5dad8-35cd-4e5b-b5f6-9fd189e46db5</t>
  </si>
  <si>
    <t>bc0deac4-46d4-46a3-aa7f-7e4f7d0cd88c</t>
  </si>
  <si>
    <t>33ce32b1-a79b-4b4f-8e3f-a73a326be03a</t>
  </si>
  <si>
    <t>0d5125bb-9a77-46fd-a008-e12965c68f6e</t>
  </si>
  <si>
    <t>7c554923-0fc8-4af4-9482-48ddaa9af4ce</t>
  </si>
  <si>
    <t>4aaa4b30-0995-42b2-86f8-acd420bd1f27</t>
  </si>
  <si>
    <t>0b4d9c35-a743-4c45-acac-1953cacbac29</t>
  </si>
  <si>
    <t>6f2eb696-241e-4d07-b0dd-f8fa78955fc7</t>
  </si>
  <si>
    <t>37eab84e-f904-41ee-9fa0-9160d1a8ac85</t>
  </si>
  <si>
    <t>07d39ac7-4f54-407c-9065-d2de9017092b</t>
  </si>
  <si>
    <t>a816aad2-ddc6-4714-9013-8d76b4de89e5</t>
  </si>
  <si>
    <t>4825a472-0710-4ab2-824d-2fdd30ed23ca</t>
  </si>
  <si>
    <t>934908b3-41b9-4415-bbad-0f3032a18506</t>
  </si>
  <si>
    <t>c52a8297-84ec-4e1f-8193-4ee88a0fc34e</t>
  </si>
  <si>
    <t>b2161461-eb4c-4473-a193-e167ba3c784c</t>
  </si>
  <si>
    <t>c5fc233b-21e3-410c-85bf-742fca828d6a</t>
  </si>
  <si>
    <t>3ca556af-b4d6-4c39-bb53-f00960221cbf</t>
  </si>
  <si>
    <t>5a11d8d0-cb62-456e-939d-ae4a8cbdde5c</t>
  </si>
  <si>
    <t>b7fd931c-d59d-466c-b104-dc8819641e5d</t>
  </si>
  <si>
    <t>c175fd94-acfe-41f0-9c92-0f5e386499fe</t>
  </si>
  <si>
    <t>0a762b77-7701-436c-a5e6-2b4a2cff7d03</t>
  </si>
  <si>
    <t>ffdf0f37-5ab0-4b5d-b33d-1a4a11e02c70</t>
  </si>
  <si>
    <t>d4b6b1c5-e809-4a36-9126-c485c93c2099</t>
  </si>
  <si>
    <t>fac8f5fe-151e-4991-98a9-7906520b9967</t>
  </si>
  <si>
    <t>b794556e-1123-4c20-bc98-4ad400d68f76</t>
  </si>
  <si>
    <t>abcdc4df-ade6-4dc0-a29f-26751510f091</t>
  </si>
  <si>
    <t>92a658bc-f2c1-4f19-ba0a-5f8627195a23</t>
  </si>
  <si>
    <t>9176aa47-8f35-4b61-aa0c-7f5e82ef4315</t>
  </si>
  <si>
    <t>a74837e1-dc9c-4feb-a9f4-4091b15d15ea</t>
  </si>
  <si>
    <t>9e6a25d6-4014-4c58-a23f-6016815d6f31</t>
  </si>
  <si>
    <t>c52e4d67-f98f-4f1e-83a0-ec401295cd65</t>
  </si>
  <si>
    <t>6d40b2a3-6520-4f59-b076-276940e28dee</t>
  </si>
  <si>
    <t>65c8b6a9-0386-40de-b313-0ccfd413fda0</t>
  </si>
  <si>
    <t>eab869fb-6318-4e76-ad3d-453d4fd7a219</t>
  </si>
  <si>
    <t>f30ef5c3-be17-4886-9bcf-a859532fbfef</t>
  </si>
  <si>
    <t>086bac2e-0490-4c8b-8b1e-5b9813ef2e72</t>
  </si>
  <si>
    <t>13169809-d529-496b-a4f8-1d470a744300</t>
  </si>
  <si>
    <t>0a7127ae-3d90-4b6d-8249-484df4905aec</t>
  </si>
  <si>
    <t>d5dbc55b-8ef1-4988-a9b0-c45505ca2431</t>
  </si>
  <si>
    <t>8afd45e9-d401-4a9b-b3c6-e20808c39073</t>
  </si>
  <si>
    <t>7d40c105-0ae1-4235-aab9-f8ec0122145d</t>
  </si>
  <si>
    <t>4834dd77-26eb-49c2-9684-2ca5183ca4f0</t>
  </si>
  <si>
    <t>a2a1697f-7d68-4c9a-bd9f-82c6958a0222</t>
  </si>
  <si>
    <t>a7a9bf50-f432-4336-b5ce-f5fc967c388d</t>
  </si>
  <si>
    <t>4aa4cb4e-bb15-429c-88ae-00274c3fcebf</t>
  </si>
  <si>
    <t>938b3e5a-2269-45d3-9a05-b04df79d7719</t>
  </si>
  <si>
    <t>ea9ede30-ded4-475e-8bdb-6e6f74ef8557</t>
  </si>
  <si>
    <t>16cf6caf-bc65-4ec7-bf7b-ed1944ac741d</t>
  </si>
  <si>
    <t>57b01680-4141-4474-a48b-e78a987b9d2f</t>
  </si>
  <si>
    <t>34c37623-852f-4ce4-92f1-f8c41322e3a3</t>
  </si>
  <si>
    <t>1de748fc-27f6-4d04-95b1-43185506ff98</t>
  </si>
  <si>
    <t>f5463712-8752-4fb0-ae3f-30137078f44b</t>
  </si>
  <si>
    <t>c1d63ea1-39ef-402c-aaac-6086bd3e3368</t>
  </si>
  <si>
    <t>c3892ced-e6d1-4218-aa88-6ed1d835de10</t>
  </si>
  <si>
    <t>d7cbf38b-95b2-46b7-8ac3-50f4b316878c</t>
  </si>
  <si>
    <t>7ae851ab-037f-41f3-b58a-a54190149ed0</t>
  </si>
  <si>
    <t>692b797c-2e2c-4907-a81a-24f394f25810</t>
  </si>
  <si>
    <t>b3d7df66-3750-4afa-afd1-d217ac259eff</t>
  </si>
  <si>
    <t>0ac9f17d-3658-4d74-9054-0f96a5460c54</t>
  </si>
  <si>
    <t>32c2a5bc-7e17-4fe3-85f0-b00105dde7dc</t>
  </si>
  <si>
    <t>91898a2b-07f0-43d5-aecb-7933052c3f77</t>
  </si>
  <si>
    <t>d11573bf-f68b-4134-89ff-659630bb63f3</t>
  </si>
  <si>
    <t>aeca46b3-2f4a-4f8a-941a-bcc7c536f372</t>
  </si>
  <si>
    <t>c8117a2e-0ad2-4702-98d4-a91b9e29247c</t>
  </si>
  <si>
    <t>12be3d4b-67ef-4665-a7bb-f889989afe1a</t>
  </si>
  <si>
    <t>d14be48f-b54b-4b14-90b7-153e6c90a1ed</t>
  </si>
  <si>
    <t>89f7d229-8ad2-4553-8582-066a2af2ebed</t>
  </si>
  <si>
    <t>f4eaec8d-554b-40c5-9761-c74633a253b5</t>
  </si>
  <si>
    <t>1d72e7f2-4e93-471d-8d46-772c2d538fdd</t>
  </si>
  <si>
    <t>e408ee62-5313-4e04-bcec-e23b5202a7ab</t>
  </si>
  <si>
    <t>f1c83b47-42f3-43d3-8e18-4ea89c57773c</t>
  </si>
  <si>
    <t>610d956e-f1f5-4b11-9d7c-441a37b21a17</t>
  </si>
  <si>
    <t>f0c87ced-93a5-4494-a348-fcfcecb24541</t>
  </si>
  <si>
    <t>a32eee4c-69e9-41ee-a91d-f328cb381b15</t>
  </si>
  <si>
    <t>a5e64288-3362-4735-be6e-a09c1c044761</t>
  </si>
  <si>
    <t>2fe53083-6764-4dc3-bbaa-a88e030e71e2</t>
  </si>
  <si>
    <t>44f7004f-4f0c-4ff0-848b-97da9a781eb0</t>
  </si>
  <si>
    <t>50ebca29-2130-4894-9f3c-63f3f938f819</t>
  </si>
  <si>
    <t>48486230-b6dd-4d6c-8d2a-0c8a2b7f2f39</t>
  </si>
  <si>
    <t>47ea998f-01f4-4e7e-8c55-0fa01baecd11</t>
  </si>
  <si>
    <t>5af2d5bd-47aa-435f-8ea9-f18bba61da3f</t>
  </si>
  <si>
    <t>39218d93-3485-4f1a-b7db-f501deb29f04</t>
  </si>
  <si>
    <t>d763fc11-4943-4f8b-80c2-4de5ba439245</t>
  </si>
  <si>
    <t>aacd3fe3-fdd1-415f-bdaf-a0d23aeb3c37</t>
  </si>
  <si>
    <t>26f6d31c-6d28-43f9-a56e-760eef8da91e</t>
  </si>
  <si>
    <t>1fc5bc15-e2ed-47e0-a8c3-78632ffeae19</t>
  </si>
  <si>
    <t>d9930885-add6-474c-91bd-a2f9d0d2629d</t>
  </si>
  <si>
    <t>b0204082-d07f-4b31-858a-7ece1b76fb30</t>
  </si>
  <si>
    <t>f10c6464-abf4-4120-a49d-2b80657f5324</t>
  </si>
  <si>
    <t>23c526da-c76e-4a8c-82ea-838a7736f832</t>
  </si>
  <si>
    <t>bf9a7e56-2737-4931-a68d-e0b9696b65d7</t>
  </si>
  <si>
    <t>a88f8e6a-cf81-47eb-b982-5f73f413cf84</t>
  </si>
  <si>
    <t>ee612990-fd6f-4b96-95c5-4c3d64a961a7</t>
  </si>
  <si>
    <t>70ef21fb-2720-408f-8d98-7070d307971b</t>
  </si>
  <si>
    <t>44e03489-87f8-4024-8ad0-24eb139168fe</t>
  </si>
  <si>
    <t>72556cf5-71a1-404b-bb96-e1d49e112ed3</t>
  </si>
  <si>
    <t>94940860-8fc0-4fe9-a813-136e736dc785</t>
  </si>
  <si>
    <t>5d4f942c-5e0c-4e72-b7e5-c03cc4dc020c</t>
  </si>
  <si>
    <t>6a1cf920-fbb2-4b70-881c-358c007bc43c</t>
  </si>
  <si>
    <t>8e64c096-6cc3-468e-b5bc-63c64e8ea64a</t>
  </si>
  <si>
    <t>c38f1921-4fc2-4350-a1e1-c0aaeedf1654</t>
  </si>
  <si>
    <t>dcc0039c-307a-4d72-a67e-a69688d676db</t>
  </si>
  <si>
    <t>6c89b2aa-65db-477b-8a60-5d8da393950f</t>
  </si>
  <si>
    <t>91c178ba-d603-4aa5-8a9f-f872b9e9ee38</t>
  </si>
  <si>
    <t>2a2087f5-d137-4320-a395-2352acab3eef</t>
  </si>
  <si>
    <t>e874713c-7349-4582-806f-1fb0d743ab6c</t>
  </si>
  <si>
    <t>75bb1697-a008-4d94-9307-8652f6b88827</t>
  </si>
  <si>
    <t>f5edc841-bc01-4908-ae59-2051c2757a7b</t>
  </si>
  <si>
    <t>95da76ce-dc72-4192-b15d-57b576909335</t>
  </si>
  <si>
    <t>5152898c-b43a-4087-93bc-4ec283f379b2</t>
  </si>
  <si>
    <t>eee51db1-409b-4642-becb-311ad53094a2</t>
  </si>
  <si>
    <t>c8363c4a-8478-4498-b1fb-f6c33222e11d</t>
  </si>
  <si>
    <t>8ba829fb-fe7c-47f4-89db-241934a74db6</t>
  </si>
  <si>
    <t>6bf1d15a-7ede-4fa1-8ac3-ca10566780ea</t>
  </si>
  <si>
    <t>c3f2e7fd-8b89-48a5-8327-6db568e73a64</t>
  </si>
  <si>
    <t>ad7ef66f-b1ff-4e88-a13a-3a031501a8cb</t>
  </si>
  <si>
    <t>12ddaf98-d735-4343-954a-5269936b4d85</t>
  </si>
  <si>
    <t>28028f3f-af46-4e13-b3cd-d32ab1279c48</t>
  </si>
  <si>
    <t>ab76d3cc-b330-42c9-ad6b-28b5e707a64d</t>
  </si>
  <si>
    <t>1adad285-b2b1-4090-84b5-21d9aa4d1922</t>
  </si>
  <si>
    <t>76ee5c7f-f3c8-49ae-b448-a2510b0bd954</t>
  </si>
  <si>
    <t>23cfb542-2422-44ab-9acf-48096caccd3c</t>
  </si>
  <si>
    <t>c32bafe7-6744-4901-bf9a-fa83bda82088</t>
  </si>
  <si>
    <t>c18a0290-a6c6-4d07-9641-5255c31da967</t>
  </si>
  <si>
    <t>3ad7f42c-02c6-469e-915c-cc1d57bba996</t>
  </si>
  <si>
    <t>ce97c787-6a6c-4162-aeda-19b2f014d2ff</t>
  </si>
  <si>
    <t>4f064243-4e60-4a9b-ab4e-b4b262969f53</t>
  </si>
  <si>
    <t>87badf81-7a2d-4bbe-a869-321a3ca58275</t>
  </si>
  <si>
    <t>3cd1c05f-5575-4a10-ac1f-b67337a7acaf</t>
  </si>
  <si>
    <t>336a2ae7-f0bc-4aa5-8fc8-540c138b7d3c</t>
  </si>
  <si>
    <t>7e9ddb87-4b17-40c9-aa12-a070f3720693</t>
  </si>
  <si>
    <t>c1d1ae44-0bc9-49ee-b2ae-e2d6fb2bf599</t>
  </si>
  <si>
    <t>b819383f-8219-47be-a119-7c9225b5436c</t>
  </si>
  <si>
    <t>7c1dfa22-78a1-4be1-a9c9-929801f14b1c</t>
  </si>
  <si>
    <t>a7ffdf22-b673-4b5a-aed8-8c53ed42814d</t>
  </si>
  <si>
    <t>958219d9-6c45-4863-ae79-e0580f7936a0</t>
  </si>
  <si>
    <t>cdcea36d-e4be-42ff-8df1-f792147643fc</t>
  </si>
  <si>
    <t>71243054-81b6-43a9-bea5-0bb0a0b2cf11</t>
  </si>
  <si>
    <t>f10cd6c5-f3ec-43e7-a296-ccfa7f15942e</t>
  </si>
  <si>
    <t>cde28795-9a83-4b21-85a4-2fdd628430a5</t>
  </si>
  <si>
    <t>0d2e7cf3-53e8-4ff5-8385-3d2047301d5a</t>
  </si>
  <si>
    <t>5816a80b-d30e-4f74-b896-66982b245ac2</t>
  </si>
  <si>
    <t>8b321e79-2eea-4412-8d82-1d3178d5bf05</t>
  </si>
  <si>
    <t>dfcfa9b7-1cf2-4fc2-a671-12b758a6d6fd</t>
  </si>
  <si>
    <t>e502bbd1-d79d-4705-b2f8-51d3d0da534a</t>
  </si>
  <si>
    <t>126bb497-94e7-4c3e-b7e4-58f87b347217</t>
  </si>
  <si>
    <t>783256b2-4209-4768-8239-6c32fd358074</t>
  </si>
  <si>
    <t>399c1cff-c016-45b4-b2b0-984443300064</t>
  </si>
  <si>
    <t>728cb69b-4920-4d86-83ce-8c89da725583</t>
  </si>
  <si>
    <t>9347980b-009d-4c3f-99d8-e7c509a64747</t>
  </si>
  <si>
    <t>1b8d684d-619c-41b0-9e21-ae96bf84dcf7</t>
  </si>
  <si>
    <t>8f4a47f4-7b2a-4afc-b520-7b99b5ab2b37</t>
  </si>
  <si>
    <t>96ff8ebe-a6e9-4cdc-ba8f-cd8ab503887e</t>
  </si>
  <si>
    <t>6e4404fd-2f42-4a86-8d30-769a4f940474</t>
  </si>
  <si>
    <t>aaddbc84-7ee8-4c0f-8e0c-16ca63dd7881</t>
  </si>
  <si>
    <t>8dc81534-c8a1-4a55-8f4c-5e34ba2ae7bc</t>
  </si>
  <si>
    <t>ba083146-d48c-4d1f-aca2-ca4bc5d6178a</t>
  </si>
  <si>
    <t>f6f6624a-b2d0-4655-a972-f9bec17a6ee4</t>
  </si>
  <si>
    <t>458dc247-15ed-4e76-aa27-d2f194e47d2a</t>
  </si>
  <si>
    <t>c889501d-97d7-4383-9fcf-9c87840e4a43</t>
  </si>
  <si>
    <t>18fdd87e-1221-4b90-a8ac-c80d74f6511f</t>
  </si>
  <si>
    <t>74e8480b-6d93-4e54-8298-026036832022</t>
  </si>
  <si>
    <t>5f0daf72-991e-4edc-a8c2-c1a330351e9a</t>
  </si>
  <si>
    <t>ca75f885-2393-40f3-bd87-28f761ef8487</t>
  </si>
  <si>
    <t>2bcf8e3c-c68d-4343-9d6f-8a0d4406a4cb</t>
  </si>
  <si>
    <t>984019b7-1f52-407c-a36f-8288f6a141a0</t>
  </si>
  <si>
    <t>6f60718e-5a94-4ed6-9350-982f44c4166c</t>
  </si>
  <si>
    <t>5d21578a-b614-4939-9ce3-0c2e84aed9a4</t>
  </si>
  <si>
    <t>9731c4f5-6e17-4efb-8757-47e7b6491b02</t>
  </si>
  <si>
    <t>0601af52-dab0-4113-9231-3a750db99347</t>
  </si>
  <si>
    <t>bf7c20e7-a641-4744-b5f5-77726be8761b</t>
  </si>
  <si>
    <t>b1f58e6d-869a-4bcc-b8ef-85c692608b44</t>
  </si>
  <si>
    <t>615bf370-1547-4522-bd9a-095ea804c262</t>
  </si>
  <si>
    <t>6b9ea7e4-5a75-4ad1-8e49-8b47731862a2</t>
  </si>
  <si>
    <t>28e352ce-75b6-4fe3-8f57-ea1b0757ae28</t>
  </si>
  <si>
    <t>ca30626a-76d6-4200-a884-9883377bfbc5</t>
  </si>
  <si>
    <t>5bf1d96e-c284-4dae-851a-3b2cc3922dc9</t>
  </si>
  <si>
    <t>2dd034c1-08b9-4b8a-9121-5ee5b4ff187e</t>
  </si>
  <si>
    <t>13b141f5-ad9b-49ea-9c0b-1fbbe042f285</t>
  </si>
  <si>
    <t>411b6bce-947c-4e94-a92c-f9709d42f9ea</t>
  </si>
  <si>
    <t>7d2e8c99-eba5-41d7-8a5a-6f5d58fecaca</t>
  </si>
  <si>
    <t>c9a12c20-e602-4d0f-b036-4877d4e55e9a</t>
  </si>
  <si>
    <t>df086863-9f4b-48ba-968b-0286614e5bd5</t>
  </si>
  <si>
    <t>c9246e8b-545b-4719-88f1-ee69be75e652</t>
  </si>
  <si>
    <t>1b5a59a3-7bd7-460a-8978-0a0d192fe774</t>
  </si>
  <si>
    <t>f6cbd08c-12fa-4eba-b860-da3b6c21eb39</t>
  </si>
  <si>
    <t>8443f57d-34f9-495c-9471-eb212212192e</t>
  </si>
  <si>
    <t>d2a932ab-697b-4647-8f2c-dbc66caef165</t>
  </si>
  <si>
    <t>e6c7d246-1773-48c1-ac58-689c3e68ac6b</t>
  </si>
  <si>
    <t>7a5a1c2d-4ddf-4ced-8b06-9fe87d4e0d77</t>
  </si>
  <si>
    <t>eb1715dc-8db7-4781-a6fd-027e5f6bb5ac</t>
  </si>
  <si>
    <t>c2e9b503-386d-42dc-bac7-6a297a98e82c</t>
  </si>
  <si>
    <t>3589dd2e-c79a-4239-99fb-f35c8b19f77c</t>
  </si>
  <si>
    <t>d487b07d-0a2d-49c5-81f9-0ca3d4a25069</t>
  </si>
  <si>
    <t>e1844a6b-1068-4951-83f9-eb207e5b60d3</t>
  </si>
  <si>
    <t>181fd400-afb0-4208-9315-759de2eb87d9</t>
  </si>
  <si>
    <t>996b6673-00fa-4bf0-b45d-74d98888f537</t>
  </si>
  <si>
    <t>47610273-6edd-4a7b-a38e-8299b453981e</t>
  </si>
  <si>
    <t>01adeb52-273b-42eb-979a-3fb1a4440a75</t>
  </si>
  <si>
    <t>1a3f4483-772d-43ea-a48a-605e0ebe7079</t>
  </si>
  <si>
    <t>e473c69f-6859-4428-844e-93814aaf0186</t>
  </si>
  <si>
    <t>5ee0ae54-f871-4dd1-9614-e4ca9f74659f</t>
  </si>
  <si>
    <t>a03ee82d-6ef9-4c38-976a-d121e6b7dea0</t>
  </si>
  <si>
    <t>082c7632-daca-4f82-ba6e-dc1e7dca5624</t>
  </si>
  <si>
    <t>da9c8b84-7d45-457f-9038-dfe4a87751a1</t>
  </si>
  <si>
    <t>1e2cf6c0-3fb4-49d5-8aeb-af2a4c886d64</t>
  </si>
  <si>
    <t>b8004935-690f-401b-b365-33b40b1d5d4e</t>
  </si>
  <si>
    <t>2de72af7-0363-4ede-bf96-c0003a896f72</t>
  </si>
  <si>
    <t>023674fd-9b81-45e5-8f9d-f8733d7d65d8</t>
  </si>
  <si>
    <t>77a52f9c-7768-491c-9b1d-723ead182bdf</t>
  </si>
  <si>
    <t>454fec46-8e0d-4393-8447-cd6a9e571728</t>
  </si>
  <si>
    <t>5cc8a992-4c30-43be-a159-973c513b4dd6</t>
  </si>
  <si>
    <t>1a0e524e-c388-4abf-af21-46baf2798e0a</t>
  </si>
  <si>
    <t>2e4826ea-64a8-4eae-84f2-4e5e2c104656</t>
  </si>
  <si>
    <t>f4c54bfe-7854-4c8c-ad84-b9710932a4af</t>
  </si>
  <si>
    <t>7108b055-a04f-4eb1-b937-acf3b9eacbfc</t>
  </si>
  <si>
    <t>72836765-0277-45c6-8517-86670c85cc1c</t>
  </si>
  <si>
    <t>fa628a8c-2284-4cd4-b893-92f7667cd544</t>
  </si>
  <si>
    <t>bfc31455-3690-4b1c-8b1d-7c920788dacd</t>
  </si>
  <si>
    <t>838a0849-d3c0-459d-be8a-3062f5c3c0f4</t>
  </si>
  <si>
    <t>9adb0b11-3199-438c-9b3c-59dee22c6b27</t>
  </si>
  <si>
    <t>817458bd-a260-4430-b45e-f81d607fb449</t>
  </si>
  <si>
    <t>219a55d5-2799-4e22-9e75-ef4fe26ed9cd</t>
  </si>
  <si>
    <t>6d10f486-9b5f-4cd3-b85b-fc27a5a5595d</t>
  </si>
  <si>
    <t>082fd087-4859-4b03-9ec1-f51050cd285b</t>
  </si>
  <si>
    <t>c31a20bb-1b05-4448-801c-a8193f1b4f74</t>
  </si>
  <si>
    <t>cbdd092b-08f0-4234-8418-feceb1f990d9</t>
  </si>
  <si>
    <t>74bab484-aac9-4a5c-8e3d-d2a4504a1eff</t>
  </si>
  <si>
    <t>c3614ddf-ee73-496a-b1ea-3e27f6a5288a</t>
  </si>
  <si>
    <t>26024fd4-7715-4460-ae23-4e78f477a652</t>
  </si>
  <si>
    <t>c7cf1b97-cdd3-47cf-a147-a8ab731a5f19</t>
  </si>
  <si>
    <t>6004fb8d-885f-4bdc-bcef-d671742ba6f6</t>
  </si>
  <si>
    <t>19fc98f0-ad10-4ad2-9526-28254dca93e5</t>
  </si>
  <si>
    <t>80b1fe1e-8ef5-42af-ada7-af43d8993352</t>
  </si>
  <si>
    <t>c65be27e-f93b-4423-a704-e981640e344e</t>
  </si>
  <si>
    <t>e2bcc0cf-556c-4c71-93b4-f4e99a0e9520</t>
  </si>
  <si>
    <t>693dbaee-4cc2-4978-ab24-f5588acfe591</t>
  </si>
  <si>
    <t>cc439399-1ef2-4143-8924-b9e36668bdea</t>
  </si>
  <si>
    <t>4b051c08-de8a-4d4e-a445-efb30be01528</t>
  </si>
  <si>
    <t>d1be299e-4ffd-47bf-9976-93a9c9456ba0</t>
  </si>
  <si>
    <t>2f01c18c-8ac5-4b63-873e-fe10605673e3</t>
  </si>
  <si>
    <t>ab672cb5-ca3c-4c41-8f60-05033fd5a24f</t>
  </si>
  <si>
    <t>5a322090-313f-4308-ab38-8fdf937cc37e</t>
  </si>
  <si>
    <t>2b48ac28-5439-47a6-b935-4438f01794ee</t>
  </si>
  <si>
    <t>612e9485-7864-4dcb-83be-bc58c403719e</t>
  </si>
  <si>
    <t>f140d0f2-16e8-44d1-b48c-2d1cc316939e</t>
  </si>
  <si>
    <t>1575ab22-bbac-4dc1-be66-e03431a9fc07</t>
  </si>
  <si>
    <t>3a68905f-037f-48eb-97b0-7e8c5a6f9c5a</t>
  </si>
  <si>
    <t>6ed1be2a-984e-4fe7-becc-351b913eb571</t>
  </si>
  <si>
    <t>79a31ced-93d3-4f11-a961-7ce4256ab073</t>
  </si>
  <si>
    <t>1e0c89ad-a44c-479e-b2b5-eb8e35cc0f41</t>
  </si>
  <si>
    <t>f4223a44-e729-4eb9-afca-28680c9cdb21</t>
  </si>
  <si>
    <t>96ba87e6-324e-4976-96e1-5359f74975f6</t>
  </si>
  <si>
    <t>4a019852-cd31-4f1a-ab65-fce6b1b4fa01</t>
  </si>
  <si>
    <t>31832db0-5f36-4c75-9226-07c279e0f707</t>
  </si>
  <si>
    <t>9d3b9aa9-6ef6-40c3-990a-0b71d4e1cd32</t>
  </si>
  <si>
    <t>d62d3551-4902-442d-8c64-0d6877a35934</t>
  </si>
  <si>
    <t>84e03006-c72a-4d1f-bd72-d59d7854660a</t>
  </si>
  <si>
    <t>0ea4c14c-52be-4987-a6b8-396c00b47ee1</t>
  </si>
  <si>
    <t>d736a739-cc2b-4884-ae4b-72c68825f391</t>
  </si>
  <si>
    <t>7fde535c-b503-4287-a277-ee12295cf580</t>
  </si>
  <si>
    <t>4ad47677-3633-4836-a9df-c0f173e50006</t>
  </si>
  <si>
    <t>8ad33487-24c0-448e-a75a-35ec18a47e30</t>
  </si>
  <si>
    <t>ac50dc85-d01d-4066-b80f-ef5f2d2af804</t>
  </si>
  <si>
    <t>d25fa337-92ae-40f9-a2ab-8c6bc5cdf6ae</t>
  </si>
  <si>
    <t>ca46ce36-fc9e-44f2-8389-482a3140e392</t>
  </si>
  <si>
    <t>1646d3ef-e240-4ca8-8594-d79116550b71</t>
  </si>
  <si>
    <t>0d95ff72-e987-4197-b250-afc7e62d2dee</t>
  </si>
  <si>
    <t>62b61c40-b80a-416a-9ccb-fe3c9e6d0a06</t>
  </si>
  <si>
    <t>4ef6fb81-a622-445f-8f85-597ecf5567be</t>
  </si>
  <si>
    <t>056fe4f4-e919-4cfe-ba2f-fdec0661500d</t>
  </si>
  <si>
    <t>ee07ca21-c2c4-44e6-9df9-1c15ec176c3a</t>
  </si>
  <si>
    <t>6531fb78-bb8a-4beb-ab13-c3e8b856e3f6</t>
  </si>
  <si>
    <t>266c6b86-79e8-4fa9-a41c-be3d23ef2475</t>
  </si>
  <si>
    <t>4115cbbb-3de8-46ef-a43f-b338d350ad79</t>
  </si>
  <si>
    <t>5381612f-764a-40ee-9b78-d63104e51f5f</t>
  </si>
  <si>
    <t>3988c64c-4754-489c-bf86-146be943c7b8</t>
  </si>
  <si>
    <t>83d9f3d1-27b2-46d3-b2c5-6803bb220f4d</t>
  </si>
  <si>
    <t>31fa49f8-825a-4ea0-8ac6-ea7101ad0bda</t>
  </si>
  <si>
    <t>b0494b53-2f3c-46cc-b907-265ed1f3d345</t>
  </si>
  <si>
    <t>a9815df5-69e5-4cb7-9cdd-e7e47b879875</t>
  </si>
  <si>
    <t>8d1288c4-b29c-4cba-8c59-4bbf0db22487</t>
  </si>
  <si>
    <t>3a1bf4c6-39ee-430e-bdf0-74fd5f9615c2</t>
  </si>
  <si>
    <t>ee78b050-dae3-4b93-ba7c-cc046f2e7003</t>
  </si>
  <si>
    <t>1d8fdb2f-7a27-4d1f-9dcf-fc324a029558</t>
  </si>
  <si>
    <t>a58a4b83-c549-420b-acf2-e746ed63477a</t>
  </si>
  <si>
    <t>7769cf6c-0c7c-4f5b-8807-03a2ccb516a7</t>
  </si>
  <si>
    <t>32fb3202-3001-457c-b218-60b3e3bfe26b</t>
  </si>
  <si>
    <t>622065af-078b-407b-ac57-754272d9b7df</t>
  </si>
  <si>
    <t>0c18ab75-e044-4805-ac68-9828f50f3193</t>
  </si>
  <si>
    <t>6c602423-7b4c-4b86-8505-32b042557344</t>
  </si>
  <si>
    <t>351a509c-28ab-4e97-8ac2-d8addfe48e93</t>
  </si>
  <si>
    <t>d9ac3ade-6c21-4bae-89bd-c2ad880d31f0</t>
  </si>
  <si>
    <t>5c3ffb03-1eb8-4441-853f-e6aca2fdbc2b</t>
  </si>
  <si>
    <t>c836e596-7e8e-4be9-8413-4d75f8151709</t>
  </si>
  <si>
    <t>79aa6450-52e2-4c0e-9efe-969afaa8c252</t>
  </si>
  <si>
    <t>5913a03e-ba87-408c-b4fd-b0713609ab9f</t>
  </si>
  <si>
    <t>c004d46a-3676-4c1f-bd2a-b3ca2c55389d</t>
  </si>
  <si>
    <t>4a3d750d-4fc6-43ce-9354-c086e2372d3e</t>
  </si>
  <si>
    <t>81703340-2d76-4363-953e-56bed0c5b93c</t>
  </si>
  <si>
    <t>feff7dcc-8b4d-4121-9638-e39edad5c67f</t>
  </si>
  <si>
    <t>56ba0529-b5aa-48e2-ba5b-154e594ce824</t>
  </si>
  <si>
    <t>7f9e1a97-c9be-4712-a61b-aed1bbbf858e</t>
  </si>
  <si>
    <t>dc9be9a8-e518-4f3c-a023-bdbaeeb17b3c</t>
  </si>
  <si>
    <t>633ce2e6-3297-4e35-83ac-1eb8ebb10331</t>
  </si>
  <si>
    <t>03d585d7-1c33-4d36-a7b1-f75db2ebff42</t>
  </si>
  <si>
    <t>181b6713-b90e-4211-a3c5-0f763e890d58</t>
  </si>
  <si>
    <t>fff878e7-afef-4b0f-9934-6f5b2819e20d</t>
  </si>
  <si>
    <t>e1a73fc5-3f78-481b-bc83-3e2938ba4129</t>
  </si>
  <si>
    <t>3d98a1f8-5893-42da-b18d-59e48283ec63</t>
  </si>
  <si>
    <t>6d950e48-0e13-4e8f-a6d7-2c30b2ec6529</t>
  </si>
  <si>
    <t>887801e2-9db1-4956-a541-c39601fb5c06</t>
  </si>
  <si>
    <t>f967ac11-3d04-4c44-a518-5e6f432cd0c0</t>
  </si>
  <si>
    <t>88ff87a0-d3a1-4609-9960-d505e81d2507</t>
  </si>
  <si>
    <t>4ab6dc88-5117-45e9-8a50-d7ce2f48cc66</t>
  </si>
  <si>
    <t>b084d328-0b3a-49bd-a03f-06d53bf89686</t>
  </si>
  <si>
    <t>cbe73b6f-edfd-43a2-95aa-8821c564389e</t>
  </si>
  <si>
    <t>be92bfd0-a5a6-431a-b376-dd8207dd32d2</t>
  </si>
  <si>
    <t>1b5358fa-03c3-4163-8dd5-c30b2460ca97</t>
  </si>
  <si>
    <t>83662cbb-68d7-4d0a-bed6-73c0b4fb0206</t>
  </si>
  <si>
    <t>5a10ba14-49e9-4305-84c4-39690a5750e2</t>
  </si>
  <si>
    <t>6d3f8263-b314-4d76-b2bf-0329597d963e</t>
  </si>
  <si>
    <t>a34e8ef9-faa1-42a4-8db2-d0402e6f09ee</t>
  </si>
  <si>
    <t>b33d87e2-8e21-405e-95e0-b357f02a0af5</t>
  </si>
  <si>
    <t>651e01c7-45b6-44ef-a851-16dd82b0d92f</t>
  </si>
  <si>
    <t>eb9340bf-76e0-4abc-a037-897ab16a9321</t>
  </si>
  <si>
    <t>13d9a2c4-6246-4b31-9c92-2dd0a8ab193b</t>
  </si>
  <si>
    <t>ea772153-fc26-4ae7-9a01-f0c441d77bac</t>
  </si>
  <si>
    <t>a856148d-f351-4167-97b3-f542c4b0055b</t>
  </si>
  <si>
    <t>41c3b640-f804-4274-8b9b-10c9ad380348</t>
  </si>
  <si>
    <t>470957a2-9765-4376-bd45-7b0c8ae3fdac</t>
  </si>
  <si>
    <t>01bf79df-d2f3-4bf8-b63c-1e8031b22ac3</t>
  </si>
  <si>
    <t>c2a427a1-f7a0-4e27-aa4b-00a947a019fb</t>
  </si>
  <si>
    <t>dc9c76a8-0447-4ba5-ae03-cf1babba783b</t>
  </si>
  <si>
    <t>e75da4f2-0792-4146-9a51-f4a49af1275b</t>
  </si>
  <si>
    <t>611b8c45-f9dd-4635-a726-f2fab2ab0c7e</t>
  </si>
  <si>
    <t>6f8f6066-8b9d-4d86-9706-fd94c6d87f8c</t>
  </si>
  <si>
    <t>0ef46415-fdcc-428b-8f0d-068a9412db6a</t>
  </si>
  <si>
    <t>79ffa97f-3b33-4795-9d8b-98cb819d9a5c</t>
  </si>
  <si>
    <t>e3c31b2e-94eb-419b-8212-3536e2385d2c</t>
  </si>
  <si>
    <t>d8a1b0e1-30c5-404c-aaef-ee2f91090379</t>
  </si>
  <si>
    <t>3305c5ff-0c1d-4454-a4d1-dea0e3978975</t>
  </si>
  <si>
    <t>13869085-2e02-4a17-add2-47d51472d671</t>
  </si>
  <si>
    <t>e4103b71-a2ba-4c11-82f8-9bff9aba5a4b</t>
  </si>
  <si>
    <t>e160466a-f14f-4ad4-b190-ab9ffd5c2a27</t>
  </si>
  <si>
    <t>f6c82890-a67e-4c6c-bc25-c0942e667b1a</t>
  </si>
  <si>
    <t>c8c6df6c-920d-4f3c-80b1-8607d13c62dd</t>
  </si>
  <si>
    <t>45b3fb12-d487-41cf-a511-6bb224c2848d</t>
  </si>
  <si>
    <t>284b8e48-b6ef-4947-a69b-4934f8509b51</t>
  </si>
  <si>
    <t>02cc8f8c-5d42-4c4b-bacb-177a896e51b7</t>
  </si>
  <si>
    <t>84057a35-72ad-4922-8c79-4bdd241b83c3</t>
  </si>
  <si>
    <t>36562aee-2f47-41c0-8455-e0ad53858c3c</t>
  </si>
  <si>
    <t>ad57c204-f497-4f4b-88fb-03a6ed249a42</t>
  </si>
  <si>
    <t>37e9a389-655c-4b71-a5f8-ceb53a4b0728</t>
  </si>
  <si>
    <t>f812b295-fffc-4248-9068-a94a1f30bba7</t>
  </si>
  <si>
    <t>ed9483f7-d1bb-43ea-b042-737f411148e0</t>
  </si>
  <si>
    <t>a6a03d8a-8c9b-4f3b-910d-4ee276cd1b8b</t>
  </si>
  <si>
    <t>ac2992f2-0f0b-410e-acc3-cd2df1cc164d</t>
  </si>
  <si>
    <t>a885f06b-975d-4dc1-b097-fbeeb8a5ae05</t>
  </si>
  <si>
    <t>7fba5ae9-1913-4021-9975-c3b8982a0c16</t>
  </si>
  <si>
    <t>6631dbbb-dba7-4e36-98e1-ecd5867db158</t>
  </si>
  <si>
    <t>2cc8e207-22d5-4fb0-a161-45d411d07da6</t>
  </si>
  <si>
    <t>7d760c06-d947-48e0-8db5-f5329387d1ef</t>
  </si>
  <si>
    <t>ecdc67bf-2219-48d4-ad54-61842802c67c</t>
  </si>
  <si>
    <t>7b1a55cd-297f-4b7e-b881-1b5fd6f5ec61</t>
  </si>
  <si>
    <t>bd92a3f0-63ff-4e60-8ebd-7789d7318af9</t>
  </si>
  <si>
    <t>7cdf9e69-0b07-42dc-8aa9-225c8cdf6904</t>
  </si>
  <si>
    <t>36d2ad86-3674-4aa9-86e0-b523c81990b6</t>
  </si>
  <si>
    <t>10e56352-8dce-4ba9-a452-87405310c972</t>
  </si>
  <si>
    <t>fe446b20-d84d-4ee7-9de6-6bf726b339b4</t>
  </si>
  <si>
    <t>8974f6aa-5a7b-4cef-9f38-b56ac2869ef4</t>
  </si>
  <si>
    <t>4c950183-7b4d-433d-94f0-7f415e89c36e</t>
  </si>
  <si>
    <t>ef0c40a9-94e9-43d8-b0f5-0123e35c851c</t>
  </si>
  <si>
    <t>727a2bec-50ec-47ee-9905-3caf8cb2a987</t>
  </si>
  <si>
    <t>1f958ee1-08d0-46d2-8375-88bb42ff738a</t>
  </si>
  <si>
    <t>1d5bbdf1-b8eb-49c8-8502-6925c92285d6</t>
  </si>
  <si>
    <t>ee8faa7f-a7e8-4a8b-8441-695a894635ec</t>
  </si>
  <si>
    <t>33287cc9-f41f-40ae-ac5c-71754484e635</t>
  </si>
  <si>
    <t>e3a08f87-a693-47d8-a47e-cf071d5c1d71</t>
  </si>
  <si>
    <t>0b4eb218-348c-4c68-a3a5-08e7993b303a</t>
  </si>
  <si>
    <t>2146a842-093c-446d-a78d-86b66080475f</t>
  </si>
  <si>
    <t>e6dd515f-7399-4451-8a24-6e0ffda79f66</t>
  </si>
  <si>
    <t>cc2d1c2c-57dd-420b-8937-6004c639af1d</t>
  </si>
  <si>
    <t>a54a7593-d55e-4f30-b27b-56c9b17b6bb6</t>
  </si>
  <si>
    <t>7fe742a0-9a13-4740-93f2-7de97369def0</t>
  </si>
  <si>
    <t>7948427b-e1c2-40c2-8447-04791699eeb9</t>
  </si>
  <si>
    <t>c4694ef0-b6af-47a9-b7ae-f24ad7ecdb29</t>
  </si>
  <si>
    <t>ed0d8d2e-659d-4a88-ba88-b42846c0e9c8</t>
  </si>
  <si>
    <t>45e9c6d3-4c02-4437-9a89-b1e425b3809c</t>
  </si>
  <si>
    <t>7e2e2ab8-ef15-4a1d-ab31-70439070dcb2</t>
  </si>
  <si>
    <t>ac363bfb-8031-4077-a271-465e28b18e97</t>
  </si>
  <si>
    <t>e8a364a4-feae-43f7-805e-eca0a2ba8b9c</t>
  </si>
  <si>
    <t>1d57d21e-088d-4e30-9d26-a22f243d2cfd</t>
  </si>
  <si>
    <t>fddebef1-3eb1-4164-b39e-58708ccec633</t>
  </si>
  <si>
    <t>9b096c41-88cb-47f7-821a-51088e67fd01</t>
  </si>
  <si>
    <t>586bee8a-9719-4537-ab4a-5ce2b2a584fa</t>
  </si>
  <si>
    <t>1d2a4f65-52e7-4608-8b68-eb5bd4cdffe7</t>
  </si>
  <si>
    <t>2dae5422-290c-43f5-86a0-1b32d4ac035b</t>
  </si>
  <si>
    <t>4524dbd8-5791-42d4-b071-f52c41ee1c6e</t>
  </si>
  <si>
    <t>05c92d11-017e-4bc6-bb81-936a2547ed8a</t>
  </si>
  <si>
    <t>44b4f479-0f54-4647-b5fc-eca9657724ce</t>
  </si>
  <si>
    <t>1b04627d-b81d-4bad-8343-ae22bd145828</t>
  </si>
  <si>
    <t>b281af12-1392-4e70-9dc8-b394fe8de6a8</t>
  </si>
  <si>
    <t>08b88a8c-5cf1-4443-8735-cb68e6ec3769</t>
  </si>
  <si>
    <t>aac86e6a-dd8e-4a52-9ab0-b6f14fd2911f</t>
  </si>
  <si>
    <t>3e53a4a8-4033-4454-8c95-0b6be106de8d</t>
  </si>
  <si>
    <t>48b92021-3236-486c-8c47-9e0c6e6e6c4b</t>
  </si>
  <si>
    <t>2d323e83-1795-4c77-91fa-cbc75c603296</t>
  </si>
  <si>
    <t>adc7f84c-3aab-48f5-af7e-27358f82ac21</t>
  </si>
  <si>
    <t>5c43c29c-5301-4c78-bde7-d3f55324e38e</t>
  </si>
  <si>
    <t>3b324e22-6303-4712-b779-d62414ac4ecc</t>
  </si>
  <si>
    <t>8bfa387d-bfd3-411f-ab70-4754993bc947</t>
  </si>
  <si>
    <t>3937c4f3-e061-412e-881c-4abc32f985e0</t>
  </si>
  <si>
    <t>f2bd18f7-ed02-4f34-980e-1c7dba261108</t>
  </si>
  <si>
    <t>2224d120-e062-49d2-bd41-26419d703ce9</t>
  </si>
  <si>
    <t>fedb3f81-a21c-43fe-839b-fcb7c0252e68</t>
  </si>
  <si>
    <t>74e01e40-d5a7-4efb-90fe-f1300408cb29</t>
  </si>
  <si>
    <t>048c60bd-5233-445a-83d5-f33e8e5ad0f1</t>
  </si>
  <si>
    <t>b4ebf013-bb7d-4033-b06d-cd08a2026791</t>
  </si>
  <si>
    <t>886e8d80-2dd5-42ef-82ce-513b690759b0</t>
  </si>
  <si>
    <t>81882b96-2263-47c0-be9a-895d4c8983d3</t>
  </si>
  <si>
    <t>acbfff21-46ea-4d22-9320-980af367bdc2</t>
  </si>
  <si>
    <t>ce4f1f9b-06d3-4ed6-a75c-bc1d13e5cbec</t>
  </si>
  <si>
    <t>6e006abe-2672-4309-9303-6ca60ffd2e60</t>
  </si>
  <si>
    <t>3cf2407f-5d20-4c4c-aa54-7f5ca07e0183</t>
  </si>
  <si>
    <t>ab212213-fe29-41ff-9baf-98537678d60c</t>
  </si>
  <si>
    <t>f8d78376-febd-4540-8d6a-81bbab8f3b57</t>
  </si>
  <si>
    <t>3878e4e3-2960-4b36-b25c-f90ddd01b5d8</t>
  </si>
  <si>
    <t>47c7ceb4-e638-4732-abbf-708c055d13f5</t>
  </si>
  <si>
    <t>8511ae79-b03f-432b-bac6-1933649f2b24</t>
  </si>
  <si>
    <t>18c6f3b7-bdb7-4860-b12f-d614adedd94e</t>
  </si>
  <si>
    <t>3396e8c6-d124-466a-976a-2282eb070659</t>
  </si>
  <si>
    <t>2c7e4d20-2f73-49a5-82d4-3eea433b1dee</t>
  </si>
  <si>
    <t>8ce3c8fd-8d0a-42cd-9ace-c79d8847f482</t>
  </si>
  <si>
    <t>180983f8-9d3c-440f-b4cd-32012522ca03</t>
  </si>
  <si>
    <t>49fa3709-598c-42ec-9f7f-3fe2952a7a9d</t>
  </si>
  <si>
    <t>11b11026-73bb-42af-8a0f-092fac0012ee</t>
  </si>
  <si>
    <t>ab2a775f-9e55-4246-a6f8-6f9b9b933da5</t>
  </si>
  <si>
    <t>9204fff6-14fd-45be-ab46-1cd5efe61aff</t>
  </si>
  <si>
    <t>95718011-6fd5-45fc-a8f1-4edcd8cadcbf</t>
  </si>
  <si>
    <t>080276bb-8ca9-4584-bd17-e42062a10a56</t>
  </si>
  <si>
    <t>362cc198-e99a-4e0f-91b3-f0442b7d0177</t>
  </si>
  <si>
    <t>26b02b3c-52b1-4c5e-b5d7-62e599a4e310</t>
  </si>
  <si>
    <t>75019d85-6f3c-4332-a407-7ff4f9a5da92</t>
  </si>
  <si>
    <t>038a3b7a-2156-496b-95dc-1a141efbf296</t>
  </si>
  <si>
    <t>bcf1e773-449b-4e76-878a-9e9620465707</t>
  </si>
  <si>
    <t>f621bd06-0cdf-4010-b39e-3ad5d697ba92</t>
  </si>
  <si>
    <t>dfd041ff-d855-4c8e-81c1-57155d28c48f</t>
  </si>
  <si>
    <t>b656e72d-28cd-4aec-bc48-4fd49b5fc7c8</t>
  </si>
  <si>
    <t>e758dc19-126c-439f-bc98-4302726912cd</t>
  </si>
  <si>
    <t>f73da12b-b911-40cf-910e-202e6419d7e9</t>
  </si>
  <si>
    <t>de0bbcd6-c19d-4e30-9cf2-b66bf2dc5ceb</t>
  </si>
  <si>
    <t>a8df1927-7706-42ec-9dd9-99d18857cb02</t>
  </si>
  <si>
    <t>5253e4fd-15d7-42e6-b83c-4cffe2678758</t>
  </si>
  <si>
    <t>e2204612-d947-4f10-8e02-a7e9aa6e4ee8</t>
  </si>
  <si>
    <t>da651aa7-4e06-40d7-88dd-bc98395aaade</t>
  </si>
  <si>
    <t>b72187e9-7572-4cc6-b79c-5b07cea9e128</t>
  </si>
  <si>
    <t>c079ea83-bb00-4217-86b6-cbb230f0e14f</t>
  </si>
  <si>
    <t>f566b553-8b4f-48d7-90f0-0b21c62cfc5b</t>
  </si>
  <si>
    <t>19841454-1c0f-4a76-bc4a-223be392e712</t>
  </si>
  <si>
    <t>2b231ddf-e204-4577-ae91-f0da4cb5f261</t>
  </si>
  <si>
    <t>dfa1b990-66dd-4237-afee-721ed2e9aab6</t>
  </si>
  <si>
    <t>6008bb17-f444-46ae-a8c5-b1890e810ca4</t>
  </si>
  <si>
    <t>b3fe4f32-1641-4053-b26c-b5000c1d2a58</t>
  </si>
  <si>
    <t>bd8e834a-51cf-4e23-8487-bf5892bce69b</t>
  </si>
  <si>
    <t>44a3736f-eb54-4b27-afb8-6f07d6c9c25b</t>
  </si>
  <si>
    <t>18c7ffea-f407-4e12-a8ca-f4cf9bb2e4ab</t>
  </si>
  <si>
    <t>945a5f93-9c3b-4b1e-893a-bb486805d851</t>
  </si>
  <si>
    <t>5862858f-d37e-4231-aaef-31db7463d60d</t>
  </si>
  <si>
    <t>1f8f36b8-2b12-423c-8d89-7b6421897c37</t>
  </si>
  <si>
    <t>5caa5ca3-c54d-4b59-838f-e008e0cdc129</t>
  </si>
  <si>
    <t>4efc58fd-c544-473c-8e01-cb331aa88456</t>
  </si>
  <si>
    <t>3cf735c4-c340-44e5-9fe5-b5aee7b4d3d9</t>
  </si>
  <si>
    <t>97a423c0-e104-4e03-8ba2-4083cba8d28a</t>
  </si>
  <si>
    <t>82f9b433-0df6-4474-97b9-c478f3d5d7c8</t>
  </si>
  <si>
    <t>e7e1eef2-2f92-487c-a5f3-d1cf791e3167</t>
  </si>
  <si>
    <t>3d0767c0-fa70-434f-ac4c-57f6ffa24e4c</t>
  </si>
  <si>
    <t>3bc53390-2e23-40a3-9ebd-f4eeb7367575</t>
  </si>
  <si>
    <t>be1de62d-9b6f-4c09-9316-1212c248b4c6</t>
  </si>
  <si>
    <t>1b68c20d-bee2-4f66-8701-67809addd9aa</t>
  </si>
  <si>
    <t>72a2c300-cc3d-4e71-81e6-85e4e309c680</t>
  </si>
  <si>
    <t>322eef98-5dfd-41d1-b4f6-41f20f253632</t>
  </si>
  <si>
    <t>3cd2ff2c-063e-4384-a092-1f812a51a456</t>
  </si>
  <si>
    <t>439b60cc-9888-424f-98f0-d2ed345b5dd5</t>
  </si>
  <si>
    <t>261ddbef-9b7a-4226-a1b6-631ae8dbf332</t>
  </si>
  <si>
    <t>0451999d-c51d-4453-8015-9dc317341a30</t>
  </si>
  <si>
    <t>6ed5f317-ba85-4aac-8f7b-0324686982f6</t>
  </si>
  <si>
    <t>0b811eb1-b4b7-4873-ab45-437e74f75a6c</t>
  </si>
  <si>
    <t>d85b071c-30c4-4396-9b9d-14e3e60e724f</t>
  </si>
  <si>
    <t>11c1de99-a041-4f28-9158-033c5e09ef50</t>
  </si>
  <si>
    <t>125db7ff-b7e9-44a4-b29c-80b0cd45ea2e</t>
  </si>
  <si>
    <t>f418494c-d6e3-4fca-bdb8-d08fb3b83a85</t>
  </si>
  <si>
    <t>886da80b-6c19-47ba-b070-c7630c5b4241</t>
  </si>
  <si>
    <t>922bce16-2ceb-44a4-96f4-fc49fb0e0ac2</t>
  </si>
  <si>
    <t>080dac1d-54e2-4664-af52-56eb42281c72</t>
  </si>
  <si>
    <t>c185f0f8-0410-4e1c-bc87-40f90824bf1d</t>
  </si>
  <si>
    <t>90695f65-6429-4f63-903f-843160038baa</t>
  </si>
  <si>
    <t>4ce50867-9e68-4f77-857c-45d1b57260f3</t>
  </si>
  <si>
    <t>2dd53c77-3646-42b0-825e-69f598e0dc00</t>
  </si>
  <si>
    <t>c090572e-263a-422d-9829-d167bf0e98fa</t>
  </si>
  <si>
    <t>aca733c9-cee7-40e5-acc5-0c0627834828</t>
  </si>
  <si>
    <t>352b88dc-f431-41cc-ab32-20829a4e4e37</t>
  </si>
  <si>
    <t>24798db7-c1a2-4e80-9275-ae9b143dace7</t>
  </si>
  <si>
    <t>1531f56b-7a98-43de-9ee2-ca215bec697b</t>
  </si>
  <si>
    <t>ad498abb-6c86-4ece-81b7-9588a0ff3eda</t>
  </si>
  <si>
    <t>c5703e60-bad8-4b18-880d-7ed85d00462b</t>
  </si>
  <si>
    <t>ee43f918-a9d2-4a68-8b2a-5f4a25dee1f2</t>
  </si>
  <si>
    <t>12a181f8-58ca-45ab-968b-af28ef28b37b</t>
  </si>
  <si>
    <t>0d13d747-9091-4ad1-af2f-752b753b78d5</t>
  </si>
  <si>
    <t>a985f355-5ac2-4b10-a656-ab62e4e279f3</t>
  </si>
  <si>
    <t>4bcdf3d2-c743-46f8-9656-911dc92e6213</t>
  </si>
  <si>
    <t>aaafd476-ccb4-457e-a984-24abae7f34c8</t>
  </si>
  <si>
    <t>2d08c15f-c97d-4cf0-84fc-9127dcf6e9cb</t>
  </si>
  <si>
    <t>ee8b1fc7-9123-4e95-9df9-8bcb4c58bbb8</t>
  </si>
  <si>
    <t>7829169d-75d6-4f04-bef9-7ae2fc256e33</t>
  </si>
  <si>
    <t>177ad6c2-46ed-4fbb-a3f8-1dc137c45417</t>
  </si>
  <si>
    <t>cba44e85-c06e-4bbc-8c94-6ab64421e817</t>
  </si>
  <si>
    <t>e1d31d7f-2cff-40bb-8a77-3da93095d5d4</t>
  </si>
  <si>
    <t>3ca8ae59-19ce-4566-8ad0-922c03c652b2</t>
  </si>
  <si>
    <t>e0f75dc5-79d3-466c-af2c-6cddc2518204</t>
  </si>
  <si>
    <t>161b7568-fcb1-49a4-ab7e-97cc7be6a554</t>
  </si>
  <si>
    <t>e8f79144-74d8-4255-845a-4080948838c8</t>
  </si>
  <si>
    <t>5f35fd9b-f8b6-4c0c-8ee5-824cec062f5a</t>
  </si>
  <si>
    <t>a2c2e9bb-e5dd-497c-aa8f-1a6354694023</t>
  </si>
  <si>
    <t>2eb65cb4-3e68-4e6a-abb5-fb5988bcd903</t>
  </si>
  <si>
    <t>467d07a0-cee3-437e-99c0-24ad8b68fb34</t>
  </si>
  <si>
    <t>bc17d830-baf7-4d14-b51e-b18ee693e4b9</t>
  </si>
  <si>
    <t>4e449f48-1106-4a52-a52f-217f716f2987</t>
  </si>
  <si>
    <t>c9b84086-70b7-4713-9370-09408b3c0173</t>
  </si>
  <si>
    <t>055a3dec-4f91-4b6d-b8ac-cbfdce142525</t>
  </si>
  <si>
    <t>d00e3438-46da-4754-bb0d-637232738b44</t>
  </si>
  <si>
    <t>658fa594-c797-41fb-b95f-7e27e0b3dcc8</t>
  </si>
  <si>
    <t>e4dd7619-90ac-4b86-944a-f37209896674</t>
  </si>
  <si>
    <t>6fdb47dd-024c-459a-955a-eb58b4306458</t>
  </si>
  <si>
    <t>025012fa-15f3-4f23-8772-35803aa97fae</t>
  </si>
  <si>
    <t>94da8854-45e5-453f-99ce-a98d248d8673</t>
  </si>
  <si>
    <t>6fbcc123-9037-4413-b11c-df0870f0f896</t>
  </si>
  <si>
    <t>85e00a43-2e79-4d0b-8231-6920229fb2f9</t>
  </si>
  <si>
    <t>4b4467e7-7863-4358-8c3e-2b5f347a1dfc</t>
  </si>
  <si>
    <t>7608719d-77c5-43c9-88fd-918eaaf748ba</t>
  </si>
  <si>
    <t>dbf86fb5-6f71-4453-95af-8dadc61159d6</t>
  </si>
  <si>
    <t>921baddb-222c-49fe-94f2-cc54858a5de8</t>
  </si>
  <si>
    <t>893fda9f-2a90-4011-ae1f-9e5ba9cf7d6c</t>
  </si>
  <si>
    <t>dbb8c947-e4f5-46a0-b002-a03a0e6d5ea4</t>
  </si>
  <si>
    <t>c8e2f96a-60f2-42b0-86f4-b7f16868f196</t>
  </si>
  <si>
    <t>df15018a-f407-4f1b-8be5-8cfb76e94670</t>
  </si>
  <si>
    <t>b2f4e8db-e2b0-42f7-81aa-26e6239d7d25</t>
  </si>
  <si>
    <t>e84d1748-a4af-4405-b3ae-53d2ca64cd15</t>
  </si>
  <si>
    <t>9b1b8058-d053-4a3b-82e3-280336c2e162</t>
  </si>
  <si>
    <t>d32c1ecf-9553-4e07-b563-9e800c42efe4</t>
  </si>
  <si>
    <t>9904ca50-a24a-42c6-b4b0-5459488f77d9</t>
  </si>
  <si>
    <t>04d2b903-4529-4255-8f4a-b4b688fcad51</t>
  </si>
  <si>
    <t>8b51b646-9bd3-4bba-9258-43df68214950</t>
  </si>
  <si>
    <t>bb85954d-bb34-4a56-96e8-4a8829119bb7</t>
  </si>
  <si>
    <t>2200c15c-d6fe-4aa0-879c-9e929c7aeb08</t>
  </si>
  <si>
    <t>e1535564-40f4-4c87-8d67-95f407c4ded6</t>
  </si>
  <si>
    <t>b79ffb90-91f7-44dd-98fc-83d59992fc62</t>
  </si>
  <si>
    <t>546af1fb-d39f-4610-8236-c4cd162d3c0c</t>
  </si>
  <si>
    <t>95a26a20-22a0-452e-a647-851b418f41de</t>
  </si>
  <si>
    <t>895ad12a-717f-4427-9caf-bdbc0b6bb987</t>
  </si>
  <si>
    <t>ae62aa52-5971-4017-a0d9-f7968e105e3a</t>
  </si>
  <si>
    <t>d99b28e5-4ecf-4ac4-871b-e205b421c803</t>
  </si>
  <si>
    <t>62978367-96e2-470a-be63-38060506031d</t>
  </si>
  <si>
    <t>ebf470a5-4f3b-4a61-906e-244e5b4178cc</t>
  </si>
  <si>
    <t>155fbfe6-62e7-4937-aecd-8b8c14595c20</t>
  </si>
  <si>
    <t>f858d7a7-d4bb-4aeb-af27-6560bac0725f</t>
  </si>
  <si>
    <t>ff19f85a-c162-45d2-969d-836e7b33e80f</t>
  </si>
  <si>
    <t>cf64bda1-0bda-4e56-8478-81836f5b24d3</t>
  </si>
  <si>
    <t>c5d86549-b3f3-4afe-9bf3-b1b47a6bf584</t>
  </si>
  <si>
    <t>e5c7d145-545a-4927-b751-7c4159ab7b84</t>
  </si>
  <si>
    <t>142de341-a41c-4cbf-98d2-1c8c86d08880</t>
  </si>
  <si>
    <t>25aa1d59-9191-4128-91d6-87f8209a8712</t>
  </si>
  <si>
    <t>a1edd117-ae99-404f-82d8-efff65663f21</t>
  </si>
  <si>
    <t>d212aebd-df18-4bac-992d-3d4e6bb90711</t>
  </si>
  <si>
    <t>9ef98845-2393-4e72-96fd-95047f25a4b4</t>
  </si>
  <si>
    <t>f81158ac-1559-4728-88fd-9c2e111fc41b</t>
  </si>
  <si>
    <t>30a113c8-1b0c-4bc1-885c-e1a385ad11c0</t>
  </si>
  <si>
    <t>81ca6a1b-94bd-4e46-afe5-e274d3b4ff1f</t>
  </si>
  <si>
    <t>4297d7f1-545a-486b-8473-214ebfa4741a</t>
  </si>
  <si>
    <t>d37ec561-1768-4a93-be30-15a7c820e307</t>
  </si>
  <si>
    <t>f859113a-2fe6-48da-9ef1-8e7c7b0291ed</t>
  </si>
  <si>
    <t>d58ddc1e-1bdf-440a-8c6b-309077fc3f17</t>
  </si>
  <si>
    <t>2198e57e-f273-418b-9841-2728c362b67c</t>
  </si>
  <si>
    <t>30b99823-3634-4286-a9b9-7db9f87cb49b</t>
  </si>
  <si>
    <t>ce3c7cbb-b993-4916-a81d-4e4ac032a5c9</t>
  </si>
  <si>
    <t>55cfd789-ef07-43f7-aeac-cb4e8beb5c27</t>
  </si>
  <si>
    <t>de4e0a07-b2f0-4b45-8764-dedff7dc00ce</t>
  </si>
  <si>
    <t>de33c8b1-ecb2-448f-8f97-a99ffbabe1be</t>
  </si>
  <si>
    <t>e6e1676e-f17d-4e77-89b2-cf0e3df598ab</t>
  </si>
  <si>
    <t>a1d6a50d-973f-4e43-a3c0-ce5acf4b09ec</t>
  </si>
  <si>
    <t>255cd731-221c-4f98-adda-f7dffb7a03c9</t>
  </si>
  <si>
    <t>c2feda98-9478-480b-b544-ec89a3cd58b8</t>
  </si>
  <si>
    <t>12a31de2-5742-4217-a7ba-eac8cb7a79f6</t>
  </si>
  <si>
    <t>52322a98-a709-4dcd-8cc6-e84f8461e005</t>
  </si>
  <si>
    <t>468c7547-f285-47e1-8fa8-d836ba848846</t>
  </si>
  <si>
    <t>3e4d0c22-74cd-4be3-b03c-2342026e82bb</t>
  </si>
  <si>
    <t>880a72cd-79fd-44fd-806f-b9bdcedd04f4</t>
  </si>
  <si>
    <t>cbeb85c5-9480-4ea2-b6ab-8518eece6961</t>
  </si>
  <si>
    <t>1141bdf2-a5e8-4026-9422-d4844620fe61</t>
  </si>
  <si>
    <t>54372fef-6fb6-421f-bab6-606fb3a90f0c</t>
  </si>
  <si>
    <t>989ca7a0-a0c3-4e55-a23c-3f4458291008</t>
  </si>
  <si>
    <t>7955efc4-a06e-43e7-9b8e-028e700955bd</t>
  </si>
  <si>
    <t>e5187426-4fcb-4133-8191-022dbde6aee2</t>
  </si>
  <si>
    <t>6f26710a-d654-4a36-99e4-bdaf2943fe2e</t>
  </si>
  <si>
    <t>6836917d-1c7f-4651-861b-1c4ebbeb6020</t>
  </si>
  <si>
    <t>cc8af428-e171-48ac-8ac3-3354d52bffaa</t>
  </si>
  <si>
    <t>8f6bb647-36a1-40de-af06-825e69ea7f9d</t>
  </si>
  <si>
    <t>5ca7dc45-e131-41be-82fb-580106346593</t>
  </si>
  <si>
    <t>bb98f21e-15a6-459f-9739-d007cae5734e</t>
  </si>
  <si>
    <t>bbeab1f0-e7d0-4d12-9a73-a1927bfdb187</t>
  </si>
  <si>
    <t>8b4f9c81-82fb-40df-8382-0dd2a0cef83c</t>
  </si>
  <si>
    <t>5e47d43e-927d-46dc-8828-d13eaab15b4e</t>
  </si>
  <si>
    <t>da1333b2-35f9-4d1e-9799-55116f166b51</t>
  </si>
  <si>
    <t>19352d22-01bc-4e16-b5b7-cb2fe248f5b7</t>
  </si>
  <si>
    <t>1f814426-fb33-4ea8-8abb-5c5b4ec64076</t>
  </si>
  <si>
    <t>99003cbb-a0e2-4663-9628-13f6d46f1a0c</t>
  </si>
  <si>
    <t>334fbf6b-0681-49de-ae3a-c08da907fda0</t>
  </si>
  <si>
    <t>a8fddcff-3303-437f-b4ba-c3ecab9da8f5</t>
  </si>
  <si>
    <t>e257dba6-fb3d-41cf-99a2-0700e8f8a568</t>
  </si>
  <si>
    <t>052a034c-7746-43fc-912d-4991c01b1f95</t>
  </si>
  <si>
    <t>f6b21267-fc81-4b2c-bb52-26535593c64d</t>
  </si>
  <si>
    <t>d567ec1c-9950-494f-b619-0071de29b581</t>
  </si>
  <si>
    <t>140506ea-05e5-40e5-abc3-253581dd24e0</t>
  </si>
  <si>
    <t>c85a5890-a887-41bf-b866-5cd201747ede</t>
  </si>
  <si>
    <t>863590b0-7d07-487b-a89c-d4700d8d4e4e</t>
  </si>
  <si>
    <t>46bbc44d-525c-498c-bee4-71c73afbc13c</t>
  </si>
  <si>
    <t>6a061a82-97b7-4d14-b9ae-e7df764684b1</t>
  </si>
  <si>
    <t>b5e00f1f-9d09-4429-889f-ade90e1b3cee</t>
  </si>
  <si>
    <t>90826a68-bc7f-4a10-aa24-989fad597c30</t>
  </si>
  <si>
    <t>81eb7012-12b8-43df-854b-711a40561be0</t>
  </si>
  <si>
    <t>d1b705c9-acf8-4f48-bd4b-c0fc00234b0f</t>
  </si>
  <si>
    <t>7cf05bfb-74e6-4c8e-a949-8c4193d254d6</t>
  </si>
  <si>
    <t>d9900693-90bf-43ce-953f-8d1888e0bb1b</t>
  </si>
  <si>
    <t>94226c99-e3c6-44a8-b8df-d66080b5bf30</t>
  </si>
  <si>
    <t>a7723da8-3f8e-49df-b973-d9959d8bf844</t>
  </si>
  <si>
    <t>5649fe75-6de9-4ecc-86f6-712fdfe3848a</t>
  </si>
  <si>
    <t>0afc4baf-0aa5-44c3-b6be-949008d9c2da</t>
  </si>
  <si>
    <t>dd192706-2635-46a1-9559-9ca27f7999b9</t>
  </si>
  <si>
    <t>bb20c584-b8c7-4e09-a487-df50428b49ba</t>
  </si>
  <si>
    <t>ebaa15ec-5b85-4b6c-8b99-d9ce1cba8577</t>
  </si>
  <si>
    <t>8e1031b6-b98f-4b5a-b035-8d7aafad3c47</t>
  </si>
  <si>
    <t>cb536c36-8a1e-41b7-ac20-43f09a4cedbd</t>
  </si>
  <si>
    <t>e623d359-0278-4bfc-82c3-86892eed77a3</t>
  </si>
  <si>
    <t>630f9371-9298-435a-8a66-f24f4bb528fc</t>
  </si>
  <si>
    <t>91bf7b50-f149-4e23-9e93-b614ad58212e</t>
  </si>
  <si>
    <t>bc11510c-f213-4766-a2c6-904ce8c1512e</t>
  </si>
  <si>
    <t>1769de71-a047-4194-b2a4-5e0a7ef18add</t>
  </si>
  <si>
    <t>8d258669-8a00-4643-9a8b-f004488b0472</t>
  </si>
  <si>
    <t>c1f2945d-92e6-4f96-b443-eb5b7b84220f</t>
  </si>
  <si>
    <t>ff4bc4b3-d731-4cc8-8b4f-221224581e83</t>
  </si>
  <si>
    <t>282e622f-a1cc-41a1-8e62-fe70a9375f25</t>
  </si>
  <si>
    <t>7928e876-645a-49fe-a21c-9d02944d1523</t>
  </si>
  <si>
    <t>629740f1-2ca1-4daf-af46-9b3cb2c6fe63</t>
  </si>
  <si>
    <t>a88809ec-5337-4c2d-bee2-480cdcb0ad4d</t>
  </si>
  <si>
    <t>4f841e9d-dcd6-4e42-818e-c9789756e156</t>
  </si>
  <si>
    <t>33572a9e-8851-48b3-a9b8-9b6a3f88b1d1</t>
  </si>
  <si>
    <t>7732d3d5-ded6-4927-86ff-71aa998186f9</t>
  </si>
  <si>
    <t>0b05e78a-8c4b-4097-8bc1-72f52ff1e5d9</t>
  </si>
  <si>
    <t>12a50fbb-54f6-4bf1-9c0d-db8bc6dfc159</t>
  </si>
  <si>
    <t>480aa107-c976-4ba7-ac36-ee39787e0eda</t>
  </si>
  <si>
    <t>16bcce49-e615-4ebb-80e6-bcad0eb613c9</t>
  </si>
  <si>
    <t>d95789b7-7e89-4e4c-aa62-f881fff47dd1</t>
  </si>
  <si>
    <t>37eff54d-aa2b-4cc4-8aba-ea192afc459b</t>
  </si>
  <si>
    <t>15559746-e817-4930-9bc7-3342d891627e</t>
  </si>
  <si>
    <t>dbfb92e5-f251-4870-9cf1-89bd39cee9bc</t>
  </si>
  <si>
    <t>c1f6a329-e3f2-40d7-a1e2-03175940526b</t>
  </si>
  <si>
    <t>37b9f2c3-372c-4a11-9176-4e66bdc8ea38</t>
  </si>
  <si>
    <t>a092de74-2718-48f3-956a-679b4e32095b</t>
  </si>
  <si>
    <t>7bf6c6f7-98e4-45d8-bba8-e23ec8e56048</t>
  </si>
  <si>
    <t>aa0e03bb-5758-4edb-9d50-e2539e629c75</t>
  </si>
  <si>
    <t>97d0f609-4ed9-4c1b-bcfb-443ffb41e275</t>
  </si>
  <si>
    <t>0e10b5dc-491e-4846-8c4f-1c77e212012e</t>
  </si>
  <si>
    <t>61ccaa63-d356-4c51-a436-db45268b829e</t>
  </si>
  <si>
    <t>a5b6b29e-7a7e-4f62-9eea-b64ff3861d78</t>
  </si>
  <si>
    <t>05c4636f-6e42-4460-9449-9667b4ce9fbd</t>
  </si>
  <si>
    <t>146b3e1f-e680-446f-8f4a-54de55694a39</t>
  </si>
  <si>
    <t>a1a58d35-7759-4b6e-aeb1-438c26f3b366</t>
  </si>
  <si>
    <t>1e696e35-8de8-4004-9518-cb7281926da8</t>
  </si>
  <si>
    <t>4ae5d0f2-121d-4820-9404-26032ef97eba</t>
  </si>
  <si>
    <t>408e8f7f-608c-4b8d-bf43-d68933ab6606</t>
  </si>
  <si>
    <t>cce5be2a-9112-4447-93af-db8dd2263ed1</t>
  </si>
  <si>
    <t>3d1d4b0b-7556-4ab7-8a9f-f47e37c61ac1</t>
  </si>
  <si>
    <t>e8444cdf-5d82-4110-9138-1d882576c44e</t>
  </si>
  <si>
    <t>cb2fa434-022a-42a5-97ea-56caf52190af</t>
  </si>
  <si>
    <t>25fca800-6c8b-4d78-a43a-ff33ff870ea8</t>
  </si>
  <si>
    <t>b6f391a5-6046-41cd-bd2a-bb08cba87ade</t>
  </si>
  <si>
    <t>08645725-d1af-4d97-ab3d-2e4f806c7f82</t>
  </si>
  <si>
    <t>cb43f579-8d20-441e-9de6-2680dee7b966</t>
  </si>
  <si>
    <t>d778081e-6fc5-4121-bd2c-2d23134b04b8</t>
  </si>
  <si>
    <t>a1f04ee3-d220-47e3-aba1-1fcdb769db0a</t>
  </si>
  <si>
    <t>997cbf98-32d4-40da-9947-3faefe7425ad</t>
  </si>
  <si>
    <t>78d3f793-dcfd-4d7a-acb2-83fa6cdc33c8</t>
  </si>
  <si>
    <t>60e6c533-6c9c-4ca6-a917-a27cbe86aa1d</t>
  </si>
  <si>
    <t>abb49c7b-8ac5-47b5-a703-ece9fb8d520a</t>
  </si>
  <si>
    <t>9a31ef57-a971-484e-a186-29ed435f5442</t>
  </si>
  <si>
    <t>5673e225-586b-4e99-8613-8aa01162aaf8</t>
  </si>
  <si>
    <t>a18a210b-9083-420a-924e-9719359d2bac</t>
  </si>
  <si>
    <t>6c6e1e7a-2ba2-4934-bd13-d2ce7afe9b7c</t>
  </si>
  <si>
    <t>320b668c-0d42-45da-b0ce-12503b250c96</t>
  </si>
  <si>
    <t>7f15e45b-1f7a-4fd2-851d-60ab2cb332c1</t>
  </si>
  <si>
    <t>d4d13760-ac88-41b9-84dd-47c40ba26551</t>
  </si>
  <si>
    <t>22f87c88-86f3-412d-8fa6-2c15ed0b6573</t>
  </si>
  <si>
    <t>1a57587b-d48d-45d1-8315-92cac73d6e3d</t>
  </si>
  <si>
    <t>3abb8f5e-2c86-47ae-a744-e20a7cf52642</t>
  </si>
  <si>
    <t>16bda772-63ea-4e5c-965d-daca311c6a7c</t>
  </si>
  <si>
    <t>98642ab8-58f0-4356-912e-7b4425666afe</t>
  </si>
  <si>
    <t>94224e57-69e7-4350-99bb-9740aa185bbd</t>
  </si>
  <si>
    <t>d949fbce-cb2f-4e7d-90ba-6cfac9f1186f</t>
  </si>
  <si>
    <t>9c0261eb-7cd4-47c0-8548-369d8838d46f</t>
  </si>
  <si>
    <t>137afd34-0646-4d13-ab57-0adf696ce9af</t>
  </si>
  <si>
    <t>8e403409-9787-47c1-bf20-402eff1b5288</t>
  </si>
  <si>
    <t>da2d3172-12b3-4348-975d-4334d32bd28e</t>
  </si>
  <si>
    <t>146badc9-8bea-4703-970a-5735ef9e9896</t>
  </si>
  <si>
    <t>2f8b0059-b300-4da0-bacc-749ab45c3722</t>
  </si>
  <si>
    <t>cb4abf9b-83d9-4750-b258-e05045a74ae0</t>
  </si>
  <si>
    <t>951166de-8d22-49ad-afff-2d0f720aedc8</t>
  </si>
  <si>
    <t>135953be-32e3-4fd8-a0ae-8234fdc7a8dc</t>
  </si>
  <si>
    <t>b3fa7afc-d504-446f-8f32-30c061b305d9</t>
  </si>
  <si>
    <t>894bdf78-d2ce-4630-ad1c-c770beae1bfd</t>
  </si>
  <si>
    <t>73e2a9b9-8d0b-4ad8-87e2-7fe83110c999</t>
  </si>
  <si>
    <t>b8ddfe4f-977c-46d4-b995-fc1756d4ddd9</t>
  </si>
  <si>
    <t>e2099718-98c9-4ab1-8b20-cdc7184feacf</t>
  </si>
  <si>
    <t>4d69fd9b-a1e8-48a9-a0b3-ea425eacd7e0</t>
  </si>
  <si>
    <t>dff09d24-0925-4658-95d4-89b6ced8d1ca</t>
  </si>
  <si>
    <t>44d38c32-c73b-4041-9eb6-c850b7ac39c7</t>
  </si>
  <si>
    <t>e42d9b7c-45aa-407a-8bd8-5e0622a2ecbf</t>
  </si>
  <si>
    <t>b6342efb-3668-4707-9bcd-ae6ba9180b54</t>
  </si>
  <si>
    <t>3eb2ec73-7f46-4fbc-a330-e4c7400ea6cd</t>
  </si>
  <si>
    <t>15af8821-bdd5-4c9b-8aff-88435d9efaae</t>
  </si>
  <si>
    <t>ef23baaf-4a7b-41d2-903f-4f772ab31c26</t>
  </si>
  <si>
    <t>a0fc6f9f-8c84-43ef-9dcd-2d0cab4faaf2</t>
  </si>
  <si>
    <t>49d7dd83-0c7b-4f1d-8b1c-1cc13096b151</t>
  </si>
  <si>
    <t>a7678a7a-b501-41b5-b5d3-abf39e61644e</t>
  </si>
  <si>
    <t>caa9db16-975d-48b6-963d-e6c30c58eeb0</t>
  </si>
  <si>
    <t>471fb8cd-4497-4e20-a9c5-cfb8b3729308</t>
  </si>
  <si>
    <t>28994e1c-df97-40f1-9b04-20cb29462486</t>
  </si>
  <si>
    <t>6de03854-44a1-40e2-94b7-5fd20db6a39d</t>
  </si>
  <si>
    <t>14ee7859-5504-41ac-aac7-9bc5d66a0bb9</t>
  </si>
  <si>
    <t>25cc756b-6f70-4855-9d3f-36af6724cec5</t>
  </si>
  <si>
    <t>6bb1aca9-0bb6-4a2c-a5ea-b04faf91ec09</t>
  </si>
  <si>
    <t>ecc5a056-e4b1-4000-a217-e5932f7a3ec1</t>
  </si>
  <si>
    <t>33cfe352-95d7-49f7-b368-ce5218758112</t>
  </si>
  <si>
    <t>7c912f5e-49f4-40e7-a68d-0a8a3ae3bcf9</t>
  </si>
  <si>
    <t>ed400be4-19d2-4196-aea3-680c798f0e17</t>
  </si>
  <si>
    <t>e821aafd-dfc3-4ffb-9129-3741f65aef17</t>
  </si>
  <si>
    <t>0b945a37-fe3d-48f3-8bd9-0ce0d58c74de</t>
  </si>
  <si>
    <t>6fda8923-b925-4e65-97e4-ed9481d66b44</t>
  </si>
  <si>
    <t>6df35e17-ca7f-42c2-a978-28b213e921e9</t>
  </si>
  <si>
    <t>5b9b1694-e5d7-49be-af2a-9ee50f968320</t>
  </si>
  <si>
    <t>31862a3b-baef-4cf2-9ece-f6bc288b9224</t>
  </si>
  <si>
    <t>ed57e399-b34c-447e-ab12-d72946d0fc73</t>
  </si>
  <si>
    <t>435c5516-9ca4-4623-8c1b-6e7c568352ca</t>
  </si>
  <si>
    <t>591e2d65-1b87-48ff-8e68-93917868cd24</t>
  </si>
  <si>
    <t>856b5e64-f982-4156-adb9-f005d6c56ee2</t>
  </si>
  <si>
    <t>ac171460-b30b-48bb-9949-f420e21c3982</t>
  </si>
  <si>
    <t>86ef9bd7-c8e2-4dc7-8a6f-ec68e57730df</t>
  </si>
  <si>
    <t>2b46513e-8412-4b99-91aa-d614206322d1</t>
  </si>
  <si>
    <t>aba3a59d-6ff0-4069-bdaf-6847d1148489</t>
  </si>
  <si>
    <t>eaf657b9-53f1-4b33-9521-61b096e9666b</t>
  </si>
  <si>
    <t>07717e07-d7a1-4bee-8bf5-c51e19276964</t>
  </si>
  <si>
    <t>d2038fcb-1899-4b27-acc7-8bd054f32003</t>
  </si>
  <si>
    <t>1bfddb22-4308-411a-897e-1081198500ce</t>
  </si>
  <si>
    <t>735f5a63-06cb-47d4-8240-138887fdbab6</t>
  </si>
  <si>
    <t>6b6918bb-7f5d-4d77-a829-0b5a803100bd</t>
  </si>
  <si>
    <t>c6e04c65-8c8b-4cc2-acbe-772bf63edfff</t>
  </si>
  <si>
    <t>7de2a54b-751d-44a9-9755-3ed3e90742c0</t>
  </si>
  <si>
    <t>b4b4555b-8433-434f-9383-001239cf8129</t>
  </si>
  <si>
    <t>97920ba3-ed2d-418c-93f1-bf3d0f0148bc</t>
  </si>
  <si>
    <t>850e58a9-93e1-4c1a-a8f8-d8a39ce4e461</t>
  </si>
  <si>
    <t>d25183cb-ffaa-4b4e-8a22-140d3a21a7de</t>
  </si>
  <si>
    <t>6dd067ff-f2b5-423c-8c38-ab5ceab92ff4</t>
  </si>
  <si>
    <t>4b19503c-673b-4073-bdc1-f672de41d568</t>
  </si>
  <si>
    <t>296d587f-e02a-4e4c-a88a-cc31e10823f3</t>
  </si>
  <si>
    <t>2ea80c34-962f-4983-a53a-f5781331d132</t>
  </si>
  <si>
    <t>19da3460-ef3d-4094-aa3f-f168246b42a2</t>
  </si>
  <si>
    <t>10ee957b-891f-4fee-8861-eb84aeec2de1</t>
  </si>
  <si>
    <t>0427fde9-46c6-469c-bc4a-6d8e39a85df9</t>
  </si>
  <si>
    <t>e35b86c8-465a-4945-8f2d-a6c42b61f6d8</t>
  </si>
  <si>
    <t>c46cced1-d263-4237-ac16-4248956204f5</t>
  </si>
  <si>
    <t>b91503ef-c830-4d47-986c-6e87d8e718bb</t>
  </si>
  <si>
    <t>e7847fc5-4848-485d-8172-53505ff5c1d5</t>
  </si>
  <si>
    <t>292beacd-895e-4d60-bdc4-69faec93ce66</t>
  </si>
  <si>
    <t>f6080e6d-2a61-4d67-bb58-6ab35b805bca</t>
  </si>
  <si>
    <t>c26ca12f-3a9d-4522-ad03-95e1a45137eb</t>
  </si>
  <si>
    <t>1112b137-d4fe-448d-9188-af48334fbc53</t>
  </si>
  <si>
    <t>5b61c411-6055-4022-a40a-b05d1555eac4</t>
  </si>
  <si>
    <t>10e961c3-40de-45cb-bcf5-76836ec603d7</t>
  </si>
  <si>
    <t>bf0363ac-7c6a-4e50-bfb5-ff71151df8f1</t>
  </si>
  <si>
    <t>bb04c7d9-f77a-4793-b984-e9d20d7cecb2</t>
  </si>
  <si>
    <t>0bf99c02-b45f-4b75-a9eb-11aad9c48c54</t>
  </si>
  <si>
    <t>10f0eb98-3902-458f-9e2f-24f48f83ae41</t>
  </si>
  <si>
    <t>b423daa9-5960-4361-8806-025fdd52d654</t>
  </si>
  <si>
    <t>ee7b619d-8df1-47ce-8ab5-060c29ac3d3e</t>
  </si>
  <si>
    <t>3f260c2f-4b6c-49d7-9617-2f906b933ca8</t>
  </si>
  <si>
    <t>1e5a70bf-83da-4c7b-b76c-606333bfa7aa</t>
  </si>
  <si>
    <t>f0e1cc4a-8545-4e03-9f16-9e83b65e44aa</t>
  </si>
  <si>
    <t>032719c1-eafd-4963-9362-778c661ad881</t>
  </si>
  <si>
    <t>041d3c04-aa19-4359-861a-05327029f960</t>
  </si>
  <si>
    <t>d32f3fc2-f9df-45b7-bd91-4ed789bd17bb</t>
  </si>
  <si>
    <t>752d1403-7fc8-46d1-8532-f861147b73dc</t>
  </si>
  <si>
    <t>28652897-1058-46fd-a152-0acea9e9284f</t>
  </si>
  <si>
    <t>d6c4c6fc-d6ac-4f13-9518-103cc3cd52c6</t>
  </si>
  <si>
    <t>af17ffdc-f27a-4159-9c8d-addd1bfb0979</t>
  </si>
  <si>
    <t>ff583d32-c660-49dd-ba75-54106ef7d44a</t>
  </si>
  <si>
    <t>85003a46-57ba-4ad5-8240-99d3d8b9ef27</t>
  </si>
  <si>
    <t>0c807992-f90b-4e89-85e3-9178d3bae4a8</t>
  </si>
  <si>
    <t>ef6d974d-c79d-4fe6-b2e8-a3d375ea37c8</t>
  </si>
  <si>
    <t>16241f0a-8cfe-4ded-88f9-12e70315e6aa</t>
  </si>
  <si>
    <t>1f0aa18c-1417-4ca7-9895-7dac0baee3ee</t>
  </si>
  <si>
    <t>f229d011-40b4-4e21-ac8e-394de1b4d6bc</t>
  </si>
  <si>
    <t>f0a64ef5-b531-4c85-9f81-5ce41490de02</t>
  </si>
  <si>
    <t>b6b3f022-6564-45d9-a070-90f66db4d09d</t>
  </si>
  <si>
    <t>422f3159-6fd0-42d4-9bc8-4f8dc29d531e</t>
  </si>
  <si>
    <t>24b27817-e433-45cf-8439-8658f84b5d2e</t>
  </si>
  <si>
    <t>5de098c2-fa28-45bf-ae9f-f31dbaa387c0</t>
  </si>
  <si>
    <t>d7f54be2-58dd-46b8-b43b-4ff590876743</t>
  </si>
  <si>
    <t>938fec83-206c-4bb3-8ae6-7aa0bd8e7683</t>
  </si>
  <si>
    <t>ece05305-60ed-4148-b003-3d3fde5ac23b</t>
  </si>
  <si>
    <t>72e1395c-665a-40d9-99d4-150a7d6ba156</t>
  </si>
  <si>
    <t>9490f2fb-6881-415d-a9c2-55855ad016fc</t>
  </si>
  <si>
    <t>5bd2fa59-db60-4274-9e7c-f64de753ff84</t>
  </si>
  <si>
    <t>e60ca66e-6129-4c74-9917-2039b803fb3a</t>
  </si>
  <si>
    <t>7dae5dd3-9815-4ae0-a868-c1d08eb7ec3f</t>
  </si>
  <si>
    <t>2477d719-b049-4b4c-8f1d-d9173919eedd</t>
  </si>
  <si>
    <t>375eca39-a99b-48a4-b4c0-bb0e8722d963</t>
  </si>
  <si>
    <t>d2927ae0-0518-4579-aed1-4ad9a039d1d0</t>
  </si>
  <si>
    <t>e74a58dd-5c33-41a4-a2f5-ba8f634216dc</t>
  </si>
  <si>
    <t>913c9b60-2bf4-495a-9e80-74719a9c5047</t>
  </si>
  <si>
    <t>e66f76a6-9e44-4d2a-ac84-d297b96abe7c</t>
  </si>
  <si>
    <t>018fad5a-7be7-48ad-993f-68fe75ed0b9b</t>
  </si>
  <si>
    <t>5f0a5e42-5c88-417a-b627-1f3057237d04</t>
  </si>
  <si>
    <t>07d43b0b-94e3-4ea5-9281-7d959494690d</t>
  </si>
  <si>
    <t>91c22005-2619-4f68-a797-531076bc8d6a</t>
  </si>
  <si>
    <t>2a93d86f-7768-4c2d-93f0-82a7356ef894</t>
  </si>
  <si>
    <t>4c14bede-0e49-4c69-bd98-ad6fa46fed15</t>
  </si>
  <si>
    <t>44e5fbde-b513-4d69-accb-f083a5863d89</t>
  </si>
  <si>
    <t>090d46ba-d78e-4f49-a4c6-9bf211df3f91</t>
  </si>
  <si>
    <t>66513bd6-e31b-4dc4-9b1b-aff8caa18e88</t>
  </si>
  <si>
    <t>acc43c61-4f60-49b8-a93b-4241c02b2be2</t>
  </si>
  <si>
    <t>079d22b5-cb52-4784-862a-93eb40a6fc9d</t>
  </si>
  <si>
    <t>fb137217-22e7-4472-9f24-c3e1982c0bbd</t>
  </si>
  <si>
    <t>e25dbc8a-284a-4064-bddd-ea62c7fde074</t>
  </si>
  <si>
    <t>4a72d855-c7d1-41ea-bf1d-5e0eba3be8d8</t>
  </si>
  <si>
    <t>ffef8fb1-3847-4535-a403-fad7ac35eb46</t>
  </si>
  <si>
    <t>44c431b4-0f1a-4403-b701-98ab0f23f260</t>
  </si>
  <si>
    <t>70f8a703-4e16-495b-97b5-739c7edace9e</t>
  </si>
  <si>
    <t>7e829bbe-ef04-481e-88d9-8eeae0a7cac6</t>
  </si>
  <si>
    <t>48130993-574a-4765-b5f0-5f98dba9547e</t>
  </si>
  <si>
    <t>efc777d9-e7a2-404c-9626-3b30b333dcce</t>
  </si>
  <si>
    <t>e51e6d48-d863-4799-9f3d-75b6980b5d3e</t>
  </si>
  <si>
    <t>ce0b32de-26ff-4f3d-bd27-9c85e6f2bf26</t>
  </si>
  <si>
    <t>3ef8e526-3060-49e4-b23d-7c8325593d35</t>
  </si>
  <si>
    <t>4e3215e3-48be-4ea9-86e4-057e5ce9bf39</t>
  </si>
  <si>
    <t>9d71a390-0c88-40da-b62e-7ff0cd29f65b</t>
  </si>
  <si>
    <t>11d0215f-7d5c-439a-ab60-98c27e38d982</t>
  </si>
  <si>
    <t>b81e2759-c1e2-433e-a4e1-d7fe65a14464</t>
  </si>
  <si>
    <t>cee2b2d5-7bd7-46de-8d55-36b262b78b70</t>
  </si>
  <si>
    <t>c83d8343-0bd3-42a8-a312-9b6e75367d29</t>
  </si>
  <si>
    <t>2c4930a3-789b-4ed5-8f39-e8c64a740269</t>
  </si>
  <si>
    <t>16a200cb-3249-413a-977d-6ad61271b74f</t>
  </si>
  <si>
    <t>4f6c6788-a003-4eca-b344-5e47ace30e12</t>
  </si>
  <si>
    <t>c56d6009-0b18-47d0-a605-99c63f1cf8c3</t>
  </si>
  <si>
    <t>f4db7304-7056-46c8-88dd-0b612ad71ba2</t>
  </si>
  <si>
    <t>6fb66bbb-0951-4845-a4cd-3ce9151ab345</t>
  </si>
  <si>
    <t>ca15d77a-57d5-44c3-bcb3-a0c4d1abbbdd</t>
  </si>
  <si>
    <t>567dc920-9ae2-41ca-b169-a6706369169f</t>
  </si>
  <si>
    <t>6fbc22eb-6eb2-4df2-82f7-1fa1d07d4802</t>
  </si>
  <si>
    <t>c7580297-a79c-4487-a676-afefffc00a0c</t>
  </si>
  <si>
    <t>b63bbb24-3940-4377-bda2-081dc5008511</t>
  </si>
  <si>
    <t>c7bd6a1e-dd9b-4ae0-8640-b800f73384ae</t>
  </si>
  <si>
    <t>f25ebdda-0532-43da-91be-d2ff34c108cc</t>
  </si>
  <si>
    <t>b47239a1-8e93-4c1a-87b5-3ba3b6d46a77</t>
  </si>
  <si>
    <t>c06f7f28-0fde-4b15-819b-ec1061932a50</t>
  </si>
  <si>
    <t>c6c8cbb4-b03d-4aa7-ae8f-591c88f61aa2</t>
  </si>
  <si>
    <t>4ef69a1f-c2b7-4e85-b0f5-318696e2675c</t>
  </si>
  <si>
    <t>7a8163de-f9a8-416e-8019-79049bb31e9b</t>
  </si>
  <si>
    <t>c064e06e-7e55-493f-817f-ca67c074b251</t>
  </si>
  <si>
    <t>b7aa7d7c-1680-4a40-9646-3fbc458fdef6</t>
  </si>
  <si>
    <t>107172f9-17aa-4d27-9316-211b12b7ca66</t>
  </si>
  <si>
    <t>e4cedabe-2ad7-4c28-ad24-34ad6ac0a7db</t>
  </si>
  <si>
    <t>360177a9-b5fd-4c78-ba0d-a0dad34611f6</t>
  </si>
  <si>
    <t>9cf98ae9-3ca2-4174-a7ca-0fb8969544aa</t>
  </si>
  <si>
    <t>6d0baae0-e0c5-4a4e-8e3b-97bf14be6147</t>
  </si>
  <si>
    <t>2d568e58-1bce-43d3-b509-529c4907feb6</t>
  </si>
  <si>
    <t>c154deff-4e9e-4fe4-9d67-f48908ff54d9</t>
  </si>
  <si>
    <t>71f2e2cc-c590-4263-a857-9d41079aeca5</t>
  </si>
  <si>
    <t>1750bbeb-a4d1-4fdd-9d4b-6da8f2110f83</t>
  </si>
  <si>
    <t>a5c9b131-7db9-49dc-bbf0-ab2cc975db2e</t>
  </si>
  <si>
    <t>f34c660c-8130-46ea-b9eb-2b94983e70f0</t>
  </si>
  <si>
    <t>b3df269b-9a99-4b0d-b72a-309d9eb0fdff</t>
  </si>
  <si>
    <t>762bdb2f-9869-459d-a388-b7d7499de3d1</t>
  </si>
  <si>
    <t>8c5e8ece-8b04-4187-943f-c47e7452ac98</t>
  </si>
  <si>
    <t>1ba7df97-738b-4bda-84bc-342e75f0bb3b</t>
  </si>
  <si>
    <t>0b029466-21a8-4aa2-a32d-7957bc97dd15</t>
  </si>
  <si>
    <t>78f2bf62-fba1-46a6-833c-110010ab98ad</t>
  </si>
  <si>
    <t>68ce89c8-a5b2-4117-b896-352c78e682a5</t>
  </si>
  <si>
    <t>e06fb7ea-7713-4fac-a996-c7ea9349c0f1</t>
  </si>
  <si>
    <t>8c3c1be4-1e6e-44d8-8c71-d45fd198b10a</t>
  </si>
  <si>
    <t>8f7170b0-9f51-4774-88cc-a5881e14d60d</t>
  </si>
  <si>
    <t>391f7245-b2ef-4328-b1f0-47135a7252ce</t>
  </si>
  <si>
    <t>c3d0acc2-11f2-410c-bdcb-15da9958e18d</t>
  </si>
  <si>
    <t>602855b3-cd60-4b34-9201-1dfb89a22d88</t>
  </si>
  <si>
    <t>910f20e5-3307-4e9f-928d-bf6b69fbc430</t>
  </si>
  <si>
    <t>05e332ce-23b3-4687-90ae-3a9a515490ff</t>
  </si>
  <si>
    <t>5802fec8-2f12-4cea-8fe6-64a2d9038aba</t>
  </si>
  <si>
    <t>4a384e91-f1c0-47f5-a245-485175a01a96</t>
  </si>
  <si>
    <t>72636137-36a1-4188-98f6-faaa54b0a5aa</t>
  </si>
  <si>
    <t>0687c494-6a02-4c35-9ed5-4932776b9162</t>
  </si>
  <si>
    <t>215aac75-022a-4a4a-90c3-160a8a792257</t>
  </si>
  <si>
    <t>21a179f2-e450-4d64-a10f-439788529ba6</t>
  </si>
  <si>
    <t>16eef2bf-6be9-48c4-bc16-37c86a697011</t>
  </si>
  <si>
    <t>f53ae566-c104-415c-a1f2-4e8e5e814603</t>
  </si>
  <si>
    <t>22bb275c-104e-497a-b1eb-227b79c9a40b</t>
  </si>
  <si>
    <t>7ce95fbf-f28c-4734-b710-35650d1be437</t>
  </si>
  <si>
    <t>f96cf079-d1d5-42bb-9878-4865d631dd13</t>
  </si>
  <si>
    <t>87d56579-1f8f-477f-a0bf-ab16a504a431</t>
  </si>
  <si>
    <t>f640922d-1951-4e52-8d07-58299a016cf0</t>
  </si>
  <si>
    <t>7f4f807a-f985-419c-820c-17ecfd0e613a</t>
  </si>
  <si>
    <t>32eb81b5-af6f-44d3-bc33-4de00ebe132d</t>
  </si>
  <si>
    <t>79b9c555-5d7f-401d-8ac8-a13fb0c5c1cf</t>
  </si>
  <si>
    <t>d105d2bf-fcf9-44c6-b086-51c0d096dbb4</t>
  </si>
  <si>
    <t>42608df0-d58d-440c-8038-cc4f2352733f</t>
  </si>
  <si>
    <t>557d44b5-24ef-4176-a0bc-33f51ec3c62a</t>
  </si>
  <si>
    <t>6119cd5f-25ae-468c-a4c8-0e86ce0da93f</t>
  </si>
  <si>
    <t>01e0e04b-2235-4fb9-8fb9-973653881bd7</t>
  </si>
  <si>
    <t>a92b4d05-6e6e-435e-b8ab-ed160c1a0671</t>
  </si>
  <si>
    <t>8eedeb3b-2b2f-4fbf-8c78-78d95da51319</t>
  </si>
  <si>
    <t>0de1d06b-e229-4173-ae8f-a5e2602c629a</t>
  </si>
  <si>
    <t>7dd16f76-9942-47b6-ae7f-fe82db8b862c</t>
  </si>
  <si>
    <t>96fa01b4-dcd1-4b01-bff4-4c52bc6e55bf</t>
  </si>
  <si>
    <t>674799d1-2e7f-485b-bec5-b874a7d43a30</t>
  </si>
  <si>
    <t>e11b6d38-05be-4524-9735-a838b05d752b</t>
  </si>
  <si>
    <t>9efe5bf3-7810-450a-a05a-4dc4ad997e2a</t>
  </si>
  <si>
    <t>9e0064ca-ef2e-4133-92b6-baae9a0fbab5</t>
  </si>
  <si>
    <t>88a98e69-9e49-4d28-98d7-1e0b1bce6138</t>
  </si>
  <si>
    <t>bf9da4d1-f789-4552-93e8-3b529290ed7d</t>
  </si>
  <si>
    <t>93ffabf9-401d-4998-ba07-69b25693af8f</t>
  </si>
  <si>
    <t>7798c7b5-2c45-40bb-b512-c35124084997</t>
  </si>
  <si>
    <t>0cf9f5e9-d094-49c5-a870-c736b66720a1</t>
  </si>
  <si>
    <t>1d3013fb-2d20-4f30-b937-1df99dafb903</t>
  </si>
  <si>
    <t>fc43da7e-fdb4-4950-924d-1dea2738ae4c</t>
  </si>
  <si>
    <t>e832c2fc-cd6b-419d-8c4c-e3c2a995c0da</t>
  </si>
  <si>
    <t>d4d09568-7425-484c-876a-0d23fbd58db7</t>
  </si>
  <si>
    <t>bad0e971-e8d5-4e75-979b-1663960b5f7f</t>
  </si>
  <si>
    <t>d670c278-b9ea-43fc-b638-8a136c66a9d0</t>
  </si>
  <si>
    <t>9064a593-c430-4ce4-be40-2fce743f1440</t>
  </si>
  <si>
    <t>3513193b-7a3b-4f79-8c6c-0fdeec771f7c</t>
  </si>
  <si>
    <t>b906246e-44aa-441f-85c5-fc2aa946b0cb</t>
  </si>
  <si>
    <t>05b8250f-403e-455e-8588-acfd28455970</t>
  </si>
  <si>
    <t>43fb462c-015a-4412-ab1e-61798120a503</t>
  </si>
  <si>
    <t>5e9407b5-aba7-4f9b-a6ce-7c7d5b22d0c1</t>
  </si>
  <si>
    <t>079d4971-f869-4eb4-9d75-a43a98c3df95</t>
  </si>
  <si>
    <t>1e25499f-f040-4626-b6d9-a923812d8aa1</t>
  </si>
  <si>
    <t>1ce4b8f6-4a3b-433e-b6df-03b90ab10530</t>
  </si>
  <si>
    <t>04c15b59-8639-4ca1-a09c-b3cdf6cd26e9</t>
  </si>
  <si>
    <t>9c9bcf2e-647a-4b9f-a950-dbec36feafd2</t>
  </si>
  <si>
    <t>b7b3766d-a554-4590-930c-4fac22ad5609</t>
  </si>
  <si>
    <t>a7bce00c-ce93-4774-b7aa-19c634036995</t>
  </si>
  <si>
    <t>22576ce0-1d98-41da-818e-272c0718c042</t>
  </si>
  <si>
    <t>0d2a0b24-a292-4470-b7b3-ef99948c12ed</t>
  </si>
  <si>
    <t>682fdf52-1ebf-4d53-a4b0-141a586bd183</t>
  </si>
  <si>
    <t>7e3cf4e1-5524-4c58-9e6f-181025287358</t>
  </si>
  <si>
    <t>7dc4b049-4b46-484c-8424-bdcc319c961a</t>
  </si>
  <si>
    <t>778255d3-5584-4006-8e97-c9256d319ebe</t>
  </si>
  <si>
    <t>c2228620-0aeb-4528-9afb-6c5acf3a4584</t>
  </si>
  <si>
    <t>c9fe7a97-ae87-4846-99cc-dffc804d029e</t>
  </si>
  <si>
    <t>70b56f5e-a3c0-404d-99d8-7aa2814b5a4d</t>
  </si>
  <si>
    <t>95fb8941-2b7c-429c-a1d6-d142fcebae4b</t>
  </si>
  <si>
    <t>d0eea795-1f4e-4edb-9bd6-d37816cef777</t>
  </si>
  <si>
    <t>c8778c91-31b9-4288-8522-0fc97992be4e</t>
  </si>
  <si>
    <t>21a219c6-4cd0-4da5-aea7-20e42999e21a</t>
  </si>
  <si>
    <t>5561ccd8-e146-49f5-8565-f3592b99c120</t>
  </si>
  <si>
    <t>702ab0a5-683f-47fa-b391-95acd2d54a89</t>
  </si>
  <si>
    <t>1f1887b9-f6a0-4e02-bdde-ca416a4c59ed</t>
  </si>
  <si>
    <t>4441c4ff-a006-4c5a-98d4-31e630b35f3c</t>
  </si>
  <si>
    <t>f74ff24c-51f6-475d-bf10-78327965060f</t>
  </si>
  <si>
    <t>fb637754-0acb-469f-adc6-8f653eb28048</t>
  </si>
  <si>
    <t>82c7d813-e397-4de4-8100-fc27da80fd7f</t>
  </si>
  <si>
    <t>0f1b36d1-4484-445c-b533-065818d12a59</t>
  </si>
  <si>
    <t>3bd93596-85f5-4e95-bd11-1c6f0b3cd87d</t>
  </si>
  <si>
    <t>a5d3af2e-027f-4ff1-811c-5b08b95aa234</t>
  </si>
  <si>
    <t>2d38083f-cfad-40b3-8343-c572f3d841d8</t>
  </si>
  <si>
    <t>a954f81c-754f-4b5b-bf48-510a882ae1e6</t>
  </si>
  <si>
    <t>94efcb70-ed00-4597-ad2b-cb64e70c3fac</t>
  </si>
  <si>
    <t>6e4d182d-a3ce-4477-bc55-af71b882893a</t>
  </si>
  <si>
    <t>135cfb15-52a8-4e74-8383-7a65f8c1bd7c</t>
  </si>
  <si>
    <t>c013d89c-ded5-477f-a7a1-82f17a4bc821</t>
  </si>
  <si>
    <t>d202349e-dd45-42e7-84a9-fa604082763f</t>
  </si>
  <si>
    <t>fd689478-3167-465d-b35c-2f2238dec6b1</t>
  </si>
  <si>
    <t>f05696ed-c46f-44f2-9356-17a9b6de2f88</t>
  </si>
  <si>
    <t>ef22bb3e-f5d3-495a-9e74-c6589bd524fb</t>
  </si>
  <si>
    <t>4213e867-3c80-4fd0-b3c6-e2541d2c96ed</t>
  </si>
  <si>
    <t>c07e896d-752f-4841-9fa4-aa8c9ed4acf5</t>
  </si>
  <si>
    <t>faaf8bca-8e08-486c-8968-51c445f22219</t>
  </si>
  <si>
    <t>1abb50cc-2669-4928-88c7-d4ab9d4c4481</t>
  </si>
  <si>
    <t>ebcedfc0-ae7b-4860-ad1e-3546b9425f43</t>
  </si>
  <si>
    <t>0e09d94c-15d8-4621-bb91-7439249d7087</t>
  </si>
  <si>
    <t>ac7d370b-5d58-4576-b476-0b9bc78e8750</t>
  </si>
  <si>
    <t>4b38a420-d599-48b2-9b49-b4d3ddfa370b</t>
  </si>
  <si>
    <t>068d3ec3-4558-4ce6-9c85-06f657b6bd3f</t>
  </si>
  <si>
    <t>ca2c759f-eb04-494f-8fc1-cd125bf44244</t>
  </si>
  <si>
    <t>04bde8d7-e8ac-4858-811e-4d2ed879f3b2</t>
  </si>
  <si>
    <t>731179a6-acc0-4d35-8dff-4ab8a6a427d0</t>
  </si>
  <si>
    <t>ea275892-9e6a-4ea7-bff4-2fd8e8b52e9a</t>
  </si>
  <si>
    <t>a2405e26-4977-4666-96f0-555b63ef33f5</t>
  </si>
  <si>
    <t>3585efe7-1d69-4db5-ac08-839a0e8df609</t>
  </si>
  <si>
    <t>9fd6430d-c973-4120-8dc5-d4f4bd8b2973</t>
  </si>
  <si>
    <t>535accfb-6771-4dc9-98aa-94a627c9d53a</t>
  </si>
  <si>
    <t>e90ac329-d5ca-425a-8ee5-e4d465f17cf1</t>
  </si>
  <si>
    <t>a69c4c3d-1d84-4a11-afbf-096c2d9d4746</t>
  </si>
  <si>
    <t>089923b3-af5c-4e4d-a9ae-44fdc09c96ed</t>
  </si>
  <si>
    <t>bb281009-8f9e-4de8-a2be-18ead738858e</t>
  </si>
  <si>
    <t>4faf647b-445b-40e8-a4cc-322e3c0cf8c1</t>
  </si>
  <si>
    <t>5e0c466c-778c-4fc4-959f-c9c585c28e03</t>
  </si>
  <si>
    <t>10fb9dda-dcb6-4f56-a21a-48efd69b6947</t>
  </si>
  <si>
    <t>43a2287a-3941-451d-9039-112f75a510ab</t>
  </si>
  <si>
    <t>bedcd2ac-2dd8-4df1-85c4-3b099174e2e3</t>
  </si>
  <si>
    <t>8196b73c-db52-4aed-b976-cbaa245c008b</t>
  </si>
  <si>
    <t>c97606a8-478f-4114-aca0-fa17084ef4b3</t>
  </si>
  <si>
    <t>08bcd88f-9bc2-4463-bc5f-498b5a3e6c27</t>
  </si>
  <si>
    <t>9f0232a1-f6d5-4ab9-bdb4-8258c05c7d63</t>
  </si>
  <si>
    <t>19e36af2-7843-4b27-9fd1-32169a2da1fa</t>
  </si>
  <si>
    <t>1d9e1a86-6cb4-4b0e-8c0b-8e4aad38184f</t>
  </si>
  <si>
    <t>e4c81362-e709-4351-aab3-69e8a590ef40</t>
  </si>
  <si>
    <t>b62a8e36-a7a1-434b-bc18-f55f6d0569c5</t>
  </si>
  <si>
    <t>0ec75c65-a599-4e39-8878-3455437f38d3</t>
  </si>
  <si>
    <t>4f9ba8fb-4fe1-4c92-996a-313e16e6a939</t>
  </si>
  <si>
    <t>15dd5aab-02a9-4353-b946-129f72a1560b</t>
  </si>
  <si>
    <t>db495161-ed07-4cd1-82d4-50a9e4c8c5c0</t>
  </si>
  <si>
    <t>bb9475e9-1a35-46a1-908e-0fcbca2b075d</t>
  </si>
  <si>
    <t>bab5dc46-e42e-406c-bcde-6ec042c2379b</t>
  </si>
  <si>
    <t>3be193c1-71c9-4feb-8146-f7c113153a5e</t>
  </si>
  <si>
    <t>067df9b8-5818-4c62-b69c-7d52b011a2ee</t>
  </si>
  <si>
    <t>e096d116-d8cc-473d-aca9-e8f785e96471</t>
  </si>
  <si>
    <t>a354f784-6051-47cd-9266-f9f76ae17cf9</t>
  </si>
  <si>
    <t>1d46a6b0-f972-4e84-b7e5-53c37d927a82</t>
  </si>
  <si>
    <t>30c6845d-fcd3-4100-be4a-6939a129e80d</t>
  </si>
  <si>
    <t>ad1f7c5d-8ae0-47c9-b206-7c8815ae90c8</t>
  </si>
  <si>
    <t>d2e9c9a4-1ffa-4197-a19a-bfc1ba75e82e</t>
  </si>
  <si>
    <t>789a8aba-0b46-435e-a7a7-903883ab845d</t>
  </si>
  <si>
    <t>4cadb250-9598-41b1-9aa5-b69f7c146ac3</t>
  </si>
  <si>
    <t>110faa05-b3a5-4946-93c0-4d7e014cf3d4</t>
  </si>
  <si>
    <t>8408aa81-381c-4653-ad47-eff2475f2fe6</t>
  </si>
  <si>
    <t>846071b8-3512-4c74-8ce2-29621445a8e0</t>
  </si>
  <si>
    <t>aee0bad7-f0d3-4485-af23-b9e4dfa52fd4</t>
  </si>
  <si>
    <t>85c2635d-3904-4955-b4fe-1467211e58d9</t>
  </si>
  <si>
    <t>8a651951-8fd2-431e-968d-ed0041ad09cd</t>
  </si>
  <si>
    <t>33a5ffac-c883-407a-9910-f24995588d22</t>
  </si>
  <si>
    <t>5f236990-4ea0-4f3d-bad9-81da221f49ab</t>
  </si>
  <si>
    <t>66fb3011-2fb9-4506-8854-e332308091c2</t>
  </si>
  <si>
    <t>de3fea5a-0bac-47ec-8304-83c1f89f049e</t>
  </si>
  <si>
    <t>f88695e3-3887-4837-b06e-44545116971b</t>
  </si>
  <si>
    <t>25786b48-b57f-43d4-8a62-b852aa91d6eb</t>
  </si>
  <si>
    <t>d01b5f38-e5e2-424a-bf0f-65f51fc1d64c</t>
  </si>
  <si>
    <t>c480d2b5-7843-47fb-94c0-9f40c6c3d562</t>
  </si>
  <si>
    <t>5cd95d80-f5f2-405a-b630-3b517d652c66</t>
  </si>
  <si>
    <t>249f226e-b40a-41f9-93a2-32a9504d7dd9</t>
  </si>
  <si>
    <t>207f3314-e691-4165-9db7-11d5209f16b8</t>
  </si>
  <si>
    <t>485e76bb-675c-4eb5-b1e2-82a4934adc5f</t>
  </si>
  <si>
    <t>d6e2c3f2-1b15-47fc-a1db-49862399a770</t>
  </si>
  <si>
    <t>daddb68f-42a4-46d6-aa0a-39a8dec340f8</t>
  </si>
  <si>
    <t>001b5926-1113-493d-80a4-f09012f2f43b</t>
  </si>
  <si>
    <t>fe3f068b-304f-4982-adbc-b2d992a4dfba</t>
  </si>
  <si>
    <t>534a8d77-57a7-4b82-a0ff-f55952dc55b1</t>
  </si>
  <si>
    <t>30918cb9-5f0f-453f-a5ce-88069390debc</t>
  </si>
  <si>
    <t>c2d3c910-2a29-4ae5-9f49-238b32cd2b34</t>
  </si>
  <si>
    <t>4bac5430-7ecd-45e2-99ba-f2c89c88edce</t>
  </si>
  <si>
    <t>01758428-1a21-4640-8f6c-36c669b35b03</t>
  </si>
  <si>
    <t>f6b290df-1d8b-42d8-9aac-5b19f94e441f</t>
  </si>
  <si>
    <t>1e1a8c33-1975-4586-b9e5-62c598f1ec78</t>
  </si>
  <si>
    <t>d2a0a7b8-a6c8-47cc-832f-000b87721bca</t>
  </si>
  <si>
    <t>5f2c7678-c330-4a6e-ab6b-2aa6446621e5</t>
  </si>
  <si>
    <t>f67de85d-948d-472f-ac82-35eeddb732b1</t>
  </si>
  <si>
    <t>c86cc60f-22f1-4233-829a-59d67a049bc7</t>
  </si>
  <si>
    <t>dbf49e6b-5487-4076-ad57-58e87c51afdc</t>
  </si>
  <si>
    <t>e67ca5f6-85c4-44d9-b257-120a96520964</t>
  </si>
  <si>
    <t>a50f0102-dae4-47af-b71f-bbe15439c86b</t>
  </si>
  <si>
    <t>e6883a9e-8210-4351-9acd-cd814c82f075</t>
  </si>
  <si>
    <t>df29e495-0935-4eb2-8330-15d416f94131</t>
  </si>
  <si>
    <t>2f4ba72c-20a1-4e4c-be17-4cdcb85aed84</t>
  </si>
  <si>
    <t>7f42c766-a854-4c9c-890e-fe4aa2e468d8</t>
  </si>
  <si>
    <t>a0a99e1e-afe1-4f6a-9435-828c93f0423b</t>
  </si>
  <si>
    <t>d6517555-2524-4794-8793-69011d3f7527</t>
  </si>
  <si>
    <t>302a7a07-2d07-4d15-aa7c-e8000c97f321</t>
  </si>
  <si>
    <t>1ac33b59-9ffa-45ea-bce9-95b004d48235</t>
  </si>
  <si>
    <t>0c77bb21-f163-4c27-b2d7-cd3691c0d932</t>
  </si>
  <si>
    <t>fffbf94b-2308-4687-a8bb-12e0347a511d</t>
  </si>
  <si>
    <t>38c0cb0d-73e5-492d-86ae-af609fdc20f3</t>
  </si>
  <si>
    <t>436e88e3-310d-4e5c-993d-2c984387b918</t>
  </si>
  <si>
    <t>c069c37d-b02d-4509-b039-bf16d73d22fb</t>
  </si>
  <si>
    <t>33208f6c-63b0-473e-ab21-97527b057c83</t>
  </si>
  <si>
    <t>5a2186bb-646a-4b19-8c83-54a103376f3e</t>
  </si>
  <si>
    <t>3710e889-665a-4e74-82b4-84338bbd4ec5</t>
  </si>
  <si>
    <t>ff1360fb-906c-459e-b73c-dbe79d6c0bba</t>
  </si>
  <si>
    <t>4597d5ab-47a9-4d12-80a8-0babe6446f8d</t>
  </si>
  <si>
    <t>54f85781-8e1c-4902-864e-01c6f423bb3c</t>
  </si>
  <si>
    <t>5f1e4fd7-5fd5-4d17-9506-07d94708a5a6</t>
  </si>
  <si>
    <t>3159a3b9-ff3a-4ecd-976b-44e795002c17</t>
  </si>
  <si>
    <t>727a57d8-56dd-4b96-8e01-c0841ed37406</t>
  </si>
  <si>
    <t>1a613704-dbee-4a93-b9d1-7949da2b1aab</t>
  </si>
  <si>
    <t>ce69dec0-1f59-4584-ae9b-509c66fb056a</t>
  </si>
  <si>
    <t>00bdfac1-c682-408a-b6e1-73fdbfd9453c</t>
  </si>
  <si>
    <t>2a4fafb1-ea01-4a1b-aacc-a09cf8eb1040</t>
  </si>
  <si>
    <t>a8725398-953d-4250-af9d-f99ecb96b562</t>
  </si>
  <si>
    <t>3160aa58-0bf6-4e81-a1af-51903f0c0588</t>
  </si>
  <si>
    <t>762e1664-e032-49bd-b40b-6ffc62b9f79d</t>
  </si>
  <si>
    <t>8965ad72-c8b5-478a-879e-8136cdd2b134</t>
  </si>
  <si>
    <t>40d27e9f-dd96-4b7b-b4c1-b9e098c71542</t>
  </si>
  <si>
    <t>e26bf752-9b54-4ad5-95c0-ebfdd1985e6a</t>
  </si>
  <si>
    <t>dbe93e6b-0841-4e21-8651-6e8ecac62efc</t>
  </si>
  <si>
    <t>4d0d9fe7-24e6-423a-909d-9842181b5945</t>
  </si>
  <si>
    <t>6e59af78-eae8-4862-a459-ccb4bb6c9077</t>
  </si>
  <si>
    <t>c0f1eefc-9a25-44f6-bf4b-85d606fd6b15</t>
  </si>
  <si>
    <t>ff85f5f5-218c-4a52-b148-7b8883f635aa</t>
  </si>
  <si>
    <t>17e2425b-34d9-4947-93ef-3f2d2f3ea259</t>
  </si>
  <si>
    <t>c0afed78-fc9f-4375-a3a2-a4e02e01946f</t>
  </si>
  <si>
    <t>299e91ef-64c6-4cde-83d5-49b2c453eeb6</t>
  </si>
  <si>
    <t>8303a039-6a27-43cf-9410-2bb30cd7df1a</t>
  </si>
  <si>
    <t>a6ffb99c-83d7-4249-ad0f-6e34402a52d8</t>
  </si>
  <si>
    <t>e4995385-d038-45d3-8363-db73a27d7469</t>
  </si>
  <si>
    <t>e30087d7-5154-4bed-b206-a5a3a8beb672</t>
  </si>
  <si>
    <t>c2385a8f-375b-4476-b78d-072cd47b996c</t>
  </si>
  <si>
    <t>5a416884-375a-4442-b7c6-b480321dd6fd</t>
  </si>
  <si>
    <t>b35d25da-2139-4003-95ae-4692112104fc</t>
  </si>
  <si>
    <t>4a6f3042-0fd3-47d6-ba34-bac14e81e872</t>
  </si>
  <si>
    <t>e495cf16-e38d-4e9f-900c-2f4a9d00a0bb</t>
  </si>
  <si>
    <t>bdf58108-85ad-4ec0-b613-65576525b913</t>
  </si>
  <si>
    <t>a213aa66-7585-47f8-b1fa-3bd2bc3a1387</t>
  </si>
  <si>
    <t>3853a2be-416d-4b36-ab0f-1e9284166094</t>
  </si>
  <si>
    <t>96c14d7e-0813-4f70-be22-9198e307cc5d</t>
  </si>
  <si>
    <t>9cac0e48-698a-4808-9ca9-9601ff0bd4d2</t>
  </si>
  <si>
    <t>b2903ea6-d58c-4ffa-bf43-3e5e6a25ca06</t>
  </si>
  <si>
    <t>edb9036d-95f9-4998-9910-78ba85869dbd</t>
  </si>
  <si>
    <t>ac6eb271-0239-4957-b828-c89508fcfbea</t>
  </si>
  <si>
    <t>9721209e-3147-456f-a2c0-81d23b4cf822</t>
  </si>
  <si>
    <t>f915a366-31c7-4a9e-9042-ca526c771219</t>
  </si>
  <si>
    <t>75532a22-9cd9-492c-8865-fa4ac7da2ec8</t>
  </si>
  <si>
    <t>44f3ba44-b95d-4e50-a786-bac4d06f4a43</t>
  </si>
  <si>
    <t>18779bcb-ba2b-41da-b751-e70b812061ec</t>
  </si>
  <si>
    <t>3f32e8c5-615b-4a3b-a864-db2688f7834f</t>
  </si>
  <si>
    <t>7b0ad82d-6571-430e-90f4-906259e0e89c</t>
  </si>
  <si>
    <t>82aeef39-ddb0-40ad-bae1-5c436e0cf042</t>
  </si>
  <si>
    <t>Column1</t>
  </si>
  <si>
    <t>Mean</t>
  </si>
  <si>
    <t>Standard Error</t>
  </si>
  <si>
    <t>Median</t>
  </si>
  <si>
    <t>Mode</t>
  </si>
  <si>
    <t>Standard Deviation</t>
  </si>
  <si>
    <t>Sample Variance</t>
  </si>
  <si>
    <t>Kurtosis</t>
  </si>
  <si>
    <t>Skewness</t>
  </si>
  <si>
    <t>Range</t>
  </si>
  <si>
    <t>Minimum</t>
  </si>
  <si>
    <t>Maximum</t>
  </si>
  <si>
    <t>Sum</t>
  </si>
  <si>
    <t>Count</t>
  </si>
  <si>
    <t>age_group</t>
  </si>
  <si>
    <t>Grand Total</t>
  </si>
  <si>
    <t>Sum of churned</t>
  </si>
  <si>
    <t>Sum of monthly_fee</t>
  </si>
  <si>
    <t>Average of watch_hours</t>
  </si>
  <si>
    <t>Count of customer_id</t>
  </si>
  <si>
    <t>Churned_perc</t>
  </si>
  <si>
    <t>Row Labels</t>
  </si>
  <si>
    <t>2. Early Adulthood (25-34)</t>
  </si>
  <si>
    <t>3. Mid Adulthood (35-44)</t>
  </si>
  <si>
    <t>4. Mature Adulthood (45-54)</t>
  </si>
  <si>
    <t>5. Late Adulthood/Senior (55+)</t>
  </si>
  <si>
    <t>1. Young Adulthood (18-24)</t>
  </si>
  <si>
    <t>AVG Watched Hours</t>
  </si>
  <si>
    <t>Churned Rate %</t>
  </si>
  <si>
    <t>Monthly Fee</t>
  </si>
  <si>
    <t>getpivotdata</t>
  </si>
  <si>
    <t>getpivotdata :</t>
  </si>
  <si>
    <t>Customer Count</t>
  </si>
  <si>
    <t xml:space="preserve"> Total Monthly Fee</t>
  </si>
  <si>
    <t>AVG_watched_hours</t>
  </si>
  <si>
    <t>Average of last_login_days</t>
  </si>
  <si>
    <t>Netflix Churn Analysis</t>
  </si>
  <si>
    <t>Average of number_of_profiles</t>
  </si>
  <si>
    <r>
      <rPr>
        <b/>
        <sz val="11"/>
        <color theme="1"/>
        <rFont val="Aptos Narrow"/>
        <family val="2"/>
        <scheme val="minor"/>
      </rPr>
      <t xml:space="preserve">Executive Summary </t>
    </r>
    <r>
      <rPr>
        <sz val="11"/>
        <color theme="1"/>
        <rFont val="Aptos Narrow"/>
        <family val="2"/>
        <scheme val="minor"/>
      </rPr>
      <t xml:space="preserve">
</t>
    </r>
    <r>
      <rPr>
        <b/>
        <sz val="11"/>
        <color theme="1"/>
        <rFont val="Aptos Narrow"/>
        <family val="2"/>
        <scheme val="minor"/>
      </rPr>
      <t>Objective</t>
    </r>
    <r>
      <rPr>
        <sz val="11"/>
        <color theme="1"/>
        <rFont val="Aptos Narrow"/>
        <family val="2"/>
        <scheme val="minor"/>
      </rPr>
      <t xml:space="preserve">
The analysis examined customer churn behavior within the netflix_customer_churn.csv. The purpose was to understand which customer attributes, behaviors, and subscription characteristics contributed most to churn movement.
</t>
    </r>
    <r>
      <rPr>
        <b/>
        <sz val="11"/>
        <color theme="1"/>
        <rFont val="Aptos Narrow"/>
        <family val="2"/>
        <scheme val="minor"/>
      </rPr>
      <t>Data Preparation</t>
    </r>
    <r>
      <rPr>
        <sz val="11"/>
        <color theme="1"/>
        <rFont val="Aptos Narrow"/>
        <family val="2"/>
        <scheme val="minor"/>
      </rPr>
      <t xml:space="preserve">
⦁	Verified the dataset have duplicates and non-standard data
⦁	Ensured customer_id remained unique across all rows.
⦁	Added an age group column for better analysis and presentation of the data
⦁	Verified numeric formatting for watch hours, daily watch time, and monthly fees.
⦁	Confirmed churn indicator values (0 and 1) across the dataset.
</t>
    </r>
    <r>
      <rPr>
        <b/>
        <sz val="11"/>
        <color theme="1"/>
        <rFont val="Aptos Narrow"/>
        <family val="2"/>
        <scheme val="minor"/>
      </rPr>
      <t>Analysis Performed</t>
    </r>
    <r>
      <rPr>
        <sz val="11"/>
        <color theme="1"/>
        <rFont val="Aptos Narrow"/>
        <family val="2"/>
        <scheme val="minor"/>
      </rPr>
      <t xml:space="preserve">
⦁	PivotTables summarizing churn counts, subscription types, watch-hour ranges, device distribution, and regional groupings.
⦁	Aggregations for average watch hours, average last login days, and number of profiles.
⦁	Chart visuals illustrating churn rate by plan, churn vs. watch activity, and customer distribution by age segment.
</t>
    </r>
    <r>
      <rPr>
        <b/>
        <sz val="11"/>
        <color theme="1"/>
        <rFont val="Aptos Narrow"/>
        <family val="2"/>
        <scheme val="minor"/>
      </rPr>
      <t>Key Findings</t>
    </r>
    <r>
      <rPr>
        <sz val="11"/>
        <color theme="1"/>
        <rFont val="Aptos Narrow"/>
        <family val="2"/>
        <scheme val="minor"/>
      </rPr>
      <t xml:space="preserve">
⦁	Users with minimal daily watch time, displayed the highest churn concentration.
⦁	Basic subscription have a noticeably higher churn movement compared with Standard and Basic plans. It also have the lowest average watched hours. It may suggest the users are busy and only watched one or two movies/series.
⦁	Crypto payment methods correlated with higher churn, indicating there is an issue in payment reliability.
⦁	Region-based patterns suggested stronger retention in Oceania and weaker retention in selected international markets especially in South America and Europe.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</si>
</sst>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0.0%"/>
    <numFmt numFmtId="171" formatCode="[$$-409]#,##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4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1" fontId="0" fillId="0" borderId="0" xfId="0" applyNumberFormat="1"/>
    <xf numFmtId="0" fontId="0" fillId="0" borderId="10" xfId="0" applyBorder="1"/>
    <xf numFmtId="0" fontId="18" fillId="0" borderId="11" xfId="0" applyFont="1" applyBorder="1" applyAlignment="1">
      <alignment horizontal="centerContinuous"/>
    </xf>
    <xf numFmtId="2" fontId="0" fillId="0" borderId="0" xfId="0" applyNumberFormat="1"/>
    <xf numFmtId="1" fontId="0" fillId="0" borderId="0" xfId="0" applyNumberFormat="1"/>
    <xf numFmtId="164" fontId="0" fillId="0" borderId="0" xfId="0" applyNumberFormat="1"/>
    <xf numFmtId="0" fontId="0" fillId="0" borderId="0" xfId="0" pivotButton="1"/>
    <xf numFmtId="0" fontId="16" fillId="33" borderId="12" xfId="0" applyFont="1" applyFill="1" applyBorder="1"/>
    <xf numFmtId="10" fontId="0" fillId="0" borderId="0" xfId="0" applyNumberFormat="1"/>
    <xf numFmtId="165" fontId="0" fillId="0" borderId="0" xfId="42" applyNumberFormat="1" applyFont="1"/>
    <xf numFmtId="0" fontId="0" fillId="0" borderId="0" xfId="0" applyAlignment="1">
      <alignment horizontal="left"/>
    </xf>
    <xf numFmtId="0" fontId="0" fillId="0" borderId="0" xfId="0" applyNumberFormat="1"/>
    <xf numFmtId="171" fontId="16" fillId="33" borderId="13" xfId="0" applyNumberFormat="1" applyFont="1" applyFill="1" applyBorder="1"/>
    <xf numFmtId="165" fontId="0" fillId="0" borderId="0" xfId="0" applyNumberFormat="1"/>
    <xf numFmtId="0" fontId="0" fillId="34" borderId="0" xfId="0" applyFill="1"/>
    <xf numFmtId="0" fontId="19" fillId="34" borderId="0" xfId="0" applyFont="1" applyFill="1" applyAlignment="1">
      <alignment horizontal="center" vertical="center"/>
    </xf>
    <xf numFmtId="0" fontId="19" fillId="34" borderId="0" xfId="0" applyFont="1" applyFill="1" applyAlignment="1">
      <alignment vertical="center"/>
    </xf>
    <xf numFmtId="0" fontId="0" fillId="0" borderId="0" xfId="0" applyAlignment="1">
      <alignment vertical="top"/>
    </xf>
    <xf numFmtId="0" fontId="0" fillId="0" borderId="14" xfId="0"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164" formatCode="[$$-409]#,##0.00"/>
    </dxf>
    <dxf>
      <numFmt numFmtId="1" formatCode="0"/>
    </dxf>
    <dxf>
      <numFmt numFmtId="2" formatCode="0.00"/>
    </dxf>
    <dxf>
      <numFmt numFmtId="1" formatCode="0"/>
    </dxf>
    <dxf>
      <numFmt numFmtId="1" formatCode="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[Netflix_Churn.xlsx]Pivot Tables!region_churned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Revenue vs Churned Percentage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Tables'!$C$12</c:f>
              <c:strCache>
                <c:ptCount val="1"/>
                <c:pt idx="0">
                  <c:v>Monthly Fee</c:v>
                </c:pt>
              </c:strCache>
            </c:strRef>
          </c:tx>
          <c:spPr>
            <a:solidFill>
              <a:schemeClr val="accent1"/>
            </a:solidFill>
            <a:ln>
              <a:noFill/>
            </a:ln>
            <a:effectLst/>
          </c:spPr>
          <c:invertIfNegative val="0"/>
          <c:cat>
            <c:strRef>
              <c:f>'Pivot Tables'!$B$13:$B$19</c:f>
              <c:strCache>
                <c:ptCount val="6"/>
                <c:pt idx="0">
                  <c:v>South America</c:v>
                </c:pt>
                <c:pt idx="1">
                  <c:v>North America</c:v>
                </c:pt>
                <c:pt idx="2">
                  <c:v>Asia</c:v>
                </c:pt>
                <c:pt idx="3">
                  <c:v>Europe</c:v>
                </c:pt>
                <c:pt idx="4">
                  <c:v>Africa</c:v>
                </c:pt>
                <c:pt idx="5">
                  <c:v>Oceania</c:v>
                </c:pt>
              </c:strCache>
            </c:strRef>
          </c:cat>
          <c:val>
            <c:numRef>
              <c:f>'Pivot Tables'!$C$13:$C$19</c:f>
              <c:numCache>
                <c:formatCode>[$$-409]#,##0.00</c:formatCode>
                <c:ptCount val="6"/>
                <c:pt idx="0">
                  <c:v>2696.9999999999859</c:v>
                </c:pt>
                <c:pt idx="1">
                  <c:v>2607.0999999999881</c:v>
                </c:pt>
                <c:pt idx="2">
                  <c:v>2562.1499999999892</c:v>
                </c:pt>
                <c:pt idx="3">
                  <c:v>2553.1599999999894</c:v>
                </c:pt>
                <c:pt idx="4">
                  <c:v>2337.3999999999946</c:v>
                </c:pt>
                <c:pt idx="5">
                  <c:v>2175.5799999999986</c:v>
                </c:pt>
              </c:numCache>
            </c:numRef>
          </c:val>
          <c:extLst>
            <c:ext xmlns:c16="http://schemas.microsoft.com/office/drawing/2014/chart" uri="{C3380CC4-5D6E-409C-BE32-E72D297353CC}">
              <c16:uniqueId val="{00000000-43DC-4F4C-85A4-8072856578E8}"/>
            </c:ext>
          </c:extLst>
        </c:ser>
        <c:dLbls>
          <c:showLegendKey val="0"/>
          <c:showVal val="0"/>
          <c:showCatName val="0"/>
          <c:showSerName val="0"/>
          <c:showPercent val="0"/>
          <c:showBubbleSize val="0"/>
        </c:dLbls>
        <c:gapWidth val="219"/>
        <c:axId val="530365279"/>
        <c:axId val="530368159"/>
      </c:barChart>
      <c:lineChart>
        <c:grouping val="standard"/>
        <c:varyColors val="0"/>
        <c:ser>
          <c:idx val="1"/>
          <c:order val="1"/>
          <c:tx>
            <c:strRef>
              <c:f>'Pivot Tables'!$D$12</c:f>
              <c:strCache>
                <c:ptCount val="1"/>
                <c:pt idx="0">
                  <c:v>Churned Rate %</c:v>
                </c:pt>
              </c:strCache>
            </c:strRef>
          </c:tx>
          <c:spPr>
            <a:ln w="28575" cap="rnd">
              <a:solidFill>
                <a:schemeClr val="accent2"/>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Tables'!$B$13:$B$19</c:f>
              <c:strCache>
                <c:ptCount val="6"/>
                <c:pt idx="0">
                  <c:v>South America</c:v>
                </c:pt>
                <c:pt idx="1">
                  <c:v>North America</c:v>
                </c:pt>
                <c:pt idx="2">
                  <c:v>Asia</c:v>
                </c:pt>
                <c:pt idx="3">
                  <c:v>Europe</c:v>
                </c:pt>
                <c:pt idx="4">
                  <c:v>Africa</c:v>
                </c:pt>
                <c:pt idx="5">
                  <c:v>Oceania</c:v>
                </c:pt>
              </c:strCache>
            </c:strRef>
          </c:cat>
          <c:val>
            <c:numRef>
              <c:f>'Pivot Tables'!$D$13:$D$19</c:f>
              <c:numCache>
                <c:formatCode>0.00%</c:formatCode>
                <c:ptCount val="6"/>
                <c:pt idx="0">
                  <c:v>0.1830574488802337</c:v>
                </c:pt>
                <c:pt idx="1">
                  <c:v>0.1733203505355404</c:v>
                </c:pt>
                <c:pt idx="2">
                  <c:v>0.16747809152872445</c:v>
                </c:pt>
                <c:pt idx="3">
                  <c:v>0.1733203505355404</c:v>
                </c:pt>
                <c:pt idx="4">
                  <c:v>0.15579357351509251</c:v>
                </c:pt>
                <c:pt idx="5">
                  <c:v>0.14703018500486856</c:v>
                </c:pt>
              </c:numCache>
            </c:numRef>
          </c:val>
          <c:smooth val="0"/>
          <c:extLst>
            <c:ext xmlns:c16="http://schemas.microsoft.com/office/drawing/2014/chart" uri="{C3380CC4-5D6E-409C-BE32-E72D297353CC}">
              <c16:uniqueId val="{00000001-43DC-4F4C-85A4-8072856578E8}"/>
            </c:ext>
          </c:extLst>
        </c:ser>
        <c:dLbls>
          <c:showLegendKey val="0"/>
          <c:showVal val="0"/>
          <c:showCatName val="0"/>
          <c:showSerName val="0"/>
          <c:showPercent val="0"/>
          <c:showBubbleSize val="0"/>
        </c:dLbls>
        <c:marker val="1"/>
        <c:smooth val="0"/>
        <c:axId val="1928314719"/>
        <c:axId val="1928315679"/>
      </c:lineChart>
      <c:catAx>
        <c:axId val="53036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0368159"/>
        <c:crosses val="autoZero"/>
        <c:auto val="1"/>
        <c:lblAlgn val="ctr"/>
        <c:lblOffset val="100"/>
        <c:noMultiLvlLbl val="0"/>
      </c:catAx>
      <c:valAx>
        <c:axId val="53036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 Monthly Fee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5279"/>
        <c:crosses val="autoZero"/>
        <c:crossBetween val="between"/>
      </c:valAx>
      <c:valAx>
        <c:axId val="192831567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14719"/>
        <c:crosses val="max"/>
        <c:crossBetween val="between"/>
      </c:valAx>
      <c:catAx>
        <c:axId val="1928314719"/>
        <c:scaling>
          <c:orientation val="minMax"/>
        </c:scaling>
        <c:delete val="1"/>
        <c:axPos val="t"/>
        <c:numFmt formatCode="General" sourceLinked="1"/>
        <c:majorTickMark val="out"/>
        <c:minorTickMark val="none"/>
        <c:tickLblPos val="nextTo"/>
        <c:crossAx val="1928315679"/>
        <c:crosses val="max"/>
        <c:auto val="1"/>
        <c:lblAlgn val="ctr"/>
        <c:lblOffset val="100"/>
        <c:noMultiLvlLbl val="0"/>
      </c:catAx>
      <c:spPr>
        <a:noFill/>
        <a:ln>
          <a:noFill/>
        </a:ln>
        <a:effectLst/>
      </c:spPr>
    </c:plotArea>
    <c:legend>
      <c:legendPos val="b"/>
      <c:layout>
        <c:manualLayout>
          <c:xMode val="edge"/>
          <c:yMode val="edge"/>
          <c:x val="6.2806815386844102E-3"/>
          <c:y val="0.88946704578594338"/>
          <c:w val="0.3833003143541589"/>
          <c:h val="7.7206426699934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[Netflix_Churn.xlsx]Pivot Tables!agegroup_churnedrate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Watched Hours vs Churned %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alpha val="8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Tables'!$C$3</c:f>
              <c:strCache>
                <c:ptCount val="1"/>
                <c:pt idx="0">
                  <c:v>AVG Watched 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Tables'!$B$4:$B$9</c:f>
              <c:strCache>
                <c:ptCount val="5"/>
                <c:pt idx="0">
                  <c:v>1. Young Adulthood (18-24)</c:v>
                </c:pt>
                <c:pt idx="1">
                  <c:v>2. Early Adulthood (25-34)</c:v>
                </c:pt>
                <c:pt idx="2">
                  <c:v>3. Mid Adulthood (35-44)</c:v>
                </c:pt>
                <c:pt idx="3">
                  <c:v>4. Mature Adulthood (45-54)</c:v>
                </c:pt>
                <c:pt idx="4">
                  <c:v>5. Late Adulthood/Senior (55+)</c:v>
                </c:pt>
              </c:strCache>
            </c:strRef>
          </c:cat>
          <c:val>
            <c:numRef>
              <c:f>'Pivot Tables'!$C$4:$C$9</c:f>
              <c:numCache>
                <c:formatCode>0.00</c:formatCode>
                <c:ptCount val="5"/>
                <c:pt idx="0">
                  <c:v>10.504196428571419</c:v>
                </c:pt>
                <c:pt idx="1">
                  <c:v>11.437658862876264</c:v>
                </c:pt>
                <c:pt idx="2">
                  <c:v>12.918333333333337</c:v>
                </c:pt>
                <c:pt idx="3">
                  <c:v>11.623980891719748</c:v>
                </c:pt>
                <c:pt idx="4">
                  <c:v>11.23783203125001</c:v>
                </c:pt>
              </c:numCache>
            </c:numRef>
          </c:val>
          <c:smooth val="0"/>
          <c:extLst>
            <c:ext xmlns:c16="http://schemas.microsoft.com/office/drawing/2014/chart" uri="{C3380CC4-5D6E-409C-BE32-E72D297353CC}">
              <c16:uniqueId val="{00000000-3C03-4A19-B7CA-6FD24D071278}"/>
            </c:ext>
          </c:extLst>
        </c:ser>
        <c:dLbls>
          <c:showLegendKey val="0"/>
          <c:showVal val="0"/>
          <c:showCatName val="0"/>
          <c:showSerName val="0"/>
          <c:showPercent val="0"/>
          <c:showBubbleSize val="0"/>
        </c:dLbls>
        <c:marker val="1"/>
        <c:smooth val="0"/>
        <c:axId val="2007846735"/>
        <c:axId val="2007852015"/>
      </c:lineChart>
      <c:lineChart>
        <c:grouping val="standard"/>
        <c:varyColors val="0"/>
        <c:ser>
          <c:idx val="1"/>
          <c:order val="1"/>
          <c:tx>
            <c:strRef>
              <c:f>'Pivot Tables'!$D$3</c:f>
              <c:strCache>
                <c:ptCount val="1"/>
                <c:pt idx="0">
                  <c:v>Churned Rate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20000"/>
                  <a:lumOff val="80000"/>
                  <a:alpha val="8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Tables'!$B$4:$B$9</c:f>
              <c:strCache>
                <c:ptCount val="5"/>
                <c:pt idx="0">
                  <c:v>1. Young Adulthood (18-24)</c:v>
                </c:pt>
                <c:pt idx="1">
                  <c:v>2. Early Adulthood (25-34)</c:v>
                </c:pt>
                <c:pt idx="2">
                  <c:v>3. Mid Adulthood (35-44)</c:v>
                </c:pt>
                <c:pt idx="3">
                  <c:v>4. Mature Adulthood (45-54)</c:v>
                </c:pt>
                <c:pt idx="4">
                  <c:v>5. Late Adulthood/Senior (55+)</c:v>
                </c:pt>
              </c:strCache>
            </c:strRef>
          </c:cat>
          <c:val>
            <c:numRef>
              <c:f>'Pivot Tables'!$D$4:$D$9</c:f>
              <c:numCache>
                <c:formatCode>0.00%</c:formatCode>
                <c:ptCount val="5"/>
                <c:pt idx="0">
                  <c:v>0.14021421616358326</c:v>
                </c:pt>
                <c:pt idx="1">
                  <c:v>0.18597857838364168</c:v>
                </c:pt>
                <c:pt idx="2">
                  <c:v>0.17234664070107109</c:v>
                </c:pt>
                <c:pt idx="3">
                  <c:v>0.19279454722492698</c:v>
                </c:pt>
                <c:pt idx="4">
                  <c:v>0.30866601752677703</c:v>
                </c:pt>
              </c:numCache>
            </c:numRef>
          </c:val>
          <c:smooth val="0"/>
          <c:extLst>
            <c:ext xmlns:c16="http://schemas.microsoft.com/office/drawing/2014/chart" uri="{C3380CC4-5D6E-409C-BE32-E72D297353CC}">
              <c16:uniqueId val="{00000001-3C03-4A19-B7CA-6FD24D071278}"/>
            </c:ext>
          </c:extLst>
        </c:ser>
        <c:dLbls>
          <c:showLegendKey val="0"/>
          <c:showVal val="0"/>
          <c:showCatName val="0"/>
          <c:showSerName val="0"/>
          <c:showPercent val="0"/>
          <c:showBubbleSize val="0"/>
        </c:dLbls>
        <c:marker val="1"/>
        <c:smooth val="0"/>
        <c:axId val="2007868815"/>
        <c:axId val="2007868335"/>
      </c:lineChart>
      <c:catAx>
        <c:axId val="20078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07852015"/>
        <c:crosses val="autoZero"/>
        <c:auto val="1"/>
        <c:lblAlgn val="ctr"/>
        <c:lblOffset val="100"/>
        <c:noMultiLvlLbl val="0"/>
      </c:catAx>
      <c:valAx>
        <c:axId val="200785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Watch</a:t>
                </a:r>
                <a:r>
                  <a:rPr lang="en-PH" baseline="0"/>
                  <a:t>ed Hours</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46735"/>
        <c:crosses val="autoZero"/>
        <c:crossBetween val="between"/>
      </c:valAx>
      <c:valAx>
        <c:axId val="2007868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a:t>
                </a:r>
                <a:r>
                  <a:rPr lang="en-PH" baseline="0"/>
                  <a:t> %</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68815"/>
        <c:crosses val="max"/>
        <c:crossBetween val="between"/>
      </c:valAx>
      <c:catAx>
        <c:axId val="2007868815"/>
        <c:scaling>
          <c:orientation val="minMax"/>
        </c:scaling>
        <c:delete val="1"/>
        <c:axPos val="b"/>
        <c:numFmt formatCode="General" sourceLinked="1"/>
        <c:majorTickMark val="out"/>
        <c:minorTickMark val="none"/>
        <c:tickLblPos val="nextTo"/>
        <c:crossAx val="2007868335"/>
        <c:crosses val="autoZero"/>
        <c:auto val="1"/>
        <c:lblAlgn val="ctr"/>
        <c:lblOffset val="100"/>
        <c:noMultiLvlLbl val="0"/>
      </c:catAx>
      <c:spPr>
        <a:noFill/>
        <a:ln>
          <a:noFill/>
        </a:ln>
        <a:effectLst/>
      </c:spPr>
    </c:plotArea>
    <c:legend>
      <c:legendPos val="b"/>
      <c:layout>
        <c:manualLayout>
          <c:xMode val="edge"/>
          <c:yMode val="edge"/>
          <c:x val="5.0164821086018749E-3"/>
          <c:y val="0.89409667541557303"/>
          <c:w val="0.4710574519214121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[Netflix_Churn.xlsx]Pivot Tables!payment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Payment</a:t>
            </a:r>
            <a:r>
              <a:rPr lang="en-PH" baseline="0"/>
              <a:t> Method Used vs Churned Rate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pivotFmt>
    </c:pivotFmts>
    <c:plotArea>
      <c:layout/>
      <c:barChart>
        <c:barDir val="col"/>
        <c:grouping val="clustered"/>
        <c:varyColors val="0"/>
        <c:ser>
          <c:idx val="0"/>
          <c:order val="0"/>
          <c:tx>
            <c:strRef>
              <c:f>'Pivot Tables'!$C$46</c:f>
              <c:strCache>
                <c:ptCount val="1"/>
                <c:pt idx="0">
                  <c:v>Customer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Tables'!$B$47:$B$52</c:f>
              <c:strCache>
                <c:ptCount val="5"/>
                <c:pt idx="0">
                  <c:v>PayPal</c:v>
                </c:pt>
                <c:pt idx="1">
                  <c:v>Credit Card</c:v>
                </c:pt>
                <c:pt idx="2">
                  <c:v>Debit Card</c:v>
                </c:pt>
                <c:pt idx="3">
                  <c:v>Gift Card</c:v>
                </c:pt>
                <c:pt idx="4">
                  <c:v>Crypto</c:v>
                </c:pt>
              </c:strCache>
            </c:strRef>
          </c:cat>
          <c:val>
            <c:numRef>
              <c:f>'Pivot Tables'!$C$47:$C$52</c:f>
              <c:numCache>
                <c:formatCode>General</c:formatCode>
                <c:ptCount val="5"/>
                <c:pt idx="0">
                  <c:v>361</c:v>
                </c:pt>
                <c:pt idx="1">
                  <c:v>345</c:v>
                </c:pt>
                <c:pt idx="2">
                  <c:v>338</c:v>
                </c:pt>
                <c:pt idx="3">
                  <c:v>317</c:v>
                </c:pt>
                <c:pt idx="4">
                  <c:v>300</c:v>
                </c:pt>
              </c:numCache>
            </c:numRef>
          </c:val>
          <c:extLst>
            <c:ext xmlns:c16="http://schemas.microsoft.com/office/drawing/2014/chart" uri="{C3380CC4-5D6E-409C-BE32-E72D297353CC}">
              <c16:uniqueId val="{00000000-A83F-4F43-9022-9174736AE039}"/>
            </c:ext>
          </c:extLst>
        </c:ser>
        <c:dLbls>
          <c:showLegendKey val="0"/>
          <c:showVal val="1"/>
          <c:showCatName val="0"/>
          <c:showSerName val="0"/>
          <c:showPercent val="0"/>
          <c:showBubbleSize val="0"/>
        </c:dLbls>
        <c:gapWidth val="219"/>
        <c:overlap val="-27"/>
        <c:axId val="72416527"/>
        <c:axId val="72413647"/>
      </c:barChart>
      <c:lineChart>
        <c:grouping val="standard"/>
        <c:varyColors val="0"/>
        <c:ser>
          <c:idx val="1"/>
          <c:order val="1"/>
          <c:tx>
            <c:strRef>
              <c:f>'Pivot Tables'!$D$46</c:f>
              <c:strCache>
                <c:ptCount val="1"/>
                <c:pt idx="0">
                  <c:v>Churned Rate %</c:v>
                </c:pt>
              </c:strCache>
            </c:strRef>
          </c:tx>
          <c:spPr>
            <a:ln w="28575" cap="rnd">
              <a:solidFill>
                <a:schemeClr val="accent2"/>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Tables'!$B$47:$B$52</c:f>
              <c:strCache>
                <c:ptCount val="5"/>
                <c:pt idx="0">
                  <c:v>PayPal</c:v>
                </c:pt>
                <c:pt idx="1">
                  <c:v>Credit Card</c:v>
                </c:pt>
                <c:pt idx="2">
                  <c:v>Debit Card</c:v>
                </c:pt>
                <c:pt idx="3">
                  <c:v>Gift Card</c:v>
                </c:pt>
                <c:pt idx="4">
                  <c:v>Crypto</c:v>
                </c:pt>
              </c:strCache>
            </c:strRef>
          </c:cat>
          <c:val>
            <c:numRef>
              <c:f>'Pivot Tables'!$D$47:$D$52</c:f>
              <c:numCache>
                <c:formatCode>0.00%</c:formatCode>
                <c:ptCount val="5"/>
                <c:pt idx="0">
                  <c:v>0.22005842259006816</c:v>
                </c:pt>
                <c:pt idx="1">
                  <c:v>0.19961051606621227</c:v>
                </c:pt>
                <c:pt idx="2">
                  <c:v>0.19766309639727361</c:v>
                </c:pt>
                <c:pt idx="3">
                  <c:v>0.19961051606621227</c:v>
                </c:pt>
                <c:pt idx="4">
                  <c:v>0.1830574488802337</c:v>
                </c:pt>
              </c:numCache>
            </c:numRef>
          </c:val>
          <c:smooth val="0"/>
          <c:extLst>
            <c:ext xmlns:c16="http://schemas.microsoft.com/office/drawing/2014/chart" uri="{C3380CC4-5D6E-409C-BE32-E72D297353CC}">
              <c16:uniqueId val="{00000001-A83F-4F43-9022-9174736AE039}"/>
            </c:ext>
          </c:extLst>
        </c:ser>
        <c:dLbls>
          <c:showLegendKey val="0"/>
          <c:showVal val="1"/>
          <c:showCatName val="0"/>
          <c:showSerName val="0"/>
          <c:showPercent val="0"/>
          <c:showBubbleSize val="0"/>
        </c:dLbls>
        <c:marker val="1"/>
        <c:smooth val="0"/>
        <c:axId val="72418927"/>
        <c:axId val="72412687"/>
      </c:lineChart>
      <c:catAx>
        <c:axId val="7241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13647"/>
        <c:crosses val="autoZero"/>
        <c:auto val="1"/>
        <c:lblAlgn val="ctr"/>
        <c:lblOffset val="100"/>
        <c:noMultiLvlLbl val="0"/>
      </c:catAx>
      <c:valAx>
        <c:axId val="7241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a:t>
                </a:r>
                <a:r>
                  <a:rPr lang="en-PH" baseline="0"/>
                  <a:t> Customers</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6527"/>
        <c:crosses val="autoZero"/>
        <c:crossBetween val="between"/>
      </c:valAx>
      <c:valAx>
        <c:axId val="724126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sz="1000" b="0" i="0" u="none" strike="noStrike" kern="1200" baseline="0">
                    <a:solidFill>
                      <a:sysClr val="windowText" lastClr="000000">
                        <a:lumMod val="65000"/>
                        <a:lumOff val="35000"/>
                      </a:sysClr>
                    </a:solidFill>
                  </a:rPr>
                  <a:t>Churned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8927"/>
        <c:crosses val="max"/>
        <c:crossBetween val="between"/>
      </c:valAx>
      <c:catAx>
        <c:axId val="72418927"/>
        <c:scaling>
          <c:orientation val="minMax"/>
        </c:scaling>
        <c:delete val="1"/>
        <c:axPos val="b"/>
        <c:numFmt formatCode="General" sourceLinked="1"/>
        <c:majorTickMark val="out"/>
        <c:minorTickMark val="none"/>
        <c:tickLblPos val="nextTo"/>
        <c:crossAx val="72412687"/>
        <c:crosses val="autoZero"/>
        <c:auto val="1"/>
        <c:lblAlgn val="ctr"/>
        <c:lblOffset val="100"/>
        <c:noMultiLvlLbl val="0"/>
      </c:catAx>
      <c:spPr>
        <a:noFill/>
        <a:ln>
          <a:noFill/>
        </a:ln>
        <a:effectLst/>
      </c:spPr>
    </c:plotArea>
    <c:legend>
      <c:legendPos val="b"/>
      <c:layout>
        <c:manualLayout>
          <c:xMode val="edge"/>
          <c:yMode val="edge"/>
          <c:x val="2.1673205028569998E-2"/>
          <c:y val="0.89423493493850637"/>
          <c:w val="0.44513033441334049"/>
          <c:h val="7.56429406416417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[Netflix_Churn.xlsx]Pivot Tables!subs_churned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Subscription Type Total Monthly Fee vs Churned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Tables'!$D$24</c:f>
              <c:strCache>
                <c:ptCount val="1"/>
                <c:pt idx="0">
                  <c:v> Total Monthly Fee</c:v>
                </c:pt>
              </c:strCache>
            </c:strRef>
          </c:tx>
          <c:spPr>
            <a:solidFill>
              <a:schemeClr val="accent2"/>
            </a:solidFill>
            <a:ln>
              <a:noFill/>
            </a:ln>
            <a:effectLst/>
          </c:spPr>
          <c:invertIfNegative val="0"/>
          <c:cat>
            <c:strRef>
              <c:f>'Pivot Tables'!$B$25:$B$28</c:f>
              <c:strCache>
                <c:ptCount val="3"/>
                <c:pt idx="0">
                  <c:v>Premium</c:v>
                </c:pt>
                <c:pt idx="1">
                  <c:v>Standard</c:v>
                </c:pt>
                <c:pt idx="2">
                  <c:v>Basic</c:v>
                </c:pt>
              </c:strCache>
            </c:strRef>
          </c:cat>
          <c:val>
            <c:numRef>
              <c:f>'Pivot Tables'!$D$25:$D$28</c:f>
              <c:numCache>
                <c:formatCode>[$$-409]#,##0.00</c:formatCode>
                <c:ptCount val="3"/>
                <c:pt idx="0">
                  <c:v>30457.07000000108</c:v>
                </c:pt>
                <c:pt idx="1">
                  <c:v>23027.540000000539</c:v>
                </c:pt>
                <c:pt idx="2">
                  <c:v>14932.38999999969</c:v>
                </c:pt>
              </c:numCache>
            </c:numRef>
          </c:val>
          <c:extLst>
            <c:ext xmlns:c16="http://schemas.microsoft.com/office/drawing/2014/chart" uri="{C3380CC4-5D6E-409C-BE32-E72D297353CC}">
              <c16:uniqueId val="{00000000-873E-4234-B629-642555C55761}"/>
            </c:ext>
          </c:extLst>
        </c:ser>
        <c:dLbls>
          <c:showLegendKey val="0"/>
          <c:showVal val="0"/>
          <c:showCatName val="0"/>
          <c:showSerName val="0"/>
          <c:showPercent val="0"/>
          <c:showBubbleSize val="0"/>
        </c:dLbls>
        <c:gapWidth val="219"/>
        <c:axId val="12435327"/>
        <c:axId val="12441087"/>
      </c:barChart>
      <c:lineChart>
        <c:grouping val="standard"/>
        <c:varyColors val="0"/>
        <c:ser>
          <c:idx val="0"/>
          <c:order val="0"/>
          <c:tx>
            <c:strRef>
              <c:f>'Pivot Tables'!$C$24</c:f>
              <c:strCache>
                <c:ptCount val="1"/>
                <c:pt idx="0">
                  <c:v>Churned Rate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Tables'!$B$25:$B$28</c:f>
              <c:strCache>
                <c:ptCount val="3"/>
                <c:pt idx="0">
                  <c:v>Premium</c:v>
                </c:pt>
                <c:pt idx="1">
                  <c:v>Standard</c:v>
                </c:pt>
                <c:pt idx="2">
                  <c:v>Basic</c:v>
                </c:pt>
              </c:strCache>
            </c:strRef>
          </c:cat>
          <c:val>
            <c:numRef>
              <c:f>'Pivot Tables'!$C$25:$C$28</c:f>
              <c:numCache>
                <c:formatCode>0.00%</c:formatCode>
                <c:ptCount val="3"/>
                <c:pt idx="0">
                  <c:v>0.29423459244532801</c:v>
                </c:pt>
                <c:pt idx="1">
                  <c:v>0.29741550695825048</c:v>
                </c:pt>
                <c:pt idx="2">
                  <c:v>0.40834990059642146</c:v>
                </c:pt>
              </c:numCache>
            </c:numRef>
          </c:val>
          <c:smooth val="0"/>
          <c:extLst>
            <c:ext xmlns:c16="http://schemas.microsoft.com/office/drawing/2014/chart" uri="{C3380CC4-5D6E-409C-BE32-E72D297353CC}">
              <c16:uniqueId val="{00000001-873E-4234-B629-642555C55761}"/>
            </c:ext>
          </c:extLst>
        </c:ser>
        <c:dLbls>
          <c:showLegendKey val="0"/>
          <c:showVal val="0"/>
          <c:showCatName val="0"/>
          <c:showSerName val="0"/>
          <c:showPercent val="0"/>
          <c:showBubbleSize val="0"/>
        </c:dLbls>
        <c:marker val="1"/>
        <c:smooth val="0"/>
        <c:axId val="12436767"/>
        <c:axId val="12447327"/>
      </c:lineChart>
      <c:catAx>
        <c:axId val="124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41087"/>
        <c:crosses val="autoZero"/>
        <c:auto val="1"/>
        <c:lblAlgn val="ctr"/>
        <c:lblOffset val="100"/>
        <c:noMultiLvlLbl val="0"/>
      </c:catAx>
      <c:valAx>
        <c:axId val="124410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327"/>
        <c:crosses val="autoZero"/>
        <c:crossBetween val="between"/>
      </c:valAx>
      <c:valAx>
        <c:axId val="124473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767"/>
        <c:crosses val="max"/>
        <c:crossBetween val="between"/>
      </c:valAx>
      <c:catAx>
        <c:axId val="12436767"/>
        <c:scaling>
          <c:orientation val="minMax"/>
        </c:scaling>
        <c:delete val="1"/>
        <c:axPos val="b"/>
        <c:numFmt formatCode="General" sourceLinked="1"/>
        <c:majorTickMark val="out"/>
        <c:minorTickMark val="none"/>
        <c:tickLblPos val="nextTo"/>
        <c:crossAx val="12447327"/>
        <c:crosses val="autoZero"/>
        <c:auto val="1"/>
        <c:lblAlgn val="ctr"/>
        <c:lblOffset val="100"/>
        <c:noMultiLvlLbl val="0"/>
      </c:catAx>
      <c:spPr>
        <a:noFill/>
        <a:ln>
          <a:noFill/>
        </a:ln>
        <a:effectLst/>
      </c:spPr>
    </c:plotArea>
    <c:legend>
      <c:legendPos val="b"/>
      <c:layout>
        <c:manualLayout>
          <c:xMode val="edge"/>
          <c:yMode val="edge"/>
          <c:x val="7.7154418197725111E-3"/>
          <c:y val="0.88946704578594338"/>
          <c:w val="0.5679024496937882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[Netflix_Churn.xlsx]Pivot Tables!genre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Watched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Tables'!$B$65:$B$72</c:f>
              <c:strCache>
                <c:ptCount val="7"/>
                <c:pt idx="0">
                  <c:v>Horror</c:v>
                </c:pt>
                <c:pt idx="1">
                  <c:v>Sci-Fi</c:v>
                </c:pt>
                <c:pt idx="2">
                  <c:v>Documentary</c:v>
                </c:pt>
                <c:pt idx="3">
                  <c:v>Drama</c:v>
                </c:pt>
                <c:pt idx="4">
                  <c:v>Comedy</c:v>
                </c:pt>
                <c:pt idx="5">
                  <c:v>Action</c:v>
                </c:pt>
                <c:pt idx="6">
                  <c:v>Romance</c:v>
                </c:pt>
              </c:strCache>
            </c:strRef>
          </c:cat>
          <c:val>
            <c:numRef>
              <c:f>'Pivot Tables'!$C$65:$C$72</c:f>
              <c:numCache>
                <c:formatCode>General</c:formatCode>
                <c:ptCount val="7"/>
                <c:pt idx="0">
                  <c:v>224</c:v>
                </c:pt>
                <c:pt idx="1">
                  <c:v>224</c:v>
                </c:pt>
                <c:pt idx="2">
                  <c:v>231</c:v>
                </c:pt>
                <c:pt idx="3">
                  <c:v>235</c:v>
                </c:pt>
                <c:pt idx="4">
                  <c:v>236</c:v>
                </c:pt>
                <c:pt idx="5">
                  <c:v>253</c:v>
                </c:pt>
                <c:pt idx="6">
                  <c:v>258</c:v>
                </c:pt>
              </c:numCache>
            </c:numRef>
          </c:val>
          <c:extLst>
            <c:ext xmlns:c16="http://schemas.microsoft.com/office/drawing/2014/chart" uri="{C3380CC4-5D6E-409C-BE32-E72D297353CC}">
              <c16:uniqueId val="{00000000-7BD3-4739-9FD1-269419E7D555}"/>
            </c:ext>
          </c:extLst>
        </c:ser>
        <c:dLbls>
          <c:dLblPos val="outEnd"/>
          <c:showLegendKey val="0"/>
          <c:showVal val="1"/>
          <c:showCatName val="0"/>
          <c:showSerName val="0"/>
          <c:showPercent val="0"/>
          <c:showBubbleSize val="0"/>
        </c:dLbls>
        <c:gapWidth val="182"/>
        <c:axId val="248358335"/>
        <c:axId val="248347295"/>
      </c:barChart>
      <c:catAx>
        <c:axId val="2483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8347295"/>
        <c:crosses val="autoZero"/>
        <c:auto val="1"/>
        <c:lblAlgn val="ctr"/>
        <c:lblOffset val="100"/>
        <c:noMultiLvlLbl val="0"/>
      </c:catAx>
      <c:valAx>
        <c:axId val="248347295"/>
        <c:scaling>
          <c:orientation val="minMax"/>
        </c:scaling>
        <c:delete val="1"/>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24835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497C178D-8D8D-4BE7-A12A-F3948B88452D}">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579120</xdr:colOff>
      <xdr:row>0</xdr:row>
      <xdr:rowOff>144780</xdr:rowOff>
    </xdr:from>
    <xdr:to>
      <xdr:col>26</xdr:col>
      <xdr:colOff>449580</xdr:colOff>
      <xdr:row>21</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7343BA1-B513-47AC-91DE-99426614DA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192500" y="144780"/>
              <a:ext cx="4137660" cy="386334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141080</xdr:colOff>
      <xdr:row>1</xdr:row>
      <xdr:rowOff>177679</xdr:rowOff>
    </xdr:from>
    <xdr:to>
      <xdr:col>25</xdr:col>
      <xdr:colOff>413223</xdr:colOff>
      <xdr:row>6</xdr:row>
      <xdr:rowOff>177320</xdr:rowOff>
    </xdr:to>
    <xdr:grpSp>
      <xdr:nvGrpSpPr>
        <xdr:cNvPr id="17" name="Group 16">
          <a:extLst>
            <a:ext uri="{FF2B5EF4-FFF2-40B4-BE49-F238E27FC236}">
              <a16:creationId xmlns:a16="http://schemas.microsoft.com/office/drawing/2014/main" id="{D70A9370-A326-06FF-7D1E-4EC3DC09913B}"/>
            </a:ext>
          </a:extLst>
        </xdr:cNvPr>
        <xdr:cNvGrpSpPr/>
      </xdr:nvGrpSpPr>
      <xdr:grpSpPr>
        <a:xfrm>
          <a:off x="14161880" y="362736"/>
          <a:ext cx="1491343" cy="924927"/>
          <a:chOff x="16633371" y="742405"/>
          <a:chExt cx="1491343" cy="1443446"/>
        </a:xfrm>
        <a:solidFill>
          <a:schemeClr val="tx2">
            <a:lumMod val="10000"/>
            <a:lumOff val="90000"/>
          </a:schemeClr>
        </a:solidFill>
      </xdr:grpSpPr>
      <xdr:sp macro="" textlink="">
        <xdr:nvSpPr>
          <xdr:cNvPr id="15" name="Rectangle: Rounded Corners 14">
            <a:extLst>
              <a:ext uri="{FF2B5EF4-FFF2-40B4-BE49-F238E27FC236}">
                <a16:creationId xmlns:a16="http://schemas.microsoft.com/office/drawing/2014/main" id="{55B41E01-3086-CA78-BAEA-C5EA4995596D}"/>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C43">
        <xdr:nvSpPr>
          <xdr:cNvPr id="14" name="Rectangle: Rounded Corners 13">
            <a:extLst>
              <a:ext uri="{FF2B5EF4-FFF2-40B4-BE49-F238E27FC236}">
                <a16:creationId xmlns:a16="http://schemas.microsoft.com/office/drawing/2014/main" id="{731DD005-9ECE-46B2-BDBD-F7F6F0645DDF}"/>
              </a:ext>
            </a:extLst>
          </xdr:cNvPr>
          <xdr:cNvSpPr/>
        </xdr:nvSpPr>
        <xdr:spPr>
          <a:xfrm>
            <a:off x="16642080" y="1479455"/>
            <a:ext cx="1479451" cy="476923"/>
          </a:xfrm>
          <a:prstGeom prst="roundRect">
            <a:avLst/>
          </a:prstGeom>
          <a:solidFill>
            <a:schemeClr val="accent2">
              <a:lumMod val="60000"/>
              <a:lumOff val="4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FE38FA-4873-4337-A478-6BE35C953B21}" type="TxLink">
              <a:rPr lang="en-US" sz="1200" b="1" i="0" u="none" strike="noStrike">
                <a:solidFill>
                  <a:srgbClr val="000000"/>
                </a:solidFill>
                <a:latin typeface="Arial" panose="020B0604020202020204" pitchFamily="34" charset="0"/>
                <a:cs typeface="Arial" panose="020B0604020202020204" pitchFamily="34" charset="0"/>
              </a:rPr>
              <a:pPr algn="ctr"/>
              <a:t>11.56</a:t>
            </a:fld>
            <a:endParaRPr lang="en-PH" sz="1200" b="1">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C298009F-920C-C9AA-C4C3-9BB0C9896454}"/>
              </a:ext>
            </a:extLst>
          </xdr:cNvPr>
          <xdr:cNvSpPr txBox="1"/>
        </xdr:nvSpPr>
        <xdr:spPr>
          <a:xfrm>
            <a:off x="16754622" y="870763"/>
            <a:ext cx="1235612" cy="3661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AVG Watch Hours</a:t>
            </a:r>
          </a:p>
        </xdr:txBody>
      </xdr:sp>
    </xdr:grpSp>
    <xdr:clientData/>
  </xdr:twoCellAnchor>
  <xdr:twoCellAnchor>
    <xdr:from>
      <xdr:col>25</xdr:col>
      <xdr:colOff>454844</xdr:colOff>
      <xdr:row>1</xdr:row>
      <xdr:rowOff>177680</xdr:rowOff>
    </xdr:from>
    <xdr:to>
      <xdr:col>28</xdr:col>
      <xdr:colOff>117387</xdr:colOff>
      <xdr:row>6</xdr:row>
      <xdr:rowOff>177321</xdr:rowOff>
    </xdr:to>
    <xdr:grpSp>
      <xdr:nvGrpSpPr>
        <xdr:cNvPr id="18" name="Group 17">
          <a:extLst>
            <a:ext uri="{FF2B5EF4-FFF2-40B4-BE49-F238E27FC236}">
              <a16:creationId xmlns:a16="http://schemas.microsoft.com/office/drawing/2014/main" id="{195D36CC-B40E-4A57-8CFC-4BC0E16043AD}"/>
            </a:ext>
          </a:extLst>
        </xdr:cNvPr>
        <xdr:cNvGrpSpPr/>
      </xdr:nvGrpSpPr>
      <xdr:grpSpPr>
        <a:xfrm>
          <a:off x="15694844" y="362737"/>
          <a:ext cx="1491343" cy="924927"/>
          <a:chOff x="16633371" y="742405"/>
          <a:chExt cx="1491343" cy="1443446"/>
        </a:xfrm>
        <a:solidFill>
          <a:schemeClr val="tx2">
            <a:lumMod val="10000"/>
            <a:lumOff val="90000"/>
          </a:schemeClr>
        </a:solidFill>
      </xdr:grpSpPr>
      <xdr:sp macro="" textlink="">
        <xdr:nvSpPr>
          <xdr:cNvPr id="19" name="Rectangle: Rounded Corners 18">
            <a:extLst>
              <a:ext uri="{FF2B5EF4-FFF2-40B4-BE49-F238E27FC236}">
                <a16:creationId xmlns:a16="http://schemas.microsoft.com/office/drawing/2014/main" id="{E9759EA9-1B7D-ED37-5AF0-0A8F8B15F825}"/>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C20">
        <xdr:nvSpPr>
          <xdr:cNvPr id="20" name="Rectangle: Rounded Corners 19">
            <a:extLst>
              <a:ext uri="{FF2B5EF4-FFF2-40B4-BE49-F238E27FC236}">
                <a16:creationId xmlns:a16="http://schemas.microsoft.com/office/drawing/2014/main" id="{31C50528-FA5B-8FBE-5B34-3FC0E2ADB8D6}"/>
              </a:ext>
            </a:extLst>
          </xdr:cNvPr>
          <xdr:cNvSpPr/>
        </xdr:nvSpPr>
        <xdr:spPr>
          <a:xfrm>
            <a:off x="16642080" y="1479455"/>
            <a:ext cx="1479451" cy="476923"/>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FE8E35-21BE-46F8-9A25-ED6C79F4FA26}" type="TxLink">
              <a:rPr lang="en-US" sz="1200" b="1" i="0" u="none" strike="noStrike">
                <a:solidFill>
                  <a:srgbClr val="000000"/>
                </a:solidFill>
                <a:latin typeface="Aptos Narrow"/>
                <a:cs typeface="Arial" panose="020B0604020202020204" pitchFamily="34" charset="0"/>
              </a:rPr>
              <a:t>$14,932</a:t>
            </a:fld>
            <a:endParaRPr lang="en-PH" sz="1600" b="1">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CB26726F-E015-83E8-430E-5C7A25F05DEF}"/>
              </a:ext>
            </a:extLst>
          </xdr:cNvPr>
          <xdr:cNvSpPr txBox="1"/>
        </xdr:nvSpPr>
        <xdr:spPr>
          <a:xfrm>
            <a:off x="16754622" y="870763"/>
            <a:ext cx="1235612" cy="3661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Total Revenue</a:t>
            </a:r>
          </a:p>
        </xdr:txBody>
      </xdr:sp>
    </xdr:grpSp>
    <xdr:clientData/>
  </xdr:twoCellAnchor>
  <xdr:twoCellAnchor>
    <xdr:from>
      <xdr:col>0</xdr:col>
      <xdr:colOff>0</xdr:colOff>
      <xdr:row>7</xdr:row>
      <xdr:rowOff>108858</xdr:rowOff>
    </xdr:from>
    <xdr:to>
      <xdr:col>3</xdr:col>
      <xdr:colOff>19633</xdr:colOff>
      <xdr:row>28</xdr:row>
      <xdr:rowOff>148011</xdr:rowOff>
    </xdr:to>
    <xdr:grpSp>
      <xdr:nvGrpSpPr>
        <xdr:cNvPr id="32" name="Group 31">
          <a:extLst>
            <a:ext uri="{FF2B5EF4-FFF2-40B4-BE49-F238E27FC236}">
              <a16:creationId xmlns:a16="http://schemas.microsoft.com/office/drawing/2014/main" id="{6881CFCF-ECDD-A53B-562E-D09853F58D1C}"/>
            </a:ext>
          </a:extLst>
        </xdr:cNvPr>
        <xdr:cNvGrpSpPr/>
      </xdr:nvGrpSpPr>
      <xdr:grpSpPr>
        <a:xfrm>
          <a:off x="0" y="1404258"/>
          <a:ext cx="1848433" cy="3925353"/>
          <a:chOff x="10886" y="1578430"/>
          <a:chExt cx="1848433" cy="3925353"/>
        </a:xfrm>
      </xdr:grpSpPr>
      <mc:AlternateContent xmlns:mc="http://schemas.openxmlformats.org/markup-compatibility/2006">
        <mc:Choice xmlns:a14="http://schemas.microsoft.com/office/drawing/2010/main" Requires="a14">
          <xdr:graphicFrame macro="">
            <xdr:nvGraphicFramePr>
              <xdr:cNvPr id="8" name="age_group">
                <a:extLst>
                  <a:ext uri="{FF2B5EF4-FFF2-40B4-BE49-F238E27FC236}">
                    <a16:creationId xmlns:a16="http://schemas.microsoft.com/office/drawing/2014/main" id="{4E157186-1552-84EC-A881-907DCE22DAC2}"/>
                  </a:ext>
                </a:extLst>
              </xdr:cNvPr>
              <xdr:cNvGraphicFramePr/>
            </xdr:nvGraphicFramePr>
            <xdr:xfrm>
              <a:off x="10886" y="1578430"/>
              <a:ext cx="1839686" cy="1828799"/>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0" y="1404258"/>
                <a:ext cx="1839686" cy="18287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3FB5E514-5AAC-1687-FF69-8820E0BFB12E}"/>
                  </a:ext>
                </a:extLst>
              </xdr:cNvPr>
              <xdr:cNvGraphicFramePr/>
            </xdr:nvGraphicFramePr>
            <xdr:xfrm>
              <a:off x="21771" y="3426311"/>
              <a:ext cx="1837548" cy="207747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85" y="3252139"/>
                <a:ext cx="1837548" cy="20774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424109</xdr:colOff>
      <xdr:row>1</xdr:row>
      <xdr:rowOff>177679</xdr:rowOff>
    </xdr:from>
    <xdr:to>
      <xdr:col>23</xdr:col>
      <xdr:colOff>86652</xdr:colOff>
      <xdr:row>6</xdr:row>
      <xdr:rowOff>177320</xdr:rowOff>
    </xdr:to>
    <xdr:grpSp>
      <xdr:nvGrpSpPr>
        <xdr:cNvPr id="26" name="Group 25">
          <a:extLst>
            <a:ext uri="{FF2B5EF4-FFF2-40B4-BE49-F238E27FC236}">
              <a16:creationId xmlns:a16="http://schemas.microsoft.com/office/drawing/2014/main" id="{7AE34622-9A41-419A-9E58-3B2863CE5897}"/>
            </a:ext>
          </a:extLst>
        </xdr:cNvPr>
        <xdr:cNvGrpSpPr/>
      </xdr:nvGrpSpPr>
      <xdr:grpSpPr>
        <a:xfrm>
          <a:off x="12616109" y="362736"/>
          <a:ext cx="1491343" cy="924927"/>
          <a:chOff x="16633371" y="742405"/>
          <a:chExt cx="1491343" cy="1443446"/>
        </a:xfrm>
        <a:solidFill>
          <a:schemeClr val="tx2">
            <a:lumMod val="10000"/>
            <a:lumOff val="90000"/>
          </a:schemeClr>
        </a:solidFill>
      </xdr:grpSpPr>
      <xdr:sp macro="" textlink="">
        <xdr:nvSpPr>
          <xdr:cNvPr id="27" name="Rectangle: Rounded Corners 26">
            <a:extLst>
              <a:ext uri="{FF2B5EF4-FFF2-40B4-BE49-F238E27FC236}">
                <a16:creationId xmlns:a16="http://schemas.microsoft.com/office/drawing/2014/main" id="{ABF097E6-FD6B-21D3-D4E0-C56A9EF1FD1F}"/>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D32">
        <xdr:nvSpPr>
          <xdr:cNvPr id="28" name="Rectangle: Rounded Corners 27">
            <a:extLst>
              <a:ext uri="{FF2B5EF4-FFF2-40B4-BE49-F238E27FC236}">
                <a16:creationId xmlns:a16="http://schemas.microsoft.com/office/drawing/2014/main" id="{EF356A1F-B2AE-02A8-EAC4-A4841C9F1356}"/>
              </a:ext>
            </a:extLst>
          </xdr:cNvPr>
          <xdr:cNvSpPr/>
        </xdr:nvSpPr>
        <xdr:spPr>
          <a:xfrm>
            <a:off x="16642080" y="1496444"/>
            <a:ext cx="1479451" cy="476923"/>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E559A2-9B62-445D-8207-857436C89C20}" type="TxLink">
              <a:rPr lang="en-US" sz="1200" b="1" i="0" u="none" strike="noStrike">
                <a:solidFill>
                  <a:srgbClr val="000000"/>
                </a:solidFill>
                <a:latin typeface="Arial" panose="020B0604020202020204" pitchFamily="34" charset="0"/>
                <a:cs typeface="Arial" panose="020B0604020202020204" pitchFamily="34" charset="0"/>
              </a:rPr>
              <a:t>61.8%</a:t>
            </a:fld>
            <a:endParaRPr lang="en-PH" sz="1400" b="1">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C8AFB324-BF0A-704E-75AB-E53D8D7318EA}"/>
              </a:ext>
            </a:extLst>
          </xdr:cNvPr>
          <xdr:cNvSpPr txBox="1"/>
        </xdr:nvSpPr>
        <xdr:spPr>
          <a:xfrm>
            <a:off x="16754622" y="787898"/>
            <a:ext cx="1235612" cy="696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Total Churned Rate</a:t>
            </a:r>
          </a:p>
        </xdr:txBody>
      </xdr:sp>
    </xdr:grpSp>
    <xdr:clientData/>
  </xdr:twoCellAnchor>
  <xdr:twoCellAnchor>
    <xdr:from>
      <xdr:col>3</xdr:col>
      <xdr:colOff>35859</xdr:colOff>
      <xdr:row>7</xdr:row>
      <xdr:rowOff>72928</xdr:rowOff>
    </xdr:from>
    <xdr:to>
      <xdr:col>28</xdr:col>
      <xdr:colOff>152399</xdr:colOff>
      <xdr:row>37</xdr:row>
      <xdr:rowOff>150474</xdr:rowOff>
    </xdr:to>
    <xdr:grpSp>
      <xdr:nvGrpSpPr>
        <xdr:cNvPr id="31" name="Group 30">
          <a:extLst>
            <a:ext uri="{FF2B5EF4-FFF2-40B4-BE49-F238E27FC236}">
              <a16:creationId xmlns:a16="http://schemas.microsoft.com/office/drawing/2014/main" id="{E4B19F7E-9899-23FC-19D1-F517C2B85D58}"/>
            </a:ext>
          </a:extLst>
        </xdr:cNvPr>
        <xdr:cNvGrpSpPr/>
      </xdr:nvGrpSpPr>
      <xdr:grpSpPr>
        <a:xfrm>
          <a:off x="1864659" y="1368328"/>
          <a:ext cx="15356540" cy="5629260"/>
          <a:chOff x="1864659" y="1564276"/>
          <a:chExt cx="15356540" cy="5629260"/>
        </a:xfrm>
      </xdr:grpSpPr>
      <xdr:graphicFrame macro="">
        <xdr:nvGraphicFramePr>
          <xdr:cNvPr id="2" name="Chart 1" descr="South America has the highest revenue for Monthly fee and churned rate of 17.58% among the Continents.&#10;">
            <a:extLst>
              <a:ext uri="{FF2B5EF4-FFF2-40B4-BE49-F238E27FC236}">
                <a16:creationId xmlns:a16="http://schemas.microsoft.com/office/drawing/2014/main" id="{CB4E1C2A-EF75-4C75-82E8-0A87A3785748}"/>
              </a:ext>
              <a:ext uri="{C183D7F6-B498-43B3-948B-1728B52AA6E4}">
                <adec:decorative xmlns:adec="http://schemas.microsoft.com/office/drawing/2017/decorative" val="0"/>
              </a:ext>
            </a:extLst>
          </xdr:cNvPr>
          <xdr:cNvGraphicFramePr>
            <a:graphicFrameLocks/>
          </xdr:cNvGraphicFramePr>
        </xdr:nvGraphicFramePr>
        <xdr:xfrm>
          <a:off x="1866900" y="1578429"/>
          <a:ext cx="5935980" cy="277585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7">
            <a:extLst>
              <a:ext uri="{FF2B5EF4-FFF2-40B4-BE49-F238E27FC236}">
                <a16:creationId xmlns:a16="http://schemas.microsoft.com/office/drawing/2014/main" id="{0184F8AC-060F-5E73-CB20-E3BC0B11BA3B}"/>
              </a:ext>
            </a:extLst>
          </xdr:cNvPr>
          <xdr:cNvGraphicFramePr/>
        </xdr:nvGraphicFramePr>
        <xdr:xfrm>
          <a:off x="7810500" y="1578429"/>
          <a:ext cx="5745480" cy="27758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13">
            <a:extLst>
              <a:ext uri="{FF2B5EF4-FFF2-40B4-BE49-F238E27FC236}">
                <a16:creationId xmlns:a16="http://schemas.microsoft.com/office/drawing/2014/main" id="{46FA47CD-2917-AD82-16B0-23626D598776}"/>
              </a:ext>
            </a:extLst>
          </xdr:cNvPr>
          <xdr:cNvGraphicFramePr/>
        </xdr:nvGraphicFramePr>
        <xdr:xfrm>
          <a:off x="1864659" y="4360304"/>
          <a:ext cx="5657370" cy="283323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12">
            <a:extLst>
              <a:ext uri="{FF2B5EF4-FFF2-40B4-BE49-F238E27FC236}">
                <a16:creationId xmlns:a16="http://schemas.microsoft.com/office/drawing/2014/main" id="{5408C763-8CE5-4B69-DCFA-576386850458}"/>
              </a:ext>
            </a:extLst>
          </xdr:cNvPr>
          <xdr:cNvGraphicFramePr/>
        </xdr:nvGraphicFramePr>
        <xdr:xfrm>
          <a:off x="7511143" y="4349930"/>
          <a:ext cx="6039395" cy="281286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 name="Chart 15">
            <a:extLst>
              <a:ext uri="{FF2B5EF4-FFF2-40B4-BE49-F238E27FC236}">
                <a16:creationId xmlns:a16="http://schemas.microsoft.com/office/drawing/2014/main" id="{DD29AC0C-662B-18E4-C69A-4D116A0BF193}"/>
              </a:ext>
            </a:extLst>
          </xdr:cNvPr>
          <xdr:cNvGraphicFramePr/>
        </xdr:nvGraphicFramePr>
        <xdr:xfrm>
          <a:off x="13563599" y="1564276"/>
          <a:ext cx="3657600" cy="560940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0</xdr:colOff>
      <xdr:row>28</xdr:row>
      <xdr:rowOff>171995</xdr:rowOff>
    </xdr:from>
    <xdr:to>
      <xdr:col>3</xdr:col>
      <xdr:colOff>21770</xdr:colOff>
      <xdr:row>35</xdr:row>
      <xdr:rowOff>130629</xdr:rowOff>
    </xdr:to>
    <mc:AlternateContent xmlns:mc="http://schemas.openxmlformats.org/markup-compatibility/2006">
      <mc:Choice xmlns:a14="http://schemas.microsoft.com/office/drawing/2010/main" Requires="a14">
        <xdr:graphicFrame macro="">
          <xdr:nvGraphicFramePr>
            <xdr:cNvPr id="34" name="subscription_type">
              <a:extLst>
                <a:ext uri="{FF2B5EF4-FFF2-40B4-BE49-F238E27FC236}">
                  <a16:creationId xmlns:a16="http://schemas.microsoft.com/office/drawing/2014/main" id="{ECEAD57E-876A-5153-328D-68427DA98B95}"/>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dr:sp macro="" textlink="">
          <xdr:nvSpPr>
            <xdr:cNvPr id="0" name=""/>
            <xdr:cNvSpPr>
              <a:spLocks noTextEdit="1"/>
            </xdr:cNvSpPr>
          </xdr:nvSpPr>
          <xdr:spPr>
            <a:xfrm>
              <a:off x="0" y="5353595"/>
              <a:ext cx="1850570" cy="125403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Herrera" refreshedDate="46002.735071180556" createdVersion="8" refreshedVersion="8" minRefreshableVersion="3" recordCount="5000" xr:uid="{4DF78358-DE89-4529-A30F-B8AADAEAA4BD}">
  <cacheSource type="worksheet">
    <worksheetSource name="worksheet"/>
  </cacheSource>
  <cacheFields count="15">
    <cacheField name="customer_id" numFmtId="0">
      <sharedItems/>
    </cacheField>
    <cacheField name="age" numFmtId="1">
      <sharedItems containsSemiMixedTypes="0" containsString="0" containsNumber="1" containsInteger="1" minValue="18" maxValue="70"/>
    </cacheField>
    <cacheField name="age_group" numFmtId="1">
      <sharedItems count="9">
        <s v="2. Early Adulthood (25-34)"/>
        <s v="1. Young Adulthood (18-24)"/>
        <s v="3. Mid Adulthood (35-44)"/>
        <s v="4. Mature Adulthood (45-54)"/>
        <s v="5. Late Adulthood/Senior (55+)"/>
        <s v="Mature Adulthood (45-54)" u="1"/>
        <s v="Early Adulthood (25-34)" u="1"/>
        <s v="Late Adulthood/Senior (55+)" u="1"/>
        <s v="Mid Adulthood (35-44)" u="1"/>
      </sharedItems>
    </cacheField>
    <cacheField name="gender" numFmtId="0">
      <sharedItems count="3">
        <s v="Female"/>
        <s v="Other"/>
        <s v="Male"/>
      </sharedItems>
    </cacheField>
    <cacheField name="subscription_type" numFmtId="0">
      <sharedItems count="3">
        <s v="Standard"/>
        <s v="Premium"/>
        <s v="Basic"/>
      </sharedItems>
    </cacheField>
    <cacheField name="watch_hours" numFmtId="2">
      <sharedItems containsSemiMixedTypes="0" containsString="0" containsNumber="1" minValue="0.01" maxValue="110.4"/>
    </cacheField>
    <cacheField name="last_login_days" numFmtId="1">
      <sharedItems containsSemiMixedTypes="0" containsString="0" containsNumber="1" containsInteger="1" minValue="0" maxValue="60"/>
    </cacheField>
    <cacheField name="region" numFmtId="0">
      <sharedItems count="6">
        <s v="Asia"/>
        <s v="Europe"/>
        <s v="South America"/>
        <s v="Africa"/>
        <s v="North America"/>
        <s v="Oceania"/>
      </sharedItems>
    </cacheField>
    <cacheField name="device" numFmtId="0">
      <sharedItems count="5">
        <s v="TV"/>
        <s v="Laptop"/>
        <s v="Mobile"/>
        <s v="Desktop"/>
        <s v="Tablet"/>
      </sharedItems>
    </cacheField>
    <cacheField name="monthly_fee" numFmtId="164">
      <sharedItems containsSemiMixedTypes="0" containsString="0" containsNumber="1" minValue="8.99" maxValue="17.989999999999998"/>
    </cacheField>
    <cacheField name="churned" numFmtId="0">
      <sharedItems containsSemiMixedTypes="0" containsString="0" containsNumber="1" containsInteger="1" minValue="0" maxValue="1" count="2">
        <n v="0"/>
        <n v="1"/>
      </sharedItems>
    </cacheField>
    <cacheField name="payment_method" numFmtId="0">
      <sharedItems count="5">
        <s v="Crypto"/>
        <s v="Debit Card"/>
        <s v="Credit Card"/>
        <s v="PayPal"/>
        <s v="Gift Card"/>
      </sharedItems>
    </cacheField>
    <cacheField name="number_of_profiles" numFmtId="1">
      <sharedItems containsSemiMixedTypes="0" containsString="0" containsNumber="1" containsInteger="1" minValue="1" maxValue="5"/>
    </cacheField>
    <cacheField name="avg_watch_time_per_day" numFmtId="2">
      <sharedItems containsSemiMixedTypes="0" containsString="0" containsNumber="1" minValue="0" maxValue="98.42"/>
    </cacheField>
    <cacheField name="favorite_genre" numFmtId="0">
      <sharedItems count="7">
        <s v="Drama"/>
        <s v="Comedy"/>
        <s v="Horror"/>
        <s v="Action"/>
        <s v="Romance"/>
        <s v="Documentary"/>
        <s v="Sci-Fi"/>
      </sharedItems>
    </cacheField>
  </cacheFields>
  <extLst>
    <ext xmlns:x14="http://schemas.microsoft.com/office/spreadsheetml/2009/9/main" uri="{725AE2AE-9491-48be-B2B4-4EB974FC3084}">
      <x14:pivotCacheDefinition pivotCacheId="475482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d71f6ce-fca9-4ff7-8afa-197ac24de14b"/>
    <n v="27"/>
    <x v="0"/>
    <x v="0"/>
    <x v="0"/>
    <n v="16.32"/>
    <n v="10"/>
    <x v="0"/>
    <x v="0"/>
    <n v="13.99"/>
    <x v="0"/>
    <x v="0"/>
    <n v="2"/>
    <n v="1.48"/>
    <x v="0"/>
  </r>
  <r>
    <s v="eae6439e-8cdf-4258-ab49-c493925b927a"/>
    <n v="32"/>
    <x v="0"/>
    <x v="1"/>
    <x v="1"/>
    <n v="2.2200000000000002"/>
    <n v="34"/>
    <x v="1"/>
    <x v="0"/>
    <n v="17.989999999999998"/>
    <x v="1"/>
    <x v="1"/>
    <n v="1"/>
    <n v="0.06"/>
    <x v="0"/>
  </r>
  <r>
    <s v="45a03ce3-26d0-4cd5-a9bd-22d42490b612"/>
    <n v="26"/>
    <x v="0"/>
    <x v="2"/>
    <x v="1"/>
    <n v="15.42"/>
    <n v="36"/>
    <x v="0"/>
    <x v="1"/>
    <n v="17.989999999999998"/>
    <x v="0"/>
    <x v="1"/>
    <n v="4"/>
    <n v="0.42"/>
    <x v="1"/>
  </r>
  <r>
    <s v="9df43ad1-d6ee-44d0-a79b-c8ab444f10bf"/>
    <n v="28"/>
    <x v="0"/>
    <x v="1"/>
    <x v="0"/>
    <n v="22.26"/>
    <n v="38"/>
    <x v="2"/>
    <x v="2"/>
    <n v="13.99"/>
    <x v="0"/>
    <x v="0"/>
    <n v="5"/>
    <n v="0.56999999999999995"/>
    <x v="2"/>
  </r>
  <r>
    <s v="25db8257-f409-4acd-81f8-99629fbf15a0"/>
    <n v="32"/>
    <x v="0"/>
    <x v="0"/>
    <x v="1"/>
    <n v="40.94"/>
    <n v="7"/>
    <x v="2"/>
    <x v="3"/>
    <n v="17.989999999999998"/>
    <x v="0"/>
    <x v="0"/>
    <n v="1"/>
    <n v="5.12"/>
    <x v="3"/>
  </r>
  <r>
    <s v="a088d61d-be5a-409e-b943-73b145b358d1"/>
    <n v="21"/>
    <x v="1"/>
    <x v="0"/>
    <x v="0"/>
    <n v="15.53"/>
    <n v="27"/>
    <x v="2"/>
    <x v="1"/>
    <n v="13.99"/>
    <x v="0"/>
    <x v="2"/>
    <n v="1"/>
    <n v="0.55000000000000004"/>
    <x v="1"/>
  </r>
  <r>
    <s v="6e061f35-b1b5-4efe-9e37-f40a14d929b1"/>
    <n v="24"/>
    <x v="1"/>
    <x v="2"/>
    <x v="1"/>
    <n v="6.92"/>
    <n v="13"/>
    <x v="3"/>
    <x v="3"/>
    <n v="17.989999999999998"/>
    <x v="0"/>
    <x v="0"/>
    <n v="2"/>
    <n v="0.49"/>
    <x v="3"/>
  </r>
  <r>
    <s v="8c2d377b-f6ec-44b5-ae08-3660c4358a93"/>
    <n v="30"/>
    <x v="0"/>
    <x v="1"/>
    <x v="1"/>
    <n v="1.37"/>
    <n v="55"/>
    <x v="4"/>
    <x v="2"/>
    <n v="17.989999999999998"/>
    <x v="1"/>
    <x v="1"/>
    <n v="1"/>
    <n v="0.02"/>
    <x v="2"/>
  </r>
  <r>
    <s v="e62d9bc8-dab9-42e0-b6b2-e8d076fe843b"/>
    <n v="23"/>
    <x v="1"/>
    <x v="0"/>
    <x v="1"/>
    <n v="13.31"/>
    <n v="34"/>
    <x v="3"/>
    <x v="2"/>
    <n v="17.989999999999998"/>
    <x v="1"/>
    <x v="1"/>
    <n v="2"/>
    <n v="0.38"/>
    <x v="4"/>
  </r>
  <r>
    <s v="839ec473-5f41-4a8b-955a-ec14b3a9cad4"/>
    <n v="22"/>
    <x v="1"/>
    <x v="0"/>
    <x v="0"/>
    <n v="9.69"/>
    <n v="35"/>
    <x v="0"/>
    <x v="0"/>
    <n v="13.99"/>
    <x v="1"/>
    <x v="0"/>
    <n v="4"/>
    <n v="0.27"/>
    <x v="5"/>
  </r>
  <r>
    <s v="cdf4012d-14b0-41d5-ab40-cc6627fe1e3b"/>
    <n v="34"/>
    <x v="0"/>
    <x v="2"/>
    <x v="1"/>
    <n v="12.82"/>
    <n v="45"/>
    <x v="4"/>
    <x v="2"/>
    <n v="17.989999999999998"/>
    <x v="1"/>
    <x v="3"/>
    <n v="2"/>
    <n v="0.28000000000000003"/>
    <x v="4"/>
  </r>
  <r>
    <s v="aa97d1a3-c4ad-4c76-bd2a-56f1b46a753c"/>
    <n v="19"/>
    <x v="1"/>
    <x v="2"/>
    <x v="0"/>
    <n v="4.34"/>
    <n v="1"/>
    <x v="0"/>
    <x v="4"/>
    <n v="13.99"/>
    <x v="0"/>
    <x v="3"/>
    <n v="1"/>
    <n v="2.17"/>
    <x v="6"/>
  </r>
  <r>
    <s v="6ead42f9-86d8-4c66-b2fc-3d791323186d"/>
    <n v="25"/>
    <x v="0"/>
    <x v="0"/>
    <x v="1"/>
    <n v="15.95"/>
    <n v="15"/>
    <x v="2"/>
    <x v="1"/>
    <n v="17.989999999999998"/>
    <x v="0"/>
    <x v="2"/>
    <n v="1"/>
    <n v="1"/>
    <x v="3"/>
  </r>
  <r>
    <s v="783c7652-37b8-4be0-b8bc-fb51bd4b5578"/>
    <n v="27"/>
    <x v="0"/>
    <x v="1"/>
    <x v="1"/>
    <n v="46.88"/>
    <n v="56"/>
    <x v="5"/>
    <x v="0"/>
    <n v="17.989999999999998"/>
    <x v="0"/>
    <x v="0"/>
    <n v="3"/>
    <n v="0.82"/>
    <x v="0"/>
  </r>
  <r>
    <s v="854b2bfd-6773-413f-b385-02338fa3a316"/>
    <n v="31"/>
    <x v="0"/>
    <x v="0"/>
    <x v="0"/>
    <n v="2.23"/>
    <n v="39"/>
    <x v="4"/>
    <x v="2"/>
    <n v="13.99"/>
    <x v="1"/>
    <x v="1"/>
    <n v="5"/>
    <n v="0.06"/>
    <x v="0"/>
  </r>
  <r>
    <s v="ee53be31-fb36-41d9-8eb2-1a4c1d976552"/>
    <n v="31"/>
    <x v="0"/>
    <x v="2"/>
    <x v="1"/>
    <n v="14.15"/>
    <n v="24"/>
    <x v="2"/>
    <x v="3"/>
    <n v="17.989999999999998"/>
    <x v="0"/>
    <x v="3"/>
    <n v="5"/>
    <n v="0.56999999999999995"/>
    <x v="0"/>
  </r>
  <r>
    <s v="022f9c7a-8276-494a-8629-086ad5e81df1"/>
    <n v="30"/>
    <x v="0"/>
    <x v="2"/>
    <x v="1"/>
    <n v="8.7899999999999991"/>
    <n v="21"/>
    <x v="1"/>
    <x v="4"/>
    <n v="17.989999999999998"/>
    <x v="0"/>
    <x v="0"/>
    <n v="4"/>
    <n v="0.4"/>
    <x v="1"/>
  </r>
  <r>
    <s v="09a76bc9-4048-4403-8087-a31cdb16556e"/>
    <n v="31"/>
    <x v="0"/>
    <x v="2"/>
    <x v="2"/>
    <n v="48.35"/>
    <n v="11"/>
    <x v="5"/>
    <x v="3"/>
    <n v="8.99"/>
    <x v="0"/>
    <x v="1"/>
    <n v="5"/>
    <n v="4.03"/>
    <x v="1"/>
  </r>
  <r>
    <s v="4c7d404a-ebd5-4881-9fb5-302ad47f2fb8"/>
    <n v="31"/>
    <x v="0"/>
    <x v="2"/>
    <x v="0"/>
    <n v="1.77"/>
    <n v="34"/>
    <x v="1"/>
    <x v="0"/>
    <n v="13.99"/>
    <x v="1"/>
    <x v="3"/>
    <n v="3"/>
    <n v="0.05"/>
    <x v="6"/>
  </r>
  <r>
    <s v="44361538-0ea0-4b91-bef5-4c5af2dc15bd"/>
    <n v="34"/>
    <x v="0"/>
    <x v="1"/>
    <x v="0"/>
    <n v="23.2"/>
    <n v="18"/>
    <x v="0"/>
    <x v="4"/>
    <n v="13.99"/>
    <x v="0"/>
    <x v="1"/>
    <n v="1"/>
    <n v="1.22"/>
    <x v="1"/>
  </r>
  <r>
    <s v="842cacde-7763-4505-bef1-538dedd13be7"/>
    <n v="27"/>
    <x v="0"/>
    <x v="1"/>
    <x v="1"/>
    <n v="79.17"/>
    <n v="12"/>
    <x v="2"/>
    <x v="4"/>
    <n v="17.989999999999998"/>
    <x v="0"/>
    <x v="1"/>
    <n v="2"/>
    <n v="6.09"/>
    <x v="0"/>
  </r>
  <r>
    <s v="fdf130c6-cd3c-434b-abbf-4645c8ca928d"/>
    <n v="18"/>
    <x v="1"/>
    <x v="2"/>
    <x v="0"/>
    <n v="3.56"/>
    <n v="23"/>
    <x v="5"/>
    <x v="4"/>
    <n v="13.99"/>
    <x v="0"/>
    <x v="1"/>
    <n v="4"/>
    <n v="0.15"/>
    <x v="2"/>
  </r>
  <r>
    <s v="f67b2663-cc48-4d48-a855-fc3e1e323a0f"/>
    <n v="26"/>
    <x v="0"/>
    <x v="1"/>
    <x v="0"/>
    <n v="23.13"/>
    <n v="27"/>
    <x v="5"/>
    <x v="2"/>
    <n v="13.99"/>
    <x v="0"/>
    <x v="1"/>
    <n v="2"/>
    <n v="0.83"/>
    <x v="5"/>
  </r>
  <r>
    <s v="da8c00ec-40b0-400a-90b6-ed24b0b37c89"/>
    <n v="21"/>
    <x v="1"/>
    <x v="2"/>
    <x v="1"/>
    <n v="9.91"/>
    <n v="27"/>
    <x v="0"/>
    <x v="3"/>
    <n v="17.989999999999998"/>
    <x v="0"/>
    <x v="1"/>
    <n v="2"/>
    <n v="0.35"/>
    <x v="6"/>
  </r>
  <r>
    <s v="72c5f29b-8e0a-4b81-99c2-6db14fd602a6"/>
    <n v="21"/>
    <x v="1"/>
    <x v="0"/>
    <x v="1"/>
    <n v="4.8899999999999997"/>
    <n v="3"/>
    <x v="5"/>
    <x v="3"/>
    <n v="17.989999999999998"/>
    <x v="0"/>
    <x v="1"/>
    <n v="4"/>
    <n v="1.22"/>
    <x v="6"/>
  </r>
  <r>
    <s v="c82cb034-7c20-47af-901e-91379d90a183"/>
    <n v="23"/>
    <x v="1"/>
    <x v="0"/>
    <x v="1"/>
    <n v="23.6"/>
    <n v="56"/>
    <x v="2"/>
    <x v="0"/>
    <n v="17.989999999999998"/>
    <x v="0"/>
    <x v="3"/>
    <n v="4"/>
    <n v="0.41"/>
    <x v="6"/>
  </r>
  <r>
    <s v="6d9e258d-3110-475f-ac1c-1eba0f56b7e8"/>
    <n v="19"/>
    <x v="1"/>
    <x v="2"/>
    <x v="2"/>
    <n v="3.89"/>
    <n v="33"/>
    <x v="4"/>
    <x v="2"/>
    <n v="8.99"/>
    <x v="1"/>
    <x v="2"/>
    <n v="1"/>
    <n v="0.11"/>
    <x v="4"/>
  </r>
  <r>
    <s v="a9661b26-d812-406e-a1e2-58f640879a0a"/>
    <n v="20"/>
    <x v="1"/>
    <x v="1"/>
    <x v="1"/>
    <n v="3.4"/>
    <n v="33"/>
    <x v="3"/>
    <x v="4"/>
    <n v="17.989999999999998"/>
    <x v="1"/>
    <x v="0"/>
    <n v="5"/>
    <n v="0.1"/>
    <x v="0"/>
  </r>
  <r>
    <s v="8ba94dad-4f0e-4aaf-b8d5-c8b4deb2195b"/>
    <n v="33"/>
    <x v="0"/>
    <x v="1"/>
    <x v="1"/>
    <n v="31.11"/>
    <n v="39"/>
    <x v="2"/>
    <x v="2"/>
    <n v="17.989999999999998"/>
    <x v="0"/>
    <x v="0"/>
    <n v="4"/>
    <n v="0.78"/>
    <x v="1"/>
  </r>
  <r>
    <s v="cd2fbe59-0226-47ac-83f9-3aad8fdd9fd1"/>
    <n v="31"/>
    <x v="0"/>
    <x v="1"/>
    <x v="1"/>
    <n v="2.81"/>
    <n v="39"/>
    <x v="1"/>
    <x v="3"/>
    <n v="17.989999999999998"/>
    <x v="1"/>
    <x v="2"/>
    <n v="5"/>
    <n v="7.0000000000000007E-2"/>
    <x v="2"/>
  </r>
  <r>
    <s v="e443c6b3-1d47-4274-b231-23f2ffe08dc9"/>
    <n v="20"/>
    <x v="1"/>
    <x v="2"/>
    <x v="0"/>
    <n v="9.8699999999999992"/>
    <n v="29"/>
    <x v="3"/>
    <x v="3"/>
    <n v="13.99"/>
    <x v="0"/>
    <x v="3"/>
    <n v="3"/>
    <n v="0.33"/>
    <x v="5"/>
  </r>
  <r>
    <s v="7fdace55-3767-41d2-85d3-e43a5eddede6"/>
    <n v="18"/>
    <x v="1"/>
    <x v="0"/>
    <x v="2"/>
    <n v="35.520000000000003"/>
    <n v="40"/>
    <x v="2"/>
    <x v="4"/>
    <n v="8.99"/>
    <x v="0"/>
    <x v="0"/>
    <n v="3"/>
    <n v="0.87"/>
    <x v="3"/>
  </r>
  <r>
    <s v="85d2824e-34b3-4e81-8e27-d1426f49ae4b"/>
    <n v="31"/>
    <x v="0"/>
    <x v="2"/>
    <x v="1"/>
    <n v="4.5999999999999996"/>
    <n v="1"/>
    <x v="2"/>
    <x v="3"/>
    <n v="17.989999999999998"/>
    <x v="0"/>
    <x v="4"/>
    <n v="1"/>
    <n v="2.2999999999999998"/>
    <x v="6"/>
  </r>
  <r>
    <s v="90b17b2a-6b37-4913-acb5-70b9a7fb7400"/>
    <n v="30"/>
    <x v="0"/>
    <x v="0"/>
    <x v="2"/>
    <n v="24.74"/>
    <n v="17"/>
    <x v="5"/>
    <x v="1"/>
    <n v="8.99"/>
    <x v="0"/>
    <x v="2"/>
    <n v="5"/>
    <n v="1.37"/>
    <x v="1"/>
  </r>
  <r>
    <s v="f2d0a49a-a99d-440c-8495-66a3e2e4d7f9"/>
    <n v="22"/>
    <x v="1"/>
    <x v="1"/>
    <x v="2"/>
    <n v="2.93"/>
    <n v="27"/>
    <x v="0"/>
    <x v="0"/>
    <n v="8.99"/>
    <x v="1"/>
    <x v="4"/>
    <n v="2"/>
    <n v="0.1"/>
    <x v="6"/>
  </r>
  <r>
    <s v="ad1d5a11-4a28-49fe-ab0d-9d9708af9ae4"/>
    <n v="21"/>
    <x v="1"/>
    <x v="0"/>
    <x v="2"/>
    <n v="13.97"/>
    <n v="14"/>
    <x v="4"/>
    <x v="1"/>
    <n v="8.99"/>
    <x v="0"/>
    <x v="2"/>
    <n v="3"/>
    <n v="0.93"/>
    <x v="4"/>
  </r>
  <r>
    <s v="2dab7db6-0652-42aa-9bbd-c685fadca648"/>
    <n v="32"/>
    <x v="0"/>
    <x v="1"/>
    <x v="2"/>
    <n v="17.18"/>
    <n v="22"/>
    <x v="3"/>
    <x v="0"/>
    <n v="8.99"/>
    <x v="0"/>
    <x v="0"/>
    <n v="4"/>
    <n v="0.75"/>
    <x v="4"/>
  </r>
  <r>
    <s v="5519a119-ca14-4ca1-9518-40ab23d4ea93"/>
    <n v="29"/>
    <x v="0"/>
    <x v="1"/>
    <x v="2"/>
    <n v="17.579999999999998"/>
    <n v="2"/>
    <x v="1"/>
    <x v="3"/>
    <n v="8.99"/>
    <x v="0"/>
    <x v="3"/>
    <n v="1"/>
    <n v="5.86"/>
    <x v="3"/>
  </r>
  <r>
    <s v="ccaded82-6e9b-4863-b165-cb90cb39fd26"/>
    <n v="30"/>
    <x v="0"/>
    <x v="1"/>
    <x v="2"/>
    <n v="9.2799999999999994"/>
    <n v="44"/>
    <x v="4"/>
    <x v="4"/>
    <n v="8.99"/>
    <x v="1"/>
    <x v="3"/>
    <n v="4"/>
    <n v="0.21"/>
    <x v="3"/>
  </r>
  <r>
    <s v="efe01bcd-e159-4494-a1d3-6e8432a0c269"/>
    <n v="33"/>
    <x v="0"/>
    <x v="2"/>
    <x v="0"/>
    <n v="2.86"/>
    <n v="30"/>
    <x v="1"/>
    <x v="4"/>
    <n v="13.99"/>
    <x v="1"/>
    <x v="4"/>
    <n v="5"/>
    <n v="0.09"/>
    <x v="0"/>
  </r>
  <r>
    <s v="552fb14c-c171-4f05-895a-61d49233686b"/>
    <n v="22"/>
    <x v="1"/>
    <x v="0"/>
    <x v="2"/>
    <n v="3.71"/>
    <n v="28"/>
    <x v="1"/>
    <x v="0"/>
    <n v="8.99"/>
    <x v="1"/>
    <x v="0"/>
    <n v="1"/>
    <n v="0.13"/>
    <x v="2"/>
  </r>
  <r>
    <s v="99e08a07-d0de-46c9-997d-1fb9452bea46"/>
    <n v="29"/>
    <x v="0"/>
    <x v="2"/>
    <x v="2"/>
    <n v="1.7"/>
    <n v="43"/>
    <x v="2"/>
    <x v="2"/>
    <n v="8.99"/>
    <x v="1"/>
    <x v="1"/>
    <n v="5"/>
    <n v="0.04"/>
    <x v="2"/>
  </r>
  <r>
    <s v="4949efaa-be29-41cc-a0ee-683eaa53f442"/>
    <n v="19"/>
    <x v="1"/>
    <x v="1"/>
    <x v="2"/>
    <n v="3.72"/>
    <n v="11"/>
    <x v="0"/>
    <x v="3"/>
    <n v="8.99"/>
    <x v="1"/>
    <x v="0"/>
    <n v="5"/>
    <n v="0.31"/>
    <x v="5"/>
  </r>
  <r>
    <s v="4cea2a42-ffdf-49e0-a1c0-5a13b3bdffe3"/>
    <n v="28"/>
    <x v="0"/>
    <x v="2"/>
    <x v="1"/>
    <n v="16.170000000000002"/>
    <n v="46"/>
    <x v="3"/>
    <x v="1"/>
    <n v="17.989999999999998"/>
    <x v="1"/>
    <x v="0"/>
    <n v="4"/>
    <n v="0.34"/>
    <x v="2"/>
  </r>
  <r>
    <s v="e301bbbc-80e3-4e8a-9016-545ab980b0cf"/>
    <n v="19"/>
    <x v="1"/>
    <x v="1"/>
    <x v="2"/>
    <n v="5.18"/>
    <n v="43"/>
    <x v="1"/>
    <x v="4"/>
    <n v="8.99"/>
    <x v="1"/>
    <x v="3"/>
    <n v="4"/>
    <n v="0.12"/>
    <x v="2"/>
  </r>
  <r>
    <s v="5945dc09-1b5b-4511-ac0d-20135699628e"/>
    <n v="34"/>
    <x v="0"/>
    <x v="2"/>
    <x v="2"/>
    <n v="1.89"/>
    <n v="59"/>
    <x v="0"/>
    <x v="4"/>
    <n v="8.99"/>
    <x v="1"/>
    <x v="2"/>
    <n v="5"/>
    <n v="0.03"/>
    <x v="3"/>
  </r>
  <r>
    <s v="69281385-44f2-48fb-abf2-dc483ee5be8b"/>
    <n v="19"/>
    <x v="1"/>
    <x v="2"/>
    <x v="1"/>
    <n v="8.0299999999999994"/>
    <n v="1"/>
    <x v="0"/>
    <x v="0"/>
    <n v="17.989999999999998"/>
    <x v="0"/>
    <x v="4"/>
    <n v="3"/>
    <n v="4.01"/>
    <x v="0"/>
  </r>
  <r>
    <s v="6735d050-2af6-4030-b34f-9687ab1a8914"/>
    <n v="33"/>
    <x v="0"/>
    <x v="2"/>
    <x v="2"/>
    <n v="2.27"/>
    <n v="20"/>
    <x v="2"/>
    <x v="3"/>
    <n v="8.99"/>
    <x v="1"/>
    <x v="1"/>
    <n v="3"/>
    <n v="0.11"/>
    <x v="4"/>
  </r>
  <r>
    <s v="629a11d7-4bd9-4698-b40f-8638ffd900c7"/>
    <n v="24"/>
    <x v="1"/>
    <x v="0"/>
    <x v="2"/>
    <n v="2.42"/>
    <n v="56"/>
    <x v="1"/>
    <x v="4"/>
    <n v="8.99"/>
    <x v="1"/>
    <x v="0"/>
    <n v="3"/>
    <n v="0.04"/>
    <x v="1"/>
  </r>
  <r>
    <s v="39287652-cd55-45d3-99bc-5b4917558f5e"/>
    <n v="23"/>
    <x v="1"/>
    <x v="1"/>
    <x v="2"/>
    <n v="10.85"/>
    <n v="13"/>
    <x v="4"/>
    <x v="2"/>
    <n v="8.99"/>
    <x v="0"/>
    <x v="3"/>
    <n v="3"/>
    <n v="0.78"/>
    <x v="4"/>
  </r>
  <r>
    <s v="071f4ab9-b7c8-42b9-9571-dac40f75fe29"/>
    <n v="34"/>
    <x v="0"/>
    <x v="2"/>
    <x v="1"/>
    <n v="9.59"/>
    <n v="28"/>
    <x v="1"/>
    <x v="2"/>
    <n v="17.989999999999998"/>
    <x v="0"/>
    <x v="3"/>
    <n v="4"/>
    <n v="0.33"/>
    <x v="3"/>
  </r>
  <r>
    <s v="ebfb8aef-3cb5-40e2-9eed-15a73a544d43"/>
    <n v="30"/>
    <x v="0"/>
    <x v="2"/>
    <x v="1"/>
    <n v="7.24"/>
    <n v="40"/>
    <x v="0"/>
    <x v="0"/>
    <n v="17.989999999999998"/>
    <x v="0"/>
    <x v="1"/>
    <n v="5"/>
    <n v="0.18"/>
    <x v="5"/>
  </r>
  <r>
    <s v="7da43629-4c0f-49ff-8bf2-047e7d6ff102"/>
    <n v="34"/>
    <x v="0"/>
    <x v="2"/>
    <x v="1"/>
    <n v="12.48"/>
    <n v="53"/>
    <x v="0"/>
    <x v="4"/>
    <n v="17.989999999999998"/>
    <x v="1"/>
    <x v="4"/>
    <n v="2"/>
    <n v="0.23"/>
    <x v="1"/>
  </r>
  <r>
    <s v="fd5c0b28-152d-47e2-bc46-c8db8eb99985"/>
    <n v="27"/>
    <x v="0"/>
    <x v="1"/>
    <x v="1"/>
    <n v="4.57"/>
    <n v="24"/>
    <x v="3"/>
    <x v="1"/>
    <n v="17.989999999999998"/>
    <x v="1"/>
    <x v="4"/>
    <n v="4"/>
    <n v="0.18"/>
    <x v="5"/>
  </r>
  <r>
    <s v="54ff35f5-4b7d-4740-a2b3-4755a628e79a"/>
    <n v="19"/>
    <x v="1"/>
    <x v="2"/>
    <x v="0"/>
    <n v="19.23"/>
    <n v="20"/>
    <x v="5"/>
    <x v="1"/>
    <n v="13.99"/>
    <x v="0"/>
    <x v="1"/>
    <n v="3"/>
    <n v="0.92"/>
    <x v="4"/>
  </r>
  <r>
    <s v="8af34fa6-55d3-4e2f-bb67-94d27ba89512"/>
    <n v="18"/>
    <x v="1"/>
    <x v="1"/>
    <x v="0"/>
    <n v="16.809999999999999"/>
    <n v="56"/>
    <x v="5"/>
    <x v="4"/>
    <n v="13.99"/>
    <x v="1"/>
    <x v="2"/>
    <n v="2"/>
    <n v="0.28999999999999998"/>
    <x v="0"/>
  </r>
  <r>
    <s v="4ab4899e-8602-4207-8d66-b1d0037f9061"/>
    <n v="23"/>
    <x v="1"/>
    <x v="1"/>
    <x v="1"/>
    <n v="8.17"/>
    <n v="38"/>
    <x v="1"/>
    <x v="3"/>
    <n v="17.989999999999998"/>
    <x v="1"/>
    <x v="3"/>
    <n v="3"/>
    <n v="0.21"/>
    <x v="5"/>
  </r>
  <r>
    <s v="d0882378-87e1-4f8c-ae52-9b4c6650ed1d"/>
    <n v="23"/>
    <x v="1"/>
    <x v="2"/>
    <x v="2"/>
    <n v="7.09"/>
    <n v="32"/>
    <x v="1"/>
    <x v="0"/>
    <n v="8.99"/>
    <x v="1"/>
    <x v="2"/>
    <n v="2"/>
    <n v="0.21"/>
    <x v="4"/>
  </r>
  <r>
    <s v="6ad7f0b7-91f7-4c49-9d03-085ce4845c8e"/>
    <n v="28"/>
    <x v="0"/>
    <x v="2"/>
    <x v="2"/>
    <n v="11.25"/>
    <n v="52"/>
    <x v="1"/>
    <x v="1"/>
    <n v="8.99"/>
    <x v="1"/>
    <x v="3"/>
    <n v="5"/>
    <n v="0.21"/>
    <x v="3"/>
  </r>
  <r>
    <s v="ce63b3cf-0d7a-499f-a1d7-5ee3a26a0257"/>
    <n v="18"/>
    <x v="1"/>
    <x v="0"/>
    <x v="1"/>
    <n v="6.8"/>
    <n v="20"/>
    <x v="2"/>
    <x v="1"/>
    <n v="17.989999999999998"/>
    <x v="0"/>
    <x v="2"/>
    <n v="4"/>
    <n v="0.32"/>
    <x v="0"/>
  </r>
  <r>
    <s v="5911a679-cdb3-4ccc-8ce8-491fb5a5f538"/>
    <n v="25"/>
    <x v="0"/>
    <x v="0"/>
    <x v="2"/>
    <n v="18.399999999999999"/>
    <n v="55"/>
    <x v="0"/>
    <x v="0"/>
    <n v="8.99"/>
    <x v="1"/>
    <x v="1"/>
    <n v="4"/>
    <n v="0.33"/>
    <x v="0"/>
  </r>
  <r>
    <s v="8f45c680-7d92-47c2-910e-2e4c69803700"/>
    <n v="33"/>
    <x v="0"/>
    <x v="1"/>
    <x v="2"/>
    <n v="44.72"/>
    <n v="7"/>
    <x v="5"/>
    <x v="4"/>
    <n v="8.99"/>
    <x v="0"/>
    <x v="3"/>
    <n v="4"/>
    <n v="5.59"/>
    <x v="2"/>
  </r>
  <r>
    <s v="9141433d-3463-435d-9b27-87d08766f03d"/>
    <n v="30"/>
    <x v="0"/>
    <x v="0"/>
    <x v="1"/>
    <n v="3.61"/>
    <n v="43"/>
    <x v="3"/>
    <x v="4"/>
    <n v="17.989999999999998"/>
    <x v="1"/>
    <x v="3"/>
    <n v="4"/>
    <n v="0.08"/>
    <x v="1"/>
  </r>
  <r>
    <s v="5131e34f-e327-4746-9132-241d79255ecc"/>
    <n v="22"/>
    <x v="1"/>
    <x v="2"/>
    <x v="1"/>
    <n v="10.68"/>
    <n v="60"/>
    <x v="3"/>
    <x v="4"/>
    <n v="17.989999999999998"/>
    <x v="0"/>
    <x v="1"/>
    <n v="5"/>
    <n v="0.18"/>
    <x v="3"/>
  </r>
  <r>
    <s v="dd0dd66b-b4e4-4077-b128-50039b87c68f"/>
    <n v="24"/>
    <x v="1"/>
    <x v="0"/>
    <x v="2"/>
    <n v="47.9"/>
    <n v="21"/>
    <x v="5"/>
    <x v="1"/>
    <n v="8.99"/>
    <x v="0"/>
    <x v="1"/>
    <n v="4"/>
    <n v="2.1800000000000002"/>
    <x v="4"/>
  </r>
  <r>
    <s v="9945eeb5-7747-4c17-a171-35bfde1b29ff"/>
    <n v="34"/>
    <x v="0"/>
    <x v="0"/>
    <x v="0"/>
    <n v="3.85"/>
    <n v="55"/>
    <x v="2"/>
    <x v="3"/>
    <n v="13.99"/>
    <x v="1"/>
    <x v="4"/>
    <n v="3"/>
    <n v="7.0000000000000007E-2"/>
    <x v="4"/>
  </r>
  <r>
    <s v="01bcc59b-2ffe-4146-9c55-05195c1bfd4f"/>
    <n v="29"/>
    <x v="0"/>
    <x v="0"/>
    <x v="0"/>
    <n v="7.46"/>
    <n v="58"/>
    <x v="0"/>
    <x v="4"/>
    <n v="13.99"/>
    <x v="0"/>
    <x v="2"/>
    <n v="5"/>
    <n v="0.13"/>
    <x v="0"/>
  </r>
  <r>
    <s v="042c6d84-17fa-4c97-a537-dcc1ebfc9b19"/>
    <n v="20"/>
    <x v="1"/>
    <x v="0"/>
    <x v="1"/>
    <n v="4.57"/>
    <n v="17"/>
    <x v="2"/>
    <x v="1"/>
    <n v="17.989999999999998"/>
    <x v="1"/>
    <x v="4"/>
    <n v="1"/>
    <n v="0.25"/>
    <x v="1"/>
  </r>
  <r>
    <s v="57bea9bb-8e3b-4a70-831b-89ec71163a30"/>
    <n v="25"/>
    <x v="0"/>
    <x v="1"/>
    <x v="0"/>
    <n v="6.71"/>
    <n v="2"/>
    <x v="3"/>
    <x v="4"/>
    <n v="13.99"/>
    <x v="0"/>
    <x v="2"/>
    <n v="4"/>
    <n v="2.2400000000000002"/>
    <x v="6"/>
  </r>
  <r>
    <s v="e4696783-b60d-40f9-8556-b6aaca0439bb"/>
    <n v="34"/>
    <x v="0"/>
    <x v="0"/>
    <x v="0"/>
    <n v="28.76"/>
    <n v="11"/>
    <x v="4"/>
    <x v="2"/>
    <n v="13.99"/>
    <x v="0"/>
    <x v="3"/>
    <n v="2"/>
    <n v="2.4"/>
    <x v="5"/>
  </r>
  <r>
    <s v="29c66269-9ffd-4c33-a193-ce878aadd03e"/>
    <n v="31"/>
    <x v="0"/>
    <x v="2"/>
    <x v="2"/>
    <n v="11.05"/>
    <n v="51"/>
    <x v="4"/>
    <x v="0"/>
    <n v="8.99"/>
    <x v="1"/>
    <x v="3"/>
    <n v="1"/>
    <n v="0.21"/>
    <x v="2"/>
  </r>
  <r>
    <s v="5515be5c-4926-4e19-abbf-6f2f6c8da2ac"/>
    <n v="30"/>
    <x v="0"/>
    <x v="1"/>
    <x v="0"/>
    <n v="17.22"/>
    <n v="5"/>
    <x v="2"/>
    <x v="1"/>
    <n v="13.99"/>
    <x v="0"/>
    <x v="3"/>
    <n v="1"/>
    <n v="2.87"/>
    <x v="2"/>
  </r>
  <r>
    <s v="533ad58f-7675-4e1f-8a7b-27f64e6ac546"/>
    <n v="18"/>
    <x v="1"/>
    <x v="1"/>
    <x v="1"/>
    <n v="17.75"/>
    <n v="9"/>
    <x v="5"/>
    <x v="3"/>
    <n v="17.989999999999998"/>
    <x v="0"/>
    <x v="4"/>
    <n v="1"/>
    <n v="1.77"/>
    <x v="1"/>
  </r>
  <r>
    <s v="ec781d62-dcea-497b-a9e4-c17263747c67"/>
    <n v="23"/>
    <x v="1"/>
    <x v="2"/>
    <x v="1"/>
    <n v="10.39"/>
    <n v="2"/>
    <x v="4"/>
    <x v="0"/>
    <n v="17.989999999999998"/>
    <x v="0"/>
    <x v="3"/>
    <n v="4"/>
    <n v="3.46"/>
    <x v="4"/>
  </r>
  <r>
    <s v="8b81a984-02e2-48aa-9ff5-5f1868dcf643"/>
    <n v="23"/>
    <x v="1"/>
    <x v="0"/>
    <x v="2"/>
    <n v="18.25"/>
    <n v="30"/>
    <x v="2"/>
    <x v="2"/>
    <n v="8.99"/>
    <x v="0"/>
    <x v="0"/>
    <n v="5"/>
    <n v="0.59"/>
    <x v="5"/>
  </r>
  <r>
    <s v="dae2da1f-76cb-41c0-b04f-33dc860fcf32"/>
    <n v="34"/>
    <x v="0"/>
    <x v="2"/>
    <x v="1"/>
    <n v="70.61"/>
    <n v="38"/>
    <x v="5"/>
    <x v="0"/>
    <n v="17.989999999999998"/>
    <x v="0"/>
    <x v="2"/>
    <n v="5"/>
    <n v="1.81"/>
    <x v="1"/>
  </r>
  <r>
    <s v="2c8412ce-38b1-4edd-9a05-23df72e6ec65"/>
    <n v="34"/>
    <x v="0"/>
    <x v="0"/>
    <x v="0"/>
    <n v="0.68"/>
    <n v="42"/>
    <x v="3"/>
    <x v="3"/>
    <n v="13.99"/>
    <x v="1"/>
    <x v="0"/>
    <n v="2"/>
    <n v="0.02"/>
    <x v="1"/>
  </r>
  <r>
    <s v="8f511109-28d6-4502-bb4a-02a31d2fd9b1"/>
    <n v="24"/>
    <x v="1"/>
    <x v="0"/>
    <x v="1"/>
    <n v="11.67"/>
    <n v="31"/>
    <x v="5"/>
    <x v="2"/>
    <n v="17.989999999999998"/>
    <x v="1"/>
    <x v="0"/>
    <n v="3"/>
    <n v="0.36"/>
    <x v="6"/>
  </r>
  <r>
    <s v="e2bade9e-76ad-4e9c-b851-f15137431ca2"/>
    <n v="23"/>
    <x v="1"/>
    <x v="0"/>
    <x v="1"/>
    <n v="11.54"/>
    <n v="28"/>
    <x v="1"/>
    <x v="1"/>
    <n v="17.989999999999998"/>
    <x v="0"/>
    <x v="4"/>
    <n v="5"/>
    <n v="0.4"/>
    <x v="6"/>
  </r>
  <r>
    <s v="ae95f50e-1e2f-4f65-874d-0b6bc9427707"/>
    <n v="33"/>
    <x v="0"/>
    <x v="0"/>
    <x v="2"/>
    <n v="0.14000000000000001"/>
    <n v="37"/>
    <x v="1"/>
    <x v="0"/>
    <n v="8.99"/>
    <x v="1"/>
    <x v="3"/>
    <n v="5"/>
    <n v="0"/>
    <x v="6"/>
  </r>
  <r>
    <s v="10fa7f05-3ce2-4829-bafa-78e5001ebaa0"/>
    <n v="26"/>
    <x v="0"/>
    <x v="1"/>
    <x v="1"/>
    <n v="19.48"/>
    <n v="35"/>
    <x v="5"/>
    <x v="1"/>
    <n v="17.989999999999998"/>
    <x v="0"/>
    <x v="3"/>
    <n v="5"/>
    <n v="0.54"/>
    <x v="2"/>
  </r>
  <r>
    <s v="95b61ee7-ccc7-4c12-b422-3518fa9a9de9"/>
    <n v="34"/>
    <x v="0"/>
    <x v="2"/>
    <x v="0"/>
    <n v="6.33"/>
    <n v="49"/>
    <x v="1"/>
    <x v="1"/>
    <n v="13.99"/>
    <x v="0"/>
    <x v="1"/>
    <n v="4"/>
    <n v="0.13"/>
    <x v="3"/>
  </r>
  <r>
    <s v="ed01a482-affc-4e7f-a7b4-ff9fcde8024a"/>
    <n v="22"/>
    <x v="1"/>
    <x v="1"/>
    <x v="2"/>
    <n v="26.28"/>
    <n v="48"/>
    <x v="1"/>
    <x v="0"/>
    <n v="8.99"/>
    <x v="0"/>
    <x v="0"/>
    <n v="3"/>
    <n v="0.54"/>
    <x v="6"/>
  </r>
  <r>
    <s v="0507202b-60a0-4db0-9d84-d54696712eb1"/>
    <n v="32"/>
    <x v="0"/>
    <x v="1"/>
    <x v="1"/>
    <n v="16.39"/>
    <n v="27"/>
    <x v="1"/>
    <x v="3"/>
    <n v="17.989999999999998"/>
    <x v="0"/>
    <x v="4"/>
    <n v="5"/>
    <n v="0.59"/>
    <x v="2"/>
  </r>
  <r>
    <s v="461b021e-97a5-486b-921b-6642c9d3e82a"/>
    <n v="34"/>
    <x v="0"/>
    <x v="2"/>
    <x v="1"/>
    <n v="0.33"/>
    <n v="7"/>
    <x v="0"/>
    <x v="4"/>
    <n v="17.989999999999998"/>
    <x v="1"/>
    <x v="4"/>
    <n v="2"/>
    <n v="0.04"/>
    <x v="2"/>
  </r>
  <r>
    <s v="ce433abe-57fd-4e3d-9342-2e73dfda078b"/>
    <n v="28"/>
    <x v="0"/>
    <x v="1"/>
    <x v="1"/>
    <n v="5.03"/>
    <n v="59"/>
    <x v="5"/>
    <x v="0"/>
    <n v="17.989999999999998"/>
    <x v="1"/>
    <x v="0"/>
    <n v="1"/>
    <n v="0.08"/>
    <x v="0"/>
  </r>
  <r>
    <s v="c6b0204e-436a-40a3-8de9-2f3a84d799b7"/>
    <n v="23"/>
    <x v="1"/>
    <x v="1"/>
    <x v="1"/>
    <n v="3.51"/>
    <n v="16"/>
    <x v="0"/>
    <x v="3"/>
    <n v="17.989999999999998"/>
    <x v="0"/>
    <x v="2"/>
    <n v="5"/>
    <n v="0.21"/>
    <x v="0"/>
  </r>
  <r>
    <s v="7b0bee97-a383-498d-a1d0-2de7c824ce74"/>
    <n v="30"/>
    <x v="0"/>
    <x v="0"/>
    <x v="1"/>
    <n v="3.55"/>
    <n v="45"/>
    <x v="2"/>
    <x v="3"/>
    <n v="17.989999999999998"/>
    <x v="1"/>
    <x v="4"/>
    <n v="3"/>
    <n v="0.08"/>
    <x v="4"/>
  </r>
  <r>
    <s v="95613c6d-17d2-4b03-8c8b-9ebe03768f44"/>
    <n v="18"/>
    <x v="1"/>
    <x v="2"/>
    <x v="2"/>
    <n v="15.17"/>
    <n v="28"/>
    <x v="2"/>
    <x v="2"/>
    <n v="8.99"/>
    <x v="0"/>
    <x v="3"/>
    <n v="3"/>
    <n v="0.52"/>
    <x v="5"/>
  </r>
  <r>
    <s v="fd6488c2-9e1f-4227-9498-0a49f3702153"/>
    <n v="33"/>
    <x v="0"/>
    <x v="2"/>
    <x v="0"/>
    <n v="9.93"/>
    <n v="51"/>
    <x v="2"/>
    <x v="4"/>
    <n v="13.99"/>
    <x v="0"/>
    <x v="1"/>
    <n v="4"/>
    <n v="0.19"/>
    <x v="4"/>
  </r>
  <r>
    <s v="10b94520-29d7-4845-917f-98fd0a3bf3e7"/>
    <n v="22"/>
    <x v="1"/>
    <x v="0"/>
    <x v="1"/>
    <n v="21.84"/>
    <n v="1"/>
    <x v="5"/>
    <x v="2"/>
    <n v="17.989999999999998"/>
    <x v="0"/>
    <x v="2"/>
    <n v="1"/>
    <n v="10.92"/>
    <x v="2"/>
  </r>
  <r>
    <s v="c73edd98-948a-45a2-bf02-d8556d7771c1"/>
    <n v="25"/>
    <x v="0"/>
    <x v="0"/>
    <x v="1"/>
    <n v="10.53"/>
    <n v="33"/>
    <x v="5"/>
    <x v="4"/>
    <n v="17.989999999999998"/>
    <x v="1"/>
    <x v="1"/>
    <n v="3"/>
    <n v="0.31"/>
    <x v="6"/>
  </r>
  <r>
    <s v="15977af7-baf7-4922-ac0b-06541e0271d3"/>
    <n v="26"/>
    <x v="0"/>
    <x v="2"/>
    <x v="0"/>
    <n v="8.43"/>
    <n v="45"/>
    <x v="4"/>
    <x v="1"/>
    <n v="13.99"/>
    <x v="0"/>
    <x v="1"/>
    <n v="5"/>
    <n v="0.18"/>
    <x v="1"/>
  </r>
  <r>
    <s v="314e27f7-020f-48a3-8914-5c0b51f67d00"/>
    <n v="27"/>
    <x v="0"/>
    <x v="2"/>
    <x v="0"/>
    <n v="0.39"/>
    <n v="32"/>
    <x v="2"/>
    <x v="1"/>
    <n v="13.99"/>
    <x v="1"/>
    <x v="4"/>
    <n v="4"/>
    <n v="0.01"/>
    <x v="3"/>
  </r>
  <r>
    <s v="cb507a43-512e-4dec-be49-2489ad065c20"/>
    <n v="18"/>
    <x v="1"/>
    <x v="2"/>
    <x v="1"/>
    <n v="0.97"/>
    <n v="9"/>
    <x v="3"/>
    <x v="4"/>
    <n v="17.989999999999998"/>
    <x v="0"/>
    <x v="1"/>
    <n v="5"/>
    <n v="0.1"/>
    <x v="6"/>
  </r>
  <r>
    <s v="d798a26c-3ede-4a44-b16a-a49c50e8f053"/>
    <n v="28"/>
    <x v="0"/>
    <x v="2"/>
    <x v="0"/>
    <n v="10.91"/>
    <n v="16"/>
    <x v="4"/>
    <x v="4"/>
    <n v="13.99"/>
    <x v="0"/>
    <x v="1"/>
    <n v="4"/>
    <n v="0.64"/>
    <x v="0"/>
  </r>
  <r>
    <s v="7b5ec85e-2ca0-4c16-a1d2-daa5e187fc5c"/>
    <n v="23"/>
    <x v="1"/>
    <x v="1"/>
    <x v="1"/>
    <n v="5.56"/>
    <n v="53"/>
    <x v="1"/>
    <x v="1"/>
    <n v="17.989999999999998"/>
    <x v="1"/>
    <x v="2"/>
    <n v="1"/>
    <n v="0.1"/>
    <x v="4"/>
  </r>
  <r>
    <s v="318b785e-376e-47cc-bf21-95b314654f83"/>
    <n v="23"/>
    <x v="1"/>
    <x v="0"/>
    <x v="0"/>
    <n v="0.13"/>
    <n v="48"/>
    <x v="1"/>
    <x v="1"/>
    <n v="13.99"/>
    <x v="1"/>
    <x v="0"/>
    <n v="5"/>
    <n v="0"/>
    <x v="6"/>
  </r>
  <r>
    <s v="6abb7d1e-a927-4b88-a4f6-a995b5c42361"/>
    <n v="23"/>
    <x v="1"/>
    <x v="2"/>
    <x v="0"/>
    <n v="28.75"/>
    <n v="20"/>
    <x v="0"/>
    <x v="0"/>
    <n v="13.99"/>
    <x v="0"/>
    <x v="0"/>
    <n v="2"/>
    <n v="1.37"/>
    <x v="2"/>
  </r>
  <r>
    <s v="83a0d0df-f602-47a7-8f84-ff7b087eb234"/>
    <n v="30"/>
    <x v="0"/>
    <x v="1"/>
    <x v="1"/>
    <n v="15.15"/>
    <n v="55"/>
    <x v="2"/>
    <x v="0"/>
    <n v="17.989999999999998"/>
    <x v="1"/>
    <x v="2"/>
    <n v="3"/>
    <n v="0.27"/>
    <x v="1"/>
  </r>
  <r>
    <s v="330da1e1-f14f-48b1-a950-169e4c02303d"/>
    <n v="19"/>
    <x v="1"/>
    <x v="2"/>
    <x v="2"/>
    <n v="0.22"/>
    <n v="21"/>
    <x v="5"/>
    <x v="2"/>
    <n v="8.99"/>
    <x v="1"/>
    <x v="1"/>
    <n v="4"/>
    <n v="0.01"/>
    <x v="0"/>
  </r>
  <r>
    <s v="d9536bca-b67a-4e23-88b3-27208462b5f0"/>
    <n v="32"/>
    <x v="0"/>
    <x v="0"/>
    <x v="0"/>
    <n v="11.33"/>
    <n v="42"/>
    <x v="1"/>
    <x v="2"/>
    <n v="13.99"/>
    <x v="1"/>
    <x v="2"/>
    <n v="1"/>
    <n v="0.26"/>
    <x v="6"/>
  </r>
  <r>
    <s v="1cddb6f1-fc2f-4e07-887b-e3703974af83"/>
    <n v="26"/>
    <x v="0"/>
    <x v="1"/>
    <x v="0"/>
    <n v="4.6399999999999997"/>
    <n v="7"/>
    <x v="0"/>
    <x v="3"/>
    <n v="13.99"/>
    <x v="1"/>
    <x v="0"/>
    <n v="1"/>
    <n v="0.57999999999999996"/>
    <x v="1"/>
  </r>
  <r>
    <s v="304e77f6-80f7-4820-affe-f288fb212762"/>
    <n v="18"/>
    <x v="1"/>
    <x v="2"/>
    <x v="1"/>
    <n v="12.42"/>
    <n v="58"/>
    <x v="4"/>
    <x v="1"/>
    <n v="17.989999999999998"/>
    <x v="1"/>
    <x v="1"/>
    <n v="3"/>
    <n v="0.21"/>
    <x v="2"/>
  </r>
  <r>
    <s v="f1664406-d734-495d-8499-225258ceb44d"/>
    <n v="28"/>
    <x v="0"/>
    <x v="1"/>
    <x v="2"/>
    <n v="16.54"/>
    <n v="24"/>
    <x v="2"/>
    <x v="1"/>
    <n v="8.99"/>
    <x v="0"/>
    <x v="0"/>
    <n v="3"/>
    <n v="0.66"/>
    <x v="4"/>
  </r>
  <r>
    <s v="407bcc3b-fda7-46f1-ad86-4fb4b4d34e84"/>
    <n v="18"/>
    <x v="1"/>
    <x v="2"/>
    <x v="0"/>
    <n v="41.28"/>
    <n v="24"/>
    <x v="1"/>
    <x v="3"/>
    <n v="13.99"/>
    <x v="0"/>
    <x v="1"/>
    <n v="3"/>
    <n v="1.65"/>
    <x v="3"/>
  </r>
  <r>
    <s v="fb18811c-c703-4f82-8119-20f4341d811e"/>
    <n v="26"/>
    <x v="0"/>
    <x v="0"/>
    <x v="1"/>
    <n v="3.13"/>
    <n v="18"/>
    <x v="5"/>
    <x v="1"/>
    <n v="17.989999999999998"/>
    <x v="0"/>
    <x v="3"/>
    <n v="5"/>
    <n v="0.16"/>
    <x v="6"/>
  </r>
  <r>
    <s v="2ef8917f-008f-4cda-ac07-1c700c111afd"/>
    <n v="24"/>
    <x v="1"/>
    <x v="1"/>
    <x v="2"/>
    <n v="3.02"/>
    <n v="21"/>
    <x v="0"/>
    <x v="4"/>
    <n v="8.99"/>
    <x v="1"/>
    <x v="4"/>
    <n v="5"/>
    <n v="0.14000000000000001"/>
    <x v="1"/>
  </r>
  <r>
    <s v="4e354ac7-0a8e-4e95-bea1-a9075202ef61"/>
    <n v="20"/>
    <x v="1"/>
    <x v="0"/>
    <x v="1"/>
    <n v="20.62"/>
    <n v="13"/>
    <x v="0"/>
    <x v="0"/>
    <n v="17.989999999999998"/>
    <x v="0"/>
    <x v="1"/>
    <n v="4"/>
    <n v="1.47"/>
    <x v="6"/>
  </r>
  <r>
    <s v="4857b9de-1edb-4296-b3ad-7a33e68f0c85"/>
    <n v="31"/>
    <x v="0"/>
    <x v="1"/>
    <x v="2"/>
    <n v="11.3"/>
    <n v="37"/>
    <x v="2"/>
    <x v="2"/>
    <n v="8.99"/>
    <x v="1"/>
    <x v="3"/>
    <n v="3"/>
    <n v="0.3"/>
    <x v="4"/>
  </r>
  <r>
    <s v="a1683619-5cc2-49c0-9830-26abcf323125"/>
    <n v="34"/>
    <x v="0"/>
    <x v="2"/>
    <x v="0"/>
    <n v="10.55"/>
    <n v="54"/>
    <x v="0"/>
    <x v="4"/>
    <n v="13.99"/>
    <x v="0"/>
    <x v="3"/>
    <n v="5"/>
    <n v="0.19"/>
    <x v="6"/>
  </r>
  <r>
    <s v="b525f0c4-903c-4313-b1b4-48e7c2ed21fa"/>
    <n v="31"/>
    <x v="0"/>
    <x v="1"/>
    <x v="1"/>
    <n v="14.43"/>
    <n v="9"/>
    <x v="3"/>
    <x v="0"/>
    <n v="17.989999999999998"/>
    <x v="0"/>
    <x v="2"/>
    <n v="5"/>
    <n v="1.44"/>
    <x v="5"/>
  </r>
  <r>
    <s v="54ba5a09-05cd-4a27-a689-3aacea4bc87a"/>
    <n v="18"/>
    <x v="1"/>
    <x v="2"/>
    <x v="0"/>
    <n v="14.18"/>
    <n v="27"/>
    <x v="4"/>
    <x v="4"/>
    <n v="13.99"/>
    <x v="0"/>
    <x v="0"/>
    <n v="2"/>
    <n v="0.51"/>
    <x v="0"/>
  </r>
  <r>
    <s v="5ce52697-adf6-410e-9fa4-136a826020d3"/>
    <n v="18"/>
    <x v="1"/>
    <x v="1"/>
    <x v="2"/>
    <n v="0.59"/>
    <n v="41"/>
    <x v="0"/>
    <x v="3"/>
    <n v="8.99"/>
    <x v="1"/>
    <x v="1"/>
    <n v="5"/>
    <n v="0.01"/>
    <x v="2"/>
  </r>
  <r>
    <s v="73985dc8-731e-4899-93ad-a2fc6dd855b4"/>
    <n v="32"/>
    <x v="0"/>
    <x v="2"/>
    <x v="0"/>
    <n v="27.72"/>
    <n v="58"/>
    <x v="4"/>
    <x v="1"/>
    <n v="13.99"/>
    <x v="0"/>
    <x v="3"/>
    <n v="3"/>
    <n v="0.47"/>
    <x v="3"/>
  </r>
  <r>
    <s v="65a8b79c-91b9-4e37-8db0-46d6eb08a523"/>
    <n v="34"/>
    <x v="0"/>
    <x v="2"/>
    <x v="1"/>
    <n v="26.06"/>
    <n v="28"/>
    <x v="4"/>
    <x v="0"/>
    <n v="17.989999999999998"/>
    <x v="0"/>
    <x v="1"/>
    <n v="4"/>
    <n v="0.9"/>
    <x v="0"/>
  </r>
  <r>
    <s v="126ecb5d-8652-497f-b5c4-c30d60a9baaa"/>
    <n v="22"/>
    <x v="1"/>
    <x v="0"/>
    <x v="0"/>
    <n v="8.07"/>
    <n v="36"/>
    <x v="2"/>
    <x v="1"/>
    <n v="13.99"/>
    <x v="1"/>
    <x v="0"/>
    <n v="2"/>
    <n v="0.22"/>
    <x v="0"/>
  </r>
  <r>
    <s v="fe70faa8-b5c5-4161-8dc8-d3e67b347bbe"/>
    <n v="22"/>
    <x v="1"/>
    <x v="2"/>
    <x v="1"/>
    <n v="13.24"/>
    <n v="37"/>
    <x v="1"/>
    <x v="2"/>
    <n v="17.989999999999998"/>
    <x v="0"/>
    <x v="2"/>
    <n v="5"/>
    <n v="0.35"/>
    <x v="2"/>
  </r>
  <r>
    <s v="93ea1605-c19e-4faf-8ddb-cd2c4499908c"/>
    <n v="30"/>
    <x v="0"/>
    <x v="2"/>
    <x v="0"/>
    <n v="1.29"/>
    <n v="4"/>
    <x v="3"/>
    <x v="0"/>
    <n v="13.99"/>
    <x v="0"/>
    <x v="2"/>
    <n v="5"/>
    <n v="0.26"/>
    <x v="3"/>
  </r>
  <r>
    <s v="e5b3a35a-183b-4048-9eea-11b59ae5ce5f"/>
    <n v="18"/>
    <x v="1"/>
    <x v="2"/>
    <x v="0"/>
    <n v="18.75"/>
    <n v="24"/>
    <x v="2"/>
    <x v="2"/>
    <n v="13.99"/>
    <x v="0"/>
    <x v="3"/>
    <n v="5"/>
    <n v="0.75"/>
    <x v="6"/>
  </r>
  <r>
    <s v="6a16e21f-e800-42a9-9c0c-3ef09efe57d4"/>
    <n v="25"/>
    <x v="0"/>
    <x v="2"/>
    <x v="1"/>
    <n v="23.81"/>
    <n v="59"/>
    <x v="2"/>
    <x v="1"/>
    <n v="17.989999999999998"/>
    <x v="0"/>
    <x v="1"/>
    <n v="3"/>
    <n v="0.4"/>
    <x v="1"/>
  </r>
  <r>
    <s v="5f976666-0c51-493a-9924-14a17c615b89"/>
    <n v="31"/>
    <x v="0"/>
    <x v="1"/>
    <x v="1"/>
    <n v="2.4700000000000002"/>
    <n v="33"/>
    <x v="4"/>
    <x v="2"/>
    <n v="17.989999999999998"/>
    <x v="1"/>
    <x v="3"/>
    <n v="2"/>
    <n v="7.0000000000000007E-2"/>
    <x v="6"/>
  </r>
  <r>
    <s v="aa838ade-266b-42a6-96eb-79d73ce1c63a"/>
    <n v="26"/>
    <x v="0"/>
    <x v="0"/>
    <x v="1"/>
    <n v="13.59"/>
    <n v="51"/>
    <x v="5"/>
    <x v="2"/>
    <n v="17.989999999999998"/>
    <x v="1"/>
    <x v="0"/>
    <n v="2"/>
    <n v="0.26"/>
    <x v="0"/>
  </r>
  <r>
    <s v="b54f35bd-04b4-4772-bccc-c0914906efd2"/>
    <n v="22"/>
    <x v="1"/>
    <x v="1"/>
    <x v="0"/>
    <n v="1.04"/>
    <n v="56"/>
    <x v="3"/>
    <x v="3"/>
    <n v="13.99"/>
    <x v="1"/>
    <x v="3"/>
    <n v="3"/>
    <n v="0.02"/>
    <x v="1"/>
  </r>
  <r>
    <s v="7169fc97-817c-4230-9aaf-514d20a0a711"/>
    <n v="33"/>
    <x v="0"/>
    <x v="1"/>
    <x v="0"/>
    <n v="59.71"/>
    <n v="55"/>
    <x v="0"/>
    <x v="3"/>
    <n v="13.99"/>
    <x v="0"/>
    <x v="2"/>
    <n v="5"/>
    <n v="1.07"/>
    <x v="5"/>
  </r>
  <r>
    <s v="6946db19-5d1e-450e-9112-2342b6ebb400"/>
    <n v="20"/>
    <x v="1"/>
    <x v="0"/>
    <x v="0"/>
    <n v="13.2"/>
    <n v="56"/>
    <x v="0"/>
    <x v="2"/>
    <n v="13.99"/>
    <x v="1"/>
    <x v="1"/>
    <n v="2"/>
    <n v="0.23"/>
    <x v="4"/>
  </r>
  <r>
    <s v="a00452e6-6d9a-4b59-a93d-d52833512ece"/>
    <n v="32"/>
    <x v="0"/>
    <x v="0"/>
    <x v="0"/>
    <n v="6.93"/>
    <n v="34"/>
    <x v="2"/>
    <x v="2"/>
    <n v="13.99"/>
    <x v="1"/>
    <x v="0"/>
    <n v="3"/>
    <n v="0.2"/>
    <x v="1"/>
  </r>
  <r>
    <s v="a78cd558-abc4-4205-8f08-aac802c5d896"/>
    <n v="31"/>
    <x v="0"/>
    <x v="2"/>
    <x v="2"/>
    <n v="5.18"/>
    <n v="36"/>
    <x v="5"/>
    <x v="4"/>
    <n v="8.99"/>
    <x v="1"/>
    <x v="2"/>
    <n v="1"/>
    <n v="0.14000000000000001"/>
    <x v="2"/>
  </r>
  <r>
    <s v="0bc35530-60ff-4701-b4a4-82974657d4ab"/>
    <n v="25"/>
    <x v="0"/>
    <x v="0"/>
    <x v="1"/>
    <n v="6.38"/>
    <n v="23"/>
    <x v="2"/>
    <x v="0"/>
    <n v="17.989999999999998"/>
    <x v="0"/>
    <x v="4"/>
    <n v="5"/>
    <n v="0.27"/>
    <x v="0"/>
  </r>
  <r>
    <s v="cd662d41-5e22-45b1-a82a-b10b90503d2e"/>
    <n v="28"/>
    <x v="0"/>
    <x v="1"/>
    <x v="1"/>
    <n v="7.1"/>
    <n v="11"/>
    <x v="4"/>
    <x v="1"/>
    <n v="17.989999999999998"/>
    <x v="0"/>
    <x v="0"/>
    <n v="3"/>
    <n v="0.59"/>
    <x v="2"/>
  </r>
  <r>
    <s v="4af19fec-91fd-4307-897a-8820d828d965"/>
    <n v="33"/>
    <x v="0"/>
    <x v="1"/>
    <x v="2"/>
    <n v="3.84"/>
    <n v="28"/>
    <x v="2"/>
    <x v="2"/>
    <n v="8.99"/>
    <x v="1"/>
    <x v="2"/>
    <n v="3"/>
    <n v="0.13"/>
    <x v="2"/>
  </r>
  <r>
    <s v="09900f0a-9376-42db-9958-85c35349ccac"/>
    <n v="21"/>
    <x v="1"/>
    <x v="2"/>
    <x v="0"/>
    <n v="10.63"/>
    <n v="4"/>
    <x v="5"/>
    <x v="4"/>
    <n v="13.99"/>
    <x v="0"/>
    <x v="4"/>
    <n v="1"/>
    <n v="2.13"/>
    <x v="1"/>
  </r>
  <r>
    <s v="2741a884-1629-4cc1-aedb-dd2e1b24bdeb"/>
    <n v="24"/>
    <x v="1"/>
    <x v="0"/>
    <x v="0"/>
    <n v="0.02"/>
    <n v="35"/>
    <x v="3"/>
    <x v="4"/>
    <n v="13.99"/>
    <x v="1"/>
    <x v="3"/>
    <n v="3"/>
    <n v="0"/>
    <x v="5"/>
  </r>
  <r>
    <s v="5ad16f1b-83c8-45eb-b506-7a1baafdab4f"/>
    <n v="33"/>
    <x v="0"/>
    <x v="2"/>
    <x v="2"/>
    <n v="8.19"/>
    <n v="53"/>
    <x v="1"/>
    <x v="0"/>
    <n v="8.99"/>
    <x v="1"/>
    <x v="2"/>
    <n v="1"/>
    <n v="0.15"/>
    <x v="1"/>
  </r>
  <r>
    <s v="f0432d3c-5c75-4cca-b27c-73f92ef194cb"/>
    <n v="19"/>
    <x v="1"/>
    <x v="0"/>
    <x v="1"/>
    <n v="11.05"/>
    <n v="5"/>
    <x v="5"/>
    <x v="0"/>
    <n v="17.989999999999998"/>
    <x v="0"/>
    <x v="4"/>
    <n v="1"/>
    <n v="1.84"/>
    <x v="4"/>
  </r>
  <r>
    <s v="a17ade56-9ee7-4d41-8efd-659350776e44"/>
    <n v="28"/>
    <x v="0"/>
    <x v="2"/>
    <x v="2"/>
    <n v="9.85"/>
    <n v="46"/>
    <x v="4"/>
    <x v="3"/>
    <n v="8.99"/>
    <x v="1"/>
    <x v="4"/>
    <n v="5"/>
    <n v="0.21"/>
    <x v="0"/>
  </r>
  <r>
    <s v="b6f7895c-4a09-4e75-82cb-06baf8b2ef29"/>
    <n v="21"/>
    <x v="1"/>
    <x v="0"/>
    <x v="2"/>
    <n v="19.14"/>
    <n v="28"/>
    <x v="4"/>
    <x v="3"/>
    <n v="8.99"/>
    <x v="0"/>
    <x v="0"/>
    <n v="2"/>
    <n v="0.66"/>
    <x v="1"/>
  </r>
  <r>
    <s v="24fa2911-7aa9-42dd-88f8-c1f76ff94cba"/>
    <n v="23"/>
    <x v="1"/>
    <x v="1"/>
    <x v="2"/>
    <n v="10.73"/>
    <n v="35"/>
    <x v="1"/>
    <x v="4"/>
    <n v="8.99"/>
    <x v="1"/>
    <x v="2"/>
    <n v="5"/>
    <n v="0.3"/>
    <x v="1"/>
  </r>
  <r>
    <s v="8f6dbb06-4191-4bd6-9147-d9507a3e863b"/>
    <n v="30"/>
    <x v="0"/>
    <x v="2"/>
    <x v="0"/>
    <n v="5.0999999999999996"/>
    <n v="9"/>
    <x v="4"/>
    <x v="0"/>
    <n v="13.99"/>
    <x v="0"/>
    <x v="3"/>
    <n v="5"/>
    <n v="0.51"/>
    <x v="1"/>
  </r>
  <r>
    <s v="7afcacfb-38f5-4f28-89d6-93b00a26104c"/>
    <n v="32"/>
    <x v="0"/>
    <x v="1"/>
    <x v="1"/>
    <n v="45.98"/>
    <n v="45"/>
    <x v="0"/>
    <x v="3"/>
    <n v="17.989999999999998"/>
    <x v="0"/>
    <x v="0"/>
    <n v="1"/>
    <n v="1"/>
    <x v="1"/>
  </r>
  <r>
    <s v="4a62ea61-7fd3-4f73-9d0f-fea08b4087f7"/>
    <n v="18"/>
    <x v="1"/>
    <x v="2"/>
    <x v="0"/>
    <n v="20.65"/>
    <n v="19"/>
    <x v="4"/>
    <x v="4"/>
    <n v="13.99"/>
    <x v="0"/>
    <x v="0"/>
    <n v="4"/>
    <n v="1.03"/>
    <x v="6"/>
  </r>
  <r>
    <s v="6e8f06ec-bf9b-4aca-82c9-6dfbf5dc0d77"/>
    <n v="28"/>
    <x v="0"/>
    <x v="2"/>
    <x v="0"/>
    <n v="1.78"/>
    <n v="35"/>
    <x v="2"/>
    <x v="2"/>
    <n v="13.99"/>
    <x v="1"/>
    <x v="1"/>
    <n v="3"/>
    <n v="0.05"/>
    <x v="3"/>
  </r>
  <r>
    <s v="9d09dcf2-0456-4e2b-903f-b9e4ccb40654"/>
    <n v="32"/>
    <x v="0"/>
    <x v="2"/>
    <x v="1"/>
    <n v="4.1100000000000003"/>
    <n v="45"/>
    <x v="0"/>
    <x v="1"/>
    <n v="17.989999999999998"/>
    <x v="1"/>
    <x v="2"/>
    <n v="5"/>
    <n v="0.09"/>
    <x v="3"/>
  </r>
  <r>
    <s v="15d5126a-b913-491a-ba7c-73ceca42478c"/>
    <n v="20"/>
    <x v="1"/>
    <x v="1"/>
    <x v="0"/>
    <n v="21.21"/>
    <n v="0"/>
    <x v="4"/>
    <x v="2"/>
    <n v="13.99"/>
    <x v="0"/>
    <x v="0"/>
    <n v="2"/>
    <n v="21.21"/>
    <x v="0"/>
  </r>
  <r>
    <s v="6bb29066-b9f3-4312-b7ed-07c422adda79"/>
    <n v="31"/>
    <x v="0"/>
    <x v="2"/>
    <x v="1"/>
    <n v="12"/>
    <n v="2"/>
    <x v="1"/>
    <x v="2"/>
    <n v="17.989999999999998"/>
    <x v="0"/>
    <x v="2"/>
    <n v="2"/>
    <n v="4"/>
    <x v="1"/>
  </r>
  <r>
    <s v="35f0abfa-dfe5-4081-ae01-cece7e233dd1"/>
    <n v="19"/>
    <x v="1"/>
    <x v="1"/>
    <x v="1"/>
    <n v="1.44"/>
    <n v="40"/>
    <x v="2"/>
    <x v="0"/>
    <n v="17.989999999999998"/>
    <x v="1"/>
    <x v="4"/>
    <n v="5"/>
    <n v="0.04"/>
    <x v="1"/>
  </r>
  <r>
    <s v="5b71d159-108a-4bc4-ad12-604740c7b9f5"/>
    <n v="28"/>
    <x v="0"/>
    <x v="0"/>
    <x v="1"/>
    <n v="27.06"/>
    <n v="55"/>
    <x v="4"/>
    <x v="4"/>
    <n v="17.989999999999998"/>
    <x v="0"/>
    <x v="1"/>
    <n v="4"/>
    <n v="0.48"/>
    <x v="3"/>
  </r>
  <r>
    <s v="2bcb1598-761e-4e79-bbb3-0a27ee8735ad"/>
    <n v="22"/>
    <x v="1"/>
    <x v="0"/>
    <x v="1"/>
    <n v="7.24"/>
    <n v="30"/>
    <x v="5"/>
    <x v="4"/>
    <n v="17.989999999999998"/>
    <x v="0"/>
    <x v="3"/>
    <n v="2"/>
    <n v="0.23"/>
    <x v="4"/>
  </r>
  <r>
    <s v="2c7c944e-7d27-409d-aef6-46659c0fb0c5"/>
    <n v="29"/>
    <x v="0"/>
    <x v="2"/>
    <x v="1"/>
    <n v="63.39"/>
    <n v="37"/>
    <x v="4"/>
    <x v="4"/>
    <n v="17.989999999999998"/>
    <x v="0"/>
    <x v="4"/>
    <n v="4"/>
    <n v="1.67"/>
    <x v="1"/>
  </r>
  <r>
    <s v="9a51ecb7-e23d-429f-b479-95a6d35fc07d"/>
    <n v="32"/>
    <x v="0"/>
    <x v="0"/>
    <x v="1"/>
    <n v="1.8"/>
    <n v="32"/>
    <x v="2"/>
    <x v="2"/>
    <n v="17.989999999999998"/>
    <x v="1"/>
    <x v="3"/>
    <n v="2"/>
    <n v="0.05"/>
    <x v="4"/>
  </r>
  <r>
    <s v="10bfc352-0f52-44e7-b086-16fb3b7c4834"/>
    <n v="32"/>
    <x v="0"/>
    <x v="1"/>
    <x v="1"/>
    <n v="24.87"/>
    <n v="41"/>
    <x v="4"/>
    <x v="4"/>
    <n v="17.989999999999998"/>
    <x v="0"/>
    <x v="4"/>
    <n v="5"/>
    <n v="0.59"/>
    <x v="6"/>
  </r>
  <r>
    <s v="9440d961-076a-4e3b-bfd3-1faf6b67db3d"/>
    <n v="23"/>
    <x v="1"/>
    <x v="0"/>
    <x v="0"/>
    <n v="29.18"/>
    <n v="36"/>
    <x v="5"/>
    <x v="0"/>
    <n v="13.99"/>
    <x v="0"/>
    <x v="1"/>
    <n v="1"/>
    <n v="0.79"/>
    <x v="5"/>
  </r>
  <r>
    <s v="ffaf5a8f-4a21-4263-b2e6-1661ea990c16"/>
    <n v="30"/>
    <x v="0"/>
    <x v="1"/>
    <x v="1"/>
    <n v="11.65"/>
    <n v="21"/>
    <x v="3"/>
    <x v="1"/>
    <n v="17.989999999999998"/>
    <x v="0"/>
    <x v="2"/>
    <n v="5"/>
    <n v="0.53"/>
    <x v="4"/>
  </r>
  <r>
    <s v="ce6a5766-b2c1-47e6-b45e-950bdd6eb6ef"/>
    <n v="23"/>
    <x v="1"/>
    <x v="2"/>
    <x v="1"/>
    <n v="6.55"/>
    <n v="27"/>
    <x v="5"/>
    <x v="1"/>
    <n v="17.989999999999998"/>
    <x v="0"/>
    <x v="3"/>
    <n v="3"/>
    <n v="0.23"/>
    <x v="4"/>
  </r>
  <r>
    <s v="b3be52ce-4170-4eac-b249-af6b1475451f"/>
    <n v="20"/>
    <x v="1"/>
    <x v="1"/>
    <x v="0"/>
    <n v="0.52"/>
    <n v="29"/>
    <x v="0"/>
    <x v="0"/>
    <n v="13.99"/>
    <x v="1"/>
    <x v="1"/>
    <n v="1"/>
    <n v="0.02"/>
    <x v="4"/>
  </r>
  <r>
    <s v="b7d9b624-c891-4639-87e9-a8eafacf6fc5"/>
    <n v="28"/>
    <x v="0"/>
    <x v="0"/>
    <x v="2"/>
    <n v="35.03"/>
    <n v="37"/>
    <x v="0"/>
    <x v="3"/>
    <n v="8.99"/>
    <x v="0"/>
    <x v="2"/>
    <n v="4"/>
    <n v="0.92"/>
    <x v="1"/>
  </r>
  <r>
    <s v="c24a6c5a-5d0d-4590-be69-7316185ba76f"/>
    <n v="24"/>
    <x v="1"/>
    <x v="0"/>
    <x v="2"/>
    <n v="9.0299999999999994"/>
    <n v="52"/>
    <x v="2"/>
    <x v="2"/>
    <n v="8.99"/>
    <x v="1"/>
    <x v="0"/>
    <n v="1"/>
    <n v="0.17"/>
    <x v="5"/>
  </r>
  <r>
    <s v="05806200-9ba0-4323-adfd-4993ce054d36"/>
    <n v="25"/>
    <x v="0"/>
    <x v="0"/>
    <x v="0"/>
    <n v="8.01"/>
    <n v="20"/>
    <x v="2"/>
    <x v="1"/>
    <n v="13.99"/>
    <x v="0"/>
    <x v="2"/>
    <n v="4"/>
    <n v="0.38"/>
    <x v="6"/>
  </r>
  <r>
    <s v="2e50b30b-57f0-4ab7-8aa0-7d1c90049955"/>
    <n v="30"/>
    <x v="0"/>
    <x v="0"/>
    <x v="2"/>
    <n v="0.36"/>
    <n v="60"/>
    <x v="3"/>
    <x v="1"/>
    <n v="8.99"/>
    <x v="1"/>
    <x v="1"/>
    <n v="3"/>
    <n v="0.01"/>
    <x v="0"/>
  </r>
  <r>
    <s v="a0503463-95d6-4b99-87c3-f473b095717d"/>
    <n v="29"/>
    <x v="0"/>
    <x v="1"/>
    <x v="2"/>
    <n v="4.67"/>
    <n v="5"/>
    <x v="2"/>
    <x v="1"/>
    <n v="8.99"/>
    <x v="0"/>
    <x v="3"/>
    <n v="3"/>
    <n v="0.78"/>
    <x v="6"/>
  </r>
  <r>
    <s v="b27b7e7d-38bd-4baa-9fd2-cf2aae9c5bd5"/>
    <n v="22"/>
    <x v="1"/>
    <x v="1"/>
    <x v="2"/>
    <n v="13.16"/>
    <n v="6"/>
    <x v="1"/>
    <x v="4"/>
    <n v="8.99"/>
    <x v="0"/>
    <x v="1"/>
    <n v="4"/>
    <n v="1.88"/>
    <x v="1"/>
  </r>
  <r>
    <s v="cf7bca4d-00b0-48ef-930e-f08e2422f3d0"/>
    <n v="21"/>
    <x v="1"/>
    <x v="1"/>
    <x v="1"/>
    <n v="6.28"/>
    <n v="3"/>
    <x v="2"/>
    <x v="1"/>
    <n v="17.989999999999998"/>
    <x v="0"/>
    <x v="0"/>
    <n v="4"/>
    <n v="1.57"/>
    <x v="5"/>
  </r>
  <r>
    <s v="f6655409-3486-469e-aa75-61a674188c36"/>
    <n v="32"/>
    <x v="0"/>
    <x v="2"/>
    <x v="2"/>
    <n v="3.87"/>
    <n v="32"/>
    <x v="2"/>
    <x v="0"/>
    <n v="8.99"/>
    <x v="1"/>
    <x v="2"/>
    <n v="2"/>
    <n v="0.12"/>
    <x v="0"/>
  </r>
  <r>
    <s v="727582cf-31c0-4f90-bfa3-931b71f80ea4"/>
    <n v="33"/>
    <x v="0"/>
    <x v="0"/>
    <x v="1"/>
    <n v="11.02"/>
    <n v="22"/>
    <x v="3"/>
    <x v="0"/>
    <n v="17.989999999999998"/>
    <x v="0"/>
    <x v="4"/>
    <n v="4"/>
    <n v="0.48"/>
    <x v="0"/>
  </r>
  <r>
    <s v="de73097b-d6cb-4862-9308-ed129859bccb"/>
    <n v="22"/>
    <x v="1"/>
    <x v="2"/>
    <x v="1"/>
    <n v="8.84"/>
    <n v="52"/>
    <x v="1"/>
    <x v="3"/>
    <n v="17.989999999999998"/>
    <x v="1"/>
    <x v="2"/>
    <n v="2"/>
    <n v="0.17"/>
    <x v="1"/>
  </r>
  <r>
    <s v="7c48c4cc-32c0-436b-aa5d-da2cb1509f93"/>
    <n v="19"/>
    <x v="1"/>
    <x v="0"/>
    <x v="1"/>
    <n v="6.49"/>
    <n v="34"/>
    <x v="4"/>
    <x v="4"/>
    <n v="17.989999999999998"/>
    <x v="1"/>
    <x v="4"/>
    <n v="1"/>
    <n v="0.19"/>
    <x v="4"/>
  </r>
  <r>
    <s v="11f37912-99c6-41fe-ac0c-48dd0930a4b4"/>
    <n v="20"/>
    <x v="1"/>
    <x v="2"/>
    <x v="0"/>
    <n v="8.4700000000000006"/>
    <n v="53"/>
    <x v="4"/>
    <x v="0"/>
    <n v="13.99"/>
    <x v="1"/>
    <x v="4"/>
    <n v="2"/>
    <n v="0.16"/>
    <x v="2"/>
  </r>
  <r>
    <s v="fea2691a-fc62-4a68-b155-bd95ecf587de"/>
    <n v="21"/>
    <x v="1"/>
    <x v="2"/>
    <x v="2"/>
    <n v="5.0999999999999996"/>
    <n v="53"/>
    <x v="1"/>
    <x v="4"/>
    <n v="8.99"/>
    <x v="1"/>
    <x v="3"/>
    <n v="3"/>
    <n v="0.09"/>
    <x v="5"/>
  </r>
  <r>
    <s v="d8127bf4-b7ea-4cf8-81ce-270df2f38163"/>
    <n v="20"/>
    <x v="1"/>
    <x v="0"/>
    <x v="1"/>
    <n v="4.3899999999999997"/>
    <n v="33"/>
    <x v="5"/>
    <x v="2"/>
    <n v="17.989999999999998"/>
    <x v="1"/>
    <x v="4"/>
    <n v="1"/>
    <n v="0.13"/>
    <x v="2"/>
  </r>
  <r>
    <s v="928dc2a2-8361-4e04-bfef-dcade10168eb"/>
    <n v="31"/>
    <x v="0"/>
    <x v="1"/>
    <x v="2"/>
    <n v="5.12"/>
    <n v="12"/>
    <x v="4"/>
    <x v="0"/>
    <n v="8.99"/>
    <x v="0"/>
    <x v="1"/>
    <n v="5"/>
    <n v="0.39"/>
    <x v="3"/>
  </r>
  <r>
    <s v="cd918584-dbe4-43ee-8ee4-f35dcf029de4"/>
    <n v="21"/>
    <x v="1"/>
    <x v="0"/>
    <x v="0"/>
    <n v="3.88"/>
    <n v="0"/>
    <x v="3"/>
    <x v="2"/>
    <n v="13.99"/>
    <x v="0"/>
    <x v="0"/>
    <n v="1"/>
    <n v="3.88"/>
    <x v="3"/>
  </r>
  <r>
    <s v="784bbf74-1bec-42e8-805d-d0a12579432c"/>
    <n v="28"/>
    <x v="0"/>
    <x v="2"/>
    <x v="0"/>
    <n v="19.03"/>
    <n v="17"/>
    <x v="1"/>
    <x v="1"/>
    <n v="13.99"/>
    <x v="0"/>
    <x v="4"/>
    <n v="2"/>
    <n v="1.06"/>
    <x v="0"/>
  </r>
  <r>
    <s v="14b07c0b-a32b-4f96-a236-6992f512fd8e"/>
    <n v="33"/>
    <x v="0"/>
    <x v="1"/>
    <x v="1"/>
    <n v="1.81"/>
    <n v="20"/>
    <x v="4"/>
    <x v="4"/>
    <n v="17.989999999999998"/>
    <x v="1"/>
    <x v="0"/>
    <n v="2"/>
    <n v="0.09"/>
    <x v="1"/>
  </r>
  <r>
    <s v="bf910ef4-cb21-4375-a624-e57cc2e4c293"/>
    <n v="26"/>
    <x v="0"/>
    <x v="1"/>
    <x v="2"/>
    <n v="0.06"/>
    <n v="2"/>
    <x v="2"/>
    <x v="0"/>
    <n v="8.99"/>
    <x v="1"/>
    <x v="2"/>
    <n v="4"/>
    <n v="0.02"/>
    <x v="3"/>
  </r>
  <r>
    <s v="ef372c4a-20ae-4373-a2db-12a114ee5e2b"/>
    <n v="28"/>
    <x v="0"/>
    <x v="2"/>
    <x v="0"/>
    <n v="20.309999999999999"/>
    <n v="40"/>
    <x v="5"/>
    <x v="1"/>
    <n v="13.99"/>
    <x v="0"/>
    <x v="4"/>
    <n v="1"/>
    <n v="0.5"/>
    <x v="3"/>
  </r>
  <r>
    <s v="f5dda56c-7406-4db7-90ed-e6738e422b8f"/>
    <n v="30"/>
    <x v="0"/>
    <x v="2"/>
    <x v="1"/>
    <n v="13.28"/>
    <n v="44"/>
    <x v="2"/>
    <x v="2"/>
    <n v="17.989999999999998"/>
    <x v="0"/>
    <x v="3"/>
    <n v="4"/>
    <n v="0.3"/>
    <x v="4"/>
  </r>
  <r>
    <s v="6732052d-d079-4067-a288-4c23e1a599b9"/>
    <n v="27"/>
    <x v="0"/>
    <x v="2"/>
    <x v="0"/>
    <n v="20.21"/>
    <n v="57"/>
    <x v="5"/>
    <x v="4"/>
    <n v="13.99"/>
    <x v="0"/>
    <x v="0"/>
    <n v="2"/>
    <n v="0.35"/>
    <x v="2"/>
  </r>
  <r>
    <s v="4ac8c08a-cb1c-41d8-8834-7f4d43160ca5"/>
    <n v="31"/>
    <x v="0"/>
    <x v="0"/>
    <x v="1"/>
    <n v="2.08"/>
    <n v="8"/>
    <x v="2"/>
    <x v="3"/>
    <n v="17.989999999999998"/>
    <x v="1"/>
    <x v="2"/>
    <n v="3"/>
    <n v="0.23"/>
    <x v="4"/>
  </r>
  <r>
    <s v="ed2e6d14-1ec8-4f3a-8a09-10311a97e7db"/>
    <n v="27"/>
    <x v="0"/>
    <x v="1"/>
    <x v="1"/>
    <n v="4.0199999999999996"/>
    <n v="41"/>
    <x v="2"/>
    <x v="2"/>
    <n v="17.989999999999998"/>
    <x v="1"/>
    <x v="2"/>
    <n v="1"/>
    <n v="0.1"/>
    <x v="5"/>
  </r>
  <r>
    <s v="23511a64-59ce-4cc2-bc00-c4fe31339534"/>
    <n v="29"/>
    <x v="0"/>
    <x v="1"/>
    <x v="0"/>
    <n v="31.52"/>
    <n v="12"/>
    <x v="1"/>
    <x v="4"/>
    <n v="13.99"/>
    <x v="0"/>
    <x v="1"/>
    <n v="3"/>
    <n v="2.42"/>
    <x v="0"/>
  </r>
  <r>
    <s v="682d7f24-bf51-4e54-a2d2-2e25a3e17b61"/>
    <n v="33"/>
    <x v="0"/>
    <x v="0"/>
    <x v="0"/>
    <n v="1.33"/>
    <n v="3"/>
    <x v="3"/>
    <x v="4"/>
    <n v="13.99"/>
    <x v="0"/>
    <x v="3"/>
    <n v="5"/>
    <n v="0.33"/>
    <x v="5"/>
  </r>
  <r>
    <s v="2d356c69-fcbe-4a5d-af62-c41e1944a95b"/>
    <n v="34"/>
    <x v="0"/>
    <x v="0"/>
    <x v="2"/>
    <n v="27.09"/>
    <n v="9"/>
    <x v="5"/>
    <x v="0"/>
    <n v="8.99"/>
    <x v="0"/>
    <x v="1"/>
    <n v="1"/>
    <n v="2.71"/>
    <x v="5"/>
  </r>
  <r>
    <s v="2ad44ab8-c58d-4228-80f8-57d658a25d04"/>
    <n v="31"/>
    <x v="0"/>
    <x v="1"/>
    <x v="2"/>
    <n v="5.4"/>
    <n v="4"/>
    <x v="1"/>
    <x v="3"/>
    <n v="8.99"/>
    <x v="0"/>
    <x v="2"/>
    <n v="5"/>
    <n v="1.08"/>
    <x v="4"/>
  </r>
  <r>
    <s v="d700d121-5896-4474-915e-9c163bdf9c32"/>
    <n v="18"/>
    <x v="1"/>
    <x v="2"/>
    <x v="0"/>
    <n v="7.4"/>
    <n v="18"/>
    <x v="4"/>
    <x v="2"/>
    <n v="13.99"/>
    <x v="0"/>
    <x v="2"/>
    <n v="2"/>
    <n v="0.39"/>
    <x v="4"/>
  </r>
  <r>
    <s v="53b18dce-bb9a-4e83-a4ab-bfb367144160"/>
    <n v="28"/>
    <x v="0"/>
    <x v="0"/>
    <x v="1"/>
    <n v="3.02"/>
    <n v="4"/>
    <x v="3"/>
    <x v="3"/>
    <n v="17.989999999999998"/>
    <x v="0"/>
    <x v="1"/>
    <n v="2"/>
    <n v="0.6"/>
    <x v="3"/>
  </r>
  <r>
    <s v="9086d806-dcb7-4c64-9714-765f6a0303c6"/>
    <n v="22"/>
    <x v="1"/>
    <x v="0"/>
    <x v="1"/>
    <n v="0.97"/>
    <n v="13"/>
    <x v="5"/>
    <x v="1"/>
    <n v="17.989999999999998"/>
    <x v="1"/>
    <x v="3"/>
    <n v="2"/>
    <n v="7.0000000000000007E-2"/>
    <x v="3"/>
  </r>
  <r>
    <s v="b72d9a7d-7c15-4521-8a90-479596bff39d"/>
    <n v="22"/>
    <x v="1"/>
    <x v="1"/>
    <x v="0"/>
    <n v="46.56"/>
    <n v="3"/>
    <x v="1"/>
    <x v="2"/>
    <n v="13.99"/>
    <x v="0"/>
    <x v="3"/>
    <n v="3"/>
    <n v="11.64"/>
    <x v="1"/>
  </r>
  <r>
    <s v="7f34876f-d31e-4c36-be90-691335b33844"/>
    <n v="22"/>
    <x v="1"/>
    <x v="1"/>
    <x v="0"/>
    <n v="12.77"/>
    <n v="33"/>
    <x v="4"/>
    <x v="3"/>
    <n v="13.99"/>
    <x v="1"/>
    <x v="2"/>
    <n v="2"/>
    <n v="0.38"/>
    <x v="6"/>
  </r>
  <r>
    <s v="139a0e01-29df-48c9-bdad-fa7801585dea"/>
    <n v="31"/>
    <x v="0"/>
    <x v="0"/>
    <x v="0"/>
    <n v="0.96"/>
    <n v="55"/>
    <x v="4"/>
    <x v="1"/>
    <n v="13.99"/>
    <x v="1"/>
    <x v="0"/>
    <n v="3"/>
    <n v="0.02"/>
    <x v="3"/>
  </r>
  <r>
    <s v="51866f33-a26b-4c0e-8aa0-a8d5c11bbfd1"/>
    <n v="30"/>
    <x v="0"/>
    <x v="0"/>
    <x v="2"/>
    <n v="17.02"/>
    <n v="29"/>
    <x v="3"/>
    <x v="3"/>
    <n v="8.99"/>
    <x v="0"/>
    <x v="4"/>
    <n v="3"/>
    <n v="0.56999999999999995"/>
    <x v="1"/>
  </r>
  <r>
    <s v="49ac3b2b-bdf7-499a-8549-1a66ff5934a5"/>
    <n v="22"/>
    <x v="1"/>
    <x v="1"/>
    <x v="1"/>
    <n v="2.61"/>
    <n v="10"/>
    <x v="1"/>
    <x v="0"/>
    <n v="17.989999999999998"/>
    <x v="0"/>
    <x v="3"/>
    <n v="4"/>
    <n v="0.24"/>
    <x v="6"/>
  </r>
  <r>
    <s v="6611dcd9-93b5-4a43-a351-cd9570bd8d8d"/>
    <n v="24"/>
    <x v="1"/>
    <x v="0"/>
    <x v="2"/>
    <n v="7.5"/>
    <n v="4"/>
    <x v="2"/>
    <x v="4"/>
    <n v="8.99"/>
    <x v="0"/>
    <x v="1"/>
    <n v="2"/>
    <n v="1.5"/>
    <x v="4"/>
  </r>
  <r>
    <s v="916a5696-c195-4934-bddc-ef0b43ec800b"/>
    <n v="20"/>
    <x v="1"/>
    <x v="2"/>
    <x v="2"/>
    <n v="0.67"/>
    <n v="59"/>
    <x v="4"/>
    <x v="0"/>
    <n v="8.99"/>
    <x v="1"/>
    <x v="3"/>
    <n v="4"/>
    <n v="0.01"/>
    <x v="2"/>
  </r>
  <r>
    <s v="900f7a72-5fd2-448b-b8fa-a24862c7766f"/>
    <n v="32"/>
    <x v="0"/>
    <x v="2"/>
    <x v="0"/>
    <n v="8.26"/>
    <n v="39"/>
    <x v="0"/>
    <x v="1"/>
    <n v="13.99"/>
    <x v="1"/>
    <x v="4"/>
    <n v="1"/>
    <n v="0.21"/>
    <x v="0"/>
  </r>
  <r>
    <s v="2af0fa44-a495-4ed8-b750-e29f5ae68251"/>
    <n v="24"/>
    <x v="1"/>
    <x v="0"/>
    <x v="0"/>
    <n v="5.56"/>
    <n v="32"/>
    <x v="1"/>
    <x v="1"/>
    <n v="13.99"/>
    <x v="1"/>
    <x v="3"/>
    <n v="1"/>
    <n v="0.17"/>
    <x v="0"/>
  </r>
  <r>
    <s v="cc99892d-23de-44d2-a63f-f8ac9fab69fe"/>
    <n v="27"/>
    <x v="0"/>
    <x v="1"/>
    <x v="2"/>
    <n v="16.36"/>
    <n v="8"/>
    <x v="0"/>
    <x v="0"/>
    <n v="8.99"/>
    <x v="0"/>
    <x v="4"/>
    <n v="1"/>
    <n v="1.82"/>
    <x v="0"/>
  </r>
  <r>
    <s v="478cb287-75dd-4ed3-99f0-bcc5877f308a"/>
    <n v="22"/>
    <x v="1"/>
    <x v="1"/>
    <x v="0"/>
    <n v="5.42"/>
    <n v="1"/>
    <x v="0"/>
    <x v="3"/>
    <n v="13.99"/>
    <x v="0"/>
    <x v="1"/>
    <n v="2"/>
    <n v="2.71"/>
    <x v="3"/>
  </r>
  <r>
    <s v="96e2f6c6-657d-4d48-82c0-b2e87060fe56"/>
    <n v="25"/>
    <x v="0"/>
    <x v="1"/>
    <x v="0"/>
    <n v="6.11"/>
    <n v="0"/>
    <x v="0"/>
    <x v="1"/>
    <n v="13.99"/>
    <x v="0"/>
    <x v="2"/>
    <n v="1"/>
    <n v="6.11"/>
    <x v="0"/>
  </r>
  <r>
    <s v="7c5015d6-cb4d-4738-9d1d-7f49dbee59c4"/>
    <n v="28"/>
    <x v="0"/>
    <x v="0"/>
    <x v="2"/>
    <n v="2.97"/>
    <n v="23"/>
    <x v="1"/>
    <x v="4"/>
    <n v="8.99"/>
    <x v="1"/>
    <x v="2"/>
    <n v="5"/>
    <n v="0.12"/>
    <x v="4"/>
  </r>
  <r>
    <s v="91f223fb-6d17-463e-96e6-dc72621732c3"/>
    <n v="29"/>
    <x v="0"/>
    <x v="0"/>
    <x v="1"/>
    <n v="54.65"/>
    <n v="49"/>
    <x v="3"/>
    <x v="4"/>
    <n v="17.989999999999998"/>
    <x v="0"/>
    <x v="1"/>
    <n v="5"/>
    <n v="1.0900000000000001"/>
    <x v="1"/>
  </r>
  <r>
    <s v="09ff548d-7103-467d-b2bb-e7185dae56c3"/>
    <n v="19"/>
    <x v="1"/>
    <x v="1"/>
    <x v="1"/>
    <n v="7.32"/>
    <n v="39"/>
    <x v="4"/>
    <x v="0"/>
    <n v="17.989999999999998"/>
    <x v="0"/>
    <x v="2"/>
    <n v="4"/>
    <n v="0.18"/>
    <x v="5"/>
  </r>
  <r>
    <s v="72bb60bf-c49d-4cc3-86c2-8cd3f6be1ce5"/>
    <n v="26"/>
    <x v="0"/>
    <x v="2"/>
    <x v="0"/>
    <n v="1.71"/>
    <n v="52"/>
    <x v="3"/>
    <x v="2"/>
    <n v="13.99"/>
    <x v="1"/>
    <x v="2"/>
    <n v="2"/>
    <n v="0.03"/>
    <x v="0"/>
  </r>
  <r>
    <s v="bb486791-58b7-43c1-a079-b5388eb2615a"/>
    <n v="19"/>
    <x v="1"/>
    <x v="2"/>
    <x v="0"/>
    <n v="15.85"/>
    <n v="43"/>
    <x v="5"/>
    <x v="3"/>
    <n v="13.99"/>
    <x v="1"/>
    <x v="4"/>
    <n v="2"/>
    <n v="0.36"/>
    <x v="1"/>
  </r>
  <r>
    <s v="52ff69f9-64ce-456d-a1b9-2494c4b9bdc8"/>
    <n v="18"/>
    <x v="1"/>
    <x v="1"/>
    <x v="0"/>
    <n v="1.62"/>
    <n v="20"/>
    <x v="0"/>
    <x v="2"/>
    <n v="13.99"/>
    <x v="1"/>
    <x v="0"/>
    <n v="1"/>
    <n v="0.08"/>
    <x v="5"/>
  </r>
  <r>
    <s v="c350d5a0-fef7-4281-b752-42162d72bd05"/>
    <n v="33"/>
    <x v="0"/>
    <x v="0"/>
    <x v="1"/>
    <n v="25.15"/>
    <n v="0"/>
    <x v="4"/>
    <x v="0"/>
    <n v="17.989999999999998"/>
    <x v="0"/>
    <x v="0"/>
    <n v="1"/>
    <n v="25.15"/>
    <x v="1"/>
  </r>
  <r>
    <s v="af3557aa-86d0-4ab8-9ea1-28312fef7900"/>
    <n v="19"/>
    <x v="1"/>
    <x v="0"/>
    <x v="2"/>
    <n v="8.01"/>
    <n v="47"/>
    <x v="1"/>
    <x v="4"/>
    <n v="8.99"/>
    <x v="1"/>
    <x v="1"/>
    <n v="2"/>
    <n v="0.17"/>
    <x v="6"/>
  </r>
  <r>
    <s v="d96a205c-59e2-44e0-a5f6-de58c25eb3b1"/>
    <n v="27"/>
    <x v="0"/>
    <x v="0"/>
    <x v="0"/>
    <n v="4.07"/>
    <n v="42"/>
    <x v="4"/>
    <x v="3"/>
    <n v="13.99"/>
    <x v="1"/>
    <x v="0"/>
    <n v="5"/>
    <n v="0.09"/>
    <x v="0"/>
  </r>
  <r>
    <s v="74352c11-1327-4522-b04e-09375d2ae60a"/>
    <n v="25"/>
    <x v="0"/>
    <x v="0"/>
    <x v="1"/>
    <n v="4.43"/>
    <n v="11"/>
    <x v="0"/>
    <x v="0"/>
    <n v="17.989999999999998"/>
    <x v="0"/>
    <x v="2"/>
    <n v="5"/>
    <n v="0.37"/>
    <x v="4"/>
  </r>
  <r>
    <s v="c49e2f08-2711-434a-86ce-a14869024d33"/>
    <n v="25"/>
    <x v="0"/>
    <x v="2"/>
    <x v="2"/>
    <n v="2.39"/>
    <n v="8"/>
    <x v="1"/>
    <x v="1"/>
    <n v="8.99"/>
    <x v="1"/>
    <x v="2"/>
    <n v="1"/>
    <n v="0.27"/>
    <x v="2"/>
  </r>
  <r>
    <s v="ebdb9ce1-02bf-4681-b86c-a11d237ab90b"/>
    <n v="34"/>
    <x v="0"/>
    <x v="1"/>
    <x v="0"/>
    <n v="12.65"/>
    <n v="2"/>
    <x v="2"/>
    <x v="1"/>
    <n v="13.99"/>
    <x v="0"/>
    <x v="1"/>
    <n v="4"/>
    <n v="4.22"/>
    <x v="5"/>
  </r>
  <r>
    <s v="7f79fa2f-18f5-4f95-8b69-b22fc667f4f4"/>
    <n v="24"/>
    <x v="1"/>
    <x v="0"/>
    <x v="2"/>
    <n v="25.78"/>
    <n v="8"/>
    <x v="1"/>
    <x v="1"/>
    <n v="8.99"/>
    <x v="0"/>
    <x v="2"/>
    <n v="3"/>
    <n v="2.86"/>
    <x v="2"/>
  </r>
  <r>
    <s v="ebb4aac9-1770-4e76-be32-0a6990073795"/>
    <n v="28"/>
    <x v="0"/>
    <x v="2"/>
    <x v="2"/>
    <n v="29.12"/>
    <n v="31"/>
    <x v="3"/>
    <x v="4"/>
    <n v="8.99"/>
    <x v="0"/>
    <x v="3"/>
    <n v="4"/>
    <n v="0.91"/>
    <x v="5"/>
  </r>
  <r>
    <s v="b82b1e9c-2120-4d5d-ab97-6d871eded035"/>
    <n v="20"/>
    <x v="1"/>
    <x v="1"/>
    <x v="1"/>
    <n v="11.58"/>
    <n v="44"/>
    <x v="3"/>
    <x v="1"/>
    <n v="17.989999999999998"/>
    <x v="1"/>
    <x v="0"/>
    <n v="4"/>
    <n v="0.26"/>
    <x v="0"/>
  </r>
  <r>
    <s v="6800590b-a6fe-40ed-81d1-201693007a0a"/>
    <n v="24"/>
    <x v="1"/>
    <x v="1"/>
    <x v="0"/>
    <n v="40.81"/>
    <n v="40"/>
    <x v="1"/>
    <x v="1"/>
    <n v="13.99"/>
    <x v="0"/>
    <x v="1"/>
    <n v="4"/>
    <n v="1"/>
    <x v="3"/>
  </r>
  <r>
    <s v="047cacb4-85d1-4fb9-82ef-e68ce12afd11"/>
    <n v="26"/>
    <x v="0"/>
    <x v="0"/>
    <x v="0"/>
    <n v="1.84"/>
    <n v="15"/>
    <x v="0"/>
    <x v="2"/>
    <n v="13.99"/>
    <x v="1"/>
    <x v="4"/>
    <n v="5"/>
    <n v="0.12"/>
    <x v="3"/>
  </r>
  <r>
    <s v="adf86f47-e169-492e-9ec6-d2fed5212796"/>
    <n v="25"/>
    <x v="0"/>
    <x v="0"/>
    <x v="2"/>
    <n v="23.19"/>
    <n v="59"/>
    <x v="4"/>
    <x v="3"/>
    <n v="8.99"/>
    <x v="0"/>
    <x v="1"/>
    <n v="5"/>
    <n v="0.39"/>
    <x v="6"/>
  </r>
  <r>
    <s v="a2ac0be9-2264-4582-9d74-96dcc0c869f8"/>
    <n v="29"/>
    <x v="0"/>
    <x v="2"/>
    <x v="1"/>
    <n v="12.32"/>
    <n v="49"/>
    <x v="0"/>
    <x v="2"/>
    <n v="17.989999999999998"/>
    <x v="0"/>
    <x v="3"/>
    <n v="5"/>
    <n v="0.25"/>
    <x v="2"/>
  </r>
  <r>
    <s v="2bb0265f-8add-4083-aed9-1e94748be77b"/>
    <n v="27"/>
    <x v="0"/>
    <x v="1"/>
    <x v="1"/>
    <n v="0.69"/>
    <n v="39"/>
    <x v="2"/>
    <x v="1"/>
    <n v="17.989999999999998"/>
    <x v="1"/>
    <x v="1"/>
    <n v="5"/>
    <n v="0.02"/>
    <x v="6"/>
  </r>
  <r>
    <s v="3e46a9e8-ebcc-4569-b534-d1beeb525aa5"/>
    <n v="33"/>
    <x v="0"/>
    <x v="1"/>
    <x v="1"/>
    <n v="25.28"/>
    <n v="32"/>
    <x v="0"/>
    <x v="1"/>
    <n v="17.989999999999998"/>
    <x v="0"/>
    <x v="1"/>
    <n v="3"/>
    <n v="0.77"/>
    <x v="6"/>
  </r>
  <r>
    <s v="6175ecf8-a860-463c-90e5-277f36609637"/>
    <n v="22"/>
    <x v="1"/>
    <x v="1"/>
    <x v="1"/>
    <n v="13.68"/>
    <n v="48"/>
    <x v="4"/>
    <x v="0"/>
    <n v="17.989999999999998"/>
    <x v="1"/>
    <x v="3"/>
    <n v="3"/>
    <n v="0.28000000000000003"/>
    <x v="1"/>
  </r>
  <r>
    <s v="3860d316-c068-488e-84ff-747868b9365f"/>
    <n v="20"/>
    <x v="1"/>
    <x v="1"/>
    <x v="1"/>
    <n v="9.24"/>
    <n v="33"/>
    <x v="4"/>
    <x v="0"/>
    <n v="17.989999999999998"/>
    <x v="1"/>
    <x v="4"/>
    <n v="5"/>
    <n v="0.27"/>
    <x v="0"/>
  </r>
  <r>
    <s v="48a57226-1b00-4e56-b555-2cf66bc4b9a7"/>
    <n v="23"/>
    <x v="1"/>
    <x v="2"/>
    <x v="0"/>
    <n v="4.46"/>
    <n v="24"/>
    <x v="3"/>
    <x v="2"/>
    <n v="13.99"/>
    <x v="1"/>
    <x v="4"/>
    <n v="3"/>
    <n v="0.18"/>
    <x v="5"/>
  </r>
  <r>
    <s v="50693056-61ef-4ad9-977c-6eaeb1ec5f72"/>
    <n v="24"/>
    <x v="1"/>
    <x v="0"/>
    <x v="1"/>
    <n v="9.94"/>
    <n v="34"/>
    <x v="4"/>
    <x v="1"/>
    <n v="17.989999999999998"/>
    <x v="1"/>
    <x v="2"/>
    <n v="2"/>
    <n v="0.28000000000000003"/>
    <x v="0"/>
  </r>
  <r>
    <s v="afa322d5-a185-42a6-8cc2-76bcd432403e"/>
    <n v="29"/>
    <x v="0"/>
    <x v="0"/>
    <x v="1"/>
    <n v="1.22"/>
    <n v="25"/>
    <x v="0"/>
    <x v="1"/>
    <n v="17.989999999999998"/>
    <x v="0"/>
    <x v="3"/>
    <n v="5"/>
    <n v="0.05"/>
    <x v="1"/>
  </r>
  <r>
    <s v="aa982946-1b7d-4315-8b81-9b19bb6cc8c8"/>
    <n v="34"/>
    <x v="0"/>
    <x v="1"/>
    <x v="0"/>
    <n v="6.49"/>
    <n v="6"/>
    <x v="2"/>
    <x v="2"/>
    <n v="13.99"/>
    <x v="0"/>
    <x v="2"/>
    <n v="1"/>
    <n v="0.93"/>
    <x v="1"/>
  </r>
  <r>
    <s v="3382730c-46bb-40d1-92de-55f346dda22a"/>
    <n v="26"/>
    <x v="0"/>
    <x v="2"/>
    <x v="1"/>
    <n v="3.24"/>
    <n v="57"/>
    <x v="1"/>
    <x v="4"/>
    <n v="17.989999999999998"/>
    <x v="1"/>
    <x v="3"/>
    <n v="3"/>
    <n v="0.06"/>
    <x v="6"/>
  </r>
  <r>
    <s v="7ee9fa15-81b6-4b1b-a841-eec8b03d8b1e"/>
    <n v="29"/>
    <x v="0"/>
    <x v="2"/>
    <x v="2"/>
    <n v="24.18"/>
    <n v="59"/>
    <x v="3"/>
    <x v="1"/>
    <n v="8.99"/>
    <x v="1"/>
    <x v="2"/>
    <n v="1"/>
    <n v="0.4"/>
    <x v="5"/>
  </r>
  <r>
    <s v="babe5601-7e34-47ad-bcb1-0ab32ede5cef"/>
    <n v="20"/>
    <x v="1"/>
    <x v="2"/>
    <x v="0"/>
    <n v="7.19"/>
    <n v="26"/>
    <x v="4"/>
    <x v="0"/>
    <n v="13.99"/>
    <x v="0"/>
    <x v="3"/>
    <n v="4"/>
    <n v="0.27"/>
    <x v="3"/>
  </r>
  <r>
    <s v="f28413c0-e4fb-4469-a595-c23e39036e09"/>
    <n v="18"/>
    <x v="1"/>
    <x v="1"/>
    <x v="2"/>
    <n v="2.75"/>
    <n v="43"/>
    <x v="5"/>
    <x v="1"/>
    <n v="8.99"/>
    <x v="1"/>
    <x v="4"/>
    <n v="5"/>
    <n v="0.06"/>
    <x v="4"/>
  </r>
  <r>
    <s v="a62473b8-5d94-4b05-a6b5-bddfa59478c6"/>
    <n v="28"/>
    <x v="0"/>
    <x v="0"/>
    <x v="0"/>
    <n v="4.67"/>
    <n v="5"/>
    <x v="5"/>
    <x v="2"/>
    <n v="13.99"/>
    <x v="0"/>
    <x v="0"/>
    <n v="2"/>
    <n v="0.78"/>
    <x v="0"/>
  </r>
  <r>
    <s v="395e2c15-2abb-4a29-8f8c-06118a5539e2"/>
    <n v="19"/>
    <x v="1"/>
    <x v="0"/>
    <x v="0"/>
    <n v="3.36"/>
    <n v="27"/>
    <x v="4"/>
    <x v="1"/>
    <n v="13.99"/>
    <x v="1"/>
    <x v="1"/>
    <n v="1"/>
    <n v="0.12"/>
    <x v="3"/>
  </r>
  <r>
    <s v="4d040be6-2b36-4f59-ba9c-b92c8c683a5f"/>
    <n v="34"/>
    <x v="0"/>
    <x v="2"/>
    <x v="2"/>
    <n v="53.98"/>
    <n v="10"/>
    <x v="4"/>
    <x v="4"/>
    <n v="8.99"/>
    <x v="0"/>
    <x v="0"/>
    <n v="5"/>
    <n v="4.91"/>
    <x v="5"/>
  </r>
  <r>
    <s v="d74666ec-7b7b-4f1a-8776-0a17a1152f47"/>
    <n v="21"/>
    <x v="1"/>
    <x v="2"/>
    <x v="2"/>
    <n v="23.95"/>
    <n v="50"/>
    <x v="4"/>
    <x v="1"/>
    <n v="8.99"/>
    <x v="1"/>
    <x v="1"/>
    <n v="3"/>
    <n v="0.47"/>
    <x v="6"/>
  </r>
  <r>
    <s v="0f22beb8-1281-4aca-bfaa-17235c7fb5d5"/>
    <n v="21"/>
    <x v="1"/>
    <x v="2"/>
    <x v="2"/>
    <n v="11.85"/>
    <n v="34"/>
    <x v="5"/>
    <x v="2"/>
    <n v="8.99"/>
    <x v="1"/>
    <x v="2"/>
    <n v="4"/>
    <n v="0.34"/>
    <x v="0"/>
  </r>
  <r>
    <s v="5f41a538-a9ef-457b-8022-57fd9cebc8d4"/>
    <n v="28"/>
    <x v="0"/>
    <x v="2"/>
    <x v="1"/>
    <n v="49.34"/>
    <n v="31"/>
    <x v="5"/>
    <x v="0"/>
    <n v="17.989999999999998"/>
    <x v="0"/>
    <x v="4"/>
    <n v="1"/>
    <n v="1.54"/>
    <x v="2"/>
  </r>
  <r>
    <s v="6c75691c-3ea5-49b5-92a9-894b2bd420be"/>
    <n v="24"/>
    <x v="1"/>
    <x v="2"/>
    <x v="2"/>
    <n v="1.68"/>
    <n v="1"/>
    <x v="4"/>
    <x v="1"/>
    <n v="8.99"/>
    <x v="1"/>
    <x v="2"/>
    <n v="1"/>
    <n v="0.84"/>
    <x v="6"/>
  </r>
  <r>
    <s v="286d0a50-0c08-4d40-b50a-38cfbdc3b8fb"/>
    <n v="34"/>
    <x v="0"/>
    <x v="0"/>
    <x v="1"/>
    <n v="1.58"/>
    <n v="7"/>
    <x v="5"/>
    <x v="0"/>
    <n v="17.989999999999998"/>
    <x v="1"/>
    <x v="4"/>
    <n v="1"/>
    <n v="0.2"/>
    <x v="1"/>
  </r>
  <r>
    <s v="178d73ec-7742-4f67-894c-2fe27601cf8b"/>
    <n v="29"/>
    <x v="0"/>
    <x v="2"/>
    <x v="1"/>
    <n v="16.420000000000002"/>
    <n v="4"/>
    <x v="5"/>
    <x v="4"/>
    <n v="17.989999999999998"/>
    <x v="0"/>
    <x v="2"/>
    <n v="3"/>
    <n v="3.28"/>
    <x v="0"/>
  </r>
  <r>
    <s v="0eeed5d2-c02e-4f29-bfc4-85a0f21bed79"/>
    <n v="18"/>
    <x v="1"/>
    <x v="0"/>
    <x v="1"/>
    <n v="0.17"/>
    <n v="16"/>
    <x v="4"/>
    <x v="3"/>
    <n v="17.989999999999998"/>
    <x v="0"/>
    <x v="1"/>
    <n v="5"/>
    <n v="0.01"/>
    <x v="2"/>
  </r>
  <r>
    <s v="99f7b4c6-5aea-49ad-b746-6e145c979d52"/>
    <n v="20"/>
    <x v="1"/>
    <x v="2"/>
    <x v="2"/>
    <n v="1.98"/>
    <n v="45"/>
    <x v="4"/>
    <x v="3"/>
    <n v="8.99"/>
    <x v="1"/>
    <x v="3"/>
    <n v="4"/>
    <n v="0.04"/>
    <x v="4"/>
  </r>
  <r>
    <s v="dd11f0f0-3644-48e2-b20c-bca7038b3028"/>
    <n v="27"/>
    <x v="0"/>
    <x v="0"/>
    <x v="2"/>
    <n v="7.37"/>
    <n v="15"/>
    <x v="4"/>
    <x v="0"/>
    <n v="8.99"/>
    <x v="0"/>
    <x v="3"/>
    <n v="2"/>
    <n v="0.46"/>
    <x v="5"/>
  </r>
  <r>
    <s v="a31f2dc4-a9a6-4a19-80d9-8dabb6a104e0"/>
    <n v="26"/>
    <x v="0"/>
    <x v="1"/>
    <x v="2"/>
    <n v="12.57"/>
    <n v="30"/>
    <x v="0"/>
    <x v="2"/>
    <n v="8.99"/>
    <x v="1"/>
    <x v="4"/>
    <n v="3"/>
    <n v="0.41"/>
    <x v="3"/>
  </r>
  <r>
    <s v="76a4093f-a297-45cf-a672-8c52d4743545"/>
    <n v="25"/>
    <x v="0"/>
    <x v="1"/>
    <x v="1"/>
    <n v="12.4"/>
    <n v="57"/>
    <x v="0"/>
    <x v="2"/>
    <n v="17.989999999999998"/>
    <x v="1"/>
    <x v="4"/>
    <n v="5"/>
    <n v="0.21"/>
    <x v="3"/>
  </r>
  <r>
    <s v="43e26139-b60e-4374-99a0-4e6c798438de"/>
    <n v="21"/>
    <x v="1"/>
    <x v="2"/>
    <x v="0"/>
    <n v="12.25"/>
    <n v="13"/>
    <x v="1"/>
    <x v="0"/>
    <n v="13.99"/>
    <x v="0"/>
    <x v="2"/>
    <n v="1"/>
    <n v="0.88"/>
    <x v="3"/>
  </r>
  <r>
    <s v="f80ed925-6951-4cf0-8372-8424d7b6af02"/>
    <n v="26"/>
    <x v="0"/>
    <x v="1"/>
    <x v="2"/>
    <n v="12.29"/>
    <n v="31"/>
    <x v="0"/>
    <x v="4"/>
    <n v="8.99"/>
    <x v="1"/>
    <x v="4"/>
    <n v="3"/>
    <n v="0.38"/>
    <x v="3"/>
  </r>
  <r>
    <s v="bad8a04e-c0c9-4084-b4b7-069072424e68"/>
    <n v="33"/>
    <x v="0"/>
    <x v="0"/>
    <x v="0"/>
    <n v="27.72"/>
    <n v="42"/>
    <x v="1"/>
    <x v="2"/>
    <n v="13.99"/>
    <x v="0"/>
    <x v="1"/>
    <n v="4"/>
    <n v="0.64"/>
    <x v="3"/>
  </r>
  <r>
    <s v="b4cc7509-0f49-4213-82c3-be547ead38e7"/>
    <n v="29"/>
    <x v="0"/>
    <x v="1"/>
    <x v="2"/>
    <n v="13.77"/>
    <n v="24"/>
    <x v="3"/>
    <x v="2"/>
    <n v="8.99"/>
    <x v="0"/>
    <x v="1"/>
    <n v="4"/>
    <n v="0.55000000000000004"/>
    <x v="0"/>
  </r>
  <r>
    <s v="e02106ca-0101-4adc-963b-9bdfc6e6877c"/>
    <n v="20"/>
    <x v="1"/>
    <x v="2"/>
    <x v="2"/>
    <n v="17.03"/>
    <n v="47"/>
    <x v="1"/>
    <x v="2"/>
    <n v="8.99"/>
    <x v="1"/>
    <x v="2"/>
    <n v="2"/>
    <n v="0.35"/>
    <x v="5"/>
  </r>
  <r>
    <s v="0194ee30-cde8-47fd-9568-22e20b2c80dc"/>
    <n v="28"/>
    <x v="0"/>
    <x v="0"/>
    <x v="2"/>
    <n v="12.82"/>
    <n v="47"/>
    <x v="4"/>
    <x v="4"/>
    <n v="8.99"/>
    <x v="1"/>
    <x v="2"/>
    <n v="1"/>
    <n v="0.27"/>
    <x v="3"/>
  </r>
  <r>
    <s v="0146854f-d5a1-4ee7-a28c-69b5af885934"/>
    <n v="26"/>
    <x v="0"/>
    <x v="0"/>
    <x v="0"/>
    <n v="3.82"/>
    <n v="14"/>
    <x v="2"/>
    <x v="0"/>
    <n v="13.99"/>
    <x v="1"/>
    <x v="0"/>
    <n v="2"/>
    <n v="0.25"/>
    <x v="0"/>
  </r>
  <r>
    <s v="534f289f-35c5-4314-973b-1b0c9ed473db"/>
    <n v="23"/>
    <x v="1"/>
    <x v="2"/>
    <x v="2"/>
    <n v="4.6399999999999997"/>
    <n v="55"/>
    <x v="1"/>
    <x v="0"/>
    <n v="8.99"/>
    <x v="1"/>
    <x v="2"/>
    <n v="1"/>
    <n v="0.08"/>
    <x v="5"/>
  </r>
  <r>
    <s v="51fad2bb-5e3b-45bc-8424-6e7331d255ae"/>
    <n v="23"/>
    <x v="1"/>
    <x v="0"/>
    <x v="2"/>
    <n v="8.26"/>
    <n v="33"/>
    <x v="1"/>
    <x v="3"/>
    <n v="8.99"/>
    <x v="1"/>
    <x v="4"/>
    <n v="5"/>
    <n v="0.24"/>
    <x v="2"/>
  </r>
  <r>
    <s v="7b770d53-7ea7-4ad9-9fa9-17d09f8e857c"/>
    <n v="34"/>
    <x v="0"/>
    <x v="1"/>
    <x v="1"/>
    <n v="35.200000000000003"/>
    <n v="14"/>
    <x v="1"/>
    <x v="4"/>
    <n v="17.989999999999998"/>
    <x v="0"/>
    <x v="0"/>
    <n v="3"/>
    <n v="2.35"/>
    <x v="4"/>
  </r>
  <r>
    <s v="27bb1f44-8d9c-4424-a509-1510f95fa759"/>
    <n v="24"/>
    <x v="1"/>
    <x v="1"/>
    <x v="0"/>
    <n v="10.67"/>
    <n v="28"/>
    <x v="0"/>
    <x v="4"/>
    <n v="13.99"/>
    <x v="0"/>
    <x v="3"/>
    <n v="1"/>
    <n v="0.37"/>
    <x v="2"/>
  </r>
  <r>
    <s v="473f971c-2a0c-48c2-aaaf-b4cdfca5aff3"/>
    <n v="33"/>
    <x v="0"/>
    <x v="0"/>
    <x v="0"/>
    <n v="18.329999999999998"/>
    <n v="48"/>
    <x v="5"/>
    <x v="2"/>
    <n v="13.99"/>
    <x v="1"/>
    <x v="1"/>
    <n v="1"/>
    <n v="0.37"/>
    <x v="1"/>
  </r>
  <r>
    <s v="bb0b842b-0a9e-4351-8f7c-89365dde8a9d"/>
    <n v="20"/>
    <x v="1"/>
    <x v="1"/>
    <x v="2"/>
    <n v="15.54"/>
    <n v="24"/>
    <x v="0"/>
    <x v="3"/>
    <n v="8.99"/>
    <x v="0"/>
    <x v="1"/>
    <n v="3"/>
    <n v="0.62"/>
    <x v="6"/>
  </r>
  <r>
    <s v="8c0c7d2b-cefb-48b1-a633-c1c84c36c057"/>
    <n v="20"/>
    <x v="1"/>
    <x v="0"/>
    <x v="2"/>
    <n v="10.28"/>
    <n v="43"/>
    <x v="2"/>
    <x v="1"/>
    <n v="8.99"/>
    <x v="1"/>
    <x v="3"/>
    <n v="2"/>
    <n v="0.23"/>
    <x v="3"/>
  </r>
  <r>
    <s v="64485bba-7db6-4f9a-a22b-5cfec1cd2ee2"/>
    <n v="33"/>
    <x v="0"/>
    <x v="0"/>
    <x v="1"/>
    <n v="2.2000000000000002"/>
    <n v="40"/>
    <x v="2"/>
    <x v="3"/>
    <n v="17.989999999999998"/>
    <x v="1"/>
    <x v="4"/>
    <n v="4"/>
    <n v="0.05"/>
    <x v="5"/>
  </r>
  <r>
    <s v="e674d937-9114-4f7c-887a-1cd491c643c6"/>
    <n v="30"/>
    <x v="0"/>
    <x v="1"/>
    <x v="2"/>
    <n v="0.52"/>
    <n v="4"/>
    <x v="0"/>
    <x v="0"/>
    <n v="8.99"/>
    <x v="1"/>
    <x v="3"/>
    <n v="2"/>
    <n v="0.1"/>
    <x v="6"/>
  </r>
  <r>
    <s v="25ca4e8b-4fed-408f-9f94-607529cdd07b"/>
    <n v="24"/>
    <x v="1"/>
    <x v="0"/>
    <x v="2"/>
    <n v="6.73"/>
    <n v="16"/>
    <x v="3"/>
    <x v="2"/>
    <n v="8.99"/>
    <x v="0"/>
    <x v="0"/>
    <n v="4"/>
    <n v="0.4"/>
    <x v="1"/>
  </r>
  <r>
    <s v="5f9af2fd-06c8-4c9e-b327-4830dab0361d"/>
    <n v="24"/>
    <x v="1"/>
    <x v="1"/>
    <x v="0"/>
    <n v="21.53"/>
    <n v="57"/>
    <x v="4"/>
    <x v="4"/>
    <n v="13.99"/>
    <x v="0"/>
    <x v="0"/>
    <n v="3"/>
    <n v="0.37"/>
    <x v="0"/>
  </r>
  <r>
    <s v="60dadbe4-fa7a-4c2d-a577-69aed385c0d0"/>
    <n v="24"/>
    <x v="1"/>
    <x v="2"/>
    <x v="0"/>
    <n v="7.75"/>
    <n v="29"/>
    <x v="1"/>
    <x v="4"/>
    <n v="13.99"/>
    <x v="0"/>
    <x v="1"/>
    <n v="5"/>
    <n v="0.26"/>
    <x v="2"/>
  </r>
  <r>
    <s v="aeef9f76-67de-4dc1-ae73-8f625fe165cd"/>
    <n v="28"/>
    <x v="0"/>
    <x v="1"/>
    <x v="1"/>
    <n v="6.79"/>
    <n v="54"/>
    <x v="5"/>
    <x v="4"/>
    <n v="17.989999999999998"/>
    <x v="1"/>
    <x v="3"/>
    <n v="1"/>
    <n v="0.12"/>
    <x v="2"/>
  </r>
  <r>
    <s v="6adc1db8-fe9f-4bec-9cb1-018123ce1b08"/>
    <n v="29"/>
    <x v="0"/>
    <x v="2"/>
    <x v="1"/>
    <n v="21.53"/>
    <n v="36"/>
    <x v="3"/>
    <x v="0"/>
    <n v="17.989999999999998"/>
    <x v="0"/>
    <x v="2"/>
    <n v="5"/>
    <n v="0.57999999999999996"/>
    <x v="6"/>
  </r>
  <r>
    <s v="a3a126f7-1a28-4a66-9a60-6a60f8411e89"/>
    <n v="23"/>
    <x v="1"/>
    <x v="0"/>
    <x v="0"/>
    <n v="2.2799999999999998"/>
    <n v="46"/>
    <x v="5"/>
    <x v="4"/>
    <n v="13.99"/>
    <x v="1"/>
    <x v="3"/>
    <n v="1"/>
    <n v="0.05"/>
    <x v="2"/>
  </r>
  <r>
    <s v="83cc815b-5d92-4695-a2a2-dacb964e209f"/>
    <n v="25"/>
    <x v="0"/>
    <x v="2"/>
    <x v="2"/>
    <n v="6.05"/>
    <n v="60"/>
    <x v="4"/>
    <x v="2"/>
    <n v="8.99"/>
    <x v="1"/>
    <x v="1"/>
    <n v="3"/>
    <n v="0.1"/>
    <x v="6"/>
  </r>
  <r>
    <s v="b8f85415-9ec9-4b9b-be60-a88f1b6ecbdd"/>
    <n v="23"/>
    <x v="1"/>
    <x v="1"/>
    <x v="2"/>
    <n v="4.01"/>
    <n v="27"/>
    <x v="0"/>
    <x v="4"/>
    <n v="8.99"/>
    <x v="1"/>
    <x v="0"/>
    <n v="2"/>
    <n v="0.14000000000000001"/>
    <x v="4"/>
  </r>
  <r>
    <s v="c3f8acfa-5b6c-4778-994d-0b27b839f52e"/>
    <n v="27"/>
    <x v="0"/>
    <x v="0"/>
    <x v="1"/>
    <n v="6.01"/>
    <n v="5"/>
    <x v="1"/>
    <x v="2"/>
    <n v="17.989999999999998"/>
    <x v="0"/>
    <x v="4"/>
    <n v="1"/>
    <n v="1"/>
    <x v="2"/>
  </r>
  <r>
    <s v="c6028128-8d31-4b45-90a7-4422386e8649"/>
    <n v="28"/>
    <x v="0"/>
    <x v="2"/>
    <x v="1"/>
    <n v="5.32"/>
    <n v="25"/>
    <x v="3"/>
    <x v="1"/>
    <n v="17.989999999999998"/>
    <x v="0"/>
    <x v="1"/>
    <n v="4"/>
    <n v="0.2"/>
    <x v="2"/>
  </r>
  <r>
    <s v="fa639f8f-0453-46e1-93c3-ed22f0d0dff9"/>
    <n v="22"/>
    <x v="1"/>
    <x v="0"/>
    <x v="2"/>
    <n v="5.42"/>
    <n v="0"/>
    <x v="3"/>
    <x v="3"/>
    <n v="8.99"/>
    <x v="0"/>
    <x v="3"/>
    <n v="1"/>
    <n v="5.42"/>
    <x v="3"/>
  </r>
  <r>
    <s v="91c78112-b9eb-48ad-9fca-29f6197be2d7"/>
    <n v="21"/>
    <x v="1"/>
    <x v="1"/>
    <x v="0"/>
    <n v="8.08"/>
    <n v="16"/>
    <x v="5"/>
    <x v="1"/>
    <n v="13.99"/>
    <x v="0"/>
    <x v="0"/>
    <n v="4"/>
    <n v="0.48"/>
    <x v="3"/>
  </r>
  <r>
    <s v="d5ebd5d0-4ce3-4120-9c8a-d01de6e00ba5"/>
    <n v="28"/>
    <x v="0"/>
    <x v="2"/>
    <x v="0"/>
    <n v="2.6"/>
    <n v="45"/>
    <x v="1"/>
    <x v="1"/>
    <n v="13.99"/>
    <x v="1"/>
    <x v="2"/>
    <n v="2"/>
    <n v="0.06"/>
    <x v="6"/>
  </r>
  <r>
    <s v="e2fa23ce-0f5d-44a2-8cec-b14660947d11"/>
    <n v="25"/>
    <x v="0"/>
    <x v="0"/>
    <x v="0"/>
    <n v="3.17"/>
    <n v="32"/>
    <x v="1"/>
    <x v="3"/>
    <n v="13.99"/>
    <x v="1"/>
    <x v="1"/>
    <n v="5"/>
    <n v="0.1"/>
    <x v="5"/>
  </r>
  <r>
    <s v="a28580ec-90be-4f6d-ab87-619d8f0679b0"/>
    <n v="19"/>
    <x v="1"/>
    <x v="1"/>
    <x v="0"/>
    <n v="3.16"/>
    <n v="43"/>
    <x v="5"/>
    <x v="2"/>
    <n v="13.99"/>
    <x v="1"/>
    <x v="4"/>
    <n v="1"/>
    <n v="7.0000000000000007E-2"/>
    <x v="2"/>
  </r>
  <r>
    <s v="d9a89da8-9188-4be1-9fa4-6ff8394bce3a"/>
    <n v="25"/>
    <x v="0"/>
    <x v="0"/>
    <x v="1"/>
    <n v="0.64"/>
    <n v="32"/>
    <x v="0"/>
    <x v="1"/>
    <n v="17.989999999999998"/>
    <x v="1"/>
    <x v="4"/>
    <n v="4"/>
    <n v="0.02"/>
    <x v="4"/>
  </r>
  <r>
    <s v="384e7ce5-f382-45e9-91da-8d4e24b9a392"/>
    <n v="31"/>
    <x v="0"/>
    <x v="0"/>
    <x v="1"/>
    <n v="20.73"/>
    <n v="60"/>
    <x v="2"/>
    <x v="4"/>
    <n v="17.989999999999998"/>
    <x v="0"/>
    <x v="4"/>
    <n v="4"/>
    <n v="0.34"/>
    <x v="6"/>
  </r>
  <r>
    <s v="2a70df84-b707-4ccb-b3ac-56b6ccc32347"/>
    <n v="26"/>
    <x v="0"/>
    <x v="0"/>
    <x v="1"/>
    <n v="7.33"/>
    <n v="30"/>
    <x v="5"/>
    <x v="1"/>
    <n v="17.989999999999998"/>
    <x v="0"/>
    <x v="4"/>
    <n v="1"/>
    <n v="0.24"/>
    <x v="6"/>
  </r>
  <r>
    <s v="8372f52f-257c-4f58-ae67-dfa618516600"/>
    <n v="32"/>
    <x v="0"/>
    <x v="1"/>
    <x v="2"/>
    <n v="1.96"/>
    <n v="49"/>
    <x v="4"/>
    <x v="1"/>
    <n v="8.99"/>
    <x v="1"/>
    <x v="3"/>
    <n v="4"/>
    <n v="0.04"/>
    <x v="5"/>
  </r>
  <r>
    <s v="d6ad8dcd-7d77-4c28-8a3b-fe698c0f7794"/>
    <n v="32"/>
    <x v="0"/>
    <x v="2"/>
    <x v="2"/>
    <n v="8.25"/>
    <n v="59"/>
    <x v="3"/>
    <x v="0"/>
    <n v="8.99"/>
    <x v="1"/>
    <x v="3"/>
    <n v="4"/>
    <n v="0.14000000000000001"/>
    <x v="3"/>
  </r>
  <r>
    <s v="c51c0139-d70e-4eb5-89a0-fb7553e33b4a"/>
    <n v="32"/>
    <x v="0"/>
    <x v="1"/>
    <x v="1"/>
    <n v="14"/>
    <n v="44"/>
    <x v="1"/>
    <x v="1"/>
    <n v="17.989999999999998"/>
    <x v="1"/>
    <x v="1"/>
    <n v="1"/>
    <n v="0.31"/>
    <x v="6"/>
  </r>
  <r>
    <s v="4ce5cf41-1115-4423-ad64-807b0d57c5d7"/>
    <n v="24"/>
    <x v="1"/>
    <x v="1"/>
    <x v="0"/>
    <n v="18.29"/>
    <n v="52"/>
    <x v="4"/>
    <x v="4"/>
    <n v="13.99"/>
    <x v="0"/>
    <x v="3"/>
    <n v="4"/>
    <n v="0.35"/>
    <x v="1"/>
  </r>
  <r>
    <s v="f332b1a7-8ece-44df-8237-bbc843e979b5"/>
    <n v="21"/>
    <x v="1"/>
    <x v="0"/>
    <x v="0"/>
    <n v="0.74"/>
    <n v="16"/>
    <x v="0"/>
    <x v="3"/>
    <n v="13.99"/>
    <x v="0"/>
    <x v="2"/>
    <n v="5"/>
    <n v="0.04"/>
    <x v="4"/>
  </r>
  <r>
    <s v="9a31b543-8464-42d2-ab0b-4d9568ebe947"/>
    <n v="26"/>
    <x v="0"/>
    <x v="1"/>
    <x v="1"/>
    <n v="3.77"/>
    <n v="52"/>
    <x v="3"/>
    <x v="0"/>
    <n v="17.989999999999998"/>
    <x v="1"/>
    <x v="0"/>
    <n v="4"/>
    <n v="7.0000000000000007E-2"/>
    <x v="1"/>
  </r>
  <r>
    <s v="94520f48-96a9-4b36-a6ee-5cfd9ec9143b"/>
    <n v="18"/>
    <x v="1"/>
    <x v="1"/>
    <x v="2"/>
    <n v="0.67"/>
    <n v="11"/>
    <x v="0"/>
    <x v="1"/>
    <n v="8.99"/>
    <x v="1"/>
    <x v="4"/>
    <n v="4"/>
    <n v="0.06"/>
    <x v="5"/>
  </r>
  <r>
    <s v="f258f8f6-080b-4ef1-8884-c508456b9694"/>
    <n v="29"/>
    <x v="0"/>
    <x v="2"/>
    <x v="1"/>
    <n v="9.2200000000000006"/>
    <n v="6"/>
    <x v="2"/>
    <x v="1"/>
    <n v="17.989999999999998"/>
    <x v="0"/>
    <x v="1"/>
    <n v="4"/>
    <n v="1.32"/>
    <x v="0"/>
  </r>
  <r>
    <s v="1c44e21b-8dc4-4deb-b0a5-67556fbdf4a2"/>
    <n v="24"/>
    <x v="1"/>
    <x v="1"/>
    <x v="1"/>
    <n v="18.309999999999999"/>
    <n v="45"/>
    <x v="4"/>
    <x v="1"/>
    <n v="17.989999999999998"/>
    <x v="1"/>
    <x v="1"/>
    <n v="1"/>
    <n v="0.4"/>
    <x v="6"/>
  </r>
  <r>
    <s v="7dab1ac1-07b0-43d7-a665-63d71f903c49"/>
    <n v="28"/>
    <x v="0"/>
    <x v="0"/>
    <x v="2"/>
    <n v="46.68"/>
    <n v="10"/>
    <x v="0"/>
    <x v="3"/>
    <n v="8.99"/>
    <x v="0"/>
    <x v="3"/>
    <n v="1"/>
    <n v="4.24"/>
    <x v="6"/>
  </r>
  <r>
    <s v="d7fe9858-9131-4293-9ab0-88f6275949f8"/>
    <n v="26"/>
    <x v="0"/>
    <x v="2"/>
    <x v="2"/>
    <n v="30.34"/>
    <n v="42"/>
    <x v="0"/>
    <x v="1"/>
    <n v="8.99"/>
    <x v="0"/>
    <x v="2"/>
    <n v="5"/>
    <n v="0.71"/>
    <x v="2"/>
  </r>
  <r>
    <s v="3f1a1195-8bb2-439e-8b0b-09b02dacda0d"/>
    <n v="30"/>
    <x v="0"/>
    <x v="0"/>
    <x v="0"/>
    <n v="8.01"/>
    <n v="40"/>
    <x v="0"/>
    <x v="1"/>
    <n v="13.99"/>
    <x v="1"/>
    <x v="0"/>
    <n v="2"/>
    <n v="0.2"/>
    <x v="4"/>
  </r>
  <r>
    <s v="861019e6-124d-4a7b-8c20-0ea5f85f4b04"/>
    <n v="18"/>
    <x v="1"/>
    <x v="0"/>
    <x v="2"/>
    <n v="20.25"/>
    <n v="9"/>
    <x v="2"/>
    <x v="4"/>
    <n v="8.99"/>
    <x v="0"/>
    <x v="4"/>
    <n v="3"/>
    <n v="2.02"/>
    <x v="4"/>
  </r>
  <r>
    <s v="0caa27d1-1f18-4fa5-97ce-a1656248d78e"/>
    <n v="20"/>
    <x v="1"/>
    <x v="1"/>
    <x v="0"/>
    <n v="18.309999999999999"/>
    <n v="41"/>
    <x v="5"/>
    <x v="1"/>
    <n v="13.99"/>
    <x v="1"/>
    <x v="2"/>
    <n v="1"/>
    <n v="0.44"/>
    <x v="4"/>
  </r>
  <r>
    <s v="9e919388-ff51-4cf3-a822-a64ebac6a825"/>
    <n v="27"/>
    <x v="0"/>
    <x v="1"/>
    <x v="0"/>
    <n v="22.68"/>
    <n v="45"/>
    <x v="4"/>
    <x v="1"/>
    <n v="13.99"/>
    <x v="0"/>
    <x v="0"/>
    <n v="3"/>
    <n v="0.49"/>
    <x v="6"/>
  </r>
  <r>
    <s v="c46da64b-c643-414b-9c74-f9c9cfd93905"/>
    <n v="21"/>
    <x v="1"/>
    <x v="1"/>
    <x v="0"/>
    <n v="2.5099999999999998"/>
    <n v="19"/>
    <x v="2"/>
    <x v="2"/>
    <n v="13.99"/>
    <x v="1"/>
    <x v="0"/>
    <n v="2"/>
    <n v="0.13"/>
    <x v="0"/>
  </r>
  <r>
    <s v="c1d847e8-da01-4f2c-ad47-5ca849b92f6d"/>
    <n v="23"/>
    <x v="1"/>
    <x v="1"/>
    <x v="2"/>
    <n v="5.62"/>
    <n v="9"/>
    <x v="3"/>
    <x v="4"/>
    <n v="8.99"/>
    <x v="0"/>
    <x v="4"/>
    <n v="4"/>
    <n v="0.56000000000000005"/>
    <x v="5"/>
  </r>
  <r>
    <s v="615e7406-59c1-43a1-a7c2-21eebf7b480b"/>
    <n v="31"/>
    <x v="0"/>
    <x v="2"/>
    <x v="2"/>
    <n v="4.58"/>
    <n v="26"/>
    <x v="4"/>
    <x v="3"/>
    <n v="8.99"/>
    <x v="1"/>
    <x v="3"/>
    <n v="2"/>
    <n v="0.17"/>
    <x v="3"/>
  </r>
  <r>
    <s v="6165db84-db8d-46ac-b332-1c3c11a6a0d0"/>
    <n v="20"/>
    <x v="1"/>
    <x v="0"/>
    <x v="1"/>
    <n v="9.4600000000000009"/>
    <n v="35"/>
    <x v="4"/>
    <x v="2"/>
    <n v="17.989999999999998"/>
    <x v="1"/>
    <x v="0"/>
    <n v="2"/>
    <n v="0.26"/>
    <x v="6"/>
  </r>
  <r>
    <s v="a566dd67-1290-4278-8cc9-fd29e99a7aa6"/>
    <n v="21"/>
    <x v="1"/>
    <x v="2"/>
    <x v="1"/>
    <n v="1.3"/>
    <n v="13"/>
    <x v="5"/>
    <x v="4"/>
    <n v="17.989999999999998"/>
    <x v="1"/>
    <x v="3"/>
    <n v="2"/>
    <n v="0.09"/>
    <x v="5"/>
  </r>
  <r>
    <s v="7f1d805c-7098-481c-aa5a-d4c06ab3b77c"/>
    <n v="27"/>
    <x v="0"/>
    <x v="0"/>
    <x v="1"/>
    <n v="23.17"/>
    <n v="36"/>
    <x v="4"/>
    <x v="1"/>
    <n v="17.989999999999998"/>
    <x v="0"/>
    <x v="1"/>
    <n v="3"/>
    <n v="0.63"/>
    <x v="0"/>
  </r>
  <r>
    <s v="871fbc03-cc9a-4915-a0b2-1b53fa2ea19e"/>
    <n v="29"/>
    <x v="0"/>
    <x v="0"/>
    <x v="2"/>
    <n v="1.46"/>
    <n v="54"/>
    <x v="1"/>
    <x v="0"/>
    <n v="8.99"/>
    <x v="1"/>
    <x v="0"/>
    <n v="3"/>
    <n v="0.03"/>
    <x v="6"/>
  </r>
  <r>
    <s v="c8389b66-987e-42cb-a884-a424dd8b6eef"/>
    <n v="29"/>
    <x v="0"/>
    <x v="2"/>
    <x v="1"/>
    <n v="7.18"/>
    <n v="23"/>
    <x v="1"/>
    <x v="3"/>
    <n v="17.989999999999998"/>
    <x v="0"/>
    <x v="1"/>
    <n v="1"/>
    <n v="0.3"/>
    <x v="2"/>
  </r>
  <r>
    <s v="1dedd7bd-4abf-4f4b-8269-f4becf423ce2"/>
    <n v="23"/>
    <x v="1"/>
    <x v="1"/>
    <x v="2"/>
    <n v="11.37"/>
    <n v="16"/>
    <x v="3"/>
    <x v="0"/>
    <n v="8.99"/>
    <x v="0"/>
    <x v="2"/>
    <n v="3"/>
    <n v="0.67"/>
    <x v="2"/>
  </r>
  <r>
    <s v="9cfcedf7-e40b-4540-ba12-84d6f04d55d9"/>
    <n v="25"/>
    <x v="0"/>
    <x v="2"/>
    <x v="1"/>
    <n v="2.42"/>
    <n v="1"/>
    <x v="4"/>
    <x v="4"/>
    <n v="17.989999999999998"/>
    <x v="0"/>
    <x v="2"/>
    <n v="5"/>
    <n v="1.21"/>
    <x v="6"/>
  </r>
  <r>
    <s v="b1bc1db4-b670-44f7-a229-9ef130b67a3c"/>
    <n v="27"/>
    <x v="0"/>
    <x v="1"/>
    <x v="2"/>
    <n v="6.89"/>
    <n v="6"/>
    <x v="1"/>
    <x v="4"/>
    <n v="8.99"/>
    <x v="0"/>
    <x v="2"/>
    <n v="5"/>
    <n v="0.98"/>
    <x v="5"/>
  </r>
  <r>
    <s v="354dd217-2718-4a52-9640-2100fce27845"/>
    <n v="27"/>
    <x v="0"/>
    <x v="0"/>
    <x v="0"/>
    <n v="1.77"/>
    <n v="41"/>
    <x v="2"/>
    <x v="2"/>
    <n v="13.99"/>
    <x v="1"/>
    <x v="3"/>
    <n v="2"/>
    <n v="0.04"/>
    <x v="2"/>
  </r>
  <r>
    <s v="75fc6d6b-4c43-4682-8151-3ca3b9669fb7"/>
    <n v="18"/>
    <x v="1"/>
    <x v="0"/>
    <x v="0"/>
    <n v="1.71"/>
    <n v="49"/>
    <x v="2"/>
    <x v="0"/>
    <n v="13.99"/>
    <x v="1"/>
    <x v="3"/>
    <n v="3"/>
    <n v="0.03"/>
    <x v="2"/>
  </r>
  <r>
    <s v="aa6f379a-ce91-484e-b54e-c1223dd2a9c0"/>
    <n v="19"/>
    <x v="1"/>
    <x v="0"/>
    <x v="0"/>
    <n v="0.17"/>
    <n v="34"/>
    <x v="1"/>
    <x v="1"/>
    <n v="13.99"/>
    <x v="1"/>
    <x v="4"/>
    <n v="3"/>
    <n v="0"/>
    <x v="4"/>
  </r>
  <r>
    <s v="8ab68b44-3c2f-41b6-b3b9-39b79bd94fa8"/>
    <n v="19"/>
    <x v="1"/>
    <x v="1"/>
    <x v="1"/>
    <n v="0.24"/>
    <n v="4"/>
    <x v="5"/>
    <x v="3"/>
    <n v="17.989999999999998"/>
    <x v="0"/>
    <x v="4"/>
    <n v="4"/>
    <n v="0.05"/>
    <x v="6"/>
  </r>
  <r>
    <s v="f2f4b958-e361-4c93-afd5-3ce91d7b7165"/>
    <n v="25"/>
    <x v="0"/>
    <x v="1"/>
    <x v="2"/>
    <n v="35.36"/>
    <n v="34"/>
    <x v="5"/>
    <x v="4"/>
    <n v="8.99"/>
    <x v="0"/>
    <x v="0"/>
    <n v="5"/>
    <n v="1.01"/>
    <x v="6"/>
  </r>
  <r>
    <s v="58e23f86-3804-49d5-aad4-ddae9767076e"/>
    <n v="27"/>
    <x v="0"/>
    <x v="1"/>
    <x v="2"/>
    <n v="65.86"/>
    <n v="40"/>
    <x v="1"/>
    <x v="2"/>
    <n v="8.99"/>
    <x v="0"/>
    <x v="1"/>
    <n v="5"/>
    <n v="1.61"/>
    <x v="6"/>
  </r>
  <r>
    <s v="92f00f87-ff84-41ee-8555-81009d4b6d10"/>
    <n v="26"/>
    <x v="0"/>
    <x v="1"/>
    <x v="0"/>
    <n v="24.14"/>
    <n v="18"/>
    <x v="5"/>
    <x v="1"/>
    <n v="13.99"/>
    <x v="0"/>
    <x v="1"/>
    <n v="1"/>
    <n v="1.27"/>
    <x v="2"/>
  </r>
  <r>
    <s v="337d7132-8164-46fe-9481-78329007a7af"/>
    <n v="27"/>
    <x v="0"/>
    <x v="2"/>
    <x v="0"/>
    <n v="0.43"/>
    <n v="27"/>
    <x v="1"/>
    <x v="1"/>
    <n v="13.99"/>
    <x v="1"/>
    <x v="3"/>
    <n v="2"/>
    <n v="0.02"/>
    <x v="6"/>
  </r>
  <r>
    <s v="09b2a1f5-8eed-45d8-b381-b3327cfcd14f"/>
    <n v="20"/>
    <x v="1"/>
    <x v="2"/>
    <x v="0"/>
    <n v="41.67"/>
    <n v="44"/>
    <x v="5"/>
    <x v="4"/>
    <n v="13.99"/>
    <x v="0"/>
    <x v="1"/>
    <n v="2"/>
    <n v="0.93"/>
    <x v="6"/>
  </r>
  <r>
    <s v="18780a36-d9e5-4aa3-ad15-3c6d0fb16344"/>
    <n v="32"/>
    <x v="0"/>
    <x v="1"/>
    <x v="0"/>
    <n v="21.32"/>
    <n v="13"/>
    <x v="0"/>
    <x v="4"/>
    <n v="13.99"/>
    <x v="0"/>
    <x v="0"/>
    <n v="5"/>
    <n v="1.52"/>
    <x v="6"/>
  </r>
  <r>
    <s v="55a3fde3-633f-4391-8622-3375e3fa49b7"/>
    <n v="23"/>
    <x v="1"/>
    <x v="0"/>
    <x v="0"/>
    <n v="31.27"/>
    <n v="10"/>
    <x v="5"/>
    <x v="2"/>
    <n v="13.99"/>
    <x v="0"/>
    <x v="1"/>
    <n v="4"/>
    <n v="2.84"/>
    <x v="0"/>
  </r>
  <r>
    <s v="6dce1b4d-a8d3-4f5a-94dc-b0fe742371df"/>
    <n v="34"/>
    <x v="0"/>
    <x v="2"/>
    <x v="0"/>
    <n v="22.28"/>
    <n v="51"/>
    <x v="2"/>
    <x v="2"/>
    <n v="13.99"/>
    <x v="0"/>
    <x v="3"/>
    <n v="1"/>
    <n v="0.43"/>
    <x v="0"/>
  </r>
  <r>
    <s v="ff43bebc-c143-44c4-bc18-643f1fab423c"/>
    <n v="32"/>
    <x v="0"/>
    <x v="0"/>
    <x v="0"/>
    <n v="2.34"/>
    <n v="32"/>
    <x v="5"/>
    <x v="2"/>
    <n v="13.99"/>
    <x v="1"/>
    <x v="0"/>
    <n v="5"/>
    <n v="7.0000000000000007E-2"/>
    <x v="3"/>
  </r>
  <r>
    <s v="15f25fe0-0224-44b0-a150-2afc797b5cd5"/>
    <n v="26"/>
    <x v="0"/>
    <x v="2"/>
    <x v="0"/>
    <n v="2.48"/>
    <n v="56"/>
    <x v="0"/>
    <x v="1"/>
    <n v="13.99"/>
    <x v="1"/>
    <x v="2"/>
    <n v="4"/>
    <n v="0.04"/>
    <x v="5"/>
  </r>
  <r>
    <s v="319e82a6-0499-4d27-9f10-f3c05154c3a0"/>
    <n v="29"/>
    <x v="0"/>
    <x v="1"/>
    <x v="1"/>
    <n v="16.41"/>
    <n v="25"/>
    <x v="2"/>
    <x v="2"/>
    <n v="17.989999999999998"/>
    <x v="0"/>
    <x v="3"/>
    <n v="5"/>
    <n v="0.63"/>
    <x v="0"/>
  </r>
  <r>
    <s v="48b066a3-ba77-444f-ac80-33a8b5921cea"/>
    <n v="24"/>
    <x v="1"/>
    <x v="1"/>
    <x v="1"/>
    <n v="2.98"/>
    <n v="11"/>
    <x v="1"/>
    <x v="0"/>
    <n v="17.989999999999998"/>
    <x v="1"/>
    <x v="3"/>
    <n v="2"/>
    <n v="0.25"/>
    <x v="0"/>
  </r>
  <r>
    <s v="892b51bc-17bf-44f1-a629-5ab54394fc90"/>
    <n v="30"/>
    <x v="0"/>
    <x v="2"/>
    <x v="0"/>
    <n v="29.21"/>
    <n v="2"/>
    <x v="0"/>
    <x v="2"/>
    <n v="13.99"/>
    <x v="0"/>
    <x v="3"/>
    <n v="3"/>
    <n v="9.74"/>
    <x v="4"/>
  </r>
  <r>
    <s v="53bc3af1-7d15-47c2-a0e0-d07714326d65"/>
    <n v="22"/>
    <x v="1"/>
    <x v="2"/>
    <x v="0"/>
    <n v="13.57"/>
    <n v="3"/>
    <x v="5"/>
    <x v="4"/>
    <n v="13.99"/>
    <x v="0"/>
    <x v="1"/>
    <n v="4"/>
    <n v="3.39"/>
    <x v="5"/>
  </r>
  <r>
    <s v="c1dd3024-79ef-48e1-b1f7-420cd63b57bf"/>
    <n v="34"/>
    <x v="0"/>
    <x v="0"/>
    <x v="0"/>
    <n v="11.95"/>
    <n v="47"/>
    <x v="2"/>
    <x v="1"/>
    <n v="13.99"/>
    <x v="0"/>
    <x v="1"/>
    <n v="5"/>
    <n v="0.25"/>
    <x v="1"/>
  </r>
  <r>
    <s v="adb42d2f-cca8-4f85-ba5f-9ce775b0cdb7"/>
    <n v="27"/>
    <x v="0"/>
    <x v="2"/>
    <x v="0"/>
    <n v="7.3"/>
    <n v="54"/>
    <x v="2"/>
    <x v="0"/>
    <n v="13.99"/>
    <x v="1"/>
    <x v="2"/>
    <n v="3"/>
    <n v="0.13"/>
    <x v="3"/>
  </r>
  <r>
    <s v="55b61c53-96bb-4c6e-9ebe-21cb327d2935"/>
    <n v="34"/>
    <x v="0"/>
    <x v="1"/>
    <x v="1"/>
    <n v="1.59"/>
    <n v="8"/>
    <x v="2"/>
    <x v="1"/>
    <n v="17.989999999999998"/>
    <x v="1"/>
    <x v="0"/>
    <n v="5"/>
    <n v="0.18"/>
    <x v="3"/>
  </r>
  <r>
    <s v="7f20a481-fa8a-466a-8003-791225f73ab2"/>
    <n v="32"/>
    <x v="0"/>
    <x v="0"/>
    <x v="2"/>
    <n v="8.1199999999999992"/>
    <n v="36"/>
    <x v="5"/>
    <x v="1"/>
    <n v="8.99"/>
    <x v="1"/>
    <x v="1"/>
    <n v="5"/>
    <n v="0.22"/>
    <x v="0"/>
  </r>
  <r>
    <s v="ffa3c2de-0887-4b1a-9f2e-f0aaaf5ea2e5"/>
    <n v="28"/>
    <x v="0"/>
    <x v="0"/>
    <x v="1"/>
    <n v="4.0999999999999996"/>
    <n v="55"/>
    <x v="5"/>
    <x v="3"/>
    <n v="17.989999999999998"/>
    <x v="1"/>
    <x v="3"/>
    <n v="2"/>
    <n v="7.0000000000000007E-2"/>
    <x v="6"/>
  </r>
  <r>
    <s v="b40e1e26-2209-4e4f-8ca8-5199ec7d599b"/>
    <n v="26"/>
    <x v="0"/>
    <x v="0"/>
    <x v="0"/>
    <n v="20.2"/>
    <n v="46"/>
    <x v="4"/>
    <x v="3"/>
    <n v="13.99"/>
    <x v="0"/>
    <x v="0"/>
    <n v="5"/>
    <n v="0.43"/>
    <x v="6"/>
  </r>
  <r>
    <s v="31d3a4d3-4f08-4c99-b7c0-b86e5d907649"/>
    <n v="27"/>
    <x v="0"/>
    <x v="2"/>
    <x v="2"/>
    <n v="4.6100000000000003"/>
    <n v="42"/>
    <x v="0"/>
    <x v="2"/>
    <n v="8.99"/>
    <x v="1"/>
    <x v="0"/>
    <n v="2"/>
    <n v="0.11"/>
    <x v="1"/>
  </r>
  <r>
    <s v="e8b7beae-b596-437f-9003-baf5250132d1"/>
    <n v="22"/>
    <x v="1"/>
    <x v="2"/>
    <x v="1"/>
    <n v="7.49"/>
    <n v="29"/>
    <x v="1"/>
    <x v="2"/>
    <n v="17.989999999999998"/>
    <x v="0"/>
    <x v="4"/>
    <n v="2"/>
    <n v="0.25"/>
    <x v="4"/>
  </r>
  <r>
    <s v="13ce4e0a-ed91-400c-a92a-d6d39c14bdd9"/>
    <n v="32"/>
    <x v="0"/>
    <x v="0"/>
    <x v="1"/>
    <n v="18.28"/>
    <n v="10"/>
    <x v="2"/>
    <x v="3"/>
    <n v="17.989999999999998"/>
    <x v="0"/>
    <x v="2"/>
    <n v="4"/>
    <n v="1.66"/>
    <x v="3"/>
  </r>
  <r>
    <s v="f5309997-6d14-4c98-9379-ac88f9cbbe93"/>
    <n v="29"/>
    <x v="0"/>
    <x v="2"/>
    <x v="0"/>
    <n v="0.48"/>
    <n v="29"/>
    <x v="0"/>
    <x v="0"/>
    <n v="13.99"/>
    <x v="1"/>
    <x v="1"/>
    <n v="3"/>
    <n v="0.02"/>
    <x v="3"/>
  </r>
  <r>
    <s v="0cacf79a-fce7-458e-b6c4-875c2af22550"/>
    <n v="23"/>
    <x v="1"/>
    <x v="1"/>
    <x v="0"/>
    <n v="7.45"/>
    <n v="41"/>
    <x v="0"/>
    <x v="3"/>
    <n v="13.99"/>
    <x v="1"/>
    <x v="0"/>
    <n v="3"/>
    <n v="0.18"/>
    <x v="3"/>
  </r>
  <r>
    <s v="725f7196-8df8-4046-8d35-22a7ee20413e"/>
    <n v="28"/>
    <x v="0"/>
    <x v="2"/>
    <x v="1"/>
    <n v="15.45"/>
    <n v="44"/>
    <x v="2"/>
    <x v="3"/>
    <n v="17.989999999999998"/>
    <x v="1"/>
    <x v="0"/>
    <n v="4"/>
    <n v="0.34"/>
    <x v="0"/>
  </r>
  <r>
    <s v="7767a55d-bc06-4edf-89a6-0235f5728dd5"/>
    <n v="19"/>
    <x v="1"/>
    <x v="2"/>
    <x v="0"/>
    <n v="0.95"/>
    <n v="22"/>
    <x v="0"/>
    <x v="1"/>
    <n v="13.99"/>
    <x v="1"/>
    <x v="2"/>
    <n v="2"/>
    <n v="0.04"/>
    <x v="5"/>
  </r>
  <r>
    <s v="d2c7c300-4be4-4fc4-9e3b-f7075f0140d4"/>
    <n v="28"/>
    <x v="0"/>
    <x v="2"/>
    <x v="2"/>
    <n v="48.58"/>
    <n v="10"/>
    <x v="4"/>
    <x v="1"/>
    <n v="8.99"/>
    <x v="0"/>
    <x v="1"/>
    <n v="2"/>
    <n v="4.42"/>
    <x v="0"/>
  </r>
  <r>
    <s v="d4642e0c-7c28-4b72-a098-27f0f6bf51ac"/>
    <n v="24"/>
    <x v="1"/>
    <x v="1"/>
    <x v="2"/>
    <n v="0.17"/>
    <n v="25"/>
    <x v="2"/>
    <x v="0"/>
    <n v="8.99"/>
    <x v="1"/>
    <x v="1"/>
    <n v="5"/>
    <n v="0.01"/>
    <x v="1"/>
  </r>
  <r>
    <s v="45217a6b-8346-4945-907e-aa7b308c5d9d"/>
    <n v="21"/>
    <x v="1"/>
    <x v="0"/>
    <x v="2"/>
    <n v="1.31"/>
    <n v="10"/>
    <x v="2"/>
    <x v="2"/>
    <n v="8.99"/>
    <x v="1"/>
    <x v="1"/>
    <n v="2"/>
    <n v="0.12"/>
    <x v="1"/>
  </r>
  <r>
    <s v="c7370855-3032-43eb-988b-e8ac68458da1"/>
    <n v="25"/>
    <x v="0"/>
    <x v="1"/>
    <x v="1"/>
    <n v="48.76"/>
    <n v="47"/>
    <x v="4"/>
    <x v="1"/>
    <n v="17.989999999999998"/>
    <x v="0"/>
    <x v="0"/>
    <n v="1"/>
    <n v="1.02"/>
    <x v="4"/>
  </r>
  <r>
    <s v="0c341383-e13c-495a-97e6-9da049fa458e"/>
    <n v="27"/>
    <x v="0"/>
    <x v="2"/>
    <x v="1"/>
    <n v="11.44"/>
    <n v="54"/>
    <x v="2"/>
    <x v="1"/>
    <n v="17.989999999999998"/>
    <x v="1"/>
    <x v="0"/>
    <n v="3"/>
    <n v="0.21"/>
    <x v="2"/>
  </r>
  <r>
    <s v="f45345b7-462c-499d-9ad0-b9852024225d"/>
    <n v="22"/>
    <x v="1"/>
    <x v="1"/>
    <x v="1"/>
    <n v="3.24"/>
    <n v="5"/>
    <x v="2"/>
    <x v="1"/>
    <n v="17.989999999999998"/>
    <x v="0"/>
    <x v="4"/>
    <n v="4"/>
    <n v="0.54"/>
    <x v="4"/>
  </r>
  <r>
    <s v="1f5bbc73-5a88-444b-9814-ad4f1aa9291c"/>
    <n v="26"/>
    <x v="0"/>
    <x v="0"/>
    <x v="1"/>
    <n v="5.22"/>
    <n v="24"/>
    <x v="0"/>
    <x v="1"/>
    <n v="17.989999999999998"/>
    <x v="0"/>
    <x v="4"/>
    <n v="5"/>
    <n v="0.21"/>
    <x v="3"/>
  </r>
  <r>
    <s v="09f7ad4e-663a-4d60-a8cb-28fbb633d12f"/>
    <n v="32"/>
    <x v="0"/>
    <x v="0"/>
    <x v="0"/>
    <n v="13.49"/>
    <n v="8"/>
    <x v="3"/>
    <x v="3"/>
    <n v="13.99"/>
    <x v="0"/>
    <x v="4"/>
    <n v="4"/>
    <n v="1.5"/>
    <x v="6"/>
  </r>
  <r>
    <s v="292f1ea2-d6d7-4446-9ed3-325ed83d4238"/>
    <n v="32"/>
    <x v="0"/>
    <x v="1"/>
    <x v="2"/>
    <n v="5.21"/>
    <n v="9"/>
    <x v="0"/>
    <x v="1"/>
    <n v="8.99"/>
    <x v="0"/>
    <x v="4"/>
    <n v="2"/>
    <n v="0.52"/>
    <x v="4"/>
  </r>
  <r>
    <s v="2dcbd1ab-9f58-4dfd-86ae-87927ae211bf"/>
    <n v="32"/>
    <x v="0"/>
    <x v="0"/>
    <x v="2"/>
    <n v="3.15"/>
    <n v="26"/>
    <x v="4"/>
    <x v="1"/>
    <n v="8.99"/>
    <x v="1"/>
    <x v="1"/>
    <n v="2"/>
    <n v="0.12"/>
    <x v="1"/>
  </r>
  <r>
    <s v="9b57e510-576f-4fce-87b1-8f4d2b614820"/>
    <n v="34"/>
    <x v="0"/>
    <x v="2"/>
    <x v="1"/>
    <n v="13.49"/>
    <n v="51"/>
    <x v="2"/>
    <x v="4"/>
    <n v="17.989999999999998"/>
    <x v="1"/>
    <x v="1"/>
    <n v="1"/>
    <n v="0.26"/>
    <x v="2"/>
  </r>
  <r>
    <s v="22de8619-8784-4702-a030-c9ca8312d7f1"/>
    <n v="26"/>
    <x v="0"/>
    <x v="0"/>
    <x v="1"/>
    <n v="26.05"/>
    <n v="42"/>
    <x v="2"/>
    <x v="4"/>
    <n v="17.989999999999998"/>
    <x v="0"/>
    <x v="0"/>
    <n v="4"/>
    <n v="0.61"/>
    <x v="6"/>
  </r>
  <r>
    <s v="a51a0fca-f883-4bde-9acb-a7dd51f56f09"/>
    <n v="22"/>
    <x v="1"/>
    <x v="2"/>
    <x v="2"/>
    <n v="0.8"/>
    <n v="35"/>
    <x v="5"/>
    <x v="0"/>
    <n v="8.99"/>
    <x v="1"/>
    <x v="4"/>
    <n v="1"/>
    <n v="0.02"/>
    <x v="6"/>
  </r>
  <r>
    <s v="3135c865-75e1-426d-bb90-4f6550be662a"/>
    <n v="20"/>
    <x v="1"/>
    <x v="0"/>
    <x v="0"/>
    <n v="5.68"/>
    <n v="54"/>
    <x v="4"/>
    <x v="0"/>
    <n v="13.99"/>
    <x v="1"/>
    <x v="4"/>
    <n v="3"/>
    <n v="0.1"/>
    <x v="6"/>
  </r>
  <r>
    <s v="0a327804-a317-4c35-ba2d-ef4656c5f744"/>
    <n v="32"/>
    <x v="0"/>
    <x v="0"/>
    <x v="1"/>
    <n v="3.64"/>
    <n v="12"/>
    <x v="1"/>
    <x v="4"/>
    <n v="17.989999999999998"/>
    <x v="0"/>
    <x v="2"/>
    <n v="4"/>
    <n v="0.28000000000000003"/>
    <x v="0"/>
  </r>
  <r>
    <s v="06938a8c-6c69-4e18-8c06-17a8f12f6019"/>
    <n v="25"/>
    <x v="0"/>
    <x v="2"/>
    <x v="2"/>
    <n v="1.27"/>
    <n v="43"/>
    <x v="0"/>
    <x v="2"/>
    <n v="8.99"/>
    <x v="1"/>
    <x v="1"/>
    <n v="2"/>
    <n v="0.03"/>
    <x v="6"/>
  </r>
  <r>
    <s v="1d1cd9d8-ec13-4c06-88b3-c7aced7f8570"/>
    <n v="22"/>
    <x v="1"/>
    <x v="1"/>
    <x v="1"/>
    <n v="0.43"/>
    <n v="23"/>
    <x v="1"/>
    <x v="4"/>
    <n v="17.989999999999998"/>
    <x v="0"/>
    <x v="2"/>
    <n v="4"/>
    <n v="0.02"/>
    <x v="2"/>
  </r>
  <r>
    <s v="de7ca252-1a6c-444f-950d-1d30acb83619"/>
    <n v="28"/>
    <x v="0"/>
    <x v="2"/>
    <x v="1"/>
    <n v="4.5999999999999996"/>
    <n v="16"/>
    <x v="2"/>
    <x v="2"/>
    <n v="17.989999999999998"/>
    <x v="0"/>
    <x v="3"/>
    <n v="4"/>
    <n v="0.27"/>
    <x v="3"/>
  </r>
  <r>
    <s v="7d27b819-bbc1-4ed3-90fc-fab14f4f7676"/>
    <n v="26"/>
    <x v="0"/>
    <x v="1"/>
    <x v="1"/>
    <n v="4.76"/>
    <n v="27"/>
    <x v="5"/>
    <x v="2"/>
    <n v="17.989999999999998"/>
    <x v="1"/>
    <x v="0"/>
    <n v="4"/>
    <n v="0.17"/>
    <x v="5"/>
  </r>
  <r>
    <s v="12a7aef2-17ed-466d-80e4-e176d2ca52b9"/>
    <n v="20"/>
    <x v="1"/>
    <x v="1"/>
    <x v="1"/>
    <n v="5.12"/>
    <n v="18"/>
    <x v="5"/>
    <x v="3"/>
    <n v="17.989999999999998"/>
    <x v="0"/>
    <x v="3"/>
    <n v="1"/>
    <n v="0.27"/>
    <x v="3"/>
  </r>
  <r>
    <s v="a0caf50f-05f2-45a0-8b16-a55f02928a2b"/>
    <n v="19"/>
    <x v="1"/>
    <x v="0"/>
    <x v="1"/>
    <n v="2.2999999999999998"/>
    <n v="1"/>
    <x v="2"/>
    <x v="2"/>
    <n v="17.989999999999998"/>
    <x v="0"/>
    <x v="0"/>
    <n v="3"/>
    <n v="1.1499999999999999"/>
    <x v="1"/>
  </r>
  <r>
    <s v="06acad39-2870-4b82-be56-ed73b3aa151b"/>
    <n v="20"/>
    <x v="1"/>
    <x v="0"/>
    <x v="0"/>
    <n v="1.45"/>
    <n v="0"/>
    <x v="4"/>
    <x v="4"/>
    <n v="13.99"/>
    <x v="0"/>
    <x v="4"/>
    <n v="5"/>
    <n v="1.45"/>
    <x v="2"/>
  </r>
  <r>
    <s v="d950a7ae-60bd-4f16-ad7e-46c34268c6fd"/>
    <n v="24"/>
    <x v="1"/>
    <x v="1"/>
    <x v="0"/>
    <n v="4.8899999999999997"/>
    <n v="58"/>
    <x v="2"/>
    <x v="2"/>
    <n v="13.99"/>
    <x v="1"/>
    <x v="1"/>
    <n v="2"/>
    <n v="0.08"/>
    <x v="3"/>
  </r>
  <r>
    <s v="85116642-d67a-44fb-8cf1-193e544d9390"/>
    <n v="33"/>
    <x v="0"/>
    <x v="2"/>
    <x v="1"/>
    <n v="9.68"/>
    <n v="57"/>
    <x v="0"/>
    <x v="1"/>
    <n v="17.989999999999998"/>
    <x v="1"/>
    <x v="4"/>
    <n v="1"/>
    <n v="0.17"/>
    <x v="5"/>
  </r>
  <r>
    <s v="4c85513b-b640-49e2-966a-ecaf69ed1a62"/>
    <n v="24"/>
    <x v="1"/>
    <x v="2"/>
    <x v="0"/>
    <n v="13.71"/>
    <n v="51"/>
    <x v="5"/>
    <x v="2"/>
    <n v="13.99"/>
    <x v="1"/>
    <x v="1"/>
    <n v="1"/>
    <n v="0.26"/>
    <x v="2"/>
  </r>
  <r>
    <s v="476f04d7-1939-44f5-8231-9970934be051"/>
    <n v="25"/>
    <x v="0"/>
    <x v="2"/>
    <x v="0"/>
    <n v="7.26"/>
    <n v="43"/>
    <x v="5"/>
    <x v="3"/>
    <n v="13.99"/>
    <x v="1"/>
    <x v="3"/>
    <n v="1"/>
    <n v="0.17"/>
    <x v="3"/>
  </r>
  <r>
    <s v="bbc95670-f863-4860-9cbb-d7b3dec90199"/>
    <n v="25"/>
    <x v="0"/>
    <x v="2"/>
    <x v="1"/>
    <n v="16.61"/>
    <n v="34"/>
    <x v="5"/>
    <x v="2"/>
    <n v="17.989999999999998"/>
    <x v="0"/>
    <x v="1"/>
    <n v="4"/>
    <n v="0.47"/>
    <x v="1"/>
  </r>
  <r>
    <s v="82861b0b-5c7d-4251-a211-75c0a5b2ee6c"/>
    <n v="24"/>
    <x v="1"/>
    <x v="0"/>
    <x v="1"/>
    <n v="30.8"/>
    <n v="19"/>
    <x v="1"/>
    <x v="2"/>
    <n v="17.989999999999998"/>
    <x v="0"/>
    <x v="2"/>
    <n v="5"/>
    <n v="1.54"/>
    <x v="4"/>
  </r>
  <r>
    <s v="d43c645d-181a-41e8-89a1-051dee52867d"/>
    <n v="20"/>
    <x v="1"/>
    <x v="0"/>
    <x v="0"/>
    <n v="4.28"/>
    <n v="14"/>
    <x v="4"/>
    <x v="4"/>
    <n v="13.99"/>
    <x v="0"/>
    <x v="1"/>
    <n v="5"/>
    <n v="0.28999999999999998"/>
    <x v="6"/>
  </r>
  <r>
    <s v="fd38515a-bac5-4f2e-a993-784b9013fa7b"/>
    <n v="21"/>
    <x v="1"/>
    <x v="2"/>
    <x v="1"/>
    <n v="3.06"/>
    <n v="24"/>
    <x v="4"/>
    <x v="2"/>
    <n v="17.989999999999998"/>
    <x v="0"/>
    <x v="3"/>
    <n v="4"/>
    <n v="0.12"/>
    <x v="4"/>
  </r>
  <r>
    <s v="75356eca-46e2-4c47-8f88-59c4646c5827"/>
    <n v="21"/>
    <x v="1"/>
    <x v="1"/>
    <x v="2"/>
    <n v="54.56"/>
    <n v="11"/>
    <x v="4"/>
    <x v="3"/>
    <n v="8.99"/>
    <x v="0"/>
    <x v="2"/>
    <n v="5"/>
    <n v="4.55"/>
    <x v="4"/>
  </r>
  <r>
    <s v="4acacbc6-042b-4dce-aae2-1a5c6d52ce20"/>
    <n v="18"/>
    <x v="1"/>
    <x v="2"/>
    <x v="1"/>
    <n v="1.61"/>
    <n v="29"/>
    <x v="0"/>
    <x v="2"/>
    <n v="17.989999999999998"/>
    <x v="1"/>
    <x v="3"/>
    <n v="1"/>
    <n v="0.05"/>
    <x v="0"/>
  </r>
  <r>
    <s v="87c00608-c077-4037-9cfe-11d7e7f3f9f2"/>
    <n v="18"/>
    <x v="1"/>
    <x v="0"/>
    <x v="1"/>
    <n v="0.38"/>
    <n v="37"/>
    <x v="4"/>
    <x v="0"/>
    <n v="17.989999999999998"/>
    <x v="1"/>
    <x v="0"/>
    <n v="5"/>
    <n v="0.01"/>
    <x v="3"/>
  </r>
  <r>
    <s v="4ba7f702-5b22-4e31-ac70-272407eb79f8"/>
    <n v="31"/>
    <x v="0"/>
    <x v="0"/>
    <x v="1"/>
    <n v="0.54"/>
    <n v="16"/>
    <x v="4"/>
    <x v="3"/>
    <n v="17.989999999999998"/>
    <x v="1"/>
    <x v="2"/>
    <n v="1"/>
    <n v="0.03"/>
    <x v="6"/>
  </r>
  <r>
    <s v="79b69ab0-31aa-48b1-a4bb-2987db4fa802"/>
    <n v="33"/>
    <x v="0"/>
    <x v="0"/>
    <x v="0"/>
    <n v="6.15"/>
    <n v="13"/>
    <x v="4"/>
    <x v="4"/>
    <n v="13.99"/>
    <x v="0"/>
    <x v="4"/>
    <n v="5"/>
    <n v="0.44"/>
    <x v="2"/>
  </r>
  <r>
    <s v="5fb82ca0-59b1-4c7a-ace5-9dc04e30c4ab"/>
    <n v="33"/>
    <x v="0"/>
    <x v="0"/>
    <x v="0"/>
    <n v="3.98"/>
    <n v="49"/>
    <x v="5"/>
    <x v="4"/>
    <n v="13.99"/>
    <x v="1"/>
    <x v="1"/>
    <n v="4"/>
    <n v="0.08"/>
    <x v="0"/>
  </r>
  <r>
    <s v="f42ed003-e8bf-42bd-830e-0286e52956a8"/>
    <n v="31"/>
    <x v="0"/>
    <x v="2"/>
    <x v="1"/>
    <n v="1.9"/>
    <n v="31"/>
    <x v="1"/>
    <x v="2"/>
    <n v="17.989999999999998"/>
    <x v="1"/>
    <x v="4"/>
    <n v="1"/>
    <n v="0.06"/>
    <x v="2"/>
  </r>
  <r>
    <s v="376b1e05-d9f2-4a64-a5f9-7817933d9c19"/>
    <n v="18"/>
    <x v="1"/>
    <x v="1"/>
    <x v="1"/>
    <n v="7.93"/>
    <n v="60"/>
    <x v="5"/>
    <x v="2"/>
    <n v="17.989999999999998"/>
    <x v="0"/>
    <x v="1"/>
    <n v="4"/>
    <n v="0.13"/>
    <x v="5"/>
  </r>
  <r>
    <s v="4bd379ac-7088-4f76-8659-5dee42ce681e"/>
    <n v="29"/>
    <x v="0"/>
    <x v="2"/>
    <x v="0"/>
    <n v="1.23"/>
    <n v="50"/>
    <x v="0"/>
    <x v="3"/>
    <n v="13.99"/>
    <x v="1"/>
    <x v="3"/>
    <n v="3"/>
    <n v="0.02"/>
    <x v="1"/>
  </r>
  <r>
    <s v="114b979d-9555-470b-990f-4f6851855e8f"/>
    <n v="30"/>
    <x v="0"/>
    <x v="1"/>
    <x v="0"/>
    <n v="14.41"/>
    <n v="51"/>
    <x v="0"/>
    <x v="4"/>
    <n v="13.99"/>
    <x v="1"/>
    <x v="4"/>
    <n v="1"/>
    <n v="0.28000000000000003"/>
    <x v="1"/>
  </r>
  <r>
    <s v="023b26d4-c93d-4dc3-8397-5f01fd650e10"/>
    <n v="25"/>
    <x v="0"/>
    <x v="2"/>
    <x v="0"/>
    <n v="1.36"/>
    <n v="4"/>
    <x v="4"/>
    <x v="1"/>
    <n v="13.99"/>
    <x v="0"/>
    <x v="4"/>
    <n v="5"/>
    <n v="0.27"/>
    <x v="4"/>
  </r>
  <r>
    <s v="95b8b913-647a-4cf0-8a1c-12eba4a8ed74"/>
    <n v="33"/>
    <x v="0"/>
    <x v="0"/>
    <x v="2"/>
    <n v="0.03"/>
    <n v="51"/>
    <x v="4"/>
    <x v="1"/>
    <n v="8.99"/>
    <x v="1"/>
    <x v="2"/>
    <n v="1"/>
    <n v="0"/>
    <x v="2"/>
  </r>
  <r>
    <s v="e3d1e10c-f5d4-42cb-a0cd-06b860980446"/>
    <n v="21"/>
    <x v="1"/>
    <x v="1"/>
    <x v="2"/>
    <n v="19.21"/>
    <n v="57"/>
    <x v="0"/>
    <x v="1"/>
    <n v="8.99"/>
    <x v="1"/>
    <x v="4"/>
    <n v="4"/>
    <n v="0.33"/>
    <x v="5"/>
  </r>
  <r>
    <s v="dda88e04-bad3-4755-9aee-584f129d0d86"/>
    <n v="21"/>
    <x v="1"/>
    <x v="0"/>
    <x v="0"/>
    <n v="9.39"/>
    <n v="41"/>
    <x v="2"/>
    <x v="2"/>
    <n v="13.99"/>
    <x v="0"/>
    <x v="3"/>
    <n v="5"/>
    <n v="0.22"/>
    <x v="0"/>
  </r>
  <r>
    <s v="915bdcfc-6d40-4333-a5e2-5af8c8f31566"/>
    <n v="19"/>
    <x v="1"/>
    <x v="0"/>
    <x v="2"/>
    <n v="40.159999999999997"/>
    <n v="20"/>
    <x v="5"/>
    <x v="3"/>
    <n v="8.99"/>
    <x v="0"/>
    <x v="3"/>
    <n v="3"/>
    <n v="1.91"/>
    <x v="3"/>
  </r>
  <r>
    <s v="cca8b581-77d7-49a1-91e5-6e68aed943a2"/>
    <n v="34"/>
    <x v="0"/>
    <x v="0"/>
    <x v="2"/>
    <n v="7.93"/>
    <n v="60"/>
    <x v="0"/>
    <x v="3"/>
    <n v="8.99"/>
    <x v="1"/>
    <x v="0"/>
    <n v="1"/>
    <n v="0.13"/>
    <x v="3"/>
  </r>
  <r>
    <s v="7a83aab4-74d0-4981-a8dc-b3efb61412f6"/>
    <n v="25"/>
    <x v="0"/>
    <x v="0"/>
    <x v="1"/>
    <n v="17.57"/>
    <n v="16"/>
    <x v="5"/>
    <x v="4"/>
    <n v="17.989999999999998"/>
    <x v="0"/>
    <x v="3"/>
    <n v="4"/>
    <n v="1.03"/>
    <x v="1"/>
  </r>
  <r>
    <s v="524faae4-641a-4b2f-b59c-1e54ada79b0b"/>
    <n v="28"/>
    <x v="0"/>
    <x v="2"/>
    <x v="1"/>
    <n v="50.96"/>
    <n v="23"/>
    <x v="4"/>
    <x v="2"/>
    <n v="17.989999999999998"/>
    <x v="0"/>
    <x v="0"/>
    <n v="3"/>
    <n v="2.12"/>
    <x v="2"/>
  </r>
  <r>
    <s v="5abf9d55-254b-428f-83be-4bfd21883499"/>
    <n v="29"/>
    <x v="0"/>
    <x v="2"/>
    <x v="1"/>
    <n v="17.559999999999999"/>
    <n v="13"/>
    <x v="0"/>
    <x v="0"/>
    <n v="17.989999999999998"/>
    <x v="0"/>
    <x v="1"/>
    <n v="3"/>
    <n v="1.25"/>
    <x v="4"/>
  </r>
  <r>
    <s v="73b0db82-374c-43df-a4a6-abebae1c9730"/>
    <n v="24"/>
    <x v="1"/>
    <x v="0"/>
    <x v="2"/>
    <n v="1.71"/>
    <n v="3"/>
    <x v="3"/>
    <x v="2"/>
    <n v="8.99"/>
    <x v="1"/>
    <x v="0"/>
    <n v="3"/>
    <n v="0.43"/>
    <x v="6"/>
  </r>
  <r>
    <s v="d8e57ff7-d71c-4ffa-8a92-f63fced488de"/>
    <n v="23"/>
    <x v="1"/>
    <x v="1"/>
    <x v="1"/>
    <n v="11.61"/>
    <n v="38"/>
    <x v="4"/>
    <x v="2"/>
    <n v="17.989999999999998"/>
    <x v="1"/>
    <x v="2"/>
    <n v="3"/>
    <n v="0.3"/>
    <x v="2"/>
  </r>
  <r>
    <s v="18bed870-a69b-40c0-8d97-e03ae32e7de8"/>
    <n v="29"/>
    <x v="0"/>
    <x v="1"/>
    <x v="0"/>
    <n v="8.31"/>
    <n v="30"/>
    <x v="0"/>
    <x v="2"/>
    <n v="13.99"/>
    <x v="0"/>
    <x v="3"/>
    <n v="1"/>
    <n v="0.27"/>
    <x v="3"/>
  </r>
  <r>
    <s v="fa491f04-59eb-4305-83ea-0e1a91ac890f"/>
    <n v="32"/>
    <x v="0"/>
    <x v="0"/>
    <x v="2"/>
    <n v="11.48"/>
    <n v="34"/>
    <x v="5"/>
    <x v="4"/>
    <n v="8.99"/>
    <x v="1"/>
    <x v="1"/>
    <n v="1"/>
    <n v="0.33"/>
    <x v="2"/>
  </r>
  <r>
    <s v="f38cb847-0ed5-4a2d-87bb-e740dd8adef2"/>
    <n v="28"/>
    <x v="0"/>
    <x v="0"/>
    <x v="2"/>
    <n v="13.35"/>
    <n v="17"/>
    <x v="4"/>
    <x v="4"/>
    <n v="8.99"/>
    <x v="0"/>
    <x v="3"/>
    <n v="1"/>
    <n v="0.74"/>
    <x v="1"/>
  </r>
  <r>
    <s v="27ccc5be-9895-4ee0-86b5-8e917c0650e4"/>
    <n v="29"/>
    <x v="0"/>
    <x v="2"/>
    <x v="2"/>
    <n v="11.65"/>
    <n v="22"/>
    <x v="0"/>
    <x v="1"/>
    <n v="8.99"/>
    <x v="0"/>
    <x v="3"/>
    <n v="2"/>
    <n v="0.51"/>
    <x v="1"/>
  </r>
  <r>
    <s v="bb67998e-4ac1-45da-b7ca-605ec973e5fe"/>
    <n v="24"/>
    <x v="1"/>
    <x v="2"/>
    <x v="1"/>
    <n v="1.1200000000000001"/>
    <n v="55"/>
    <x v="0"/>
    <x v="4"/>
    <n v="17.989999999999998"/>
    <x v="1"/>
    <x v="0"/>
    <n v="5"/>
    <n v="0.02"/>
    <x v="5"/>
  </r>
  <r>
    <s v="e090df54-097b-4e77-87c0-f9e8a965c013"/>
    <n v="26"/>
    <x v="0"/>
    <x v="1"/>
    <x v="1"/>
    <n v="8.32"/>
    <n v="48"/>
    <x v="3"/>
    <x v="1"/>
    <n v="17.989999999999998"/>
    <x v="1"/>
    <x v="0"/>
    <n v="5"/>
    <n v="0.17"/>
    <x v="6"/>
  </r>
  <r>
    <s v="b26a4921-90b8-4360-8834-fad7a130bfb4"/>
    <n v="24"/>
    <x v="1"/>
    <x v="2"/>
    <x v="1"/>
    <n v="0.57999999999999996"/>
    <n v="57"/>
    <x v="1"/>
    <x v="4"/>
    <n v="17.989999999999998"/>
    <x v="1"/>
    <x v="3"/>
    <n v="3"/>
    <n v="0.01"/>
    <x v="6"/>
  </r>
  <r>
    <s v="eaf0471b-e553-4302-a1aa-cf3284f3a3a9"/>
    <n v="34"/>
    <x v="0"/>
    <x v="0"/>
    <x v="2"/>
    <n v="0.95"/>
    <n v="44"/>
    <x v="0"/>
    <x v="2"/>
    <n v="8.99"/>
    <x v="1"/>
    <x v="3"/>
    <n v="4"/>
    <n v="0.02"/>
    <x v="3"/>
  </r>
  <r>
    <s v="60fddd3f-fcdd-4d60-9195-d733c67449a0"/>
    <n v="26"/>
    <x v="0"/>
    <x v="0"/>
    <x v="1"/>
    <n v="0.67"/>
    <n v="8"/>
    <x v="0"/>
    <x v="1"/>
    <n v="17.989999999999998"/>
    <x v="0"/>
    <x v="1"/>
    <n v="4"/>
    <n v="7.0000000000000007E-2"/>
    <x v="6"/>
  </r>
  <r>
    <s v="32b9cb76-87c9-48c7-a73a-293d09c61937"/>
    <n v="22"/>
    <x v="1"/>
    <x v="1"/>
    <x v="2"/>
    <n v="18.39"/>
    <n v="44"/>
    <x v="3"/>
    <x v="0"/>
    <n v="8.99"/>
    <x v="1"/>
    <x v="2"/>
    <n v="1"/>
    <n v="0.41"/>
    <x v="1"/>
  </r>
  <r>
    <s v="ab376d84-3616-480d-b4eb-49efee6f2837"/>
    <n v="24"/>
    <x v="1"/>
    <x v="0"/>
    <x v="2"/>
    <n v="12.03"/>
    <n v="28"/>
    <x v="0"/>
    <x v="2"/>
    <n v="8.99"/>
    <x v="0"/>
    <x v="1"/>
    <n v="4"/>
    <n v="0.41"/>
    <x v="1"/>
  </r>
  <r>
    <s v="fcc3fddc-5adf-4ff0-9e0e-c84a424d2070"/>
    <n v="24"/>
    <x v="1"/>
    <x v="0"/>
    <x v="0"/>
    <n v="3.9"/>
    <n v="32"/>
    <x v="2"/>
    <x v="0"/>
    <n v="13.99"/>
    <x v="1"/>
    <x v="3"/>
    <n v="5"/>
    <n v="0.12"/>
    <x v="6"/>
  </r>
  <r>
    <s v="63424808-052e-4e93-a382-1bc16302c1cd"/>
    <n v="34"/>
    <x v="0"/>
    <x v="0"/>
    <x v="2"/>
    <n v="4.45"/>
    <n v="60"/>
    <x v="4"/>
    <x v="1"/>
    <n v="8.99"/>
    <x v="1"/>
    <x v="4"/>
    <n v="4"/>
    <n v="7.0000000000000007E-2"/>
    <x v="3"/>
  </r>
  <r>
    <s v="704f903b-21e4-4101-8321-58d705089b06"/>
    <n v="18"/>
    <x v="1"/>
    <x v="0"/>
    <x v="1"/>
    <n v="33.81"/>
    <n v="5"/>
    <x v="0"/>
    <x v="0"/>
    <n v="17.989999999999998"/>
    <x v="0"/>
    <x v="0"/>
    <n v="2"/>
    <n v="5.64"/>
    <x v="4"/>
  </r>
  <r>
    <s v="7ab6446a-575b-4875-ab7a-79bd93c17a64"/>
    <n v="21"/>
    <x v="1"/>
    <x v="1"/>
    <x v="1"/>
    <n v="9.85"/>
    <n v="54"/>
    <x v="2"/>
    <x v="3"/>
    <n v="17.989999999999998"/>
    <x v="1"/>
    <x v="1"/>
    <n v="1"/>
    <n v="0.18"/>
    <x v="3"/>
  </r>
  <r>
    <s v="c1d2a88a-570a-4de1-8313-46284c224bee"/>
    <n v="23"/>
    <x v="1"/>
    <x v="1"/>
    <x v="0"/>
    <n v="24.23"/>
    <n v="52"/>
    <x v="3"/>
    <x v="0"/>
    <n v="13.99"/>
    <x v="0"/>
    <x v="4"/>
    <n v="2"/>
    <n v="0.46"/>
    <x v="5"/>
  </r>
  <r>
    <s v="1af70b1b-d756-415f-a5b4-3861139559d8"/>
    <n v="32"/>
    <x v="0"/>
    <x v="0"/>
    <x v="1"/>
    <n v="4.46"/>
    <n v="40"/>
    <x v="2"/>
    <x v="2"/>
    <n v="17.989999999999998"/>
    <x v="1"/>
    <x v="0"/>
    <n v="1"/>
    <n v="0.11"/>
    <x v="1"/>
  </r>
  <r>
    <s v="0d7ac1da-194d-4844-a919-6bfec0989d14"/>
    <n v="23"/>
    <x v="1"/>
    <x v="1"/>
    <x v="0"/>
    <n v="9.6"/>
    <n v="54"/>
    <x v="0"/>
    <x v="1"/>
    <n v="13.99"/>
    <x v="1"/>
    <x v="4"/>
    <n v="4"/>
    <n v="0.17"/>
    <x v="3"/>
  </r>
  <r>
    <s v="760b70e5-2135-4106-bf18-2df119411aa4"/>
    <n v="28"/>
    <x v="0"/>
    <x v="0"/>
    <x v="1"/>
    <n v="3.16"/>
    <n v="8"/>
    <x v="1"/>
    <x v="4"/>
    <n v="17.989999999999998"/>
    <x v="1"/>
    <x v="0"/>
    <n v="1"/>
    <n v="0.35"/>
    <x v="2"/>
  </r>
  <r>
    <s v="53c38b09-0edc-4eaa-b83f-d8227eb19850"/>
    <n v="21"/>
    <x v="1"/>
    <x v="1"/>
    <x v="0"/>
    <n v="14.71"/>
    <n v="11"/>
    <x v="0"/>
    <x v="1"/>
    <n v="13.99"/>
    <x v="0"/>
    <x v="0"/>
    <n v="1"/>
    <n v="1.23"/>
    <x v="6"/>
  </r>
  <r>
    <s v="825bd557-2be9-4aca-a8d1-eb8a5f1bb037"/>
    <n v="29"/>
    <x v="0"/>
    <x v="0"/>
    <x v="1"/>
    <n v="0.19"/>
    <n v="54"/>
    <x v="1"/>
    <x v="2"/>
    <n v="17.989999999999998"/>
    <x v="1"/>
    <x v="3"/>
    <n v="2"/>
    <n v="0"/>
    <x v="0"/>
  </r>
  <r>
    <s v="e2975ec5-cdb8-43d8-803a-1ebba615cf15"/>
    <n v="21"/>
    <x v="1"/>
    <x v="2"/>
    <x v="1"/>
    <n v="20"/>
    <n v="22"/>
    <x v="4"/>
    <x v="1"/>
    <n v="17.989999999999998"/>
    <x v="0"/>
    <x v="1"/>
    <n v="5"/>
    <n v="0.87"/>
    <x v="6"/>
  </r>
  <r>
    <s v="820d7eb0-d64e-4e70-839a-ec9db5bf1969"/>
    <n v="32"/>
    <x v="0"/>
    <x v="2"/>
    <x v="2"/>
    <n v="12.51"/>
    <n v="30"/>
    <x v="2"/>
    <x v="2"/>
    <n v="8.99"/>
    <x v="0"/>
    <x v="3"/>
    <n v="2"/>
    <n v="0.4"/>
    <x v="4"/>
  </r>
  <r>
    <s v="00aa6c2a-b291-411e-b240-202fea9bf417"/>
    <n v="18"/>
    <x v="1"/>
    <x v="2"/>
    <x v="1"/>
    <n v="17.829999999999998"/>
    <n v="37"/>
    <x v="0"/>
    <x v="1"/>
    <n v="17.989999999999998"/>
    <x v="0"/>
    <x v="2"/>
    <n v="4"/>
    <n v="0.47"/>
    <x v="3"/>
  </r>
  <r>
    <s v="936b242f-90a4-4a2b-a846-12c531c67df2"/>
    <n v="25"/>
    <x v="0"/>
    <x v="2"/>
    <x v="1"/>
    <n v="22.64"/>
    <n v="14"/>
    <x v="3"/>
    <x v="3"/>
    <n v="17.989999999999998"/>
    <x v="0"/>
    <x v="3"/>
    <n v="2"/>
    <n v="1.51"/>
    <x v="2"/>
  </r>
  <r>
    <s v="c03d3d6b-a16d-4b1d-bf07-788f0372cec5"/>
    <n v="20"/>
    <x v="1"/>
    <x v="1"/>
    <x v="0"/>
    <n v="3.19"/>
    <n v="53"/>
    <x v="2"/>
    <x v="4"/>
    <n v="13.99"/>
    <x v="1"/>
    <x v="4"/>
    <n v="4"/>
    <n v="0.06"/>
    <x v="6"/>
  </r>
  <r>
    <s v="7a1d3b12-9be6-46eb-baa5-51803a0a4f10"/>
    <n v="20"/>
    <x v="1"/>
    <x v="2"/>
    <x v="1"/>
    <n v="39.85"/>
    <n v="26"/>
    <x v="1"/>
    <x v="3"/>
    <n v="17.989999999999998"/>
    <x v="0"/>
    <x v="1"/>
    <n v="1"/>
    <n v="1.48"/>
    <x v="2"/>
  </r>
  <r>
    <s v="0decc7ea-dece-4638-83c8-b1df7e1e54d2"/>
    <n v="31"/>
    <x v="0"/>
    <x v="1"/>
    <x v="0"/>
    <n v="31.29"/>
    <n v="9"/>
    <x v="2"/>
    <x v="0"/>
    <n v="13.99"/>
    <x v="0"/>
    <x v="0"/>
    <n v="4"/>
    <n v="3.13"/>
    <x v="5"/>
  </r>
  <r>
    <s v="89c2cbb3-f9a7-4eb1-86c3-c5488a62490e"/>
    <n v="18"/>
    <x v="1"/>
    <x v="0"/>
    <x v="0"/>
    <n v="11.81"/>
    <n v="9"/>
    <x v="2"/>
    <x v="2"/>
    <n v="13.99"/>
    <x v="0"/>
    <x v="2"/>
    <n v="4"/>
    <n v="1.18"/>
    <x v="2"/>
  </r>
  <r>
    <s v="225699c5-8b55-456f-95e3-7a5780ffac0a"/>
    <n v="23"/>
    <x v="1"/>
    <x v="2"/>
    <x v="0"/>
    <n v="10.77"/>
    <n v="23"/>
    <x v="4"/>
    <x v="1"/>
    <n v="13.99"/>
    <x v="0"/>
    <x v="3"/>
    <n v="3"/>
    <n v="0.45"/>
    <x v="6"/>
  </r>
  <r>
    <s v="96de19f9-6aa8-493d-af89-56dbf25535c7"/>
    <n v="22"/>
    <x v="1"/>
    <x v="2"/>
    <x v="0"/>
    <n v="17.8"/>
    <n v="54"/>
    <x v="4"/>
    <x v="3"/>
    <n v="13.99"/>
    <x v="1"/>
    <x v="1"/>
    <n v="1"/>
    <n v="0.32"/>
    <x v="3"/>
  </r>
  <r>
    <s v="b9be612d-c7cc-411f-afac-093196f87239"/>
    <n v="22"/>
    <x v="1"/>
    <x v="2"/>
    <x v="1"/>
    <n v="21.47"/>
    <n v="51"/>
    <x v="2"/>
    <x v="0"/>
    <n v="17.989999999999998"/>
    <x v="0"/>
    <x v="3"/>
    <n v="3"/>
    <n v="0.41"/>
    <x v="6"/>
  </r>
  <r>
    <s v="798c452b-e7e0-48f3-a908-4f639ac8e614"/>
    <n v="18"/>
    <x v="1"/>
    <x v="1"/>
    <x v="1"/>
    <n v="16.89"/>
    <n v="33"/>
    <x v="2"/>
    <x v="1"/>
    <n v="17.989999999999998"/>
    <x v="0"/>
    <x v="1"/>
    <n v="4"/>
    <n v="0.5"/>
    <x v="4"/>
  </r>
  <r>
    <s v="dccfb706-58be-4f82-9f92-b806781953e0"/>
    <n v="23"/>
    <x v="1"/>
    <x v="2"/>
    <x v="2"/>
    <n v="10.37"/>
    <n v="30"/>
    <x v="5"/>
    <x v="4"/>
    <n v="8.99"/>
    <x v="0"/>
    <x v="3"/>
    <n v="2"/>
    <n v="0.33"/>
    <x v="0"/>
  </r>
  <r>
    <s v="9c9899e3-1edf-4b8b-9c6d-ceedbc530a70"/>
    <n v="24"/>
    <x v="1"/>
    <x v="0"/>
    <x v="2"/>
    <n v="21.04"/>
    <n v="10"/>
    <x v="5"/>
    <x v="4"/>
    <n v="8.99"/>
    <x v="0"/>
    <x v="4"/>
    <n v="2"/>
    <n v="1.91"/>
    <x v="3"/>
  </r>
  <r>
    <s v="19e566a9-a789-4194-92eb-1a06b989a8d5"/>
    <n v="31"/>
    <x v="0"/>
    <x v="1"/>
    <x v="0"/>
    <n v="8.02"/>
    <n v="28"/>
    <x v="5"/>
    <x v="0"/>
    <n v="13.99"/>
    <x v="0"/>
    <x v="4"/>
    <n v="5"/>
    <n v="0.28000000000000003"/>
    <x v="0"/>
  </r>
  <r>
    <s v="46f6a6ef-156a-4979-892f-f6912d017577"/>
    <n v="29"/>
    <x v="0"/>
    <x v="0"/>
    <x v="2"/>
    <n v="0.36"/>
    <n v="3"/>
    <x v="0"/>
    <x v="2"/>
    <n v="8.99"/>
    <x v="1"/>
    <x v="1"/>
    <n v="4"/>
    <n v="0.09"/>
    <x v="2"/>
  </r>
  <r>
    <s v="7ff1a77b-f219-42d5-97cd-279306d9c7bc"/>
    <n v="26"/>
    <x v="0"/>
    <x v="2"/>
    <x v="2"/>
    <n v="2.04"/>
    <n v="59"/>
    <x v="2"/>
    <x v="1"/>
    <n v="8.99"/>
    <x v="1"/>
    <x v="2"/>
    <n v="5"/>
    <n v="0.03"/>
    <x v="0"/>
  </r>
  <r>
    <s v="fbd594ee-94ca-41dd-ac59-144c2ceb26c3"/>
    <n v="25"/>
    <x v="0"/>
    <x v="2"/>
    <x v="0"/>
    <n v="30.99"/>
    <n v="52"/>
    <x v="1"/>
    <x v="0"/>
    <n v="13.99"/>
    <x v="0"/>
    <x v="4"/>
    <n v="4"/>
    <n v="0.57999999999999996"/>
    <x v="2"/>
  </r>
  <r>
    <s v="8095be8a-3220-40ec-a3ad-6bbc2aee0cc9"/>
    <n v="33"/>
    <x v="0"/>
    <x v="1"/>
    <x v="2"/>
    <n v="20.059999999999999"/>
    <n v="32"/>
    <x v="2"/>
    <x v="4"/>
    <n v="8.99"/>
    <x v="0"/>
    <x v="1"/>
    <n v="3"/>
    <n v="0.61"/>
    <x v="0"/>
  </r>
  <r>
    <s v="a21b6747-ba7f-45cf-aac1-1356acb9c8ae"/>
    <n v="20"/>
    <x v="1"/>
    <x v="2"/>
    <x v="2"/>
    <n v="14.05"/>
    <n v="12"/>
    <x v="0"/>
    <x v="2"/>
    <n v="8.99"/>
    <x v="0"/>
    <x v="4"/>
    <n v="2"/>
    <n v="1.08"/>
    <x v="4"/>
  </r>
  <r>
    <s v="0627fc98-d9f7-49b9-a4cf-fd0b49f4e4d0"/>
    <n v="31"/>
    <x v="0"/>
    <x v="2"/>
    <x v="2"/>
    <n v="11.96"/>
    <n v="6"/>
    <x v="3"/>
    <x v="1"/>
    <n v="8.99"/>
    <x v="0"/>
    <x v="3"/>
    <n v="4"/>
    <n v="1.71"/>
    <x v="6"/>
  </r>
  <r>
    <s v="05bf2a9f-e720-4d01-8ef5-9110d6fca724"/>
    <n v="23"/>
    <x v="1"/>
    <x v="1"/>
    <x v="0"/>
    <n v="3.04"/>
    <n v="48"/>
    <x v="1"/>
    <x v="4"/>
    <n v="13.99"/>
    <x v="1"/>
    <x v="0"/>
    <n v="2"/>
    <n v="0.06"/>
    <x v="2"/>
  </r>
  <r>
    <s v="819a1e55-0a4e-4467-92b3-74936dc87ecd"/>
    <n v="27"/>
    <x v="0"/>
    <x v="0"/>
    <x v="0"/>
    <n v="0.21"/>
    <n v="44"/>
    <x v="3"/>
    <x v="2"/>
    <n v="13.99"/>
    <x v="1"/>
    <x v="4"/>
    <n v="3"/>
    <n v="0"/>
    <x v="5"/>
  </r>
  <r>
    <s v="1c1a7d6e-6ca7-4b92-9ca2-8497547c5ba1"/>
    <n v="25"/>
    <x v="0"/>
    <x v="0"/>
    <x v="2"/>
    <n v="21.23"/>
    <n v="10"/>
    <x v="3"/>
    <x v="1"/>
    <n v="8.99"/>
    <x v="0"/>
    <x v="1"/>
    <n v="1"/>
    <n v="1.93"/>
    <x v="2"/>
  </r>
  <r>
    <s v="3d90379c-6a89-4764-803b-b958c1a4e37a"/>
    <n v="24"/>
    <x v="1"/>
    <x v="0"/>
    <x v="1"/>
    <n v="0.65"/>
    <n v="34"/>
    <x v="3"/>
    <x v="2"/>
    <n v="17.989999999999998"/>
    <x v="1"/>
    <x v="4"/>
    <n v="4"/>
    <n v="0.02"/>
    <x v="0"/>
  </r>
  <r>
    <s v="8779474b-9c48-4042-ae79-b30c1e583e5d"/>
    <n v="18"/>
    <x v="1"/>
    <x v="1"/>
    <x v="1"/>
    <n v="17.010000000000002"/>
    <n v="43"/>
    <x v="2"/>
    <x v="3"/>
    <n v="17.989999999999998"/>
    <x v="1"/>
    <x v="3"/>
    <n v="2"/>
    <n v="0.39"/>
    <x v="0"/>
  </r>
  <r>
    <s v="66d3a92b-4c35-46e6-bf15-cb673be2aee2"/>
    <n v="27"/>
    <x v="0"/>
    <x v="2"/>
    <x v="1"/>
    <n v="2.95"/>
    <n v="30"/>
    <x v="2"/>
    <x v="3"/>
    <n v="17.989999999999998"/>
    <x v="1"/>
    <x v="3"/>
    <n v="2"/>
    <n v="0.1"/>
    <x v="2"/>
  </r>
  <r>
    <s v="5dd447db-64ce-4b28-b902-9ca4fa896a61"/>
    <n v="33"/>
    <x v="0"/>
    <x v="0"/>
    <x v="2"/>
    <n v="21.76"/>
    <n v="33"/>
    <x v="0"/>
    <x v="1"/>
    <n v="8.99"/>
    <x v="0"/>
    <x v="0"/>
    <n v="4"/>
    <n v="0.64"/>
    <x v="3"/>
  </r>
  <r>
    <s v="8fecb4d8-9571-46f5-8773-da640a6481bc"/>
    <n v="32"/>
    <x v="0"/>
    <x v="2"/>
    <x v="1"/>
    <n v="19.63"/>
    <n v="18"/>
    <x v="0"/>
    <x v="1"/>
    <n v="17.989999999999998"/>
    <x v="0"/>
    <x v="0"/>
    <n v="5"/>
    <n v="1.03"/>
    <x v="2"/>
  </r>
  <r>
    <s v="d3b99f7e-d0ac-4199-8813-91665f16b3fb"/>
    <n v="23"/>
    <x v="1"/>
    <x v="0"/>
    <x v="1"/>
    <n v="4.03"/>
    <n v="3"/>
    <x v="4"/>
    <x v="2"/>
    <n v="17.989999999999998"/>
    <x v="0"/>
    <x v="3"/>
    <n v="5"/>
    <n v="1.01"/>
    <x v="4"/>
  </r>
  <r>
    <s v="35fd09b4-e9f0-4d81-9839-c48198d46cf2"/>
    <n v="18"/>
    <x v="1"/>
    <x v="0"/>
    <x v="2"/>
    <n v="5.19"/>
    <n v="37"/>
    <x v="2"/>
    <x v="4"/>
    <n v="8.99"/>
    <x v="1"/>
    <x v="0"/>
    <n v="1"/>
    <n v="0.14000000000000001"/>
    <x v="4"/>
  </r>
  <r>
    <s v="cc5f3372-1199-4095-b04e-5d731f75390e"/>
    <n v="27"/>
    <x v="0"/>
    <x v="0"/>
    <x v="1"/>
    <n v="1.29"/>
    <n v="22"/>
    <x v="4"/>
    <x v="1"/>
    <n v="17.989999999999998"/>
    <x v="0"/>
    <x v="1"/>
    <n v="5"/>
    <n v="0.06"/>
    <x v="1"/>
  </r>
  <r>
    <s v="c7e0f909-6796-452d-a3fd-dc07966ec853"/>
    <n v="21"/>
    <x v="1"/>
    <x v="2"/>
    <x v="2"/>
    <n v="10.77"/>
    <n v="24"/>
    <x v="3"/>
    <x v="0"/>
    <n v="8.99"/>
    <x v="0"/>
    <x v="3"/>
    <n v="2"/>
    <n v="0.43"/>
    <x v="2"/>
  </r>
  <r>
    <s v="7016829c-88f3-4821-9fc1-ce5343e53906"/>
    <n v="31"/>
    <x v="0"/>
    <x v="0"/>
    <x v="1"/>
    <n v="1.02"/>
    <n v="39"/>
    <x v="5"/>
    <x v="1"/>
    <n v="17.989999999999998"/>
    <x v="1"/>
    <x v="0"/>
    <n v="3"/>
    <n v="0.03"/>
    <x v="0"/>
  </r>
  <r>
    <s v="8590233c-8a03-4da7-b235-d889a4ba10a7"/>
    <n v="27"/>
    <x v="0"/>
    <x v="1"/>
    <x v="1"/>
    <n v="30.11"/>
    <n v="3"/>
    <x v="3"/>
    <x v="2"/>
    <n v="17.989999999999998"/>
    <x v="0"/>
    <x v="0"/>
    <n v="3"/>
    <n v="7.53"/>
    <x v="4"/>
  </r>
  <r>
    <s v="391709dc-2122-409e-9e2c-0bcf6f96d131"/>
    <n v="19"/>
    <x v="1"/>
    <x v="2"/>
    <x v="1"/>
    <n v="1.98"/>
    <n v="26"/>
    <x v="0"/>
    <x v="1"/>
    <n v="17.989999999999998"/>
    <x v="0"/>
    <x v="3"/>
    <n v="4"/>
    <n v="7.0000000000000007E-2"/>
    <x v="2"/>
  </r>
  <r>
    <s v="c5012664-e999-48d6-ba20-5a7c51f6f262"/>
    <n v="30"/>
    <x v="0"/>
    <x v="1"/>
    <x v="2"/>
    <n v="14.06"/>
    <n v="50"/>
    <x v="4"/>
    <x v="1"/>
    <n v="8.99"/>
    <x v="1"/>
    <x v="4"/>
    <n v="1"/>
    <n v="0.28000000000000003"/>
    <x v="5"/>
  </r>
  <r>
    <s v="bf6a8e72-8dbc-4f8c-8e6e-77f94994af64"/>
    <n v="24"/>
    <x v="1"/>
    <x v="2"/>
    <x v="0"/>
    <n v="8.9600000000000009"/>
    <n v="34"/>
    <x v="2"/>
    <x v="2"/>
    <n v="13.99"/>
    <x v="1"/>
    <x v="4"/>
    <n v="2"/>
    <n v="0.26"/>
    <x v="1"/>
  </r>
  <r>
    <s v="d727f89d-d107-459c-a343-4c7c59015831"/>
    <n v="30"/>
    <x v="0"/>
    <x v="0"/>
    <x v="0"/>
    <n v="1.21"/>
    <n v="14"/>
    <x v="1"/>
    <x v="0"/>
    <n v="13.99"/>
    <x v="1"/>
    <x v="0"/>
    <n v="5"/>
    <n v="0.08"/>
    <x v="0"/>
  </r>
  <r>
    <s v="571a05dc-0525-4962-81b2-e2debf902229"/>
    <n v="30"/>
    <x v="0"/>
    <x v="0"/>
    <x v="2"/>
    <n v="7.59"/>
    <n v="36"/>
    <x v="5"/>
    <x v="2"/>
    <n v="8.99"/>
    <x v="1"/>
    <x v="2"/>
    <n v="3"/>
    <n v="0.21"/>
    <x v="2"/>
  </r>
  <r>
    <s v="01717096-8d78-4952-8e2a-2b736796d452"/>
    <n v="26"/>
    <x v="0"/>
    <x v="2"/>
    <x v="2"/>
    <n v="22.41"/>
    <n v="15"/>
    <x v="2"/>
    <x v="4"/>
    <n v="8.99"/>
    <x v="0"/>
    <x v="4"/>
    <n v="4"/>
    <n v="1.4"/>
    <x v="3"/>
  </r>
  <r>
    <s v="65ff28ce-5167-4737-b5e6-68c27a6a6d8a"/>
    <n v="19"/>
    <x v="1"/>
    <x v="2"/>
    <x v="2"/>
    <n v="12.3"/>
    <n v="29"/>
    <x v="5"/>
    <x v="3"/>
    <n v="8.99"/>
    <x v="1"/>
    <x v="1"/>
    <n v="1"/>
    <n v="0.41"/>
    <x v="0"/>
  </r>
  <r>
    <s v="235a56c4-10be-43f0-ac08-14a913cd1569"/>
    <n v="33"/>
    <x v="0"/>
    <x v="1"/>
    <x v="2"/>
    <n v="29.76"/>
    <n v="50"/>
    <x v="1"/>
    <x v="2"/>
    <n v="8.99"/>
    <x v="0"/>
    <x v="0"/>
    <n v="3"/>
    <n v="0.57999999999999996"/>
    <x v="3"/>
  </r>
  <r>
    <s v="05b69fb9-1cd4-4eb2-866b-392801328417"/>
    <n v="21"/>
    <x v="1"/>
    <x v="1"/>
    <x v="2"/>
    <n v="18.91"/>
    <n v="36"/>
    <x v="0"/>
    <x v="3"/>
    <n v="8.99"/>
    <x v="1"/>
    <x v="1"/>
    <n v="1"/>
    <n v="0.51"/>
    <x v="2"/>
  </r>
  <r>
    <s v="537ac1c5-a609-4780-94eb-517b0e64ae21"/>
    <n v="30"/>
    <x v="0"/>
    <x v="0"/>
    <x v="1"/>
    <n v="1.85"/>
    <n v="5"/>
    <x v="1"/>
    <x v="1"/>
    <n v="17.989999999999998"/>
    <x v="0"/>
    <x v="1"/>
    <n v="5"/>
    <n v="0.31"/>
    <x v="0"/>
  </r>
  <r>
    <s v="373df7a9-5e18-427a-982f-59e95851f9d7"/>
    <n v="23"/>
    <x v="1"/>
    <x v="1"/>
    <x v="2"/>
    <n v="28.57"/>
    <n v="55"/>
    <x v="5"/>
    <x v="3"/>
    <n v="8.99"/>
    <x v="0"/>
    <x v="3"/>
    <n v="3"/>
    <n v="0.51"/>
    <x v="0"/>
  </r>
  <r>
    <s v="98b673eb-edbf-4aa3-81d9-b6cb512beb47"/>
    <n v="21"/>
    <x v="1"/>
    <x v="1"/>
    <x v="1"/>
    <n v="12.34"/>
    <n v="19"/>
    <x v="5"/>
    <x v="0"/>
    <n v="17.989999999999998"/>
    <x v="0"/>
    <x v="1"/>
    <n v="3"/>
    <n v="0.62"/>
    <x v="4"/>
  </r>
  <r>
    <s v="9359e195-d2cd-4e6d-acdf-3cc04acb7545"/>
    <n v="29"/>
    <x v="0"/>
    <x v="2"/>
    <x v="0"/>
    <n v="10.76"/>
    <n v="50"/>
    <x v="2"/>
    <x v="2"/>
    <n v="13.99"/>
    <x v="1"/>
    <x v="3"/>
    <n v="2"/>
    <n v="0.21"/>
    <x v="0"/>
  </r>
  <r>
    <s v="b1990fc7-29ce-4129-a239-b95591db2fe3"/>
    <n v="22"/>
    <x v="1"/>
    <x v="1"/>
    <x v="1"/>
    <n v="13.72"/>
    <n v="59"/>
    <x v="0"/>
    <x v="3"/>
    <n v="17.989999999999998"/>
    <x v="1"/>
    <x v="0"/>
    <n v="5"/>
    <n v="0.23"/>
    <x v="0"/>
  </r>
  <r>
    <s v="ba8c3b67-e723-4833-8515-1909eb090ffc"/>
    <n v="28"/>
    <x v="0"/>
    <x v="2"/>
    <x v="0"/>
    <n v="22.78"/>
    <n v="16"/>
    <x v="5"/>
    <x v="1"/>
    <n v="13.99"/>
    <x v="0"/>
    <x v="1"/>
    <n v="5"/>
    <n v="1.34"/>
    <x v="6"/>
  </r>
  <r>
    <s v="b2dabfea-7d61-4505-8d8b-15194d98a3c1"/>
    <n v="29"/>
    <x v="0"/>
    <x v="2"/>
    <x v="1"/>
    <n v="14.85"/>
    <n v="10"/>
    <x v="0"/>
    <x v="4"/>
    <n v="17.989999999999998"/>
    <x v="0"/>
    <x v="2"/>
    <n v="1"/>
    <n v="1.35"/>
    <x v="2"/>
  </r>
  <r>
    <s v="3ae5e0f7-8bff-4310-b002-0d99213fadad"/>
    <n v="31"/>
    <x v="0"/>
    <x v="1"/>
    <x v="2"/>
    <n v="14.07"/>
    <n v="52"/>
    <x v="1"/>
    <x v="3"/>
    <n v="8.99"/>
    <x v="1"/>
    <x v="4"/>
    <n v="3"/>
    <n v="0.27"/>
    <x v="4"/>
  </r>
  <r>
    <s v="c8a35af6-aa05-410a-85f0-e8ea8e13d69a"/>
    <n v="26"/>
    <x v="0"/>
    <x v="1"/>
    <x v="0"/>
    <n v="4.8600000000000003"/>
    <n v="19"/>
    <x v="2"/>
    <x v="2"/>
    <n v="13.99"/>
    <x v="0"/>
    <x v="3"/>
    <n v="4"/>
    <n v="0.24"/>
    <x v="0"/>
  </r>
  <r>
    <s v="a02f28e9-2264-4b14-b562-3098301b12fd"/>
    <n v="18"/>
    <x v="1"/>
    <x v="0"/>
    <x v="2"/>
    <n v="1.82"/>
    <n v="46"/>
    <x v="2"/>
    <x v="4"/>
    <n v="8.99"/>
    <x v="1"/>
    <x v="2"/>
    <n v="3"/>
    <n v="0.04"/>
    <x v="4"/>
  </r>
  <r>
    <s v="e3d31a6c-7408-4ad9-a763-ea9a744f27de"/>
    <n v="28"/>
    <x v="0"/>
    <x v="0"/>
    <x v="0"/>
    <n v="4.3899999999999997"/>
    <n v="14"/>
    <x v="4"/>
    <x v="4"/>
    <n v="13.99"/>
    <x v="1"/>
    <x v="1"/>
    <n v="2"/>
    <n v="0.28999999999999998"/>
    <x v="4"/>
  </r>
  <r>
    <s v="9ae480fe-dab2-482a-86cc-d7ad530f7704"/>
    <n v="29"/>
    <x v="0"/>
    <x v="1"/>
    <x v="0"/>
    <n v="4.33"/>
    <n v="25"/>
    <x v="1"/>
    <x v="2"/>
    <n v="13.99"/>
    <x v="0"/>
    <x v="2"/>
    <n v="4"/>
    <n v="0.17"/>
    <x v="4"/>
  </r>
  <r>
    <s v="6af7638e-274b-40ba-8035-97b8d5181611"/>
    <n v="26"/>
    <x v="0"/>
    <x v="1"/>
    <x v="1"/>
    <n v="11.35"/>
    <n v="37"/>
    <x v="5"/>
    <x v="4"/>
    <n v="17.989999999999998"/>
    <x v="1"/>
    <x v="3"/>
    <n v="2"/>
    <n v="0.3"/>
    <x v="4"/>
  </r>
  <r>
    <s v="892594b0-7698-4b09-9093-39ed12e147ae"/>
    <n v="18"/>
    <x v="1"/>
    <x v="0"/>
    <x v="2"/>
    <n v="13.51"/>
    <n v="53"/>
    <x v="4"/>
    <x v="1"/>
    <n v="8.99"/>
    <x v="1"/>
    <x v="1"/>
    <n v="4"/>
    <n v="0.25"/>
    <x v="5"/>
  </r>
  <r>
    <s v="9f356c38-182c-4951-b612-e9412297b50d"/>
    <n v="18"/>
    <x v="1"/>
    <x v="1"/>
    <x v="2"/>
    <n v="3.89"/>
    <n v="33"/>
    <x v="1"/>
    <x v="4"/>
    <n v="8.99"/>
    <x v="1"/>
    <x v="1"/>
    <n v="1"/>
    <n v="0.11"/>
    <x v="3"/>
  </r>
  <r>
    <s v="63daec73-9ae1-4781-ba06-3950acff9ba6"/>
    <n v="29"/>
    <x v="0"/>
    <x v="0"/>
    <x v="2"/>
    <n v="8.48"/>
    <n v="39"/>
    <x v="3"/>
    <x v="0"/>
    <n v="8.99"/>
    <x v="1"/>
    <x v="1"/>
    <n v="5"/>
    <n v="0.21"/>
    <x v="4"/>
  </r>
  <r>
    <s v="dfbbbb1b-d847-42c1-920c-2e08ad6b3481"/>
    <n v="24"/>
    <x v="1"/>
    <x v="2"/>
    <x v="1"/>
    <n v="9.02"/>
    <n v="26"/>
    <x v="4"/>
    <x v="3"/>
    <n v="17.989999999999998"/>
    <x v="0"/>
    <x v="1"/>
    <n v="4"/>
    <n v="0.33"/>
    <x v="6"/>
  </r>
  <r>
    <s v="7159f13c-01b8-4c3c-8d77-8a60df9e2653"/>
    <n v="29"/>
    <x v="0"/>
    <x v="1"/>
    <x v="0"/>
    <n v="53.2"/>
    <n v="49"/>
    <x v="2"/>
    <x v="1"/>
    <n v="13.99"/>
    <x v="0"/>
    <x v="0"/>
    <n v="5"/>
    <n v="1.06"/>
    <x v="6"/>
  </r>
  <r>
    <s v="7aeada68-2ac1-4864-8292-82cc19d446da"/>
    <n v="21"/>
    <x v="1"/>
    <x v="1"/>
    <x v="1"/>
    <n v="4.21"/>
    <n v="31"/>
    <x v="1"/>
    <x v="1"/>
    <n v="17.989999999999998"/>
    <x v="1"/>
    <x v="4"/>
    <n v="5"/>
    <n v="0.13"/>
    <x v="5"/>
  </r>
  <r>
    <s v="0886815c-00c9-4177-bd6b-86b3d1610606"/>
    <n v="18"/>
    <x v="1"/>
    <x v="1"/>
    <x v="1"/>
    <n v="7.15"/>
    <n v="9"/>
    <x v="1"/>
    <x v="1"/>
    <n v="17.989999999999998"/>
    <x v="0"/>
    <x v="1"/>
    <n v="3"/>
    <n v="0.72"/>
    <x v="1"/>
  </r>
  <r>
    <s v="2e24691d-31e2-4802-af7a-2e2fd8afbee8"/>
    <n v="33"/>
    <x v="0"/>
    <x v="2"/>
    <x v="0"/>
    <n v="0.93"/>
    <n v="4"/>
    <x v="0"/>
    <x v="4"/>
    <n v="13.99"/>
    <x v="1"/>
    <x v="0"/>
    <n v="1"/>
    <n v="0.19"/>
    <x v="6"/>
  </r>
  <r>
    <s v="7d314499-d7e9-4619-a054-c17d976d3aa4"/>
    <n v="21"/>
    <x v="1"/>
    <x v="0"/>
    <x v="0"/>
    <n v="13.77"/>
    <n v="45"/>
    <x v="2"/>
    <x v="1"/>
    <n v="13.99"/>
    <x v="1"/>
    <x v="3"/>
    <n v="1"/>
    <n v="0.3"/>
    <x v="2"/>
  </r>
  <r>
    <s v="22ada47b-5f63-44bc-ac7b-24989a5de212"/>
    <n v="29"/>
    <x v="0"/>
    <x v="0"/>
    <x v="0"/>
    <n v="1.56"/>
    <n v="10"/>
    <x v="1"/>
    <x v="4"/>
    <n v="13.99"/>
    <x v="1"/>
    <x v="4"/>
    <n v="5"/>
    <n v="0.14000000000000001"/>
    <x v="2"/>
  </r>
  <r>
    <s v="0ae85af3-f96d-4d82-a2a0-72b0c0db8529"/>
    <n v="20"/>
    <x v="1"/>
    <x v="1"/>
    <x v="0"/>
    <n v="31.73"/>
    <n v="46"/>
    <x v="3"/>
    <x v="4"/>
    <n v="13.99"/>
    <x v="0"/>
    <x v="2"/>
    <n v="1"/>
    <n v="0.68"/>
    <x v="0"/>
  </r>
  <r>
    <s v="7c7cb0de-6a7a-4c38-91df-959c1fa55547"/>
    <n v="25"/>
    <x v="0"/>
    <x v="0"/>
    <x v="2"/>
    <n v="1.84"/>
    <n v="5"/>
    <x v="5"/>
    <x v="1"/>
    <n v="8.99"/>
    <x v="1"/>
    <x v="3"/>
    <n v="5"/>
    <n v="0.31"/>
    <x v="6"/>
  </r>
  <r>
    <s v="4e66e2a1-2aa8-42eb-9372-1a01a6f04a8c"/>
    <n v="27"/>
    <x v="0"/>
    <x v="2"/>
    <x v="0"/>
    <n v="5.32"/>
    <n v="54"/>
    <x v="1"/>
    <x v="3"/>
    <n v="13.99"/>
    <x v="0"/>
    <x v="3"/>
    <n v="4"/>
    <n v="0.1"/>
    <x v="0"/>
  </r>
  <r>
    <s v="f29753d3-885d-4d69-a71c-5ac46637749e"/>
    <n v="24"/>
    <x v="1"/>
    <x v="2"/>
    <x v="1"/>
    <n v="12.65"/>
    <n v="23"/>
    <x v="4"/>
    <x v="4"/>
    <n v="17.989999999999998"/>
    <x v="0"/>
    <x v="1"/>
    <n v="3"/>
    <n v="0.53"/>
    <x v="1"/>
  </r>
  <r>
    <s v="1b43ab83-77a5-4a8f-b68c-bbb2d21d310f"/>
    <n v="18"/>
    <x v="1"/>
    <x v="0"/>
    <x v="0"/>
    <n v="2.14"/>
    <n v="44"/>
    <x v="4"/>
    <x v="3"/>
    <n v="13.99"/>
    <x v="1"/>
    <x v="4"/>
    <n v="3"/>
    <n v="0.05"/>
    <x v="1"/>
  </r>
  <r>
    <s v="51cf9141-4056-4062-85a8-43eb7e6272bc"/>
    <n v="27"/>
    <x v="0"/>
    <x v="2"/>
    <x v="0"/>
    <n v="6.49"/>
    <n v="46"/>
    <x v="2"/>
    <x v="1"/>
    <n v="13.99"/>
    <x v="1"/>
    <x v="1"/>
    <n v="3"/>
    <n v="0.14000000000000001"/>
    <x v="0"/>
  </r>
  <r>
    <s v="3e453410-a025-42af-b464-f536ad03a150"/>
    <n v="24"/>
    <x v="1"/>
    <x v="0"/>
    <x v="2"/>
    <n v="3.11"/>
    <n v="11"/>
    <x v="0"/>
    <x v="4"/>
    <n v="8.99"/>
    <x v="1"/>
    <x v="2"/>
    <n v="2"/>
    <n v="0.26"/>
    <x v="6"/>
  </r>
  <r>
    <s v="b68c53e7-4c9f-4258-95b7-c73c28850f7c"/>
    <n v="26"/>
    <x v="0"/>
    <x v="1"/>
    <x v="0"/>
    <n v="20.49"/>
    <n v="53"/>
    <x v="5"/>
    <x v="1"/>
    <n v="13.99"/>
    <x v="0"/>
    <x v="4"/>
    <n v="5"/>
    <n v="0.38"/>
    <x v="6"/>
  </r>
  <r>
    <s v="07ca6c7a-e7fb-498f-91b1-621fc7effa83"/>
    <n v="27"/>
    <x v="0"/>
    <x v="1"/>
    <x v="2"/>
    <n v="19.48"/>
    <n v="16"/>
    <x v="5"/>
    <x v="3"/>
    <n v="8.99"/>
    <x v="0"/>
    <x v="1"/>
    <n v="3"/>
    <n v="1.1499999999999999"/>
    <x v="4"/>
  </r>
  <r>
    <s v="f9506e2a-6a22-4945-bb7b-0719c94e9258"/>
    <n v="23"/>
    <x v="1"/>
    <x v="1"/>
    <x v="0"/>
    <n v="17.54"/>
    <n v="40"/>
    <x v="0"/>
    <x v="1"/>
    <n v="13.99"/>
    <x v="1"/>
    <x v="4"/>
    <n v="5"/>
    <n v="0.43"/>
    <x v="0"/>
  </r>
  <r>
    <s v="fbb0e169-5635-4785-8c4c-d8aca6bc724d"/>
    <n v="19"/>
    <x v="1"/>
    <x v="2"/>
    <x v="0"/>
    <n v="13.21"/>
    <n v="31"/>
    <x v="2"/>
    <x v="2"/>
    <n v="13.99"/>
    <x v="1"/>
    <x v="2"/>
    <n v="2"/>
    <n v="0.41"/>
    <x v="3"/>
  </r>
  <r>
    <s v="fb521689-6488-481f-b8eb-bacbf056f385"/>
    <n v="29"/>
    <x v="0"/>
    <x v="2"/>
    <x v="0"/>
    <n v="11.42"/>
    <n v="16"/>
    <x v="4"/>
    <x v="0"/>
    <n v="13.99"/>
    <x v="0"/>
    <x v="3"/>
    <n v="5"/>
    <n v="0.67"/>
    <x v="1"/>
  </r>
  <r>
    <s v="8c9f805b-1cea-4395-904e-7a5a310e9234"/>
    <n v="31"/>
    <x v="0"/>
    <x v="1"/>
    <x v="0"/>
    <n v="10.199999999999999"/>
    <n v="18"/>
    <x v="0"/>
    <x v="3"/>
    <n v="13.99"/>
    <x v="0"/>
    <x v="4"/>
    <n v="5"/>
    <n v="0.54"/>
    <x v="1"/>
  </r>
  <r>
    <s v="6f90adfd-ddf0-49e9-ac0b-7833fad27958"/>
    <n v="20"/>
    <x v="1"/>
    <x v="1"/>
    <x v="0"/>
    <n v="0.79"/>
    <n v="23"/>
    <x v="2"/>
    <x v="4"/>
    <n v="13.99"/>
    <x v="0"/>
    <x v="3"/>
    <n v="4"/>
    <n v="0.03"/>
    <x v="0"/>
  </r>
  <r>
    <s v="fdbb7c09-86b4-4a59-9772-021f06656aae"/>
    <n v="22"/>
    <x v="1"/>
    <x v="2"/>
    <x v="2"/>
    <n v="23.81"/>
    <n v="23"/>
    <x v="3"/>
    <x v="3"/>
    <n v="8.99"/>
    <x v="0"/>
    <x v="3"/>
    <n v="1"/>
    <n v="0.99"/>
    <x v="1"/>
  </r>
  <r>
    <s v="7106a199-919c-4dca-bcdd-50de7516208c"/>
    <n v="29"/>
    <x v="0"/>
    <x v="1"/>
    <x v="2"/>
    <n v="9.08"/>
    <n v="39"/>
    <x v="0"/>
    <x v="2"/>
    <n v="8.99"/>
    <x v="1"/>
    <x v="4"/>
    <n v="5"/>
    <n v="0.23"/>
    <x v="2"/>
  </r>
  <r>
    <s v="376a8158-1184-4952-ad53-914e27bc8d2e"/>
    <n v="21"/>
    <x v="1"/>
    <x v="0"/>
    <x v="1"/>
    <n v="4.07"/>
    <n v="56"/>
    <x v="2"/>
    <x v="3"/>
    <n v="17.989999999999998"/>
    <x v="1"/>
    <x v="2"/>
    <n v="4"/>
    <n v="7.0000000000000007E-2"/>
    <x v="3"/>
  </r>
  <r>
    <s v="9a579630-34ed-41af-9605-6d16463f51a3"/>
    <n v="31"/>
    <x v="0"/>
    <x v="2"/>
    <x v="2"/>
    <n v="4.83"/>
    <n v="15"/>
    <x v="1"/>
    <x v="1"/>
    <n v="8.99"/>
    <x v="1"/>
    <x v="2"/>
    <n v="4"/>
    <n v="0.3"/>
    <x v="2"/>
  </r>
  <r>
    <s v="8045a861-a968-4b58-89c6-dc15c6fd41e8"/>
    <n v="24"/>
    <x v="1"/>
    <x v="0"/>
    <x v="1"/>
    <n v="2.48"/>
    <n v="19"/>
    <x v="4"/>
    <x v="2"/>
    <n v="17.989999999999998"/>
    <x v="1"/>
    <x v="1"/>
    <n v="2"/>
    <n v="0.12"/>
    <x v="6"/>
  </r>
  <r>
    <s v="ea08302a-40c0-4e80-a0f6-0d4de8353a19"/>
    <n v="28"/>
    <x v="0"/>
    <x v="1"/>
    <x v="2"/>
    <n v="22.74"/>
    <n v="28"/>
    <x v="2"/>
    <x v="0"/>
    <n v="8.99"/>
    <x v="0"/>
    <x v="4"/>
    <n v="1"/>
    <n v="0.78"/>
    <x v="6"/>
  </r>
  <r>
    <s v="3386b0b9-c2dd-4bc0-aa2f-87fbd712d354"/>
    <n v="24"/>
    <x v="1"/>
    <x v="0"/>
    <x v="2"/>
    <n v="3.74"/>
    <n v="38"/>
    <x v="3"/>
    <x v="1"/>
    <n v="8.99"/>
    <x v="1"/>
    <x v="1"/>
    <n v="4"/>
    <n v="0.1"/>
    <x v="0"/>
  </r>
  <r>
    <s v="d5146e9c-493c-4165-a588-0340f585331c"/>
    <n v="24"/>
    <x v="1"/>
    <x v="0"/>
    <x v="2"/>
    <n v="5.25"/>
    <n v="28"/>
    <x v="0"/>
    <x v="1"/>
    <n v="8.99"/>
    <x v="0"/>
    <x v="4"/>
    <n v="4"/>
    <n v="0.18"/>
    <x v="1"/>
  </r>
  <r>
    <s v="431c392c-36ca-4def-955a-566f02823c23"/>
    <n v="28"/>
    <x v="0"/>
    <x v="1"/>
    <x v="2"/>
    <n v="13.38"/>
    <n v="23"/>
    <x v="4"/>
    <x v="0"/>
    <n v="8.99"/>
    <x v="0"/>
    <x v="4"/>
    <n v="1"/>
    <n v="0.56000000000000005"/>
    <x v="6"/>
  </r>
  <r>
    <s v="57ffc492-dcb6-416b-a4f3-7109014eb262"/>
    <n v="26"/>
    <x v="0"/>
    <x v="0"/>
    <x v="1"/>
    <n v="3.87"/>
    <n v="45"/>
    <x v="0"/>
    <x v="0"/>
    <n v="17.989999999999998"/>
    <x v="1"/>
    <x v="4"/>
    <n v="2"/>
    <n v="0.08"/>
    <x v="5"/>
  </r>
  <r>
    <s v="ecbbc218-4c84-4f64-bb43-ea339a091b4b"/>
    <n v="25"/>
    <x v="0"/>
    <x v="0"/>
    <x v="1"/>
    <n v="6.49"/>
    <n v="14"/>
    <x v="4"/>
    <x v="4"/>
    <n v="17.989999999999998"/>
    <x v="0"/>
    <x v="2"/>
    <n v="1"/>
    <n v="0.43"/>
    <x v="0"/>
  </r>
  <r>
    <s v="e8f09351-f30e-4e46-9128-fd3307db7769"/>
    <n v="21"/>
    <x v="1"/>
    <x v="2"/>
    <x v="0"/>
    <n v="1.02"/>
    <n v="23"/>
    <x v="0"/>
    <x v="4"/>
    <n v="13.99"/>
    <x v="1"/>
    <x v="3"/>
    <n v="3"/>
    <n v="0.04"/>
    <x v="5"/>
  </r>
  <r>
    <s v="e9063abe-14f1-4a30-ac69-04109b0bd3a6"/>
    <n v="34"/>
    <x v="0"/>
    <x v="2"/>
    <x v="2"/>
    <n v="0.35"/>
    <n v="57"/>
    <x v="0"/>
    <x v="0"/>
    <n v="8.99"/>
    <x v="1"/>
    <x v="4"/>
    <n v="1"/>
    <n v="0.01"/>
    <x v="1"/>
  </r>
  <r>
    <s v="0d120f0a-8b1e-4a3f-8f4c-b9da5114d22e"/>
    <n v="19"/>
    <x v="1"/>
    <x v="0"/>
    <x v="1"/>
    <n v="11.97"/>
    <n v="17"/>
    <x v="4"/>
    <x v="3"/>
    <n v="17.989999999999998"/>
    <x v="0"/>
    <x v="3"/>
    <n v="4"/>
    <n v="0.67"/>
    <x v="3"/>
  </r>
  <r>
    <s v="4bb417fa-6c40-4649-a180-c6e5c6011565"/>
    <n v="21"/>
    <x v="1"/>
    <x v="2"/>
    <x v="0"/>
    <n v="0.66"/>
    <n v="5"/>
    <x v="2"/>
    <x v="1"/>
    <n v="13.99"/>
    <x v="1"/>
    <x v="0"/>
    <n v="1"/>
    <n v="0.11"/>
    <x v="2"/>
  </r>
  <r>
    <s v="89c72886-d4cd-472c-82f4-82a56283ff8c"/>
    <n v="27"/>
    <x v="0"/>
    <x v="2"/>
    <x v="1"/>
    <n v="1.04"/>
    <n v="26"/>
    <x v="4"/>
    <x v="1"/>
    <n v="17.989999999999998"/>
    <x v="0"/>
    <x v="3"/>
    <n v="4"/>
    <n v="0.04"/>
    <x v="5"/>
  </r>
  <r>
    <s v="1d6b8014-2fc0-431e-aa3e-4754e38b957d"/>
    <n v="31"/>
    <x v="0"/>
    <x v="2"/>
    <x v="2"/>
    <n v="21.84"/>
    <n v="44"/>
    <x v="2"/>
    <x v="1"/>
    <n v="8.99"/>
    <x v="1"/>
    <x v="3"/>
    <n v="2"/>
    <n v="0.49"/>
    <x v="5"/>
  </r>
  <r>
    <s v="73062adc-8195-4300-838c-e746775a3183"/>
    <n v="19"/>
    <x v="1"/>
    <x v="0"/>
    <x v="0"/>
    <n v="35.54"/>
    <n v="58"/>
    <x v="1"/>
    <x v="0"/>
    <n v="13.99"/>
    <x v="0"/>
    <x v="1"/>
    <n v="5"/>
    <n v="0.6"/>
    <x v="5"/>
  </r>
  <r>
    <s v="ec5c1648-1c9b-42ec-932f-3303d2f85fbf"/>
    <n v="31"/>
    <x v="0"/>
    <x v="1"/>
    <x v="2"/>
    <n v="33.1"/>
    <n v="28"/>
    <x v="2"/>
    <x v="1"/>
    <n v="8.99"/>
    <x v="0"/>
    <x v="2"/>
    <n v="2"/>
    <n v="1.1399999999999999"/>
    <x v="0"/>
  </r>
  <r>
    <s v="1c2f812e-ae76-46aa-ba56-e47b71e83832"/>
    <n v="28"/>
    <x v="0"/>
    <x v="2"/>
    <x v="0"/>
    <n v="6.56"/>
    <n v="30"/>
    <x v="4"/>
    <x v="1"/>
    <n v="13.99"/>
    <x v="0"/>
    <x v="1"/>
    <n v="4"/>
    <n v="0.21"/>
    <x v="6"/>
  </r>
  <r>
    <s v="88700df7-f82a-4264-9795-7dbce785fddd"/>
    <n v="21"/>
    <x v="1"/>
    <x v="0"/>
    <x v="0"/>
    <n v="9.1300000000000008"/>
    <n v="7"/>
    <x v="3"/>
    <x v="1"/>
    <n v="13.99"/>
    <x v="0"/>
    <x v="1"/>
    <n v="1"/>
    <n v="1.1399999999999999"/>
    <x v="0"/>
  </r>
  <r>
    <s v="b85a5deb-eba1-4241-a0c4-ad0cc05072b3"/>
    <n v="22"/>
    <x v="1"/>
    <x v="2"/>
    <x v="1"/>
    <n v="37.119999999999997"/>
    <n v="36"/>
    <x v="1"/>
    <x v="3"/>
    <n v="17.989999999999998"/>
    <x v="0"/>
    <x v="1"/>
    <n v="2"/>
    <n v="1"/>
    <x v="6"/>
  </r>
  <r>
    <s v="dd3c1cea-8f2b-4191-ab60-ecf158741648"/>
    <n v="25"/>
    <x v="0"/>
    <x v="1"/>
    <x v="2"/>
    <n v="13.34"/>
    <n v="49"/>
    <x v="3"/>
    <x v="3"/>
    <n v="8.99"/>
    <x v="1"/>
    <x v="2"/>
    <n v="1"/>
    <n v="0.27"/>
    <x v="3"/>
  </r>
  <r>
    <s v="96dd615f-2a29-4b16-8c77-24d24cfccee9"/>
    <n v="28"/>
    <x v="0"/>
    <x v="2"/>
    <x v="1"/>
    <n v="17.43"/>
    <n v="36"/>
    <x v="4"/>
    <x v="3"/>
    <n v="17.989999999999998"/>
    <x v="1"/>
    <x v="0"/>
    <n v="3"/>
    <n v="0.47"/>
    <x v="0"/>
  </r>
  <r>
    <s v="1954befc-d7f8-4599-9ed6-70debad7d22f"/>
    <n v="30"/>
    <x v="0"/>
    <x v="2"/>
    <x v="0"/>
    <n v="3.31"/>
    <n v="29"/>
    <x v="0"/>
    <x v="0"/>
    <n v="13.99"/>
    <x v="1"/>
    <x v="1"/>
    <n v="1"/>
    <n v="0.11"/>
    <x v="5"/>
  </r>
  <r>
    <s v="454a2114-082e-4421-9edb-12f83e186686"/>
    <n v="27"/>
    <x v="0"/>
    <x v="2"/>
    <x v="0"/>
    <n v="25.23"/>
    <n v="20"/>
    <x v="2"/>
    <x v="2"/>
    <n v="13.99"/>
    <x v="0"/>
    <x v="1"/>
    <n v="5"/>
    <n v="1.2"/>
    <x v="0"/>
  </r>
  <r>
    <s v="9efa65da-9012-443d-8e26-ec27937ea9d1"/>
    <n v="21"/>
    <x v="1"/>
    <x v="1"/>
    <x v="1"/>
    <n v="13.63"/>
    <n v="3"/>
    <x v="0"/>
    <x v="1"/>
    <n v="17.989999999999998"/>
    <x v="0"/>
    <x v="0"/>
    <n v="1"/>
    <n v="3.41"/>
    <x v="1"/>
  </r>
  <r>
    <s v="f57ae19e-fab1-45e4-9372-c2574a68aa43"/>
    <n v="22"/>
    <x v="1"/>
    <x v="2"/>
    <x v="1"/>
    <n v="18.97"/>
    <n v="55"/>
    <x v="4"/>
    <x v="4"/>
    <n v="17.989999999999998"/>
    <x v="1"/>
    <x v="2"/>
    <n v="2"/>
    <n v="0.34"/>
    <x v="4"/>
  </r>
  <r>
    <s v="27e77aca-ad72-4a6b-bda0-c438d5aa92e9"/>
    <n v="29"/>
    <x v="0"/>
    <x v="2"/>
    <x v="0"/>
    <n v="13.38"/>
    <n v="14"/>
    <x v="4"/>
    <x v="0"/>
    <n v="13.99"/>
    <x v="0"/>
    <x v="3"/>
    <n v="5"/>
    <n v="0.89"/>
    <x v="2"/>
  </r>
  <r>
    <s v="f3848a3d-1201-49b8-bb23-7cbc6a08368b"/>
    <n v="22"/>
    <x v="1"/>
    <x v="1"/>
    <x v="0"/>
    <n v="25.13"/>
    <n v="1"/>
    <x v="3"/>
    <x v="3"/>
    <n v="13.99"/>
    <x v="0"/>
    <x v="4"/>
    <n v="2"/>
    <n v="12.56"/>
    <x v="4"/>
  </r>
  <r>
    <s v="8f35fbad-1939-4a3c-a811-bbe07ef61935"/>
    <n v="33"/>
    <x v="0"/>
    <x v="0"/>
    <x v="1"/>
    <n v="0.44"/>
    <n v="17"/>
    <x v="4"/>
    <x v="2"/>
    <n v="17.989999999999998"/>
    <x v="1"/>
    <x v="0"/>
    <n v="4"/>
    <n v="0.02"/>
    <x v="4"/>
  </r>
  <r>
    <s v="6138f11f-9232-4a82-bed6-c62b92161da7"/>
    <n v="21"/>
    <x v="1"/>
    <x v="1"/>
    <x v="2"/>
    <n v="20.67"/>
    <n v="38"/>
    <x v="4"/>
    <x v="0"/>
    <n v="8.99"/>
    <x v="1"/>
    <x v="0"/>
    <n v="1"/>
    <n v="0.53"/>
    <x v="1"/>
  </r>
  <r>
    <s v="355644db-e0bf-43b2-8be7-36a1205265c7"/>
    <n v="32"/>
    <x v="0"/>
    <x v="2"/>
    <x v="0"/>
    <n v="2.91"/>
    <n v="13"/>
    <x v="3"/>
    <x v="4"/>
    <n v="13.99"/>
    <x v="1"/>
    <x v="0"/>
    <n v="2"/>
    <n v="0.21"/>
    <x v="4"/>
  </r>
  <r>
    <s v="86966fb9-ef7f-481f-a784-e39ac267b56f"/>
    <n v="22"/>
    <x v="1"/>
    <x v="0"/>
    <x v="0"/>
    <n v="0.63"/>
    <n v="9"/>
    <x v="1"/>
    <x v="4"/>
    <n v="13.99"/>
    <x v="1"/>
    <x v="1"/>
    <n v="3"/>
    <n v="0.06"/>
    <x v="3"/>
  </r>
  <r>
    <s v="94fc55c1-643c-481f-8545-a970f5e10703"/>
    <n v="26"/>
    <x v="0"/>
    <x v="1"/>
    <x v="2"/>
    <n v="11.89"/>
    <n v="37"/>
    <x v="2"/>
    <x v="4"/>
    <n v="8.99"/>
    <x v="1"/>
    <x v="2"/>
    <n v="2"/>
    <n v="0.31"/>
    <x v="4"/>
  </r>
  <r>
    <s v="b266559f-da1e-48d0-a279-c7b37cdc5899"/>
    <n v="24"/>
    <x v="1"/>
    <x v="2"/>
    <x v="2"/>
    <n v="5.91"/>
    <n v="25"/>
    <x v="5"/>
    <x v="1"/>
    <n v="8.99"/>
    <x v="1"/>
    <x v="3"/>
    <n v="1"/>
    <n v="0.23"/>
    <x v="3"/>
  </r>
  <r>
    <s v="acb287e0-75a9-4889-8eb6-323d15cc7de3"/>
    <n v="23"/>
    <x v="1"/>
    <x v="1"/>
    <x v="2"/>
    <n v="6.27"/>
    <n v="52"/>
    <x v="1"/>
    <x v="1"/>
    <n v="8.99"/>
    <x v="1"/>
    <x v="4"/>
    <n v="5"/>
    <n v="0.12"/>
    <x v="6"/>
  </r>
  <r>
    <s v="adf1a226-5359-44e7-8690-bbe814ff2ac3"/>
    <n v="19"/>
    <x v="1"/>
    <x v="0"/>
    <x v="0"/>
    <n v="0.93"/>
    <n v="26"/>
    <x v="4"/>
    <x v="1"/>
    <n v="13.99"/>
    <x v="1"/>
    <x v="1"/>
    <n v="3"/>
    <n v="0.03"/>
    <x v="3"/>
  </r>
  <r>
    <s v="8f340b20-ff03-4b80-9530-ef215931e3b9"/>
    <n v="31"/>
    <x v="0"/>
    <x v="1"/>
    <x v="1"/>
    <n v="21.92"/>
    <n v="54"/>
    <x v="0"/>
    <x v="0"/>
    <n v="17.989999999999998"/>
    <x v="0"/>
    <x v="3"/>
    <n v="3"/>
    <n v="0.4"/>
    <x v="5"/>
  </r>
  <r>
    <s v="7116a96f-6d6e-46d3-8176-93513053d545"/>
    <n v="31"/>
    <x v="0"/>
    <x v="2"/>
    <x v="1"/>
    <n v="3.81"/>
    <n v="39"/>
    <x v="0"/>
    <x v="0"/>
    <n v="17.989999999999998"/>
    <x v="1"/>
    <x v="0"/>
    <n v="1"/>
    <n v="0.1"/>
    <x v="5"/>
  </r>
  <r>
    <s v="8c10da11-2dd5-4223-888e-117a748f3107"/>
    <n v="20"/>
    <x v="1"/>
    <x v="1"/>
    <x v="1"/>
    <n v="16.64"/>
    <n v="40"/>
    <x v="1"/>
    <x v="3"/>
    <n v="17.989999999999998"/>
    <x v="1"/>
    <x v="4"/>
    <n v="3"/>
    <n v="0.41"/>
    <x v="0"/>
  </r>
  <r>
    <s v="7abbcd40-0866-480d-9824-635556dbeac1"/>
    <n v="25"/>
    <x v="0"/>
    <x v="0"/>
    <x v="2"/>
    <n v="2.5299999999999998"/>
    <n v="25"/>
    <x v="4"/>
    <x v="3"/>
    <n v="8.99"/>
    <x v="1"/>
    <x v="1"/>
    <n v="1"/>
    <n v="0.1"/>
    <x v="5"/>
  </r>
  <r>
    <s v="ba626d62-c8f5-4f0e-90da-05c8b526e564"/>
    <n v="26"/>
    <x v="0"/>
    <x v="0"/>
    <x v="2"/>
    <n v="28.65"/>
    <n v="15"/>
    <x v="1"/>
    <x v="1"/>
    <n v="8.99"/>
    <x v="0"/>
    <x v="2"/>
    <n v="4"/>
    <n v="1.79"/>
    <x v="5"/>
  </r>
  <r>
    <s v="12f3fe4c-c868-4e9e-82de-21f630ec1e46"/>
    <n v="34"/>
    <x v="0"/>
    <x v="2"/>
    <x v="2"/>
    <n v="1.82"/>
    <n v="60"/>
    <x v="4"/>
    <x v="2"/>
    <n v="8.99"/>
    <x v="1"/>
    <x v="1"/>
    <n v="1"/>
    <n v="0.03"/>
    <x v="4"/>
  </r>
  <r>
    <s v="06863a94-2c2d-48b6-8770-af0d3d8a0948"/>
    <n v="22"/>
    <x v="1"/>
    <x v="2"/>
    <x v="0"/>
    <n v="4.84"/>
    <n v="32"/>
    <x v="2"/>
    <x v="2"/>
    <n v="13.99"/>
    <x v="1"/>
    <x v="1"/>
    <n v="3"/>
    <n v="0.15"/>
    <x v="3"/>
  </r>
  <r>
    <s v="c3665e92-e3c1-4f8f-838f-149f8747bf10"/>
    <n v="20"/>
    <x v="1"/>
    <x v="0"/>
    <x v="2"/>
    <n v="12.66"/>
    <n v="8"/>
    <x v="3"/>
    <x v="0"/>
    <n v="8.99"/>
    <x v="0"/>
    <x v="3"/>
    <n v="5"/>
    <n v="1.41"/>
    <x v="1"/>
  </r>
  <r>
    <s v="97677cac-6110-4fca-8580-98b42a698b5c"/>
    <n v="19"/>
    <x v="1"/>
    <x v="2"/>
    <x v="2"/>
    <n v="4.03"/>
    <n v="20"/>
    <x v="2"/>
    <x v="1"/>
    <n v="8.99"/>
    <x v="1"/>
    <x v="4"/>
    <n v="5"/>
    <n v="0.19"/>
    <x v="0"/>
  </r>
  <r>
    <s v="22d560a5-e928-4526-9802-5c31ca8ae3ca"/>
    <n v="18"/>
    <x v="1"/>
    <x v="0"/>
    <x v="0"/>
    <n v="5.81"/>
    <n v="49"/>
    <x v="1"/>
    <x v="1"/>
    <n v="13.99"/>
    <x v="1"/>
    <x v="3"/>
    <n v="2"/>
    <n v="0.12"/>
    <x v="6"/>
  </r>
  <r>
    <s v="4b04bf41-8529-490f-aad3-1c84e6f8b8e7"/>
    <n v="26"/>
    <x v="0"/>
    <x v="1"/>
    <x v="1"/>
    <n v="19.48"/>
    <n v="16"/>
    <x v="2"/>
    <x v="3"/>
    <n v="17.989999999999998"/>
    <x v="0"/>
    <x v="0"/>
    <n v="5"/>
    <n v="1.1499999999999999"/>
    <x v="4"/>
  </r>
  <r>
    <s v="984d419a-835e-49dd-be89-bb42da17c25a"/>
    <n v="20"/>
    <x v="1"/>
    <x v="1"/>
    <x v="0"/>
    <n v="11.97"/>
    <n v="2"/>
    <x v="3"/>
    <x v="2"/>
    <n v="13.99"/>
    <x v="0"/>
    <x v="0"/>
    <n v="5"/>
    <n v="3.99"/>
    <x v="1"/>
  </r>
  <r>
    <s v="aa265a76-e810-4938-8736-3d1eedaa4584"/>
    <n v="24"/>
    <x v="1"/>
    <x v="0"/>
    <x v="0"/>
    <n v="11.33"/>
    <n v="47"/>
    <x v="4"/>
    <x v="2"/>
    <n v="13.99"/>
    <x v="1"/>
    <x v="2"/>
    <n v="3"/>
    <n v="0.24"/>
    <x v="1"/>
  </r>
  <r>
    <s v="ab89e0ee-0f2c-405f-a6f5-2d32d8179218"/>
    <n v="24"/>
    <x v="1"/>
    <x v="0"/>
    <x v="2"/>
    <n v="9.1300000000000008"/>
    <n v="10"/>
    <x v="0"/>
    <x v="1"/>
    <n v="8.99"/>
    <x v="0"/>
    <x v="1"/>
    <n v="4"/>
    <n v="0.83"/>
    <x v="5"/>
  </r>
  <r>
    <s v="9d51a596-157a-488b-955e-4c821202e8f5"/>
    <n v="25"/>
    <x v="0"/>
    <x v="2"/>
    <x v="0"/>
    <n v="7.35"/>
    <n v="41"/>
    <x v="0"/>
    <x v="0"/>
    <n v="13.99"/>
    <x v="1"/>
    <x v="2"/>
    <n v="1"/>
    <n v="0.17"/>
    <x v="5"/>
  </r>
  <r>
    <s v="2fcf265c-b3a8-4d0c-9cb0-3adc351832f6"/>
    <n v="31"/>
    <x v="0"/>
    <x v="0"/>
    <x v="2"/>
    <n v="3.89"/>
    <n v="0"/>
    <x v="5"/>
    <x v="1"/>
    <n v="8.99"/>
    <x v="0"/>
    <x v="2"/>
    <n v="3"/>
    <n v="3.89"/>
    <x v="4"/>
  </r>
  <r>
    <s v="9d5ba8a6-0786-4b13-9c64-881480979699"/>
    <n v="20"/>
    <x v="1"/>
    <x v="0"/>
    <x v="2"/>
    <n v="1"/>
    <n v="32"/>
    <x v="3"/>
    <x v="4"/>
    <n v="8.99"/>
    <x v="1"/>
    <x v="2"/>
    <n v="2"/>
    <n v="0.03"/>
    <x v="4"/>
  </r>
  <r>
    <s v="fdd9d730-eff6-4c49-86a3-1a8dbf9069f7"/>
    <n v="18"/>
    <x v="1"/>
    <x v="0"/>
    <x v="0"/>
    <n v="9.2899999999999991"/>
    <n v="52"/>
    <x v="0"/>
    <x v="2"/>
    <n v="13.99"/>
    <x v="1"/>
    <x v="3"/>
    <n v="2"/>
    <n v="0.18"/>
    <x v="2"/>
  </r>
  <r>
    <s v="bf7ba12e-d46e-470f-a5b2-ac24e64e1000"/>
    <n v="33"/>
    <x v="0"/>
    <x v="0"/>
    <x v="0"/>
    <n v="19.28"/>
    <n v="19"/>
    <x v="4"/>
    <x v="4"/>
    <n v="13.99"/>
    <x v="0"/>
    <x v="2"/>
    <n v="4"/>
    <n v="0.96"/>
    <x v="6"/>
  </r>
  <r>
    <s v="8830a083-de96-4d43-a32b-e3862941a35d"/>
    <n v="30"/>
    <x v="0"/>
    <x v="2"/>
    <x v="2"/>
    <n v="6.54"/>
    <n v="20"/>
    <x v="4"/>
    <x v="4"/>
    <n v="8.99"/>
    <x v="1"/>
    <x v="1"/>
    <n v="1"/>
    <n v="0.31"/>
    <x v="0"/>
  </r>
  <r>
    <s v="7630541e-4db2-42e7-9ec2-cbad37db0b46"/>
    <n v="31"/>
    <x v="0"/>
    <x v="2"/>
    <x v="2"/>
    <n v="11.88"/>
    <n v="56"/>
    <x v="3"/>
    <x v="4"/>
    <n v="8.99"/>
    <x v="1"/>
    <x v="1"/>
    <n v="5"/>
    <n v="0.21"/>
    <x v="6"/>
  </r>
  <r>
    <s v="0fbffe99-eba0-4a18-b1f4-42b9e249dfae"/>
    <n v="33"/>
    <x v="0"/>
    <x v="0"/>
    <x v="1"/>
    <n v="0.06"/>
    <n v="53"/>
    <x v="4"/>
    <x v="3"/>
    <n v="17.989999999999998"/>
    <x v="1"/>
    <x v="3"/>
    <n v="3"/>
    <n v="0"/>
    <x v="2"/>
  </r>
  <r>
    <s v="a981b14d-307e-40e0-b1ac-65f5b3b6621d"/>
    <n v="24"/>
    <x v="1"/>
    <x v="2"/>
    <x v="2"/>
    <n v="0.75"/>
    <n v="26"/>
    <x v="4"/>
    <x v="1"/>
    <n v="8.99"/>
    <x v="1"/>
    <x v="4"/>
    <n v="2"/>
    <n v="0.03"/>
    <x v="0"/>
  </r>
  <r>
    <s v="39de63f4-d266-4abf-b0f2-369d426acb2a"/>
    <n v="29"/>
    <x v="0"/>
    <x v="0"/>
    <x v="1"/>
    <n v="17.11"/>
    <n v="5"/>
    <x v="2"/>
    <x v="2"/>
    <n v="17.989999999999998"/>
    <x v="0"/>
    <x v="0"/>
    <n v="1"/>
    <n v="2.85"/>
    <x v="2"/>
  </r>
  <r>
    <s v="b6b9253b-918d-45e9-8a32-50b03cd7e969"/>
    <n v="28"/>
    <x v="0"/>
    <x v="2"/>
    <x v="1"/>
    <n v="9.2200000000000006"/>
    <n v="44"/>
    <x v="1"/>
    <x v="3"/>
    <n v="17.989999999999998"/>
    <x v="1"/>
    <x v="2"/>
    <n v="3"/>
    <n v="0.2"/>
    <x v="0"/>
  </r>
  <r>
    <s v="56e18a3c-3306-426a-87f4-a30881570966"/>
    <n v="19"/>
    <x v="1"/>
    <x v="1"/>
    <x v="0"/>
    <n v="1.86"/>
    <n v="13"/>
    <x v="0"/>
    <x v="1"/>
    <n v="13.99"/>
    <x v="0"/>
    <x v="3"/>
    <n v="4"/>
    <n v="0.13"/>
    <x v="5"/>
  </r>
  <r>
    <s v="2033f502-adfa-4ac1-8bfa-151aa1c6b05b"/>
    <n v="27"/>
    <x v="0"/>
    <x v="1"/>
    <x v="1"/>
    <n v="6.78"/>
    <n v="4"/>
    <x v="2"/>
    <x v="2"/>
    <n v="17.989999999999998"/>
    <x v="0"/>
    <x v="3"/>
    <n v="3"/>
    <n v="1.36"/>
    <x v="0"/>
  </r>
  <r>
    <s v="0eac3038-33dd-4516-99ec-84d02f68a2c5"/>
    <n v="34"/>
    <x v="0"/>
    <x v="1"/>
    <x v="0"/>
    <n v="1.92"/>
    <n v="31"/>
    <x v="5"/>
    <x v="0"/>
    <n v="13.99"/>
    <x v="1"/>
    <x v="3"/>
    <n v="1"/>
    <n v="0.06"/>
    <x v="3"/>
  </r>
  <r>
    <s v="2d0da2af-0c0a-45d2-90e2-09bf79d186b2"/>
    <n v="34"/>
    <x v="0"/>
    <x v="0"/>
    <x v="0"/>
    <n v="4.0599999999999996"/>
    <n v="44"/>
    <x v="1"/>
    <x v="4"/>
    <n v="13.99"/>
    <x v="1"/>
    <x v="3"/>
    <n v="1"/>
    <n v="0.09"/>
    <x v="0"/>
  </r>
  <r>
    <s v="7e1fcb2f-e933-483a-a590-2d30a6f08e1b"/>
    <n v="24"/>
    <x v="1"/>
    <x v="0"/>
    <x v="0"/>
    <n v="30.49"/>
    <n v="39"/>
    <x v="4"/>
    <x v="0"/>
    <n v="13.99"/>
    <x v="0"/>
    <x v="3"/>
    <n v="1"/>
    <n v="0.76"/>
    <x v="6"/>
  </r>
  <r>
    <s v="94096f6c-620a-4bb2-a60e-37dd3f3b1c53"/>
    <n v="33"/>
    <x v="0"/>
    <x v="0"/>
    <x v="2"/>
    <n v="6.73"/>
    <n v="46"/>
    <x v="2"/>
    <x v="3"/>
    <n v="8.99"/>
    <x v="1"/>
    <x v="2"/>
    <n v="2"/>
    <n v="0.14000000000000001"/>
    <x v="0"/>
  </r>
  <r>
    <s v="f178d493-4e6d-4769-8e2a-fb17b9e3b217"/>
    <n v="20"/>
    <x v="1"/>
    <x v="2"/>
    <x v="1"/>
    <n v="6.94"/>
    <n v="45"/>
    <x v="2"/>
    <x v="2"/>
    <n v="17.989999999999998"/>
    <x v="1"/>
    <x v="2"/>
    <n v="1"/>
    <n v="0.15"/>
    <x v="1"/>
  </r>
  <r>
    <s v="f8a4d03b-fdf7-4ee5-86e9-411e45645bae"/>
    <n v="22"/>
    <x v="1"/>
    <x v="2"/>
    <x v="1"/>
    <n v="2.14"/>
    <n v="52"/>
    <x v="5"/>
    <x v="0"/>
    <n v="17.989999999999998"/>
    <x v="1"/>
    <x v="3"/>
    <n v="2"/>
    <n v="0.04"/>
    <x v="2"/>
  </r>
  <r>
    <s v="3a24c949-e09e-4bae-830b-2c5462cf12dd"/>
    <n v="23"/>
    <x v="1"/>
    <x v="0"/>
    <x v="2"/>
    <n v="8.23"/>
    <n v="23"/>
    <x v="5"/>
    <x v="3"/>
    <n v="8.99"/>
    <x v="1"/>
    <x v="3"/>
    <n v="1"/>
    <n v="0.34"/>
    <x v="3"/>
  </r>
  <r>
    <s v="56a921c2-c213-45f1-9dbb-de2e3301283a"/>
    <n v="22"/>
    <x v="1"/>
    <x v="0"/>
    <x v="2"/>
    <n v="8.01"/>
    <n v="26"/>
    <x v="1"/>
    <x v="4"/>
    <n v="8.99"/>
    <x v="1"/>
    <x v="3"/>
    <n v="1"/>
    <n v="0.3"/>
    <x v="0"/>
  </r>
  <r>
    <s v="63a5e679-c714-4728-b7b1-bd682373e173"/>
    <n v="23"/>
    <x v="1"/>
    <x v="1"/>
    <x v="2"/>
    <n v="1.04"/>
    <n v="59"/>
    <x v="2"/>
    <x v="4"/>
    <n v="8.99"/>
    <x v="1"/>
    <x v="2"/>
    <n v="4"/>
    <n v="0.02"/>
    <x v="1"/>
  </r>
  <r>
    <s v="351a84a4-4945-4956-a4f9-191886ec3e59"/>
    <n v="22"/>
    <x v="1"/>
    <x v="0"/>
    <x v="0"/>
    <n v="2.14"/>
    <n v="44"/>
    <x v="5"/>
    <x v="1"/>
    <n v="13.99"/>
    <x v="1"/>
    <x v="0"/>
    <n v="4"/>
    <n v="0.05"/>
    <x v="6"/>
  </r>
  <r>
    <s v="04664fb8-2dc2-49fc-8f2f-2783dcbe7443"/>
    <n v="26"/>
    <x v="0"/>
    <x v="2"/>
    <x v="0"/>
    <n v="41.97"/>
    <n v="44"/>
    <x v="2"/>
    <x v="3"/>
    <n v="13.99"/>
    <x v="0"/>
    <x v="4"/>
    <n v="2"/>
    <n v="0.93"/>
    <x v="4"/>
  </r>
  <r>
    <s v="a3e71728-f0d7-4b75-adf0-6df1d25f662e"/>
    <n v="22"/>
    <x v="1"/>
    <x v="1"/>
    <x v="0"/>
    <n v="21.77"/>
    <n v="26"/>
    <x v="2"/>
    <x v="0"/>
    <n v="13.99"/>
    <x v="0"/>
    <x v="2"/>
    <n v="5"/>
    <n v="0.81"/>
    <x v="4"/>
  </r>
  <r>
    <s v="25d139fe-79a2-42a1-8a50-519177556977"/>
    <n v="26"/>
    <x v="0"/>
    <x v="2"/>
    <x v="0"/>
    <n v="4.97"/>
    <n v="10"/>
    <x v="3"/>
    <x v="1"/>
    <n v="13.99"/>
    <x v="1"/>
    <x v="3"/>
    <n v="1"/>
    <n v="0.45"/>
    <x v="2"/>
  </r>
  <r>
    <s v="b1fd18d0-3bee-4d64-b41d-20adab557168"/>
    <n v="25"/>
    <x v="0"/>
    <x v="2"/>
    <x v="0"/>
    <n v="9.59"/>
    <n v="25"/>
    <x v="4"/>
    <x v="0"/>
    <n v="13.99"/>
    <x v="0"/>
    <x v="3"/>
    <n v="2"/>
    <n v="0.37"/>
    <x v="3"/>
  </r>
  <r>
    <s v="92880fff-5ea0-438f-b82f-52da83a48a2e"/>
    <n v="27"/>
    <x v="0"/>
    <x v="0"/>
    <x v="1"/>
    <n v="5.82"/>
    <n v="49"/>
    <x v="5"/>
    <x v="1"/>
    <n v="17.989999999999998"/>
    <x v="1"/>
    <x v="4"/>
    <n v="2"/>
    <n v="0.12"/>
    <x v="5"/>
  </r>
  <r>
    <s v="ed3733c8-fad9-42d2-a075-753a501485c1"/>
    <n v="30"/>
    <x v="0"/>
    <x v="2"/>
    <x v="0"/>
    <n v="2.2599999999999998"/>
    <n v="3"/>
    <x v="2"/>
    <x v="0"/>
    <n v="13.99"/>
    <x v="0"/>
    <x v="4"/>
    <n v="4"/>
    <n v="0.56000000000000005"/>
    <x v="5"/>
  </r>
  <r>
    <s v="0961b447-259c-4106-9dfc-b29c18ee3268"/>
    <n v="31"/>
    <x v="0"/>
    <x v="0"/>
    <x v="1"/>
    <n v="17.829999999999998"/>
    <n v="8"/>
    <x v="4"/>
    <x v="4"/>
    <n v="17.989999999999998"/>
    <x v="0"/>
    <x v="3"/>
    <n v="3"/>
    <n v="1.98"/>
    <x v="6"/>
  </r>
  <r>
    <s v="658035e4-1ba4-4be1-9ef9-45b5307d06d0"/>
    <n v="31"/>
    <x v="0"/>
    <x v="1"/>
    <x v="1"/>
    <n v="15.41"/>
    <n v="44"/>
    <x v="4"/>
    <x v="3"/>
    <n v="17.989999999999998"/>
    <x v="1"/>
    <x v="3"/>
    <n v="2"/>
    <n v="0.34"/>
    <x v="6"/>
  </r>
  <r>
    <s v="73f751c7-8c61-4e76-83b6-452af6a4ede5"/>
    <n v="33"/>
    <x v="0"/>
    <x v="0"/>
    <x v="1"/>
    <n v="3.91"/>
    <n v="11"/>
    <x v="5"/>
    <x v="3"/>
    <n v="17.989999999999998"/>
    <x v="1"/>
    <x v="1"/>
    <n v="2"/>
    <n v="0.33"/>
    <x v="1"/>
  </r>
  <r>
    <s v="5e38612f-0499-48d1-9b5c-77f3ac880488"/>
    <n v="25"/>
    <x v="0"/>
    <x v="2"/>
    <x v="0"/>
    <n v="7.12"/>
    <n v="33"/>
    <x v="2"/>
    <x v="1"/>
    <n v="13.99"/>
    <x v="1"/>
    <x v="0"/>
    <n v="2"/>
    <n v="0.21"/>
    <x v="5"/>
  </r>
  <r>
    <s v="b9444b66-159e-4445-baa3-86b6c67d2a12"/>
    <n v="29"/>
    <x v="0"/>
    <x v="0"/>
    <x v="2"/>
    <n v="18.53"/>
    <n v="27"/>
    <x v="3"/>
    <x v="2"/>
    <n v="8.99"/>
    <x v="0"/>
    <x v="3"/>
    <n v="4"/>
    <n v="0.66"/>
    <x v="1"/>
  </r>
  <r>
    <s v="9cbb6afa-02d9-4d41-a3a0-2cee0503e9cb"/>
    <n v="30"/>
    <x v="0"/>
    <x v="0"/>
    <x v="0"/>
    <n v="6.03"/>
    <n v="6"/>
    <x v="1"/>
    <x v="3"/>
    <n v="13.99"/>
    <x v="0"/>
    <x v="0"/>
    <n v="1"/>
    <n v="0.86"/>
    <x v="2"/>
  </r>
  <r>
    <s v="e0bd7f71-4fed-42d8-9543-838248a460d6"/>
    <n v="23"/>
    <x v="1"/>
    <x v="0"/>
    <x v="1"/>
    <n v="14.78"/>
    <n v="11"/>
    <x v="5"/>
    <x v="0"/>
    <n v="17.989999999999998"/>
    <x v="0"/>
    <x v="1"/>
    <n v="2"/>
    <n v="1.23"/>
    <x v="5"/>
  </r>
  <r>
    <s v="f391b24a-8f47-4abf-98c6-2b6dc029b507"/>
    <n v="25"/>
    <x v="0"/>
    <x v="0"/>
    <x v="2"/>
    <n v="13.15"/>
    <n v="54"/>
    <x v="4"/>
    <x v="0"/>
    <n v="8.99"/>
    <x v="1"/>
    <x v="4"/>
    <n v="5"/>
    <n v="0.24"/>
    <x v="3"/>
  </r>
  <r>
    <s v="8d62006d-9f79-4c44-8f55-bc75e32a3113"/>
    <n v="24"/>
    <x v="1"/>
    <x v="0"/>
    <x v="1"/>
    <n v="17.2"/>
    <n v="33"/>
    <x v="0"/>
    <x v="3"/>
    <n v="17.989999999999998"/>
    <x v="0"/>
    <x v="3"/>
    <n v="5"/>
    <n v="0.51"/>
    <x v="6"/>
  </r>
  <r>
    <s v="58edff7e-fe12-4847-9d63-96fca02927aa"/>
    <n v="34"/>
    <x v="0"/>
    <x v="1"/>
    <x v="2"/>
    <n v="4.51"/>
    <n v="39"/>
    <x v="2"/>
    <x v="3"/>
    <n v="8.99"/>
    <x v="1"/>
    <x v="0"/>
    <n v="4"/>
    <n v="0.11"/>
    <x v="3"/>
  </r>
  <r>
    <s v="22cf3563-a74a-422c-b504-4ed96bd42adb"/>
    <n v="24"/>
    <x v="1"/>
    <x v="1"/>
    <x v="0"/>
    <n v="6.56"/>
    <n v="8"/>
    <x v="0"/>
    <x v="0"/>
    <n v="13.99"/>
    <x v="0"/>
    <x v="3"/>
    <n v="4"/>
    <n v="0.73"/>
    <x v="4"/>
  </r>
  <r>
    <s v="3687107c-7c9b-40ff-86e7-2d0636774a48"/>
    <n v="20"/>
    <x v="1"/>
    <x v="1"/>
    <x v="0"/>
    <n v="0.68"/>
    <n v="35"/>
    <x v="4"/>
    <x v="3"/>
    <n v="13.99"/>
    <x v="1"/>
    <x v="1"/>
    <n v="1"/>
    <n v="0.02"/>
    <x v="1"/>
  </r>
  <r>
    <s v="97532dfe-a293-4674-8dc1-1a90ca1e2925"/>
    <n v="28"/>
    <x v="0"/>
    <x v="1"/>
    <x v="1"/>
    <n v="4.3"/>
    <n v="21"/>
    <x v="4"/>
    <x v="1"/>
    <n v="17.989999999999998"/>
    <x v="1"/>
    <x v="4"/>
    <n v="1"/>
    <n v="0.2"/>
    <x v="4"/>
  </r>
  <r>
    <s v="a7273326-fb8b-470d-ba98-dc6855d36bda"/>
    <n v="34"/>
    <x v="0"/>
    <x v="0"/>
    <x v="1"/>
    <n v="9.5399999999999991"/>
    <n v="16"/>
    <x v="5"/>
    <x v="4"/>
    <n v="17.989999999999998"/>
    <x v="0"/>
    <x v="4"/>
    <n v="4"/>
    <n v="0.56000000000000005"/>
    <x v="4"/>
  </r>
  <r>
    <s v="d70e827b-2928-45cb-8c8a-70bb92c01baf"/>
    <n v="20"/>
    <x v="1"/>
    <x v="2"/>
    <x v="1"/>
    <n v="8.24"/>
    <n v="57"/>
    <x v="3"/>
    <x v="0"/>
    <n v="17.989999999999998"/>
    <x v="1"/>
    <x v="4"/>
    <n v="5"/>
    <n v="0.14000000000000001"/>
    <x v="5"/>
  </r>
  <r>
    <s v="774601aa-0882-4fa4-a7ee-c107ab9822e5"/>
    <n v="29"/>
    <x v="0"/>
    <x v="1"/>
    <x v="2"/>
    <n v="14.55"/>
    <n v="18"/>
    <x v="4"/>
    <x v="0"/>
    <n v="8.99"/>
    <x v="0"/>
    <x v="3"/>
    <n v="3"/>
    <n v="0.77"/>
    <x v="1"/>
  </r>
  <r>
    <s v="032e9a3c-7d07-42e6-8dc5-6c7da4996529"/>
    <n v="29"/>
    <x v="0"/>
    <x v="2"/>
    <x v="2"/>
    <n v="5.33"/>
    <n v="36"/>
    <x v="0"/>
    <x v="0"/>
    <n v="8.99"/>
    <x v="1"/>
    <x v="4"/>
    <n v="4"/>
    <n v="0.14000000000000001"/>
    <x v="2"/>
  </r>
  <r>
    <s v="4d6d9b2f-0d81-4d94-9269-e312986bcc5d"/>
    <n v="33"/>
    <x v="0"/>
    <x v="1"/>
    <x v="0"/>
    <n v="7.06"/>
    <n v="16"/>
    <x v="0"/>
    <x v="0"/>
    <n v="13.99"/>
    <x v="0"/>
    <x v="1"/>
    <n v="5"/>
    <n v="0.42"/>
    <x v="1"/>
  </r>
  <r>
    <s v="00cf1667-2876-4dc9-978d-c5ab0abbde82"/>
    <n v="27"/>
    <x v="0"/>
    <x v="1"/>
    <x v="0"/>
    <n v="20.02"/>
    <n v="53"/>
    <x v="3"/>
    <x v="1"/>
    <n v="13.99"/>
    <x v="0"/>
    <x v="2"/>
    <n v="4"/>
    <n v="0.37"/>
    <x v="3"/>
  </r>
  <r>
    <s v="01e6801b-1fef-42fb-8ef2-ea09b77073a7"/>
    <n v="20"/>
    <x v="1"/>
    <x v="1"/>
    <x v="1"/>
    <n v="11.73"/>
    <n v="9"/>
    <x v="3"/>
    <x v="2"/>
    <n v="17.989999999999998"/>
    <x v="0"/>
    <x v="2"/>
    <n v="2"/>
    <n v="1.17"/>
    <x v="5"/>
  </r>
  <r>
    <s v="ab0f1851-f5da-466f-9a40-39ac5c454128"/>
    <n v="27"/>
    <x v="0"/>
    <x v="1"/>
    <x v="2"/>
    <n v="0.18"/>
    <n v="7"/>
    <x v="1"/>
    <x v="4"/>
    <n v="8.99"/>
    <x v="1"/>
    <x v="4"/>
    <n v="3"/>
    <n v="0.02"/>
    <x v="0"/>
  </r>
  <r>
    <s v="671165ba-f196-4285-925f-75d561220775"/>
    <n v="24"/>
    <x v="1"/>
    <x v="2"/>
    <x v="1"/>
    <n v="6.01"/>
    <n v="58"/>
    <x v="4"/>
    <x v="4"/>
    <n v="17.989999999999998"/>
    <x v="1"/>
    <x v="1"/>
    <n v="1"/>
    <n v="0.1"/>
    <x v="4"/>
  </r>
  <r>
    <s v="5c0b46c2-c510-45ff-98bb-beb686d84154"/>
    <n v="19"/>
    <x v="1"/>
    <x v="0"/>
    <x v="0"/>
    <n v="24.66"/>
    <n v="27"/>
    <x v="4"/>
    <x v="3"/>
    <n v="13.99"/>
    <x v="0"/>
    <x v="0"/>
    <n v="2"/>
    <n v="0.88"/>
    <x v="2"/>
  </r>
  <r>
    <s v="fde12247-9936-42f7-8be1-77087b2ccb06"/>
    <n v="33"/>
    <x v="0"/>
    <x v="1"/>
    <x v="0"/>
    <n v="8.94"/>
    <n v="50"/>
    <x v="3"/>
    <x v="3"/>
    <n v="13.99"/>
    <x v="1"/>
    <x v="0"/>
    <n v="3"/>
    <n v="0.18"/>
    <x v="6"/>
  </r>
  <r>
    <s v="e81aef30-e7a7-4aeb-8eef-c4967596a893"/>
    <n v="24"/>
    <x v="1"/>
    <x v="0"/>
    <x v="0"/>
    <n v="8.4"/>
    <n v="29"/>
    <x v="4"/>
    <x v="4"/>
    <n v="13.99"/>
    <x v="0"/>
    <x v="1"/>
    <n v="1"/>
    <n v="0.28000000000000003"/>
    <x v="4"/>
  </r>
  <r>
    <s v="99bc6deb-c00c-4e60-bf79-57535827e446"/>
    <n v="20"/>
    <x v="1"/>
    <x v="0"/>
    <x v="2"/>
    <n v="25.17"/>
    <n v="3"/>
    <x v="5"/>
    <x v="3"/>
    <n v="8.99"/>
    <x v="0"/>
    <x v="0"/>
    <n v="2"/>
    <n v="6.29"/>
    <x v="5"/>
  </r>
  <r>
    <s v="44ae8a3c-93f0-4ffa-80ab-a04b49d288ce"/>
    <n v="31"/>
    <x v="0"/>
    <x v="1"/>
    <x v="2"/>
    <n v="2.82"/>
    <n v="19"/>
    <x v="3"/>
    <x v="1"/>
    <n v="8.99"/>
    <x v="1"/>
    <x v="1"/>
    <n v="4"/>
    <n v="0.14000000000000001"/>
    <x v="6"/>
  </r>
  <r>
    <s v="4cbbe2c6-93a6-4f4a-8a58-cb0568992128"/>
    <n v="22"/>
    <x v="1"/>
    <x v="2"/>
    <x v="1"/>
    <n v="14.69"/>
    <n v="12"/>
    <x v="0"/>
    <x v="3"/>
    <n v="17.989999999999998"/>
    <x v="0"/>
    <x v="3"/>
    <n v="1"/>
    <n v="1.1299999999999999"/>
    <x v="4"/>
  </r>
  <r>
    <s v="b944a82d-8935-4ec4-a9a8-ee375c046361"/>
    <n v="27"/>
    <x v="0"/>
    <x v="0"/>
    <x v="0"/>
    <n v="5.85"/>
    <n v="3"/>
    <x v="5"/>
    <x v="1"/>
    <n v="13.99"/>
    <x v="0"/>
    <x v="0"/>
    <n v="5"/>
    <n v="1.46"/>
    <x v="6"/>
  </r>
  <r>
    <s v="eeecc979-d06f-4951-a2cd-655a554aeab5"/>
    <n v="18"/>
    <x v="1"/>
    <x v="0"/>
    <x v="1"/>
    <n v="22"/>
    <n v="15"/>
    <x v="1"/>
    <x v="1"/>
    <n v="17.989999999999998"/>
    <x v="0"/>
    <x v="1"/>
    <n v="5"/>
    <n v="1.38"/>
    <x v="6"/>
  </r>
  <r>
    <s v="ce9e2886-8929-4783-b4c6-606c0b390a67"/>
    <n v="28"/>
    <x v="0"/>
    <x v="1"/>
    <x v="1"/>
    <n v="11.92"/>
    <n v="52"/>
    <x v="5"/>
    <x v="0"/>
    <n v="17.989999999999998"/>
    <x v="1"/>
    <x v="0"/>
    <n v="3"/>
    <n v="0.22"/>
    <x v="2"/>
  </r>
  <r>
    <s v="c6866d13-0b06-4e37-9951-7419fe48f070"/>
    <n v="30"/>
    <x v="0"/>
    <x v="2"/>
    <x v="0"/>
    <n v="31.65"/>
    <n v="29"/>
    <x v="1"/>
    <x v="2"/>
    <n v="13.99"/>
    <x v="0"/>
    <x v="1"/>
    <n v="4"/>
    <n v="1.05"/>
    <x v="2"/>
  </r>
  <r>
    <s v="35f91264-6cc8-4a3a-ba35-f41a1f8845b8"/>
    <n v="29"/>
    <x v="0"/>
    <x v="0"/>
    <x v="2"/>
    <n v="5.55"/>
    <n v="20"/>
    <x v="2"/>
    <x v="0"/>
    <n v="8.99"/>
    <x v="1"/>
    <x v="4"/>
    <n v="2"/>
    <n v="0.26"/>
    <x v="1"/>
  </r>
  <r>
    <s v="6322cad7-9bab-45ba-974b-e2761a226ff6"/>
    <n v="30"/>
    <x v="0"/>
    <x v="0"/>
    <x v="0"/>
    <n v="6.42"/>
    <n v="26"/>
    <x v="0"/>
    <x v="4"/>
    <n v="13.99"/>
    <x v="0"/>
    <x v="3"/>
    <n v="1"/>
    <n v="0.24"/>
    <x v="2"/>
  </r>
  <r>
    <s v="37791795-8e12-4220-89b1-1fcdde816eba"/>
    <n v="34"/>
    <x v="0"/>
    <x v="1"/>
    <x v="1"/>
    <n v="29.29"/>
    <n v="19"/>
    <x v="3"/>
    <x v="0"/>
    <n v="17.989999999999998"/>
    <x v="0"/>
    <x v="4"/>
    <n v="4"/>
    <n v="1.46"/>
    <x v="6"/>
  </r>
  <r>
    <s v="5f4ae876-26fa-4e2d-a50c-06cc47a357a5"/>
    <n v="18"/>
    <x v="1"/>
    <x v="1"/>
    <x v="0"/>
    <n v="0.24"/>
    <n v="24"/>
    <x v="3"/>
    <x v="2"/>
    <n v="13.99"/>
    <x v="1"/>
    <x v="4"/>
    <n v="5"/>
    <n v="0.01"/>
    <x v="0"/>
  </r>
  <r>
    <s v="c916c9b4-1164-4387-81e7-0c2d0565b9b1"/>
    <n v="32"/>
    <x v="0"/>
    <x v="1"/>
    <x v="2"/>
    <n v="15.46"/>
    <n v="6"/>
    <x v="4"/>
    <x v="1"/>
    <n v="8.99"/>
    <x v="0"/>
    <x v="2"/>
    <n v="4"/>
    <n v="2.21"/>
    <x v="2"/>
  </r>
  <r>
    <s v="5c0d251e-ecf0-42b1-a8a3-92879c7759d2"/>
    <n v="19"/>
    <x v="1"/>
    <x v="0"/>
    <x v="2"/>
    <n v="6.32"/>
    <n v="3"/>
    <x v="0"/>
    <x v="2"/>
    <n v="8.99"/>
    <x v="0"/>
    <x v="2"/>
    <n v="2"/>
    <n v="1.58"/>
    <x v="0"/>
  </r>
  <r>
    <s v="1c50a915-b685-4954-b75e-50696b67585c"/>
    <n v="24"/>
    <x v="1"/>
    <x v="2"/>
    <x v="0"/>
    <n v="22.15"/>
    <n v="10"/>
    <x v="1"/>
    <x v="0"/>
    <n v="13.99"/>
    <x v="0"/>
    <x v="4"/>
    <n v="5"/>
    <n v="2.0099999999999998"/>
    <x v="2"/>
  </r>
  <r>
    <s v="b86d66cb-9189-4291-b58a-ff82f1400a1b"/>
    <n v="31"/>
    <x v="0"/>
    <x v="1"/>
    <x v="1"/>
    <n v="13.34"/>
    <n v="39"/>
    <x v="3"/>
    <x v="4"/>
    <n v="17.989999999999998"/>
    <x v="1"/>
    <x v="0"/>
    <n v="4"/>
    <n v="0.33"/>
    <x v="2"/>
  </r>
  <r>
    <s v="ed30d9dc-3b8b-4568-90b0-9a4ab37c0b43"/>
    <n v="33"/>
    <x v="0"/>
    <x v="1"/>
    <x v="0"/>
    <n v="4.18"/>
    <n v="10"/>
    <x v="2"/>
    <x v="1"/>
    <n v="13.99"/>
    <x v="1"/>
    <x v="0"/>
    <n v="5"/>
    <n v="0.38"/>
    <x v="2"/>
  </r>
  <r>
    <s v="646fdaf5-1306-44f0-b02d-00ae75a929ae"/>
    <n v="31"/>
    <x v="0"/>
    <x v="0"/>
    <x v="2"/>
    <n v="3.77"/>
    <n v="12"/>
    <x v="2"/>
    <x v="1"/>
    <n v="8.99"/>
    <x v="1"/>
    <x v="2"/>
    <n v="2"/>
    <n v="0.28999999999999998"/>
    <x v="5"/>
  </r>
  <r>
    <s v="a29a6a04-1baa-41ca-a6f8-8975da13ccac"/>
    <n v="29"/>
    <x v="0"/>
    <x v="1"/>
    <x v="1"/>
    <n v="2.06"/>
    <n v="24"/>
    <x v="1"/>
    <x v="2"/>
    <n v="17.989999999999998"/>
    <x v="1"/>
    <x v="4"/>
    <n v="1"/>
    <n v="0.08"/>
    <x v="2"/>
  </r>
  <r>
    <s v="30f6ab29-5f0d-44e0-b094-8a26164d5303"/>
    <n v="23"/>
    <x v="1"/>
    <x v="0"/>
    <x v="2"/>
    <n v="6.86"/>
    <n v="59"/>
    <x v="3"/>
    <x v="3"/>
    <n v="8.99"/>
    <x v="1"/>
    <x v="4"/>
    <n v="4"/>
    <n v="0.11"/>
    <x v="3"/>
  </r>
  <r>
    <s v="ff149146-918e-4a05-802a-08e696b05ca5"/>
    <n v="28"/>
    <x v="0"/>
    <x v="0"/>
    <x v="1"/>
    <n v="0.01"/>
    <n v="7"/>
    <x v="2"/>
    <x v="0"/>
    <n v="17.989999999999998"/>
    <x v="1"/>
    <x v="0"/>
    <n v="1"/>
    <n v="0"/>
    <x v="6"/>
  </r>
  <r>
    <s v="8d3f248e-ed7c-42cd-b3d4-60774b897d71"/>
    <n v="28"/>
    <x v="0"/>
    <x v="2"/>
    <x v="0"/>
    <n v="14.02"/>
    <n v="33"/>
    <x v="5"/>
    <x v="2"/>
    <n v="13.99"/>
    <x v="1"/>
    <x v="1"/>
    <n v="1"/>
    <n v="0.41"/>
    <x v="0"/>
  </r>
  <r>
    <s v="7dcf21e0-1891-4a67-8762-5475e064b562"/>
    <n v="24"/>
    <x v="1"/>
    <x v="0"/>
    <x v="2"/>
    <n v="9.58"/>
    <n v="44"/>
    <x v="2"/>
    <x v="4"/>
    <n v="8.99"/>
    <x v="1"/>
    <x v="2"/>
    <n v="5"/>
    <n v="0.21"/>
    <x v="5"/>
  </r>
  <r>
    <s v="8891ec31-2a81-4f19-a0fb-9f092f2fa076"/>
    <n v="27"/>
    <x v="0"/>
    <x v="1"/>
    <x v="2"/>
    <n v="6.3"/>
    <n v="34"/>
    <x v="3"/>
    <x v="4"/>
    <n v="8.99"/>
    <x v="1"/>
    <x v="1"/>
    <n v="4"/>
    <n v="0.18"/>
    <x v="5"/>
  </r>
  <r>
    <s v="b75366bb-d3d5-426f-bf5e-c38759e966bc"/>
    <n v="31"/>
    <x v="0"/>
    <x v="1"/>
    <x v="1"/>
    <n v="18.73"/>
    <n v="1"/>
    <x v="5"/>
    <x v="2"/>
    <n v="17.989999999999998"/>
    <x v="0"/>
    <x v="0"/>
    <n v="1"/>
    <n v="9.3699999999999992"/>
    <x v="3"/>
  </r>
  <r>
    <s v="24796c47-3ab2-4476-834f-b8ee3062a37e"/>
    <n v="20"/>
    <x v="1"/>
    <x v="0"/>
    <x v="1"/>
    <n v="49.3"/>
    <n v="25"/>
    <x v="5"/>
    <x v="4"/>
    <n v="17.989999999999998"/>
    <x v="0"/>
    <x v="4"/>
    <n v="3"/>
    <n v="1.9"/>
    <x v="0"/>
  </r>
  <r>
    <s v="0cb3b1b4-f56d-4937-a509-b7c79a125bc7"/>
    <n v="28"/>
    <x v="0"/>
    <x v="0"/>
    <x v="2"/>
    <n v="10.43"/>
    <n v="25"/>
    <x v="5"/>
    <x v="4"/>
    <n v="8.99"/>
    <x v="0"/>
    <x v="4"/>
    <n v="4"/>
    <n v="0.4"/>
    <x v="2"/>
  </r>
  <r>
    <s v="db86ffd3-430d-4f21-99a0-d0c002b24dfb"/>
    <n v="19"/>
    <x v="1"/>
    <x v="1"/>
    <x v="0"/>
    <n v="6.31"/>
    <n v="18"/>
    <x v="4"/>
    <x v="0"/>
    <n v="13.99"/>
    <x v="0"/>
    <x v="0"/>
    <n v="1"/>
    <n v="0.33"/>
    <x v="6"/>
  </r>
  <r>
    <s v="f2148f5b-1c1c-4924-8f23-c2781fe5c869"/>
    <n v="25"/>
    <x v="0"/>
    <x v="2"/>
    <x v="1"/>
    <n v="6.08"/>
    <n v="33"/>
    <x v="3"/>
    <x v="1"/>
    <n v="17.989999999999998"/>
    <x v="0"/>
    <x v="1"/>
    <n v="5"/>
    <n v="0.18"/>
    <x v="5"/>
  </r>
  <r>
    <s v="6b12da3c-c538-4257-b3a8-6ecaaeb07210"/>
    <n v="31"/>
    <x v="0"/>
    <x v="1"/>
    <x v="0"/>
    <n v="6.59"/>
    <n v="19"/>
    <x v="3"/>
    <x v="3"/>
    <n v="13.99"/>
    <x v="0"/>
    <x v="0"/>
    <n v="3"/>
    <n v="0.33"/>
    <x v="5"/>
  </r>
  <r>
    <s v="891cf0f4-f86f-4ad3-9336-c08226ab832f"/>
    <n v="23"/>
    <x v="1"/>
    <x v="0"/>
    <x v="2"/>
    <n v="21.34"/>
    <n v="19"/>
    <x v="2"/>
    <x v="0"/>
    <n v="8.99"/>
    <x v="0"/>
    <x v="4"/>
    <n v="2"/>
    <n v="1.07"/>
    <x v="4"/>
  </r>
  <r>
    <s v="3ea62e22-d039-4d10-bdfb-ff1b821675bb"/>
    <n v="29"/>
    <x v="0"/>
    <x v="1"/>
    <x v="1"/>
    <n v="14.26"/>
    <n v="23"/>
    <x v="2"/>
    <x v="1"/>
    <n v="17.989999999999998"/>
    <x v="0"/>
    <x v="3"/>
    <n v="5"/>
    <n v="0.59"/>
    <x v="2"/>
  </r>
  <r>
    <s v="71e228f4-5b7f-4806-8a29-28bf53814d83"/>
    <n v="25"/>
    <x v="0"/>
    <x v="2"/>
    <x v="1"/>
    <n v="9.9499999999999993"/>
    <n v="43"/>
    <x v="2"/>
    <x v="4"/>
    <n v="17.989999999999998"/>
    <x v="0"/>
    <x v="1"/>
    <n v="4"/>
    <n v="0.23"/>
    <x v="6"/>
  </r>
  <r>
    <s v="25c15fc4-5df8-45a4-a8f3-4477b6549bb9"/>
    <n v="31"/>
    <x v="0"/>
    <x v="0"/>
    <x v="1"/>
    <n v="19.72"/>
    <n v="40"/>
    <x v="2"/>
    <x v="0"/>
    <n v="17.989999999999998"/>
    <x v="1"/>
    <x v="4"/>
    <n v="3"/>
    <n v="0.48"/>
    <x v="2"/>
  </r>
  <r>
    <s v="6861742f-e225-4a48-a899-10515f5fe14a"/>
    <n v="26"/>
    <x v="0"/>
    <x v="2"/>
    <x v="0"/>
    <n v="11.26"/>
    <n v="50"/>
    <x v="5"/>
    <x v="4"/>
    <n v="13.99"/>
    <x v="1"/>
    <x v="2"/>
    <n v="2"/>
    <n v="0.22"/>
    <x v="5"/>
  </r>
  <r>
    <s v="36490c08-2bed-473e-b421-f79d03e44d36"/>
    <n v="34"/>
    <x v="0"/>
    <x v="1"/>
    <x v="0"/>
    <n v="1.55"/>
    <n v="15"/>
    <x v="0"/>
    <x v="3"/>
    <n v="13.99"/>
    <x v="1"/>
    <x v="1"/>
    <n v="3"/>
    <n v="0.1"/>
    <x v="6"/>
  </r>
  <r>
    <s v="0fe47c7b-385a-478d-bda2-22b84a8712a2"/>
    <n v="29"/>
    <x v="0"/>
    <x v="2"/>
    <x v="2"/>
    <n v="13"/>
    <n v="46"/>
    <x v="5"/>
    <x v="4"/>
    <n v="8.99"/>
    <x v="1"/>
    <x v="2"/>
    <n v="4"/>
    <n v="0.28000000000000003"/>
    <x v="0"/>
  </r>
  <r>
    <s v="18f6b306-a34c-4cfc-9798-99a919a0992f"/>
    <n v="30"/>
    <x v="0"/>
    <x v="2"/>
    <x v="0"/>
    <n v="0.74"/>
    <n v="0"/>
    <x v="2"/>
    <x v="1"/>
    <n v="13.99"/>
    <x v="0"/>
    <x v="2"/>
    <n v="4"/>
    <n v="0.74"/>
    <x v="3"/>
  </r>
  <r>
    <s v="b041cc34-ff46-4f7c-8983-f68f29c0d3ef"/>
    <n v="23"/>
    <x v="1"/>
    <x v="1"/>
    <x v="1"/>
    <n v="4.46"/>
    <n v="50"/>
    <x v="4"/>
    <x v="3"/>
    <n v="17.989999999999998"/>
    <x v="1"/>
    <x v="0"/>
    <n v="3"/>
    <n v="0.09"/>
    <x v="2"/>
  </r>
  <r>
    <s v="dd14a766-3108-4397-9422-525fac071e57"/>
    <n v="34"/>
    <x v="0"/>
    <x v="2"/>
    <x v="0"/>
    <n v="4.26"/>
    <n v="22"/>
    <x v="2"/>
    <x v="1"/>
    <n v="13.99"/>
    <x v="1"/>
    <x v="2"/>
    <n v="3"/>
    <n v="0.19"/>
    <x v="6"/>
  </r>
  <r>
    <s v="2224f87a-30da-4c5e-9ff3-dbdac8e1592e"/>
    <n v="26"/>
    <x v="0"/>
    <x v="2"/>
    <x v="1"/>
    <n v="3.67"/>
    <n v="2"/>
    <x v="4"/>
    <x v="3"/>
    <n v="17.989999999999998"/>
    <x v="0"/>
    <x v="4"/>
    <n v="1"/>
    <n v="1.22"/>
    <x v="5"/>
  </r>
  <r>
    <s v="1accc892-44fa-4be9-bfc4-c9168ec4417a"/>
    <n v="28"/>
    <x v="0"/>
    <x v="2"/>
    <x v="0"/>
    <n v="1.17"/>
    <n v="34"/>
    <x v="0"/>
    <x v="1"/>
    <n v="13.99"/>
    <x v="1"/>
    <x v="3"/>
    <n v="4"/>
    <n v="0.03"/>
    <x v="1"/>
  </r>
  <r>
    <s v="2114f4a9-f892-40f2-ad83-1f6431f06ad6"/>
    <n v="26"/>
    <x v="0"/>
    <x v="2"/>
    <x v="1"/>
    <n v="11.88"/>
    <n v="25"/>
    <x v="1"/>
    <x v="1"/>
    <n v="17.989999999999998"/>
    <x v="0"/>
    <x v="4"/>
    <n v="3"/>
    <n v="0.46"/>
    <x v="0"/>
  </r>
  <r>
    <s v="b60244ce-c9ab-4ca7-af7b-a752e7569f20"/>
    <n v="29"/>
    <x v="0"/>
    <x v="2"/>
    <x v="1"/>
    <n v="7.54"/>
    <n v="10"/>
    <x v="1"/>
    <x v="2"/>
    <n v="17.989999999999998"/>
    <x v="0"/>
    <x v="1"/>
    <n v="3"/>
    <n v="0.69"/>
    <x v="3"/>
  </r>
  <r>
    <s v="744bf5e8-5096-4082-8903-70e4cfdd1e64"/>
    <n v="33"/>
    <x v="0"/>
    <x v="1"/>
    <x v="2"/>
    <n v="33.229999999999997"/>
    <n v="58"/>
    <x v="5"/>
    <x v="0"/>
    <n v="8.99"/>
    <x v="0"/>
    <x v="1"/>
    <n v="5"/>
    <n v="0.56000000000000005"/>
    <x v="4"/>
  </r>
  <r>
    <s v="b9802ea9-5c98-4d4a-a77c-6de878d22ea4"/>
    <n v="34"/>
    <x v="0"/>
    <x v="0"/>
    <x v="1"/>
    <n v="4.59"/>
    <n v="31"/>
    <x v="5"/>
    <x v="3"/>
    <n v="17.989999999999998"/>
    <x v="1"/>
    <x v="4"/>
    <n v="2"/>
    <n v="0.14000000000000001"/>
    <x v="6"/>
  </r>
  <r>
    <s v="349f7e43-7477-4e48-860d-b838ad415b1c"/>
    <n v="25"/>
    <x v="0"/>
    <x v="2"/>
    <x v="0"/>
    <n v="2.96"/>
    <n v="25"/>
    <x v="3"/>
    <x v="1"/>
    <n v="13.99"/>
    <x v="1"/>
    <x v="2"/>
    <n v="1"/>
    <n v="0.11"/>
    <x v="1"/>
  </r>
  <r>
    <s v="aaa4f493-b841-42d0-a7ca-644ad0512c3a"/>
    <n v="28"/>
    <x v="0"/>
    <x v="2"/>
    <x v="2"/>
    <n v="3.72"/>
    <n v="56"/>
    <x v="0"/>
    <x v="1"/>
    <n v="8.99"/>
    <x v="1"/>
    <x v="1"/>
    <n v="3"/>
    <n v="7.0000000000000007E-2"/>
    <x v="2"/>
  </r>
  <r>
    <s v="32f97948-ac90-446f-ba8f-0da203d8d523"/>
    <n v="34"/>
    <x v="0"/>
    <x v="1"/>
    <x v="2"/>
    <n v="5.95"/>
    <n v="37"/>
    <x v="2"/>
    <x v="4"/>
    <n v="8.99"/>
    <x v="1"/>
    <x v="0"/>
    <n v="2"/>
    <n v="0.16"/>
    <x v="1"/>
  </r>
  <r>
    <s v="af9ce006-0bc4-48ee-ad39-730a74359d03"/>
    <n v="23"/>
    <x v="1"/>
    <x v="2"/>
    <x v="1"/>
    <n v="22.77"/>
    <n v="10"/>
    <x v="2"/>
    <x v="0"/>
    <n v="17.989999999999998"/>
    <x v="0"/>
    <x v="2"/>
    <n v="1"/>
    <n v="2.0699999999999998"/>
    <x v="6"/>
  </r>
  <r>
    <s v="a902ec06-7bed-4c3d-b664-5e26fc183d7c"/>
    <n v="30"/>
    <x v="0"/>
    <x v="2"/>
    <x v="2"/>
    <n v="1.5"/>
    <n v="41"/>
    <x v="1"/>
    <x v="4"/>
    <n v="8.99"/>
    <x v="1"/>
    <x v="0"/>
    <n v="1"/>
    <n v="0.04"/>
    <x v="4"/>
  </r>
  <r>
    <s v="a2796611-e145-4000-823c-16e30e8f2d03"/>
    <n v="20"/>
    <x v="1"/>
    <x v="2"/>
    <x v="2"/>
    <n v="3.02"/>
    <n v="2"/>
    <x v="3"/>
    <x v="4"/>
    <n v="8.99"/>
    <x v="0"/>
    <x v="1"/>
    <n v="5"/>
    <n v="1.01"/>
    <x v="3"/>
  </r>
  <r>
    <s v="8018cc4c-3924-46b3-8fc8-a31de1b42fc2"/>
    <n v="19"/>
    <x v="1"/>
    <x v="0"/>
    <x v="0"/>
    <n v="6.61"/>
    <n v="18"/>
    <x v="5"/>
    <x v="3"/>
    <n v="13.99"/>
    <x v="0"/>
    <x v="0"/>
    <n v="1"/>
    <n v="0.35"/>
    <x v="5"/>
  </r>
  <r>
    <s v="00108bd6-c0ee-42f0-8809-e5be2b6cd12a"/>
    <n v="25"/>
    <x v="0"/>
    <x v="2"/>
    <x v="1"/>
    <n v="0.98"/>
    <n v="30"/>
    <x v="4"/>
    <x v="2"/>
    <n v="17.989999999999998"/>
    <x v="1"/>
    <x v="0"/>
    <n v="1"/>
    <n v="0.03"/>
    <x v="2"/>
  </r>
  <r>
    <s v="a7607adf-e66d-431e-ad89-61a216125690"/>
    <n v="25"/>
    <x v="0"/>
    <x v="2"/>
    <x v="0"/>
    <n v="0.45"/>
    <n v="2"/>
    <x v="5"/>
    <x v="0"/>
    <n v="13.99"/>
    <x v="1"/>
    <x v="1"/>
    <n v="1"/>
    <n v="0.15"/>
    <x v="1"/>
  </r>
  <r>
    <s v="5254de27-f444-44d4-bc79-08efebefaa4b"/>
    <n v="30"/>
    <x v="0"/>
    <x v="2"/>
    <x v="0"/>
    <n v="1.65"/>
    <n v="58"/>
    <x v="1"/>
    <x v="2"/>
    <n v="13.99"/>
    <x v="1"/>
    <x v="0"/>
    <n v="5"/>
    <n v="0.03"/>
    <x v="2"/>
  </r>
  <r>
    <s v="3155d3e9-2213-4d16-8587-5137a087ef3b"/>
    <n v="23"/>
    <x v="1"/>
    <x v="0"/>
    <x v="0"/>
    <n v="6.25"/>
    <n v="54"/>
    <x v="4"/>
    <x v="0"/>
    <n v="13.99"/>
    <x v="0"/>
    <x v="3"/>
    <n v="4"/>
    <n v="0.11"/>
    <x v="5"/>
  </r>
  <r>
    <s v="104484a9-8ace-4877-a90c-bf2c7e79be7b"/>
    <n v="28"/>
    <x v="0"/>
    <x v="2"/>
    <x v="2"/>
    <n v="15.79"/>
    <n v="12"/>
    <x v="2"/>
    <x v="3"/>
    <n v="8.99"/>
    <x v="0"/>
    <x v="4"/>
    <n v="2"/>
    <n v="1.21"/>
    <x v="3"/>
  </r>
  <r>
    <s v="6e118d2b-80ba-4226-8a1a-cdacad3f4448"/>
    <n v="27"/>
    <x v="0"/>
    <x v="0"/>
    <x v="2"/>
    <n v="0.67"/>
    <n v="22"/>
    <x v="3"/>
    <x v="2"/>
    <n v="8.99"/>
    <x v="1"/>
    <x v="0"/>
    <n v="2"/>
    <n v="0.03"/>
    <x v="0"/>
  </r>
  <r>
    <s v="ca6c9e3c-8993-450d-b1fb-49cc7afd440e"/>
    <n v="18"/>
    <x v="1"/>
    <x v="0"/>
    <x v="1"/>
    <n v="4.9400000000000004"/>
    <n v="39"/>
    <x v="2"/>
    <x v="2"/>
    <n v="17.989999999999998"/>
    <x v="1"/>
    <x v="0"/>
    <n v="5"/>
    <n v="0.12"/>
    <x v="2"/>
  </r>
  <r>
    <s v="0512ed5b-de30-4681-8b7c-8f2aeaf80725"/>
    <n v="24"/>
    <x v="1"/>
    <x v="2"/>
    <x v="0"/>
    <n v="16.21"/>
    <n v="6"/>
    <x v="0"/>
    <x v="2"/>
    <n v="13.99"/>
    <x v="0"/>
    <x v="4"/>
    <n v="1"/>
    <n v="2.3199999999999998"/>
    <x v="5"/>
  </r>
  <r>
    <s v="9356ab66-a890-48cf-86d8-a569664d9b56"/>
    <n v="19"/>
    <x v="1"/>
    <x v="0"/>
    <x v="1"/>
    <n v="3.9"/>
    <n v="9"/>
    <x v="4"/>
    <x v="1"/>
    <n v="17.989999999999998"/>
    <x v="0"/>
    <x v="2"/>
    <n v="5"/>
    <n v="0.39"/>
    <x v="4"/>
  </r>
  <r>
    <s v="49725105-8575-4217-87f4-5733bd288d03"/>
    <n v="18"/>
    <x v="1"/>
    <x v="2"/>
    <x v="1"/>
    <n v="36.340000000000003"/>
    <n v="15"/>
    <x v="2"/>
    <x v="3"/>
    <n v="17.989999999999998"/>
    <x v="0"/>
    <x v="1"/>
    <n v="3"/>
    <n v="2.27"/>
    <x v="3"/>
  </r>
  <r>
    <s v="b1806254-48df-4ade-8024-ce14aab30781"/>
    <n v="30"/>
    <x v="0"/>
    <x v="2"/>
    <x v="0"/>
    <n v="13.25"/>
    <n v="47"/>
    <x v="0"/>
    <x v="1"/>
    <n v="13.99"/>
    <x v="0"/>
    <x v="2"/>
    <n v="4"/>
    <n v="0.28000000000000003"/>
    <x v="0"/>
  </r>
  <r>
    <s v="4c6ba635-f6a3-47b0-b165-d6654655de23"/>
    <n v="31"/>
    <x v="0"/>
    <x v="0"/>
    <x v="2"/>
    <n v="35.35"/>
    <n v="14"/>
    <x v="1"/>
    <x v="2"/>
    <n v="8.99"/>
    <x v="0"/>
    <x v="0"/>
    <n v="5"/>
    <n v="2.36"/>
    <x v="4"/>
  </r>
  <r>
    <s v="5fe4f40a-4055-446d-8d46-e7cb6a540c72"/>
    <n v="26"/>
    <x v="0"/>
    <x v="1"/>
    <x v="0"/>
    <n v="24.89"/>
    <n v="16"/>
    <x v="0"/>
    <x v="3"/>
    <n v="13.99"/>
    <x v="0"/>
    <x v="3"/>
    <n v="4"/>
    <n v="1.46"/>
    <x v="4"/>
  </r>
  <r>
    <s v="266be772-0a13-4114-bd1b-dc40b0516ce2"/>
    <n v="30"/>
    <x v="0"/>
    <x v="2"/>
    <x v="0"/>
    <n v="45.29"/>
    <n v="29"/>
    <x v="2"/>
    <x v="4"/>
    <n v="13.99"/>
    <x v="0"/>
    <x v="2"/>
    <n v="5"/>
    <n v="1.51"/>
    <x v="5"/>
  </r>
  <r>
    <s v="255dd7cf-6113-435a-a958-00f25e1987e5"/>
    <n v="31"/>
    <x v="0"/>
    <x v="0"/>
    <x v="0"/>
    <n v="7.48"/>
    <n v="3"/>
    <x v="3"/>
    <x v="4"/>
    <n v="13.99"/>
    <x v="0"/>
    <x v="4"/>
    <n v="2"/>
    <n v="1.87"/>
    <x v="6"/>
  </r>
  <r>
    <s v="7069b89a-b443-4895-89a4-44b719c1e347"/>
    <n v="28"/>
    <x v="0"/>
    <x v="0"/>
    <x v="0"/>
    <n v="14.34"/>
    <n v="11"/>
    <x v="0"/>
    <x v="3"/>
    <n v="13.99"/>
    <x v="0"/>
    <x v="2"/>
    <n v="5"/>
    <n v="1.2"/>
    <x v="1"/>
  </r>
  <r>
    <s v="9ffd0956-8b70-4483-ac93-63f2e5e101cc"/>
    <n v="21"/>
    <x v="1"/>
    <x v="1"/>
    <x v="0"/>
    <n v="17.63"/>
    <n v="28"/>
    <x v="2"/>
    <x v="1"/>
    <n v="13.99"/>
    <x v="0"/>
    <x v="2"/>
    <n v="1"/>
    <n v="0.61"/>
    <x v="5"/>
  </r>
  <r>
    <s v="7954dfc1-63a1-4207-b3e0-4d55b73f564f"/>
    <n v="20"/>
    <x v="1"/>
    <x v="2"/>
    <x v="2"/>
    <n v="8.91"/>
    <n v="28"/>
    <x v="3"/>
    <x v="0"/>
    <n v="8.99"/>
    <x v="1"/>
    <x v="0"/>
    <n v="2"/>
    <n v="0.31"/>
    <x v="1"/>
  </r>
  <r>
    <s v="57a8fb5f-c293-4702-ad9e-71cbdb4aa6e8"/>
    <n v="30"/>
    <x v="0"/>
    <x v="1"/>
    <x v="1"/>
    <n v="12.88"/>
    <n v="54"/>
    <x v="5"/>
    <x v="3"/>
    <n v="17.989999999999998"/>
    <x v="1"/>
    <x v="4"/>
    <n v="4"/>
    <n v="0.23"/>
    <x v="5"/>
  </r>
  <r>
    <s v="3fe822d8-7078-4018-a420-b4496d29ccf2"/>
    <n v="33"/>
    <x v="0"/>
    <x v="1"/>
    <x v="2"/>
    <n v="24.5"/>
    <n v="46"/>
    <x v="3"/>
    <x v="0"/>
    <n v="8.99"/>
    <x v="0"/>
    <x v="2"/>
    <n v="3"/>
    <n v="0.52"/>
    <x v="6"/>
  </r>
  <r>
    <s v="0301a4b5-7475-4b89-bac5-00093859216d"/>
    <n v="31"/>
    <x v="0"/>
    <x v="2"/>
    <x v="0"/>
    <n v="18.75"/>
    <n v="43"/>
    <x v="5"/>
    <x v="2"/>
    <n v="13.99"/>
    <x v="1"/>
    <x v="4"/>
    <n v="3"/>
    <n v="0.43"/>
    <x v="3"/>
  </r>
  <r>
    <s v="e4768262-43e0-4321-929d-d7ac85194afa"/>
    <n v="31"/>
    <x v="0"/>
    <x v="2"/>
    <x v="1"/>
    <n v="5.69"/>
    <n v="22"/>
    <x v="4"/>
    <x v="2"/>
    <n v="17.989999999999998"/>
    <x v="0"/>
    <x v="1"/>
    <n v="4"/>
    <n v="0.25"/>
    <x v="2"/>
  </r>
  <r>
    <s v="dd57db1b-a539-458a-a190-1fa9d3961f20"/>
    <n v="20"/>
    <x v="1"/>
    <x v="0"/>
    <x v="1"/>
    <n v="11.48"/>
    <n v="30"/>
    <x v="2"/>
    <x v="4"/>
    <n v="17.989999999999998"/>
    <x v="0"/>
    <x v="1"/>
    <n v="1"/>
    <n v="0.37"/>
    <x v="4"/>
  </r>
  <r>
    <s v="2d1781ac-2416-4df0-8681-e86766db1d33"/>
    <n v="32"/>
    <x v="0"/>
    <x v="2"/>
    <x v="2"/>
    <n v="11.91"/>
    <n v="36"/>
    <x v="0"/>
    <x v="0"/>
    <n v="8.99"/>
    <x v="1"/>
    <x v="2"/>
    <n v="5"/>
    <n v="0.32"/>
    <x v="0"/>
  </r>
  <r>
    <s v="1f9e775f-0ade-4083-9cb5-11b1324985ec"/>
    <n v="18"/>
    <x v="1"/>
    <x v="1"/>
    <x v="1"/>
    <n v="1.63"/>
    <n v="10"/>
    <x v="3"/>
    <x v="3"/>
    <n v="17.989999999999998"/>
    <x v="0"/>
    <x v="2"/>
    <n v="4"/>
    <n v="0.15"/>
    <x v="1"/>
  </r>
  <r>
    <s v="d43ee357-4a11-411a-be89-1e938a2b03c5"/>
    <n v="18"/>
    <x v="1"/>
    <x v="1"/>
    <x v="1"/>
    <n v="5.09"/>
    <n v="13"/>
    <x v="0"/>
    <x v="3"/>
    <n v="17.989999999999998"/>
    <x v="0"/>
    <x v="4"/>
    <n v="2"/>
    <n v="0.36"/>
    <x v="0"/>
  </r>
  <r>
    <s v="0d26aff1-5dcd-4c72-8853-ac6efd34ca2a"/>
    <n v="22"/>
    <x v="1"/>
    <x v="0"/>
    <x v="1"/>
    <n v="26.81"/>
    <n v="4"/>
    <x v="0"/>
    <x v="0"/>
    <n v="17.989999999999998"/>
    <x v="0"/>
    <x v="1"/>
    <n v="5"/>
    <n v="5.36"/>
    <x v="4"/>
  </r>
  <r>
    <s v="8196f9c1-0f8f-4a56-9eb3-baa2012b65d4"/>
    <n v="28"/>
    <x v="0"/>
    <x v="2"/>
    <x v="1"/>
    <n v="4.49"/>
    <n v="50"/>
    <x v="5"/>
    <x v="3"/>
    <n v="17.989999999999998"/>
    <x v="1"/>
    <x v="0"/>
    <n v="4"/>
    <n v="0.09"/>
    <x v="0"/>
  </r>
  <r>
    <s v="01e7ba0e-23f7-4c43-91c2-97ccea703e51"/>
    <n v="23"/>
    <x v="1"/>
    <x v="0"/>
    <x v="0"/>
    <n v="2.63"/>
    <n v="4"/>
    <x v="5"/>
    <x v="2"/>
    <n v="13.99"/>
    <x v="0"/>
    <x v="3"/>
    <n v="3"/>
    <n v="0.53"/>
    <x v="1"/>
  </r>
  <r>
    <s v="92c683ff-034e-4bdd-8c27-d196a4676bed"/>
    <n v="25"/>
    <x v="0"/>
    <x v="0"/>
    <x v="1"/>
    <n v="4.05"/>
    <n v="34"/>
    <x v="0"/>
    <x v="3"/>
    <n v="17.989999999999998"/>
    <x v="1"/>
    <x v="4"/>
    <n v="2"/>
    <n v="0.12"/>
    <x v="5"/>
  </r>
  <r>
    <s v="64a5562b-1eeb-4de7-90d8-9eba0b1c09ff"/>
    <n v="25"/>
    <x v="0"/>
    <x v="2"/>
    <x v="2"/>
    <n v="14.39"/>
    <n v="53"/>
    <x v="4"/>
    <x v="4"/>
    <n v="8.99"/>
    <x v="1"/>
    <x v="4"/>
    <n v="4"/>
    <n v="0.27"/>
    <x v="5"/>
  </r>
  <r>
    <s v="c7f1727b-e0a3-4f06-86ba-cc1a3dedfa85"/>
    <n v="24"/>
    <x v="1"/>
    <x v="1"/>
    <x v="0"/>
    <n v="5.81"/>
    <n v="32"/>
    <x v="4"/>
    <x v="0"/>
    <n v="13.99"/>
    <x v="0"/>
    <x v="3"/>
    <n v="4"/>
    <n v="0.18"/>
    <x v="4"/>
  </r>
  <r>
    <s v="f376f532-f75b-4c60-b56e-08527a7facca"/>
    <n v="23"/>
    <x v="1"/>
    <x v="2"/>
    <x v="0"/>
    <n v="0.28999999999999998"/>
    <n v="58"/>
    <x v="1"/>
    <x v="3"/>
    <n v="13.99"/>
    <x v="1"/>
    <x v="4"/>
    <n v="2"/>
    <n v="0"/>
    <x v="5"/>
  </r>
  <r>
    <s v="5b5ea547-92ab-40fa-8576-69d92d37557b"/>
    <n v="23"/>
    <x v="1"/>
    <x v="1"/>
    <x v="2"/>
    <n v="0.03"/>
    <n v="60"/>
    <x v="4"/>
    <x v="0"/>
    <n v="8.99"/>
    <x v="1"/>
    <x v="3"/>
    <n v="1"/>
    <n v="0"/>
    <x v="1"/>
  </r>
  <r>
    <s v="0376ecc1-f7bd-41b0-bb41-719f1cdf0853"/>
    <n v="21"/>
    <x v="1"/>
    <x v="2"/>
    <x v="0"/>
    <n v="13.79"/>
    <n v="39"/>
    <x v="0"/>
    <x v="2"/>
    <n v="13.99"/>
    <x v="0"/>
    <x v="3"/>
    <n v="5"/>
    <n v="0.34"/>
    <x v="2"/>
  </r>
  <r>
    <s v="e7aeeddd-1450-47d9-a18a-0e209f5af835"/>
    <n v="27"/>
    <x v="0"/>
    <x v="2"/>
    <x v="1"/>
    <n v="18.170000000000002"/>
    <n v="60"/>
    <x v="4"/>
    <x v="2"/>
    <n v="17.989999999999998"/>
    <x v="1"/>
    <x v="3"/>
    <n v="2"/>
    <n v="0.3"/>
    <x v="5"/>
  </r>
  <r>
    <s v="d34b78fd-e9fd-4af2-8185-ecad66520d4b"/>
    <n v="25"/>
    <x v="0"/>
    <x v="0"/>
    <x v="1"/>
    <n v="28.54"/>
    <n v="50"/>
    <x v="1"/>
    <x v="4"/>
    <n v="17.989999999999998"/>
    <x v="0"/>
    <x v="3"/>
    <n v="2"/>
    <n v="0.56000000000000005"/>
    <x v="5"/>
  </r>
  <r>
    <s v="a7b3553d-e719-4b4d-802d-33622723dd5d"/>
    <n v="19"/>
    <x v="1"/>
    <x v="0"/>
    <x v="0"/>
    <n v="10.38"/>
    <n v="58"/>
    <x v="1"/>
    <x v="1"/>
    <n v="13.99"/>
    <x v="0"/>
    <x v="3"/>
    <n v="5"/>
    <n v="0.18"/>
    <x v="5"/>
  </r>
  <r>
    <s v="97bb6237-30a3-4795-b9dd-036113d4b3b3"/>
    <n v="26"/>
    <x v="0"/>
    <x v="0"/>
    <x v="1"/>
    <n v="0.97"/>
    <n v="49"/>
    <x v="2"/>
    <x v="2"/>
    <n v="17.989999999999998"/>
    <x v="1"/>
    <x v="3"/>
    <n v="1"/>
    <n v="0.02"/>
    <x v="3"/>
  </r>
  <r>
    <s v="0a8bc259-eb14-4cdf-8add-0d96ac8f1646"/>
    <n v="18"/>
    <x v="1"/>
    <x v="1"/>
    <x v="1"/>
    <n v="2.19"/>
    <n v="24"/>
    <x v="3"/>
    <x v="2"/>
    <n v="17.989999999999998"/>
    <x v="1"/>
    <x v="0"/>
    <n v="1"/>
    <n v="0.09"/>
    <x v="5"/>
  </r>
  <r>
    <s v="07bb46a2-c255-4133-8fec-c0b3ac944990"/>
    <n v="25"/>
    <x v="0"/>
    <x v="0"/>
    <x v="1"/>
    <n v="0.27"/>
    <n v="60"/>
    <x v="4"/>
    <x v="4"/>
    <n v="17.989999999999998"/>
    <x v="1"/>
    <x v="4"/>
    <n v="1"/>
    <n v="0"/>
    <x v="0"/>
  </r>
  <r>
    <s v="92c53048-5882-489d-856d-aa142eaf9d80"/>
    <n v="25"/>
    <x v="0"/>
    <x v="1"/>
    <x v="2"/>
    <n v="17.899999999999999"/>
    <n v="3"/>
    <x v="5"/>
    <x v="4"/>
    <n v="8.99"/>
    <x v="0"/>
    <x v="0"/>
    <n v="3"/>
    <n v="4.47"/>
    <x v="4"/>
  </r>
  <r>
    <s v="a673ecc2-3f9e-49c8-a8a0-33518170fc75"/>
    <n v="26"/>
    <x v="0"/>
    <x v="1"/>
    <x v="2"/>
    <n v="0.75"/>
    <n v="59"/>
    <x v="4"/>
    <x v="4"/>
    <n v="8.99"/>
    <x v="1"/>
    <x v="0"/>
    <n v="2"/>
    <n v="0.01"/>
    <x v="2"/>
  </r>
  <r>
    <s v="e4c0bdd0-8887-4794-83d0-90bcf550e7f8"/>
    <n v="25"/>
    <x v="0"/>
    <x v="2"/>
    <x v="0"/>
    <n v="4.45"/>
    <n v="41"/>
    <x v="4"/>
    <x v="0"/>
    <n v="13.99"/>
    <x v="1"/>
    <x v="4"/>
    <n v="2"/>
    <n v="0.11"/>
    <x v="5"/>
  </r>
  <r>
    <s v="f6271f82-73c1-4c68-94f0-00a8c7ee3ec1"/>
    <n v="33"/>
    <x v="0"/>
    <x v="0"/>
    <x v="2"/>
    <n v="0.6"/>
    <n v="41"/>
    <x v="2"/>
    <x v="4"/>
    <n v="8.99"/>
    <x v="1"/>
    <x v="1"/>
    <n v="3"/>
    <n v="0.01"/>
    <x v="5"/>
  </r>
  <r>
    <s v="9b8878c6-238f-44c8-9dfe-4676c66e11f7"/>
    <n v="31"/>
    <x v="0"/>
    <x v="2"/>
    <x v="0"/>
    <n v="6.29"/>
    <n v="24"/>
    <x v="0"/>
    <x v="1"/>
    <n v="13.99"/>
    <x v="0"/>
    <x v="4"/>
    <n v="3"/>
    <n v="0.25"/>
    <x v="6"/>
  </r>
  <r>
    <s v="3cdcd810-39e5-4f28-989b-378a9b976a5d"/>
    <n v="34"/>
    <x v="0"/>
    <x v="2"/>
    <x v="0"/>
    <n v="45.52"/>
    <n v="52"/>
    <x v="2"/>
    <x v="1"/>
    <n v="13.99"/>
    <x v="0"/>
    <x v="2"/>
    <n v="3"/>
    <n v="0.86"/>
    <x v="3"/>
  </r>
  <r>
    <s v="c95f2368-372e-46c4-9f3d-1c82a301fd78"/>
    <n v="21"/>
    <x v="1"/>
    <x v="1"/>
    <x v="2"/>
    <n v="0.15"/>
    <n v="48"/>
    <x v="0"/>
    <x v="2"/>
    <n v="8.99"/>
    <x v="1"/>
    <x v="2"/>
    <n v="4"/>
    <n v="0"/>
    <x v="3"/>
  </r>
  <r>
    <s v="365dc778-c1e5-4ab8-8687-f9583f9308e1"/>
    <n v="30"/>
    <x v="0"/>
    <x v="2"/>
    <x v="0"/>
    <n v="2.27"/>
    <n v="0"/>
    <x v="4"/>
    <x v="4"/>
    <n v="13.99"/>
    <x v="0"/>
    <x v="0"/>
    <n v="2"/>
    <n v="2.27"/>
    <x v="3"/>
  </r>
  <r>
    <s v="4fd24bc2-10ac-4a18-96cd-1f062ba5024c"/>
    <n v="20"/>
    <x v="1"/>
    <x v="2"/>
    <x v="0"/>
    <n v="2.89"/>
    <n v="13"/>
    <x v="2"/>
    <x v="3"/>
    <n v="13.99"/>
    <x v="1"/>
    <x v="1"/>
    <n v="2"/>
    <n v="0.21"/>
    <x v="6"/>
  </r>
  <r>
    <s v="66284077-a6c7-4460-9cc9-df93097a5fb5"/>
    <n v="31"/>
    <x v="0"/>
    <x v="2"/>
    <x v="2"/>
    <n v="7.69"/>
    <n v="57"/>
    <x v="1"/>
    <x v="3"/>
    <n v="8.99"/>
    <x v="1"/>
    <x v="4"/>
    <n v="5"/>
    <n v="0.13"/>
    <x v="5"/>
  </r>
  <r>
    <s v="fd89085e-0ec9-40aa-8b8b-b72b7ca501da"/>
    <n v="29"/>
    <x v="0"/>
    <x v="1"/>
    <x v="1"/>
    <n v="4.1900000000000004"/>
    <n v="54"/>
    <x v="2"/>
    <x v="3"/>
    <n v="17.989999999999998"/>
    <x v="1"/>
    <x v="2"/>
    <n v="1"/>
    <n v="0.08"/>
    <x v="6"/>
  </r>
  <r>
    <s v="b3aa4ed8-5a94-461b-8446-d653fc705466"/>
    <n v="34"/>
    <x v="0"/>
    <x v="2"/>
    <x v="0"/>
    <n v="16.36"/>
    <n v="22"/>
    <x v="5"/>
    <x v="3"/>
    <n v="13.99"/>
    <x v="0"/>
    <x v="4"/>
    <n v="2"/>
    <n v="0.71"/>
    <x v="4"/>
  </r>
  <r>
    <s v="065606ab-5f1f-428f-b2c5-c6da4baf9597"/>
    <n v="27"/>
    <x v="0"/>
    <x v="2"/>
    <x v="1"/>
    <n v="6.31"/>
    <n v="55"/>
    <x v="3"/>
    <x v="4"/>
    <n v="17.989999999999998"/>
    <x v="0"/>
    <x v="3"/>
    <n v="4"/>
    <n v="0.11"/>
    <x v="1"/>
  </r>
  <r>
    <s v="4585284f-5848-44b3-83e5-aac36e6bfe1e"/>
    <n v="32"/>
    <x v="0"/>
    <x v="2"/>
    <x v="1"/>
    <n v="28.92"/>
    <n v="15"/>
    <x v="1"/>
    <x v="4"/>
    <n v="17.989999999999998"/>
    <x v="0"/>
    <x v="0"/>
    <n v="4"/>
    <n v="1.81"/>
    <x v="4"/>
  </r>
  <r>
    <s v="a29e03cc-8960-45b2-b2dd-608515080f08"/>
    <n v="27"/>
    <x v="0"/>
    <x v="0"/>
    <x v="2"/>
    <n v="35.36"/>
    <n v="58"/>
    <x v="0"/>
    <x v="3"/>
    <n v="8.99"/>
    <x v="0"/>
    <x v="3"/>
    <n v="4"/>
    <n v="0.6"/>
    <x v="0"/>
  </r>
  <r>
    <s v="94f9f356-3b73-4a86-95d0-d27829bd0717"/>
    <n v="23"/>
    <x v="1"/>
    <x v="1"/>
    <x v="1"/>
    <n v="1.43"/>
    <n v="30"/>
    <x v="1"/>
    <x v="0"/>
    <n v="17.989999999999998"/>
    <x v="1"/>
    <x v="4"/>
    <n v="5"/>
    <n v="0.05"/>
    <x v="6"/>
  </r>
  <r>
    <s v="a1e0529c-84b2-4403-b3c1-6c64aa9e23cc"/>
    <n v="21"/>
    <x v="1"/>
    <x v="2"/>
    <x v="2"/>
    <n v="0.92"/>
    <n v="57"/>
    <x v="3"/>
    <x v="1"/>
    <n v="8.99"/>
    <x v="1"/>
    <x v="0"/>
    <n v="2"/>
    <n v="0.02"/>
    <x v="3"/>
  </r>
  <r>
    <s v="6b0cde7d-0f34-41bc-bc64-a3254a2d7561"/>
    <n v="34"/>
    <x v="0"/>
    <x v="2"/>
    <x v="1"/>
    <n v="18.98"/>
    <n v="40"/>
    <x v="3"/>
    <x v="4"/>
    <n v="17.989999999999998"/>
    <x v="0"/>
    <x v="2"/>
    <n v="5"/>
    <n v="0.46"/>
    <x v="5"/>
  </r>
  <r>
    <s v="eab99641-f7e9-4cba-a913-e1880044e640"/>
    <n v="22"/>
    <x v="1"/>
    <x v="0"/>
    <x v="0"/>
    <n v="0.48"/>
    <n v="24"/>
    <x v="4"/>
    <x v="3"/>
    <n v="13.99"/>
    <x v="1"/>
    <x v="4"/>
    <n v="2"/>
    <n v="0.02"/>
    <x v="4"/>
  </r>
  <r>
    <s v="59cbff4b-2d9f-4539-b6d6-0d89eddde6bc"/>
    <n v="21"/>
    <x v="1"/>
    <x v="1"/>
    <x v="1"/>
    <n v="0.2"/>
    <n v="21"/>
    <x v="5"/>
    <x v="2"/>
    <n v="17.989999999999998"/>
    <x v="0"/>
    <x v="1"/>
    <n v="5"/>
    <n v="0.01"/>
    <x v="0"/>
  </r>
  <r>
    <s v="cd82c04b-852d-4e0c-8d5e-68645248bd6f"/>
    <n v="33"/>
    <x v="0"/>
    <x v="0"/>
    <x v="1"/>
    <n v="18.3"/>
    <n v="14"/>
    <x v="1"/>
    <x v="4"/>
    <n v="17.989999999999998"/>
    <x v="0"/>
    <x v="0"/>
    <n v="1"/>
    <n v="1.22"/>
    <x v="6"/>
  </r>
  <r>
    <s v="ef61f409-a614-4271-986a-5d40d27e053c"/>
    <n v="25"/>
    <x v="0"/>
    <x v="2"/>
    <x v="2"/>
    <n v="5.88"/>
    <n v="0"/>
    <x v="1"/>
    <x v="2"/>
    <n v="8.99"/>
    <x v="0"/>
    <x v="2"/>
    <n v="3"/>
    <n v="5.88"/>
    <x v="0"/>
  </r>
  <r>
    <s v="2723dca3-d1e9-4198-829f-f9ed1fb396b4"/>
    <n v="18"/>
    <x v="1"/>
    <x v="2"/>
    <x v="1"/>
    <n v="28.08"/>
    <n v="11"/>
    <x v="5"/>
    <x v="1"/>
    <n v="17.989999999999998"/>
    <x v="0"/>
    <x v="4"/>
    <n v="2"/>
    <n v="2.34"/>
    <x v="4"/>
  </r>
  <r>
    <s v="d0885607-812a-49f6-b5a4-dbc7a59549f4"/>
    <n v="22"/>
    <x v="1"/>
    <x v="1"/>
    <x v="0"/>
    <n v="5.32"/>
    <n v="16"/>
    <x v="0"/>
    <x v="1"/>
    <n v="13.99"/>
    <x v="0"/>
    <x v="2"/>
    <n v="3"/>
    <n v="0.31"/>
    <x v="1"/>
  </r>
  <r>
    <s v="6afbc377-c531-4b4b-ba2d-f616107bea3e"/>
    <n v="18"/>
    <x v="1"/>
    <x v="1"/>
    <x v="1"/>
    <n v="25.3"/>
    <n v="51"/>
    <x v="4"/>
    <x v="0"/>
    <n v="17.989999999999998"/>
    <x v="0"/>
    <x v="0"/>
    <n v="3"/>
    <n v="0.49"/>
    <x v="2"/>
  </r>
  <r>
    <s v="e7069522-df6f-43e5-acd7-050d7c3f1fe3"/>
    <n v="22"/>
    <x v="1"/>
    <x v="0"/>
    <x v="2"/>
    <n v="16.66"/>
    <n v="18"/>
    <x v="2"/>
    <x v="2"/>
    <n v="8.99"/>
    <x v="0"/>
    <x v="3"/>
    <n v="1"/>
    <n v="0.88"/>
    <x v="1"/>
  </r>
  <r>
    <s v="9d8871fd-6726-4bdd-b846-4a19c7d197bc"/>
    <n v="18"/>
    <x v="1"/>
    <x v="2"/>
    <x v="0"/>
    <n v="1.68"/>
    <n v="19"/>
    <x v="2"/>
    <x v="1"/>
    <n v="13.99"/>
    <x v="1"/>
    <x v="0"/>
    <n v="4"/>
    <n v="0.08"/>
    <x v="6"/>
  </r>
  <r>
    <s v="7843f07d-f2c8-4ebc-8dc1-9a25d28b8d28"/>
    <n v="19"/>
    <x v="1"/>
    <x v="2"/>
    <x v="1"/>
    <n v="0.17"/>
    <n v="9"/>
    <x v="2"/>
    <x v="3"/>
    <n v="17.989999999999998"/>
    <x v="0"/>
    <x v="1"/>
    <n v="4"/>
    <n v="0.02"/>
    <x v="2"/>
  </r>
  <r>
    <s v="3997f8f9-ed0e-4bda-94b0-6f06372c9506"/>
    <n v="25"/>
    <x v="0"/>
    <x v="0"/>
    <x v="1"/>
    <n v="36.4"/>
    <n v="28"/>
    <x v="1"/>
    <x v="2"/>
    <n v="17.989999999999998"/>
    <x v="0"/>
    <x v="0"/>
    <n v="5"/>
    <n v="1.26"/>
    <x v="0"/>
  </r>
  <r>
    <s v="8f556804-a1d0-41b1-930d-96be4a33e606"/>
    <n v="23"/>
    <x v="1"/>
    <x v="0"/>
    <x v="0"/>
    <n v="51.87"/>
    <n v="25"/>
    <x v="0"/>
    <x v="3"/>
    <n v="13.99"/>
    <x v="0"/>
    <x v="0"/>
    <n v="2"/>
    <n v="1.99"/>
    <x v="3"/>
  </r>
  <r>
    <s v="369b918f-c741-4cd7-8f5a-74eaebb3ba16"/>
    <n v="21"/>
    <x v="1"/>
    <x v="0"/>
    <x v="0"/>
    <n v="14.17"/>
    <n v="60"/>
    <x v="4"/>
    <x v="0"/>
    <n v="13.99"/>
    <x v="1"/>
    <x v="4"/>
    <n v="5"/>
    <n v="0.23"/>
    <x v="5"/>
  </r>
  <r>
    <s v="ebd6f9c6-f04e-402a-b3b5-e35e3d1752ca"/>
    <n v="29"/>
    <x v="0"/>
    <x v="0"/>
    <x v="2"/>
    <n v="0.39"/>
    <n v="45"/>
    <x v="3"/>
    <x v="0"/>
    <n v="8.99"/>
    <x v="1"/>
    <x v="1"/>
    <n v="5"/>
    <n v="0.01"/>
    <x v="1"/>
  </r>
  <r>
    <s v="d26a52b3-d9f5-4b5d-8aca-afa2484875ee"/>
    <n v="34"/>
    <x v="0"/>
    <x v="0"/>
    <x v="0"/>
    <n v="5.67"/>
    <n v="20"/>
    <x v="2"/>
    <x v="2"/>
    <n v="13.99"/>
    <x v="0"/>
    <x v="0"/>
    <n v="4"/>
    <n v="0.27"/>
    <x v="6"/>
  </r>
  <r>
    <s v="a0338b15-ee5a-46b7-9ff5-6efb2eb8f5ab"/>
    <n v="31"/>
    <x v="0"/>
    <x v="2"/>
    <x v="0"/>
    <n v="6.11"/>
    <n v="17"/>
    <x v="1"/>
    <x v="2"/>
    <n v="13.99"/>
    <x v="0"/>
    <x v="2"/>
    <n v="5"/>
    <n v="0.34"/>
    <x v="6"/>
  </r>
  <r>
    <s v="0fc80a72-2d05-4c3c-8136-f544df2093c3"/>
    <n v="26"/>
    <x v="0"/>
    <x v="0"/>
    <x v="0"/>
    <n v="5.67"/>
    <n v="36"/>
    <x v="2"/>
    <x v="0"/>
    <n v="13.99"/>
    <x v="0"/>
    <x v="3"/>
    <n v="5"/>
    <n v="0.15"/>
    <x v="6"/>
  </r>
  <r>
    <s v="5bde9c98-533b-4ba8-8d0d-aed2782d2684"/>
    <n v="30"/>
    <x v="0"/>
    <x v="1"/>
    <x v="2"/>
    <n v="0.28000000000000003"/>
    <n v="56"/>
    <x v="3"/>
    <x v="2"/>
    <n v="8.99"/>
    <x v="1"/>
    <x v="3"/>
    <n v="2"/>
    <n v="0"/>
    <x v="2"/>
  </r>
  <r>
    <s v="5bb7086d-a632-48c5-9b57-a2ff4dc934f8"/>
    <n v="24"/>
    <x v="1"/>
    <x v="2"/>
    <x v="2"/>
    <n v="3.55"/>
    <n v="59"/>
    <x v="0"/>
    <x v="1"/>
    <n v="8.99"/>
    <x v="1"/>
    <x v="3"/>
    <n v="3"/>
    <n v="0.06"/>
    <x v="0"/>
  </r>
  <r>
    <s v="b48455fa-fbdf-4a42-aa4e-cbf8da5d9ee1"/>
    <n v="20"/>
    <x v="1"/>
    <x v="0"/>
    <x v="2"/>
    <n v="14.05"/>
    <n v="7"/>
    <x v="3"/>
    <x v="2"/>
    <n v="8.99"/>
    <x v="0"/>
    <x v="2"/>
    <n v="3"/>
    <n v="1.76"/>
    <x v="3"/>
  </r>
  <r>
    <s v="fcd98704-3381-4da8-a9d0-85206456ca0b"/>
    <n v="22"/>
    <x v="1"/>
    <x v="0"/>
    <x v="1"/>
    <n v="1.03"/>
    <n v="44"/>
    <x v="3"/>
    <x v="0"/>
    <n v="17.989999999999998"/>
    <x v="1"/>
    <x v="1"/>
    <n v="2"/>
    <n v="0.02"/>
    <x v="0"/>
  </r>
  <r>
    <s v="9a1b7476-d0e7-436f-ae1b-959aafbad559"/>
    <n v="22"/>
    <x v="1"/>
    <x v="1"/>
    <x v="2"/>
    <n v="2.59"/>
    <n v="2"/>
    <x v="3"/>
    <x v="0"/>
    <n v="8.99"/>
    <x v="1"/>
    <x v="4"/>
    <n v="1"/>
    <n v="0.86"/>
    <x v="5"/>
  </r>
  <r>
    <s v="ab956cd0-1819-451c-b8c1-d22b4b6796b2"/>
    <n v="31"/>
    <x v="0"/>
    <x v="2"/>
    <x v="2"/>
    <n v="9.7100000000000009"/>
    <n v="16"/>
    <x v="4"/>
    <x v="0"/>
    <n v="8.99"/>
    <x v="0"/>
    <x v="0"/>
    <n v="3"/>
    <n v="0.56999999999999995"/>
    <x v="6"/>
  </r>
  <r>
    <s v="5d77fa6c-4508-4088-9722-5a2902285a19"/>
    <n v="29"/>
    <x v="0"/>
    <x v="0"/>
    <x v="1"/>
    <n v="5.29"/>
    <n v="8"/>
    <x v="5"/>
    <x v="4"/>
    <n v="17.989999999999998"/>
    <x v="0"/>
    <x v="1"/>
    <n v="3"/>
    <n v="0.59"/>
    <x v="2"/>
  </r>
  <r>
    <s v="2312ef5d-8274-4e8c-90e6-0f5c3eadd031"/>
    <n v="33"/>
    <x v="0"/>
    <x v="0"/>
    <x v="2"/>
    <n v="9.81"/>
    <n v="39"/>
    <x v="4"/>
    <x v="4"/>
    <n v="8.99"/>
    <x v="1"/>
    <x v="4"/>
    <n v="3"/>
    <n v="0.25"/>
    <x v="6"/>
  </r>
  <r>
    <s v="5a7ab9d8-b064-4994-8477-3a606aad924c"/>
    <n v="30"/>
    <x v="0"/>
    <x v="1"/>
    <x v="0"/>
    <n v="5.21"/>
    <n v="11"/>
    <x v="5"/>
    <x v="4"/>
    <n v="13.99"/>
    <x v="0"/>
    <x v="3"/>
    <n v="3"/>
    <n v="0.43"/>
    <x v="4"/>
  </r>
  <r>
    <s v="46bdbd12-f628-49d0-850d-40ed37757cdc"/>
    <n v="30"/>
    <x v="0"/>
    <x v="1"/>
    <x v="0"/>
    <n v="3.36"/>
    <n v="2"/>
    <x v="5"/>
    <x v="1"/>
    <n v="13.99"/>
    <x v="0"/>
    <x v="0"/>
    <n v="2"/>
    <n v="1.1200000000000001"/>
    <x v="6"/>
  </r>
  <r>
    <s v="4473c5da-f69b-4fd8-9a33-1838c1e09fc6"/>
    <n v="28"/>
    <x v="0"/>
    <x v="2"/>
    <x v="0"/>
    <n v="5.29"/>
    <n v="18"/>
    <x v="1"/>
    <x v="3"/>
    <n v="13.99"/>
    <x v="0"/>
    <x v="1"/>
    <n v="1"/>
    <n v="0.28000000000000003"/>
    <x v="2"/>
  </r>
  <r>
    <s v="6b31ebd3-0df5-4c2f-a137-a81d2c18e90a"/>
    <n v="32"/>
    <x v="0"/>
    <x v="0"/>
    <x v="0"/>
    <n v="1.7"/>
    <n v="45"/>
    <x v="3"/>
    <x v="2"/>
    <n v="13.99"/>
    <x v="1"/>
    <x v="4"/>
    <n v="5"/>
    <n v="0.04"/>
    <x v="1"/>
  </r>
  <r>
    <s v="a59ad549-bbaa-4fee-9eb0-10d7e64b5e3b"/>
    <n v="18"/>
    <x v="1"/>
    <x v="1"/>
    <x v="0"/>
    <n v="5.41"/>
    <n v="20"/>
    <x v="3"/>
    <x v="4"/>
    <n v="13.99"/>
    <x v="0"/>
    <x v="0"/>
    <n v="3"/>
    <n v="0.26"/>
    <x v="3"/>
  </r>
  <r>
    <s v="837a5bb7-7d0f-4315-8528-d5a30bf12108"/>
    <n v="18"/>
    <x v="1"/>
    <x v="2"/>
    <x v="2"/>
    <n v="10.17"/>
    <n v="46"/>
    <x v="1"/>
    <x v="2"/>
    <n v="8.99"/>
    <x v="1"/>
    <x v="1"/>
    <n v="1"/>
    <n v="0.22"/>
    <x v="0"/>
  </r>
  <r>
    <s v="396f6900-f042-44d8-be21-0b167b912ff9"/>
    <n v="21"/>
    <x v="1"/>
    <x v="0"/>
    <x v="0"/>
    <n v="16.739999999999998"/>
    <n v="39"/>
    <x v="5"/>
    <x v="1"/>
    <n v="13.99"/>
    <x v="1"/>
    <x v="4"/>
    <n v="3"/>
    <n v="0.42"/>
    <x v="3"/>
  </r>
  <r>
    <s v="c8fb5434-5cc6-4b80-85f4-3bcd5205a7a8"/>
    <n v="29"/>
    <x v="0"/>
    <x v="0"/>
    <x v="1"/>
    <n v="1.38"/>
    <n v="4"/>
    <x v="1"/>
    <x v="1"/>
    <n v="17.989999999999998"/>
    <x v="1"/>
    <x v="4"/>
    <n v="3"/>
    <n v="0.28000000000000003"/>
    <x v="6"/>
  </r>
  <r>
    <s v="8134248c-be39-48b8-ae98-f9e508dbb240"/>
    <n v="21"/>
    <x v="1"/>
    <x v="0"/>
    <x v="1"/>
    <n v="20.56"/>
    <n v="0"/>
    <x v="3"/>
    <x v="1"/>
    <n v="17.989999999999998"/>
    <x v="0"/>
    <x v="0"/>
    <n v="5"/>
    <n v="20.56"/>
    <x v="5"/>
  </r>
  <r>
    <s v="435e0df1-9dc6-4dbc-8a22-d98d9287743f"/>
    <n v="23"/>
    <x v="1"/>
    <x v="0"/>
    <x v="0"/>
    <n v="12.14"/>
    <n v="9"/>
    <x v="4"/>
    <x v="0"/>
    <n v="13.99"/>
    <x v="0"/>
    <x v="0"/>
    <n v="3"/>
    <n v="1.21"/>
    <x v="4"/>
  </r>
  <r>
    <s v="984f7f4a-0e12-47d7-8f25-00433e9a81ab"/>
    <n v="29"/>
    <x v="0"/>
    <x v="0"/>
    <x v="0"/>
    <n v="0.24"/>
    <n v="23"/>
    <x v="5"/>
    <x v="0"/>
    <n v="13.99"/>
    <x v="1"/>
    <x v="2"/>
    <n v="2"/>
    <n v="0.01"/>
    <x v="5"/>
  </r>
  <r>
    <s v="4b4e57f2-0dce-4598-885f-71fa5662cf0e"/>
    <n v="24"/>
    <x v="1"/>
    <x v="1"/>
    <x v="2"/>
    <n v="3.05"/>
    <n v="54"/>
    <x v="5"/>
    <x v="3"/>
    <n v="8.99"/>
    <x v="1"/>
    <x v="4"/>
    <n v="3"/>
    <n v="0.06"/>
    <x v="0"/>
  </r>
  <r>
    <s v="521d1f0d-3f5f-438f-8c6d-6c9aab0299af"/>
    <n v="22"/>
    <x v="1"/>
    <x v="2"/>
    <x v="2"/>
    <n v="5.15"/>
    <n v="25"/>
    <x v="3"/>
    <x v="1"/>
    <n v="8.99"/>
    <x v="0"/>
    <x v="0"/>
    <n v="4"/>
    <n v="0.2"/>
    <x v="5"/>
  </r>
  <r>
    <s v="c8a08658-20ab-4f89-a0e7-3f614340eb78"/>
    <n v="34"/>
    <x v="0"/>
    <x v="2"/>
    <x v="1"/>
    <n v="26.14"/>
    <n v="15"/>
    <x v="5"/>
    <x v="2"/>
    <n v="17.989999999999998"/>
    <x v="0"/>
    <x v="1"/>
    <n v="3"/>
    <n v="1.63"/>
    <x v="4"/>
  </r>
  <r>
    <s v="eb295874-e3cf-4c03-8fcc-0d20f7002487"/>
    <n v="31"/>
    <x v="0"/>
    <x v="2"/>
    <x v="2"/>
    <n v="1.04"/>
    <n v="46"/>
    <x v="2"/>
    <x v="0"/>
    <n v="8.99"/>
    <x v="1"/>
    <x v="3"/>
    <n v="1"/>
    <n v="0.02"/>
    <x v="4"/>
  </r>
  <r>
    <s v="29208590-743a-425b-9077-67234e055f13"/>
    <n v="32"/>
    <x v="0"/>
    <x v="2"/>
    <x v="1"/>
    <n v="24.08"/>
    <n v="37"/>
    <x v="5"/>
    <x v="4"/>
    <n v="17.989999999999998"/>
    <x v="0"/>
    <x v="1"/>
    <n v="3"/>
    <n v="0.63"/>
    <x v="3"/>
  </r>
  <r>
    <s v="7ba75cd9-df14-4e14-a22c-3ddc259ef325"/>
    <n v="32"/>
    <x v="0"/>
    <x v="0"/>
    <x v="0"/>
    <n v="9.8000000000000007"/>
    <n v="5"/>
    <x v="4"/>
    <x v="4"/>
    <n v="13.99"/>
    <x v="0"/>
    <x v="2"/>
    <n v="3"/>
    <n v="1.63"/>
    <x v="0"/>
  </r>
  <r>
    <s v="3cef2ed3-dfec-427e-ba70-5d08fa92a631"/>
    <n v="26"/>
    <x v="0"/>
    <x v="0"/>
    <x v="0"/>
    <n v="8.8800000000000008"/>
    <n v="42"/>
    <x v="3"/>
    <x v="3"/>
    <n v="13.99"/>
    <x v="1"/>
    <x v="1"/>
    <n v="1"/>
    <n v="0.21"/>
    <x v="5"/>
  </r>
  <r>
    <s v="25c3f6c6-d0d4-4135-b2e8-67e3d423fa2d"/>
    <n v="28"/>
    <x v="0"/>
    <x v="0"/>
    <x v="1"/>
    <n v="25.32"/>
    <n v="6"/>
    <x v="2"/>
    <x v="1"/>
    <n v="17.989999999999998"/>
    <x v="0"/>
    <x v="4"/>
    <n v="1"/>
    <n v="3.62"/>
    <x v="3"/>
  </r>
  <r>
    <s v="ea172916-31b9-429f-b590-a746507bb20e"/>
    <n v="28"/>
    <x v="0"/>
    <x v="2"/>
    <x v="1"/>
    <n v="2.0099999999999998"/>
    <n v="35"/>
    <x v="1"/>
    <x v="4"/>
    <n v="17.989999999999998"/>
    <x v="1"/>
    <x v="4"/>
    <n v="2"/>
    <n v="0.06"/>
    <x v="5"/>
  </r>
  <r>
    <s v="b36b2e7d-ddd2-41ee-8a2f-00154f07b184"/>
    <n v="24"/>
    <x v="1"/>
    <x v="2"/>
    <x v="1"/>
    <n v="9.24"/>
    <n v="23"/>
    <x v="5"/>
    <x v="3"/>
    <n v="17.989999999999998"/>
    <x v="0"/>
    <x v="1"/>
    <n v="3"/>
    <n v="0.39"/>
    <x v="5"/>
  </r>
  <r>
    <s v="41750832-10d6-4ce6-ae6c-494a1d849b0a"/>
    <n v="33"/>
    <x v="0"/>
    <x v="0"/>
    <x v="0"/>
    <n v="1.32"/>
    <n v="36"/>
    <x v="2"/>
    <x v="1"/>
    <n v="13.99"/>
    <x v="1"/>
    <x v="0"/>
    <n v="1"/>
    <n v="0.04"/>
    <x v="0"/>
  </r>
  <r>
    <s v="1ad376c4-db63-48e2-92ea-1f2f94d583ce"/>
    <n v="32"/>
    <x v="0"/>
    <x v="0"/>
    <x v="2"/>
    <n v="0.54"/>
    <n v="5"/>
    <x v="5"/>
    <x v="1"/>
    <n v="8.99"/>
    <x v="1"/>
    <x v="3"/>
    <n v="2"/>
    <n v="0.09"/>
    <x v="0"/>
  </r>
  <r>
    <s v="2d6e45f9-c626-4f26-b7ca-7fbea55a3773"/>
    <n v="22"/>
    <x v="1"/>
    <x v="2"/>
    <x v="1"/>
    <n v="12.87"/>
    <n v="59"/>
    <x v="1"/>
    <x v="4"/>
    <n v="17.989999999999998"/>
    <x v="1"/>
    <x v="4"/>
    <n v="4"/>
    <n v="0.21"/>
    <x v="4"/>
  </r>
  <r>
    <s v="78a91b6f-0e0a-4432-b7cf-170f0d378356"/>
    <n v="31"/>
    <x v="0"/>
    <x v="2"/>
    <x v="0"/>
    <n v="11.93"/>
    <n v="15"/>
    <x v="3"/>
    <x v="4"/>
    <n v="13.99"/>
    <x v="0"/>
    <x v="4"/>
    <n v="4"/>
    <n v="0.75"/>
    <x v="2"/>
  </r>
  <r>
    <s v="ab117f6f-73fc-4211-b264-db6211bd97f3"/>
    <n v="21"/>
    <x v="1"/>
    <x v="0"/>
    <x v="0"/>
    <n v="8.6"/>
    <n v="46"/>
    <x v="1"/>
    <x v="2"/>
    <n v="13.99"/>
    <x v="0"/>
    <x v="3"/>
    <n v="4"/>
    <n v="0.18"/>
    <x v="3"/>
  </r>
  <r>
    <s v="24be0465-3bee-4952-bc5b-8b0227a6baaa"/>
    <n v="18"/>
    <x v="1"/>
    <x v="0"/>
    <x v="2"/>
    <n v="47.29"/>
    <n v="23"/>
    <x v="0"/>
    <x v="0"/>
    <n v="8.99"/>
    <x v="0"/>
    <x v="3"/>
    <n v="3"/>
    <n v="1.97"/>
    <x v="4"/>
  </r>
  <r>
    <s v="a952d34f-2ec1-4daf-9ee0-9c06351caa91"/>
    <n v="28"/>
    <x v="0"/>
    <x v="0"/>
    <x v="2"/>
    <n v="2.66"/>
    <n v="55"/>
    <x v="3"/>
    <x v="1"/>
    <n v="8.99"/>
    <x v="1"/>
    <x v="0"/>
    <n v="5"/>
    <n v="0.05"/>
    <x v="3"/>
  </r>
  <r>
    <s v="2919e65b-e387-49f7-8afa-26b4cb2f5d35"/>
    <n v="25"/>
    <x v="0"/>
    <x v="0"/>
    <x v="0"/>
    <n v="9.64"/>
    <n v="54"/>
    <x v="5"/>
    <x v="0"/>
    <n v="13.99"/>
    <x v="1"/>
    <x v="2"/>
    <n v="3"/>
    <n v="0.18"/>
    <x v="0"/>
  </r>
  <r>
    <s v="5c619083-1760-4a87-a00a-3ca15ffccf0c"/>
    <n v="21"/>
    <x v="1"/>
    <x v="2"/>
    <x v="1"/>
    <n v="1.83"/>
    <n v="21"/>
    <x v="4"/>
    <x v="0"/>
    <n v="17.989999999999998"/>
    <x v="1"/>
    <x v="4"/>
    <n v="1"/>
    <n v="0.08"/>
    <x v="1"/>
  </r>
  <r>
    <s v="4d396fff-770c-4879-ab7d-562cd5347d99"/>
    <n v="31"/>
    <x v="0"/>
    <x v="1"/>
    <x v="0"/>
    <n v="3.9"/>
    <n v="33"/>
    <x v="5"/>
    <x v="1"/>
    <n v="13.99"/>
    <x v="1"/>
    <x v="1"/>
    <n v="3"/>
    <n v="0.11"/>
    <x v="3"/>
  </r>
  <r>
    <s v="80ae474f-2e01-4732-a930-00d3e2cd07ba"/>
    <n v="32"/>
    <x v="0"/>
    <x v="2"/>
    <x v="1"/>
    <n v="2.38"/>
    <n v="3"/>
    <x v="0"/>
    <x v="2"/>
    <n v="17.989999999999998"/>
    <x v="0"/>
    <x v="4"/>
    <n v="4"/>
    <n v="0.59"/>
    <x v="0"/>
  </r>
  <r>
    <s v="e9c0e33c-d11c-49fe-8c0a-7cd7c19bccb6"/>
    <n v="20"/>
    <x v="1"/>
    <x v="0"/>
    <x v="2"/>
    <n v="1.27"/>
    <n v="46"/>
    <x v="0"/>
    <x v="3"/>
    <n v="8.99"/>
    <x v="1"/>
    <x v="3"/>
    <n v="1"/>
    <n v="0.03"/>
    <x v="2"/>
  </r>
  <r>
    <s v="6ef75419-014d-484f-b0b5-ad892dc6355a"/>
    <n v="18"/>
    <x v="1"/>
    <x v="2"/>
    <x v="2"/>
    <n v="3.11"/>
    <n v="48"/>
    <x v="1"/>
    <x v="0"/>
    <n v="8.99"/>
    <x v="1"/>
    <x v="2"/>
    <n v="2"/>
    <n v="0.06"/>
    <x v="6"/>
  </r>
  <r>
    <s v="3e5ca0e8-0ee4-442c-a7d5-42e317f42e32"/>
    <n v="28"/>
    <x v="0"/>
    <x v="0"/>
    <x v="0"/>
    <n v="0.61"/>
    <n v="59"/>
    <x v="3"/>
    <x v="1"/>
    <n v="13.99"/>
    <x v="1"/>
    <x v="4"/>
    <n v="5"/>
    <n v="0.01"/>
    <x v="4"/>
  </r>
  <r>
    <s v="74321b67-ea33-4478-a9a2-a5d32e6eab48"/>
    <n v="22"/>
    <x v="1"/>
    <x v="2"/>
    <x v="0"/>
    <n v="10.96"/>
    <n v="50"/>
    <x v="0"/>
    <x v="1"/>
    <n v="13.99"/>
    <x v="1"/>
    <x v="0"/>
    <n v="4"/>
    <n v="0.21"/>
    <x v="0"/>
  </r>
  <r>
    <s v="5a8ba2fb-5253-47fd-8008-44384430edf1"/>
    <n v="29"/>
    <x v="0"/>
    <x v="1"/>
    <x v="1"/>
    <n v="16.95"/>
    <n v="53"/>
    <x v="3"/>
    <x v="2"/>
    <n v="17.989999999999998"/>
    <x v="1"/>
    <x v="3"/>
    <n v="3"/>
    <n v="0.31"/>
    <x v="4"/>
  </r>
  <r>
    <s v="fa287c41-72cd-40a9-82b6-1fc0737ab235"/>
    <n v="34"/>
    <x v="0"/>
    <x v="1"/>
    <x v="0"/>
    <n v="8.59"/>
    <n v="20"/>
    <x v="1"/>
    <x v="0"/>
    <n v="13.99"/>
    <x v="0"/>
    <x v="4"/>
    <n v="1"/>
    <n v="0.41"/>
    <x v="4"/>
  </r>
  <r>
    <s v="e158767d-d404-4c70-9ab1-df830be9d0d7"/>
    <n v="33"/>
    <x v="0"/>
    <x v="1"/>
    <x v="2"/>
    <n v="24.94"/>
    <n v="16"/>
    <x v="2"/>
    <x v="2"/>
    <n v="8.99"/>
    <x v="0"/>
    <x v="2"/>
    <n v="1"/>
    <n v="1.47"/>
    <x v="0"/>
  </r>
  <r>
    <s v="804256f3-09b1-43a2-9e9b-2e12ed16cffe"/>
    <n v="26"/>
    <x v="0"/>
    <x v="2"/>
    <x v="0"/>
    <n v="26.4"/>
    <n v="22"/>
    <x v="4"/>
    <x v="0"/>
    <n v="13.99"/>
    <x v="0"/>
    <x v="2"/>
    <n v="1"/>
    <n v="1.1499999999999999"/>
    <x v="4"/>
  </r>
  <r>
    <s v="210b9c3e-61bd-419b-842d-72ed78d38e9e"/>
    <n v="28"/>
    <x v="0"/>
    <x v="1"/>
    <x v="0"/>
    <n v="14.45"/>
    <n v="4"/>
    <x v="1"/>
    <x v="1"/>
    <n v="13.99"/>
    <x v="0"/>
    <x v="2"/>
    <n v="5"/>
    <n v="2.89"/>
    <x v="2"/>
  </r>
  <r>
    <s v="33bca94a-0b75-4ad7-b4fe-db44cfdd6992"/>
    <n v="28"/>
    <x v="0"/>
    <x v="1"/>
    <x v="0"/>
    <n v="1.07"/>
    <n v="9"/>
    <x v="3"/>
    <x v="2"/>
    <n v="13.99"/>
    <x v="1"/>
    <x v="3"/>
    <n v="1"/>
    <n v="0.11"/>
    <x v="1"/>
  </r>
  <r>
    <s v="1b49ab1b-80c6-48a5-8fa2-99155b0d743d"/>
    <n v="20"/>
    <x v="1"/>
    <x v="2"/>
    <x v="2"/>
    <n v="1.4"/>
    <n v="51"/>
    <x v="2"/>
    <x v="0"/>
    <n v="8.99"/>
    <x v="1"/>
    <x v="4"/>
    <n v="4"/>
    <n v="0.03"/>
    <x v="1"/>
  </r>
  <r>
    <s v="cd3d65e9-6653-4206-8809-0665721a1af5"/>
    <n v="29"/>
    <x v="0"/>
    <x v="0"/>
    <x v="0"/>
    <n v="17.260000000000002"/>
    <n v="17"/>
    <x v="5"/>
    <x v="4"/>
    <n v="13.99"/>
    <x v="0"/>
    <x v="4"/>
    <n v="2"/>
    <n v="0.96"/>
    <x v="0"/>
  </r>
  <r>
    <s v="4715e1c8-4447-49fb-aaf6-d1f7cdc5a4a3"/>
    <n v="28"/>
    <x v="0"/>
    <x v="1"/>
    <x v="0"/>
    <n v="6.97"/>
    <n v="9"/>
    <x v="3"/>
    <x v="3"/>
    <n v="13.99"/>
    <x v="0"/>
    <x v="1"/>
    <n v="4"/>
    <n v="0.7"/>
    <x v="2"/>
  </r>
  <r>
    <s v="e6d043fa-2dd1-45d0-876c-a7c704f2ce1f"/>
    <n v="29"/>
    <x v="0"/>
    <x v="0"/>
    <x v="1"/>
    <n v="14.87"/>
    <n v="12"/>
    <x v="4"/>
    <x v="1"/>
    <n v="17.989999999999998"/>
    <x v="0"/>
    <x v="2"/>
    <n v="4"/>
    <n v="1.1399999999999999"/>
    <x v="3"/>
  </r>
  <r>
    <s v="28c6e751-2511-479d-83c1-455a6e1fc02a"/>
    <n v="21"/>
    <x v="1"/>
    <x v="0"/>
    <x v="0"/>
    <n v="25.32"/>
    <n v="60"/>
    <x v="1"/>
    <x v="2"/>
    <n v="13.99"/>
    <x v="0"/>
    <x v="0"/>
    <n v="4"/>
    <n v="0.42"/>
    <x v="1"/>
  </r>
  <r>
    <s v="3f14d6e0-dd02-4fe1-82ff-bd5cec08118b"/>
    <n v="19"/>
    <x v="1"/>
    <x v="0"/>
    <x v="0"/>
    <n v="16.260000000000002"/>
    <n v="17"/>
    <x v="1"/>
    <x v="4"/>
    <n v="13.99"/>
    <x v="0"/>
    <x v="2"/>
    <n v="1"/>
    <n v="0.9"/>
    <x v="0"/>
  </r>
  <r>
    <s v="85420440-ebf6-49e6-af14-16079557b57a"/>
    <n v="32"/>
    <x v="0"/>
    <x v="1"/>
    <x v="2"/>
    <n v="12.06"/>
    <n v="26"/>
    <x v="0"/>
    <x v="1"/>
    <n v="8.99"/>
    <x v="0"/>
    <x v="3"/>
    <n v="3"/>
    <n v="0.45"/>
    <x v="0"/>
  </r>
  <r>
    <s v="cc8ec647-33c7-46cf-af2b-141363c9314f"/>
    <n v="19"/>
    <x v="1"/>
    <x v="2"/>
    <x v="2"/>
    <n v="2.79"/>
    <n v="33"/>
    <x v="5"/>
    <x v="4"/>
    <n v="8.99"/>
    <x v="1"/>
    <x v="3"/>
    <n v="4"/>
    <n v="0.08"/>
    <x v="6"/>
  </r>
  <r>
    <s v="63c3d866-4c2f-4b50-9e58-332a2bbea4e5"/>
    <n v="33"/>
    <x v="0"/>
    <x v="0"/>
    <x v="2"/>
    <n v="9.64"/>
    <n v="30"/>
    <x v="0"/>
    <x v="2"/>
    <n v="8.99"/>
    <x v="0"/>
    <x v="0"/>
    <n v="5"/>
    <n v="0.31"/>
    <x v="5"/>
  </r>
  <r>
    <s v="b6a5e8ca-ccd7-4fca-a1d3-949bffc746cf"/>
    <n v="18"/>
    <x v="1"/>
    <x v="1"/>
    <x v="2"/>
    <n v="2.13"/>
    <n v="20"/>
    <x v="5"/>
    <x v="1"/>
    <n v="8.99"/>
    <x v="1"/>
    <x v="2"/>
    <n v="1"/>
    <n v="0.1"/>
    <x v="6"/>
  </r>
  <r>
    <s v="c3bb2207-5913-4675-9977-5a1a64de72e1"/>
    <n v="22"/>
    <x v="1"/>
    <x v="1"/>
    <x v="1"/>
    <n v="32.64"/>
    <n v="30"/>
    <x v="5"/>
    <x v="2"/>
    <n v="17.989999999999998"/>
    <x v="0"/>
    <x v="2"/>
    <n v="5"/>
    <n v="1.05"/>
    <x v="6"/>
  </r>
  <r>
    <s v="b2bf8c40-7a2a-4695-8a51-354e6021337e"/>
    <n v="24"/>
    <x v="1"/>
    <x v="0"/>
    <x v="2"/>
    <n v="14.8"/>
    <n v="28"/>
    <x v="4"/>
    <x v="1"/>
    <n v="8.99"/>
    <x v="0"/>
    <x v="1"/>
    <n v="5"/>
    <n v="0.51"/>
    <x v="0"/>
  </r>
  <r>
    <s v="75213958-6f81-4fc1-a446-5eafb01dca12"/>
    <n v="30"/>
    <x v="0"/>
    <x v="0"/>
    <x v="2"/>
    <n v="4.3899999999999997"/>
    <n v="52"/>
    <x v="4"/>
    <x v="0"/>
    <n v="8.99"/>
    <x v="1"/>
    <x v="2"/>
    <n v="3"/>
    <n v="0.08"/>
    <x v="0"/>
  </r>
  <r>
    <s v="ead37a59-af0e-4cd8-a764-f2cdbe727457"/>
    <n v="22"/>
    <x v="1"/>
    <x v="2"/>
    <x v="1"/>
    <n v="5.45"/>
    <n v="16"/>
    <x v="4"/>
    <x v="3"/>
    <n v="17.989999999999998"/>
    <x v="0"/>
    <x v="2"/>
    <n v="1"/>
    <n v="0.32"/>
    <x v="4"/>
  </r>
  <r>
    <s v="b6083e69-466b-43ff-bd61-d835ff91dfae"/>
    <n v="32"/>
    <x v="0"/>
    <x v="0"/>
    <x v="2"/>
    <n v="9.14"/>
    <n v="51"/>
    <x v="4"/>
    <x v="2"/>
    <n v="8.99"/>
    <x v="1"/>
    <x v="1"/>
    <n v="2"/>
    <n v="0.18"/>
    <x v="4"/>
  </r>
  <r>
    <s v="9f3553ad-d5b2-4d08-85f8-1560403a619d"/>
    <n v="29"/>
    <x v="0"/>
    <x v="2"/>
    <x v="1"/>
    <n v="0.69"/>
    <n v="41"/>
    <x v="5"/>
    <x v="4"/>
    <n v="17.989999999999998"/>
    <x v="1"/>
    <x v="1"/>
    <n v="5"/>
    <n v="0.02"/>
    <x v="3"/>
  </r>
  <r>
    <s v="28c544f1-3e87-4ae2-bd03-8bb94284b82c"/>
    <n v="26"/>
    <x v="0"/>
    <x v="2"/>
    <x v="0"/>
    <n v="67.5"/>
    <n v="29"/>
    <x v="2"/>
    <x v="2"/>
    <n v="13.99"/>
    <x v="0"/>
    <x v="3"/>
    <n v="4"/>
    <n v="2.25"/>
    <x v="4"/>
  </r>
  <r>
    <s v="9927198c-86e3-4f28-a6ce-397acc4caf69"/>
    <n v="26"/>
    <x v="0"/>
    <x v="1"/>
    <x v="0"/>
    <n v="4.3099999999999996"/>
    <n v="13"/>
    <x v="2"/>
    <x v="2"/>
    <n v="13.99"/>
    <x v="1"/>
    <x v="1"/>
    <n v="1"/>
    <n v="0.31"/>
    <x v="1"/>
  </r>
  <r>
    <s v="51846af3-4ee8-4383-b77e-c7941ff99e4f"/>
    <n v="24"/>
    <x v="1"/>
    <x v="0"/>
    <x v="2"/>
    <n v="5.59"/>
    <n v="0"/>
    <x v="4"/>
    <x v="4"/>
    <n v="8.99"/>
    <x v="0"/>
    <x v="0"/>
    <n v="5"/>
    <n v="5.59"/>
    <x v="5"/>
  </r>
  <r>
    <s v="872edb94-4351-4086-b95a-9e27431cc43f"/>
    <n v="19"/>
    <x v="1"/>
    <x v="2"/>
    <x v="1"/>
    <n v="11.32"/>
    <n v="31"/>
    <x v="0"/>
    <x v="3"/>
    <n v="17.989999999999998"/>
    <x v="0"/>
    <x v="1"/>
    <n v="4"/>
    <n v="0.35"/>
    <x v="3"/>
  </r>
  <r>
    <s v="d625591a-3bbc-429e-a938-e0c608d79b57"/>
    <n v="32"/>
    <x v="0"/>
    <x v="1"/>
    <x v="0"/>
    <n v="17.48"/>
    <n v="4"/>
    <x v="4"/>
    <x v="1"/>
    <n v="13.99"/>
    <x v="0"/>
    <x v="0"/>
    <n v="4"/>
    <n v="3.5"/>
    <x v="2"/>
  </r>
  <r>
    <s v="42c50042-91a6-424a-b693-29d883255e61"/>
    <n v="28"/>
    <x v="0"/>
    <x v="1"/>
    <x v="0"/>
    <n v="50.73"/>
    <n v="12"/>
    <x v="4"/>
    <x v="3"/>
    <n v="13.99"/>
    <x v="0"/>
    <x v="2"/>
    <n v="4"/>
    <n v="3.9"/>
    <x v="5"/>
  </r>
  <r>
    <s v="dbb5d434-8a56-41f9-87eb-1cf8dc563b1b"/>
    <n v="19"/>
    <x v="1"/>
    <x v="2"/>
    <x v="1"/>
    <n v="5.34"/>
    <n v="3"/>
    <x v="4"/>
    <x v="4"/>
    <n v="17.989999999999998"/>
    <x v="0"/>
    <x v="1"/>
    <n v="1"/>
    <n v="1.33"/>
    <x v="3"/>
  </r>
  <r>
    <s v="40f121cf-8cc7-4e5a-bf91-dfa99f774bca"/>
    <n v="25"/>
    <x v="0"/>
    <x v="1"/>
    <x v="0"/>
    <n v="5.36"/>
    <n v="23"/>
    <x v="3"/>
    <x v="2"/>
    <n v="13.99"/>
    <x v="0"/>
    <x v="0"/>
    <n v="4"/>
    <n v="0.22"/>
    <x v="1"/>
  </r>
  <r>
    <s v="207339d4-84f7-4562-aeab-481ca61807c6"/>
    <n v="21"/>
    <x v="1"/>
    <x v="2"/>
    <x v="2"/>
    <n v="24.12"/>
    <n v="18"/>
    <x v="2"/>
    <x v="1"/>
    <n v="8.99"/>
    <x v="0"/>
    <x v="0"/>
    <n v="1"/>
    <n v="1.27"/>
    <x v="3"/>
  </r>
  <r>
    <s v="803b8187-d2cd-405e-9016-a8aa418384e1"/>
    <n v="18"/>
    <x v="1"/>
    <x v="2"/>
    <x v="2"/>
    <n v="32.68"/>
    <n v="58"/>
    <x v="3"/>
    <x v="0"/>
    <n v="8.99"/>
    <x v="0"/>
    <x v="4"/>
    <n v="5"/>
    <n v="0.55000000000000004"/>
    <x v="4"/>
  </r>
  <r>
    <s v="47ef1fd4-7788-481e-829c-abd737dbd61f"/>
    <n v="19"/>
    <x v="1"/>
    <x v="0"/>
    <x v="1"/>
    <n v="1.8"/>
    <n v="4"/>
    <x v="3"/>
    <x v="4"/>
    <n v="17.989999999999998"/>
    <x v="0"/>
    <x v="1"/>
    <n v="2"/>
    <n v="0.36"/>
    <x v="5"/>
  </r>
  <r>
    <s v="3080b07c-545a-4370-9485-b288de08764f"/>
    <n v="24"/>
    <x v="1"/>
    <x v="0"/>
    <x v="0"/>
    <n v="1.68"/>
    <n v="45"/>
    <x v="0"/>
    <x v="2"/>
    <n v="13.99"/>
    <x v="1"/>
    <x v="2"/>
    <n v="3"/>
    <n v="0.04"/>
    <x v="1"/>
  </r>
  <r>
    <s v="7ffed6ac-db02-4e27-9368-551fb7b66687"/>
    <n v="24"/>
    <x v="1"/>
    <x v="2"/>
    <x v="1"/>
    <n v="33.35"/>
    <n v="38"/>
    <x v="3"/>
    <x v="0"/>
    <n v="17.989999999999998"/>
    <x v="0"/>
    <x v="2"/>
    <n v="1"/>
    <n v="0.86"/>
    <x v="5"/>
  </r>
  <r>
    <s v="c8a454e7-9cfd-41de-a06e-f0251becf007"/>
    <n v="30"/>
    <x v="0"/>
    <x v="0"/>
    <x v="1"/>
    <n v="3.63"/>
    <n v="35"/>
    <x v="1"/>
    <x v="3"/>
    <n v="17.989999999999998"/>
    <x v="1"/>
    <x v="3"/>
    <n v="3"/>
    <n v="0.1"/>
    <x v="0"/>
  </r>
  <r>
    <s v="76cf661d-95cb-4b43-bd4e-a2fb1e1ca16c"/>
    <n v="26"/>
    <x v="0"/>
    <x v="1"/>
    <x v="0"/>
    <n v="13.02"/>
    <n v="41"/>
    <x v="4"/>
    <x v="4"/>
    <n v="13.99"/>
    <x v="1"/>
    <x v="0"/>
    <n v="1"/>
    <n v="0.31"/>
    <x v="6"/>
  </r>
  <r>
    <s v="2736897f-a383-4813-bb71-2a3b303dc1be"/>
    <n v="22"/>
    <x v="1"/>
    <x v="2"/>
    <x v="0"/>
    <n v="0.12"/>
    <n v="4"/>
    <x v="0"/>
    <x v="1"/>
    <n v="13.99"/>
    <x v="0"/>
    <x v="3"/>
    <n v="5"/>
    <n v="0.02"/>
    <x v="0"/>
  </r>
  <r>
    <s v="d178f7f4-f66b-4f59-8ab8-d15e9b51a915"/>
    <n v="32"/>
    <x v="0"/>
    <x v="2"/>
    <x v="0"/>
    <n v="5.6"/>
    <n v="44"/>
    <x v="1"/>
    <x v="2"/>
    <n v="13.99"/>
    <x v="1"/>
    <x v="3"/>
    <n v="3"/>
    <n v="0.12"/>
    <x v="2"/>
  </r>
  <r>
    <s v="14505c8a-5d16-4808-8a62-75fcdfbb28d1"/>
    <n v="28"/>
    <x v="0"/>
    <x v="1"/>
    <x v="1"/>
    <n v="0.68"/>
    <n v="53"/>
    <x v="4"/>
    <x v="1"/>
    <n v="17.989999999999998"/>
    <x v="1"/>
    <x v="0"/>
    <n v="1"/>
    <n v="0.01"/>
    <x v="1"/>
  </r>
  <r>
    <s v="3a85cb4f-fbe6-43cd-9e48-561e968a38ba"/>
    <n v="25"/>
    <x v="0"/>
    <x v="1"/>
    <x v="2"/>
    <n v="6.38"/>
    <n v="58"/>
    <x v="1"/>
    <x v="3"/>
    <n v="8.99"/>
    <x v="1"/>
    <x v="3"/>
    <n v="3"/>
    <n v="0.11"/>
    <x v="5"/>
  </r>
  <r>
    <s v="baf77c0b-ae75-441e-a9ca-10dcb0ca8a86"/>
    <n v="33"/>
    <x v="0"/>
    <x v="0"/>
    <x v="0"/>
    <n v="6.82"/>
    <n v="17"/>
    <x v="3"/>
    <x v="4"/>
    <n v="13.99"/>
    <x v="0"/>
    <x v="3"/>
    <n v="3"/>
    <n v="0.38"/>
    <x v="6"/>
  </r>
  <r>
    <s v="e6f30248-cada-456a-9bad-60136760979b"/>
    <n v="18"/>
    <x v="1"/>
    <x v="0"/>
    <x v="1"/>
    <n v="11.82"/>
    <n v="59"/>
    <x v="3"/>
    <x v="1"/>
    <n v="17.989999999999998"/>
    <x v="1"/>
    <x v="2"/>
    <n v="2"/>
    <n v="0.2"/>
    <x v="0"/>
  </r>
  <r>
    <s v="a07f537a-651f-4bfd-894c-91d437fe5a2f"/>
    <n v="20"/>
    <x v="1"/>
    <x v="2"/>
    <x v="1"/>
    <n v="2.04"/>
    <n v="52"/>
    <x v="3"/>
    <x v="1"/>
    <n v="17.989999999999998"/>
    <x v="1"/>
    <x v="1"/>
    <n v="5"/>
    <n v="0.04"/>
    <x v="3"/>
  </r>
  <r>
    <s v="005bfa8f-2b5b-4b77-8285-3bf38fc632da"/>
    <n v="24"/>
    <x v="1"/>
    <x v="0"/>
    <x v="1"/>
    <n v="0.98"/>
    <n v="46"/>
    <x v="1"/>
    <x v="1"/>
    <n v="17.989999999999998"/>
    <x v="1"/>
    <x v="1"/>
    <n v="4"/>
    <n v="0.02"/>
    <x v="4"/>
  </r>
  <r>
    <s v="86222aa8-5671-4c15-b626-a0b47e66afcf"/>
    <n v="30"/>
    <x v="0"/>
    <x v="2"/>
    <x v="1"/>
    <n v="2.19"/>
    <n v="24"/>
    <x v="0"/>
    <x v="1"/>
    <n v="17.989999999999998"/>
    <x v="1"/>
    <x v="4"/>
    <n v="5"/>
    <n v="0.09"/>
    <x v="4"/>
  </r>
  <r>
    <s v="3a338129-8b57-498d-b986-04c650132c87"/>
    <n v="29"/>
    <x v="0"/>
    <x v="1"/>
    <x v="2"/>
    <n v="7.83"/>
    <n v="39"/>
    <x v="5"/>
    <x v="2"/>
    <n v="8.99"/>
    <x v="1"/>
    <x v="3"/>
    <n v="1"/>
    <n v="0.2"/>
    <x v="4"/>
  </r>
  <r>
    <s v="c55bd57e-3c4f-495c-be97-d55c21b22f6f"/>
    <n v="18"/>
    <x v="1"/>
    <x v="1"/>
    <x v="1"/>
    <n v="8.3000000000000007"/>
    <n v="41"/>
    <x v="5"/>
    <x v="2"/>
    <n v="17.989999999999998"/>
    <x v="1"/>
    <x v="0"/>
    <n v="5"/>
    <n v="0.2"/>
    <x v="4"/>
  </r>
  <r>
    <s v="a70e3fc7-66f5-4ab7-ac53-4875558a9a48"/>
    <n v="24"/>
    <x v="1"/>
    <x v="1"/>
    <x v="1"/>
    <n v="15.55"/>
    <n v="30"/>
    <x v="3"/>
    <x v="4"/>
    <n v="17.989999999999998"/>
    <x v="0"/>
    <x v="4"/>
    <n v="1"/>
    <n v="0.5"/>
    <x v="2"/>
  </r>
  <r>
    <s v="c214a79d-72d0-4384-8a5a-619721b76c8e"/>
    <n v="27"/>
    <x v="0"/>
    <x v="1"/>
    <x v="1"/>
    <n v="2.2999999999999998"/>
    <n v="1"/>
    <x v="1"/>
    <x v="2"/>
    <n v="17.989999999999998"/>
    <x v="0"/>
    <x v="2"/>
    <n v="5"/>
    <n v="1.1499999999999999"/>
    <x v="4"/>
  </r>
  <r>
    <s v="df3978cc-64e6-4e40-9cd3-10a6a5dda843"/>
    <n v="22"/>
    <x v="1"/>
    <x v="0"/>
    <x v="1"/>
    <n v="26.78"/>
    <n v="38"/>
    <x v="1"/>
    <x v="3"/>
    <n v="17.989999999999998"/>
    <x v="0"/>
    <x v="3"/>
    <n v="4"/>
    <n v="0.69"/>
    <x v="1"/>
  </r>
  <r>
    <s v="69aedea2-3081-4c29-805a-c76edff4c5a3"/>
    <n v="29"/>
    <x v="0"/>
    <x v="0"/>
    <x v="0"/>
    <n v="3.69"/>
    <n v="1"/>
    <x v="4"/>
    <x v="4"/>
    <n v="13.99"/>
    <x v="0"/>
    <x v="2"/>
    <n v="1"/>
    <n v="1.84"/>
    <x v="5"/>
  </r>
  <r>
    <s v="593b2af6-e882-4129-8c49-1deddd7278fb"/>
    <n v="34"/>
    <x v="0"/>
    <x v="2"/>
    <x v="0"/>
    <n v="15.02"/>
    <n v="13"/>
    <x v="1"/>
    <x v="2"/>
    <n v="13.99"/>
    <x v="0"/>
    <x v="3"/>
    <n v="2"/>
    <n v="1.07"/>
    <x v="4"/>
  </r>
  <r>
    <s v="cfe10e0f-1aac-495b-b869-4af2359dbb3a"/>
    <n v="21"/>
    <x v="1"/>
    <x v="1"/>
    <x v="0"/>
    <n v="3.18"/>
    <n v="41"/>
    <x v="1"/>
    <x v="1"/>
    <n v="13.99"/>
    <x v="1"/>
    <x v="3"/>
    <n v="1"/>
    <n v="0.08"/>
    <x v="5"/>
  </r>
  <r>
    <s v="d7f8474a-aa5c-452d-b85d-c86132f7e5c0"/>
    <n v="27"/>
    <x v="0"/>
    <x v="0"/>
    <x v="2"/>
    <n v="5.3"/>
    <n v="1"/>
    <x v="3"/>
    <x v="2"/>
    <n v="8.99"/>
    <x v="0"/>
    <x v="3"/>
    <n v="2"/>
    <n v="2.65"/>
    <x v="5"/>
  </r>
  <r>
    <s v="236586ff-c75c-4dfa-b787-19a63e0b4dbd"/>
    <n v="28"/>
    <x v="0"/>
    <x v="1"/>
    <x v="1"/>
    <n v="9.9"/>
    <n v="19"/>
    <x v="1"/>
    <x v="4"/>
    <n v="17.989999999999998"/>
    <x v="0"/>
    <x v="4"/>
    <n v="5"/>
    <n v="0.49"/>
    <x v="6"/>
  </r>
  <r>
    <s v="30bc483c-87d9-4a9a-9863-6eb5c6bdcb66"/>
    <n v="18"/>
    <x v="1"/>
    <x v="0"/>
    <x v="2"/>
    <n v="5.64"/>
    <n v="44"/>
    <x v="1"/>
    <x v="4"/>
    <n v="8.99"/>
    <x v="1"/>
    <x v="4"/>
    <n v="4"/>
    <n v="0.13"/>
    <x v="2"/>
  </r>
  <r>
    <s v="374de352-5868-4026-b9fb-57fd075b1fb3"/>
    <n v="22"/>
    <x v="1"/>
    <x v="1"/>
    <x v="2"/>
    <n v="7.06"/>
    <n v="58"/>
    <x v="0"/>
    <x v="2"/>
    <n v="8.99"/>
    <x v="1"/>
    <x v="2"/>
    <n v="3"/>
    <n v="0.12"/>
    <x v="5"/>
  </r>
  <r>
    <s v="5d64d061-91f4-4dd9-ab18-93007717e295"/>
    <n v="24"/>
    <x v="1"/>
    <x v="2"/>
    <x v="1"/>
    <n v="26.44"/>
    <n v="28"/>
    <x v="3"/>
    <x v="2"/>
    <n v="17.989999999999998"/>
    <x v="0"/>
    <x v="4"/>
    <n v="1"/>
    <n v="0.91"/>
    <x v="5"/>
  </r>
  <r>
    <s v="8f6ce173-fad9-4b9f-bb9c-54cf1f37d6ef"/>
    <n v="23"/>
    <x v="1"/>
    <x v="0"/>
    <x v="2"/>
    <n v="5.22"/>
    <n v="12"/>
    <x v="3"/>
    <x v="0"/>
    <n v="8.99"/>
    <x v="0"/>
    <x v="3"/>
    <n v="2"/>
    <n v="0.4"/>
    <x v="2"/>
  </r>
  <r>
    <s v="9db403c5-08c3-4cee-8e71-59423d132195"/>
    <n v="22"/>
    <x v="1"/>
    <x v="2"/>
    <x v="1"/>
    <n v="23.15"/>
    <n v="42"/>
    <x v="2"/>
    <x v="0"/>
    <n v="17.989999999999998"/>
    <x v="0"/>
    <x v="4"/>
    <n v="1"/>
    <n v="0.54"/>
    <x v="6"/>
  </r>
  <r>
    <s v="a8f4a8ea-a8a6-4ebb-bcd8-b22e7da612a5"/>
    <n v="23"/>
    <x v="1"/>
    <x v="1"/>
    <x v="2"/>
    <n v="11.07"/>
    <n v="28"/>
    <x v="2"/>
    <x v="3"/>
    <n v="8.99"/>
    <x v="1"/>
    <x v="3"/>
    <n v="1"/>
    <n v="0.38"/>
    <x v="6"/>
  </r>
  <r>
    <s v="941a7320-7c18-442a-9184-f56d633b7b8e"/>
    <n v="18"/>
    <x v="1"/>
    <x v="1"/>
    <x v="2"/>
    <n v="20.149999999999999"/>
    <n v="4"/>
    <x v="2"/>
    <x v="0"/>
    <n v="8.99"/>
    <x v="0"/>
    <x v="0"/>
    <n v="4"/>
    <n v="4.03"/>
    <x v="2"/>
  </r>
  <r>
    <s v="f234490c-9b75-4956-9efa-ed1c14b00599"/>
    <n v="26"/>
    <x v="0"/>
    <x v="0"/>
    <x v="2"/>
    <n v="2.58"/>
    <n v="16"/>
    <x v="0"/>
    <x v="3"/>
    <n v="8.99"/>
    <x v="1"/>
    <x v="2"/>
    <n v="5"/>
    <n v="0.15"/>
    <x v="2"/>
  </r>
  <r>
    <s v="a5796917-05b1-456c-8d56-a2d396ebfcf2"/>
    <n v="33"/>
    <x v="0"/>
    <x v="2"/>
    <x v="0"/>
    <n v="8.27"/>
    <n v="58"/>
    <x v="3"/>
    <x v="2"/>
    <n v="13.99"/>
    <x v="1"/>
    <x v="4"/>
    <n v="4"/>
    <n v="0.14000000000000001"/>
    <x v="4"/>
  </r>
  <r>
    <s v="1d4d7280-ee29-4030-8773-d70bea7b2b3b"/>
    <n v="34"/>
    <x v="0"/>
    <x v="2"/>
    <x v="2"/>
    <n v="31.66"/>
    <n v="60"/>
    <x v="3"/>
    <x v="0"/>
    <n v="8.99"/>
    <x v="0"/>
    <x v="4"/>
    <n v="5"/>
    <n v="0.52"/>
    <x v="6"/>
  </r>
  <r>
    <s v="58bf1357-6164-4e5f-a325-69d1bbd93289"/>
    <n v="22"/>
    <x v="1"/>
    <x v="1"/>
    <x v="1"/>
    <n v="0.76"/>
    <n v="52"/>
    <x v="2"/>
    <x v="0"/>
    <n v="17.989999999999998"/>
    <x v="1"/>
    <x v="2"/>
    <n v="1"/>
    <n v="0.01"/>
    <x v="1"/>
  </r>
  <r>
    <s v="2f4b3f98-c2e9-49e2-bc44-5bfd637d4dec"/>
    <n v="30"/>
    <x v="0"/>
    <x v="0"/>
    <x v="2"/>
    <n v="2.56"/>
    <n v="32"/>
    <x v="5"/>
    <x v="4"/>
    <n v="8.99"/>
    <x v="1"/>
    <x v="0"/>
    <n v="1"/>
    <n v="0.08"/>
    <x v="2"/>
  </r>
  <r>
    <s v="18886a51-c0a1-4984-90d4-d4a65e31e03b"/>
    <n v="32"/>
    <x v="0"/>
    <x v="0"/>
    <x v="2"/>
    <n v="17.670000000000002"/>
    <n v="14"/>
    <x v="0"/>
    <x v="0"/>
    <n v="8.99"/>
    <x v="0"/>
    <x v="3"/>
    <n v="4"/>
    <n v="1.18"/>
    <x v="4"/>
  </r>
  <r>
    <s v="2f38faa5-6695-40e3-892a-ecd94ff19800"/>
    <n v="24"/>
    <x v="1"/>
    <x v="1"/>
    <x v="1"/>
    <n v="2.4300000000000002"/>
    <n v="32"/>
    <x v="5"/>
    <x v="0"/>
    <n v="17.989999999999998"/>
    <x v="1"/>
    <x v="1"/>
    <n v="2"/>
    <n v="7.0000000000000007E-2"/>
    <x v="5"/>
  </r>
  <r>
    <s v="9e060381-f27b-4fbf-b098-6415f3eb4bbb"/>
    <n v="20"/>
    <x v="1"/>
    <x v="1"/>
    <x v="0"/>
    <n v="2.13"/>
    <n v="8"/>
    <x v="5"/>
    <x v="3"/>
    <n v="13.99"/>
    <x v="1"/>
    <x v="4"/>
    <n v="3"/>
    <n v="0.24"/>
    <x v="2"/>
  </r>
  <r>
    <s v="9f085e5d-c6b2-4ec1-a43f-1307f1f59222"/>
    <n v="29"/>
    <x v="0"/>
    <x v="0"/>
    <x v="1"/>
    <n v="4.53"/>
    <n v="15"/>
    <x v="4"/>
    <x v="2"/>
    <n v="17.989999999999998"/>
    <x v="0"/>
    <x v="2"/>
    <n v="4"/>
    <n v="0.28000000000000003"/>
    <x v="2"/>
  </r>
  <r>
    <s v="4937c49d-70db-459d-b2d1-ac7f33f0dfc5"/>
    <n v="25"/>
    <x v="0"/>
    <x v="2"/>
    <x v="1"/>
    <n v="5.62"/>
    <n v="49"/>
    <x v="3"/>
    <x v="4"/>
    <n v="17.989999999999998"/>
    <x v="0"/>
    <x v="2"/>
    <n v="5"/>
    <n v="0.11"/>
    <x v="2"/>
  </r>
  <r>
    <s v="68be0bb5-a6ed-4dfd-889d-0e116265290d"/>
    <n v="28"/>
    <x v="0"/>
    <x v="0"/>
    <x v="0"/>
    <n v="28.8"/>
    <n v="49"/>
    <x v="2"/>
    <x v="1"/>
    <n v="13.99"/>
    <x v="0"/>
    <x v="2"/>
    <n v="3"/>
    <n v="0.57999999999999996"/>
    <x v="5"/>
  </r>
  <r>
    <s v="e5e25330-3900-43bf-a8e2-45a13d1ec806"/>
    <n v="28"/>
    <x v="0"/>
    <x v="0"/>
    <x v="1"/>
    <n v="1.79"/>
    <n v="5"/>
    <x v="5"/>
    <x v="0"/>
    <n v="17.989999999999998"/>
    <x v="0"/>
    <x v="4"/>
    <n v="5"/>
    <n v="0.3"/>
    <x v="0"/>
  </r>
  <r>
    <s v="520074a5-0028-44e4-b17a-199d74134190"/>
    <n v="34"/>
    <x v="0"/>
    <x v="0"/>
    <x v="0"/>
    <n v="1.28"/>
    <n v="57"/>
    <x v="3"/>
    <x v="4"/>
    <n v="13.99"/>
    <x v="1"/>
    <x v="0"/>
    <n v="4"/>
    <n v="0.02"/>
    <x v="4"/>
  </r>
  <r>
    <s v="b64e1a04-ef14-4a6c-ad72-640a941c2612"/>
    <n v="20"/>
    <x v="1"/>
    <x v="2"/>
    <x v="1"/>
    <n v="32.04"/>
    <n v="26"/>
    <x v="1"/>
    <x v="4"/>
    <n v="17.989999999999998"/>
    <x v="0"/>
    <x v="3"/>
    <n v="3"/>
    <n v="1.19"/>
    <x v="3"/>
  </r>
  <r>
    <s v="b963a331-91ee-4a6a-9d9c-208788c49074"/>
    <n v="28"/>
    <x v="0"/>
    <x v="0"/>
    <x v="1"/>
    <n v="0.12"/>
    <n v="2"/>
    <x v="4"/>
    <x v="1"/>
    <n v="17.989999999999998"/>
    <x v="0"/>
    <x v="3"/>
    <n v="5"/>
    <n v="0.04"/>
    <x v="1"/>
  </r>
  <r>
    <s v="2f55007a-9682-4109-8431-2fa060e85673"/>
    <n v="18"/>
    <x v="1"/>
    <x v="0"/>
    <x v="0"/>
    <n v="0.25"/>
    <n v="37"/>
    <x v="3"/>
    <x v="1"/>
    <n v="13.99"/>
    <x v="1"/>
    <x v="1"/>
    <n v="5"/>
    <n v="0.01"/>
    <x v="6"/>
  </r>
  <r>
    <s v="17874397-5431-4e69-9bf9-19d705faab2e"/>
    <n v="19"/>
    <x v="1"/>
    <x v="2"/>
    <x v="2"/>
    <n v="4.46"/>
    <n v="50"/>
    <x v="3"/>
    <x v="3"/>
    <n v="8.99"/>
    <x v="1"/>
    <x v="2"/>
    <n v="3"/>
    <n v="0.09"/>
    <x v="5"/>
  </r>
  <r>
    <s v="d3975aa1-9bf5-45a5-9375-ff6ced50de42"/>
    <n v="32"/>
    <x v="0"/>
    <x v="1"/>
    <x v="1"/>
    <n v="4.24"/>
    <n v="14"/>
    <x v="3"/>
    <x v="0"/>
    <n v="17.989999999999998"/>
    <x v="1"/>
    <x v="4"/>
    <n v="2"/>
    <n v="0.28000000000000003"/>
    <x v="0"/>
  </r>
  <r>
    <s v="22266a98-3d16-4f4e-b382-ffa5d3aed831"/>
    <n v="19"/>
    <x v="1"/>
    <x v="0"/>
    <x v="0"/>
    <n v="8.6199999999999992"/>
    <n v="57"/>
    <x v="0"/>
    <x v="1"/>
    <n v="13.99"/>
    <x v="1"/>
    <x v="3"/>
    <n v="3"/>
    <n v="0.15"/>
    <x v="3"/>
  </r>
  <r>
    <s v="44d3397a-806f-43c1-8907-aa8c27ed8079"/>
    <n v="22"/>
    <x v="1"/>
    <x v="0"/>
    <x v="2"/>
    <n v="11.96"/>
    <n v="45"/>
    <x v="1"/>
    <x v="2"/>
    <n v="8.99"/>
    <x v="1"/>
    <x v="3"/>
    <n v="2"/>
    <n v="0.26"/>
    <x v="3"/>
  </r>
  <r>
    <s v="72601ad7-f6b1-4f64-8c07-f1a0a787a386"/>
    <n v="21"/>
    <x v="1"/>
    <x v="0"/>
    <x v="0"/>
    <n v="0.44"/>
    <n v="1"/>
    <x v="0"/>
    <x v="4"/>
    <n v="13.99"/>
    <x v="1"/>
    <x v="3"/>
    <n v="1"/>
    <n v="0.22"/>
    <x v="4"/>
  </r>
  <r>
    <s v="c1d6b7a6-e749-43fc-8430-e0f0057aca5f"/>
    <n v="27"/>
    <x v="0"/>
    <x v="1"/>
    <x v="1"/>
    <n v="30.8"/>
    <n v="16"/>
    <x v="1"/>
    <x v="3"/>
    <n v="17.989999999999998"/>
    <x v="0"/>
    <x v="3"/>
    <n v="2"/>
    <n v="1.81"/>
    <x v="3"/>
  </r>
  <r>
    <s v="a683a981-d35f-49f3-9b9a-a8ad04fd7b16"/>
    <n v="29"/>
    <x v="0"/>
    <x v="1"/>
    <x v="0"/>
    <n v="10.74"/>
    <n v="27"/>
    <x v="2"/>
    <x v="4"/>
    <n v="13.99"/>
    <x v="0"/>
    <x v="3"/>
    <n v="5"/>
    <n v="0.38"/>
    <x v="0"/>
  </r>
  <r>
    <s v="ec4fcd72-7a49-473c-85ca-390fc9e57d52"/>
    <n v="26"/>
    <x v="0"/>
    <x v="1"/>
    <x v="1"/>
    <n v="9.23"/>
    <n v="10"/>
    <x v="4"/>
    <x v="3"/>
    <n v="17.989999999999998"/>
    <x v="0"/>
    <x v="4"/>
    <n v="3"/>
    <n v="0.84"/>
    <x v="5"/>
  </r>
  <r>
    <s v="2ad8b82e-2168-47f7-9744-e845a8e48a18"/>
    <n v="34"/>
    <x v="0"/>
    <x v="2"/>
    <x v="2"/>
    <n v="9.9600000000000009"/>
    <n v="8"/>
    <x v="4"/>
    <x v="4"/>
    <n v="8.99"/>
    <x v="0"/>
    <x v="2"/>
    <n v="2"/>
    <n v="1.1100000000000001"/>
    <x v="3"/>
  </r>
  <r>
    <s v="b88a132f-9afd-4eb8-9e78-2d359cc78a22"/>
    <n v="26"/>
    <x v="0"/>
    <x v="2"/>
    <x v="2"/>
    <n v="4.2699999999999996"/>
    <n v="36"/>
    <x v="5"/>
    <x v="1"/>
    <n v="8.99"/>
    <x v="1"/>
    <x v="3"/>
    <n v="3"/>
    <n v="0.12"/>
    <x v="3"/>
  </r>
  <r>
    <s v="51ba57c9-cf31-4241-9a54-ad1abaf17326"/>
    <n v="32"/>
    <x v="0"/>
    <x v="1"/>
    <x v="0"/>
    <n v="27.77"/>
    <n v="2"/>
    <x v="5"/>
    <x v="4"/>
    <n v="13.99"/>
    <x v="0"/>
    <x v="0"/>
    <n v="3"/>
    <n v="9.26"/>
    <x v="6"/>
  </r>
  <r>
    <s v="a8f8a526-8289-46fc-83a3-9717a64af759"/>
    <n v="24"/>
    <x v="1"/>
    <x v="1"/>
    <x v="0"/>
    <n v="1.57"/>
    <n v="16"/>
    <x v="3"/>
    <x v="1"/>
    <n v="13.99"/>
    <x v="0"/>
    <x v="3"/>
    <n v="5"/>
    <n v="0.09"/>
    <x v="5"/>
  </r>
  <r>
    <s v="2975d560-cd13-47c5-8216-f8847177ed85"/>
    <n v="24"/>
    <x v="1"/>
    <x v="1"/>
    <x v="0"/>
    <n v="5.4"/>
    <n v="7"/>
    <x v="0"/>
    <x v="1"/>
    <n v="13.99"/>
    <x v="0"/>
    <x v="4"/>
    <n v="5"/>
    <n v="0.68"/>
    <x v="6"/>
  </r>
  <r>
    <s v="edaac9b2-7788-4cc2-bcae-8cf07f8afb3a"/>
    <n v="31"/>
    <x v="0"/>
    <x v="2"/>
    <x v="2"/>
    <n v="3.86"/>
    <n v="8"/>
    <x v="1"/>
    <x v="0"/>
    <n v="8.99"/>
    <x v="1"/>
    <x v="3"/>
    <n v="4"/>
    <n v="0.43"/>
    <x v="3"/>
  </r>
  <r>
    <s v="55987346-c6e1-4766-8226-74d0fcf02ff5"/>
    <n v="34"/>
    <x v="0"/>
    <x v="1"/>
    <x v="1"/>
    <n v="10.51"/>
    <n v="13"/>
    <x v="1"/>
    <x v="3"/>
    <n v="17.989999999999998"/>
    <x v="0"/>
    <x v="2"/>
    <n v="5"/>
    <n v="0.75"/>
    <x v="2"/>
  </r>
  <r>
    <s v="70877fd0-301a-4021-9bca-539c1833ae4d"/>
    <n v="18"/>
    <x v="1"/>
    <x v="2"/>
    <x v="1"/>
    <n v="0.72"/>
    <n v="47"/>
    <x v="5"/>
    <x v="0"/>
    <n v="17.989999999999998"/>
    <x v="1"/>
    <x v="0"/>
    <n v="3"/>
    <n v="0.01"/>
    <x v="5"/>
  </r>
  <r>
    <s v="0e9c2a39-12f4-4bf6-be86-deaccd099fec"/>
    <n v="25"/>
    <x v="0"/>
    <x v="0"/>
    <x v="2"/>
    <n v="4.0199999999999996"/>
    <n v="48"/>
    <x v="4"/>
    <x v="3"/>
    <n v="8.99"/>
    <x v="1"/>
    <x v="2"/>
    <n v="4"/>
    <n v="0.08"/>
    <x v="6"/>
  </r>
  <r>
    <s v="c0d2bb59-f5bb-4da4-88ed-9d670e2ec727"/>
    <n v="23"/>
    <x v="1"/>
    <x v="0"/>
    <x v="2"/>
    <n v="13.62"/>
    <n v="33"/>
    <x v="5"/>
    <x v="3"/>
    <n v="8.99"/>
    <x v="1"/>
    <x v="4"/>
    <n v="2"/>
    <n v="0.4"/>
    <x v="1"/>
  </r>
  <r>
    <s v="1bc58c87-ff12-4ead-995a-c2c35062e450"/>
    <n v="32"/>
    <x v="0"/>
    <x v="0"/>
    <x v="0"/>
    <n v="4.6900000000000004"/>
    <n v="48"/>
    <x v="2"/>
    <x v="1"/>
    <n v="13.99"/>
    <x v="1"/>
    <x v="2"/>
    <n v="4"/>
    <n v="0.1"/>
    <x v="6"/>
  </r>
  <r>
    <s v="eec8b59a-4325-43d3-9308-fc5cc94830fa"/>
    <n v="19"/>
    <x v="1"/>
    <x v="0"/>
    <x v="0"/>
    <n v="1.68"/>
    <n v="6"/>
    <x v="4"/>
    <x v="1"/>
    <n v="13.99"/>
    <x v="0"/>
    <x v="2"/>
    <n v="3"/>
    <n v="0.24"/>
    <x v="5"/>
  </r>
  <r>
    <s v="6ef3d5c9-1d7f-4100-9b17-22a554e8caad"/>
    <n v="21"/>
    <x v="1"/>
    <x v="2"/>
    <x v="0"/>
    <n v="8.69"/>
    <n v="22"/>
    <x v="2"/>
    <x v="3"/>
    <n v="13.99"/>
    <x v="0"/>
    <x v="2"/>
    <n v="2"/>
    <n v="0.38"/>
    <x v="2"/>
  </r>
  <r>
    <s v="0ac19238-cb50-4882-b4bb-3d068dc29494"/>
    <n v="33"/>
    <x v="0"/>
    <x v="2"/>
    <x v="2"/>
    <n v="24.4"/>
    <n v="35"/>
    <x v="1"/>
    <x v="0"/>
    <n v="8.99"/>
    <x v="0"/>
    <x v="3"/>
    <n v="2"/>
    <n v="0.68"/>
    <x v="0"/>
  </r>
  <r>
    <s v="8728e75d-5ce9-4a44-b6ab-f53ffaacf6c5"/>
    <n v="23"/>
    <x v="1"/>
    <x v="0"/>
    <x v="1"/>
    <n v="3"/>
    <n v="59"/>
    <x v="2"/>
    <x v="3"/>
    <n v="17.989999999999998"/>
    <x v="1"/>
    <x v="0"/>
    <n v="5"/>
    <n v="0.05"/>
    <x v="6"/>
  </r>
  <r>
    <s v="4d37690f-3d7f-4aae-9b34-9a45b65cf63d"/>
    <n v="24"/>
    <x v="1"/>
    <x v="0"/>
    <x v="0"/>
    <n v="12.3"/>
    <n v="32"/>
    <x v="0"/>
    <x v="1"/>
    <n v="13.99"/>
    <x v="1"/>
    <x v="4"/>
    <n v="4"/>
    <n v="0.37"/>
    <x v="1"/>
  </r>
  <r>
    <s v="a4a081bf-78e0-49f2-b13d-edb25ab7ea32"/>
    <n v="26"/>
    <x v="0"/>
    <x v="2"/>
    <x v="0"/>
    <n v="24.88"/>
    <n v="15"/>
    <x v="0"/>
    <x v="4"/>
    <n v="13.99"/>
    <x v="0"/>
    <x v="4"/>
    <n v="1"/>
    <n v="1.55"/>
    <x v="3"/>
  </r>
  <r>
    <s v="b9fd67cd-6bf0-4c9c-ab2f-2d3060247949"/>
    <n v="27"/>
    <x v="0"/>
    <x v="0"/>
    <x v="2"/>
    <n v="7.52"/>
    <n v="34"/>
    <x v="5"/>
    <x v="2"/>
    <n v="8.99"/>
    <x v="1"/>
    <x v="0"/>
    <n v="5"/>
    <n v="0.21"/>
    <x v="4"/>
  </r>
  <r>
    <s v="1009cba1-e578-425e-99b7-0693b4024e29"/>
    <n v="24"/>
    <x v="1"/>
    <x v="1"/>
    <x v="0"/>
    <n v="17.37"/>
    <n v="17"/>
    <x v="3"/>
    <x v="3"/>
    <n v="13.99"/>
    <x v="0"/>
    <x v="1"/>
    <n v="1"/>
    <n v="0.97"/>
    <x v="2"/>
  </r>
  <r>
    <s v="9448266e-01a1-472a-9fe4-37d4e1a6b7b4"/>
    <n v="28"/>
    <x v="0"/>
    <x v="2"/>
    <x v="2"/>
    <n v="25.3"/>
    <n v="8"/>
    <x v="4"/>
    <x v="4"/>
    <n v="8.99"/>
    <x v="0"/>
    <x v="4"/>
    <n v="5"/>
    <n v="2.81"/>
    <x v="2"/>
  </r>
  <r>
    <s v="7b929fce-23d0-4c91-886c-e9d3c60f2a03"/>
    <n v="22"/>
    <x v="1"/>
    <x v="1"/>
    <x v="2"/>
    <n v="11.74"/>
    <n v="33"/>
    <x v="3"/>
    <x v="3"/>
    <n v="8.99"/>
    <x v="1"/>
    <x v="0"/>
    <n v="2"/>
    <n v="0.35"/>
    <x v="5"/>
  </r>
  <r>
    <s v="c7ef45c3-a8d7-4952-bf06-66e39f308471"/>
    <n v="30"/>
    <x v="0"/>
    <x v="2"/>
    <x v="2"/>
    <n v="1.3"/>
    <n v="56"/>
    <x v="3"/>
    <x v="0"/>
    <n v="8.99"/>
    <x v="1"/>
    <x v="2"/>
    <n v="1"/>
    <n v="0.02"/>
    <x v="5"/>
  </r>
  <r>
    <s v="6e91dbee-b822-44c0-a014-a48a452ec9d0"/>
    <n v="21"/>
    <x v="1"/>
    <x v="2"/>
    <x v="0"/>
    <n v="51.45"/>
    <n v="24"/>
    <x v="0"/>
    <x v="1"/>
    <n v="13.99"/>
    <x v="0"/>
    <x v="2"/>
    <n v="1"/>
    <n v="2.06"/>
    <x v="4"/>
  </r>
  <r>
    <s v="da1d94c9-af82-46ad-a2a3-112aa874e2c2"/>
    <n v="29"/>
    <x v="0"/>
    <x v="1"/>
    <x v="2"/>
    <n v="15.49"/>
    <n v="31"/>
    <x v="3"/>
    <x v="1"/>
    <n v="8.99"/>
    <x v="1"/>
    <x v="4"/>
    <n v="3"/>
    <n v="0.48"/>
    <x v="5"/>
  </r>
  <r>
    <s v="89931699-5ba5-434a-8dca-32e18d7dbd4b"/>
    <n v="19"/>
    <x v="1"/>
    <x v="0"/>
    <x v="0"/>
    <n v="8.5399999999999991"/>
    <n v="6"/>
    <x v="3"/>
    <x v="0"/>
    <n v="13.99"/>
    <x v="0"/>
    <x v="2"/>
    <n v="3"/>
    <n v="1.22"/>
    <x v="4"/>
  </r>
  <r>
    <s v="a1419778-cfb0-47d8-8e7a-bc5d093195d2"/>
    <n v="31"/>
    <x v="0"/>
    <x v="1"/>
    <x v="0"/>
    <n v="4.1100000000000003"/>
    <n v="33"/>
    <x v="4"/>
    <x v="0"/>
    <n v="13.99"/>
    <x v="1"/>
    <x v="0"/>
    <n v="5"/>
    <n v="0.12"/>
    <x v="0"/>
  </r>
  <r>
    <s v="1a7ac656-bafb-4e6a-a5ac-ae0416f3dbe1"/>
    <n v="33"/>
    <x v="0"/>
    <x v="0"/>
    <x v="2"/>
    <n v="1.96"/>
    <n v="18"/>
    <x v="1"/>
    <x v="4"/>
    <n v="8.99"/>
    <x v="1"/>
    <x v="1"/>
    <n v="2"/>
    <n v="0.1"/>
    <x v="3"/>
  </r>
  <r>
    <s v="6034d060-391f-4f38-9ff7-870fb4d6c241"/>
    <n v="24"/>
    <x v="1"/>
    <x v="1"/>
    <x v="2"/>
    <n v="1.97"/>
    <n v="39"/>
    <x v="5"/>
    <x v="2"/>
    <n v="8.99"/>
    <x v="1"/>
    <x v="2"/>
    <n v="3"/>
    <n v="0.05"/>
    <x v="2"/>
  </r>
  <r>
    <s v="f0b6c5bd-f49e-4cd3-90f5-29b4b00a8ab3"/>
    <n v="25"/>
    <x v="0"/>
    <x v="0"/>
    <x v="0"/>
    <n v="0.09"/>
    <n v="40"/>
    <x v="4"/>
    <x v="0"/>
    <n v="13.99"/>
    <x v="1"/>
    <x v="2"/>
    <n v="1"/>
    <n v="0"/>
    <x v="2"/>
  </r>
  <r>
    <s v="62bf9eae-d919-4c34-8bc2-2ffedcc4ec5d"/>
    <n v="20"/>
    <x v="1"/>
    <x v="2"/>
    <x v="0"/>
    <n v="17.28"/>
    <n v="50"/>
    <x v="2"/>
    <x v="3"/>
    <n v="13.99"/>
    <x v="0"/>
    <x v="3"/>
    <n v="5"/>
    <n v="0.34"/>
    <x v="1"/>
  </r>
  <r>
    <s v="3b71b9da-ed2a-4bac-935d-60979792672e"/>
    <n v="22"/>
    <x v="1"/>
    <x v="2"/>
    <x v="1"/>
    <n v="13.87"/>
    <n v="24"/>
    <x v="4"/>
    <x v="3"/>
    <n v="17.989999999999998"/>
    <x v="0"/>
    <x v="2"/>
    <n v="5"/>
    <n v="0.55000000000000004"/>
    <x v="1"/>
  </r>
  <r>
    <s v="1b5f4177-371a-4c9a-a4fd-46ccc96103dd"/>
    <n v="20"/>
    <x v="1"/>
    <x v="2"/>
    <x v="2"/>
    <n v="6.06"/>
    <n v="37"/>
    <x v="4"/>
    <x v="0"/>
    <n v="8.99"/>
    <x v="1"/>
    <x v="1"/>
    <n v="5"/>
    <n v="0.16"/>
    <x v="1"/>
  </r>
  <r>
    <s v="4ffd8a27-1149-4b0c-a822-1da56b80b212"/>
    <n v="30"/>
    <x v="0"/>
    <x v="0"/>
    <x v="2"/>
    <n v="6.53"/>
    <n v="49"/>
    <x v="3"/>
    <x v="4"/>
    <n v="8.99"/>
    <x v="1"/>
    <x v="4"/>
    <n v="5"/>
    <n v="0.13"/>
    <x v="6"/>
  </r>
  <r>
    <s v="56664bb3-161c-447c-a977-00f18bc4787d"/>
    <n v="18"/>
    <x v="1"/>
    <x v="1"/>
    <x v="2"/>
    <n v="2.02"/>
    <n v="2"/>
    <x v="5"/>
    <x v="2"/>
    <n v="8.99"/>
    <x v="0"/>
    <x v="0"/>
    <n v="5"/>
    <n v="0.67"/>
    <x v="5"/>
  </r>
  <r>
    <s v="552546fb-dfc4-48e2-a13e-183c8fb7c18f"/>
    <n v="23"/>
    <x v="1"/>
    <x v="1"/>
    <x v="1"/>
    <n v="11.18"/>
    <n v="46"/>
    <x v="0"/>
    <x v="4"/>
    <n v="17.989999999999998"/>
    <x v="0"/>
    <x v="1"/>
    <n v="4"/>
    <n v="0.24"/>
    <x v="3"/>
  </r>
  <r>
    <s v="a4eaedbe-375c-472f-bf56-15f560afa034"/>
    <n v="30"/>
    <x v="0"/>
    <x v="2"/>
    <x v="1"/>
    <n v="24.6"/>
    <n v="9"/>
    <x v="4"/>
    <x v="4"/>
    <n v="17.989999999999998"/>
    <x v="0"/>
    <x v="2"/>
    <n v="4"/>
    <n v="2.46"/>
    <x v="5"/>
  </r>
  <r>
    <s v="fcf7205d-ed92-45a1-a608-75f6a70e5ed7"/>
    <n v="31"/>
    <x v="0"/>
    <x v="1"/>
    <x v="1"/>
    <n v="0.62"/>
    <n v="39"/>
    <x v="1"/>
    <x v="4"/>
    <n v="17.989999999999998"/>
    <x v="1"/>
    <x v="4"/>
    <n v="2"/>
    <n v="0.02"/>
    <x v="3"/>
  </r>
  <r>
    <s v="87c2892e-e449-40c4-b110-0824c85d14af"/>
    <n v="26"/>
    <x v="0"/>
    <x v="2"/>
    <x v="0"/>
    <n v="6.52"/>
    <n v="23"/>
    <x v="2"/>
    <x v="3"/>
    <n v="13.99"/>
    <x v="0"/>
    <x v="3"/>
    <n v="2"/>
    <n v="0.27"/>
    <x v="1"/>
  </r>
  <r>
    <s v="f2b16c7f-4760-4f1e-a4b2-b5e50e67fb27"/>
    <n v="26"/>
    <x v="0"/>
    <x v="1"/>
    <x v="2"/>
    <n v="0.94"/>
    <n v="30"/>
    <x v="1"/>
    <x v="3"/>
    <n v="8.99"/>
    <x v="1"/>
    <x v="2"/>
    <n v="4"/>
    <n v="0.03"/>
    <x v="0"/>
  </r>
  <r>
    <s v="27df865c-d4b2-4981-a525-360126dcd57a"/>
    <n v="28"/>
    <x v="0"/>
    <x v="2"/>
    <x v="1"/>
    <n v="16.88"/>
    <n v="20"/>
    <x v="5"/>
    <x v="2"/>
    <n v="17.989999999999998"/>
    <x v="0"/>
    <x v="3"/>
    <n v="2"/>
    <n v="0.8"/>
    <x v="6"/>
  </r>
  <r>
    <s v="e2c3f40a-af6b-49bb-a8c6-85691505fae8"/>
    <n v="19"/>
    <x v="1"/>
    <x v="2"/>
    <x v="2"/>
    <n v="23.08"/>
    <n v="15"/>
    <x v="3"/>
    <x v="3"/>
    <n v="8.99"/>
    <x v="0"/>
    <x v="4"/>
    <n v="3"/>
    <n v="1.44"/>
    <x v="1"/>
  </r>
  <r>
    <s v="8e595ac0-28a0-4178-b0bb-04b452326a5b"/>
    <n v="32"/>
    <x v="0"/>
    <x v="1"/>
    <x v="2"/>
    <n v="14.84"/>
    <n v="10"/>
    <x v="1"/>
    <x v="3"/>
    <n v="8.99"/>
    <x v="0"/>
    <x v="0"/>
    <n v="2"/>
    <n v="1.35"/>
    <x v="6"/>
  </r>
  <r>
    <s v="140050f4-0857-4a05-b012-34001d8114a6"/>
    <n v="24"/>
    <x v="1"/>
    <x v="0"/>
    <x v="2"/>
    <n v="1.42"/>
    <n v="40"/>
    <x v="5"/>
    <x v="2"/>
    <n v="8.99"/>
    <x v="1"/>
    <x v="1"/>
    <n v="4"/>
    <n v="0.03"/>
    <x v="4"/>
  </r>
  <r>
    <s v="fae18ffd-0f18-453b-9a08-6af102c029fa"/>
    <n v="24"/>
    <x v="1"/>
    <x v="2"/>
    <x v="2"/>
    <n v="0.9"/>
    <n v="40"/>
    <x v="1"/>
    <x v="1"/>
    <n v="8.99"/>
    <x v="1"/>
    <x v="4"/>
    <n v="5"/>
    <n v="0.02"/>
    <x v="5"/>
  </r>
  <r>
    <s v="73133473-9657-49c2-b4f8-77b2380ca309"/>
    <n v="32"/>
    <x v="0"/>
    <x v="1"/>
    <x v="1"/>
    <n v="4.6900000000000004"/>
    <n v="12"/>
    <x v="0"/>
    <x v="2"/>
    <n v="17.989999999999998"/>
    <x v="1"/>
    <x v="2"/>
    <n v="3"/>
    <n v="0.36"/>
    <x v="5"/>
  </r>
  <r>
    <s v="fefecab1-579c-48fa-8803-253dfbdf42d5"/>
    <n v="34"/>
    <x v="0"/>
    <x v="2"/>
    <x v="0"/>
    <n v="2.89"/>
    <n v="36"/>
    <x v="4"/>
    <x v="0"/>
    <n v="13.99"/>
    <x v="1"/>
    <x v="1"/>
    <n v="3"/>
    <n v="0.08"/>
    <x v="6"/>
  </r>
  <r>
    <s v="46fd4297-b49a-45d6-a09d-19a26147e19a"/>
    <n v="21"/>
    <x v="1"/>
    <x v="0"/>
    <x v="2"/>
    <n v="23.78"/>
    <n v="9"/>
    <x v="5"/>
    <x v="1"/>
    <n v="8.99"/>
    <x v="0"/>
    <x v="2"/>
    <n v="3"/>
    <n v="2.38"/>
    <x v="4"/>
  </r>
  <r>
    <s v="c469045f-ec87-42e4-82a1-be8e5bab2135"/>
    <n v="33"/>
    <x v="0"/>
    <x v="0"/>
    <x v="0"/>
    <n v="26.73"/>
    <n v="28"/>
    <x v="0"/>
    <x v="3"/>
    <n v="13.99"/>
    <x v="0"/>
    <x v="4"/>
    <n v="3"/>
    <n v="0.92"/>
    <x v="2"/>
  </r>
  <r>
    <s v="b12d8725-09de-44f9-8b52-603ba1c99166"/>
    <n v="30"/>
    <x v="0"/>
    <x v="0"/>
    <x v="0"/>
    <n v="19.84"/>
    <n v="29"/>
    <x v="3"/>
    <x v="0"/>
    <n v="13.99"/>
    <x v="0"/>
    <x v="1"/>
    <n v="1"/>
    <n v="0.66"/>
    <x v="0"/>
  </r>
  <r>
    <s v="a2147627-7d68-4461-8c26-3192b1252e0e"/>
    <n v="22"/>
    <x v="1"/>
    <x v="1"/>
    <x v="2"/>
    <n v="29.96"/>
    <n v="43"/>
    <x v="4"/>
    <x v="0"/>
    <n v="8.99"/>
    <x v="0"/>
    <x v="0"/>
    <n v="5"/>
    <n v="0.68"/>
    <x v="4"/>
  </r>
  <r>
    <s v="89fa6c7c-ab59-40a0-aab5-8a9c35733ad5"/>
    <n v="27"/>
    <x v="0"/>
    <x v="1"/>
    <x v="0"/>
    <n v="3.92"/>
    <n v="56"/>
    <x v="5"/>
    <x v="3"/>
    <n v="13.99"/>
    <x v="1"/>
    <x v="1"/>
    <n v="1"/>
    <n v="7.0000000000000007E-2"/>
    <x v="0"/>
  </r>
  <r>
    <s v="edf8770b-4690-4b30-a9da-a5bc9ef3c615"/>
    <n v="19"/>
    <x v="1"/>
    <x v="1"/>
    <x v="1"/>
    <n v="0.4"/>
    <n v="15"/>
    <x v="2"/>
    <x v="2"/>
    <n v="17.989999999999998"/>
    <x v="1"/>
    <x v="4"/>
    <n v="1"/>
    <n v="0.03"/>
    <x v="6"/>
  </r>
  <r>
    <s v="8571850d-e2cd-47a6-bc93-63f2d3f9cb30"/>
    <n v="29"/>
    <x v="0"/>
    <x v="1"/>
    <x v="0"/>
    <n v="2.33"/>
    <n v="56"/>
    <x v="0"/>
    <x v="3"/>
    <n v="13.99"/>
    <x v="1"/>
    <x v="0"/>
    <n v="2"/>
    <n v="0.04"/>
    <x v="6"/>
  </r>
  <r>
    <s v="2b696005-f4d7-40c5-bcc3-587d2910a8e3"/>
    <n v="33"/>
    <x v="0"/>
    <x v="2"/>
    <x v="1"/>
    <n v="1.98"/>
    <n v="5"/>
    <x v="1"/>
    <x v="3"/>
    <n v="17.989999999999998"/>
    <x v="0"/>
    <x v="2"/>
    <n v="2"/>
    <n v="0.33"/>
    <x v="6"/>
  </r>
  <r>
    <s v="81572c13-a12d-4bf8-a510-5bdb12c9c16a"/>
    <n v="19"/>
    <x v="1"/>
    <x v="2"/>
    <x v="2"/>
    <n v="15.61"/>
    <n v="8"/>
    <x v="3"/>
    <x v="4"/>
    <n v="8.99"/>
    <x v="0"/>
    <x v="0"/>
    <n v="2"/>
    <n v="1.73"/>
    <x v="2"/>
  </r>
  <r>
    <s v="1f89f505-ac3f-4538-9215-063c70b48b98"/>
    <n v="20"/>
    <x v="1"/>
    <x v="0"/>
    <x v="1"/>
    <n v="27.16"/>
    <n v="53"/>
    <x v="2"/>
    <x v="4"/>
    <n v="17.989999999999998"/>
    <x v="0"/>
    <x v="2"/>
    <n v="1"/>
    <n v="0.5"/>
    <x v="5"/>
  </r>
  <r>
    <s v="0e9cfc52-27cb-4fed-97cd-46f4bbacfa31"/>
    <n v="33"/>
    <x v="0"/>
    <x v="0"/>
    <x v="2"/>
    <n v="1.18"/>
    <n v="42"/>
    <x v="0"/>
    <x v="0"/>
    <n v="8.99"/>
    <x v="1"/>
    <x v="1"/>
    <n v="5"/>
    <n v="0.03"/>
    <x v="2"/>
  </r>
  <r>
    <s v="973e84f5-3ef5-4309-9b37-2b4af45ed4b9"/>
    <n v="21"/>
    <x v="1"/>
    <x v="2"/>
    <x v="1"/>
    <n v="11.78"/>
    <n v="4"/>
    <x v="5"/>
    <x v="1"/>
    <n v="17.989999999999998"/>
    <x v="0"/>
    <x v="0"/>
    <n v="3"/>
    <n v="2.36"/>
    <x v="0"/>
  </r>
  <r>
    <s v="535f3322-6658-449b-8cca-0942262d1c30"/>
    <n v="20"/>
    <x v="1"/>
    <x v="1"/>
    <x v="0"/>
    <n v="22.07"/>
    <n v="59"/>
    <x v="5"/>
    <x v="3"/>
    <n v="13.99"/>
    <x v="0"/>
    <x v="1"/>
    <n v="1"/>
    <n v="0.37"/>
    <x v="1"/>
  </r>
  <r>
    <s v="df0faf6a-31a9-4e2a-bb49-3ec85a23da60"/>
    <n v="25"/>
    <x v="0"/>
    <x v="0"/>
    <x v="0"/>
    <n v="10.7"/>
    <n v="39"/>
    <x v="1"/>
    <x v="0"/>
    <n v="13.99"/>
    <x v="1"/>
    <x v="0"/>
    <n v="1"/>
    <n v="0.27"/>
    <x v="4"/>
  </r>
  <r>
    <s v="ac816925-161d-46fb-94c9-1fd98990a8a9"/>
    <n v="32"/>
    <x v="0"/>
    <x v="2"/>
    <x v="0"/>
    <n v="1.88"/>
    <n v="40"/>
    <x v="4"/>
    <x v="4"/>
    <n v="13.99"/>
    <x v="1"/>
    <x v="0"/>
    <n v="4"/>
    <n v="0.05"/>
    <x v="4"/>
  </r>
  <r>
    <s v="46c6cf49-e8b6-475d-9252-218a53be060c"/>
    <n v="34"/>
    <x v="0"/>
    <x v="0"/>
    <x v="2"/>
    <n v="16.43"/>
    <n v="56"/>
    <x v="1"/>
    <x v="0"/>
    <n v="8.99"/>
    <x v="1"/>
    <x v="1"/>
    <n v="2"/>
    <n v="0.28999999999999998"/>
    <x v="4"/>
  </r>
  <r>
    <s v="32e6a570-0814-4ec5-9437-964eb1c0628c"/>
    <n v="29"/>
    <x v="0"/>
    <x v="1"/>
    <x v="1"/>
    <n v="1.78"/>
    <n v="51"/>
    <x v="5"/>
    <x v="2"/>
    <n v="17.989999999999998"/>
    <x v="1"/>
    <x v="0"/>
    <n v="5"/>
    <n v="0.03"/>
    <x v="2"/>
  </r>
  <r>
    <s v="46251140-d9fd-4ce3-b8dd-fb44601072b2"/>
    <n v="21"/>
    <x v="1"/>
    <x v="0"/>
    <x v="2"/>
    <n v="2.29"/>
    <n v="26"/>
    <x v="0"/>
    <x v="0"/>
    <n v="8.99"/>
    <x v="1"/>
    <x v="0"/>
    <n v="4"/>
    <n v="0.08"/>
    <x v="5"/>
  </r>
  <r>
    <s v="39047018-dbfe-4cd5-8d42-abef35b1be4a"/>
    <n v="22"/>
    <x v="1"/>
    <x v="0"/>
    <x v="0"/>
    <n v="10.29"/>
    <n v="17"/>
    <x v="2"/>
    <x v="3"/>
    <n v="13.99"/>
    <x v="0"/>
    <x v="4"/>
    <n v="5"/>
    <n v="0.56999999999999995"/>
    <x v="1"/>
  </r>
  <r>
    <s v="91218fe1-6859-4876-80f7-d6165cbd7bd0"/>
    <n v="33"/>
    <x v="0"/>
    <x v="2"/>
    <x v="0"/>
    <n v="7.45"/>
    <n v="0"/>
    <x v="1"/>
    <x v="2"/>
    <n v="13.99"/>
    <x v="0"/>
    <x v="3"/>
    <n v="4"/>
    <n v="7.45"/>
    <x v="3"/>
  </r>
  <r>
    <s v="6c6c1bb7-6107-461d-ae34-e6759269a77d"/>
    <n v="28"/>
    <x v="0"/>
    <x v="0"/>
    <x v="2"/>
    <n v="2.63"/>
    <n v="54"/>
    <x v="1"/>
    <x v="0"/>
    <n v="8.99"/>
    <x v="1"/>
    <x v="2"/>
    <n v="4"/>
    <n v="0.05"/>
    <x v="3"/>
  </r>
  <r>
    <s v="03c16f8b-64ce-4d37-9afe-f7a7359a10b8"/>
    <n v="22"/>
    <x v="1"/>
    <x v="0"/>
    <x v="1"/>
    <n v="14.27"/>
    <n v="17"/>
    <x v="4"/>
    <x v="3"/>
    <n v="17.989999999999998"/>
    <x v="0"/>
    <x v="2"/>
    <n v="4"/>
    <n v="0.79"/>
    <x v="1"/>
  </r>
  <r>
    <s v="24f1f8ac-6d0e-4447-a0db-c3ab27251400"/>
    <n v="22"/>
    <x v="1"/>
    <x v="2"/>
    <x v="1"/>
    <n v="4.9000000000000004"/>
    <n v="1"/>
    <x v="4"/>
    <x v="0"/>
    <n v="17.989999999999998"/>
    <x v="0"/>
    <x v="4"/>
    <n v="5"/>
    <n v="2.4500000000000002"/>
    <x v="0"/>
  </r>
  <r>
    <s v="4264a846-1da0-44d8-b472-dee73a80502e"/>
    <n v="18"/>
    <x v="1"/>
    <x v="1"/>
    <x v="2"/>
    <n v="2.48"/>
    <n v="45"/>
    <x v="3"/>
    <x v="1"/>
    <n v="8.99"/>
    <x v="1"/>
    <x v="4"/>
    <n v="2"/>
    <n v="0.05"/>
    <x v="2"/>
  </r>
  <r>
    <s v="fb5cc622-695b-4447-b65e-173ed40be7fd"/>
    <n v="23"/>
    <x v="1"/>
    <x v="2"/>
    <x v="1"/>
    <n v="12.6"/>
    <n v="54"/>
    <x v="0"/>
    <x v="0"/>
    <n v="17.989999999999998"/>
    <x v="1"/>
    <x v="0"/>
    <n v="1"/>
    <n v="0.23"/>
    <x v="5"/>
  </r>
  <r>
    <s v="34795a37-7635-423e-9ecb-56194c0ee1ef"/>
    <n v="26"/>
    <x v="0"/>
    <x v="2"/>
    <x v="0"/>
    <n v="24.13"/>
    <n v="27"/>
    <x v="3"/>
    <x v="4"/>
    <n v="13.99"/>
    <x v="0"/>
    <x v="2"/>
    <n v="3"/>
    <n v="0.86"/>
    <x v="1"/>
  </r>
  <r>
    <s v="64d66fab-5ec1-4ae5-9010-b72c1aefa827"/>
    <n v="19"/>
    <x v="1"/>
    <x v="2"/>
    <x v="0"/>
    <n v="10.58"/>
    <n v="9"/>
    <x v="2"/>
    <x v="3"/>
    <n v="13.99"/>
    <x v="0"/>
    <x v="2"/>
    <n v="1"/>
    <n v="1.06"/>
    <x v="5"/>
  </r>
  <r>
    <s v="15f35d98-ef62-4252-a44a-98483ecfdc6b"/>
    <n v="26"/>
    <x v="0"/>
    <x v="2"/>
    <x v="1"/>
    <n v="0.73"/>
    <n v="44"/>
    <x v="5"/>
    <x v="3"/>
    <n v="17.989999999999998"/>
    <x v="1"/>
    <x v="4"/>
    <n v="5"/>
    <n v="0.02"/>
    <x v="6"/>
  </r>
  <r>
    <s v="381b9550-7403-48dc-bcff-6dad9fc2fa87"/>
    <n v="27"/>
    <x v="0"/>
    <x v="0"/>
    <x v="1"/>
    <n v="2.66"/>
    <n v="32"/>
    <x v="0"/>
    <x v="0"/>
    <n v="17.989999999999998"/>
    <x v="1"/>
    <x v="4"/>
    <n v="3"/>
    <n v="0.08"/>
    <x v="1"/>
  </r>
  <r>
    <s v="4d1f6b5b-7652-4e4e-b63b-a8bc84930962"/>
    <n v="24"/>
    <x v="1"/>
    <x v="0"/>
    <x v="0"/>
    <n v="4.0999999999999996"/>
    <n v="21"/>
    <x v="1"/>
    <x v="2"/>
    <n v="13.99"/>
    <x v="0"/>
    <x v="2"/>
    <n v="5"/>
    <n v="0.19"/>
    <x v="4"/>
  </r>
  <r>
    <s v="85b672b9-5979-4d69-a17e-9fab8ddf7175"/>
    <n v="26"/>
    <x v="0"/>
    <x v="0"/>
    <x v="1"/>
    <n v="22.8"/>
    <n v="24"/>
    <x v="0"/>
    <x v="1"/>
    <n v="17.989999999999998"/>
    <x v="0"/>
    <x v="2"/>
    <n v="4"/>
    <n v="0.91"/>
    <x v="6"/>
  </r>
  <r>
    <s v="2c9b21d9-8b8d-4e69-bb70-e20d34b16983"/>
    <n v="22"/>
    <x v="1"/>
    <x v="0"/>
    <x v="0"/>
    <n v="0.76"/>
    <n v="24"/>
    <x v="3"/>
    <x v="3"/>
    <n v="13.99"/>
    <x v="1"/>
    <x v="4"/>
    <n v="2"/>
    <n v="0.03"/>
    <x v="6"/>
  </r>
  <r>
    <s v="ffbe0e7c-9921-4107-9d4c-f75a1a70ac2a"/>
    <n v="31"/>
    <x v="0"/>
    <x v="1"/>
    <x v="0"/>
    <n v="9.9"/>
    <n v="46"/>
    <x v="0"/>
    <x v="1"/>
    <n v="13.99"/>
    <x v="0"/>
    <x v="3"/>
    <n v="5"/>
    <n v="0.21"/>
    <x v="3"/>
  </r>
  <r>
    <s v="08d9dcda-cbfc-4b6b-adc8-658ae78cdcf3"/>
    <n v="29"/>
    <x v="0"/>
    <x v="0"/>
    <x v="2"/>
    <n v="1.77"/>
    <n v="47"/>
    <x v="5"/>
    <x v="1"/>
    <n v="8.99"/>
    <x v="1"/>
    <x v="2"/>
    <n v="3"/>
    <n v="0.04"/>
    <x v="5"/>
  </r>
  <r>
    <s v="5d798ad1-efc9-4cfe-99af-7dcae34b5c0e"/>
    <n v="26"/>
    <x v="0"/>
    <x v="2"/>
    <x v="0"/>
    <n v="33.1"/>
    <n v="21"/>
    <x v="5"/>
    <x v="1"/>
    <n v="13.99"/>
    <x v="0"/>
    <x v="3"/>
    <n v="5"/>
    <n v="1.5"/>
    <x v="5"/>
  </r>
  <r>
    <s v="643494e4-afe5-405d-b0e2-daec487796a3"/>
    <n v="33"/>
    <x v="0"/>
    <x v="2"/>
    <x v="0"/>
    <n v="14.96"/>
    <n v="16"/>
    <x v="4"/>
    <x v="4"/>
    <n v="13.99"/>
    <x v="0"/>
    <x v="0"/>
    <n v="5"/>
    <n v="0.88"/>
    <x v="4"/>
  </r>
  <r>
    <s v="179fd5bc-99d7-42ca-96e9-194c7c1068be"/>
    <n v="31"/>
    <x v="0"/>
    <x v="2"/>
    <x v="2"/>
    <n v="1.79"/>
    <n v="18"/>
    <x v="0"/>
    <x v="1"/>
    <n v="8.99"/>
    <x v="1"/>
    <x v="4"/>
    <n v="5"/>
    <n v="0.09"/>
    <x v="0"/>
  </r>
  <r>
    <s v="548084c6-48aa-4110-ae71-02c2cd0640d8"/>
    <n v="24"/>
    <x v="1"/>
    <x v="0"/>
    <x v="1"/>
    <n v="1.03"/>
    <n v="30"/>
    <x v="5"/>
    <x v="4"/>
    <n v="17.989999999999998"/>
    <x v="1"/>
    <x v="2"/>
    <n v="1"/>
    <n v="0.03"/>
    <x v="6"/>
  </r>
  <r>
    <s v="200744fd-339d-46b7-bdd7-75f6311d10c2"/>
    <n v="30"/>
    <x v="0"/>
    <x v="0"/>
    <x v="0"/>
    <n v="6.23"/>
    <n v="49"/>
    <x v="1"/>
    <x v="0"/>
    <n v="13.99"/>
    <x v="1"/>
    <x v="1"/>
    <n v="3"/>
    <n v="0.12"/>
    <x v="1"/>
  </r>
  <r>
    <s v="faf264ee-c0a0-400b-9d77-353c6ced1a8c"/>
    <n v="25"/>
    <x v="0"/>
    <x v="2"/>
    <x v="2"/>
    <n v="2.95"/>
    <n v="37"/>
    <x v="4"/>
    <x v="0"/>
    <n v="8.99"/>
    <x v="1"/>
    <x v="3"/>
    <n v="4"/>
    <n v="0.08"/>
    <x v="2"/>
  </r>
  <r>
    <s v="1f0b6300-2576-4798-bd4a-7645fc55445b"/>
    <n v="27"/>
    <x v="0"/>
    <x v="0"/>
    <x v="0"/>
    <n v="19.23"/>
    <n v="56"/>
    <x v="4"/>
    <x v="4"/>
    <n v="13.99"/>
    <x v="1"/>
    <x v="4"/>
    <n v="2"/>
    <n v="0.34"/>
    <x v="4"/>
  </r>
  <r>
    <s v="514c1267-5be8-4418-9efb-f7999a11f894"/>
    <n v="33"/>
    <x v="0"/>
    <x v="1"/>
    <x v="1"/>
    <n v="27.1"/>
    <n v="57"/>
    <x v="3"/>
    <x v="3"/>
    <n v="17.989999999999998"/>
    <x v="0"/>
    <x v="4"/>
    <n v="4"/>
    <n v="0.47"/>
    <x v="0"/>
  </r>
  <r>
    <s v="d2d6b334-a048-454e-a756-1d925a2445eb"/>
    <n v="22"/>
    <x v="1"/>
    <x v="0"/>
    <x v="1"/>
    <n v="5.22"/>
    <n v="33"/>
    <x v="5"/>
    <x v="3"/>
    <n v="17.989999999999998"/>
    <x v="0"/>
    <x v="2"/>
    <n v="5"/>
    <n v="0.15"/>
    <x v="5"/>
  </r>
  <r>
    <s v="26622754-7436-4bf5-adea-04a292f06216"/>
    <n v="25"/>
    <x v="0"/>
    <x v="2"/>
    <x v="2"/>
    <n v="0.24"/>
    <n v="43"/>
    <x v="0"/>
    <x v="3"/>
    <n v="8.99"/>
    <x v="1"/>
    <x v="1"/>
    <n v="3"/>
    <n v="0.01"/>
    <x v="4"/>
  </r>
  <r>
    <s v="faf370da-6bed-4d99-aa01-15b0f2868a9e"/>
    <n v="34"/>
    <x v="0"/>
    <x v="2"/>
    <x v="0"/>
    <n v="2.94"/>
    <n v="43"/>
    <x v="5"/>
    <x v="3"/>
    <n v="13.99"/>
    <x v="1"/>
    <x v="2"/>
    <n v="2"/>
    <n v="7.0000000000000007E-2"/>
    <x v="6"/>
  </r>
  <r>
    <s v="654260fa-24d7-4f03-b32c-f5ab977a1031"/>
    <n v="21"/>
    <x v="1"/>
    <x v="0"/>
    <x v="1"/>
    <n v="7.72"/>
    <n v="51"/>
    <x v="5"/>
    <x v="0"/>
    <n v="17.989999999999998"/>
    <x v="1"/>
    <x v="1"/>
    <n v="3"/>
    <n v="0.15"/>
    <x v="4"/>
  </r>
  <r>
    <s v="f6907862-a9fd-4a23-aae1-6edbf491d7f1"/>
    <n v="32"/>
    <x v="0"/>
    <x v="0"/>
    <x v="0"/>
    <n v="6.86"/>
    <n v="49"/>
    <x v="3"/>
    <x v="0"/>
    <n v="13.99"/>
    <x v="1"/>
    <x v="1"/>
    <n v="2"/>
    <n v="0.14000000000000001"/>
    <x v="6"/>
  </r>
  <r>
    <s v="5144a8df-7f6d-4e84-9022-66f39e58bb68"/>
    <n v="22"/>
    <x v="1"/>
    <x v="1"/>
    <x v="2"/>
    <n v="2.36"/>
    <n v="27"/>
    <x v="5"/>
    <x v="1"/>
    <n v="8.99"/>
    <x v="1"/>
    <x v="0"/>
    <n v="3"/>
    <n v="0.08"/>
    <x v="3"/>
  </r>
  <r>
    <s v="9b6193ab-b21c-4cc8-b45d-2bd11475efb3"/>
    <n v="30"/>
    <x v="0"/>
    <x v="1"/>
    <x v="0"/>
    <n v="12.85"/>
    <n v="39"/>
    <x v="0"/>
    <x v="4"/>
    <n v="13.99"/>
    <x v="1"/>
    <x v="1"/>
    <n v="3"/>
    <n v="0.32"/>
    <x v="1"/>
  </r>
  <r>
    <s v="7fc98c2f-c71a-4af0-b532-7bb513272815"/>
    <n v="27"/>
    <x v="0"/>
    <x v="0"/>
    <x v="2"/>
    <n v="11.62"/>
    <n v="50"/>
    <x v="0"/>
    <x v="0"/>
    <n v="8.99"/>
    <x v="1"/>
    <x v="2"/>
    <n v="2"/>
    <n v="0.23"/>
    <x v="5"/>
  </r>
  <r>
    <s v="c6f3374b-7a7f-4219-b194-f0c989f78cfc"/>
    <n v="23"/>
    <x v="1"/>
    <x v="0"/>
    <x v="2"/>
    <n v="5.0599999999999996"/>
    <n v="36"/>
    <x v="1"/>
    <x v="4"/>
    <n v="8.99"/>
    <x v="1"/>
    <x v="1"/>
    <n v="3"/>
    <n v="0.14000000000000001"/>
    <x v="1"/>
  </r>
  <r>
    <s v="e7e2dc97-77cb-4657-a75c-7b909b1f473f"/>
    <n v="20"/>
    <x v="1"/>
    <x v="2"/>
    <x v="1"/>
    <n v="12.72"/>
    <n v="13"/>
    <x v="5"/>
    <x v="2"/>
    <n v="17.989999999999998"/>
    <x v="0"/>
    <x v="2"/>
    <n v="2"/>
    <n v="0.91"/>
    <x v="2"/>
  </r>
  <r>
    <s v="63b76069-9c9c-4030-8501-e9bd5f70baac"/>
    <n v="34"/>
    <x v="0"/>
    <x v="0"/>
    <x v="1"/>
    <n v="19.54"/>
    <n v="10"/>
    <x v="0"/>
    <x v="1"/>
    <n v="17.989999999999998"/>
    <x v="0"/>
    <x v="1"/>
    <n v="2"/>
    <n v="1.78"/>
    <x v="6"/>
  </r>
  <r>
    <s v="93c00b2a-b12a-4729-978a-1856748fec65"/>
    <n v="22"/>
    <x v="1"/>
    <x v="1"/>
    <x v="0"/>
    <n v="14.04"/>
    <n v="19"/>
    <x v="4"/>
    <x v="2"/>
    <n v="13.99"/>
    <x v="0"/>
    <x v="4"/>
    <n v="2"/>
    <n v="0.7"/>
    <x v="6"/>
  </r>
  <r>
    <s v="99d5bb9e-b3ce-4e56-a8d2-493bed4864e1"/>
    <n v="21"/>
    <x v="1"/>
    <x v="1"/>
    <x v="0"/>
    <n v="0.06"/>
    <n v="13"/>
    <x v="5"/>
    <x v="3"/>
    <n v="13.99"/>
    <x v="0"/>
    <x v="3"/>
    <n v="5"/>
    <n v="0"/>
    <x v="0"/>
  </r>
  <r>
    <s v="eb9ffc1d-90cf-41bb-b18e-b118d745b184"/>
    <n v="33"/>
    <x v="0"/>
    <x v="0"/>
    <x v="1"/>
    <n v="2.08"/>
    <n v="7"/>
    <x v="4"/>
    <x v="0"/>
    <n v="17.989999999999998"/>
    <x v="0"/>
    <x v="1"/>
    <n v="4"/>
    <n v="0.26"/>
    <x v="4"/>
  </r>
  <r>
    <s v="f3d58e2f-b78f-4df7-8455-58ecd328798d"/>
    <n v="32"/>
    <x v="0"/>
    <x v="2"/>
    <x v="2"/>
    <n v="10.130000000000001"/>
    <n v="8"/>
    <x v="5"/>
    <x v="4"/>
    <n v="8.99"/>
    <x v="0"/>
    <x v="2"/>
    <n v="5"/>
    <n v="1.1299999999999999"/>
    <x v="2"/>
  </r>
  <r>
    <s v="ed233136-d1c6-4e17-8ea3-64ec10d8f882"/>
    <n v="23"/>
    <x v="1"/>
    <x v="0"/>
    <x v="2"/>
    <n v="11.07"/>
    <n v="47"/>
    <x v="1"/>
    <x v="1"/>
    <n v="8.99"/>
    <x v="1"/>
    <x v="0"/>
    <n v="4"/>
    <n v="0.23"/>
    <x v="3"/>
  </r>
  <r>
    <s v="b942a90e-e80a-4079-94cf-b6657f127de4"/>
    <n v="33"/>
    <x v="0"/>
    <x v="2"/>
    <x v="1"/>
    <n v="17.72"/>
    <n v="5"/>
    <x v="4"/>
    <x v="1"/>
    <n v="17.989999999999998"/>
    <x v="0"/>
    <x v="2"/>
    <n v="5"/>
    <n v="2.95"/>
    <x v="4"/>
  </r>
  <r>
    <s v="ebdbba9b-b3c9-4074-b02d-4ee57b51f8f6"/>
    <n v="23"/>
    <x v="1"/>
    <x v="0"/>
    <x v="0"/>
    <n v="14.92"/>
    <n v="13"/>
    <x v="4"/>
    <x v="0"/>
    <n v="13.99"/>
    <x v="0"/>
    <x v="4"/>
    <n v="2"/>
    <n v="1.07"/>
    <x v="5"/>
  </r>
  <r>
    <s v="303e5d95-809b-4bf4-92ac-6e5f2cc59ba8"/>
    <n v="22"/>
    <x v="1"/>
    <x v="1"/>
    <x v="1"/>
    <n v="0.85"/>
    <n v="26"/>
    <x v="5"/>
    <x v="0"/>
    <n v="17.989999999999998"/>
    <x v="1"/>
    <x v="1"/>
    <n v="3"/>
    <n v="0.03"/>
    <x v="1"/>
  </r>
  <r>
    <s v="5fc305d7-0598-4114-bd7d-e523aa1befc9"/>
    <n v="19"/>
    <x v="1"/>
    <x v="0"/>
    <x v="0"/>
    <n v="6.51"/>
    <n v="51"/>
    <x v="0"/>
    <x v="4"/>
    <n v="13.99"/>
    <x v="1"/>
    <x v="0"/>
    <n v="1"/>
    <n v="0.13"/>
    <x v="1"/>
  </r>
  <r>
    <s v="96cd4e09-7d3a-44ac-8895-3e579b483e67"/>
    <n v="24"/>
    <x v="1"/>
    <x v="1"/>
    <x v="1"/>
    <n v="18.05"/>
    <n v="41"/>
    <x v="3"/>
    <x v="2"/>
    <n v="17.989999999999998"/>
    <x v="0"/>
    <x v="2"/>
    <n v="5"/>
    <n v="0.43"/>
    <x v="4"/>
  </r>
  <r>
    <s v="f542341a-c266-4e89-a629-a1bd8ea7b663"/>
    <n v="18"/>
    <x v="1"/>
    <x v="1"/>
    <x v="2"/>
    <n v="3.17"/>
    <n v="0"/>
    <x v="0"/>
    <x v="1"/>
    <n v="8.99"/>
    <x v="1"/>
    <x v="2"/>
    <n v="1"/>
    <n v="3.17"/>
    <x v="3"/>
  </r>
  <r>
    <s v="a0aa33e6-8d16-4270-8fff-50888fca0dcf"/>
    <n v="28"/>
    <x v="0"/>
    <x v="2"/>
    <x v="1"/>
    <n v="8.75"/>
    <n v="46"/>
    <x v="0"/>
    <x v="3"/>
    <n v="17.989999999999998"/>
    <x v="1"/>
    <x v="2"/>
    <n v="3"/>
    <n v="0.19"/>
    <x v="1"/>
  </r>
  <r>
    <s v="80bdb6a9-af1d-4bf8-bdd6-d44d23361ec7"/>
    <n v="34"/>
    <x v="0"/>
    <x v="0"/>
    <x v="2"/>
    <n v="28.06"/>
    <n v="33"/>
    <x v="5"/>
    <x v="0"/>
    <n v="8.99"/>
    <x v="0"/>
    <x v="3"/>
    <n v="4"/>
    <n v="0.83"/>
    <x v="5"/>
  </r>
  <r>
    <s v="4b561de5-67ca-4d0c-8e49-ec97fa83626a"/>
    <n v="21"/>
    <x v="1"/>
    <x v="2"/>
    <x v="1"/>
    <n v="16.09"/>
    <n v="2"/>
    <x v="4"/>
    <x v="4"/>
    <n v="17.989999999999998"/>
    <x v="0"/>
    <x v="0"/>
    <n v="4"/>
    <n v="5.36"/>
    <x v="6"/>
  </r>
  <r>
    <s v="ce3fbd40-95b0-45e9-b263-3c8ec20036c0"/>
    <n v="23"/>
    <x v="1"/>
    <x v="1"/>
    <x v="2"/>
    <n v="2.91"/>
    <n v="40"/>
    <x v="5"/>
    <x v="4"/>
    <n v="8.99"/>
    <x v="1"/>
    <x v="3"/>
    <n v="3"/>
    <n v="7.0000000000000007E-2"/>
    <x v="0"/>
  </r>
  <r>
    <s v="57f1d116-ea1e-43db-93e6-4a9324378aa1"/>
    <n v="30"/>
    <x v="0"/>
    <x v="2"/>
    <x v="1"/>
    <n v="5.43"/>
    <n v="56"/>
    <x v="3"/>
    <x v="0"/>
    <n v="17.989999999999998"/>
    <x v="1"/>
    <x v="4"/>
    <n v="4"/>
    <n v="0.1"/>
    <x v="5"/>
  </r>
  <r>
    <s v="0ca91c24-0ea5-4885-8ae4-665754c4a464"/>
    <n v="25"/>
    <x v="0"/>
    <x v="1"/>
    <x v="1"/>
    <n v="2.5099999999999998"/>
    <n v="18"/>
    <x v="0"/>
    <x v="0"/>
    <n v="17.989999999999998"/>
    <x v="0"/>
    <x v="3"/>
    <n v="5"/>
    <n v="0.13"/>
    <x v="6"/>
  </r>
  <r>
    <s v="c98976dd-6fef-4649-bf60-100427cfa861"/>
    <n v="32"/>
    <x v="0"/>
    <x v="0"/>
    <x v="2"/>
    <n v="7.17"/>
    <n v="3"/>
    <x v="0"/>
    <x v="4"/>
    <n v="8.99"/>
    <x v="0"/>
    <x v="1"/>
    <n v="5"/>
    <n v="1.79"/>
    <x v="2"/>
  </r>
  <r>
    <s v="bf4af9cd-1b68-481c-96aa-d569dc62852d"/>
    <n v="29"/>
    <x v="0"/>
    <x v="0"/>
    <x v="2"/>
    <n v="10.64"/>
    <n v="36"/>
    <x v="1"/>
    <x v="4"/>
    <n v="8.99"/>
    <x v="1"/>
    <x v="3"/>
    <n v="1"/>
    <n v="0.28999999999999998"/>
    <x v="3"/>
  </r>
  <r>
    <s v="1a2e23e5-b228-4e47-b7cc-0ae914646afd"/>
    <n v="23"/>
    <x v="1"/>
    <x v="0"/>
    <x v="2"/>
    <n v="11.25"/>
    <n v="24"/>
    <x v="0"/>
    <x v="3"/>
    <n v="8.99"/>
    <x v="0"/>
    <x v="0"/>
    <n v="5"/>
    <n v="0.45"/>
    <x v="1"/>
  </r>
  <r>
    <s v="d1957af6-689c-4010-81fd-fd8590ba41b6"/>
    <n v="33"/>
    <x v="0"/>
    <x v="0"/>
    <x v="2"/>
    <n v="11.36"/>
    <n v="51"/>
    <x v="1"/>
    <x v="3"/>
    <n v="8.99"/>
    <x v="1"/>
    <x v="3"/>
    <n v="1"/>
    <n v="0.22"/>
    <x v="0"/>
  </r>
  <r>
    <s v="bb58fe93-e0b2-4946-b2f9-f150f203a485"/>
    <n v="24"/>
    <x v="1"/>
    <x v="1"/>
    <x v="2"/>
    <n v="17.559999999999999"/>
    <n v="10"/>
    <x v="5"/>
    <x v="2"/>
    <n v="8.99"/>
    <x v="0"/>
    <x v="4"/>
    <n v="5"/>
    <n v="1.6"/>
    <x v="3"/>
  </r>
  <r>
    <s v="7864a64d-b304-4501-84ea-cfd022c2f1bc"/>
    <n v="25"/>
    <x v="0"/>
    <x v="1"/>
    <x v="0"/>
    <n v="0.9"/>
    <n v="27"/>
    <x v="4"/>
    <x v="2"/>
    <n v="13.99"/>
    <x v="1"/>
    <x v="3"/>
    <n v="3"/>
    <n v="0.03"/>
    <x v="2"/>
  </r>
  <r>
    <s v="a2794c07-a79c-43a9-ba77-bcbc4cfb17ef"/>
    <n v="26"/>
    <x v="0"/>
    <x v="1"/>
    <x v="0"/>
    <n v="1.24"/>
    <n v="56"/>
    <x v="0"/>
    <x v="0"/>
    <n v="13.99"/>
    <x v="1"/>
    <x v="1"/>
    <n v="1"/>
    <n v="0.02"/>
    <x v="6"/>
  </r>
  <r>
    <s v="2a8b672e-c40e-4884-a460-33c3a34a315e"/>
    <n v="31"/>
    <x v="0"/>
    <x v="1"/>
    <x v="2"/>
    <n v="5.16"/>
    <n v="41"/>
    <x v="1"/>
    <x v="2"/>
    <n v="8.99"/>
    <x v="1"/>
    <x v="1"/>
    <n v="2"/>
    <n v="0.12"/>
    <x v="4"/>
  </r>
  <r>
    <s v="a0e1dbff-bcc6-41c4-97f6-1a3a032b39f4"/>
    <n v="27"/>
    <x v="0"/>
    <x v="2"/>
    <x v="2"/>
    <n v="1.41"/>
    <n v="0"/>
    <x v="4"/>
    <x v="4"/>
    <n v="8.99"/>
    <x v="0"/>
    <x v="1"/>
    <n v="5"/>
    <n v="1.41"/>
    <x v="3"/>
  </r>
  <r>
    <s v="a8013c09-772b-450f-9e42-403cdabc7b2d"/>
    <n v="31"/>
    <x v="0"/>
    <x v="0"/>
    <x v="0"/>
    <n v="8.58"/>
    <n v="16"/>
    <x v="2"/>
    <x v="1"/>
    <n v="13.99"/>
    <x v="0"/>
    <x v="2"/>
    <n v="2"/>
    <n v="0.5"/>
    <x v="0"/>
  </r>
  <r>
    <s v="5294d27c-a856-43bb-a560-05cd5d08b939"/>
    <n v="27"/>
    <x v="0"/>
    <x v="1"/>
    <x v="2"/>
    <n v="0.14000000000000001"/>
    <n v="57"/>
    <x v="4"/>
    <x v="1"/>
    <n v="8.99"/>
    <x v="1"/>
    <x v="1"/>
    <n v="5"/>
    <n v="0"/>
    <x v="0"/>
  </r>
  <r>
    <s v="f749e2c8-e004-479b-b690-6a89ef434ddb"/>
    <n v="30"/>
    <x v="0"/>
    <x v="1"/>
    <x v="2"/>
    <n v="14.86"/>
    <n v="55"/>
    <x v="5"/>
    <x v="3"/>
    <n v="8.99"/>
    <x v="1"/>
    <x v="1"/>
    <n v="2"/>
    <n v="0.27"/>
    <x v="5"/>
  </r>
  <r>
    <s v="06ca1b4c-5275-4cf2-b1e3-44955c49c0aa"/>
    <n v="31"/>
    <x v="0"/>
    <x v="1"/>
    <x v="0"/>
    <n v="2.44"/>
    <n v="17"/>
    <x v="2"/>
    <x v="0"/>
    <n v="13.99"/>
    <x v="1"/>
    <x v="2"/>
    <n v="3"/>
    <n v="0.14000000000000001"/>
    <x v="6"/>
  </r>
  <r>
    <s v="cfea570a-88d4-4f81-88ae-d89496ed6c87"/>
    <n v="32"/>
    <x v="0"/>
    <x v="2"/>
    <x v="0"/>
    <n v="7.57"/>
    <n v="18"/>
    <x v="3"/>
    <x v="4"/>
    <n v="13.99"/>
    <x v="0"/>
    <x v="0"/>
    <n v="5"/>
    <n v="0.4"/>
    <x v="1"/>
  </r>
  <r>
    <s v="344c5424-1d19-4abe-9252-a8ca71cf5aca"/>
    <n v="20"/>
    <x v="1"/>
    <x v="2"/>
    <x v="1"/>
    <n v="36.39"/>
    <n v="49"/>
    <x v="2"/>
    <x v="0"/>
    <n v="17.989999999999998"/>
    <x v="0"/>
    <x v="1"/>
    <n v="4"/>
    <n v="0.73"/>
    <x v="1"/>
  </r>
  <r>
    <s v="b312c59e-92cd-4b0a-9baa-d6477c72a8a5"/>
    <n v="23"/>
    <x v="1"/>
    <x v="0"/>
    <x v="2"/>
    <n v="4.2699999999999996"/>
    <n v="23"/>
    <x v="4"/>
    <x v="0"/>
    <n v="8.99"/>
    <x v="1"/>
    <x v="1"/>
    <n v="1"/>
    <n v="0.18"/>
    <x v="6"/>
  </r>
  <r>
    <s v="d019d181-62ae-4042-80fc-61c843545bcd"/>
    <n v="21"/>
    <x v="1"/>
    <x v="0"/>
    <x v="0"/>
    <n v="6.43"/>
    <n v="39"/>
    <x v="3"/>
    <x v="2"/>
    <n v="13.99"/>
    <x v="0"/>
    <x v="2"/>
    <n v="5"/>
    <n v="0.16"/>
    <x v="2"/>
  </r>
  <r>
    <s v="f78f708e-fc00-4c1d-823b-8798f10c8b83"/>
    <n v="19"/>
    <x v="1"/>
    <x v="2"/>
    <x v="1"/>
    <n v="9.32"/>
    <n v="0"/>
    <x v="5"/>
    <x v="3"/>
    <n v="17.989999999999998"/>
    <x v="0"/>
    <x v="1"/>
    <n v="2"/>
    <n v="9.32"/>
    <x v="5"/>
  </r>
  <r>
    <s v="4dc3204a-1c4f-4afd-9597-9dc4e9166bd9"/>
    <n v="27"/>
    <x v="0"/>
    <x v="1"/>
    <x v="0"/>
    <n v="5.08"/>
    <n v="25"/>
    <x v="0"/>
    <x v="4"/>
    <n v="13.99"/>
    <x v="0"/>
    <x v="4"/>
    <n v="1"/>
    <n v="0.2"/>
    <x v="4"/>
  </r>
  <r>
    <s v="9829890a-3880-439c-a2b4-80afeb217997"/>
    <n v="22"/>
    <x v="1"/>
    <x v="2"/>
    <x v="0"/>
    <n v="1.41"/>
    <n v="28"/>
    <x v="2"/>
    <x v="1"/>
    <n v="13.99"/>
    <x v="1"/>
    <x v="4"/>
    <n v="4"/>
    <n v="0.05"/>
    <x v="6"/>
  </r>
  <r>
    <s v="30f6a1ee-33d7-4a8a-a6cb-82c3aa6a16ae"/>
    <n v="31"/>
    <x v="0"/>
    <x v="2"/>
    <x v="2"/>
    <n v="10.99"/>
    <n v="33"/>
    <x v="0"/>
    <x v="1"/>
    <n v="8.99"/>
    <x v="1"/>
    <x v="2"/>
    <n v="3"/>
    <n v="0.32"/>
    <x v="6"/>
  </r>
  <r>
    <s v="bd4aab1a-8302-4e08-a648-a63609db66df"/>
    <n v="18"/>
    <x v="1"/>
    <x v="2"/>
    <x v="2"/>
    <n v="12.68"/>
    <n v="18"/>
    <x v="1"/>
    <x v="0"/>
    <n v="8.99"/>
    <x v="0"/>
    <x v="1"/>
    <n v="3"/>
    <n v="0.67"/>
    <x v="0"/>
  </r>
  <r>
    <s v="11373011-9e1b-41f4-ab76-15ee1c916105"/>
    <n v="25"/>
    <x v="0"/>
    <x v="0"/>
    <x v="2"/>
    <n v="1.91"/>
    <n v="18"/>
    <x v="3"/>
    <x v="3"/>
    <n v="8.99"/>
    <x v="1"/>
    <x v="0"/>
    <n v="3"/>
    <n v="0.1"/>
    <x v="5"/>
  </r>
  <r>
    <s v="e9087e86-8089-43bc-be36-a876aeb5ceb6"/>
    <n v="24"/>
    <x v="1"/>
    <x v="2"/>
    <x v="0"/>
    <n v="5.37"/>
    <n v="2"/>
    <x v="4"/>
    <x v="0"/>
    <n v="13.99"/>
    <x v="0"/>
    <x v="4"/>
    <n v="2"/>
    <n v="1.79"/>
    <x v="1"/>
  </r>
  <r>
    <s v="9274feb4-b477-492e-8ebe-8e6a3466bbdf"/>
    <n v="30"/>
    <x v="0"/>
    <x v="2"/>
    <x v="2"/>
    <n v="5.73"/>
    <n v="41"/>
    <x v="5"/>
    <x v="1"/>
    <n v="8.99"/>
    <x v="1"/>
    <x v="4"/>
    <n v="3"/>
    <n v="0.14000000000000001"/>
    <x v="4"/>
  </r>
  <r>
    <s v="09676128-1363-46d4-8e65-fb15aab4502c"/>
    <n v="19"/>
    <x v="1"/>
    <x v="1"/>
    <x v="1"/>
    <n v="8.11"/>
    <n v="56"/>
    <x v="4"/>
    <x v="1"/>
    <n v="17.989999999999998"/>
    <x v="0"/>
    <x v="3"/>
    <n v="5"/>
    <n v="0.14000000000000001"/>
    <x v="2"/>
  </r>
  <r>
    <s v="1829ac6c-bf86-4add-93af-ef3534a06c28"/>
    <n v="30"/>
    <x v="0"/>
    <x v="2"/>
    <x v="0"/>
    <n v="9.6999999999999993"/>
    <n v="37"/>
    <x v="4"/>
    <x v="2"/>
    <n v="13.99"/>
    <x v="1"/>
    <x v="0"/>
    <n v="1"/>
    <n v="0.26"/>
    <x v="3"/>
  </r>
  <r>
    <s v="7d44b140-388b-45e7-90be-3989f2c186ef"/>
    <n v="24"/>
    <x v="1"/>
    <x v="1"/>
    <x v="2"/>
    <n v="15.34"/>
    <n v="43"/>
    <x v="1"/>
    <x v="3"/>
    <n v="8.99"/>
    <x v="1"/>
    <x v="0"/>
    <n v="3"/>
    <n v="0.35"/>
    <x v="1"/>
  </r>
  <r>
    <s v="948ce2cb-69d0-44e8-82d3-77e8e7e8faef"/>
    <n v="19"/>
    <x v="1"/>
    <x v="2"/>
    <x v="0"/>
    <n v="8.32"/>
    <n v="2"/>
    <x v="0"/>
    <x v="1"/>
    <n v="13.99"/>
    <x v="0"/>
    <x v="3"/>
    <n v="2"/>
    <n v="2.77"/>
    <x v="2"/>
  </r>
  <r>
    <s v="760e2c65-f8d5-4600-802d-36cb875e9a19"/>
    <n v="20"/>
    <x v="1"/>
    <x v="0"/>
    <x v="0"/>
    <n v="7.66"/>
    <n v="36"/>
    <x v="4"/>
    <x v="3"/>
    <n v="13.99"/>
    <x v="0"/>
    <x v="1"/>
    <n v="5"/>
    <n v="0.21"/>
    <x v="6"/>
  </r>
  <r>
    <s v="15717c27-c14f-451f-9cd6-8cfa0a2d24e1"/>
    <n v="22"/>
    <x v="1"/>
    <x v="1"/>
    <x v="2"/>
    <n v="10.85"/>
    <n v="44"/>
    <x v="4"/>
    <x v="1"/>
    <n v="8.99"/>
    <x v="1"/>
    <x v="4"/>
    <n v="4"/>
    <n v="0.24"/>
    <x v="0"/>
  </r>
  <r>
    <s v="416b8522-14e6-4803-8f23-a434add52670"/>
    <n v="24"/>
    <x v="1"/>
    <x v="2"/>
    <x v="2"/>
    <n v="7.95"/>
    <n v="33"/>
    <x v="3"/>
    <x v="4"/>
    <n v="8.99"/>
    <x v="1"/>
    <x v="3"/>
    <n v="3"/>
    <n v="0.23"/>
    <x v="0"/>
  </r>
  <r>
    <s v="9d93da93-4af0-4ee3-a33a-e9113bb9e909"/>
    <n v="26"/>
    <x v="0"/>
    <x v="1"/>
    <x v="0"/>
    <n v="11.13"/>
    <n v="2"/>
    <x v="2"/>
    <x v="1"/>
    <n v="13.99"/>
    <x v="0"/>
    <x v="2"/>
    <n v="2"/>
    <n v="3.71"/>
    <x v="6"/>
  </r>
  <r>
    <s v="38769edf-d82f-4be4-98b2-324b1295e6d9"/>
    <n v="21"/>
    <x v="1"/>
    <x v="2"/>
    <x v="2"/>
    <n v="24.86"/>
    <n v="54"/>
    <x v="4"/>
    <x v="0"/>
    <n v="8.99"/>
    <x v="1"/>
    <x v="3"/>
    <n v="2"/>
    <n v="0.45"/>
    <x v="1"/>
  </r>
  <r>
    <s v="1bc9bedd-0caf-425e-aed3-5faf9a0c2d27"/>
    <n v="20"/>
    <x v="1"/>
    <x v="0"/>
    <x v="0"/>
    <n v="22.67"/>
    <n v="55"/>
    <x v="1"/>
    <x v="4"/>
    <n v="13.99"/>
    <x v="1"/>
    <x v="4"/>
    <n v="1"/>
    <n v="0.4"/>
    <x v="5"/>
  </r>
  <r>
    <s v="b918e3f7-644c-4be8-9b94-e079f0e57adb"/>
    <n v="22"/>
    <x v="1"/>
    <x v="1"/>
    <x v="0"/>
    <n v="1.42"/>
    <n v="37"/>
    <x v="4"/>
    <x v="4"/>
    <n v="13.99"/>
    <x v="1"/>
    <x v="4"/>
    <n v="2"/>
    <n v="0.04"/>
    <x v="6"/>
  </r>
  <r>
    <s v="b5acd69b-8cd3-401d-88c2-40c7d6ce48c6"/>
    <n v="23"/>
    <x v="1"/>
    <x v="2"/>
    <x v="1"/>
    <n v="4.2300000000000004"/>
    <n v="14"/>
    <x v="2"/>
    <x v="3"/>
    <n v="17.989999999999998"/>
    <x v="0"/>
    <x v="2"/>
    <n v="5"/>
    <n v="0.28000000000000003"/>
    <x v="5"/>
  </r>
  <r>
    <s v="bbfa791d-bf59-4022-b8fc-3c0a64e7c2f4"/>
    <n v="32"/>
    <x v="0"/>
    <x v="1"/>
    <x v="2"/>
    <n v="0.49"/>
    <n v="4"/>
    <x v="4"/>
    <x v="3"/>
    <n v="8.99"/>
    <x v="1"/>
    <x v="4"/>
    <n v="2"/>
    <n v="0.1"/>
    <x v="5"/>
  </r>
  <r>
    <s v="2aa44138-b15c-461f-ba7b-6b1718fc3f8f"/>
    <n v="27"/>
    <x v="0"/>
    <x v="1"/>
    <x v="1"/>
    <n v="11.61"/>
    <n v="21"/>
    <x v="1"/>
    <x v="1"/>
    <n v="17.989999999999998"/>
    <x v="0"/>
    <x v="2"/>
    <n v="4"/>
    <n v="0.53"/>
    <x v="2"/>
  </r>
  <r>
    <s v="f31c3891-2944-40ab-a8ef-92b11b3f4334"/>
    <n v="25"/>
    <x v="0"/>
    <x v="2"/>
    <x v="1"/>
    <n v="13.12"/>
    <n v="47"/>
    <x v="0"/>
    <x v="2"/>
    <n v="17.989999999999998"/>
    <x v="1"/>
    <x v="0"/>
    <n v="5"/>
    <n v="0.27"/>
    <x v="0"/>
  </r>
  <r>
    <s v="fbe0177d-1a78-4759-91f1-ba62b03acc15"/>
    <n v="23"/>
    <x v="1"/>
    <x v="0"/>
    <x v="2"/>
    <n v="25.79"/>
    <n v="55"/>
    <x v="0"/>
    <x v="4"/>
    <n v="8.99"/>
    <x v="1"/>
    <x v="1"/>
    <n v="2"/>
    <n v="0.46"/>
    <x v="3"/>
  </r>
  <r>
    <s v="27cea559-7785-44c0-ac70-6b3494eeb70b"/>
    <n v="26"/>
    <x v="0"/>
    <x v="2"/>
    <x v="2"/>
    <n v="25.49"/>
    <n v="35"/>
    <x v="2"/>
    <x v="2"/>
    <n v="8.99"/>
    <x v="0"/>
    <x v="0"/>
    <n v="3"/>
    <n v="0.71"/>
    <x v="4"/>
  </r>
  <r>
    <s v="8a0848fd-4827-4f85-9b6f-007ffe391d30"/>
    <n v="26"/>
    <x v="0"/>
    <x v="2"/>
    <x v="0"/>
    <n v="4.87"/>
    <n v="59"/>
    <x v="5"/>
    <x v="2"/>
    <n v="13.99"/>
    <x v="1"/>
    <x v="2"/>
    <n v="3"/>
    <n v="0.08"/>
    <x v="3"/>
  </r>
  <r>
    <s v="84ee2484-f659-41f0-b358-119262ea7d5d"/>
    <n v="28"/>
    <x v="0"/>
    <x v="1"/>
    <x v="1"/>
    <n v="17.100000000000001"/>
    <n v="28"/>
    <x v="3"/>
    <x v="0"/>
    <n v="17.989999999999998"/>
    <x v="0"/>
    <x v="1"/>
    <n v="4"/>
    <n v="0.59"/>
    <x v="3"/>
  </r>
  <r>
    <s v="abb262e4-25f1-48a4-a322-879a563a00af"/>
    <n v="22"/>
    <x v="1"/>
    <x v="1"/>
    <x v="2"/>
    <n v="11.84"/>
    <n v="40"/>
    <x v="3"/>
    <x v="0"/>
    <n v="8.99"/>
    <x v="1"/>
    <x v="1"/>
    <n v="1"/>
    <n v="0.28999999999999998"/>
    <x v="3"/>
  </r>
  <r>
    <s v="bba14e0b-05f9-4cf4-b201-41398c6d4ec5"/>
    <n v="32"/>
    <x v="0"/>
    <x v="2"/>
    <x v="0"/>
    <n v="1.89"/>
    <n v="24"/>
    <x v="1"/>
    <x v="0"/>
    <n v="13.99"/>
    <x v="1"/>
    <x v="2"/>
    <n v="1"/>
    <n v="0.08"/>
    <x v="4"/>
  </r>
  <r>
    <s v="47537e18-5119-4d3c-934e-c0fa3646be77"/>
    <n v="30"/>
    <x v="0"/>
    <x v="0"/>
    <x v="2"/>
    <n v="11.4"/>
    <n v="50"/>
    <x v="0"/>
    <x v="3"/>
    <n v="8.99"/>
    <x v="1"/>
    <x v="1"/>
    <n v="5"/>
    <n v="0.22"/>
    <x v="4"/>
  </r>
  <r>
    <s v="1f70867f-6022-4521-8138-3116b8a88a5c"/>
    <n v="18"/>
    <x v="1"/>
    <x v="2"/>
    <x v="1"/>
    <n v="2.75"/>
    <n v="5"/>
    <x v="0"/>
    <x v="0"/>
    <n v="17.989999999999998"/>
    <x v="1"/>
    <x v="0"/>
    <n v="1"/>
    <n v="0.46"/>
    <x v="0"/>
  </r>
  <r>
    <s v="49261e9e-fdd0-48df-87f7-3eab7d66fa81"/>
    <n v="18"/>
    <x v="1"/>
    <x v="1"/>
    <x v="0"/>
    <n v="3.54"/>
    <n v="45"/>
    <x v="5"/>
    <x v="2"/>
    <n v="13.99"/>
    <x v="1"/>
    <x v="1"/>
    <n v="5"/>
    <n v="0.08"/>
    <x v="2"/>
  </r>
  <r>
    <s v="b21baa2a-9c93-4d91-92bc-88f708dabe32"/>
    <n v="30"/>
    <x v="0"/>
    <x v="2"/>
    <x v="2"/>
    <n v="5.42"/>
    <n v="43"/>
    <x v="3"/>
    <x v="4"/>
    <n v="8.99"/>
    <x v="1"/>
    <x v="4"/>
    <n v="4"/>
    <n v="0.12"/>
    <x v="0"/>
  </r>
  <r>
    <s v="1e89c820-f686-4a32-aeab-924d79f6d288"/>
    <n v="28"/>
    <x v="0"/>
    <x v="2"/>
    <x v="0"/>
    <n v="3.57"/>
    <n v="60"/>
    <x v="4"/>
    <x v="2"/>
    <n v="13.99"/>
    <x v="1"/>
    <x v="0"/>
    <n v="4"/>
    <n v="0.06"/>
    <x v="2"/>
  </r>
  <r>
    <s v="f6abaaad-45a9-4879-8e66-3b1d4d5c3cbc"/>
    <n v="25"/>
    <x v="0"/>
    <x v="0"/>
    <x v="0"/>
    <n v="10.36"/>
    <n v="52"/>
    <x v="3"/>
    <x v="2"/>
    <n v="13.99"/>
    <x v="0"/>
    <x v="2"/>
    <n v="4"/>
    <n v="0.2"/>
    <x v="2"/>
  </r>
  <r>
    <s v="1b217597-8e8c-475f-bfc2-df1b648f3ec8"/>
    <n v="33"/>
    <x v="0"/>
    <x v="1"/>
    <x v="2"/>
    <n v="2.36"/>
    <n v="10"/>
    <x v="3"/>
    <x v="2"/>
    <n v="8.99"/>
    <x v="1"/>
    <x v="3"/>
    <n v="3"/>
    <n v="0.21"/>
    <x v="3"/>
  </r>
  <r>
    <s v="ccbcbfcb-32f4-4cfb-be96-79bb84daf04b"/>
    <n v="19"/>
    <x v="1"/>
    <x v="0"/>
    <x v="0"/>
    <n v="18.18"/>
    <n v="48"/>
    <x v="0"/>
    <x v="0"/>
    <n v="13.99"/>
    <x v="1"/>
    <x v="4"/>
    <n v="3"/>
    <n v="0.37"/>
    <x v="4"/>
  </r>
  <r>
    <s v="deadc085-ed13-47fb-81b4-45eadc08353d"/>
    <n v="32"/>
    <x v="0"/>
    <x v="0"/>
    <x v="0"/>
    <n v="7.07"/>
    <n v="21"/>
    <x v="0"/>
    <x v="3"/>
    <n v="13.99"/>
    <x v="0"/>
    <x v="0"/>
    <n v="1"/>
    <n v="0.32"/>
    <x v="2"/>
  </r>
  <r>
    <s v="c1c6bed5-6167-4c79-bd6f-4c27851ce580"/>
    <n v="20"/>
    <x v="1"/>
    <x v="2"/>
    <x v="1"/>
    <n v="3.26"/>
    <n v="32"/>
    <x v="1"/>
    <x v="2"/>
    <n v="17.989999999999998"/>
    <x v="1"/>
    <x v="3"/>
    <n v="2"/>
    <n v="0.1"/>
    <x v="3"/>
  </r>
  <r>
    <s v="c4da46c8-aadf-4aca-98c3-b2e9422c1e93"/>
    <n v="33"/>
    <x v="0"/>
    <x v="2"/>
    <x v="0"/>
    <n v="4.63"/>
    <n v="0"/>
    <x v="1"/>
    <x v="0"/>
    <n v="13.99"/>
    <x v="0"/>
    <x v="1"/>
    <n v="1"/>
    <n v="4.63"/>
    <x v="6"/>
  </r>
  <r>
    <s v="20971458-c879-4bdc-bf4f-6a4758552a35"/>
    <n v="33"/>
    <x v="0"/>
    <x v="2"/>
    <x v="2"/>
    <n v="21.02"/>
    <n v="45"/>
    <x v="0"/>
    <x v="3"/>
    <n v="8.99"/>
    <x v="1"/>
    <x v="4"/>
    <n v="1"/>
    <n v="0.46"/>
    <x v="0"/>
  </r>
  <r>
    <s v="55125abd-2493-40cf-8843-604709af81e7"/>
    <n v="29"/>
    <x v="0"/>
    <x v="0"/>
    <x v="1"/>
    <n v="5.97"/>
    <n v="2"/>
    <x v="1"/>
    <x v="4"/>
    <n v="17.989999999999998"/>
    <x v="0"/>
    <x v="3"/>
    <n v="4"/>
    <n v="1.99"/>
    <x v="3"/>
  </r>
  <r>
    <s v="24d6f90a-ea1f-44cb-a83b-4d3d53c4d152"/>
    <n v="34"/>
    <x v="0"/>
    <x v="0"/>
    <x v="0"/>
    <n v="0.22"/>
    <n v="52"/>
    <x v="5"/>
    <x v="4"/>
    <n v="13.99"/>
    <x v="1"/>
    <x v="3"/>
    <n v="4"/>
    <n v="0"/>
    <x v="5"/>
  </r>
  <r>
    <s v="a525e81a-ceac-45bf-9aaf-312b292c0ab2"/>
    <n v="23"/>
    <x v="1"/>
    <x v="1"/>
    <x v="0"/>
    <n v="20.75"/>
    <n v="51"/>
    <x v="0"/>
    <x v="3"/>
    <n v="13.99"/>
    <x v="0"/>
    <x v="2"/>
    <n v="4"/>
    <n v="0.4"/>
    <x v="5"/>
  </r>
  <r>
    <s v="3db02ad4-41a1-4582-975d-a3a19e873c5a"/>
    <n v="20"/>
    <x v="1"/>
    <x v="0"/>
    <x v="1"/>
    <n v="9.92"/>
    <n v="25"/>
    <x v="4"/>
    <x v="3"/>
    <n v="17.989999999999998"/>
    <x v="0"/>
    <x v="4"/>
    <n v="2"/>
    <n v="0.38"/>
    <x v="6"/>
  </r>
  <r>
    <s v="39c2f74d-e634-4686-b4a4-7f3617f6db10"/>
    <n v="28"/>
    <x v="0"/>
    <x v="0"/>
    <x v="1"/>
    <n v="0.12"/>
    <n v="9"/>
    <x v="1"/>
    <x v="0"/>
    <n v="17.989999999999998"/>
    <x v="1"/>
    <x v="0"/>
    <n v="2"/>
    <n v="0.01"/>
    <x v="4"/>
  </r>
  <r>
    <s v="18c08dd6-5cd2-49ff-b9d4-d1e5d3b4aaf1"/>
    <n v="29"/>
    <x v="0"/>
    <x v="2"/>
    <x v="0"/>
    <n v="11.46"/>
    <n v="54"/>
    <x v="4"/>
    <x v="1"/>
    <n v="13.99"/>
    <x v="1"/>
    <x v="4"/>
    <n v="4"/>
    <n v="0.21"/>
    <x v="0"/>
  </r>
  <r>
    <s v="33a14e13-98be-4886-8707-28184c66ae0d"/>
    <n v="33"/>
    <x v="0"/>
    <x v="2"/>
    <x v="1"/>
    <n v="13.95"/>
    <n v="53"/>
    <x v="4"/>
    <x v="1"/>
    <n v="17.989999999999998"/>
    <x v="0"/>
    <x v="2"/>
    <n v="4"/>
    <n v="0.26"/>
    <x v="2"/>
  </r>
  <r>
    <s v="2d41aa15-7acd-4ab4-b5df-2d6a316ddb17"/>
    <n v="27"/>
    <x v="0"/>
    <x v="0"/>
    <x v="0"/>
    <n v="33.25"/>
    <n v="34"/>
    <x v="2"/>
    <x v="1"/>
    <n v="13.99"/>
    <x v="0"/>
    <x v="1"/>
    <n v="3"/>
    <n v="0.95"/>
    <x v="5"/>
  </r>
  <r>
    <s v="3f593c64-f2eb-4736-974a-5efadabce25a"/>
    <n v="18"/>
    <x v="1"/>
    <x v="2"/>
    <x v="0"/>
    <n v="3.62"/>
    <n v="20"/>
    <x v="2"/>
    <x v="4"/>
    <n v="13.99"/>
    <x v="1"/>
    <x v="4"/>
    <n v="1"/>
    <n v="0.17"/>
    <x v="6"/>
  </r>
  <r>
    <s v="67b67fc6-7750-44bd-896c-3260f78d8e53"/>
    <n v="29"/>
    <x v="0"/>
    <x v="2"/>
    <x v="2"/>
    <n v="11.32"/>
    <n v="48"/>
    <x v="3"/>
    <x v="0"/>
    <n v="8.99"/>
    <x v="1"/>
    <x v="2"/>
    <n v="2"/>
    <n v="0.23"/>
    <x v="6"/>
  </r>
  <r>
    <s v="f8839f01-4286-4f45-a675-f09d869146c1"/>
    <n v="34"/>
    <x v="0"/>
    <x v="1"/>
    <x v="1"/>
    <n v="1.92"/>
    <n v="44"/>
    <x v="2"/>
    <x v="0"/>
    <n v="17.989999999999998"/>
    <x v="1"/>
    <x v="4"/>
    <n v="2"/>
    <n v="0.04"/>
    <x v="5"/>
  </r>
  <r>
    <s v="3cb37e51-569d-4238-9854-5e659abf16c4"/>
    <n v="18"/>
    <x v="1"/>
    <x v="0"/>
    <x v="1"/>
    <n v="0.82"/>
    <n v="59"/>
    <x v="2"/>
    <x v="4"/>
    <n v="17.989999999999998"/>
    <x v="1"/>
    <x v="3"/>
    <n v="3"/>
    <n v="0.01"/>
    <x v="3"/>
  </r>
  <r>
    <s v="d64c129e-b523-4e14-ab3a-ec621137c3af"/>
    <n v="28"/>
    <x v="0"/>
    <x v="0"/>
    <x v="0"/>
    <n v="6.72"/>
    <n v="15"/>
    <x v="4"/>
    <x v="3"/>
    <n v="13.99"/>
    <x v="0"/>
    <x v="3"/>
    <n v="5"/>
    <n v="0.42"/>
    <x v="1"/>
  </r>
  <r>
    <s v="5299c7dd-6117-44fb-b316-41e3c6ca0e8f"/>
    <n v="34"/>
    <x v="0"/>
    <x v="1"/>
    <x v="1"/>
    <n v="16.670000000000002"/>
    <n v="11"/>
    <x v="0"/>
    <x v="4"/>
    <n v="17.989999999999998"/>
    <x v="0"/>
    <x v="0"/>
    <n v="1"/>
    <n v="1.39"/>
    <x v="3"/>
  </r>
  <r>
    <s v="187a5666-9d16-459c-a524-35b1789ba1ae"/>
    <n v="32"/>
    <x v="0"/>
    <x v="2"/>
    <x v="0"/>
    <n v="15.29"/>
    <n v="23"/>
    <x v="0"/>
    <x v="4"/>
    <n v="13.99"/>
    <x v="0"/>
    <x v="2"/>
    <n v="5"/>
    <n v="0.64"/>
    <x v="5"/>
  </r>
  <r>
    <s v="79b3f0bd-b45f-444d-a121-5b7a374c0780"/>
    <n v="21"/>
    <x v="1"/>
    <x v="0"/>
    <x v="2"/>
    <n v="17.28"/>
    <n v="18"/>
    <x v="3"/>
    <x v="2"/>
    <n v="8.99"/>
    <x v="0"/>
    <x v="3"/>
    <n v="4"/>
    <n v="0.91"/>
    <x v="5"/>
  </r>
  <r>
    <s v="4beaf71e-a65e-4ddd-a643-c8e5acf5bd55"/>
    <n v="22"/>
    <x v="1"/>
    <x v="2"/>
    <x v="2"/>
    <n v="20.87"/>
    <n v="45"/>
    <x v="5"/>
    <x v="4"/>
    <n v="8.99"/>
    <x v="1"/>
    <x v="3"/>
    <n v="1"/>
    <n v="0.45"/>
    <x v="0"/>
  </r>
  <r>
    <s v="76a7587e-4288-4134-acd3-1c161865573a"/>
    <n v="19"/>
    <x v="1"/>
    <x v="0"/>
    <x v="0"/>
    <n v="8.85"/>
    <n v="20"/>
    <x v="5"/>
    <x v="1"/>
    <n v="13.99"/>
    <x v="0"/>
    <x v="3"/>
    <n v="4"/>
    <n v="0.42"/>
    <x v="0"/>
  </r>
  <r>
    <s v="3bca6390-0c4b-4f47-a993-8e49139361c3"/>
    <n v="18"/>
    <x v="1"/>
    <x v="0"/>
    <x v="0"/>
    <n v="2.2599999999999998"/>
    <n v="48"/>
    <x v="3"/>
    <x v="3"/>
    <n v="13.99"/>
    <x v="1"/>
    <x v="3"/>
    <n v="1"/>
    <n v="0.05"/>
    <x v="3"/>
  </r>
  <r>
    <s v="f6aa3008-2137-480e-ac38-70d58514af59"/>
    <n v="21"/>
    <x v="1"/>
    <x v="1"/>
    <x v="1"/>
    <n v="16.71"/>
    <n v="12"/>
    <x v="4"/>
    <x v="3"/>
    <n v="17.989999999999998"/>
    <x v="0"/>
    <x v="2"/>
    <n v="3"/>
    <n v="1.29"/>
    <x v="6"/>
  </r>
  <r>
    <s v="9127fd59-f25d-4b74-a710-7f60b1804252"/>
    <n v="29"/>
    <x v="0"/>
    <x v="2"/>
    <x v="1"/>
    <n v="1.61"/>
    <n v="59"/>
    <x v="4"/>
    <x v="3"/>
    <n v="17.989999999999998"/>
    <x v="1"/>
    <x v="2"/>
    <n v="2"/>
    <n v="0.03"/>
    <x v="2"/>
  </r>
  <r>
    <s v="7d756761-f638-4e9b-8c0a-00492281d68d"/>
    <n v="28"/>
    <x v="0"/>
    <x v="1"/>
    <x v="0"/>
    <n v="9.61"/>
    <n v="50"/>
    <x v="4"/>
    <x v="2"/>
    <n v="13.99"/>
    <x v="1"/>
    <x v="0"/>
    <n v="4"/>
    <n v="0.19"/>
    <x v="0"/>
  </r>
  <r>
    <s v="466eaa12-9e20-4d53-860f-a8dccfb242b8"/>
    <n v="25"/>
    <x v="0"/>
    <x v="0"/>
    <x v="2"/>
    <n v="5.49"/>
    <n v="41"/>
    <x v="5"/>
    <x v="3"/>
    <n v="8.99"/>
    <x v="1"/>
    <x v="1"/>
    <n v="3"/>
    <n v="0.13"/>
    <x v="5"/>
  </r>
  <r>
    <s v="4e091ec6-3c1b-4649-aed7-cf99cc9da60d"/>
    <n v="29"/>
    <x v="0"/>
    <x v="0"/>
    <x v="0"/>
    <n v="4.88"/>
    <n v="39"/>
    <x v="5"/>
    <x v="2"/>
    <n v="13.99"/>
    <x v="1"/>
    <x v="2"/>
    <n v="4"/>
    <n v="0.12"/>
    <x v="2"/>
  </r>
  <r>
    <s v="ca44d69c-f059-423e-82e2-65550f1314be"/>
    <n v="31"/>
    <x v="0"/>
    <x v="0"/>
    <x v="2"/>
    <n v="9.44"/>
    <n v="46"/>
    <x v="0"/>
    <x v="4"/>
    <n v="8.99"/>
    <x v="1"/>
    <x v="3"/>
    <n v="2"/>
    <n v="0.2"/>
    <x v="3"/>
  </r>
  <r>
    <s v="07b638bb-a4bf-4938-9b81-3160ecf59053"/>
    <n v="27"/>
    <x v="0"/>
    <x v="1"/>
    <x v="2"/>
    <n v="5.84"/>
    <n v="42"/>
    <x v="1"/>
    <x v="2"/>
    <n v="8.99"/>
    <x v="1"/>
    <x v="0"/>
    <n v="1"/>
    <n v="0.14000000000000001"/>
    <x v="2"/>
  </r>
  <r>
    <s v="fe5bdcb9-aa57-47ff-b123-33e4842057da"/>
    <n v="29"/>
    <x v="0"/>
    <x v="0"/>
    <x v="2"/>
    <n v="12.37"/>
    <n v="44"/>
    <x v="5"/>
    <x v="2"/>
    <n v="8.99"/>
    <x v="1"/>
    <x v="4"/>
    <n v="3"/>
    <n v="0.27"/>
    <x v="0"/>
  </r>
  <r>
    <s v="834274e5-cea9-4d78-a673-89b85674de2a"/>
    <n v="27"/>
    <x v="0"/>
    <x v="2"/>
    <x v="2"/>
    <n v="6.11"/>
    <n v="35"/>
    <x v="0"/>
    <x v="2"/>
    <n v="8.99"/>
    <x v="1"/>
    <x v="2"/>
    <n v="3"/>
    <n v="0.17"/>
    <x v="6"/>
  </r>
  <r>
    <s v="e0306a29-e5de-43f9-a455-6955498cd3ed"/>
    <n v="31"/>
    <x v="0"/>
    <x v="1"/>
    <x v="0"/>
    <n v="0.67"/>
    <n v="22"/>
    <x v="5"/>
    <x v="0"/>
    <n v="13.99"/>
    <x v="1"/>
    <x v="4"/>
    <n v="5"/>
    <n v="0.03"/>
    <x v="0"/>
  </r>
  <r>
    <s v="ab2d8fa6-2f40-4122-ae99-bf400c1301b1"/>
    <n v="19"/>
    <x v="1"/>
    <x v="2"/>
    <x v="1"/>
    <n v="5.04"/>
    <n v="22"/>
    <x v="1"/>
    <x v="3"/>
    <n v="17.989999999999998"/>
    <x v="0"/>
    <x v="1"/>
    <n v="1"/>
    <n v="0.22"/>
    <x v="3"/>
  </r>
  <r>
    <s v="fbdb9c05-f713-42da-acbc-426247e3dae8"/>
    <n v="20"/>
    <x v="1"/>
    <x v="1"/>
    <x v="2"/>
    <n v="26.06"/>
    <n v="1"/>
    <x v="1"/>
    <x v="2"/>
    <n v="8.99"/>
    <x v="0"/>
    <x v="1"/>
    <n v="1"/>
    <n v="13.03"/>
    <x v="6"/>
  </r>
  <r>
    <s v="4b34b055-d1b3-401e-8b73-b8c3297396d0"/>
    <n v="25"/>
    <x v="0"/>
    <x v="2"/>
    <x v="0"/>
    <n v="5.73"/>
    <n v="37"/>
    <x v="3"/>
    <x v="1"/>
    <n v="13.99"/>
    <x v="1"/>
    <x v="1"/>
    <n v="1"/>
    <n v="0.15"/>
    <x v="5"/>
  </r>
  <r>
    <s v="794a55aa-41e8-4973-a92d-e694ac1d2c10"/>
    <n v="18"/>
    <x v="1"/>
    <x v="1"/>
    <x v="1"/>
    <n v="12.72"/>
    <n v="15"/>
    <x v="1"/>
    <x v="4"/>
    <n v="17.989999999999998"/>
    <x v="0"/>
    <x v="1"/>
    <n v="1"/>
    <n v="0.8"/>
    <x v="3"/>
  </r>
  <r>
    <s v="8ca9ce9b-95f1-480a-bdf8-7ab9b97535ce"/>
    <n v="30"/>
    <x v="0"/>
    <x v="0"/>
    <x v="0"/>
    <n v="15.45"/>
    <n v="11"/>
    <x v="1"/>
    <x v="2"/>
    <n v="13.99"/>
    <x v="0"/>
    <x v="2"/>
    <n v="1"/>
    <n v="1.29"/>
    <x v="6"/>
  </r>
  <r>
    <s v="604f83af-4c1b-4e00-897c-82ce3d3a5727"/>
    <n v="22"/>
    <x v="1"/>
    <x v="2"/>
    <x v="2"/>
    <n v="4.6399999999999997"/>
    <n v="30"/>
    <x v="1"/>
    <x v="0"/>
    <n v="8.99"/>
    <x v="1"/>
    <x v="0"/>
    <n v="3"/>
    <n v="0.15"/>
    <x v="6"/>
  </r>
  <r>
    <s v="58540f35-ed97-4eef-9638-9039f8eddb3d"/>
    <n v="30"/>
    <x v="0"/>
    <x v="2"/>
    <x v="0"/>
    <n v="3.17"/>
    <n v="24"/>
    <x v="5"/>
    <x v="4"/>
    <n v="13.99"/>
    <x v="0"/>
    <x v="3"/>
    <n v="5"/>
    <n v="0.13"/>
    <x v="1"/>
  </r>
  <r>
    <s v="2b59d33a-1b53-4131-a0d5-4d3e56e07d85"/>
    <n v="29"/>
    <x v="0"/>
    <x v="1"/>
    <x v="0"/>
    <n v="1.6"/>
    <n v="7"/>
    <x v="0"/>
    <x v="4"/>
    <n v="13.99"/>
    <x v="0"/>
    <x v="1"/>
    <n v="4"/>
    <n v="0.2"/>
    <x v="6"/>
  </r>
  <r>
    <s v="02421d84-5f78-429d-a2f6-be81c656dc0a"/>
    <n v="20"/>
    <x v="1"/>
    <x v="2"/>
    <x v="2"/>
    <n v="16.96"/>
    <n v="53"/>
    <x v="4"/>
    <x v="4"/>
    <n v="8.99"/>
    <x v="1"/>
    <x v="4"/>
    <n v="1"/>
    <n v="0.31"/>
    <x v="3"/>
  </r>
  <r>
    <s v="5bc33d7d-2258-438c-9c77-7cfb0af09acb"/>
    <n v="21"/>
    <x v="1"/>
    <x v="1"/>
    <x v="1"/>
    <n v="8.5299999999999994"/>
    <n v="36"/>
    <x v="1"/>
    <x v="1"/>
    <n v="17.989999999999998"/>
    <x v="1"/>
    <x v="0"/>
    <n v="4"/>
    <n v="0.23"/>
    <x v="4"/>
  </r>
  <r>
    <s v="56e385b7-755f-4c91-917e-0a5a60db358a"/>
    <n v="31"/>
    <x v="0"/>
    <x v="1"/>
    <x v="0"/>
    <n v="18.09"/>
    <n v="34"/>
    <x v="1"/>
    <x v="0"/>
    <n v="13.99"/>
    <x v="0"/>
    <x v="4"/>
    <n v="4"/>
    <n v="0.52"/>
    <x v="3"/>
  </r>
  <r>
    <s v="d78f5876-1525-463f-9790-58f96401020d"/>
    <n v="31"/>
    <x v="0"/>
    <x v="0"/>
    <x v="2"/>
    <n v="9.11"/>
    <n v="51"/>
    <x v="2"/>
    <x v="1"/>
    <n v="8.99"/>
    <x v="1"/>
    <x v="3"/>
    <n v="3"/>
    <n v="0.18"/>
    <x v="1"/>
  </r>
  <r>
    <s v="5e5dcb10-52c2-4611-b0a2-c083f94dde3c"/>
    <n v="31"/>
    <x v="0"/>
    <x v="0"/>
    <x v="2"/>
    <n v="6.71"/>
    <n v="7"/>
    <x v="2"/>
    <x v="4"/>
    <n v="8.99"/>
    <x v="0"/>
    <x v="0"/>
    <n v="5"/>
    <n v="0.84"/>
    <x v="6"/>
  </r>
  <r>
    <s v="31a08a9f-e3b2-46ed-80fc-4cdc63f2e593"/>
    <n v="22"/>
    <x v="1"/>
    <x v="2"/>
    <x v="0"/>
    <n v="7.67"/>
    <n v="53"/>
    <x v="2"/>
    <x v="0"/>
    <n v="13.99"/>
    <x v="1"/>
    <x v="0"/>
    <n v="3"/>
    <n v="0.14000000000000001"/>
    <x v="5"/>
  </r>
  <r>
    <s v="8643fbb4-e91f-40d3-bb3d-9da4cf47d8d2"/>
    <n v="20"/>
    <x v="1"/>
    <x v="2"/>
    <x v="2"/>
    <n v="0.61"/>
    <n v="3"/>
    <x v="0"/>
    <x v="1"/>
    <n v="8.99"/>
    <x v="1"/>
    <x v="3"/>
    <n v="3"/>
    <n v="0.15"/>
    <x v="5"/>
  </r>
  <r>
    <s v="e8e4d4ec-8d71-4f31-9a49-18b68cb209b8"/>
    <n v="32"/>
    <x v="0"/>
    <x v="1"/>
    <x v="1"/>
    <n v="9.15"/>
    <n v="58"/>
    <x v="1"/>
    <x v="4"/>
    <n v="17.989999999999998"/>
    <x v="1"/>
    <x v="2"/>
    <n v="2"/>
    <n v="0.16"/>
    <x v="4"/>
  </r>
  <r>
    <s v="bdeb4f47-097c-49b8-956a-d9fa25802324"/>
    <n v="21"/>
    <x v="1"/>
    <x v="1"/>
    <x v="1"/>
    <n v="6.27"/>
    <n v="53"/>
    <x v="4"/>
    <x v="3"/>
    <n v="17.989999999999998"/>
    <x v="1"/>
    <x v="0"/>
    <n v="5"/>
    <n v="0.12"/>
    <x v="4"/>
  </r>
  <r>
    <s v="ca235c75-ef56-4b6e-b147-144484fc7a68"/>
    <n v="18"/>
    <x v="1"/>
    <x v="0"/>
    <x v="2"/>
    <n v="4.37"/>
    <n v="46"/>
    <x v="1"/>
    <x v="0"/>
    <n v="8.99"/>
    <x v="1"/>
    <x v="3"/>
    <n v="1"/>
    <n v="0.09"/>
    <x v="3"/>
  </r>
  <r>
    <s v="e7be6384-c0d8-4762-8490-1242e245f14a"/>
    <n v="26"/>
    <x v="0"/>
    <x v="2"/>
    <x v="0"/>
    <n v="10.42"/>
    <n v="28"/>
    <x v="2"/>
    <x v="1"/>
    <n v="13.99"/>
    <x v="0"/>
    <x v="0"/>
    <n v="1"/>
    <n v="0.36"/>
    <x v="1"/>
  </r>
  <r>
    <s v="f58d7d36-bc85-44c4-b74a-e7de9cf5104a"/>
    <n v="19"/>
    <x v="1"/>
    <x v="0"/>
    <x v="1"/>
    <n v="0.1"/>
    <n v="24"/>
    <x v="3"/>
    <x v="2"/>
    <n v="17.989999999999998"/>
    <x v="0"/>
    <x v="1"/>
    <n v="5"/>
    <n v="0"/>
    <x v="6"/>
  </r>
  <r>
    <s v="094fe1ea-c59b-434b-afd9-be895740dea7"/>
    <n v="23"/>
    <x v="1"/>
    <x v="1"/>
    <x v="1"/>
    <n v="33.47"/>
    <n v="29"/>
    <x v="1"/>
    <x v="1"/>
    <n v="17.989999999999998"/>
    <x v="0"/>
    <x v="3"/>
    <n v="3"/>
    <n v="1.1200000000000001"/>
    <x v="4"/>
  </r>
  <r>
    <s v="234a89e9-0793-4c4b-8855-8afaf76b3bc7"/>
    <n v="19"/>
    <x v="1"/>
    <x v="0"/>
    <x v="1"/>
    <n v="1.73"/>
    <n v="22"/>
    <x v="5"/>
    <x v="1"/>
    <n v="17.989999999999998"/>
    <x v="1"/>
    <x v="2"/>
    <n v="3"/>
    <n v="0.08"/>
    <x v="6"/>
  </r>
  <r>
    <s v="7a889b45-8ea4-416d-b58f-d38b5eb7ea45"/>
    <n v="30"/>
    <x v="0"/>
    <x v="2"/>
    <x v="2"/>
    <n v="0.25"/>
    <n v="29"/>
    <x v="1"/>
    <x v="4"/>
    <n v="8.99"/>
    <x v="1"/>
    <x v="4"/>
    <n v="2"/>
    <n v="0.01"/>
    <x v="1"/>
  </r>
  <r>
    <s v="6818695a-d9b5-47c0-98dc-c1b0c1c379ce"/>
    <n v="22"/>
    <x v="1"/>
    <x v="1"/>
    <x v="1"/>
    <n v="17.649999999999999"/>
    <n v="9"/>
    <x v="3"/>
    <x v="0"/>
    <n v="17.989999999999998"/>
    <x v="0"/>
    <x v="3"/>
    <n v="2"/>
    <n v="1.76"/>
    <x v="0"/>
  </r>
  <r>
    <s v="eb0251cf-302e-4e08-a31d-a9a5ab2baef3"/>
    <n v="24"/>
    <x v="1"/>
    <x v="1"/>
    <x v="2"/>
    <n v="1.25"/>
    <n v="27"/>
    <x v="2"/>
    <x v="3"/>
    <n v="8.99"/>
    <x v="1"/>
    <x v="2"/>
    <n v="2"/>
    <n v="0.04"/>
    <x v="3"/>
  </r>
  <r>
    <s v="e001f24e-444b-4781-84bf-a90a3b374710"/>
    <n v="26"/>
    <x v="0"/>
    <x v="0"/>
    <x v="2"/>
    <n v="11.36"/>
    <n v="22"/>
    <x v="3"/>
    <x v="1"/>
    <n v="8.99"/>
    <x v="0"/>
    <x v="3"/>
    <n v="2"/>
    <n v="0.49"/>
    <x v="2"/>
  </r>
  <r>
    <s v="0a77605c-e86e-4b72-91a1-7a49969c1ac1"/>
    <n v="18"/>
    <x v="1"/>
    <x v="0"/>
    <x v="2"/>
    <n v="7.65"/>
    <n v="49"/>
    <x v="1"/>
    <x v="3"/>
    <n v="8.99"/>
    <x v="1"/>
    <x v="1"/>
    <n v="1"/>
    <n v="0.15"/>
    <x v="0"/>
  </r>
  <r>
    <s v="17edb2d1-c14b-4e51-a874-2f1658336201"/>
    <n v="29"/>
    <x v="0"/>
    <x v="0"/>
    <x v="0"/>
    <n v="6.87"/>
    <n v="27"/>
    <x v="3"/>
    <x v="4"/>
    <n v="13.99"/>
    <x v="0"/>
    <x v="4"/>
    <n v="4"/>
    <n v="0.25"/>
    <x v="4"/>
  </r>
  <r>
    <s v="5eaaffbf-db92-48f4-88e2-6d0924f6bc9c"/>
    <n v="20"/>
    <x v="1"/>
    <x v="1"/>
    <x v="1"/>
    <n v="25.68"/>
    <n v="3"/>
    <x v="0"/>
    <x v="1"/>
    <n v="17.989999999999998"/>
    <x v="0"/>
    <x v="2"/>
    <n v="5"/>
    <n v="6.42"/>
    <x v="1"/>
  </r>
  <r>
    <s v="1a3b4d35-f6d2-4645-a156-55305464e7ae"/>
    <n v="26"/>
    <x v="0"/>
    <x v="2"/>
    <x v="1"/>
    <n v="13.17"/>
    <n v="37"/>
    <x v="2"/>
    <x v="4"/>
    <n v="17.989999999999998"/>
    <x v="0"/>
    <x v="2"/>
    <n v="4"/>
    <n v="0.35"/>
    <x v="3"/>
  </r>
  <r>
    <s v="c40c9949-8c3e-4002-9ad3-3e98abf9d759"/>
    <n v="33"/>
    <x v="0"/>
    <x v="1"/>
    <x v="0"/>
    <n v="11.4"/>
    <n v="42"/>
    <x v="4"/>
    <x v="3"/>
    <n v="13.99"/>
    <x v="1"/>
    <x v="0"/>
    <n v="4"/>
    <n v="0.27"/>
    <x v="3"/>
  </r>
  <r>
    <s v="629cdfb3-3b30-4a6d-8112-8a323da83e34"/>
    <n v="33"/>
    <x v="0"/>
    <x v="2"/>
    <x v="0"/>
    <n v="6.6"/>
    <n v="55"/>
    <x v="1"/>
    <x v="3"/>
    <n v="13.99"/>
    <x v="1"/>
    <x v="4"/>
    <n v="2"/>
    <n v="0.12"/>
    <x v="5"/>
  </r>
  <r>
    <s v="9e095556-c0fe-4ebd-9e42-00fdbd49a5e6"/>
    <n v="19"/>
    <x v="1"/>
    <x v="0"/>
    <x v="1"/>
    <n v="8.2899999999999991"/>
    <n v="28"/>
    <x v="1"/>
    <x v="0"/>
    <n v="17.989999999999998"/>
    <x v="0"/>
    <x v="0"/>
    <n v="5"/>
    <n v="0.28999999999999998"/>
    <x v="0"/>
  </r>
  <r>
    <s v="5db3f1f4-2a78-4905-a404-38b184a190d4"/>
    <n v="19"/>
    <x v="1"/>
    <x v="1"/>
    <x v="2"/>
    <n v="4.42"/>
    <n v="0"/>
    <x v="1"/>
    <x v="1"/>
    <n v="8.99"/>
    <x v="0"/>
    <x v="2"/>
    <n v="3"/>
    <n v="4.42"/>
    <x v="0"/>
  </r>
  <r>
    <s v="9253a50a-fd90-4a43-a419-1a8725cdaaad"/>
    <n v="27"/>
    <x v="0"/>
    <x v="1"/>
    <x v="0"/>
    <n v="10.69"/>
    <n v="4"/>
    <x v="0"/>
    <x v="2"/>
    <n v="13.99"/>
    <x v="0"/>
    <x v="0"/>
    <n v="3"/>
    <n v="2.14"/>
    <x v="0"/>
  </r>
  <r>
    <s v="2cea2e6f-6ac0-451e-bc97-28c032b6431b"/>
    <n v="26"/>
    <x v="0"/>
    <x v="0"/>
    <x v="1"/>
    <n v="2.92"/>
    <n v="32"/>
    <x v="2"/>
    <x v="4"/>
    <n v="17.989999999999998"/>
    <x v="1"/>
    <x v="0"/>
    <n v="2"/>
    <n v="0.09"/>
    <x v="6"/>
  </r>
  <r>
    <s v="2e6ffbc2-aaf8-41c1-9d30-47ae9260fb4b"/>
    <n v="19"/>
    <x v="1"/>
    <x v="0"/>
    <x v="1"/>
    <n v="7.43"/>
    <n v="10"/>
    <x v="1"/>
    <x v="4"/>
    <n v="17.989999999999998"/>
    <x v="0"/>
    <x v="1"/>
    <n v="4"/>
    <n v="0.68"/>
    <x v="0"/>
  </r>
  <r>
    <s v="286e9bc1-b9d2-4d4d-9b46-8f823a170139"/>
    <n v="34"/>
    <x v="0"/>
    <x v="0"/>
    <x v="0"/>
    <n v="0.32"/>
    <n v="58"/>
    <x v="0"/>
    <x v="2"/>
    <n v="13.99"/>
    <x v="1"/>
    <x v="4"/>
    <n v="1"/>
    <n v="0.01"/>
    <x v="1"/>
  </r>
  <r>
    <s v="6e498648-f7cf-4fd0-9315-df66b413fba8"/>
    <n v="32"/>
    <x v="0"/>
    <x v="0"/>
    <x v="2"/>
    <n v="8.94"/>
    <n v="6"/>
    <x v="4"/>
    <x v="3"/>
    <n v="8.99"/>
    <x v="0"/>
    <x v="0"/>
    <n v="5"/>
    <n v="1.28"/>
    <x v="3"/>
  </r>
  <r>
    <s v="0acb8995-d92d-46a1-b80a-2c5d7fac4df3"/>
    <n v="21"/>
    <x v="1"/>
    <x v="2"/>
    <x v="2"/>
    <n v="11.25"/>
    <n v="59"/>
    <x v="2"/>
    <x v="2"/>
    <n v="8.99"/>
    <x v="1"/>
    <x v="1"/>
    <n v="2"/>
    <n v="0.19"/>
    <x v="3"/>
  </r>
  <r>
    <s v="b81c524a-a1a3-4047-a9ca-a656564f9ad2"/>
    <n v="24"/>
    <x v="1"/>
    <x v="1"/>
    <x v="1"/>
    <n v="14.15"/>
    <n v="58"/>
    <x v="1"/>
    <x v="0"/>
    <n v="17.989999999999998"/>
    <x v="1"/>
    <x v="3"/>
    <n v="1"/>
    <n v="0.24"/>
    <x v="4"/>
  </r>
  <r>
    <s v="3cbf2873-561b-4ef3-a946-fc8693dab3bc"/>
    <n v="25"/>
    <x v="0"/>
    <x v="1"/>
    <x v="0"/>
    <n v="18.23"/>
    <n v="26"/>
    <x v="3"/>
    <x v="3"/>
    <n v="13.99"/>
    <x v="0"/>
    <x v="3"/>
    <n v="2"/>
    <n v="0.68"/>
    <x v="2"/>
  </r>
  <r>
    <s v="7492f32f-8c97-4a80-81ad-78749329c8f3"/>
    <n v="29"/>
    <x v="0"/>
    <x v="0"/>
    <x v="0"/>
    <n v="1.1200000000000001"/>
    <n v="60"/>
    <x v="0"/>
    <x v="3"/>
    <n v="13.99"/>
    <x v="1"/>
    <x v="3"/>
    <n v="5"/>
    <n v="0.02"/>
    <x v="2"/>
  </r>
  <r>
    <s v="ad0caecf-9b95-4921-8a81-7bb311564c2a"/>
    <n v="26"/>
    <x v="0"/>
    <x v="2"/>
    <x v="0"/>
    <n v="0.89"/>
    <n v="25"/>
    <x v="2"/>
    <x v="0"/>
    <n v="13.99"/>
    <x v="1"/>
    <x v="2"/>
    <n v="2"/>
    <n v="0.03"/>
    <x v="3"/>
  </r>
  <r>
    <s v="f916f25f-2303-4145-af99-99a0b8e8de5b"/>
    <n v="22"/>
    <x v="1"/>
    <x v="2"/>
    <x v="2"/>
    <n v="0.75"/>
    <n v="10"/>
    <x v="2"/>
    <x v="2"/>
    <n v="8.99"/>
    <x v="1"/>
    <x v="4"/>
    <n v="3"/>
    <n v="7.0000000000000007E-2"/>
    <x v="6"/>
  </r>
  <r>
    <s v="9212f1ee-8fcc-49de-9379-496677369ec0"/>
    <n v="29"/>
    <x v="0"/>
    <x v="2"/>
    <x v="0"/>
    <n v="35.97"/>
    <n v="10"/>
    <x v="2"/>
    <x v="3"/>
    <n v="13.99"/>
    <x v="0"/>
    <x v="1"/>
    <n v="4"/>
    <n v="3.27"/>
    <x v="4"/>
  </r>
  <r>
    <s v="e60d2e98-1236-4d67-aa6c-b5b3ca28e7a0"/>
    <n v="29"/>
    <x v="0"/>
    <x v="2"/>
    <x v="2"/>
    <n v="14.23"/>
    <n v="4"/>
    <x v="1"/>
    <x v="3"/>
    <n v="8.99"/>
    <x v="0"/>
    <x v="2"/>
    <n v="2"/>
    <n v="2.85"/>
    <x v="5"/>
  </r>
  <r>
    <s v="d6dbab58-a030-43a9-9873-06b044b65052"/>
    <n v="24"/>
    <x v="1"/>
    <x v="0"/>
    <x v="1"/>
    <n v="42.14"/>
    <n v="8"/>
    <x v="2"/>
    <x v="1"/>
    <n v="17.989999999999998"/>
    <x v="0"/>
    <x v="4"/>
    <n v="3"/>
    <n v="4.68"/>
    <x v="2"/>
  </r>
  <r>
    <s v="10b310c8-dca5-4bbc-a54e-696beba345f2"/>
    <n v="19"/>
    <x v="1"/>
    <x v="2"/>
    <x v="0"/>
    <n v="6.08"/>
    <n v="44"/>
    <x v="3"/>
    <x v="2"/>
    <n v="13.99"/>
    <x v="1"/>
    <x v="0"/>
    <n v="1"/>
    <n v="0.14000000000000001"/>
    <x v="0"/>
  </r>
  <r>
    <s v="795a4e3f-5b2a-4d74-94c7-0879c68f7140"/>
    <n v="20"/>
    <x v="1"/>
    <x v="2"/>
    <x v="0"/>
    <n v="5.0599999999999996"/>
    <n v="25"/>
    <x v="0"/>
    <x v="0"/>
    <n v="13.99"/>
    <x v="0"/>
    <x v="4"/>
    <n v="4"/>
    <n v="0.19"/>
    <x v="5"/>
  </r>
  <r>
    <s v="5eb42c33-ba38-441a-8c46-55726449543b"/>
    <n v="26"/>
    <x v="0"/>
    <x v="0"/>
    <x v="0"/>
    <n v="11.7"/>
    <n v="7"/>
    <x v="4"/>
    <x v="4"/>
    <n v="13.99"/>
    <x v="0"/>
    <x v="0"/>
    <n v="5"/>
    <n v="1.46"/>
    <x v="3"/>
  </r>
  <r>
    <s v="1f0e4cc1-431d-4fbe-89ca-3bd42241cd29"/>
    <n v="28"/>
    <x v="0"/>
    <x v="1"/>
    <x v="0"/>
    <n v="2.06"/>
    <n v="59"/>
    <x v="0"/>
    <x v="2"/>
    <n v="13.99"/>
    <x v="1"/>
    <x v="0"/>
    <n v="2"/>
    <n v="0.03"/>
    <x v="4"/>
  </r>
  <r>
    <s v="2a059484-209d-4e60-8329-4344aac42bbb"/>
    <n v="26"/>
    <x v="0"/>
    <x v="0"/>
    <x v="2"/>
    <n v="11.07"/>
    <n v="54"/>
    <x v="1"/>
    <x v="1"/>
    <n v="8.99"/>
    <x v="1"/>
    <x v="2"/>
    <n v="4"/>
    <n v="0.2"/>
    <x v="0"/>
  </r>
  <r>
    <s v="207f99b4-fa1e-4ed8-ad8e-7fb58d76e1aa"/>
    <n v="26"/>
    <x v="0"/>
    <x v="1"/>
    <x v="2"/>
    <n v="9.9700000000000006"/>
    <n v="37"/>
    <x v="4"/>
    <x v="0"/>
    <n v="8.99"/>
    <x v="1"/>
    <x v="2"/>
    <n v="1"/>
    <n v="0.26"/>
    <x v="0"/>
  </r>
  <r>
    <s v="1a19714f-fc3f-4023-8006-84d562378a9b"/>
    <n v="23"/>
    <x v="1"/>
    <x v="0"/>
    <x v="0"/>
    <n v="0.89"/>
    <n v="18"/>
    <x v="1"/>
    <x v="4"/>
    <n v="13.99"/>
    <x v="1"/>
    <x v="3"/>
    <n v="1"/>
    <n v="0.05"/>
    <x v="3"/>
  </r>
  <r>
    <s v="96506b65-616a-497c-a3e4-888b830db1c3"/>
    <n v="31"/>
    <x v="0"/>
    <x v="1"/>
    <x v="0"/>
    <n v="1.17"/>
    <n v="36"/>
    <x v="1"/>
    <x v="1"/>
    <n v="13.99"/>
    <x v="1"/>
    <x v="3"/>
    <n v="1"/>
    <n v="0.03"/>
    <x v="1"/>
  </r>
  <r>
    <s v="610b1d2e-92ab-4c35-868a-3227a0e36ba5"/>
    <n v="34"/>
    <x v="0"/>
    <x v="2"/>
    <x v="0"/>
    <n v="7.38"/>
    <n v="26"/>
    <x v="2"/>
    <x v="3"/>
    <n v="13.99"/>
    <x v="0"/>
    <x v="1"/>
    <n v="1"/>
    <n v="0.27"/>
    <x v="6"/>
  </r>
  <r>
    <s v="2ce755db-5314-4c64-b00b-ad8c71df90f8"/>
    <n v="21"/>
    <x v="1"/>
    <x v="0"/>
    <x v="0"/>
    <n v="4.17"/>
    <n v="38"/>
    <x v="2"/>
    <x v="2"/>
    <n v="13.99"/>
    <x v="1"/>
    <x v="0"/>
    <n v="1"/>
    <n v="0.11"/>
    <x v="2"/>
  </r>
  <r>
    <s v="905edc2c-831c-4d3a-90e1-c80fd7f63a97"/>
    <n v="29"/>
    <x v="0"/>
    <x v="0"/>
    <x v="1"/>
    <n v="15.26"/>
    <n v="49"/>
    <x v="4"/>
    <x v="4"/>
    <n v="17.989999999999998"/>
    <x v="1"/>
    <x v="2"/>
    <n v="1"/>
    <n v="0.31"/>
    <x v="6"/>
  </r>
  <r>
    <s v="6380741d-7d1c-4c91-8df5-cb4db02fbac7"/>
    <n v="23"/>
    <x v="1"/>
    <x v="2"/>
    <x v="2"/>
    <n v="6.7"/>
    <n v="48"/>
    <x v="4"/>
    <x v="2"/>
    <n v="8.99"/>
    <x v="1"/>
    <x v="2"/>
    <n v="4"/>
    <n v="0.14000000000000001"/>
    <x v="6"/>
  </r>
  <r>
    <s v="a2e3e19d-086e-4e27-9fcd-4677c429156f"/>
    <n v="20"/>
    <x v="1"/>
    <x v="2"/>
    <x v="2"/>
    <n v="0.76"/>
    <n v="28"/>
    <x v="0"/>
    <x v="1"/>
    <n v="8.99"/>
    <x v="1"/>
    <x v="3"/>
    <n v="3"/>
    <n v="0.03"/>
    <x v="0"/>
  </r>
  <r>
    <s v="559d5073-6ed9-4e7a-ab5c-4cabe918406b"/>
    <n v="26"/>
    <x v="0"/>
    <x v="2"/>
    <x v="1"/>
    <n v="6.15"/>
    <n v="42"/>
    <x v="2"/>
    <x v="2"/>
    <n v="17.989999999999998"/>
    <x v="1"/>
    <x v="4"/>
    <n v="2"/>
    <n v="0.14000000000000001"/>
    <x v="0"/>
  </r>
  <r>
    <s v="362b51e7-e0eb-49f2-aa16-2e94b8062820"/>
    <n v="34"/>
    <x v="0"/>
    <x v="2"/>
    <x v="0"/>
    <n v="1.22"/>
    <n v="9"/>
    <x v="4"/>
    <x v="3"/>
    <n v="13.99"/>
    <x v="0"/>
    <x v="1"/>
    <n v="5"/>
    <n v="0.12"/>
    <x v="3"/>
  </r>
  <r>
    <s v="b58920d7-b06e-4602-8f17-6351acee76bb"/>
    <n v="33"/>
    <x v="0"/>
    <x v="0"/>
    <x v="0"/>
    <n v="32.18"/>
    <n v="29"/>
    <x v="2"/>
    <x v="3"/>
    <n v="13.99"/>
    <x v="0"/>
    <x v="3"/>
    <n v="1"/>
    <n v="1.07"/>
    <x v="3"/>
  </r>
  <r>
    <s v="40426e9f-3686-43a6-b231-f0d6d435df43"/>
    <n v="34"/>
    <x v="0"/>
    <x v="2"/>
    <x v="1"/>
    <n v="3.58"/>
    <n v="4"/>
    <x v="1"/>
    <x v="3"/>
    <n v="17.989999999999998"/>
    <x v="0"/>
    <x v="4"/>
    <n v="1"/>
    <n v="0.72"/>
    <x v="6"/>
  </r>
  <r>
    <s v="3fd709e6-3919-422b-a31f-5d087936d68b"/>
    <n v="21"/>
    <x v="1"/>
    <x v="1"/>
    <x v="1"/>
    <n v="6.14"/>
    <n v="7"/>
    <x v="1"/>
    <x v="3"/>
    <n v="17.989999999999998"/>
    <x v="0"/>
    <x v="0"/>
    <n v="4"/>
    <n v="0.77"/>
    <x v="5"/>
  </r>
  <r>
    <s v="cd226887-22a7-4f48-ab87-03e7b874b9cb"/>
    <n v="20"/>
    <x v="1"/>
    <x v="1"/>
    <x v="0"/>
    <n v="5.31"/>
    <n v="25"/>
    <x v="0"/>
    <x v="0"/>
    <n v="13.99"/>
    <x v="0"/>
    <x v="2"/>
    <n v="3"/>
    <n v="0.2"/>
    <x v="1"/>
  </r>
  <r>
    <s v="2eba8457-300a-470e-add1-a90f68e6b02a"/>
    <n v="31"/>
    <x v="0"/>
    <x v="1"/>
    <x v="2"/>
    <n v="2.36"/>
    <n v="46"/>
    <x v="4"/>
    <x v="0"/>
    <n v="8.99"/>
    <x v="1"/>
    <x v="2"/>
    <n v="2"/>
    <n v="0.05"/>
    <x v="4"/>
  </r>
  <r>
    <s v="64c6a3d1-570a-4835-9f8a-295e5f4f5607"/>
    <n v="32"/>
    <x v="0"/>
    <x v="0"/>
    <x v="0"/>
    <n v="11.47"/>
    <n v="4"/>
    <x v="0"/>
    <x v="1"/>
    <n v="13.99"/>
    <x v="0"/>
    <x v="3"/>
    <n v="1"/>
    <n v="2.29"/>
    <x v="0"/>
  </r>
  <r>
    <s v="3da7720a-a9fb-48f9-835c-45d6eba9a95c"/>
    <n v="19"/>
    <x v="1"/>
    <x v="2"/>
    <x v="1"/>
    <n v="29.48"/>
    <n v="60"/>
    <x v="3"/>
    <x v="1"/>
    <n v="17.989999999999998"/>
    <x v="0"/>
    <x v="4"/>
    <n v="3"/>
    <n v="0.48"/>
    <x v="0"/>
  </r>
  <r>
    <s v="af59c21c-5c00-4051-b1a8-96b84b8c46be"/>
    <n v="26"/>
    <x v="0"/>
    <x v="0"/>
    <x v="1"/>
    <n v="4.78"/>
    <n v="18"/>
    <x v="5"/>
    <x v="2"/>
    <n v="17.989999999999998"/>
    <x v="1"/>
    <x v="4"/>
    <n v="4"/>
    <n v="0.25"/>
    <x v="6"/>
  </r>
  <r>
    <s v="4fc64b59-3f7e-4560-b434-027440fd4e30"/>
    <n v="18"/>
    <x v="1"/>
    <x v="1"/>
    <x v="0"/>
    <n v="4.6399999999999997"/>
    <n v="21"/>
    <x v="4"/>
    <x v="1"/>
    <n v="13.99"/>
    <x v="1"/>
    <x v="1"/>
    <n v="3"/>
    <n v="0.21"/>
    <x v="5"/>
  </r>
  <r>
    <s v="e8dd552e-5b29-4c98-b499-ac4be92ea012"/>
    <n v="33"/>
    <x v="0"/>
    <x v="2"/>
    <x v="0"/>
    <n v="2.71"/>
    <n v="22"/>
    <x v="1"/>
    <x v="2"/>
    <n v="13.99"/>
    <x v="1"/>
    <x v="0"/>
    <n v="3"/>
    <n v="0.12"/>
    <x v="0"/>
  </r>
  <r>
    <s v="1feead91-6d5b-4113-84f7-8a01c3112fa4"/>
    <n v="22"/>
    <x v="1"/>
    <x v="2"/>
    <x v="0"/>
    <n v="13.78"/>
    <n v="0"/>
    <x v="5"/>
    <x v="0"/>
    <n v="13.99"/>
    <x v="0"/>
    <x v="3"/>
    <n v="2"/>
    <n v="13.78"/>
    <x v="6"/>
  </r>
  <r>
    <s v="47fe2c0b-aac3-4406-9d6f-fac41aa6ef9b"/>
    <n v="32"/>
    <x v="0"/>
    <x v="1"/>
    <x v="2"/>
    <n v="41.97"/>
    <n v="34"/>
    <x v="1"/>
    <x v="3"/>
    <n v="8.99"/>
    <x v="0"/>
    <x v="2"/>
    <n v="1"/>
    <n v="1.2"/>
    <x v="2"/>
  </r>
  <r>
    <s v="ea0ee4eb-bc26-492d-a755-e024bd41fc86"/>
    <n v="33"/>
    <x v="0"/>
    <x v="2"/>
    <x v="1"/>
    <n v="12.28"/>
    <n v="43"/>
    <x v="3"/>
    <x v="0"/>
    <n v="17.989999999999998"/>
    <x v="0"/>
    <x v="3"/>
    <n v="4"/>
    <n v="0.28000000000000003"/>
    <x v="1"/>
  </r>
  <r>
    <s v="5ff73d3c-2fab-46f6-9b67-48982872780e"/>
    <n v="25"/>
    <x v="0"/>
    <x v="2"/>
    <x v="1"/>
    <n v="12.73"/>
    <n v="59"/>
    <x v="3"/>
    <x v="0"/>
    <n v="17.989999999999998"/>
    <x v="0"/>
    <x v="3"/>
    <n v="5"/>
    <n v="0.21"/>
    <x v="5"/>
  </r>
  <r>
    <s v="37371173-515b-475e-afc8-832445a40a2a"/>
    <n v="19"/>
    <x v="1"/>
    <x v="2"/>
    <x v="1"/>
    <n v="17.420000000000002"/>
    <n v="40"/>
    <x v="2"/>
    <x v="3"/>
    <n v="17.989999999999998"/>
    <x v="1"/>
    <x v="3"/>
    <n v="3"/>
    <n v="0.42"/>
    <x v="0"/>
  </r>
  <r>
    <s v="1367ea74-884b-4db8-b4be-43a00413f280"/>
    <n v="32"/>
    <x v="0"/>
    <x v="0"/>
    <x v="0"/>
    <n v="5.93"/>
    <n v="41"/>
    <x v="1"/>
    <x v="2"/>
    <n v="13.99"/>
    <x v="0"/>
    <x v="3"/>
    <n v="4"/>
    <n v="0.14000000000000001"/>
    <x v="3"/>
  </r>
  <r>
    <s v="05cc6f25-3ad7-48e3-b37d-cd542f0facd8"/>
    <n v="29"/>
    <x v="0"/>
    <x v="0"/>
    <x v="0"/>
    <n v="6.13"/>
    <n v="9"/>
    <x v="4"/>
    <x v="2"/>
    <n v="13.99"/>
    <x v="0"/>
    <x v="4"/>
    <n v="3"/>
    <n v="0.61"/>
    <x v="6"/>
  </r>
  <r>
    <s v="2773e85d-c7cf-4a74-885e-e2f0d15c50f5"/>
    <n v="21"/>
    <x v="1"/>
    <x v="0"/>
    <x v="1"/>
    <n v="5.25"/>
    <n v="53"/>
    <x v="5"/>
    <x v="4"/>
    <n v="17.989999999999998"/>
    <x v="1"/>
    <x v="1"/>
    <n v="2"/>
    <n v="0.1"/>
    <x v="1"/>
  </r>
  <r>
    <s v="fd0bbc67-8b8e-4ced-ae4b-67e27c0e854e"/>
    <n v="31"/>
    <x v="0"/>
    <x v="2"/>
    <x v="1"/>
    <n v="5.04"/>
    <n v="28"/>
    <x v="1"/>
    <x v="1"/>
    <n v="17.989999999999998"/>
    <x v="0"/>
    <x v="1"/>
    <n v="3"/>
    <n v="0.17"/>
    <x v="6"/>
  </r>
  <r>
    <s v="816f0519-7f1f-4840-b216-b8c08471d1c9"/>
    <n v="31"/>
    <x v="0"/>
    <x v="0"/>
    <x v="1"/>
    <n v="9.9499999999999993"/>
    <n v="6"/>
    <x v="4"/>
    <x v="2"/>
    <n v="17.989999999999998"/>
    <x v="0"/>
    <x v="1"/>
    <n v="2"/>
    <n v="1.42"/>
    <x v="5"/>
  </r>
  <r>
    <s v="a5274505-ce99-404d-91d2-7eb2b196c891"/>
    <n v="20"/>
    <x v="1"/>
    <x v="0"/>
    <x v="1"/>
    <n v="9.9600000000000009"/>
    <n v="17"/>
    <x v="4"/>
    <x v="0"/>
    <n v="17.989999999999998"/>
    <x v="0"/>
    <x v="4"/>
    <n v="4"/>
    <n v="0.55000000000000004"/>
    <x v="2"/>
  </r>
  <r>
    <s v="ab0b6855-52b4-4535-bde3-ef4e0941742b"/>
    <n v="18"/>
    <x v="1"/>
    <x v="2"/>
    <x v="1"/>
    <n v="23.07"/>
    <n v="8"/>
    <x v="2"/>
    <x v="0"/>
    <n v="17.989999999999998"/>
    <x v="0"/>
    <x v="2"/>
    <n v="1"/>
    <n v="2.56"/>
    <x v="0"/>
  </r>
  <r>
    <s v="b69cfa34-4ed4-4990-91ba-4e92acf4365d"/>
    <n v="28"/>
    <x v="0"/>
    <x v="0"/>
    <x v="1"/>
    <n v="28.72"/>
    <n v="40"/>
    <x v="2"/>
    <x v="1"/>
    <n v="17.989999999999998"/>
    <x v="0"/>
    <x v="4"/>
    <n v="2"/>
    <n v="0.7"/>
    <x v="4"/>
  </r>
  <r>
    <s v="9ec86251-a006-474a-a64e-cdca8f8c125d"/>
    <n v="34"/>
    <x v="0"/>
    <x v="1"/>
    <x v="0"/>
    <n v="26.66"/>
    <n v="55"/>
    <x v="4"/>
    <x v="3"/>
    <n v="13.99"/>
    <x v="0"/>
    <x v="3"/>
    <n v="2"/>
    <n v="0.48"/>
    <x v="1"/>
  </r>
  <r>
    <s v="66b059d7-75da-4083-ae90-baf7321930ba"/>
    <n v="29"/>
    <x v="0"/>
    <x v="0"/>
    <x v="2"/>
    <n v="1.88"/>
    <n v="46"/>
    <x v="0"/>
    <x v="3"/>
    <n v="8.99"/>
    <x v="1"/>
    <x v="0"/>
    <n v="4"/>
    <n v="0.04"/>
    <x v="6"/>
  </r>
  <r>
    <s v="3fe2608c-c96b-44ba-9bd4-3b9815ca30a8"/>
    <n v="34"/>
    <x v="0"/>
    <x v="2"/>
    <x v="2"/>
    <n v="12.84"/>
    <n v="42"/>
    <x v="4"/>
    <x v="2"/>
    <n v="8.99"/>
    <x v="1"/>
    <x v="3"/>
    <n v="4"/>
    <n v="0.3"/>
    <x v="6"/>
  </r>
  <r>
    <s v="0518f586-beca-4a14-89bc-b8084bcf6599"/>
    <n v="29"/>
    <x v="0"/>
    <x v="0"/>
    <x v="2"/>
    <n v="18.68"/>
    <n v="51"/>
    <x v="2"/>
    <x v="4"/>
    <n v="8.99"/>
    <x v="1"/>
    <x v="3"/>
    <n v="3"/>
    <n v="0.36"/>
    <x v="6"/>
  </r>
  <r>
    <s v="2841bec1-e995-44c2-a8a3-461e3eb33cb6"/>
    <n v="31"/>
    <x v="0"/>
    <x v="2"/>
    <x v="1"/>
    <n v="2.7"/>
    <n v="51"/>
    <x v="1"/>
    <x v="4"/>
    <n v="17.989999999999998"/>
    <x v="1"/>
    <x v="0"/>
    <n v="5"/>
    <n v="0.05"/>
    <x v="2"/>
  </r>
  <r>
    <s v="79834450-f52d-498e-902b-cb69d3f6c6a4"/>
    <n v="26"/>
    <x v="0"/>
    <x v="0"/>
    <x v="1"/>
    <n v="16.27"/>
    <n v="34"/>
    <x v="0"/>
    <x v="2"/>
    <n v="17.989999999999998"/>
    <x v="1"/>
    <x v="0"/>
    <n v="3"/>
    <n v="0.46"/>
    <x v="0"/>
  </r>
  <r>
    <s v="2efa1510-6349-40ab-8c60-5b5abec779a6"/>
    <n v="23"/>
    <x v="1"/>
    <x v="2"/>
    <x v="1"/>
    <n v="16.010000000000002"/>
    <n v="2"/>
    <x v="1"/>
    <x v="1"/>
    <n v="17.989999999999998"/>
    <x v="0"/>
    <x v="3"/>
    <n v="1"/>
    <n v="5.34"/>
    <x v="6"/>
  </r>
  <r>
    <s v="fa4ec32f-55e7-4609-bb12-293d41b042f6"/>
    <n v="22"/>
    <x v="1"/>
    <x v="2"/>
    <x v="0"/>
    <n v="39.11"/>
    <n v="13"/>
    <x v="2"/>
    <x v="2"/>
    <n v="13.99"/>
    <x v="0"/>
    <x v="0"/>
    <n v="2"/>
    <n v="2.79"/>
    <x v="0"/>
  </r>
  <r>
    <s v="6a973e51-c068-46f4-92f7-8eec5d2028cd"/>
    <n v="33"/>
    <x v="0"/>
    <x v="0"/>
    <x v="1"/>
    <n v="14.93"/>
    <n v="7"/>
    <x v="1"/>
    <x v="1"/>
    <n v="17.989999999999998"/>
    <x v="0"/>
    <x v="1"/>
    <n v="3"/>
    <n v="1.87"/>
    <x v="3"/>
  </r>
  <r>
    <s v="884c5fad-a79e-457f-be31-813997b37cf6"/>
    <n v="34"/>
    <x v="0"/>
    <x v="2"/>
    <x v="2"/>
    <n v="8.25"/>
    <n v="27"/>
    <x v="1"/>
    <x v="4"/>
    <n v="8.99"/>
    <x v="0"/>
    <x v="2"/>
    <n v="5"/>
    <n v="0.28999999999999998"/>
    <x v="1"/>
  </r>
  <r>
    <s v="3414e470-95a7-4043-b8ce-b7c876fa0969"/>
    <n v="33"/>
    <x v="0"/>
    <x v="2"/>
    <x v="1"/>
    <n v="1.42"/>
    <n v="50"/>
    <x v="0"/>
    <x v="2"/>
    <n v="17.989999999999998"/>
    <x v="1"/>
    <x v="4"/>
    <n v="3"/>
    <n v="0.03"/>
    <x v="1"/>
  </r>
  <r>
    <s v="147bda63-2552-4e10-a3d7-3ad43264b5e2"/>
    <n v="26"/>
    <x v="0"/>
    <x v="0"/>
    <x v="1"/>
    <n v="2.99"/>
    <n v="59"/>
    <x v="0"/>
    <x v="0"/>
    <n v="17.989999999999998"/>
    <x v="1"/>
    <x v="1"/>
    <n v="3"/>
    <n v="0.05"/>
    <x v="3"/>
  </r>
  <r>
    <s v="43711252-d3df-41aa-98bf-b17bd33ad95e"/>
    <n v="23"/>
    <x v="1"/>
    <x v="1"/>
    <x v="0"/>
    <n v="39.630000000000003"/>
    <n v="20"/>
    <x v="0"/>
    <x v="4"/>
    <n v="13.99"/>
    <x v="0"/>
    <x v="2"/>
    <n v="3"/>
    <n v="1.89"/>
    <x v="6"/>
  </r>
  <r>
    <s v="a29dec9d-fc5a-4d29-9c63-5d4465de58c6"/>
    <n v="28"/>
    <x v="0"/>
    <x v="2"/>
    <x v="2"/>
    <n v="11.24"/>
    <n v="37"/>
    <x v="0"/>
    <x v="4"/>
    <n v="8.99"/>
    <x v="1"/>
    <x v="0"/>
    <n v="4"/>
    <n v="0.3"/>
    <x v="2"/>
  </r>
  <r>
    <s v="bc860dfd-b813-4828-a17c-0b55c994de44"/>
    <n v="30"/>
    <x v="0"/>
    <x v="2"/>
    <x v="0"/>
    <n v="10.47"/>
    <n v="50"/>
    <x v="3"/>
    <x v="2"/>
    <n v="13.99"/>
    <x v="1"/>
    <x v="0"/>
    <n v="4"/>
    <n v="0.21"/>
    <x v="6"/>
  </r>
  <r>
    <s v="a5f996c0-05a7-4654-b5ee-46b897cfbb83"/>
    <n v="23"/>
    <x v="1"/>
    <x v="1"/>
    <x v="2"/>
    <n v="18.23"/>
    <n v="47"/>
    <x v="0"/>
    <x v="4"/>
    <n v="8.99"/>
    <x v="1"/>
    <x v="1"/>
    <n v="4"/>
    <n v="0.38"/>
    <x v="4"/>
  </r>
  <r>
    <s v="4abe31be-3910-4fe0-9b6b-17481304f2c6"/>
    <n v="23"/>
    <x v="1"/>
    <x v="0"/>
    <x v="1"/>
    <n v="5.81"/>
    <n v="45"/>
    <x v="0"/>
    <x v="1"/>
    <n v="17.989999999999998"/>
    <x v="1"/>
    <x v="0"/>
    <n v="2"/>
    <n v="0.13"/>
    <x v="1"/>
  </r>
  <r>
    <s v="012bcaff-f27c-444f-bba9-0e8d362980d6"/>
    <n v="20"/>
    <x v="1"/>
    <x v="0"/>
    <x v="1"/>
    <n v="1.22"/>
    <n v="50"/>
    <x v="1"/>
    <x v="1"/>
    <n v="17.989999999999998"/>
    <x v="1"/>
    <x v="0"/>
    <n v="3"/>
    <n v="0.02"/>
    <x v="6"/>
  </r>
  <r>
    <s v="fb89a317-d2a8-4415-b75b-923bc1f30e87"/>
    <n v="32"/>
    <x v="0"/>
    <x v="2"/>
    <x v="2"/>
    <n v="4"/>
    <n v="26"/>
    <x v="3"/>
    <x v="3"/>
    <n v="8.99"/>
    <x v="1"/>
    <x v="4"/>
    <n v="2"/>
    <n v="0.15"/>
    <x v="2"/>
  </r>
  <r>
    <s v="c2e7c00e-db9d-4789-89ad-76d415275d8d"/>
    <n v="18"/>
    <x v="1"/>
    <x v="0"/>
    <x v="2"/>
    <n v="3.68"/>
    <n v="60"/>
    <x v="2"/>
    <x v="1"/>
    <n v="8.99"/>
    <x v="1"/>
    <x v="1"/>
    <n v="4"/>
    <n v="0.06"/>
    <x v="3"/>
  </r>
  <r>
    <s v="819a11d2-8939-4883-84fb-7983e1326cbb"/>
    <n v="26"/>
    <x v="0"/>
    <x v="1"/>
    <x v="1"/>
    <n v="6.46"/>
    <n v="27"/>
    <x v="3"/>
    <x v="0"/>
    <n v="17.989999999999998"/>
    <x v="0"/>
    <x v="1"/>
    <n v="5"/>
    <n v="0.23"/>
    <x v="0"/>
  </r>
  <r>
    <s v="eb9c8e47-3f0f-4851-95fc-9edd7ff39aa2"/>
    <n v="22"/>
    <x v="1"/>
    <x v="1"/>
    <x v="0"/>
    <n v="3.31"/>
    <n v="35"/>
    <x v="1"/>
    <x v="3"/>
    <n v="13.99"/>
    <x v="1"/>
    <x v="0"/>
    <n v="2"/>
    <n v="0.09"/>
    <x v="4"/>
  </r>
  <r>
    <s v="6ef6129f-8d85-4be9-a20a-bd1e67689ab7"/>
    <n v="32"/>
    <x v="0"/>
    <x v="0"/>
    <x v="1"/>
    <n v="8.77"/>
    <n v="50"/>
    <x v="0"/>
    <x v="4"/>
    <n v="17.989999999999998"/>
    <x v="1"/>
    <x v="2"/>
    <n v="3"/>
    <n v="0.17"/>
    <x v="0"/>
  </r>
  <r>
    <s v="bead6a43-11a4-4f53-af77-0d537fe06928"/>
    <n v="32"/>
    <x v="0"/>
    <x v="0"/>
    <x v="1"/>
    <n v="9.11"/>
    <n v="40"/>
    <x v="4"/>
    <x v="0"/>
    <n v="17.989999999999998"/>
    <x v="1"/>
    <x v="3"/>
    <n v="3"/>
    <n v="0.22"/>
    <x v="4"/>
  </r>
  <r>
    <s v="e2f70790-f0ed-4ad8-8985-bc89def534a9"/>
    <n v="29"/>
    <x v="0"/>
    <x v="1"/>
    <x v="2"/>
    <n v="12.54"/>
    <n v="26"/>
    <x v="4"/>
    <x v="4"/>
    <n v="8.99"/>
    <x v="0"/>
    <x v="1"/>
    <n v="2"/>
    <n v="0.46"/>
    <x v="6"/>
  </r>
  <r>
    <s v="8710f794-e3ec-4fd0-b4aa-f9feff298048"/>
    <n v="26"/>
    <x v="0"/>
    <x v="1"/>
    <x v="0"/>
    <n v="18.760000000000002"/>
    <n v="34"/>
    <x v="1"/>
    <x v="4"/>
    <n v="13.99"/>
    <x v="0"/>
    <x v="2"/>
    <n v="2"/>
    <n v="0.54"/>
    <x v="4"/>
  </r>
  <r>
    <s v="b8c8c57b-903f-448b-88fc-0313c24694b7"/>
    <n v="24"/>
    <x v="1"/>
    <x v="1"/>
    <x v="0"/>
    <n v="10.72"/>
    <n v="40"/>
    <x v="0"/>
    <x v="0"/>
    <n v="13.99"/>
    <x v="1"/>
    <x v="1"/>
    <n v="3"/>
    <n v="0.26"/>
    <x v="1"/>
  </r>
  <r>
    <s v="39414f09-6fcd-4d7e-a1f0-f4345620df82"/>
    <n v="21"/>
    <x v="1"/>
    <x v="1"/>
    <x v="0"/>
    <n v="2.77"/>
    <n v="8"/>
    <x v="3"/>
    <x v="0"/>
    <n v="13.99"/>
    <x v="1"/>
    <x v="4"/>
    <n v="4"/>
    <n v="0.31"/>
    <x v="2"/>
  </r>
  <r>
    <s v="a76291ab-bfb6-4bb9-8467-2c5c89ce0c01"/>
    <n v="31"/>
    <x v="0"/>
    <x v="1"/>
    <x v="1"/>
    <n v="8.18"/>
    <n v="43"/>
    <x v="1"/>
    <x v="3"/>
    <n v="17.989999999999998"/>
    <x v="1"/>
    <x v="3"/>
    <n v="1"/>
    <n v="0.19"/>
    <x v="2"/>
  </r>
  <r>
    <s v="b832a589-8dc2-48a0-8a58-25d1035941ec"/>
    <n v="21"/>
    <x v="1"/>
    <x v="0"/>
    <x v="1"/>
    <n v="4.12"/>
    <n v="35"/>
    <x v="4"/>
    <x v="1"/>
    <n v="17.989999999999998"/>
    <x v="1"/>
    <x v="4"/>
    <n v="2"/>
    <n v="0.11"/>
    <x v="1"/>
  </r>
  <r>
    <s v="728a8191-97ca-408b-882e-f8f5ec540146"/>
    <n v="28"/>
    <x v="0"/>
    <x v="0"/>
    <x v="1"/>
    <n v="29.83"/>
    <n v="32"/>
    <x v="4"/>
    <x v="3"/>
    <n v="17.989999999999998"/>
    <x v="0"/>
    <x v="0"/>
    <n v="4"/>
    <n v="0.9"/>
    <x v="0"/>
  </r>
  <r>
    <s v="ac9e9c4b-a50e-4c0c-9f68-d0a2b3a657f5"/>
    <n v="28"/>
    <x v="0"/>
    <x v="2"/>
    <x v="2"/>
    <n v="13.44"/>
    <n v="20"/>
    <x v="5"/>
    <x v="0"/>
    <n v="8.99"/>
    <x v="0"/>
    <x v="2"/>
    <n v="1"/>
    <n v="0.64"/>
    <x v="1"/>
  </r>
  <r>
    <s v="414f08d4-5a4c-4113-b152-09813060f9a4"/>
    <n v="27"/>
    <x v="0"/>
    <x v="2"/>
    <x v="2"/>
    <n v="0.4"/>
    <n v="9"/>
    <x v="5"/>
    <x v="4"/>
    <n v="8.99"/>
    <x v="1"/>
    <x v="1"/>
    <n v="5"/>
    <n v="0.04"/>
    <x v="3"/>
  </r>
  <r>
    <s v="16bb271f-9990-42ef-a49e-5563fb1d11b9"/>
    <n v="30"/>
    <x v="0"/>
    <x v="2"/>
    <x v="2"/>
    <n v="0.39"/>
    <n v="4"/>
    <x v="3"/>
    <x v="2"/>
    <n v="8.99"/>
    <x v="1"/>
    <x v="2"/>
    <n v="2"/>
    <n v="0.08"/>
    <x v="1"/>
  </r>
  <r>
    <s v="525028b4-ea2d-463f-892f-86a839621ee9"/>
    <n v="27"/>
    <x v="0"/>
    <x v="2"/>
    <x v="2"/>
    <n v="26.34"/>
    <n v="18"/>
    <x v="4"/>
    <x v="3"/>
    <n v="8.99"/>
    <x v="0"/>
    <x v="4"/>
    <n v="2"/>
    <n v="1.39"/>
    <x v="4"/>
  </r>
  <r>
    <s v="d29365dc-c4e0-4b7e-a094-b3aee49a99f4"/>
    <n v="26"/>
    <x v="0"/>
    <x v="0"/>
    <x v="2"/>
    <n v="0.11"/>
    <n v="55"/>
    <x v="2"/>
    <x v="1"/>
    <n v="8.99"/>
    <x v="1"/>
    <x v="0"/>
    <n v="4"/>
    <n v="0"/>
    <x v="6"/>
  </r>
  <r>
    <s v="63f9d986-7068-49e3-b822-fab8e0a49bc1"/>
    <n v="31"/>
    <x v="0"/>
    <x v="2"/>
    <x v="2"/>
    <n v="7.69"/>
    <n v="57"/>
    <x v="3"/>
    <x v="3"/>
    <n v="8.99"/>
    <x v="1"/>
    <x v="1"/>
    <n v="2"/>
    <n v="0.13"/>
    <x v="1"/>
  </r>
  <r>
    <s v="3c78a99f-e9a5-4f6a-9bd4-9bea5f137515"/>
    <n v="31"/>
    <x v="0"/>
    <x v="1"/>
    <x v="0"/>
    <n v="15.37"/>
    <n v="4"/>
    <x v="2"/>
    <x v="1"/>
    <n v="13.99"/>
    <x v="0"/>
    <x v="0"/>
    <n v="3"/>
    <n v="3.07"/>
    <x v="1"/>
  </r>
  <r>
    <s v="0a82244e-e72e-46a5-9d96-76eedc5674c6"/>
    <n v="19"/>
    <x v="1"/>
    <x v="1"/>
    <x v="2"/>
    <n v="5.62"/>
    <n v="13"/>
    <x v="1"/>
    <x v="0"/>
    <n v="8.99"/>
    <x v="0"/>
    <x v="3"/>
    <n v="4"/>
    <n v="0.4"/>
    <x v="0"/>
  </r>
  <r>
    <s v="8316d994-9295-49d6-b608-7a27856fa6cf"/>
    <n v="30"/>
    <x v="0"/>
    <x v="2"/>
    <x v="0"/>
    <n v="4.62"/>
    <n v="46"/>
    <x v="1"/>
    <x v="1"/>
    <n v="13.99"/>
    <x v="1"/>
    <x v="3"/>
    <n v="3"/>
    <n v="0.1"/>
    <x v="3"/>
  </r>
  <r>
    <s v="e1b71893-1f20-45ab-b9e6-0edacceaf9d3"/>
    <n v="29"/>
    <x v="0"/>
    <x v="2"/>
    <x v="2"/>
    <n v="26.48"/>
    <n v="53"/>
    <x v="3"/>
    <x v="2"/>
    <n v="8.99"/>
    <x v="1"/>
    <x v="1"/>
    <n v="3"/>
    <n v="0.49"/>
    <x v="4"/>
  </r>
  <r>
    <s v="dbee2c1d-4003-4723-b0db-0cdd117d341d"/>
    <n v="21"/>
    <x v="1"/>
    <x v="2"/>
    <x v="1"/>
    <n v="3.13"/>
    <n v="53"/>
    <x v="0"/>
    <x v="2"/>
    <n v="17.989999999999998"/>
    <x v="1"/>
    <x v="4"/>
    <n v="4"/>
    <n v="0.06"/>
    <x v="0"/>
  </r>
  <r>
    <s v="06ad36eb-67ec-4eb4-93d7-fa5c1a4abded"/>
    <n v="22"/>
    <x v="1"/>
    <x v="0"/>
    <x v="2"/>
    <n v="11.2"/>
    <n v="14"/>
    <x v="3"/>
    <x v="4"/>
    <n v="8.99"/>
    <x v="0"/>
    <x v="4"/>
    <n v="4"/>
    <n v="0.75"/>
    <x v="2"/>
  </r>
  <r>
    <s v="10374c5a-0a9b-46c9-a19a-4b9acbfe6322"/>
    <n v="27"/>
    <x v="0"/>
    <x v="2"/>
    <x v="1"/>
    <n v="7.92"/>
    <n v="9"/>
    <x v="2"/>
    <x v="3"/>
    <n v="17.989999999999998"/>
    <x v="0"/>
    <x v="1"/>
    <n v="5"/>
    <n v="0.79"/>
    <x v="2"/>
  </r>
  <r>
    <s v="e6f5aad8-3d0d-482c-b377-0399c888f984"/>
    <n v="22"/>
    <x v="1"/>
    <x v="0"/>
    <x v="2"/>
    <n v="5.59"/>
    <n v="57"/>
    <x v="2"/>
    <x v="3"/>
    <n v="8.99"/>
    <x v="1"/>
    <x v="4"/>
    <n v="3"/>
    <n v="0.1"/>
    <x v="3"/>
  </r>
  <r>
    <s v="f9aae5f5-3f3b-4afe-ba24-4f313a94ec46"/>
    <n v="33"/>
    <x v="0"/>
    <x v="1"/>
    <x v="2"/>
    <n v="40.049999999999997"/>
    <n v="47"/>
    <x v="1"/>
    <x v="4"/>
    <n v="8.99"/>
    <x v="0"/>
    <x v="0"/>
    <n v="5"/>
    <n v="0.83"/>
    <x v="2"/>
  </r>
  <r>
    <s v="a1743e4c-9e2c-4f48-a208-dba3b8df1c91"/>
    <n v="22"/>
    <x v="1"/>
    <x v="1"/>
    <x v="2"/>
    <n v="25.18"/>
    <n v="39"/>
    <x v="5"/>
    <x v="0"/>
    <n v="8.99"/>
    <x v="0"/>
    <x v="1"/>
    <n v="5"/>
    <n v="0.63"/>
    <x v="3"/>
  </r>
  <r>
    <s v="68fd098e-d088-47eb-b14f-bd5e306322a0"/>
    <n v="19"/>
    <x v="1"/>
    <x v="0"/>
    <x v="0"/>
    <n v="5.42"/>
    <n v="60"/>
    <x v="4"/>
    <x v="0"/>
    <n v="13.99"/>
    <x v="1"/>
    <x v="2"/>
    <n v="1"/>
    <n v="0.09"/>
    <x v="1"/>
  </r>
  <r>
    <s v="dc3a0a45-0717-4baa-86f2-8d6573d5cd0c"/>
    <n v="33"/>
    <x v="0"/>
    <x v="0"/>
    <x v="0"/>
    <n v="13.21"/>
    <n v="21"/>
    <x v="5"/>
    <x v="4"/>
    <n v="13.99"/>
    <x v="0"/>
    <x v="1"/>
    <n v="4"/>
    <n v="0.6"/>
    <x v="1"/>
  </r>
  <r>
    <s v="a9414457-2c36-4d97-8820-4dcc8349368e"/>
    <n v="25"/>
    <x v="0"/>
    <x v="1"/>
    <x v="1"/>
    <n v="0.56999999999999995"/>
    <n v="53"/>
    <x v="4"/>
    <x v="2"/>
    <n v="17.989999999999998"/>
    <x v="1"/>
    <x v="3"/>
    <n v="4"/>
    <n v="0.01"/>
    <x v="4"/>
  </r>
  <r>
    <s v="45c38e06-d28c-46b6-b473-bd983b259d4c"/>
    <n v="20"/>
    <x v="1"/>
    <x v="2"/>
    <x v="0"/>
    <n v="2.97"/>
    <n v="35"/>
    <x v="2"/>
    <x v="0"/>
    <n v="13.99"/>
    <x v="1"/>
    <x v="3"/>
    <n v="2"/>
    <n v="0.08"/>
    <x v="4"/>
  </r>
  <r>
    <s v="64d85f24-42f8-48b1-8675-590db42d23e5"/>
    <n v="18"/>
    <x v="1"/>
    <x v="2"/>
    <x v="0"/>
    <n v="28.66"/>
    <n v="0"/>
    <x v="5"/>
    <x v="3"/>
    <n v="13.99"/>
    <x v="0"/>
    <x v="4"/>
    <n v="5"/>
    <n v="28.66"/>
    <x v="0"/>
  </r>
  <r>
    <s v="0aa018d1-6f8d-493a-bd1b-7d79b803fd22"/>
    <n v="26"/>
    <x v="0"/>
    <x v="1"/>
    <x v="0"/>
    <n v="2"/>
    <n v="11"/>
    <x v="3"/>
    <x v="3"/>
    <n v="13.99"/>
    <x v="1"/>
    <x v="3"/>
    <n v="3"/>
    <n v="0.17"/>
    <x v="5"/>
  </r>
  <r>
    <s v="37dd41be-f537-46b1-8e2e-905604a8cdad"/>
    <n v="24"/>
    <x v="1"/>
    <x v="1"/>
    <x v="1"/>
    <n v="6.21"/>
    <n v="25"/>
    <x v="2"/>
    <x v="3"/>
    <n v="17.989999999999998"/>
    <x v="0"/>
    <x v="3"/>
    <n v="4"/>
    <n v="0.24"/>
    <x v="2"/>
  </r>
  <r>
    <s v="cf48d58a-217e-40c4-b6c5-72bbbe03fd56"/>
    <n v="20"/>
    <x v="1"/>
    <x v="1"/>
    <x v="0"/>
    <n v="11.07"/>
    <n v="23"/>
    <x v="4"/>
    <x v="1"/>
    <n v="13.99"/>
    <x v="0"/>
    <x v="3"/>
    <n v="1"/>
    <n v="0.46"/>
    <x v="2"/>
  </r>
  <r>
    <s v="dc5b0984-88d3-4ff3-b093-f0cfdb80070d"/>
    <n v="22"/>
    <x v="1"/>
    <x v="0"/>
    <x v="1"/>
    <n v="0.79"/>
    <n v="17"/>
    <x v="4"/>
    <x v="2"/>
    <n v="17.989999999999998"/>
    <x v="1"/>
    <x v="0"/>
    <n v="4"/>
    <n v="0.04"/>
    <x v="2"/>
  </r>
  <r>
    <s v="ca23a8be-fef8-4b6c-afba-136af304b2d5"/>
    <n v="19"/>
    <x v="1"/>
    <x v="0"/>
    <x v="0"/>
    <n v="13.89"/>
    <n v="30"/>
    <x v="0"/>
    <x v="3"/>
    <n v="13.99"/>
    <x v="0"/>
    <x v="0"/>
    <n v="3"/>
    <n v="0.45"/>
    <x v="6"/>
  </r>
  <r>
    <s v="17ce1fd9-fa04-4c76-b7c0-f23519005371"/>
    <n v="34"/>
    <x v="0"/>
    <x v="0"/>
    <x v="2"/>
    <n v="13.6"/>
    <n v="1"/>
    <x v="4"/>
    <x v="2"/>
    <n v="8.99"/>
    <x v="0"/>
    <x v="1"/>
    <n v="2"/>
    <n v="6.8"/>
    <x v="4"/>
  </r>
  <r>
    <s v="86079cfc-0cd9-4487-ac31-0e38a2859cd2"/>
    <n v="26"/>
    <x v="0"/>
    <x v="2"/>
    <x v="1"/>
    <n v="16.34"/>
    <n v="5"/>
    <x v="0"/>
    <x v="0"/>
    <n v="17.989999999999998"/>
    <x v="0"/>
    <x v="2"/>
    <n v="2"/>
    <n v="2.72"/>
    <x v="0"/>
  </r>
  <r>
    <s v="20b10142-39c2-4061-8573-a1e5f91ad019"/>
    <n v="26"/>
    <x v="0"/>
    <x v="2"/>
    <x v="0"/>
    <n v="3.81"/>
    <n v="41"/>
    <x v="2"/>
    <x v="0"/>
    <n v="13.99"/>
    <x v="1"/>
    <x v="0"/>
    <n v="4"/>
    <n v="0.09"/>
    <x v="5"/>
  </r>
  <r>
    <s v="e95a32d7-dbb3-457d-b655-df5765b3ea84"/>
    <n v="18"/>
    <x v="1"/>
    <x v="0"/>
    <x v="2"/>
    <n v="0.33"/>
    <n v="28"/>
    <x v="5"/>
    <x v="4"/>
    <n v="8.99"/>
    <x v="1"/>
    <x v="3"/>
    <n v="3"/>
    <n v="0.01"/>
    <x v="3"/>
  </r>
  <r>
    <s v="a22b2cef-2032-47d9-8fb4-36f3dcf93b94"/>
    <n v="30"/>
    <x v="0"/>
    <x v="1"/>
    <x v="0"/>
    <n v="7.51"/>
    <n v="45"/>
    <x v="1"/>
    <x v="4"/>
    <n v="13.99"/>
    <x v="1"/>
    <x v="0"/>
    <n v="3"/>
    <n v="0.16"/>
    <x v="2"/>
  </r>
  <r>
    <s v="e203e4ef-dc62-4e97-884d-77a46ddf3813"/>
    <n v="18"/>
    <x v="1"/>
    <x v="0"/>
    <x v="0"/>
    <n v="0.27"/>
    <n v="20"/>
    <x v="5"/>
    <x v="3"/>
    <n v="13.99"/>
    <x v="1"/>
    <x v="2"/>
    <n v="1"/>
    <n v="0.01"/>
    <x v="1"/>
  </r>
  <r>
    <s v="11d562cc-a296-442c-8ad0-4c2a5f5f2e1f"/>
    <n v="29"/>
    <x v="0"/>
    <x v="1"/>
    <x v="1"/>
    <n v="8.1300000000000008"/>
    <n v="17"/>
    <x v="5"/>
    <x v="0"/>
    <n v="17.989999999999998"/>
    <x v="0"/>
    <x v="2"/>
    <n v="2"/>
    <n v="0.45"/>
    <x v="6"/>
  </r>
  <r>
    <s v="c3fc2a8b-b9e3-48b3-9c46-b3a64b62157d"/>
    <n v="26"/>
    <x v="0"/>
    <x v="0"/>
    <x v="1"/>
    <n v="4.66"/>
    <n v="38"/>
    <x v="2"/>
    <x v="1"/>
    <n v="17.989999999999998"/>
    <x v="1"/>
    <x v="1"/>
    <n v="5"/>
    <n v="0.12"/>
    <x v="5"/>
  </r>
  <r>
    <s v="6af2ef31-7637-45a5-8a64-201ec7cb3065"/>
    <n v="34"/>
    <x v="0"/>
    <x v="0"/>
    <x v="2"/>
    <n v="18.39"/>
    <n v="53"/>
    <x v="5"/>
    <x v="1"/>
    <n v="8.99"/>
    <x v="1"/>
    <x v="1"/>
    <n v="1"/>
    <n v="0.34"/>
    <x v="3"/>
  </r>
  <r>
    <s v="a35b0e4d-c43a-48cb-8c56-e49d6879c391"/>
    <n v="18"/>
    <x v="1"/>
    <x v="2"/>
    <x v="0"/>
    <n v="3.03"/>
    <n v="22"/>
    <x v="5"/>
    <x v="4"/>
    <n v="13.99"/>
    <x v="1"/>
    <x v="4"/>
    <n v="5"/>
    <n v="0.13"/>
    <x v="3"/>
  </r>
  <r>
    <s v="696ead93-5262-4d00-a2ab-042f737bcb9c"/>
    <n v="20"/>
    <x v="1"/>
    <x v="2"/>
    <x v="2"/>
    <n v="1.81"/>
    <n v="0"/>
    <x v="3"/>
    <x v="2"/>
    <n v="8.99"/>
    <x v="0"/>
    <x v="2"/>
    <n v="3"/>
    <n v="1.81"/>
    <x v="6"/>
  </r>
  <r>
    <s v="eacf58bf-9e97-4299-b176-75e028554818"/>
    <n v="21"/>
    <x v="1"/>
    <x v="1"/>
    <x v="1"/>
    <n v="27.46"/>
    <n v="43"/>
    <x v="4"/>
    <x v="4"/>
    <n v="17.989999999999998"/>
    <x v="0"/>
    <x v="4"/>
    <n v="2"/>
    <n v="0.62"/>
    <x v="5"/>
  </r>
  <r>
    <s v="4c9b0d0f-1fa8-439e-af1f-8282130cf0bf"/>
    <n v="28"/>
    <x v="0"/>
    <x v="0"/>
    <x v="0"/>
    <n v="2.25"/>
    <n v="30"/>
    <x v="2"/>
    <x v="1"/>
    <n v="13.99"/>
    <x v="1"/>
    <x v="0"/>
    <n v="3"/>
    <n v="7.0000000000000007E-2"/>
    <x v="3"/>
  </r>
  <r>
    <s v="a880a8d5-fd6c-4056-8fea-151329ac0bc0"/>
    <n v="29"/>
    <x v="0"/>
    <x v="1"/>
    <x v="0"/>
    <n v="8.15"/>
    <n v="13"/>
    <x v="4"/>
    <x v="0"/>
    <n v="13.99"/>
    <x v="0"/>
    <x v="0"/>
    <n v="2"/>
    <n v="0.57999999999999996"/>
    <x v="0"/>
  </r>
  <r>
    <s v="da3695da-d79e-4240-be6f-e5252500e74c"/>
    <n v="23"/>
    <x v="1"/>
    <x v="2"/>
    <x v="2"/>
    <n v="0.6"/>
    <n v="6"/>
    <x v="5"/>
    <x v="3"/>
    <n v="8.99"/>
    <x v="1"/>
    <x v="3"/>
    <n v="3"/>
    <n v="0.09"/>
    <x v="5"/>
  </r>
  <r>
    <s v="755ce452-4079-48bb-bc47-4ba2b2ecd942"/>
    <n v="26"/>
    <x v="0"/>
    <x v="2"/>
    <x v="0"/>
    <n v="2.35"/>
    <n v="25"/>
    <x v="5"/>
    <x v="4"/>
    <n v="13.99"/>
    <x v="0"/>
    <x v="3"/>
    <n v="5"/>
    <n v="0.09"/>
    <x v="4"/>
  </r>
  <r>
    <s v="e25b97a4-daab-4243-8698-14b71b085a13"/>
    <n v="32"/>
    <x v="0"/>
    <x v="1"/>
    <x v="1"/>
    <n v="14.31"/>
    <n v="43"/>
    <x v="1"/>
    <x v="3"/>
    <n v="17.989999999999998"/>
    <x v="0"/>
    <x v="2"/>
    <n v="5"/>
    <n v="0.33"/>
    <x v="2"/>
  </r>
  <r>
    <s v="cdb0c59c-6086-4985-a133-bd141e1bb6ca"/>
    <n v="29"/>
    <x v="0"/>
    <x v="0"/>
    <x v="2"/>
    <n v="0.65"/>
    <n v="12"/>
    <x v="1"/>
    <x v="4"/>
    <n v="8.99"/>
    <x v="1"/>
    <x v="0"/>
    <n v="3"/>
    <n v="0.05"/>
    <x v="0"/>
  </r>
  <r>
    <s v="828e263c-a5a2-4390-8880-5851ba9395c1"/>
    <n v="18"/>
    <x v="1"/>
    <x v="1"/>
    <x v="1"/>
    <n v="6.61"/>
    <n v="50"/>
    <x v="2"/>
    <x v="1"/>
    <n v="17.989999999999998"/>
    <x v="1"/>
    <x v="4"/>
    <n v="2"/>
    <n v="0.13"/>
    <x v="2"/>
  </r>
  <r>
    <s v="c54f6982-c7af-4460-b1ca-661c411ee091"/>
    <n v="26"/>
    <x v="0"/>
    <x v="1"/>
    <x v="0"/>
    <n v="5.59"/>
    <n v="1"/>
    <x v="4"/>
    <x v="4"/>
    <n v="13.99"/>
    <x v="0"/>
    <x v="1"/>
    <n v="3"/>
    <n v="2.79"/>
    <x v="4"/>
  </r>
  <r>
    <s v="e7c17a68-7cb0-445f-8d31-f2c1d07aab3d"/>
    <n v="24"/>
    <x v="1"/>
    <x v="2"/>
    <x v="0"/>
    <n v="2.65"/>
    <n v="32"/>
    <x v="2"/>
    <x v="0"/>
    <n v="13.99"/>
    <x v="1"/>
    <x v="2"/>
    <n v="4"/>
    <n v="0.08"/>
    <x v="0"/>
  </r>
  <r>
    <s v="da5099cc-9057-4fcd-a133-8873336c7697"/>
    <n v="26"/>
    <x v="0"/>
    <x v="2"/>
    <x v="0"/>
    <n v="10.62"/>
    <n v="60"/>
    <x v="2"/>
    <x v="2"/>
    <n v="13.99"/>
    <x v="0"/>
    <x v="1"/>
    <n v="5"/>
    <n v="0.17"/>
    <x v="3"/>
  </r>
  <r>
    <s v="55e8d23c-b8a3-4bb1-9c03-3e14641639ac"/>
    <n v="25"/>
    <x v="0"/>
    <x v="1"/>
    <x v="0"/>
    <n v="9.92"/>
    <n v="3"/>
    <x v="1"/>
    <x v="4"/>
    <n v="13.99"/>
    <x v="0"/>
    <x v="0"/>
    <n v="5"/>
    <n v="2.48"/>
    <x v="2"/>
  </r>
  <r>
    <s v="3a23e4a5-22f8-4647-8717-8331fa5eba94"/>
    <n v="27"/>
    <x v="0"/>
    <x v="0"/>
    <x v="0"/>
    <n v="3.4"/>
    <n v="46"/>
    <x v="3"/>
    <x v="1"/>
    <n v="13.99"/>
    <x v="1"/>
    <x v="3"/>
    <n v="1"/>
    <n v="7.0000000000000007E-2"/>
    <x v="3"/>
  </r>
  <r>
    <s v="8b412cdc-c03a-456c-af50-3d045bc026ee"/>
    <n v="18"/>
    <x v="1"/>
    <x v="2"/>
    <x v="2"/>
    <n v="4.91"/>
    <n v="44"/>
    <x v="3"/>
    <x v="4"/>
    <n v="8.99"/>
    <x v="1"/>
    <x v="4"/>
    <n v="1"/>
    <n v="0.11"/>
    <x v="4"/>
  </r>
  <r>
    <s v="735190c8-4a3d-46a6-885f-795f3ecdad42"/>
    <n v="31"/>
    <x v="0"/>
    <x v="0"/>
    <x v="2"/>
    <n v="2.82"/>
    <n v="51"/>
    <x v="4"/>
    <x v="3"/>
    <n v="8.99"/>
    <x v="1"/>
    <x v="2"/>
    <n v="2"/>
    <n v="0.05"/>
    <x v="3"/>
  </r>
  <r>
    <s v="f60e85aa-2c80-4282-9a7e-885c5b1801fd"/>
    <n v="29"/>
    <x v="0"/>
    <x v="1"/>
    <x v="0"/>
    <n v="2.2200000000000002"/>
    <n v="34"/>
    <x v="4"/>
    <x v="4"/>
    <n v="13.99"/>
    <x v="1"/>
    <x v="1"/>
    <n v="4"/>
    <n v="0.06"/>
    <x v="3"/>
  </r>
  <r>
    <s v="6d446445-a1b2-455d-bba9-d7f3077c0a10"/>
    <n v="33"/>
    <x v="0"/>
    <x v="2"/>
    <x v="0"/>
    <n v="2.31"/>
    <n v="46"/>
    <x v="0"/>
    <x v="4"/>
    <n v="13.99"/>
    <x v="1"/>
    <x v="2"/>
    <n v="1"/>
    <n v="0.05"/>
    <x v="6"/>
  </r>
  <r>
    <s v="688d52ac-3051-4780-b1f1-5436fdb4d51b"/>
    <n v="34"/>
    <x v="0"/>
    <x v="0"/>
    <x v="1"/>
    <n v="14.62"/>
    <n v="47"/>
    <x v="4"/>
    <x v="4"/>
    <n v="17.989999999999998"/>
    <x v="1"/>
    <x v="0"/>
    <n v="5"/>
    <n v="0.3"/>
    <x v="0"/>
  </r>
  <r>
    <s v="8a965066-832a-445b-a5d3-6935102c89a0"/>
    <n v="32"/>
    <x v="0"/>
    <x v="2"/>
    <x v="2"/>
    <n v="26.07"/>
    <n v="37"/>
    <x v="5"/>
    <x v="1"/>
    <n v="8.99"/>
    <x v="0"/>
    <x v="2"/>
    <n v="2"/>
    <n v="0.69"/>
    <x v="0"/>
  </r>
  <r>
    <s v="5a434596-ec80-4d47-a472-46587f20a98f"/>
    <n v="29"/>
    <x v="0"/>
    <x v="1"/>
    <x v="0"/>
    <n v="0.53"/>
    <n v="13"/>
    <x v="3"/>
    <x v="3"/>
    <n v="13.99"/>
    <x v="1"/>
    <x v="1"/>
    <n v="3"/>
    <n v="0.04"/>
    <x v="3"/>
  </r>
  <r>
    <s v="3914fd90-24cd-4681-a26a-2ba4a2a159f9"/>
    <n v="31"/>
    <x v="0"/>
    <x v="1"/>
    <x v="0"/>
    <n v="0.21"/>
    <n v="16"/>
    <x v="3"/>
    <x v="1"/>
    <n v="13.99"/>
    <x v="1"/>
    <x v="1"/>
    <n v="1"/>
    <n v="0.01"/>
    <x v="0"/>
  </r>
  <r>
    <s v="f1f834a6-23c4-405a-b5f2-dfd604ce318b"/>
    <n v="32"/>
    <x v="0"/>
    <x v="1"/>
    <x v="1"/>
    <n v="5.09"/>
    <n v="37"/>
    <x v="5"/>
    <x v="3"/>
    <n v="17.989999999999998"/>
    <x v="0"/>
    <x v="2"/>
    <n v="5"/>
    <n v="0.13"/>
    <x v="0"/>
  </r>
  <r>
    <s v="a06f6ebb-cdf1-4d0a-ab74-c3c1b86d53ae"/>
    <n v="34"/>
    <x v="0"/>
    <x v="2"/>
    <x v="1"/>
    <n v="27.92"/>
    <n v="35"/>
    <x v="3"/>
    <x v="0"/>
    <n v="17.989999999999998"/>
    <x v="0"/>
    <x v="0"/>
    <n v="4"/>
    <n v="0.78"/>
    <x v="2"/>
  </r>
  <r>
    <s v="f7f78b0a-14a9-43c0-8ab4-dbae4364badc"/>
    <n v="22"/>
    <x v="1"/>
    <x v="2"/>
    <x v="1"/>
    <n v="1.78"/>
    <n v="17"/>
    <x v="3"/>
    <x v="3"/>
    <n v="17.989999999999998"/>
    <x v="1"/>
    <x v="4"/>
    <n v="4"/>
    <n v="0.1"/>
    <x v="5"/>
  </r>
  <r>
    <s v="6516706c-08dd-4be3-9bcf-d8cc39b8e59b"/>
    <n v="24"/>
    <x v="1"/>
    <x v="0"/>
    <x v="2"/>
    <n v="8.27"/>
    <n v="14"/>
    <x v="3"/>
    <x v="0"/>
    <n v="8.99"/>
    <x v="0"/>
    <x v="2"/>
    <n v="3"/>
    <n v="0.55000000000000004"/>
    <x v="6"/>
  </r>
  <r>
    <s v="b0d6c364-2083-42c5-9c6f-92fb5a21a71a"/>
    <n v="20"/>
    <x v="1"/>
    <x v="1"/>
    <x v="1"/>
    <n v="2.86"/>
    <n v="34"/>
    <x v="3"/>
    <x v="1"/>
    <n v="17.989999999999998"/>
    <x v="1"/>
    <x v="2"/>
    <n v="3"/>
    <n v="0.08"/>
    <x v="4"/>
  </r>
  <r>
    <s v="f55fe025-31da-4f50-ab61-f691c3fc3631"/>
    <n v="30"/>
    <x v="0"/>
    <x v="0"/>
    <x v="2"/>
    <n v="12.11"/>
    <n v="25"/>
    <x v="5"/>
    <x v="0"/>
    <n v="8.99"/>
    <x v="0"/>
    <x v="4"/>
    <n v="4"/>
    <n v="0.47"/>
    <x v="4"/>
  </r>
  <r>
    <s v="4cac4adf-90cb-4cce-a753-7aee0a1c21ae"/>
    <n v="27"/>
    <x v="0"/>
    <x v="2"/>
    <x v="1"/>
    <n v="2.83"/>
    <n v="37"/>
    <x v="5"/>
    <x v="4"/>
    <n v="17.989999999999998"/>
    <x v="1"/>
    <x v="4"/>
    <n v="2"/>
    <n v="7.0000000000000007E-2"/>
    <x v="3"/>
  </r>
  <r>
    <s v="ed8ebb86-abad-4cd8-b5b9-c5a6fb6abac7"/>
    <n v="22"/>
    <x v="1"/>
    <x v="1"/>
    <x v="0"/>
    <n v="0.72"/>
    <n v="49"/>
    <x v="3"/>
    <x v="3"/>
    <n v="13.99"/>
    <x v="1"/>
    <x v="4"/>
    <n v="5"/>
    <n v="0.01"/>
    <x v="2"/>
  </r>
  <r>
    <s v="d9ebed4c-cdb4-468e-a1e1-9e2cf8ad491d"/>
    <n v="23"/>
    <x v="1"/>
    <x v="0"/>
    <x v="1"/>
    <n v="5.48"/>
    <n v="16"/>
    <x v="1"/>
    <x v="4"/>
    <n v="17.989999999999998"/>
    <x v="0"/>
    <x v="1"/>
    <n v="1"/>
    <n v="0.32"/>
    <x v="0"/>
  </r>
  <r>
    <s v="ad1bd590-72fa-472e-9a02-22ec6cd82e5f"/>
    <n v="24"/>
    <x v="1"/>
    <x v="1"/>
    <x v="2"/>
    <n v="5.28"/>
    <n v="55"/>
    <x v="2"/>
    <x v="4"/>
    <n v="8.99"/>
    <x v="1"/>
    <x v="2"/>
    <n v="4"/>
    <n v="0.09"/>
    <x v="2"/>
  </r>
  <r>
    <s v="e68fd0c3-ad0e-46be-b2c8-233662c68310"/>
    <n v="20"/>
    <x v="1"/>
    <x v="1"/>
    <x v="0"/>
    <n v="8.9600000000000009"/>
    <n v="34"/>
    <x v="3"/>
    <x v="4"/>
    <n v="13.99"/>
    <x v="1"/>
    <x v="4"/>
    <n v="1"/>
    <n v="0.26"/>
    <x v="1"/>
  </r>
  <r>
    <s v="6b127fa4-cce8-4a17-8b7f-926b1d1edd42"/>
    <n v="19"/>
    <x v="1"/>
    <x v="2"/>
    <x v="1"/>
    <n v="14.47"/>
    <n v="27"/>
    <x v="0"/>
    <x v="2"/>
    <n v="17.989999999999998"/>
    <x v="0"/>
    <x v="0"/>
    <n v="2"/>
    <n v="0.52"/>
    <x v="3"/>
  </r>
  <r>
    <s v="c8cfc65c-6035-46d5-8c9c-d7bb68bf9f20"/>
    <n v="27"/>
    <x v="0"/>
    <x v="1"/>
    <x v="1"/>
    <n v="1.44"/>
    <n v="48"/>
    <x v="0"/>
    <x v="1"/>
    <n v="17.989999999999998"/>
    <x v="1"/>
    <x v="2"/>
    <n v="1"/>
    <n v="0.03"/>
    <x v="6"/>
  </r>
  <r>
    <s v="c0670d76-1e6f-4c29-b07e-c28c5ce90b62"/>
    <n v="33"/>
    <x v="0"/>
    <x v="1"/>
    <x v="0"/>
    <n v="16.3"/>
    <n v="11"/>
    <x v="1"/>
    <x v="4"/>
    <n v="13.99"/>
    <x v="0"/>
    <x v="4"/>
    <n v="2"/>
    <n v="1.36"/>
    <x v="6"/>
  </r>
  <r>
    <s v="dca23069-4f5f-4525-9277-eadd2bc97e9c"/>
    <n v="21"/>
    <x v="1"/>
    <x v="2"/>
    <x v="2"/>
    <n v="8.58"/>
    <n v="44"/>
    <x v="2"/>
    <x v="0"/>
    <n v="8.99"/>
    <x v="1"/>
    <x v="0"/>
    <n v="2"/>
    <n v="0.19"/>
    <x v="6"/>
  </r>
  <r>
    <s v="9836211a-c1be-4ccd-b56c-fe50e8f975fd"/>
    <n v="18"/>
    <x v="1"/>
    <x v="2"/>
    <x v="0"/>
    <n v="3.57"/>
    <n v="50"/>
    <x v="3"/>
    <x v="3"/>
    <n v="13.99"/>
    <x v="1"/>
    <x v="1"/>
    <n v="4"/>
    <n v="7.0000000000000007E-2"/>
    <x v="2"/>
  </r>
  <r>
    <s v="28f087f2-d7ca-4d0c-b8cc-17ac530ecd68"/>
    <n v="25"/>
    <x v="0"/>
    <x v="0"/>
    <x v="1"/>
    <n v="33.04"/>
    <n v="37"/>
    <x v="0"/>
    <x v="4"/>
    <n v="17.989999999999998"/>
    <x v="0"/>
    <x v="0"/>
    <n v="2"/>
    <n v="0.87"/>
    <x v="2"/>
  </r>
  <r>
    <s v="7501de45-fff5-4212-8179-1c1877baab45"/>
    <n v="26"/>
    <x v="0"/>
    <x v="2"/>
    <x v="0"/>
    <n v="11.12"/>
    <n v="2"/>
    <x v="0"/>
    <x v="0"/>
    <n v="13.99"/>
    <x v="0"/>
    <x v="1"/>
    <n v="4"/>
    <n v="3.71"/>
    <x v="2"/>
  </r>
  <r>
    <s v="c8dd50f4-f755-486a-a904-024a1be2ba69"/>
    <n v="25"/>
    <x v="0"/>
    <x v="0"/>
    <x v="1"/>
    <n v="11.67"/>
    <n v="17"/>
    <x v="3"/>
    <x v="3"/>
    <n v="17.989999999999998"/>
    <x v="0"/>
    <x v="4"/>
    <n v="4"/>
    <n v="0.65"/>
    <x v="6"/>
  </r>
  <r>
    <s v="f739acc1-b74a-4659-87ee-b634e946c9b5"/>
    <n v="26"/>
    <x v="0"/>
    <x v="2"/>
    <x v="2"/>
    <n v="10.54"/>
    <n v="27"/>
    <x v="5"/>
    <x v="0"/>
    <n v="8.99"/>
    <x v="1"/>
    <x v="3"/>
    <n v="1"/>
    <n v="0.38"/>
    <x v="2"/>
  </r>
  <r>
    <s v="a4d87de9-69bf-459a-b5e9-95b76b21badb"/>
    <n v="33"/>
    <x v="0"/>
    <x v="2"/>
    <x v="1"/>
    <n v="32.700000000000003"/>
    <n v="47"/>
    <x v="0"/>
    <x v="0"/>
    <n v="17.989999999999998"/>
    <x v="0"/>
    <x v="1"/>
    <n v="2"/>
    <n v="0.68"/>
    <x v="1"/>
  </r>
  <r>
    <s v="b9380b2a-266e-4475-a158-19726cfc98f7"/>
    <n v="26"/>
    <x v="0"/>
    <x v="0"/>
    <x v="2"/>
    <n v="14.85"/>
    <n v="26"/>
    <x v="4"/>
    <x v="2"/>
    <n v="8.99"/>
    <x v="0"/>
    <x v="0"/>
    <n v="4"/>
    <n v="0.55000000000000004"/>
    <x v="3"/>
  </r>
  <r>
    <s v="e9b2749d-d99a-4826-96f7-a9b971b69714"/>
    <n v="24"/>
    <x v="1"/>
    <x v="1"/>
    <x v="2"/>
    <n v="17.04"/>
    <n v="23"/>
    <x v="1"/>
    <x v="2"/>
    <n v="8.99"/>
    <x v="0"/>
    <x v="2"/>
    <n v="4"/>
    <n v="0.71"/>
    <x v="4"/>
  </r>
  <r>
    <s v="3f92d3cc-76cc-4fc6-a6fb-cfea5a0292be"/>
    <n v="32"/>
    <x v="0"/>
    <x v="0"/>
    <x v="0"/>
    <n v="52.67"/>
    <n v="34"/>
    <x v="0"/>
    <x v="1"/>
    <n v="13.99"/>
    <x v="0"/>
    <x v="4"/>
    <n v="3"/>
    <n v="1.5"/>
    <x v="6"/>
  </r>
  <r>
    <s v="c98b0d35-2af6-43a6-8589-e358859de87f"/>
    <n v="34"/>
    <x v="0"/>
    <x v="0"/>
    <x v="2"/>
    <n v="37.61"/>
    <n v="50"/>
    <x v="0"/>
    <x v="0"/>
    <n v="8.99"/>
    <x v="0"/>
    <x v="2"/>
    <n v="5"/>
    <n v="0.74"/>
    <x v="3"/>
  </r>
  <r>
    <s v="2452bd61-488e-4fa5-a947-3329c9d4aac3"/>
    <n v="31"/>
    <x v="0"/>
    <x v="2"/>
    <x v="1"/>
    <n v="2.62"/>
    <n v="34"/>
    <x v="5"/>
    <x v="3"/>
    <n v="17.989999999999998"/>
    <x v="1"/>
    <x v="0"/>
    <n v="4"/>
    <n v="7.0000000000000007E-2"/>
    <x v="1"/>
  </r>
  <r>
    <s v="5df7e878-2b99-4215-813e-76ddff65867e"/>
    <n v="19"/>
    <x v="1"/>
    <x v="0"/>
    <x v="0"/>
    <n v="2.38"/>
    <n v="19"/>
    <x v="1"/>
    <x v="3"/>
    <n v="13.99"/>
    <x v="1"/>
    <x v="0"/>
    <n v="3"/>
    <n v="0.12"/>
    <x v="3"/>
  </r>
  <r>
    <s v="4bcc6a9a-9a97-477c-9fef-531b6bee4626"/>
    <n v="24"/>
    <x v="1"/>
    <x v="2"/>
    <x v="0"/>
    <n v="19.5"/>
    <n v="44"/>
    <x v="3"/>
    <x v="3"/>
    <n v="13.99"/>
    <x v="1"/>
    <x v="0"/>
    <n v="5"/>
    <n v="0.43"/>
    <x v="6"/>
  </r>
  <r>
    <s v="4b1239ba-6b62-4d21-a8a6-2b59b284a1b9"/>
    <n v="25"/>
    <x v="0"/>
    <x v="1"/>
    <x v="1"/>
    <n v="11.65"/>
    <n v="18"/>
    <x v="3"/>
    <x v="3"/>
    <n v="17.989999999999998"/>
    <x v="0"/>
    <x v="2"/>
    <n v="3"/>
    <n v="0.61"/>
    <x v="1"/>
  </r>
  <r>
    <s v="10180c1a-d001-46c9-910a-1a232602a1e2"/>
    <n v="20"/>
    <x v="1"/>
    <x v="2"/>
    <x v="2"/>
    <n v="10.81"/>
    <n v="22"/>
    <x v="2"/>
    <x v="4"/>
    <n v="8.99"/>
    <x v="1"/>
    <x v="4"/>
    <n v="2"/>
    <n v="0.47"/>
    <x v="0"/>
  </r>
  <r>
    <s v="0e25484d-2192-4933-af25-8c1ce66ddef1"/>
    <n v="30"/>
    <x v="0"/>
    <x v="0"/>
    <x v="2"/>
    <n v="19.21"/>
    <n v="22"/>
    <x v="0"/>
    <x v="2"/>
    <n v="8.99"/>
    <x v="0"/>
    <x v="3"/>
    <n v="4"/>
    <n v="0.84"/>
    <x v="4"/>
  </r>
  <r>
    <s v="fa9e2423-d295-4fb8-af3c-4197ee5b7435"/>
    <n v="30"/>
    <x v="0"/>
    <x v="2"/>
    <x v="0"/>
    <n v="1.87"/>
    <n v="28"/>
    <x v="4"/>
    <x v="3"/>
    <n v="13.99"/>
    <x v="0"/>
    <x v="1"/>
    <n v="4"/>
    <n v="0.06"/>
    <x v="6"/>
  </r>
  <r>
    <s v="6d6a8d7b-f943-4279-ba4f-f2fcc8df2fc0"/>
    <n v="30"/>
    <x v="0"/>
    <x v="2"/>
    <x v="2"/>
    <n v="1.07"/>
    <n v="35"/>
    <x v="5"/>
    <x v="4"/>
    <n v="8.99"/>
    <x v="1"/>
    <x v="2"/>
    <n v="3"/>
    <n v="0.03"/>
    <x v="2"/>
  </r>
  <r>
    <s v="ff769f45-e8c0-4224-8fef-763d9b9cf9b6"/>
    <n v="19"/>
    <x v="1"/>
    <x v="1"/>
    <x v="0"/>
    <n v="12.97"/>
    <n v="36"/>
    <x v="2"/>
    <x v="3"/>
    <n v="13.99"/>
    <x v="0"/>
    <x v="1"/>
    <n v="4"/>
    <n v="0.35"/>
    <x v="4"/>
  </r>
  <r>
    <s v="4231d1df-7cdf-491d-b0ca-794940a56bfd"/>
    <n v="22"/>
    <x v="1"/>
    <x v="0"/>
    <x v="0"/>
    <n v="19.190000000000001"/>
    <n v="29"/>
    <x v="0"/>
    <x v="0"/>
    <n v="13.99"/>
    <x v="0"/>
    <x v="1"/>
    <n v="1"/>
    <n v="0.64"/>
    <x v="6"/>
  </r>
  <r>
    <s v="edfd175f-6d64-4ba5-9c17-5ed2312cfb32"/>
    <n v="32"/>
    <x v="0"/>
    <x v="0"/>
    <x v="1"/>
    <n v="14.36"/>
    <n v="0"/>
    <x v="2"/>
    <x v="3"/>
    <n v="17.989999999999998"/>
    <x v="0"/>
    <x v="3"/>
    <n v="2"/>
    <n v="14.36"/>
    <x v="4"/>
  </r>
  <r>
    <s v="c251eb3b-1929-4c6a-a29e-7bb49e637a0a"/>
    <n v="25"/>
    <x v="0"/>
    <x v="1"/>
    <x v="2"/>
    <n v="15.26"/>
    <n v="34"/>
    <x v="0"/>
    <x v="1"/>
    <n v="8.99"/>
    <x v="1"/>
    <x v="2"/>
    <n v="4"/>
    <n v="0.44"/>
    <x v="1"/>
  </r>
  <r>
    <s v="97b3ebca-2895-42c0-8c95-d75f212b5efa"/>
    <n v="34"/>
    <x v="0"/>
    <x v="1"/>
    <x v="2"/>
    <n v="4.43"/>
    <n v="33"/>
    <x v="5"/>
    <x v="1"/>
    <n v="8.99"/>
    <x v="1"/>
    <x v="4"/>
    <n v="2"/>
    <n v="0.13"/>
    <x v="4"/>
  </r>
  <r>
    <s v="72b5dad8-35cd-4e5b-b5f6-9fd189e46db5"/>
    <n v="27"/>
    <x v="0"/>
    <x v="1"/>
    <x v="1"/>
    <n v="5.05"/>
    <n v="47"/>
    <x v="2"/>
    <x v="4"/>
    <n v="17.989999999999998"/>
    <x v="1"/>
    <x v="0"/>
    <n v="5"/>
    <n v="0.11"/>
    <x v="4"/>
  </r>
  <r>
    <s v="33ce32b1-a79b-4b4f-8e3f-a73a326be03a"/>
    <n v="31"/>
    <x v="0"/>
    <x v="2"/>
    <x v="1"/>
    <n v="8.8800000000000008"/>
    <n v="25"/>
    <x v="0"/>
    <x v="0"/>
    <n v="17.989999999999998"/>
    <x v="0"/>
    <x v="1"/>
    <n v="4"/>
    <n v="0.34"/>
    <x v="3"/>
  </r>
  <r>
    <s v="7c554923-0fc8-4af4-9482-48ddaa9af4ce"/>
    <n v="30"/>
    <x v="0"/>
    <x v="0"/>
    <x v="0"/>
    <n v="28.52"/>
    <n v="28"/>
    <x v="3"/>
    <x v="0"/>
    <n v="13.99"/>
    <x v="0"/>
    <x v="2"/>
    <n v="4"/>
    <n v="0.98"/>
    <x v="5"/>
  </r>
  <r>
    <s v="07d39ac7-4f54-407c-9065-d2de9017092b"/>
    <n v="34"/>
    <x v="0"/>
    <x v="2"/>
    <x v="0"/>
    <n v="8.59"/>
    <n v="17"/>
    <x v="2"/>
    <x v="0"/>
    <n v="13.99"/>
    <x v="0"/>
    <x v="4"/>
    <n v="3"/>
    <n v="0.48"/>
    <x v="0"/>
  </r>
  <r>
    <s v="4825a472-0710-4ab2-824d-2fdd30ed23ca"/>
    <n v="27"/>
    <x v="0"/>
    <x v="2"/>
    <x v="1"/>
    <n v="18.7"/>
    <n v="29"/>
    <x v="1"/>
    <x v="2"/>
    <n v="17.989999999999998"/>
    <x v="0"/>
    <x v="2"/>
    <n v="4"/>
    <n v="0.62"/>
    <x v="3"/>
  </r>
  <r>
    <s v="c175fd94-acfe-41f0-9c92-0f5e386499fe"/>
    <n v="21"/>
    <x v="1"/>
    <x v="0"/>
    <x v="0"/>
    <n v="12.52"/>
    <n v="46"/>
    <x v="3"/>
    <x v="1"/>
    <n v="13.99"/>
    <x v="1"/>
    <x v="0"/>
    <n v="5"/>
    <n v="0.27"/>
    <x v="2"/>
  </r>
  <r>
    <s v="d4b6b1c5-e809-4a36-9126-c485c93c2099"/>
    <n v="32"/>
    <x v="0"/>
    <x v="2"/>
    <x v="1"/>
    <n v="0.53"/>
    <n v="23"/>
    <x v="4"/>
    <x v="2"/>
    <n v="17.989999999999998"/>
    <x v="1"/>
    <x v="0"/>
    <n v="3"/>
    <n v="0.02"/>
    <x v="3"/>
  </r>
  <r>
    <s v="abcdc4df-ade6-4dc0-a29f-26751510f091"/>
    <n v="26"/>
    <x v="0"/>
    <x v="1"/>
    <x v="0"/>
    <n v="4.42"/>
    <n v="55"/>
    <x v="0"/>
    <x v="1"/>
    <n v="13.99"/>
    <x v="1"/>
    <x v="3"/>
    <n v="4"/>
    <n v="0.08"/>
    <x v="2"/>
  </r>
  <r>
    <s v="9176aa47-8f35-4b61-aa0c-7f5e82ef4315"/>
    <n v="31"/>
    <x v="0"/>
    <x v="0"/>
    <x v="2"/>
    <n v="0.42"/>
    <n v="43"/>
    <x v="5"/>
    <x v="4"/>
    <n v="8.99"/>
    <x v="1"/>
    <x v="2"/>
    <n v="3"/>
    <n v="0.01"/>
    <x v="5"/>
  </r>
  <r>
    <s v="c52e4d67-f98f-4f1e-83a0-ec401295cd65"/>
    <n v="28"/>
    <x v="0"/>
    <x v="2"/>
    <x v="0"/>
    <n v="1.05"/>
    <n v="26"/>
    <x v="1"/>
    <x v="1"/>
    <n v="13.99"/>
    <x v="0"/>
    <x v="3"/>
    <n v="4"/>
    <n v="0.04"/>
    <x v="3"/>
  </r>
  <r>
    <s v="6d40b2a3-6520-4f59-b076-276940e28dee"/>
    <n v="19"/>
    <x v="1"/>
    <x v="0"/>
    <x v="1"/>
    <n v="4.0599999999999996"/>
    <n v="7"/>
    <x v="3"/>
    <x v="1"/>
    <n v="17.989999999999998"/>
    <x v="0"/>
    <x v="3"/>
    <n v="3"/>
    <n v="0.51"/>
    <x v="3"/>
  </r>
  <r>
    <s v="65c8b6a9-0386-40de-b313-0ccfd413fda0"/>
    <n v="34"/>
    <x v="0"/>
    <x v="1"/>
    <x v="1"/>
    <n v="9.67"/>
    <n v="7"/>
    <x v="5"/>
    <x v="2"/>
    <n v="17.989999999999998"/>
    <x v="0"/>
    <x v="2"/>
    <n v="1"/>
    <n v="1.21"/>
    <x v="0"/>
  </r>
  <r>
    <s v="f30ef5c3-be17-4886-9bcf-a859532fbfef"/>
    <n v="27"/>
    <x v="0"/>
    <x v="1"/>
    <x v="2"/>
    <n v="2.58"/>
    <n v="6"/>
    <x v="2"/>
    <x v="4"/>
    <n v="8.99"/>
    <x v="1"/>
    <x v="1"/>
    <n v="3"/>
    <n v="0.37"/>
    <x v="4"/>
  </r>
  <r>
    <s v="13169809-d529-496b-a4f8-1d470a744300"/>
    <n v="22"/>
    <x v="1"/>
    <x v="1"/>
    <x v="0"/>
    <n v="2.12"/>
    <n v="58"/>
    <x v="1"/>
    <x v="2"/>
    <n v="13.99"/>
    <x v="1"/>
    <x v="4"/>
    <n v="1"/>
    <n v="0.04"/>
    <x v="3"/>
  </r>
  <r>
    <s v="d5dbc55b-8ef1-4988-a9b0-c45505ca2431"/>
    <n v="28"/>
    <x v="0"/>
    <x v="1"/>
    <x v="2"/>
    <n v="4.82"/>
    <n v="31"/>
    <x v="4"/>
    <x v="3"/>
    <n v="8.99"/>
    <x v="1"/>
    <x v="0"/>
    <n v="5"/>
    <n v="0.15"/>
    <x v="0"/>
  </r>
  <r>
    <s v="8afd45e9-d401-4a9b-b3c6-e20808c39073"/>
    <n v="27"/>
    <x v="0"/>
    <x v="2"/>
    <x v="2"/>
    <n v="46.09"/>
    <n v="3"/>
    <x v="5"/>
    <x v="0"/>
    <n v="8.99"/>
    <x v="0"/>
    <x v="0"/>
    <n v="4"/>
    <n v="11.52"/>
    <x v="5"/>
  </r>
  <r>
    <s v="938b3e5a-2269-45d3-9a05-b04df79d7719"/>
    <n v="22"/>
    <x v="1"/>
    <x v="1"/>
    <x v="1"/>
    <n v="2.15"/>
    <n v="30"/>
    <x v="2"/>
    <x v="4"/>
    <n v="17.989999999999998"/>
    <x v="1"/>
    <x v="1"/>
    <n v="3"/>
    <n v="7.0000000000000007E-2"/>
    <x v="0"/>
  </r>
  <r>
    <s v="16cf6caf-bc65-4ec7-bf7b-ed1944ac741d"/>
    <n v="21"/>
    <x v="1"/>
    <x v="2"/>
    <x v="0"/>
    <n v="12.34"/>
    <n v="5"/>
    <x v="3"/>
    <x v="4"/>
    <n v="13.99"/>
    <x v="0"/>
    <x v="3"/>
    <n v="2"/>
    <n v="2.06"/>
    <x v="6"/>
  </r>
  <r>
    <s v="34c37623-852f-4ce4-92f1-f8c41322e3a3"/>
    <n v="21"/>
    <x v="1"/>
    <x v="1"/>
    <x v="1"/>
    <n v="13.66"/>
    <n v="36"/>
    <x v="5"/>
    <x v="4"/>
    <n v="17.989999999999998"/>
    <x v="1"/>
    <x v="2"/>
    <n v="3"/>
    <n v="0.37"/>
    <x v="2"/>
  </r>
  <r>
    <s v="1de748fc-27f6-4d04-95b1-43185506ff98"/>
    <n v="32"/>
    <x v="0"/>
    <x v="2"/>
    <x v="1"/>
    <n v="13.09"/>
    <n v="51"/>
    <x v="4"/>
    <x v="4"/>
    <n v="17.989999999999998"/>
    <x v="1"/>
    <x v="0"/>
    <n v="2"/>
    <n v="0.25"/>
    <x v="3"/>
  </r>
  <r>
    <s v="7ae851ab-037f-41f3-b58a-a54190149ed0"/>
    <n v="24"/>
    <x v="1"/>
    <x v="0"/>
    <x v="2"/>
    <n v="0.19"/>
    <n v="49"/>
    <x v="5"/>
    <x v="4"/>
    <n v="8.99"/>
    <x v="1"/>
    <x v="0"/>
    <n v="3"/>
    <n v="0"/>
    <x v="4"/>
  </r>
  <r>
    <s v="692b797c-2e2c-4907-a81a-24f394f25810"/>
    <n v="30"/>
    <x v="0"/>
    <x v="0"/>
    <x v="2"/>
    <n v="4.21"/>
    <n v="13"/>
    <x v="5"/>
    <x v="3"/>
    <n v="8.99"/>
    <x v="1"/>
    <x v="1"/>
    <n v="4"/>
    <n v="0.3"/>
    <x v="0"/>
  </r>
  <r>
    <s v="91898a2b-07f0-43d5-aecb-7933052c3f77"/>
    <n v="32"/>
    <x v="0"/>
    <x v="0"/>
    <x v="0"/>
    <n v="2.74"/>
    <n v="8"/>
    <x v="0"/>
    <x v="0"/>
    <n v="13.99"/>
    <x v="1"/>
    <x v="2"/>
    <n v="1"/>
    <n v="0.3"/>
    <x v="3"/>
  </r>
  <r>
    <s v="12be3d4b-67ef-4665-a7bb-f889989afe1a"/>
    <n v="33"/>
    <x v="0"/>
    <x v="0"/>
    <x v="1"/>
    <n v="11.3"/>
    <n v="7"/>
    <x v="4"/>
    <x v="4"/>
    <n v="17.989999999999998"/>
    <x v="0"/>
    <x v="4"/>
    <n v="1"/>
    <n v="1.41"/>
    <x v="0"/>
  </r>
  <r>
    <s v="d14be48f-b54b-4b14-90b7-153e6c90a1ed"/>
    <n v="31"/>
    <x v="0"/>
    <x v="0"/>
    <x v="1"/>
    <n v="3.13"/>
    <n v="7"/>
    <x v="4"/>
    <x v="2"/>
    <n v="17.989999999999998"/>
    <x v="0"/>
    <x v="1"/>
    <n v="5"/>
    <n v="0.39"/>
    <x v="5"/>
  </r>
  <r>
    <s v="f4eaec8d-554b-40c5-9761-c74633a253b5"/>
    <n v="19"/>
    <x v="1"/>
    <x v="0"/>
    <x v="1"/>
    <n v="0.6"/>
    <n v="26"/>
    <x v="5"/>
    <x v="2"/>
    <n v="17.989999999999998"/>
    <x v="1"/>
    <x v="4"/>
    <n v="1"/>
    <n v="0.02"/>
    <x v="6"/>
  </r>
  <r>
    <s v="1d72e7f2-4e93-471d-8d46-772c2d538fdd"/>
    <n v="25"/>
    <x v="0"/>
    <x v="2"/>
    <x v="1"/>
    <n v="44.46"/>
    <n v="33"/>
    <x v="5"/>
    <x v="4"/>
    <n v="17.989999999999998"/>
    <x v="0"/>
    <x v="3"/>
    <n v="1"/>
    <n v="1.31"/>
    <x v="0"/>
  </r>
  <r>
    <s v="f0c87ced-93a5-4494-a348-fcfcecb24541"/>
    <n v="19"/>
    <x v="1"/>
    <x v="2"/>
    <x v="1"/>
    <n v="0.36"/>
    <n v="28"/>
    <x v="5"/>
    <x v="3"/>
    <n v="17.989999999999998"/>
    <x v="1"/>
    <x v="2"/>
    <n v="1"/>
    <n v="0.01"/>
    <x v="1"/>
  </r>
  <r>
    <s v="a5e64288-3362-4735-be6e-a09c1c044761"/>
    <n v="26"/>
    <x v="0"/>
    <x v="1"/>
    <x v="2"/>
    <n v="23.33"/>
    <n v="27"/>
    <x v="4"/>
    <x v="2"/>
    <n v="8.99"/>
    <x v="0"/>
    <x v="4"/>
    <n v="1"/>
    <n v="0.83"/>
    <x v="3"/>
  </r>
  <r>
    <s v="44f7004f-4f0c-4ff0-848b-97da9a781eb0"/>
    <n v="18"/>
    <x v="1"/>
    <x v="2"/>
    <x v="1"/>
    <n v="10.08"/>
    <n v="33"/>
    <x v="5"/>
    <x v="2"/>
    <n v="17.989999999999998"/>
    <x v="1"/>
    <x v="2"/>
    <n v="2"/>
    <n v="0.3"/>
    <x v="5"/>
  </r>
  <r>
    <s v="47ea998f-01f4-4e7e-8c55-0fa01baecd11"/>
    <n v="28"/>
    <x v="0"/>
    <x v="2"/>
    <x v="2"/>
    <n v="0.43"/>
    <n v="6"/>
    <x v="2"/>
    <x v="0"/>
    <n v="8.99"/>
    <x v="1"/>
    <x v="2"/>
    <n v="3"/>
    <n v="0.06"/>
    <x v="0"/>
  </r>
  <r>
    <s v="d763fc11-4943-4f8b-80c2-4de5ba439245"/>
    <n v="34"/>
    <x v="0"/>
    <x v="0"/>
    <x v="1"/>
    <n v="1.67"/>
    <n v="29"/>
    <x v="3"/>
    <x v="4"/>
    <n v="17.989999999999998"/>
    <x v="1"/>
    <x v="2"/>
    <n v="1"/>
    <n v="0.06"/>
    <x v="1"/>
  </r>
  <r>
    <s v="d9930885-add6-474c-91bd-a2f9d0d2629d"/>
    <n v="31"/>
    <x v="0"/>
    <x v="0"/>
    <x v="1"/>
    <n v="0.56999999999999995"/>
    <n v="60"/>
    <x v="5"/>
    <x v="2"/>
    <n v="17.989999999999998"/>
    <x v="1"/>
    <x v="0"/>
    <n v="3"/>
    <n v="0.01"/>
    <x v="3"/>
  </r>
  <r>
    <s v="bf9a7e56-2737-4931-a68d-e0b9696b65d7"/>
    <n v="29"/>
    <x v="0"/>
    <x v="2"/>
    <x v="0"/>
    <n v="4.09"/>
    <n v="59"/>
    <x v="1"/>
    <x v="0"/>
    <n v="13.99"/>
    <x v="1"/>
    <x v="2"/>
    <n v="2"/>
    <n v="7.0000000000000007E-2"/>
    <x v="6"/>
  </r>
  <r>
    <s v="44e03489-87f8-4024-8ad0-24eb139168fe"/>
    <n v="27"/>
    <x v="0"/>
    <x v="2"/>
    <x v="2"/>
    <n v="3.36"/>
    <n v="22"/>
    <x v="0"/>
    <x v="2"/>
    <n v="8.99"/>
    <x v="1"/>
    <x v="3"/>
    <n v="3"/>
    <n v="0.15"/>
    <x v="4"/>
  </r>
  <r>
    <s v="72556cf5-71a1-404b-bb96-e1d49e112ed3"/>
    <n v="30"/>
    <x v="0"/>
    <x v="2"/>
    <x v="1"/>
    <n v="1.84"/>
    <n v="2"/>
    <x v="5"/>
    <x v="4"/>
    <n v="17.989999999999998"/>
    <x v="0"/>
    <x v="3"/>
    <n v="2"/>
    <n v="0.61"/>
    <x v="3"/>
  </r>
  <r>
    <s v="5d4f942c-5e0c-4e72-b7e5-c03cc4dc020c"/>
    <n v="33"/>
    <x v="0"/>
    <x v="1"/>
    <x v="2"/>
    <n v="4.4400000000000004"/>
    <n v="28"/>
    <x v="0"/>
    <x v="2"/>
    <n v="8.99"/>
    <x v="1"/>
    <x v="0"/>
    <n v="1"/>
    <n v="0.15"/>
    <x v="2"/>
  </r>
  <r>
    <s v="8e64c096-6cc3-468e-b5bc-63c64e8ea64a"/>
    <n v="24"/>
    <x v="1"/>
    <x v="0"/>
    <x v="1"/>
    <n v="15.52"/>
    <n v="33"/>
    <x v="1"/>
    <x v="0"/>
    <n v="17.989999999999998"/>
    <x v="1"/>
    <x v="0"/>
    <n v="1"/>
    <n v="0.46"/>
    <x v="4"/>
  </r>
  <r>
    <s v="dcc0039c-307a-4d72-a67e-a69688d676db"/>
    <n v="19"/>
    <x v="1"/>
    <x v="1"/>
    <x v="1"/>
    <n v="1.68"/>
    <n v="18"/>
    <x v="3"/>
    <x v="4"/>
    <n v="17.989999999999998"/>
    <x v="0"/>
    <x v="3"/>
    <n v="4"/>
    <n v="0.09"/>
    <x v="2"/>
  </r>
  <r>
    <s v="6c89b2aa-65db-477b-8a60-5d8da393950f"/>
    <n v="33"/>
    <x v="0"/>
    <x v="2"/>
    <x v="1"/>
    <n v="22.26"/>
    <n v="35"/>
    <x v="1"/>
    <x v="4"/>
    <n v="17.989999999999998"/>
    <x v="0"/>
    <x v="1"/>
    <n v="3"/>
    <n v="0.62"/>
    <x v="0"/>
  </r>
  <r>
    <s v="2a2087f5-d137-4320-a395-2352acab3eef"/>
    <n v="19"/>
    <x v="1"/>
    <x v="0"/>
    <x v="2"/>
    <n v="48.49"/>
    <n v="7"/>
    <x v="1"/>
    <x v="0"/>
    <n v="8.99"/>
    <x v="0"/>
    <x v="1"/>
    <n v="4"/>
    <n v="6.06"/>
    <x v="3"/>
  </r>
  <r>
    <s v="c8363c4a-8478-4498-b1fb-f6c33222e11d"/>
    <n v="18"/>
    <x v="1"/>
    <x v="0"/>
    <x v="2"/>
    <n v="1.97"/>
    <n v="46"/>
    <x v="2"/>
    <x v="0"/>
    <n v="8.99"/>
    <x v="1"/>
    <x v="0"/>
    <n v="2"/>
    <n v="0.04"/>
    <x v="3"/>
  </r>
  <r>
    <s v="ad7ef66f-b1ff-4e88-a13a-3a031501a8cb"/>
    <n v="20"/>
    <x v="1"/>
    <x v="2"/>
    <x v="2"/>
    <n v="3.38"/>
    <n v="34"/>
    <x v="1"/>
    <x v="0"/>
    <n v="8.99"/>
    <x v="1"/>
    <x v="2"/>
    <n v="5"/>
    <n v="0.1"/>
    <x v="4"/>
  </r>
  <r>
    <s v="1adad285-b2b1-4090-84b5-21d9aa4d1922"/>
    <n v="30"/>
    <x v="0"/>
    <x v="1"/>
    <x v="1"/>
    <n v="4.45"/>
    <n v="43"/>
    <x v="1"/>
    <x v="2"/>
    <n v="17.989999999999998"/>
    <x v="1"/>
    <x v="4"/>
    <n v="4"/>
    <n v="0.1"/>
    <x v="3"/>
  </r>
  <r>
    <s v="23cfb542-2422-44ab-9acf-48096caccd3c"/>
    <n v="18"/>
    <x v="1"/>
    <x v="1"/>
    <x v="1"/>
    <n v="9.52"/>
    <n v="5"/>
    <x v="5"/>
    <x v="3"/>
    <n v="17.989999999999998"/>
    <x v="0"/>
    <x v="4"/>
    <n v="2"/>
    <n v="1.59"/>
    <x v="0"/>
  </r>
  <r>
    <s v="3ad7f42c-02c6-469e-915c-cc1d57bba996"/>
    <n v="19"/>
    <x v="1"/>
    <x v="2"/>
    <x v="1"/>
    <n v="5.34"/>
    <n v="0"/>
    <x v="1"/>
    <x v="4"/>
    <n v="17.989999999999998"/>
    <x v="0"/>
    <x v="2"/>
    <n v="3"/>
    <n v="5.34"/>
    <x v="5"/>
  </r>
  <r>
    <s v="4f064243-4e60-4a9b-ab4e-b4b262969f53"/>
    <n v="26"/>
    <x v="0"/>
    <x v="2"/>
    <x v="1"/>
    <n v="8.1300000000000008"/>
    <n v="12"/>
    <x v="2"/>
    <x v="1"/>
    <n v="17.989999999999998"/>
    <x v="0"/>
    <x v="2"/>
    <n v="4"/>
    <n v="0.63"/>
    <x v="6"/>
  </r>
  <r>
    <s v="3cd1c05f-5575-4a10-ac1f-b67337a7acaf"/>
    <n v="19"/>
    <x v="1"/>
    <x v="0"/>
    <x v="1"/>
    <n v="4.7300000000000004"/>
    <n v="41"/>
    <x v="0"/>
    <x v="4"/>
    <n v="17.989999999999998"/>
    <x v="1"/>
    <x v="0"/>
    <n v="2"/>
    <n v="0.11"/>
    <x v="0"/>
  </r>
  <r>
    <s v="7e9ddb87-4b17-40c9-aa12-a070f3720693"/>
    <n v="18"/>
    <x v="1"/>
    <x v="0"/>
    <x v="0"/>
    <n v="5.32"/>
    <n v="18"/>
    <x v="0"/>
    <x v="3"/>
    <n v="13.99"/>
    <x v="0"/>
    <x v="4"/>
    <n v="3"/>
    <n v="0.28000000000000003"/>
    <x v="6"/>
  </r>
  <r>
    <s v="a7ffdf22-b673-4b5a-aed8-8c53ed42814d"/>
    <n v="22"/>
    <x v="1"/>
    <x v="1"/>
    <x v="1"/>
    <n v="32.25"/>
    <n v="30"/>
    <x v="3"/>
    <x v="0"/>
    <n v="17.989999999999998"/>
    <x v="0"/>
    <x v="4"/>
    <n v="2"/>
    <n v="1.04"/>
    <x v="4"/>
  </r>
  <r>
    <s v="71243054-81b6-43a9-bea5-0bb0a0b2cf11"/>
    <n v="34"/>
    <x v="0"/>
    <x v="1"/>
    <x v="1"/>
    <n v="1.41"/>
    <n v="20"/>
    <x v="2"/>
    <x v="0"/>
    <n v="17.989999999999998"/>
    <x v="0"/>
    <x v="2"/>
    <n v="4"/>
    <n v="7.0000000000000007E-2"/>
    <x v="3"/>
  </r>
  <r>
    <s v="cde28795-9a83-4b21-85a4-2fdd628430a5"/>
    <n v="33"/>
    <x v="0"/>
    <x v="2"/>
    <x v="1"/>
    <n v="12"/>
    <n v="18"/>
    <x v="3"/>
    <x v="1"/>
    <n v="17.989999999999998"/>
    <x v="0"/>
    <x v="1"/>
    <n v="3"/>
    <n v="0.63"/>
    <x v="1"/>
  </r>
  <r>
    <s v="dfcfa9b7-1cf2-4fc2-a671-12b758a6d6fd"/>
    <n v="31"/>
    <x v="0"/>
    <x v="0"/>
    <x v="2"/>
    <n v="9.3800000000000008"/>
    <n v="9"/>
    <x v="3"/>
    <x v="0"/>
    <n v="8.99"/>
    <x v="0"/>
    <x v="0"/>
    <n v="1"/>
    <n v="0.94"/>
    <x v="2"/>
  </r>
  <r>
    <s v="e502bbd1-d79d-4705-b2f8-51d3d0da534a"/>
    <n v="22"/>
    <x v="1"/>
    <x v="1"/>
    <x v="1"/>
    <n v="10.69"/>
    <n v="7"/>
    <x v="3"/>
    <x v="0"/>
    <n v="17.989999999999998"/>
    <x v="0"/>
    <x v="4"/>
    <n v="2"/>
    <n v="1.34"/>
    <x v="0"/>
  </r>
  <r>
    <s v="126bb497-94e7-4c3e-b7e4-58f87b347217"/>
    <n v="27"/>
    <x v="0"/>
    <x v="1"/>
    <x v="2"/>
    <n v="8.8800000000000008"/>
    <n v="46"/>
    <x v="0"/>
    <x v="0"/>
    <n v="8.99"/>
    <x v="1"/>
    <x v="1"/>
    <n v="2"/>
    <n v="0.19"/>
    <x v="3"/>
  </r>
  <r>
    <s v="783256b2-4209-4768-8239-6c32fd358074"/>
    <n v="26"/>
    <x v="0"/>
    <x v="2"/>
    <x v="2"/>
    <n v="2.1800000000000002"/>
    <n v="37"/>
    <x v="1"/>
    <x v="2"/>
    <n v="8.99"/>
    <x v="1"/>
    <x v="3"/>
    <n v="5"/>
    <n v="0.06"/>
    <x v="1"/>
  </r>
  <r>
    <s v="1b8d684d-619c-41b0-9e21-ae96bf84dcf7"/>
    <n v="24"/>
    <x v="1"/>
    <x v="1"/>
    <x v="0"/>
    <n v="0.72"/>
    <n v="56"/>
    <x v="2"/>
    <x v="0"/>
    <n v="13.99"/>
    <x v="1"/>
    <x v="0"/>
    <n v="2"/>
    <n v="0.01"/>
    <x v="4"/>
  </r>
  <r>
    <s v="aaddbc84-7ee8-4c0f-8e0c-16ca63dd7881"/>
    <n v="30"/>
    <x v="0"/>
    <x v="0"/>
    <x v="1"/>
    <n v="6.24"/>
    <n v="29"/>
    <x v="5"/>
    <x v="4"/>
    <n v="17.989999999999998"/>
    <x v="0"/>
    <x v="4"/>
    <n v="3"/>
    <n v="0.21"/>
    <x v="6"/>
  </r>
  <r>
    <s v="8dc81534-c8a1-4a55-8f4c-5e34ba2ae7bc"/>
    <n v="28"/>
    <x v="0"/>
    <x v="2"/>
    <x v="0"/>
    <n v="10.69"/>
    <n v="51"/>
    <x v="0"/>
    <x v="1"/>
    <n v="13.99"/>
    <x v="1"/>
    <x v="0"/>
    <n v="3"/>
    <n v="0.21"/>
    <x v="1"/>
  </r>
  <r>
    <s v="ba083146-d48c-4d1f-aca2-ca4bc5d6178a"/>
    <n v="24"/>
    <x v="1"/>
    <x v="0"/>
    <x v="2"/>
    <n v="26.07"/>
    <n v="27"/>
    <x v="0"/>
    <x v="1"/>
    <n v="8.99"/>
    <x v="0"/>
    <x v="2"/>
    <n v="2"/>
    <n v="0.93"/>
    <x v="6"/>
  </r>
  <r>
    <s v="f6f6624a-b2d0-4655-a972-f9bec17a6ee4"/>
    <n v="23"/>
    <x v="1"/>
    <x v="1"/>
    <x v="1"/>
    <n v="12.51"/>
    <n v="11"/>
    <x v="1"/>
    <x v="2"/>
    <n v="17.989999999999998"/>
    <x v="0"/>
    <x v="0"/>
    <n v="4"/>
    <n v="1.04"/>
    <x v="5"/>
  </r>
  <r>
    <s v="458dc247-15ed-4e76-aa27-d2f194e47d2a"/>
    <n v="30"/>
    <x v="0"/>
    <x v="0"/>
    <x v="2"/>
    <n v="1.6"/>
    <n v="56"/>
    <x v="1"/>
    <x v="3"/>
    <n v="8.99"/>
    <x v="1"/>
    <x v="1"/>
    <n v="2"/>
    <n v="0.03"/>
    <x v="2"/>
  </r>
  <r>
    <s v="18fdd87e-1221-4b90-a8ac-c80d74f6511f"/>
    <n v="22"/>
    <x v="1"/>
    <x v="1"/>
    <x v="1"/>
    <n v="17.850000000000001"/>
    <n v="46"/>
    <x v="2"/>
    <x v="0"/>
    <n v="17.989999999999998"/>
    <x v="1"/>
    <x v="3"/>
    <n v="2"/>
    <n v="0.38"/>
    <x v="4"/>
  </r>
  <r>
    <s v="ca75f885-2393-40f3-bd87-28f761ef8487"/>
    <n v="22"/>
    <x v="1"/>
    <x v="0"/>
    <x v="2"/>
    <n v="0.68"/>
    <n v="21"/>
    <x v="5"/>
    <x v="0"/>
    <n v="8.99"/>
    <x v="1"/>
    <x v="1"/>
    <n v="1"/>
    <n v="0.03"/>
    <x v="3"/>
  </r>
  <r>
    <s v="984019b7-1f52-407c-a36f-8288f6a141a0"/>
    <n v="33"/>
    <x v="0"/>
    <x v="2"/>
    <x v="1"/>
    <n v="0.69"/>
    <n v="13"/>
    <x v="0"/>
    <x v="4"/>
    <n v="17.989999999999998"/>
    <x v="1"/>
    <x v="0"/>
    <n v="4"/>
    <n v="0.05"/>
    <x v="5"/>
  </r>
  <r>
    <s v="bf7c20e7-a641-4744-b5f5-77726be8761b"/>
    <n v="24"/>
    <x v="1"/>
    <x v="1"/>
    <x v="2"/>
    <n v="2.59"/>
    <n v="24"/>
    <x v="4"/>
    <x v="2"/>
    <n v="8.99"/>
    <x v="1"/>
    <x v="4"/>
    <n v="3"/>
    <n v="0.1"/>
    <x v="2"/>
  </r>
  <r>
    <s v="615bf370-1547-4522-bd9a-095ea804c262"/>
    <n v="26"/>
    <x v="0"/>
    <x v="2"/>
    <x v="1"/>
    <n v="1.87"/>
    <n v="26"/>
    <x v="2"/>
    <x v="0"/>
    <n v="17.989999999999998"/>
    <x v="1"/>
    <x v="0"/>
    <n v="3"/>
    <n v="7.0000000000000007E-2"/>
    <x v="1"/>
  </r>
  <r>
    <s v="6b9ea7e4-5a75-4ad1-8e49-8b47731862a2"/>
    <n v="32"/>
    <x v="0"/>
    <x v="0"/>
    <x v="2"/>
    <n v="6.82"/>
    <n v="42"/>
    <x v="3"/>
    <x v="2"/>
    <n v="8.99"/>
    <x v="1"/>
    <x v="2"/>
    <n v="5"/>
    <n v="0.16"/>
    <x v="1"/>
  </r>
  <r>
    <s v="411b6bce-947c-4e94-a92c-f9709d42f9ea"/>
    <n v="22"/>
    <x v="1"/>
    <x v="0"/>
    <x v="0"/>
    <n v="3.05"/>
    <n v="48"/>
    <x v="2"/>
    <x v="3"/>
    <n v="13.99"/>
    <x v="1"/>
    <x v="0"/>
    <n v="4"/>
    <n v="0.06"/>
    <x v="5"/>
  </r>
  <r>
    <s v="7d2e8c99-eba5-41d7-8a5a-6f5d58fecaca"/>
    <n v="23"/>
    <x v="1"/>
    <x v="1"/>
    <x v="2"/>
    <n v="14.42"/>
    <n v="2"/>
    <x v="3"/>
    <x v="4"/>
    <n v="8.99"/>
    <x v="0"/>
    <x v="0"/>
    <n v="2"/>
    <n v="4.8099999999999996"/>
    <x v="4"/>
  </r>
  <r>
    <s v="8443f57d-34f9-495c-9471-eb212212192e"/>
    <n v="21"/>
    <x v="1"/>
    <x v="0"/>
    <x v="1"/>
    <n v="34.18"/>
    <n v="47"/>
    <x v="1"/>
    <x v="2"/>
    <n v="17.989999999999998"/>
    <x v="0"/>
    <x v="4"/>
    <n v="1"/>
    <n v="0.71"/>
    <x v="1"/>
  </r>
  <r>
    <s v="eb1715dc-8db7-4781-a6fd-027e5f6bb5ac"/>
    <n v="20"/>
    <x v="1"/>
    <x v="1"/>
    <x v="1"/>
    <n v="1.78"/>
    <n v="34"/>
    <x v="0"/>
    <x v="3"/>
    <n v="17.989999999999998"/>
    <x v="1"/>
    <x v="2"/>
    <n v="5"/>
    <n v="0.05"/>
    <x v="3"/>
  </r>
  <r>
    <s v="c2e9b503-386d-42dc-bac7-6a297a98e82c"/>
    <n v="34"/>
    <x v="0"/>
    <x v="2"/>
    <x v="2"/>
    <n v="10.48"/>
    <n v="60"/>
    <x v="1"/>
    <x v="3"/>
    <n v="8.99"/>
    <x v="1"/>
    <x v="0"/>
    <n v="5"/>
    <n v="0.17"/>
    <x v="4"/>
  </r>
  <r>
    <s v="3589dd2e-c79a-4239-99fb-f35c8b19f77c"/>
    <n v="31"/>
    <x v="0"/>
    <x v="2"/>
    <x v="2"/>
    <n v="1.61"/>
    <n v="41"/>
    <x v="4"/>
    <x v="4"/>
    <n v="8.99"/>
    <x v="1"/>
    <x v="4"/>
    <n v="2"/>
    <n v="0.04"/>
    <x v="6"/>
  </r>
  <r>
    <s v="d487b07d-0a2d-49c5-81f9-0ca3d4a25069"/>
    <n v="31"/>
    <x v="0"/>
    <x v="2"/>
    <x v="1"/>
    <n v="4"/>
    <n v="10"/>
    <x v="2"/>
    <x v="2"/>
    <n v="17.989999999999998"/>
    <x v="0"/>
    <x v="1"/>
    <n v="5"/>
    <n v="0.36"/>
    <x v="1"/>
  </r>
  <r>
    <s v="e1844a6b-1068-4951-83f9-eb207e5b60d3"/>
    <n v="24"/>
    <x v="1"/>
    <x v="0"/>
    <x v="2"/>
    <n v="6.65"/>
    <n v="41"/>
    <x v="1"/>
    <x v="3"/>
    <n v="8.99"/>
    <x v="1"/>
    <x v="0"/>
    <n v="2"/>
    <n v="0.16"/>
    <x v="4"/>
  </r>
  <r>
    <s v="996b6673-00fa-4bf0-b45d-74d98888f537"/>
    <n v="26"/>
    <x v="0"/>
    <x v="0"/>
    <x v="2"/>
    <n v="7.83"/>
    <n v="1"/>
    <x v="4"/>
    <x v="4"/>
    <n v="8.99"/>
    <x v="0"/>
    <x v="2"/>
    <n v="1"/>
    <n v="3.92"/>
    <x v="5"/>
  </r>
  <r>
    <s v="01adeb52-273b-42eb-979a-3fb1a4440a75"/>
    <n v="32"/>
    <x v="0"/>
    <x v="1"/>
    <x v="2"/>
    <n v="8.18"/>
    <n v="16"/>
    <x v="5"/>
    <x v="3"/>
    <n v="8.99"/>
    <x v="0"/>
    <x v="1"/>
    <n v="4"/>
    <n v="0.48"/>
    <x v="6"/>
  </r>
  <r>
    <s v="1a3f4483-772d-43ea-a48a-605e0ebe7079"/>
    <n v="33"/>
    <x v="0"/>
    <x v="1"/>
    <x v="1"/>
    <n v="9.1"/>
    <n v="26"/>
    <x v="2"/>
    <x v="1"/>
    <n v="17.989999999999998"/>
    <x v="0"/>
    <x v="4"/>
    <n v="2"/>
    <n v="0.34"/>
    <x v="0"/>
  </r>
  <r>
    <s v="a03ee82d-6ef9-4c38-976a-d121e6b7dea0"/>
    <n v="29"/>
    <x v="0"/>
    <x v="2"/>
    <x v="2"/>
    <n v="3.75"/>
    <n v="49"/>
    <x v="2"/>
    <x v="4"/>
    <n v="8.99"/>
    <x v="1"/>
    <x v="0"/>
    <n v="1"/>
    <n v="7.0000000000000007E-2"/>
    <x v="4"/>
  </r>
  <r>
    <s v="b8004935-690f-401b-b365-33b40b1d5d4e"/>
    <n v="18"/>
    <x v="1"/>
    <x v="2"/>
    <x v="1"/>
    <n v="2.5299999999999998"/>
    <n v="38"/>
    <x v="0"/>
    <x v="2"/>
    <n v="17.989999999999998"/>
    <x v="1"/>
    <x v="1"/>
    <n v="3"/>
    <n v="0.06"/>
    <x v="6"/>
  </r>
  <r>
    <s v="77a52f9c-7768-491c-9b1d-723ead182bdf"/>
    <n v="23"/>
    <x v="1"/>
    <x v="1"/>
    <x v="2"/>
    <n v="10.62"/>
    <n v="52"/>
    <x v="4"/>
    <x v="2"/>
    <n v="8.99"/>
    <x v="1"/>
    <x v="4"/>
    <n v="4"/>
    <n v="0.2"/>
    <x v="1"/>
  </r>
  <r>
    <s v="5cc8a992-4c30-43be-a159-973c513b4dd6"/>
    <n v="30"/>
    <x v="0"/>
    <x v="0"/>
    <x v="2"/>
    <n v="8.52"/>
    <n v="11"/>
    <x v="0"/>
    <x v="1"/>
    <n v="8.99"/>
    <x v="0"/>
    <x v="4"/>
    <n v="4"/>
    <n v="0.71"/>
    <x v="3"/>
  </r>
  <r>
    <s v="fa628a8c-2284-4cd4-b893-92f7667cd544"/>
    <n v="26"/>
    <x v="0"/>
    <x v="2"/>
    <x v="1"/>
    <n v="10.65"/>
    <n v="37"/>
    <x v="2"/>
    <x v="0"/>
    <n v="17.989999999999998"/>
    <x v="1"/>
    <x v="2"/>
    <n v="3"/>
    <n v="0.28000000000000003"/>
    <x v="2"/>
  </r>
  <r>
    <s v="c7cf1b97-cdd3-47cf-a147-a8ab731a5f19"/>
    <n v="25"/>
    <x v="0"/>
    <x v="1"/>
    <x v="2"/>
    <n v="19.309999999999999"/>
    <n v="5"/>
    <x v="3"/>
    <x v="2"/>
    <n v="8.99"/>
    <x v="0"/>
    <x v="3"/>
    <n v="2"/>
    <n v="3.22"/>
    <x v="5"/>
  </r>
  <r>
    <s v="19fc98f0-ad10-4ad2-9526-28254dca93e5"/>
    <n v="23"/>
    <x v="1"/>
    <x v="0"/>
    <x v="0"/>
    <n v="3.7"/>
    <n v="6"/>
    <x v="3"/>
    <x v="2"/>
    <n v="13.99"/>
    <x v="0"/>
    <x v="3"/>
    <n v="3"/>
    <n v="0.53"/>
    <x v="0"/>
  </r>
  <r>
    <s v="c65be27e-f93b-4423-a704-e981640e344e"/>
    <n v="22"/>
    <x v="1"/>
    <x v="1"/>
    <x v="1"/>
    <n v="8.18"/>
    <n v="29"/>
    <x v="5"/>
    <x v="3"/>
    <n v="17.989999999999998"/>
    <x v="0"/>
    <x v="4"/>
    <n v="2"/>
    <n v="0.27"/>
    <x v="2"/>
  </r>
  <r>
    <s v="2b48ac28-5439-47a6-b935-4438f01794ee"/>
    <n v="24"/>
    <x v="1"/>
    <x v="2"/>
    <x v="0"/>
    <n v="0.49"/>
    <n v="2"/>
    <x v="5"/>
    <x v="1"/>
    <n v="13.99"/>
    <x v="0"/>
    <x v="1"/>
    <n v="2"/>
    <n v="0.16"/>
    <x v="4"/>
  </r>
  <r>
    <s v="1575ab22-bbac-4dc1-be66-e03431a9fc07"/>
    <n v="28"/>
    <x v="0"/>
    <x v="0"/>
    <x v="0"/>
    <n v="11.94"/>
    <n v="1"/>
    <x v="5"/>
    <x v="4"/>
    <n v="13.99"/>
    <x v="0"/>
    <x v="0"/>
    <n v="2"/>
    <n v="5.97"/>
    <x v="1"/>
  </r>
  <r>
    <s v="6ed1be2a-984e-4fe7-becc-351b913eb571"/>
    <n v="31"/>
    <x v="0"/>
    <x v="1"/>
    <x v="2"/>
    <n v="7.46"/>
    <n v="45"/>
    <x v="5"/>
    <x v="2"/>
    <n v="8.99"/>
    <x v="1"/>
    <x v="2"/>
    <n v="2"/>
    <n v="0.16"/>
    <x v="3"/>
  </r>
  <r>
    <s v="79a31ced-93d3-4f11-a961-7ce4256ab073"/>
    <n v="18"/>
    <x v="1"/>
    <x v="0"/>
    <x v="0"/>
    <n v="25.19"/>
    <n v="11"/>
    <x v="4"/>
    <x v="0"/>
    <n v="13.99"/>
    <x v="0"/>
    <x v="3"/>
    <n v="1"/>
    <n v="2.1"/>
    <x v="2"/>
  </r>
  <r>
    <s v="1e0c89ad-a44c-479e-b2b5-eb8e35cc0f41"/>
    <n v="30"/>
    <x v="0"/>
    <x v="0"/>
    <x v="2"/>
    <n v="2.99"/>
    <n v="51"/>
    <x v="1"/>
    <x v="1"/>
    <n v="8.99"/>
    <x v="1"/>
    <x v="2"/>
    <n v="4"/>
    <n v="0.06"/>
    <x v="2"/>
  </r>
  <r>
    <s v="96ba87e6-324e-4976-96e1-5359f74975f6"/>
    <n v="24"/>
    <x v="1"/>
    <x v="2"/>
    <x v="2"/>
    <n v="9.34"/>
    <n v="17"/>
    <x v="0"/>
    <x v="0"/>
    <n v="8.99"/>
    <x v="0"/>
    <x v="3"/>
    <n v="4"/>
    <n v="0.52"/>
    <x v="6"/>
  </r>
  <r>
    <s v="4ad47677-3633-4836-a9df-c0f173e50006"/>
    <n v="23"/>
    <x v="1"/>
    <x v="2"/>
    <x v="0"/>
    <n v="22.05"/>
    <n v="53"/>
    <x v="2"/>
    <x v="1"/>
    <n v="13.99"/>
    <x v="0"/>
    <x v="1"/>
    <n v="3"/>
    <n v="0.41"/>
    <x v="3"/>
  </r>
  <r>
    <s v="ac50dc85-d01d-4066-b80f-ef5f2d2af804"/>
    <n v="27"/>
    <x v="0"/>
    <x v="0"/>
    <x v="0"/>
    <n v="2.62"/>
    <n v="10"/>
    <x v="2"/>
    <x v="3"/>
    <n v="13.99"/>
    <x v="1"/>
    <x v="0"/>
    <n v="4"/>
    <n v="0.24"/>
    <x v="3"/>
  </r>
  <r>
    <s v="62b61c40-b80a-416a-9ccb-fe3c9e6d0a06"/>
    <n v="25"/>
    <x v="0"/>
    <x v="1"/>
    <x v="0"/>
    <n v="1.7"/>
    <n v="21"/>
    <x v="5"/>
    <x v="0"/>
    <n v="13.99"/>
    <x v="1"/>
    <x v="3"/>
    <n v="3"/>
    <n v="0.08"/>
    <x v="0"/>
  </r>
  <r>
    <s v="4ef6fb81-a622-445f-8f85-597ecf5567be"/>
    <n v="32"/>
    <x v="0"/>
    <x v="2"/>
    <x v="1"/>
    <n v="30.07"/>
    <n v="24"/>
    <x v="2"/>
    <x v="2"/>
    <n v="17.989999999999998"/>
    <x v="0"/>
    <x v="1"/>
    <n v="3"/>
    <n v="1.2"/>
    <x v="5"/>
  </r>
  <r>
    <s v="056fe4f4-e919-4cfe-ba2f-fdec0661500d"/>
    <n v="32"/>
    <x v="0"/>
    <x v="1"/>
    <x v="2"/>
    <n v="8.94"/>
    <n v="24"/>
    <x v="5"/>
    <x v="4"/>
    <n v="8.99"/>
    <x v="1"/>
    <x v="0"/>
    <n v="3"/>
    <n v="0.36"/>
    <x v="0"/>
  </r>
  <r>
    <s v="6531fb78-bb8a-4beb-ab13-c3e8b856e3f6"/>
    <n v="20"/>
    <x v="1"/>
    <x v="0"/>
    <x v="2"/>
    <n v="1.98"/>
    <n v="2"/>
    <x v="0"/>
    <x v="4"/>
    <n v="8.99"/>
    <x v="1"/>
    <x v="0"/>
    <n v="1"/>
    <n v="0.66"/>
    <x v="6"/>
  </r>
  <r>
    <s v="3988c64c-4754-489c-bf86-146be943c7b8"/>
    <n v="25"/>
    <x v="0"/>
    <x v="1"/>
    <x v="2"/>
    <n v="2.2000000000000002"/>
    <n v="55"/>
    <x v="4"/>
    <x v="4"/>
    <n v="8.99"/>
    <x v="1"/>
    <x v="4"/>
    <n v="4"/>
    <n v="0.04"/>
    <x v="4"/>
  </r>
  <r>
    <s v="3a1bf4c6-39ee-430e-bdf0-74fd5f9615c2"/>
    <n v="20"/>
    <x v="1"/>
    <x v="1"/>
    <x v="0"/>
    <n v="2"/>
    <n v="24"/>
    <x v="1"/>
    <x v="4"/>
    <n v="13.99"/>
    <x v="1"/>
    <x v="2"/>
    <n v="2"/>
    <n v="0.08"/>
    <x v="3"/>
  </r>
  <r>
    <s v="ee78b050-dae3-4b93-ba7c-cc046f2e7003"/>
    <n v="23"/>
    <x v="1"/>
    <x v="0"/>
    <x v="2"/>
    <n v="3.03"/>
    <n v="45"/>
    <x v="3"/>
    <x v="1"/>
    <n v="8.99"/>
    <x v="1"/>
    <x v="1"/>
    <n v="3"/>
    <n v="7.0000000000000007E-2"/>
    <x v="0"/>
  </r>
  <r>
    <s v="a58a4b83-c549-420b-acf2-e746ed63477a"/>
    <n v="19"/>
    <x v="1"/>
    <x v="1"/>
    <x v="1"/>
    <n v="3.81"/>
    <n v="45"/>
    <x v="5"/>
    <x v="0"/>
    <n v="17.989999999999998"/>
    <x v="1"/>
    <x v="1"/>
    <n v="3"/>
    <n v="0.08"/>
    <x v="5"/>
  </r>
  <r>
    <s v="7769cf6c-0c7c-4f5b-8807-03a2ccb516a7"/>
    <n v="34"/>
    <x v="0"/>
    <x v="1"/>
    <x v="0"/>
    <n v="12.44"/>
    <n v="59"/>
    <x v="0"/>
    <x v="0"/>
    <n v="13.99"/>
    <x v="0"/>
    <x v="2"/>
    <n v="4"/>
    <n v="0.21"/>
    <x v="0"/>
  </r>
  <r>
    <s v="0c18ab75-e044-4805-ac68-9828f50f3193"/>
    <n v="32"/>
    <x v="0"/>
    <x v="2"/>
    <x v="2"/>
    <n v="24.51"/>
    <n v="50"/>
    <x v="3"/>
    <x v="1"/>
    <n v="8.99"/>
    <x v="1"/>
    <x v="3"/>
    <n v="3"/>
    <n v="0.48"/>
    <x v="4"/>
  </r>
  <r>
    <s v="6c602423-7b4c-4b86-8505-32b042557344"/>
    <n v="30"/>
    <x v="0"/>
    <x v="2"/>
    <x v="1"/>
    <n v="5.12"/>
    <n v="59"/>
    <x v="1"/>
    <x v="2"/>
    <n v="17.989999999999998"/>
    <x v="1"/>
    <x v="3"/>
    <n v="1"/>
    <n v="0.09"/>
    <x v="3"/>
  </r>
  <r>
    <s v="5913a03e-ba87-408c-b4fd-b0713609ab9f"/>
    <n v="18"/>
    <x v="1"/>
    <x v="1"/>
    <x v="1"/>
    <n v="4.12"/>
    <n v="47"/>
    <x v="1"/>
    <x v="2"/>
    <n v="17.989999999999998"/>
    <x v="1"/>
    <x v="1"/>
    <n v="3"/>
    <n v="0.09"/>
    <x v="4"/>
  </r>
  <r>
    <s v="03d585d7-1c33-4d36-a7b1-f75db2ebff42"/>
    <n v="31"/>
    <x v="0"/>
    <x v="1"/>
    <x v="0"/>
    <n v="0.68"/>
    <n v="58"/>
    <x v="2"/>
    <x v="0"/>
    <n v="13.99"/>
    <x v="1"/>
    <x v="4"/>
    <n v="5"/>
    <n v="0.01"/>
    <x v="0"/>
  </r>
  <r>
    <s v="e1a73fc5-3f78-481b-bc83-3e2938ba4129"/>
    <n v="20"/>
    <x v="1"/>
    <x v="2"/>
    <x v="2"/>
    <n v="24.77"/>
    <n v="55"/>
    <x v="4"/>
    <x v="2"/>
    <n v="8.99"/>
    <x v="0"/>
    <x v="1"/>
    <n v="4"/>
    <n v="0.44"/>
    <x v="5"/>
  </r>
  <r>
    <s v="887801e2-9db1-4956-a541-c39601fb5c06"/>
    <n v="21"/>
    <x v="1"/>
    <x v="1"/>
    <x v="2"/>
    <n v="0.54"/>
    <n v="36"/>
    <x v="0"/>
    <x v="0"/>
    <n v="8.99"/>
    <x v="1"/>
    <x v="2"/>
    <n v="2"/>
    <n v="0.01"/>
    <x v="6"/>
  </r>
  <r>
    <s v="88ff87a0-d3a1-4609-9960-d505e81d2507"/>
    <n v="34"/>
    <x v="0"/>
    <x v="1"/>
    <x v="0"/>
    <n v="1.34"/>
    <n v="28"/>
    <x v="3"/>
    <x v="3"/>
    <n v="13.99"/>
    <x v="1"/>
    <x v="0"/>
    <n v="3"/>
    <n v="0.05"/>
    <x v="5"/>
  </r>
  <r>
    <s v="4ab6dc88-5117-45e9-8a50-d7ce2f48cc66"/>
    <n v="27"/>
    <x v="0"/>
    <x v="1"/>
    <x v="1"/>
    <n v="5.07"/>
    <n v="33"/>
    <x v="0"/>
    <x v="3"/>
    <n v="17.989999999999998"/>
    <x v="1"/>
    <x v="4"/>
    <n v="3"/>
    <n v="0.15"/>
    <x v="3"/>
  </r>
  <r>
    <s v="83662cbb-68d7-4d0a-bed6-73c0b4fb0206"/>
    <n v="34"/>
    <x v="0"/>
    <x v="2"/>
    <x v="0"/>
    <n v="6.79"/>
    <n v="2"/>
    <x v="5"/>
    <x v="2"/>
    <n v="13.99"/>
    <x v="0"/>
    <x v="3"/>
    <n v="2"/>
    <n v="2.2599999999999998"/>
    <x v="4"/>
  </r>
  <r>
    <s v="eb9340bf-76e0-4abc-a037-897ab16a9321"/>
    <n v="19"/>
    <x v="1"/>
    <x v="1"/>
    <x v="2"/>
    <n v="8.23"/>
    <n v="34"/>
    <x v="0"/>
    <x v="0"/>
    <n v="8.99"/>
    <x v="1"/>
    <x v="0"/>
    <n v="3"/>
    <n v="0.24"/>
    <x v="1"/>
  </r>
  <r>
    <s v="01bf79df-d2f3-4bf8-b63c-1e8031b22ac3"/>
    <n v="33"/>
    <x v="0"/>
    <x v="1"/>
    <x v="1"/>
    <n v="7.79"/>
    <n v="17"/>
    <x v="0"/>
    <x v="3"/>
    <n v="17.989999999999998"/>
    <x v="0"/>
    <x v="4"/>
    <n v="3"/>
    <n v="0.43"/>
    <x v="3"/>
  </r>
  <r>
    <s v="79ffa97f-3b33-4795-9d8b-98cb819d9a5c"/>
    <n v="20"/>
    <x v="1"/>
    <x v="0"/>
    <x v="1"/>
    <n v="60.37"/>
    <n v="8"/>
    <x v="0"/>
    <x v="1"/>
    <n v="17.989999999999998"/>
    <x v="0"/>
    <x v="1"/>
    <n v="3"/>
    <n v="6.71"/>
    <x v="6"/>
  </r>
  <r>
    <s v="e3c31b2e-94eb-419b-8212-3536e2385d2c"/>
    <n v="31"/>
    <x v="0"/>
    <x v="1"/>
    <x v="2"/>
    <n v="7.32"/>
    <n v="23"/>
    <x v="0"/>
    <x v="2"/>
    <n v="8.99"/>
    <x v="0"/>
    <x v="4"/>
    <n v="5"/>
    <n v="0.3"/>
    <x v="5"/>
  </r>
  <r>
    <s v="d8a1b0e1-30c5-404c-aaef-ee2f91090379"/>
    <n v="33"/>
    <x v="0"/>
    <x v="1"/>
    <x v="1"/>
    <n v="3.8"/>
    <n v="38"/>
    <x v="5"/>
    <x v="2"/>
    <n v="17.989999999999998"/>
    <x v="1"/>
    <x v="0"/>
    <n v="2"/>
    <n v="0.1"/>
    <x v="6"/>
  </r>
  <r>
    <s v="284b8e48-b6ef-4947-a69b-4934f8509b51"/>
    <n v="32"/>
    <x v="0"/>
    <x v="2"/>
    <x v="1"/>
    <n v="3.32"/>
    <n v="12"/>
    <x v="0"/>
    <x v="1"/>
    <n v="17.989999999999998"/>
    <x v="0"/>
    <x v="3"/>
    <n v="4"/>
    <n v="0.26"/>
    <x v="2"/>
  </r>
  <r>
    <s v="02cc8f8c-5d42-4c4b-bacb-177a896e51b7"/>
    <n v="31"/>
    <x v="0"/>
    <x v="0"/>
    <x v="0"/>
    <n v="6.08"/>
    <n v="25"/>
    <x v="1"/>
    <x v="0"/>
    <n v="13.99"/>
    <x v="0"/>
    <x v="4"/>
    <n v="2"/>
    <n v="0.23"/>
    <x v="4"/>
  </r>
  <r>
    <s v="ed9483f7-d1bb-43ea-b042-737f411148e0"/>
    <n v="27"/>
    <x v="0"/>
    <x v="0"/>
    <x v="2"/>
    <n v="17.34"/>
    <n v="16"/>
    <x v="2"/>
    <x v="1"/>
    <n v="8.99"/>
    <x v="0"/>
    <x v="2"/>
    <n v="4"/>
    <n v="1.02"/>
    <x v="6"/>
  </r>
  <r>
    <s v="a6a03d8a-8c9b-4f3b-910d-4ee276cd1b8b"/>
    <n v="19"/>
    <x v="1"/>
    <x v="2"/>
    <x v="2"/>
    <n v="9.09"/>
    <n v="56"/>
    <x v="2"/>
    <x v="1"/>
    <n v="8.99"/>
    <x v="1"/>
    <x v="2"/>
    <n v="3"/>
    <n v="0.16"/>
    <x v="4"/>
  </r>
  <r>
    <s v="7fba5ae9-1913-4021-9975-c3b8982a0c16"/>
    <n v="27"/>
    <x v="0"/>
    <x v="2"/>
    <x v="1"/>
    <n v="17.29"/>
    <n v="11"/>
    <x v="1"/>
    <x v="1"/>
    <n v="17.989999999999998"/>
    <x v="0"/>
    <x v="0"/>
    <n v="2"/>
    <n v="1.44"/>
    <x v="1"/>
  </r>
  <r>
    <s v="6631dbbb-dba7-4e36-98e1-ecd5867db158"/>
    <n v="33"/>
    <x v="0"/>
    <x v="0"/>
    <x v="2"/>
    <n v="11.53"/>
    <n v="3"/>
    <x v="1"/>
    <x v="0"/>
    <n v="8.99"/>
    <x v="0"/>
    <x v="1"/>
    <n v="5"/>
    <n v="2.88"/>
    <x v="5"/>
  </r>
  <r>
    <s v="7b1a55cd-297f-4b7e-b881-1b5fd6f5ec61"/>
    <n v="30"/>
    <x v="0"/>
    <x v="2"/>
    <x v="0"/>
    <n v="9.58"/>
    <n v="35"/>
    <x v="2"/>
    <x v="4"/>
    <n v="13.99"/>
    <x v="1"/>
    <x v="1"/>
    <n v="3"/>
    <n v="0.27"/>
    <x v="2"/>
  </r>
  <r>
    <s v="36d2ad86-3674-4aa9-86e0-b523c81990b6"/>
    <n v="33"/>
    <x v="0"/>
    <x v="0"/>
    <x v="1"/>
    <n v="11.79"/>
    <n v="15"/>
    <x v="5"/>
    <x v="4"/>
    <n v="17.989999999999998"/>
    <x v="0"/>
    <x v="1"/>
    <n v="4"/>
    <n v="0.74"/>
    <x v="6"/>
  </r>
  <r>
    <s v="8974f6aa-5a7b-4cef-9f38-b56ac2869ef4"/>
    <n v="30"/>
    <x v="0"/>
    <x v="0"/>
    <x v="0"/>
    <n v="4.72"/>
    <n v="14"/>
    <x v="3"/>
    <x v="0"/>
    <n v="13.99"/>
    <x v="1"/>
    <x v="2"/>
    <n v="3"/>
    <n v="0.31"/>
    <x v="2"/>
  </r>
  <r>
    <s v="4c950183-7b4d-433d-94f0-7f415e89c36e"/>
    <n v="31"/>
    <x v="0"/>
    <x v="2"/>
    <x v="0"/>
    <n v="9.41"/>
    <n v="39"/>
    <x v="1"/>
    <x v="4"/>
    <n v="13.99"/>
    <x v="0"/>
    <x v="3"/>
    <n v="4"/>
    <n v="0.24"/>
    <x v="5"/>
  </r>
  <r>
    <s v="ef0c40a9-94e9-43d8-b0f5-0123e35c851c"/>
    <n v="18"/>
    <x v="1"/>
    <x v="0"/>
    <x v="1"/>
    <n v="0.24"/>
    <n v="9"/>
    <x v="2"/>
    <x v="0"/>
    <n v="17.989999999999998"/>
    <x v="1"/>
    <x v="2"/>
    <n v="1"/>
    <n v="0.02"/>
    <x v="0"/>
  </r>
  <r>
    <s v="2146a842-093c-446d-a78d-86b66080475f"/>
    <n v="20"/>
    <x v="1"/>
    <x v="1"/>
    <x v="0"/>
    <n v="5.85"/>
    <n v="15"/>
    <x v="1"/>
    <x v="1"/>
    <n v="13.99"/>
    <x v="0"/>
    <x v="0"/>
    <n v="2"/>
    <n v="0.37"/>
    <x v="5"/>
  </r>
  <r>
    <s v="cc2d1c2c-57dd-420b-8937-6004c639af1d"/>
    <n v="18"/>
    <x v="1"/>
    <x v="0"/>
    <x v="2"/>
    <n v="7.7"/>
    <n v="33"/>
    <x v="4"/>
    <x v="1"/>
    <n v="8.99"/>
    <x v="1"/>
    <x v="0"/>
    <n v="2"/>
    <n v="0.23"/>
    <x v="3"/>
  </r>
  <r>
    <s v="7948427b-e1c2-40c2-8447-04791699eeb9"/>
    <n v="23"/>
    <x v="1"/>
    <x v="0"/>
    <x v="2"/>
    <n v="17.3"/>
    <n v="22"/>
    <x v="3"/>
    <x v="4"/>
    <n v="8.99"/>
    <x v="0"/>
    <x v="3"/>
    <n v="2"/>
    <n v="0.75"/>
    <x v="5"/>
  </r>
  <r>
    <s v="c4694ef0-b6af-47a9-b7ae-f24ad7ecdb29"/>
    <n v="29"/>
    <x v="0"/>
    <x v="2"/>
    <x v="1"/>
    <n v="6.93"/>
    <n v="13"/>
    <x v="3"/>
    <x v="1"/>
    <n v="17.989999999999998"/>
    <x v="0"/>
    <x v="2"/>
    <n v="1"/>
    <n v="0.49"/>
    <x v="0"/>
  </r>
  <r>
    <s v="9b096c41-88cb-47f7-821a-51088e67fd01"/>
    <n v="33"/>
    <x v="0"/>
    <x v="2"/>
    <x v="0"/>
    <n v="17.89"/>
    <n v="32"/>
    <x v="0"/>
    <x v="2"/>
    <n v="13.99"/>
    <x v="0"/>
    <x v="4"/>
    <n v="4"/>
    <n v="0.54"/>
    <x v="6"/>
  </r>
  <r>
    <s v="4524dbd8-5791-42d4-b071-f52c41ee1c6e"/>
    <n v="27"/>
    <x v="0"/>
    <x v="0"/>
    <x v="2"/>
    <n v="0.03"/>
    <n v="2"/>
    <x v="3"/>
    <x v="2"/>
    <n v="8.99"/>
    <x v="1"/>
    <x v="1"/>
    <n v="3"/>
    <n v="0.01"/>
    <x v="0"/>
  </r>
  <r>
    <s v="48b92021-3236-486c-8c47-9e0c6e6e6c4b"/>
    <n v="32"/>
    <x v="0"/>
    <x v="1"/>
    <x v="0"/>
    <n v="0.38"/>
    <n v="10"/>
    <x v="0"/>
    <x v="3"/>
    <n v="13.99"/>
    <x v="0"/>
    <x v="2"/>
    <n v="5"/>
    <n v="0.03"/>
    <x v="1"/>
  </r>
  <r>
    <s v="2d323e83-1795-4c77-91fa-cbc75c603296"/>
    <n v="18"/>
    <x v="1"/>
    <x v="0"/>
    <x v="1"/>
    <n v="9.8800000000000008"/>
    <n v="11"/>
    <x v="2"/>
    <x v="1"/>
    <n v="17.989999999999998"/>
    <x v="0"/>
    <x v="1"/>
    <n v="4"/>
    <n v="0.82"/>
    <x v="6"/>
  </r>
  <r>
    <s v="5c43c29c-5301-4c78-bde7-d3f55324e38e"/>
    <n v="21"/>
    <x v="1"/>
    <x v="2"/>
    <x v="2"/>
    <n v="28.27"/>
    <n v="26"/>
    <x v="0"/>
    <x v="1"/>
    <n v="8.99"/>
    <x v="0"/>
    <x v="4"/>
    <n v="5"/>
    <n v="1.05"/>
    <x v="5"/>
  </r>
  <r>
    <s v="3937c4f3-e061-412e-881c-4abc32f985e0"/>
    <n v="24"/>
    <x v="1"/>
    <x v="2"/>
    <x v="0"/>
    <n v="7.75"/>
    <n v="25"/>
    <x v="1"/>
    <x v="1"/>
    <n v="13.99"/>
    <x v="0"/>
    <x v="0"/>
    <n v="5"/>
    <n v="0.3"/>
    <x v="3"/>
  </r>
  <r>
    <s v="b4ebf013-bb7d-4033-b06d-cd08a2026791"/>
    <n v="25"/>
    <x v="0"/>
    <x v="0"/>
    <x v="2"/>
    <n v="2.78"/>
    <n v="0"/>
    <x v="5"/>
    <x v="0"/>
    <n v="8.99"/>
    <x v="1"/>
    <x v="1"/>
    <n v="1"/>
    <n v="2.78"/>
    <x v="0"/>
  </r>
  <r>
    <s v="ab212213-fe29-41ff-9baf-98537678d60c"/>
    <n v="25"/>
    <x v="0"/>
    <x v="2"/>
    <x v="2"/>
    <n v="4.0199999999999996"/>
    <n v="19"/>
    <x v="1"/>
    <x v="1"/>
    <n v="8.99"/>
    <x v="1"/>
    <x v="4"/>
    <n v="3"/>
    <n v="0.2"/>
    <x v="2"/>
  </r>
  <r>
    <s v="3878e4e3-2960-4b36-b25c-f90ddd01b5d8"/>
    <n v="29"/>
    <x v="0"/>
    <x v="0"/>
    <x v="0"/>
    <n v="54.53"/>
    <n v="1"/>
    <x v="2"/>
    <x v="2"/>
    <n v="13.99"/>
    <x v="0"/>
    <x v="1"/>
    <n v="2"/>
    <n v="27.27"/>
    <x v="6"/>
  </r>
  <r>
    <s v="2c7e4d20-2f73-49a5-82d4-3eea433b1dee"/>
    <n v="24"/>
    <x v="1"/>
    <x v="2"/>
    <x v="1"/>
    <n v="77.900000000000006"/>
    <n v="12"/>
    <x v="4"/>
    <x v="0"/>
    <n v="17.989999999999998"/>
    <x v="0"/>
    <x v="3"/>
    <n v="1"/>
    <n v="5.99"/>
    <x v="1"/>
  </r>
  <r>
    <s v="8ce3c8fd-8d0a-42cd-9ace-c79d8847f482"/>
    <n v="32"/>
    <x v="0"/>
    <x v="2"/>
    <x v="1"/>
    <n v="28.61"/>
    <n v="22"/>
    <x v="4"/>
    <x v="4"/>
    <n v="17.989999999999998"/>
    <x v="0"/>
    <x v="2"/>
    <n v="4"/>
    <n v="1.24"/>
    <x v="4"/>
  </r>
  <r>
    <s v="49fa3709-598c-42ec-9f7f-3fe2952a7a9d"/>
    <n v="27"/>
    <x v="0"/>
    <x v="0"/>
    <x v="0"/>
    <n v="1.04"/>
    <n v="54"/>
    <x v="2"/>
    <x v="4"/>
    <n v="13.99"/>
    <x v="1"/>
    <x v="0"/>
    <n v="3"/>
    <n v="0.02"/>
    <x v="4"/>
  </r>
  <r>
    <s v="b656e72d-28cd-4aec-bc48-4fd49b5fc7c8"/>
    <n v="21"/>
    <x v="1"/>
    <x v="0"/>
    <x v="0"/>
    <n v="6.2"/>
    <n v="4"/>
    <x v="5"/>
    <x v="2"/>
    <n v="13.99"/>
    <x v="0"/>
    <x v="1"/>
    <n v="5"/>
    <n v="1.24"/>
    <x v="3"/>
  </r>
  <r>
    <s v="e758dc19-126c-439f-bc98-4302726912cd"/>
    <n v="22"/>
    <x v="1"/>
    <x v="0"/>
    <x v="2"/>
    <n v="5.12"/>
    <n v="27"/>
    <x v="4"/>
    <x v="1"/>
    <n v="8.99"/>
    <x v="0"/>
    <x v="3"/>
    <n v="4"/>
    <n v="0.18"/>
    <x v="4"/>
  </r>
  <r>
    <s v="f73da12b-b911-40cf-910e-202e6419d7e9"/>
    <n v="21"/>
    <x v="1"/>
    <x v="0"/>
    <x v="1"/>
    <n v="27.5"/>
    <n v="26"/>
    <x v="2"/>
    <x v="4"/>
    <n v="17.989999999999998"/>
    <x v="0"/>
    <x v="0"/>
    <n v="2"/>
    <n v="1.02"/>
    <x v="2"/>
  </r>
  <r>
    <s v="5253e4fd-15d7-42e6-b83c-4cffe2678758"/>
    <n v="33"/>
    <x v="0"/>
    <x v="1"/>
    <x v="0"/>
    <n v="10.71"/>
    <n v="25"/>
    <x v="4"/>
    <x v="1"/>
    <n v="13.99"/>
    <x v="0"/>
    <x v="2"/>
    <n v="1"/>
    <n v="0.41"/>
    <x v="2"/>
  </r>
  <r>
    <s v="c079ea83-bb00-4217-86b6-cbb230f0e14f"/>
    <n v="33"/>
    <x v="0"/>
    <x v="1"/>
    <x v="0"/>
    <n v="3.76"/>
    <n v="16"/>
    <x v="4"/>
    <x v="0"/>
    <n v="13.99"/>
    <x v="0"/>
    <x v="1"/>
    <n v="5"/>
    <n v="0.22"/>
    <x v="1"/>
  </r>
  <r>
    <s v="19841454-1c0f-4a76-bc4a-223be392e712"/>
    <n v="33"/>
    <x v="0"/>
    <x v="2"/>
    <x v="0"/>
    <n v="2.5299999999999998"/>
    <n v="30"/>
    <x v="0"/>
    <x v="0"/>
    <n v="13.99"/>
    <x v="1"/>
    <x v="1"/>
    <n v="3"/>
    <n v="0.08"/>
    <x v="1"/>
  </r>
  <r>
    <s v="18c7ffea-f407-4e12-a8ca-f4cf9bb2e4ab"/>
    <n v="26"/>
    <x v="0"/>
    <x v="2"/>
    <x v="0"/>
    <n v="2.87"/>
    <n v="50"/>
    <x v="3"/>
    <x v="3"/>
    <n v="13.99"/>
    <x v="1"/>
    <x v="3"/>
    <n v="3"/>
    <n v="0.06"/>
    <x v="0"/>
  </r>
  <r>
    <s v="97a423c0-e104-4e03-8ba2-4083cba8d28a"/>
    <n v="34"/>
    <x v="0"/>
    <x v="0"/>
    <x v="1"/>
    <n v="1.56"/>
    <n v="8"/>
    <x v="4"/>
    <x v="4"/>
    <n v="17.989999999999998"/>
    <x v="1"/>
    <x v="3"/>
    <n v="3"/>
    <n v="0.17"/>
    <x v="2"/>
  </r>
  <r>
    <s v="82f9b433-0df6-4474-97b9-c478f3d5d7c8"/>
    <n v="24"/>
    <x v="1"/>
    <x v="1"/>
    <x v="2"/>
    <n v="2.42"/>
    <n v="24"/>
    <x v="3"/>
    <x v="4"/>
    <n v="8.99"/>
    <x v="1"/>
    <x v="3"/>
    <n v="3"/>
    <n v="0.1"/>
    <x v="2"/>
  </r>
  <r>
    <s v="e7e1eef2-2f92-487c-a5f3-d1cf791e3167"/>
    <n v="24"/>
    <x v="1"/>
    <x v="2"/>
    <x v="1"/>
    <n v="6.65"/>
    <n v="7"/>
    <x v="1"/>
    <x v="2"/>
    <n v="17.989999999999998"/>
    <x v="0"/>
    <x v="0"/>
    <n v="4"/>
    <n v="0.83"/>
    <x v="2"/>
  </r>
  <r>
    <s v="1b68c20d-bee2-4f66-8701-67809addd9aa"/>
    <n v="25"/>
    <x v="0"/>
    <x v="0"/>
    <x v="2"/>
    <n v="0.05"/>
    <n v="52"/>
    <x v="3"/>
    <x v="4"/>
    <n v="8.99"/>
    <x v="1"/>
    <x v="1"/>
    <n v="1"/>
    <n v="0"/>
    <x v="3"/>
  </r>
  <r>
    <s v="3cd2ff2c-063e-4384-a092-1f812a51a456"/>
    <n v="19"/>
    <x v="1"/>
    <x v="0"/>
    <x v="1"/>
    <n v="17.12"/>
    <n v="11"/>
    <x v="1"/>
    <x v="0"/>
    <n v="17.989999999999998"/>
    <x v="0"/>
    <x v="2"/>
    <n v="1"/>
    <n v="1.43"/>
    <x v="6"/>
  </r>
  <r>
    <s v="261ddbef-9b7a-4226-a1b6-631ae8dbf332"/>
    <n v="26"/>
    <x v="0"/>
    <x v="1"/>
    <x v="0"/>
    <n v="9.6"/>
    <n v="18"/>
    <x v="5"/>
    <x v="3"/>
    <n v="13.99"/>
    <x v="0"/>
    <x v="0"/>
    <n v="4"/>
    <n v="0.51"/>
    <x v="2"/>
  </r>
  <r>
    <s v="0451999d-c51d-4453-8015-9dc317341a30"/>
    <n v="23"/>
    <x v="1"/>
    <x v="1"/>
    <x v="1"/>
    <n v="30.22"/>
    <n v="27"/>
    <x v="2"/>
    <x v="3"/>
    <n v="17.989999999999998"/>
    <x v="0"/>
    <x v="4"/>
    <n v="1"/>
    <n v="1.08"/>
    <x v="6"/>
  </r>
  <r>
    <s v="6ed5f317-ba85-4aac-8f7b-0324686982f6"/>
    <n v="25"/>
    <x v="0"/>
    <x v="2"/>
    <x v="2"/>
    <n v="12.69"/>
    <n v="39"/>
    <x v="1"/>
    <x v="2"/>
    <n v="8.99"/>
    <x v="1"/>
    <x v="2"/>
    <n v="3"/>
    <n v="0.32"/>
    <x v="6"/>
  </r>
  <r>
    <s v="0b811eb1-b4b7-4873-ab45-437e74f75a6c"/>
    <n v="18"/>
    <x v="1"/>
    <x v="2"/>
    <x v="2"/>
    <n v="29.27"/>
    <n v="45"/>
    <x v="0"/>
    <x v="1"/>
    <n v="8.99"/>
    <x v="1"/>
    <x v="0"/>
    <n v="1"/>
    <n v="0.64"/>
    <x v="6"/>
  </r>
  <r>
    <s v="c185f0f8-0410-4e1c-bc87-40f90824bf1d"/>
    <n v="31"/>
    <x v="0"/>
    <x v="2"/>
    <x v="2"/>
    <n v="2.85"/>
    <n v="5"/>
    <x v="5"/>
    <x v="2"/>
    <n v="8.99"/>
    <x v="1"/>
    <x v="1"/>
    <n v="5"/>
    <n v="0.48"/>
    <x v="2"/>
  </r>
  <r>
    <s v="4ce50867-9e68-4f77-857c-45d1b57260f3"/>
    <n v="18"/>
    <x v="1"/>
    <x v="0"/>
    <x v="1"/>
    <n v="12.95"/>
    <n v="39"/>
    <x v="4"/>
    <x v="0"/>
    <n v="17.989999999999998"/>
    <x v="1"/>
    <x v="4"/>
    <n v="4"/>
    <n v="0.32"/>
    <x v="4"/>
  </r>
  <r>
    <s v="aca733c9-cee7-40e5-acc5-0c0627834828"/>
    <n v="27"/>
    <x v="0"/>
    <x v="0"/>
    <x v="0"/>
    <n v="3.46"/>
    <n v="42"/>
    <x v="1"/>
    <x v="1"/>
    <n v="13.99"/>
    <x v="1"/>
    <x v="4"/>
    <n v="5"/>
    <n v="0.08"/>
    <x v="1"/>
  </r>
  <r>
    <s v="24798db7-c1a2-4e80-9275-ae9b143dace7"/>
    <n v="28"/>
    <x v="0"/>
    <x v="1"/>
    <x v="2"/>
    <n v="12.94"/>
    <n v="40"/>
    <x v="1"/>
    <x v="2"/>
    <n v="8.99"/>
    <x v="1"/>
    <x v="3"/>
    <n v="3"/>
    <n v="0.32"/>
    <x v="1"/>
  </r>
  <r>
    <s v="ad498abb-6c86-4ece-81b7-9588a0ff3eda"/>
    <n v="24"/>
    <x v="1"/>
    <x v="0"/>
    <x v="1"/>
    <n v="16.170000000000002"/>
    <n v="33"/>
    <x v="2"/>
    <x v="4"/>
    <n v="17.989999999999998"/>
    <x v="1"/>
    <x v="4"/>
    <n v="2"/>
    <n v="0.48"/>
    <x v="4"/>
  </r>
  <r>
    <s v="a985f355-5ac2-4b10-a656-ab62e4e279f3"/>
    <n v="33"/>
    <x v="0"/>
    <x v="2"/>
    <x v="2"/>
    <n v="43.55"/>
    <n v="4"/>
    <x v="2"/>
    <x v="0"/>
    <n v="8.99"/>
    <x v="0"/>
    <x v="4"/>
    <n v="1"/>
    <n v="8.7100000000000009"/>
    <x v="5"/>
  </r>
  <r>
    <s v="7829169d-75d6-4f04-bef9-7ae2fc256e33"/>
    <n v="33"/>
    <x v="0"/>
    <x v="2"/>
    <x v="0"/>
    <n v="5.76"/>
    <n v="40"/>
    <x v="1"/>
    <x v="3"/>
    <n v="13.99"/>
    <x v="1"/>
    <x v="4"/>
    <n v="5"/>
    <n v="0.14000000000000001"/>
    <x v="1"/>
  </r>
  <r>
    <s v="e1d31d7f-2cff-40bb-8a77-3da93095d5d4"/>
    <n v="23"/>
    <x v="1"/>
    <x v="1"/>
    <x v="1"/>
    <n v="15.27"/>
    <n v="27"/>
    <x v="0"/>
    <x v="4"/>
    <n v="17.989999999999998"/>
    <x v="0"/>
    <x v="3"/>
    <n v="1"/>
    <n v="0.55000000000000004"/>
    <x v="0"/>
  </r>
  <r>
    <s v="3ca8ae59-19ce-4566-8ad0-922c03c652b2"/>
    <n v="22"/>
    <x v="1"/>
    <x v="0"/>
    <x v="1"/>
    <n v="7.28"/>
    <n v="43"/>
    <x v="4"/>
    <x v="3"/>
    <n v="17.989999999999998"/>
    <x v="0"/>
    <x v="1"/>
    <n v="5"/>
    <n v="0.17"/>
    <x v="6"/>
  </r>
  <r>
    <s v="5f35fd9b-f8b6-4c0c-8ee5-824cec062f5a"/>
    <n v="28"/>
    <x v="0"/>
    <x v="1"/>
    <x v="1"/>
    <n v="0.77"/>
    <n v="21"/>
    <x v="4"/>
    <x v="2"/>
    <n v="17.989999999999998"/>
    <x v="1"/>
    <x v="0"/>
    <n v="2"/>
    <n v="0.04"/>
    <x v="3"/>
  </r>
  <r>
    <s v="2eb65cb4-3e68-4e6a-abb5-fb5988bcd903"/>
    <n v="31"/>
    <x v="0"/>
    <x v="0"/>
    <x v="1"/>
    <n v="4.03"/>
    <n v="24"/>
    <x v="5"/>
    <x v="2"/>
    <n v="17.989999999999998"/>
    <x v="1"/>
    <x v="4"/>
    <n v="5"/>
    <n v="0.16"/>
    <x v="0"/>
  </r>
  <r>
    <s v="c9b84086-70b7-4713-9370-09408b3c0173"/>
    <n v="29"/>
    <x v="0"/>
    <x v="2"/>
    <x v="1"/>
    <n v="15.36"/>
    <n v="31"/>
    <x v="2"/>
    <x v="2"/>
    <n v="17.989999999999998"/>
    <x v="1"/>
    <x v="0"/>
    <n v="1"/>
    <n v="0.48"/>
    <x v="6"/>
  </r>
  <r>
    <s v="658fa594-c797-41fb-b95f-7e27e0b3dcc8"/>
    <n v="32"/>
    <x v="0"/>
    <x v="2"/>
    <x v="0"/>
    <n v="1.52"/>
    <n v="10"/>
    <x v="0"/>
    <x v="3"/>
    <n v="13.99"/>
    <x v="1"/>
    <x v="3"/>
    <n v="3"/>
    <n v="0.14000000000000001"/>
    <x v="3"/>
  </r>
  <r>
    <s v="e4dd7619-90ac-4b86-944a-f37209896674"/>
    <n v="25"/>
    <x v="0"/>
    <x v="0"/>
    <x v="1"/>
    <n v="0.82"/>
    <n v="22"/>
    <x v="5"/>
    <x v="4"/>
    <n v="17.989999999999998"/>
    <x v="1"/>
    <x v="0"/>
    <n v="1"/>
    <n v="0.04"/>
    <x v="4"/>
  </r>
  <r>
    <s v="6fbcc123-9037-4413-b11c-df0870f0f896"/>
    <n v="18"/>
    <x v="1"/>
    <x v="2"/>
    <x v="2"/>
    <n v="6.57"/>
    <n v="50"/>
    <x v="3"/>
    <x v="1"/>
    <n v="8.99"/>
    <x v="1"/>
    <x v="3"/>
    <n v="3"/>
    <n v="0.13"/>
    <x v="5"/>
  </r>
  <r>
    <s v="7608719d-77c5-43c9-88fd-918eaaf748ba"/>
    <n v="18"/>
    <x v="1"/>
    <x v="0"/>
    <x v="2"/>
    <n v="0.75"/>
    <n v="11"/>
    <x v="3"/>
    <x v="1"/>
    <n v="8.99"/>
    <x v="1"/>
    <x v="0"/>
    <n v="5"/>
    <n v="0.06"/>
    <x v="4"/>
  </r>
  <r>
    <s v="dbf86fb5-6f71-4453-95af-8dadc61159d6"/>
    <n v="21"/>
    <x v="1"/>
    <x v="1"/>
    <x v="2"/>
    <n v="5.57"/>
    <n v="21"/>
    <x v="5"/>
    <x v="0"/>
    <n v="8.99"/>
    <x v="0"/>
    <x v="3"/>
    <n v="3"/>
    <n v="0.25"/>
    <x v="4"/>
  </r>
  <r>
    <s v="893fda9f-2a90-4011-ae1f-9e5ba9cf7d6c"/>
    <n v="34"/>
    <x v="0"/>
    <x v="1"/>
    <x v="1"/>
    <n v="1.94"/>
    <n v="39"/>
    <x v="2"/>
    <x v="0"/>
    <n v="17.989999999999998"/>
    <x v="1"/>
    <x v="4"/>
    <n v="5"/>
    <n v="0.05"/>
    <x v="0"/>
  </r>
  <r>
    <s v="e84d1748-a4af-4405-b3ae-53d2ca64cd15"/>
    <n v="20"/>
    <x v="1"/>
    <x v="1"/>
    <x v="0"/>
    <n v="5.46"/>
    <n v="59"/>
    <x v="2"/>
    <x v="2"/>
    <n v="13.99"/>
    <x v="1"/>
    <x v="4"/>
    <n v="2"/>
    <n v="0.09"/>
    <x v="4"/>
  </r>
  <r>
    <s v="9b1b8058-d053-4a3b-82e3-280336c2e162"/>
    <n v="20"/>
    <x v="1"/>
    <x v="1"/>
    <x v="2"/>
    <n v="5.64"/>
    <n v="24"/>
    <x v="3"/>
    <x v="4"/>
    <n v="8.99"/>
    <x v="0"/>
    <x v="1"/>
    <n v="2"/>
    <n v="0.23"/>
    <x v="3"/>
  </r>
  <r>
    <s v="8b51b646-9bd3-4bba-9258-43df68214950"/>
    <n v="34"/>
    <x v="0"/>
    <x v="1"/>
    <x v="0"/>
    <n v="7.32"/>
    <n v="57"/>
    <x v="1"/>
    <x v="4"/>
    <n v="13.99"/>
    <x v="1"/>
    <x v="0"/>
    <n v="1"/>
    <n v="0.13"/>
    <x v="6"/>
  </r>
  <r>
    <s v="b79ffb90-91f7-44dd-98fc-83d59992fc62"/>
    <n v="34"/>
    <x v="0"/>
    <x v="0"/>
    <x v="1"/>
    <n v="5.24"/>
    <n v="20"/>
    <x v="1"/>
    <x v="3"/>
    <n v="17.989999999999998"/>
    <x v="0"/>
    <x v="1"/>
    <n v="3"/>
    <n v="0.25"/>
    <x v="4"/>
  </r>
  <r>
    <s v="95a26a20-22a0-452e-a647-851b418f41de"/>
    <n v="34"/>
    <x v="0"/>
    <x v="1"/>
    <x v="1"/>
    <n v="22.76"/>
    <n v="59"/>
    <x v="4"/>
    <x v="1"/>
    <n v="17.989999999999998"/>
    <x v="0"/>
    <x v="2"/>
    <n v="3"/>
    <n v="0.38"/>
    <x v="3"/>
  </r>
  <r>
    <s v="ae62aa52-5971-4017-a0d9-f7968e105e3a"/>
    <n v="20"/>
    <x v="1"/>
    <x v="2"/>
    <x v="2"/>
    <n v="2.16"/>
    <n v="28"/>
    <x v="1"/>
    <x v="3"/>
    <n v="8.99"/>
    <x v="1"/>
    <x v="2"/>
    <n v="1"/>
    <n v="7.0000000000000007E-2"/>
    <x v="5"/>
  </r>
  <r>
    <s v="ebf470a5-4f3b-4a61-906e-244e5b4178cc"/>
    <n v="24"/>
    <x v="1"/>
    <x v="0"/>
    <x v="0"/>
    <n v="35.74"/>
    <n v="48"/>
    <x v="2"/>
    <x v="3"/>
    <n v="13.99"/>
    <x v="0"/>
    <x v="2"/>
    <n v="1"/>
    <n v="0.73"/>
    <x v="1"/>
  </r>
  <r>
    <s v="cf64bda1-0bda-4e56-8478-81836f5b24d3"/>
    <n v="25"/>
    <x v="0"/>
    <x v="2"/>
    <x v="2"/>
    <n v="22.21"/>
    <n v="57"/>
    <x v="2"/>
    <x v="0"/>
    <n v="8.99"/>
    <x v="1"/>
    <x v="1"/>
    <n v="3"/>
    <n v="0.38"/>
    <x v="2"/>
  </r>
  <r>
    <s v="e5c7d145-545a-4927-b751-7c4159ab7b84"/>
    <n v="22"/>
    <x v="1"/>
    <x v="2"/>
    <x v="2"/>
    <n v="3.76"/>
    <n v="59"/>
    <x v="1"/>
    <x v="0"/>
    <n v="8.99"/>
    <x v="1"/>
    <x v="3"/>
    <n v="3"/>
    <n v="0.06"/>
    <x v="5"/>
  </r>
  <r>
    <s v="142de341-a41c-4cbf-98d2-1c8c86d08880"/>
    <n v="24"/>
    <x v="1"/>
    <x v="1"/>
    <x v="2"/>
    <n v="10.15"/>
    <n v="9"/>
    <x v="0"/>
    <x v="0"/>
    <n v="8.99"/>
    <x v="0"/>
    <x v="1"/>
    <n v="2"/>
    <n v="1.02"/>
    <x v="3"/>
  </r>
  <r>
    <s v="25aa1d59-9191-4128-91d6-87f8209a8712"/>
    <n v="24"/>
    <x v="1"/>
    <x v="1"/>
    <x v="2"/>
    <n v="2.2799999999999998"/>
    <n v="43"/>
    <x v="4"/>
    <x v="2"/>
    <n v="8.99"/>
    <x v="1"/>
    <x v="4"/>
    <n v="5"/>
    <n v="0.05"/>
    <x v="0"/>
  </r>
  <r>
    <s v="a1edd117-ae99-404f-82d8-efff65663f21"/>
    <n v="25"/>
    <x v="0"/>
    <x v="1"/>
    <x v="1"/>
    <n v="6.08"/>
    <n v="19"/>
    <x v="3"/>
    <x v="4"/>
    <n v="17.989999999999998"/>
    <x v="0"/>
    <x v="2"/>
    <n v="3"/>
    <n v="0.3"/>
    <x v="5"/>
  </r>
  <r>
    <s v="d212aebd-df18-4bac-992d-3d4e6bb90711"/>
    <n v="29"/>
    <x v="0"/>
    <x v="0"/>
    <x v="2"/>
    <n v="25.31"/>
    <n v="15"/>
    <x v="2"/>
    <x v="2"/>
    <n v="8.99"/>
    <x v="0"/>
    <x v="4"/>
    <n v="4"/>
    <n v="1.58"/>
    <x v="5"/>
  </r>
  <r>
    <s v="2198e57e-f273-418b-9841-2728c362b67c"/>
    <n v="24"/>
    <x v="1"/>
    <x v="2"/>
    <x v="2"/>
    <n v="1.59"/>
    <n v="42"/>
    <x v="0"/>
    <x v="2"/>
    <n v="8.99"/>
    <x v="1"/>
    <x v="4"/>
    <n v="5"/>
    <n v="0.04"/>
    <x v="3"/>
  </r>
  <r>
    <s v="de33c8b1-ecb2-448f-8f97-a99ffbabe1be"/>
    <n v="26"/>
    <x v="0"/>
    <x v="1"/>
    <x v="1"/>
    <n v="25"/>
    <n v="12"/>
    <x v="5"/>
    <x v="2"/>
    <n v="17.989999999999998"/>
    <x v="0"/>
    <x v="4"/>
    <n v="2"/>
    <n v="1.92"/>
    <x v="2"/>
  </r>
  <r>
    <s v="e6e1676e-f17d-4e77-89b2-cf0e3df598ab"/>
    <n v="22"/>
    <x v="1"/>
    <x v="1"/>
    <x v="1"/>
    <n v="42.86"/>
    <n v="54"/>
    <x v="2"/>
    <x v="2"/>
    <n v="17.989999999999998"/>
    <x v="0"/>
    <x v="4"/>
    <n v="4"/>
    <n v="0.78"/>
    <x v="3"/>
  </r>
  <r>
    <s v="a1d6a50d-973f-4e43-a3c0-ce5acf4b09ec"/>
    <n v="33"/>
    <x v="0"/>
    <x v="0"/>
    <x v="2"/>
    <n v="3.05"/>
    <n v="28"/>
    <x v="3"/>
    <x v="1"/>
    <n v="8.99"/>
    <x v="1"/>
    <x v="3"/>
    <n v="5"/>
    <n v="0.11"/>
    <x v="4"/>
  </r>
  <r>
    <s v="255cd731-221c-4f98-adda-f7dffb7a03c9"/>
    <n v="25"/>
    <x v="0"/>
    <x v="2"/>
    <x v="2"/>
    <n v="9.6999999999999993"/>
    <n v="4"/>
    <x v="4"/>
    <x v="3"/>
    <n v="8.99"/>
    <x v="0"/>
    <x v="3"/>
    <n v="2"/>
    <n v="1.94"/>
    <x v="2"/>
  </r>
  <r>
    <s v="468c7547-f285-47e1-8fa8-d836ba848846"/>
    <n v="26"/>
    <x v="0"/>
    <x v="2"/>
    <x v="2"/>
    <n v="1.54"/>
    <n v="20"/>
    <x v="4"/>
    <x v="4"/>
    <n v="8.99"/>
    <x v="1"/>
    <x v="3"/>
    <n v="4"/>
    <n v="7.0000000000000007E-2"/>
    <x v="2"/>
  </r>
  <r>
    <s v="54372fef-6fb6-421f-bab6-606fb3a90f0c"/>
    <n v="18"/>
    <x v="1"/>
    <x v="2"/>
    <x v="0"/>
    <n v="20.23"/>
    <n v="36"/>
    <x v="1"/>
    <x v="2"/>
    <n v="13.99"/>
    <x v="0"/>
    <x v="2"/>
    <n v="4"/>
    <n v="0.55000000000000004"/>
    <x v="4"/>
  </r>
  <r>
    <s v="6f26710a-d654-4a36-99e4-bdaf2943fe2e"/>
    <n v="29"/>
    <x v="0"/>
    <x v="2"/>
    <x v="0"/>
    <n v="23.05"/>
    <n v="36"/>
    <x v="3"/>
    <x v="2"/>
    <n v="13.99"/>
    <x v="0"/>
    <x v="4"/>
    <n v="4"/>
    <n v="0.62"/>
    <x v="5"/>
  </r>
  <r>
    <s v="5ca7dc45-e131-41be-82fb-580106346593"/>
    <n v="32"/>
    <x v="0"/>
    <x v="2"/>
    <x v="2"/>
    <n v="14.22"/>
    <n v="48"/>
    <x v="4"/>
    <x v="0"/>
    <n v="8.99"/>
    <x v="1"/>
    <x v="0"/>
    <n v="3"/>
    <n v="0.28999999999999998"/>
    <x v="1"/>
  </r>
  <r>
    <s v="bbeab1f0-e7d0-4d12-9a73-a1927bfdb187"/>
    <n v="30"/>
    <x v="0"/>
    <x v="0"/>
    <x v="1"/>
    <n v="5.97"/>
    <n v="2"/>
    <x v="2"/>
    <x v="4"/>
    <n v="17.989999999999998"/>
    <x v="0"/>
    <x v="2"/>
    <n v="3"/>
    <n v="1.99"/>
    <x v="2"/>
  </r>
  <r>
    <s v="99003cbb-a0e2-4663-9628-13f6d46f1a0c"/>
    <n v="22"/>
    <x v="1"/>
    <x v="0"/>
    <x v="1"/>
    <n v="15.39"/>
    <n v="58"/>
    <x v="3"/>
    <x v="3"/>
    <n v="17.989999999999998"/>
    <x v="1"/>
    <x v="2"/>
    <n v="2"/>
    <n v="0.26"/>
    <x v="6"/>
  </r>
  <r>
    <s v="334fbf6b-0681-49de-ae3a-c08da907fda0"/>
    <n v="18"/>
    <x v="1"/>
    <x v="0"/>
    <x v="2"/>
    <n v="3.19"/>
    <n v="16"/>
    <x v="4"/>
    <x v="1"/>
    <n v="8.99"/>
    <x v="1"/>
    <x v="4"/>
    <n v="4"/>
    <n v="0.19"/>
    <x v="3"/>
  </r>
  <r>
    <s v="c85a5890-a887-41bf-b866-5cd201747ede"/>
    <n v="28"/>
    <x v="0"/>
    <x v="0"/>
    <x v="1"/>
    <n v="4.1399999999999997"/>
    <n v="37"/>
    <x v="2"/>
    <x v="4"/>
    <n v="17.989999999999998"/>
    <x v="1"/>
    <x v="4"/>
    <n v="2"/>
    <n v="0.11"/>
    <x v="5"/>
  </r>
  <r>
    <s v="90826a68-bc7f-4a10-aa24-989fad597c30"/>
    <n v="27"/>
    <x v="0"/>
    <x v="1"/>
    <x v="2"/>
    <n v="12.8"/>
    <n v="43"/>
    <x v="4"/>
    <x v="0"/>
    <n v="8.99"/>
    <x v="1"/>
    <x v="1"/>
    <n v="2"/>
    <n v="0.28999999999999998"/>
    <x v="2"/>
  </r>
  <r>
    <s v="dd192706-2635-46a1-9559-9ca27f7999b9"/>
    <n v="27"/>
    <x v="0"/>
    <x v="0"/>
    <x v="1"/>
    <n v="15.99"/>
    <n v="37"/>
    <x v="3"/>
    <x v="4"/>
    <n v="17.989999999999998"/>
    <x v="1"/>
    <x v="4"/>
    <n v="2"/>
    <n v="0.42"/>
    <x v="0"/>
  </r>
  <r>
    <s v="bb20c584-b8c7-4e09-a487-df50428b49ba"/>
    <n v="21"/>
    <x v="1"/>
    <x v="2"/>
    <x v="2"/>
    <n v="21.57"/>
    <n v="47"/>
    <x v="4"/>
    <x v="2"/>
    <n v="8.99"/>
    <x v="1"/>
    <x v="1"/>
    <n v="3"/>
    <n v="0.45"/>
    <x v="1"/>
  </r>
  <r>
    <s v="8e1031b6-b98f-4b5a-b035-8d7aafad3c47"/>
    <n v="27"/>
    <x v="0"/>
    <x v="1"/>
    <x v="0"/>
    <n v="20.059999999999999"/>
    <n v="45"/>
    <x v="1"/>
    <x v="1"/>
    <n v="13.99"/>
    <x v="0"/>
    <x v="1"/>
    <n v="4"/>
    <n v="0.44"/>
    <x v="3"/>
  </r>
  <r>
    <s v="cb536c36-8a1e-41b7-ac20-43f09a4cedbd"/>
    <n v="28"/>
    <x v="0"/>
    <x v="1"/>
    <x v="2"/>
    <n v="0.79"/>
    <n v="40"/>
    <x v="0"/>
    <x v="1"/>
    <n v="8.99"/>
    <x v="1"/>
    <x v="4"/>
    <n v="1"/>
    <n v="0.02"/>
    <x v="3"/>
  </r>
  <r>
    <s v="e623d359-0278-4bfc-82c3-86892eed77a3"/>
    <n v="18"/>
    <x v="1"/>
    <x v="2"/>
    <x v="0"/>
    <n v="3.49"/>
    <n v="54"/>
    <x v="5"/>
    <x v="1"/>
    <n v="13.99"/>
    <x v="1"/>
    <x v="0"/>
    <n v="3"/>
    <n v="0.06"/>
    <x v="6"/>
  </r>
  <r>
    <s v="630f9371-9298-435a-8a66-f24f4bb528fc"/>
    <n v="19"/>
    <x v="1"/>
    <x v="1"/>
    <x v="1"/>
    <n v="8.1199999999999992"/>
    <n v="2"/>
    <x v="1"/>
    <x v="1"/>
    <n v="17.989999999999998"/>
    <x v="0"/>
    <x v="3"/>
    <n v="1"/>
    <n v="2.71"/>
    <x v="3"/>
  </r>
  <r>
    <s v="91bf7b50-f149-4e23-9e93-b614ad58212e"/>
    <n v="34"/>
    <x v="0"/>
    <x v="2"/>
    <x v="1"/>
    <n v="28.39"/>
    <n v="41"/>
    <x v="3"/>
    <x v="1"/>
    <n v="17.989999999999998"/>
    <x v="0"/>
    <x v="0"/>
    <n v="2"/>
    <n v="0.68"/>
    <x v="2"/>
  </r>
  <r>
    <s v="8d258669-8a00-4643-9a8b-f004488b0472"/>
    <n v="24"/>
    <x v="1"/>
    <x v="2"/>
    <x v="0"/>
    <n v="3.05"/>
    <n v="9"/>
    <x v="4"/>
    <x v="0"/>
    <n v="13.99"/>
    <x v="1"/>
    <x v="0"/>
    <n v="1"/>
    <n v="0.3"/>
    <x v="3"/>
  </r>
  <r>
    <s v="c1f2945d-92e6-4f96-b443-eb5b7b84220f"/>
    <n v="34"/>
    <x v="0"/>
    <x v="1"/>
    <x v="1"/>
    <n v="8.64"/>
    <n v="8"/>
    <x v="5"/>
    <x v="0"/>
    <n v="17.989999999999998"/>
    <x v="0"/>
    <x v="4"/>
    <n v="4"/>
    <n v="0.96"/>
    <x v="3"/>
  </r>
  <r>
    <s v="282e622f-a1cc-41a1-8e62-fe70a9375f25"/>
    <n v="31"/>
    <x v="0"/>
    <x v="0"/>
    <x v="1"/>
    <n v="5.68"/>
    <n v="49"/>
    <x v="0"/>
    <x v="1"/>
    <n v="17.989999999999998"/>
    <x v="1"/>
    <x v="0"/>
    <n v="2"/>
    <n v="0.11"/>
    <x v="1"/>
  </r>
  <r>
    <s v="7928e876-645a-49fe-a21c-9d02944d1523"/>
    <n v="28"/>
    <x v="0"/>
    <x v="0"/>
    <x v="1"/>
    <n v="10.53"/>
    <n v="23"/>
    <x v="0"/>
    <x v="3"/>
    <n v="17.989999999999998"/>
    <x v="0"/>
    <x v="2"/>
    <n v="2"/>
    <n v="0.44"/>
    <x v="2"/>
  </r>
  <r>
    <s v="12a50fbb-54f6-4bf1-9c0d-db8bc6dfc159"/>
    <n v="20"/>
    <x v="1"/>
    <x v="2"/>
    <x v="0"/>
    <n v="12.93"/>
    <n v="14"/>
    <x v="2"/>
    <x v="1"/>
    <n v="13.99"/>
    <x v="0"/>
    <x v="0"/>
    <n v="1"/>
    <n v="0.86"/>
    <x v="0"/>
  </r>
  <r>
    <s v="c1f6a329-e3f2-40d7-a1e2-03175940526b"/>
    <n v="29"/>
    <x v="0"/>
    <x v="0"/>
    <x v="2"/>
    <n v="8.5500000000000007"/>
    <n v="40"/>
    <x v="4"/>
    <x v="4"/>
    <n v="8.99"/>
    <x v="1"/>
    <x v="3"/>
    <n v="1"/>
    <n v="0.21"/>
    <x v="4"/>
  </r>
  <r>
    <s v="37b9f2c3-372c-4a11-9176-4e66bdc8ea38"/>
    <n v="30"/>
    <x v="0"/>
    <x v="2"/>
    <x v="1"/>
    <n v="1.87"/>
    <n v="6"/>
    <x v="0"/>
    <x v="3"/>
    <n v="17.989999999999998"/>
    <x v="0"/>
    <x v="2"/>
    <n v="2"/>
    <n v="0.27"/>
    <x v="1"/>
  </r>
  <r>
    <s v="a092de74-2718-48f3-956a-679b4e32095b"/>
    <n v="20"/>
    <x v="1"/>
    <x v="1"/>
    <x v="1"/>
    <n v="12.02"/>
    <n v="23"/>
    <x v="0"/>
    <x v="3"/>
    <n v="17.989999999999998"/>
    <x v="0"/>
    <x v="3"/>
    <n v="1"/>
    <n v="0.5"/>
    <x v="4"/>
  </r>
  <r>
    <s v="aa0e03bb-5758-4edb-9d50-e2539e629c75"/>
    <n v="21"/>
    <x v="1"/>
    <x v="2"/>
    <x v="2"/>
    <n v="11.16"/>
    <n v="58"/>
    <x v="2"/>
    <x v="4"/>
    <n v="8.99"/>
    <x v="1"/>
    <x v="0"/>
    <n v="3"/>
    <n v="0.19"/>
    <x v="4"/>
  </r>
  <r>
    <s v="97d0f609-4ed9-4c1b-bcfb-443ffb41e275"/>
    <n v="29"/>
    <x v="0"/>
    <x v="1"/>
    <x v="0"/>
    <n v="3.2"/>
    <n v="54"/>
    <x v="0"/>
    <x v="1"/>
    <n v="13.99"/>
    <x v="1"/>
    <x v="4"/>
    <n v="2"/>
    <n v="0.06"/>
    <x v="5"/>
  </r>
  <r>
    <s v="61ccaa63-d356-4c51-a436-db45268b829e"/>
    <n v="28"/>
    <x v="0"/>
    <x v="1"/>
    <x v="0"/>
    <n v="8.8699999999999992"/>
    <n v="39"/>
    <x v="3"/>
    <x v="3"/>
    <n v="13.99"/>
    <x v="1"/>
    <x v="3"/>
    <n v="1"/>
    <n v="0.22"/>
    <x v="5"/>
  </r>
  <r>
    <s v="a5b6b29e-7a7e-4f62-9eea-b64ff3861d78"/>
    <n v="25"/>
    <x v="0"/>
    <x v="1"/>
    <x v="1"/>
    <n v="2.9"/>
    <n v="29"/>
    <x v="4"/>
    <x v="4"/>
    <n v="17.989999999999998"/>
    <x v="1"/>
    <x v="2"/>
    <n v="2"/>
    <n v="0.1"/>
    <x v="6"/>
  </r>
  <r>
    <s v="05c4636f-6e42-4460-9449-9667b4ce9fbd"/>
    <n v="25"/>
    <x v="0"/>
    <x v="0"/>
    <x v="2"/>
    <n v="0.17"/>
    <n v="58"/>
    <x v="3"/>
    <x v="4"/>
    <n v="8.99"/>
    <x v="1"/>
    <x v="3"/>
    <n v="4"/>
    <n v="0"/>
    <x v="5"/>
  </r>
  <r>
    <s v="25fca800-6c8b-4d78-a43a-ff33ff870ea8"/>
    <n v="33"/>
    <x v="0"/>
    <x v="2"/>
    <x v="0"/>
    <n v="16.27"/>
    <n v="2"/>
    <x v="3"/>
    <x v="3"/>
    <n v="13.99"/>
    <x v="0"/>
    <x v="0"/>
    <n v="2"/>
    <n v="5.42"/>
    <x v="1"/>
  </r>
  <r>
    <s v="60e6c533-6c9c-4ca6-a917-a27cbe86aa1d"/>
    <n v="30"/>
    <x v="0"/>
    <x v="2"/>
    <x v="0"/>
    <n v="3.18"/>
    <n v="27"/>
    <x v="5"/>
    <x v="3"/>
    <n v="13.99"/>
    <x v="1"/>
    <x v="2"/>
    <n v="1"/>
    <n v="0.11"/>
    <x v="1"/>
  </r>
  <r>
    <s v="5673e225-586b-4e99-8613-8aa01162aaf8"/>
    <n v="23"/>
    <x v="1"/>
    <x v="1"/>
    <x v="0"/>
    <n v="5.52"/>
    <n v="9"/>
    <x v="5"/>
    <x v="2"/>
    <n v="13.99"/>
    <x v="0"/>
    <x v="4"/>
    <n v="4"/>
    <n v="0.55000000000000004"/>
    <x v="2"/>
  </r>
  <r>
    <s v="7f15e45b-1f7a-4fd2-851d-60ab2cb332c1"/>
    <n v="29"/>
    <x v="0"/>
    <x v="1"/>
    <x v="2"/>
    <n v="27.02"/>
    <n v="9"/>
    <x v="2"/>
    <x v="2"/>
    <n v="8.99"/>
    <x v="0"/>
    <x v="0"/>
    <n v="3"/>
    <n v="2.7"/>
    <x v="1"/>
  </r>
  <r>
    <s v="22f87c88-86f3-412d-8fa6-2c15ed0b6573"/>
    <n v="29"/>
    <x v="0"/>
    <x v="0"/>
    <x v="2"/>
    <n v="4.84"/>
    <n v="49"/>
    <x v="4"/>
    <x v="3"/>
    <n v="8.99"/>
    <x v="1"/>
    <x v="0"/>
    <n v="3"/>
    <n v="0.1"/>
    <x v="4"/>
  </r>
  <r>
    <s v="16bda772-63ea-4e5c-965d-daca311c6a7c"/>
    <n v="30"/>
    <x v="0"/>
    <x v="2"/>
    <x v="0"/>
    <n v="4.99"/>
    <n v="17"/>
    <x v="0"/>
    <x v="4"/>
    <n v="13.99"/>
    <x v="0"/>
    <x v="3"/>
    <n v="5"/>
    <n v="0.28000000000000003"/>
    <x v="3"/>
  </r>
  <r>
    <s v="94224e57-69e7-4350-99bb-9740aa185bbd"/>
    <n v="25"/>
    <x v="0"/>
    <x v="2"/>
    <x v="0"/>
    <n v="12.66"/>
    <n v="25"/>
    <x v="2"/>
    <x v="3"/>
    <n v="13.99"/>
    <x v="0"/>
    <x v="3"/>
    <n v="5"/>
    <n v="0.49"/>
    <x v="5"/>
  </r>
  <r>
    <s v="d949fbce-cb2f-4e7d-90ba-6cfac9f1186f"/>
    <n v="19"/>
    <x v="1"/>
    <x v="2"/>
    <x v="0"/>
    <n v="43.11"/>
    <n v="9"/>
    <x v="1"/>
    <x v="3"/>
    <n v="13.99"/>
    <x v="0"/>
    <x v="1"/>
    <n v="1"/>
    <n v="4.3099999999999996"/>
    <x v="1"/>
  </r>
  <r>
    <s v="9c0261eb-7cd4-47c0-8548-369d8838d46f"/>
    <n v="23"/>
    <x v="1"/>
    <x v="2"/>
    <x v="1"/>
    <n v="8.41"/>
    <n v="29"/>
    <x v="0"/>
    <x v="4"/>
    <n v="17.989999999999998"/>
    <x v="0"/>
    <x v="1"/>
    <n v="4"/>
    <n v="0.28000000000000003"/>
    <x v="1"/>
  </r>
  <r>
    <s v="da2d3172-12b3-4348-975d-4334d32bd28e"/>
    <n v="27"/>
    <x v="0"/>
    <x v="2"/>
    <x v="1"/>
    <n v="9.6"/>
    <n v="60"/>
    <x v="4"/>
    <x v="4"/>
    <n v="17.989999999999998"/>
    <x v="1"/>
    <x v="2"/>
    <n v="1"/>
    <n v="0.16"/>
    <x v="4"/>
  </r>
  <r>
    <s v="135953be-32e3-4fd8-a0ae-8234fdc7a8dc"/>
    <n v="29"/>
    <x v="0"/>
    <x v="2"/>
    <x v="2"/>
    <n v="10.93"/>
    <n v="59"/>
    <x v="0"/>
    <x v="3"/>
    <n v="8.99"/>
    <x v="1"/>
    <x v="0"/>
    <n v="3"/>
    <n v="0.18"/>
    <x v="0"/>
  </r>
  <r>
    <s v="b3fa7afc-d504-446f-8f32-30c061b305d9"/>
    <n v="32"/>
    <x v="0"/>
    <x v="0"/>
    <x v="1"/>
    <n v="18.579999999999998"/>
    <n v="18"/>
    <x v="4"/>
    <x v="4"/>
    <n v="17.989999999999998"/>
    <x v="0"/>
    <x v="4"/>
    <n v="5"/>
    <n v="0.98"/>
    <x v="4"/>
  </r>
  <r>
    <s v="73e2a9b9-8d0b-4ad8-87e2-7fe83110c999"/>
    <n v="30"/>
    <x v="0"/>
    <x v="2"/>
    <x v="1"/>
    <n v="46.55"/>
    <n v="48"/>
    <x v="4"/>
    <x v="3"/>
    <n v="17.989999999999998"/>
    <x v="0"/>
    <x v="0"/>
    <n v="3"/>
    <n v="0.95"/>
    <x v="4"/>
  </r>
  <r>
    <s v="44d38c32-c73b-4041-9eb6-c850b7ac39c7"/>
    <n v="25"/>
    <x v="0"/>
    <x v="0"/>
    <x v="2"/>
    <n v="22.29"/>
    <n v="54"/>
    <x v="3"/>
    <x v="2"/>
    <n v="8.99"/>
    <x v="0"/>
    <x v="2"/>
    <n v="5"/>
    <n v="0.41"/>
    <x v="5"/>
  </r>
  <r>
    <s v="e42d9b7c-45aa-407a-8bd8-5e0622a2ecbf"/>
    <n v="29"/>
    <x v="0"/>
    <x v="2"/>
    <x v="2"/>
    <n v="8.06"/>
    <n v="13"/>
    <x v="4"/>
    <x v="2"/>
    <n v="8.99"/>
    <x v="0"/>
    <x v="2"/>
    <n v="2"/>
    <n v="0.57999999999999996"/>
    <x v="4"/>
  </r>
  <r>
    <s v="3eb2ec73-7f46-4fbc-a330-e4c7400ea6cd"/>
    <n v="29"/>
    <x v="0"/>
    <x v="1"/>
    <x v="0"/>
    <n v="7.29"/>
    <n v="44"/>
    <x v="4"/>
    <x v="3"/>
    <n v="13.99"/>
    <x v="1"/>
    <x v="4"/>
    <n v="3"/>
    <n v="0.16"/>
    <x v="4"/>
  </r>
  <r>
    <s v="ef23baaf-4a7b-41d2-903f-4f772ab31c26"/>
    <n v="22"/>
    <x v="1"/>
    <x v="1"/>
    <x v="2"/>
    <n v="0.91"/>
    <n v="39"/>
    <x v="2"/>
    <x v="4"/>
    <n v="8.99"/>
    <x v="1"/>
    <x v="0"/>
    <n v="1"/>
    <n v="0.02"/>
    <x v="0"/>
  </r>
  <r>
    <s v="a0fc6f9f-8c84-43ef-9dcd-2d0cab4faaf2"/>
    <n v="33"/>
    <x v="0"/>
    <x v="2"/>
    <x v="2"/>
    <n v="3.15"/>
    <n v="42"/>
    <x v="4"/>
    <x v="2"/>
    <n v="8.99"/>
    <x v="1"/>
    <x v="0"/>
    <n v="1"/>
    <n v="7.0000000000000007E-2"/>
    <x v="0"/>
  </r>
  <r>
    <s v="49d7dd83-0c7b-4f1d-8b1c-1cc13096b151"/>
    <n v="25"/>
    <x v="0"/>
    <x v="0"/>
    <x v="2"/>
    <n v="5.78"/>
    <n v="45"/>
    <x v="1"/>
    <x v="4"/>
    <n v="8.99"/>
    <x v="1"/>
    <x v="2"/>
    <n v="4"/>
    <n v="0.13"/>
    <x v="6"/>
  </r>
  <r>
    <s v="caa9db16-975d-48b6-963d-e6c30c58eeb0"/>
    <n v="21"/>
    <x v="1"/>
    <x v="0"/>
    <x v="2"/>
    <n v="5.49"/>
    <n v="31"/>
    <x v="0"/>
    <x v="2"/>
    <n v="8.99"/>
    <x v="1"/>
    <x v="3"/>
    <n v="2"/>
    <n v="0.17"/>
    <x v="1"/>
  </r>
  <r>
    <s v="471fb8cd-4497-4e20-a9c5-cfb8b3729308"/>
    <n v="19"/>
    <x v="1"/>
    <x v="1"/>
    <x v="1"/>
    <n v="1.87"/>
    <n v="6"/>
    <x v="2"/>
    <x v="1"/>
    <n v="17.989999999999998"/>
    <x v="1"/>
    <x v="1"/>
    <n v="1"/>
    <n v="0.27"/>
    <x v="3"/>
  </r>
  <r>
    <s v="28994e1c-df97-40f1-9b04-20cb29462486"/>
    <n v="23"/>
    <x v="1"/>
    <x v="1"/>
    <x v="2"/>
    <n v="15.3"/>
    <n v="49"/>
    <x v="0"/>
    <x v="4"/>
    <n v="8.99"/>
    <x v="1"/>
    <x v="4"/>
    <n v="3"/>
    <n v="0.31"/>
    <x v="4"/>
  </r>
  <r>
    <s v="6de03854-44a1-40e2-94b7-5fd20db6a39d"/>
    <n v="19"/>
    <x v="1"/>
    <x v="0"/>
    <x v="0"/>
    <n v="0.82"/>
    <n v="39"/>
    <x v="2"/>
    <x v="4"/>
    <n v="13.99"/>
    <x v="1"/>
    <x v="1"/>
    <n v="5"/>
    <n v="0.02"/>
    <x v="0"/>
  </r>
  <r>
    <s v="25cc756b-6f70-4855-9d3f-36af6724cec5"/>
    <n v="31"/>
    <x v="0"/>
    <x v="0"/>
    <x v="1"/>
    <n v="2.2000000000000002"/>
    <n v="43"/>
    <x v="1"/>
    <x v="3"/>
    <n v="17.989999999999998"/>
    <x v="1"/>
    <x v="1"/>
    <n v="5"/>
    <n v="0.05"/>
    <x v="0"/>
  </r>
  <r>
    <s v="ecc5a056-e4b1-4000-a217-e5932f7a3ec1"/>
    <n v="25"/>
    <x v="0"/>
    <x v="1"/>
    <x v="1"/>
    <n v="5.75"/>
    <n v="7"/>
    <x v="4"/>
    <x v="1"/>
    <n v="17.989999999999998"/>
    <x v="0"/>
    <x v="2"/>
    <n v="3"/>
    <n v="0.72"/>
    <x v="5"/>
  </r>
  <r>
    <s v="ed400be4-19d2-4196-aea3-680c798f0e17"/>
    <n v="21"/>
    <x v="1"/>
    <x v="1"/>
    <x v="0"/>
    <n v="8.27"/>
    <n v="53"/>
    <x v="5"/>
    <x v="2"/>
    <n v="13.99"/>
    <x v="1"/>
    <x v="2"/>
    <n v="3"/>
    <n v="0.15"/>
    <x v="5"/>
  </r>
  <r>
    <s v="e821aafd-dfc3-4ffb-9129-3741f65aef17"/>
    <n v="32"/>
    <x v="0"/>
    <x v="1"/>
    <x v="0"/>
    <n v="3.37"/>
    <n v="19"/>
    <x v="1"/>
    <x v="3"/>
    <n v="13.99"/>
    <x v="1"/>
    <x v="0"/>
    <n v="1"/>
    <n v="0.17"/>
    <x v="3"/>
  </r>
  <r>
    <s v="5b9b1694-e5d7-49be-af2a-9ee50f968320"/>
    <n v="23"/>
    <x v="1"/>
    <x v="0"/>
    <x v="1"/>
    <n v="18.149999999999999"/>
    <n v="16"/>
    <x v="5"/>
    <x v="1"/>
    <n v="17.989999999999998"/>
    <x v="0"/>
    <x v="1"/>
    <n v="2"/>
    <n v="1.07"/>
    <x v="3"/>
  </r>
  <r>
    <s v="ac171460-b30b-48bb-9949-f420e21c3982"/>
    <n v="33"/>
    <x v="0"/>
    <x v="1"/>
    <x v="2"/>
    <n v="8.92"/>
    <n v="48"/>
    <x v="4"/>
    <x v="3"/>
    <n v="8.99"/>
    <x v="1"/>
    <x v="0"/>
    <n v="5"/>
    <n v="0.18"/>
    <x v="1"/>
  </r>
  <r>
    <s v="07717e07-d7a1-4bee-8bf5-c51e19276964"/>
    <n v="24"/>
    <x v="1"/>
    <x v="1"/>
    <x v="2"/>
    <n v="11.85"/>
    <n v="0"/>
    <x v="0"/>
    <x v="2"/>
    <n v="8.99"/>
    <x v="0"/>
    <x v="1"/>
    <n v="3"/>
    <n v="11.85"/>
    <x v="6"/>
  </r>
  <r>
    <s v="c6e04c65-8c8b-4cc2-acbe-772bf63edfff"/>
    <n v="31"/>
    <x v="0"/>
    <x v="1"/>
    <x v="2"/>
    <n v="7.64"/>
    <n v="46"/>
    <x v="4"/>
    <x v="0"/>
    <n v="8.99"/>
    <x v="1"/>
    <x v="2"/>
    <n v="4"/>
    <n v="0.16"/>
    <x v="0"/>
  </r>
  <r>
    <s v="97920ba3-ed2d-418c-93f1-bf3d0f0148bc"/>
    <n v="18"/>
    <x v="1"/>
    <x v="1"/>
    <x v="1"/>
    <n v="27.6"/>
    <n v="11"/>
    <x v="3"/>
    <x v="1"/>
    <n v="17.989999999999998"/>
    <x v="0"/>
    <x v="1"/>
    <n v="5"/>
    <n v="2.2999999999999998"/>
    <x v="4"/>
  </r>
  <r>
    <s v="850e58a9-93e1-4c1a-a8f8-d8a39ce4e461"/>
    <n v="20"/>
    <x v="1"/>
    <x v="2"/>
    <x v="1"/>
    <n v="8.8699999999999992"/>
    <n v="24"/>
    <x v="5"/>
    <x v="1"/>
    <n v="17.989999999999998"/>
    <x v="0"/>
    <x v="0"/>
    <n v="1"/>
    <n v="0.35"/>
    <x v="3"/>
  </r>
  <r>
    <s v="6dd067ff-f2b5-423c-8c38-ab5ceab92ff4"/>
    <n v="28"/>
    <x v="0"/>
    <x v="0"/>
    <x v="1"/>
    <n v="16.690000000000001"/>
    <n v="47"/>
    <x v="2"/>
    <x v="2"/>
    <n v="17.989999999999998"/>
    <x v="1"/>
    <x v="1"/>
    <n v="3"/>
    <n v="0.35"/>
    <x v="4"/>
  </r>
  <r>
    <s v="b91503ef-c830-4d47-986c-6e87d8e718bb"/>
    <n v="23"/>
    <x v="1"/>
    <x v="0"/>
    <x v="2"/>
    <n v="27.77"/>
    <n v="21"/>
    <x v="0"/>
    <x v="1"/>
    <n v="8.99"/>
    <x v="0"/>
    <x v="3"/>
    <n v="2"/>
    <n v="1.26"/>
    <x v="1"/>
  </r>
  <r>
    <s v="5b61c411-6055-4022-a40a-b05d1555eac4"/>
    <n v="21"/>
    <x v="1"/>
    <x v="2"/>
    <x v="0"/>
    <n v="4.5199999999999996"/>
    <n v="3"/>
    <x v="5"/>
    <x v="2"/>
    <n v="13.99"/>
    <x v="0"/>
    <x v="0"/>
    <n v="3"/>
    <n v="1.1299999999999999"/>
    <x v="0"/>
  </r>
  <r>
    <s v="bf0363ac-7c6a-4e50-bfb5-ff71151df8f1"/>
    <n v="34"/>
    <x v="0"/>
    <x v="0"/>
    <x v="2"/>
    <n v="12.42"/>
    <n v="28"/>
    <x v="4"/>
    <x v="3"/>
    <n v="8.99"/>
    <x v="0"/>
    <x v="2"/>
    <n v="2"/>
    <n v="0.43"/>
    <x v="5"/>
  </r>
  <r>
    <s v="0bf99c02-b45f-4b75-a9eb-11aad9c48c54"/>
    <n v="23"/>
    <x v="1"/>
    <x v="2"/>
    <x v="0"/>
    <n v="14.9"/>
    <n v="40"/>
    <x v="0"/>
    <x v="4"/>
    <n v="13.99"/>
    <x v="1"/>
    <x v="3"/>
    <n v="1"/>
    <n v="0.36"/>
    <x v="6"/>
  </r>
  <r>
    <s v="10f0eb98-3902-458f-9e2f-24f48f83ae41"/>
    <n v="30"/>
    <x v="0"/>
    <x v="1"/>
    <x v="1"/>
    <n v="7.13"/>
    <n v="49"/>
    <x v="2"/>
    <x v="3"/>
    <n v="17.989999999999998"/>
    <x v="1"/>
    <x v="1"/>
    <n v="3"/>
    <n v="0.14000000000000001"/>
    <x v="4"/>
  </r>
  <r>
    <s v="b423daa9-5960-4361-8806-025fdd52d654"/>
    <n v="20"/>
    <x v="1"/>
    <x v="2"/>
    <x v="1"/>
    <n v="7.81"/>
    <n v="53"/>
    <x v="5"/>
    <x v="0"/>
    <n v="17.989999999999998"/>
    <x v="1"/>
    <x v="4"/>
    <n v="4"/>
    <n v="0.14000000000000001"/>
    <x v="4"/>
  </r>
  <r>
    <s v="041d3c04-aa19-4359-861a-05327029f960"/>
    <n v="34"/>
    <x v="0"/>
    <x v="1"/>
    <x v="0"/>
    <n v="33.380000000000003"/>
    <n v="53"/>
    <x v="3"/>
    <x v="0"/>
    <n v="13.99"/>
    <x v="0"/>
    <x v="1"/>
    <n v="5"/>
    <n v="0.62"/>
    <x v="4"/>
  </r>
  <r>
    <s v="d32f3fc2-f9df-45b7-bd91-4ed789bd17bb"/>
    <n v="32"/>
    <x v="0"/>
    <x v="1"/>
    <x v="0"/>
    <n v="14.18"/>
    <n v="59"/>
    <x v="2"/>
    <x v="1"/>
    <n v="13.99"/>
    <x v="1"/>
    <x v="1"/>
    <n v="1"/>
    <n v="0.24"/>
    <x v="1"/>
  </r>
  <r>
    <s v="752d1403-7fc8-46d1-8532-f861147b73dc"/>
    <n v="33"/>
    <x v="0"/>
    <x v="1"/>
    <x v="0"/>
    <n v="6.97"/>
    <n v="44"/>
    <x v="0"/>
    <x v="4"/>
    <n v="13.99"/>
    <x v="1"/>
    <x v="3"/>
    <n v="3"/>
    <n v="0.15"/>
    <x v="4"/>
  </r>
  <r>
    <s v="d6c4c6fc-d6ac-4f13-9518-103cc3cd52c6"/>
    <n v="33"/>
    <x v="0"/>
    <x v="1"/>
    <x v="1"/>
    <n v="6.35"/>
    <n v="30"/>
    <x v="0"/>
    <x v="4"/>
    <n v="17.989999999999998"/>
    <x v="0"/>
    <x v="2"/>
    <n v="5"/>
    <n v="0.2"/>
    <x v="6"/>
  </r>
  <r>
    <s v="ff583d32-c660-49dd-ba75-54106ef7d44a"/>
    <n v="20"/>
    <x v="1"/>
    <x v="0"/>
    <x v="2"/>
    <n v="47"/>
    <n v="25"/>
    <x v="2"/>
    <x v="4"/>
    <n v="8.99"/>
    <x v="0"/>
    <x v="1"/>
    <n v="4"/>
    <n v="1.81"/>
    <x v="4"/>
  </r>
  <r>
    <s v="16241f0a-8cfe-4ded-88f9-12e70315e6aa"/>
    <n v="26"/>
    <x v="0"/>
    <x v="1"/>
    <x v="0"/>
    <n v="12.76"/>
    <n v="54"/>
    <x v="0"/>
    <x v="3"/>
    <n v="13.99"/>
    <x v="0"/>
    <x v="2"/>
    <n v="4"/>
    <n v="0.23"/>
    <x v="4"/>
  </r>
  <r>
    <s v="1f0aa18c-1417-4ca7-9895-7dac0baee3ee"/>
    <n v="25"/>
    <x v="0"/>
    <x v="2"/>
    <x v="0"/>
    <n v="26.47"/>
    <n v="60"/>
    <x v="4"/>
    <x v="0"/>
    <n v="13.99"/>
    <x v="0"/>
    <x v="3"/>
    <n v="1"/>
    <n v="0.43"/>
    <x v="3"/>
  </r>
  <r>
    <s v="422f3159-6fd0-42d4-9bc8-4f8dc29d531e"/>
    <n v="32"/>
    <x v="0"/>
    <x v="0"/>
    <x v="0"/>
    <n v="22.99"/>
    <n v="31"/>
    <x v="3"/>
    <x v="2"/>
    <n v="13.99"/>
    <x v="0"/>
    <x v="1"/>
    <n v="1"/>
    <n v="0.72"/>
    <x v="6"/>
  </r>
  <r>
    <s v="5de098c2-fa28-45bf-ae9f-f31dbaa387c0"/>
    <n v="29"/>
    <x v="0"/>
    <x v="1"/>
    <x v="1"/>
    <n v="4.46"/>
    <n v="42"/>
    <x v="0"/>
    <x v="4"/>
    <n v="17.989999999999998"/>
    <x v="1"/>
    <x v="3"/>
    <n v="4"/>
    <n v="0.1"/>
    <x v="1"/>
  </r>
  <r>
    <s v="d7f54be2-58dd-46b8-b43b-4ff590876743"/>
    <n v="34"/>
    <x v="0"/>
    <x v="1"/>
    <x v="1"/>
    <n v="2.94"/>
    <n v="39"/>
    <x v="4"/>
    <x v="3"/>
    <n v="17.989999999999998"/>
    <x v="1"/>
    <x v="0"/>
    <n v="1"/>
    <n v="7.0000000000000007E-2"/>
    <x v="5"/>
  </r>
  <r>
    <s v="72e1395c-665a-40d9-99d4-150a7d6ba156"/>
    <n v="31"/>
    <x v="0"/>
    <x v="1"/>
    <x v="2"/>
    <n v="10.38"/>
    <n v="42"/>
    <x v="4"/>
    <x v="4"/>
    <n v="8.99"/>
    <x v="1"/>
    <x v="1"/>
    <n v="1"/>
    <n v="0.24"/>
    <x v="3"/>
  </r>
  <r>
    <s v="2477d719-b049-4b4c-8f1d-d9173919eedd"/>
    <n v="18"/>
    <x v="1"/>
    <x v="0"/>
    <x v="0"/>
    <n v="9.77"/>
    <n v="57"/>
    <x v="3"/>
    <x v="3"/>
    <n v="13.99"/>
    <x v="1"/>
    <x v="0"/>
    <n v="2"/>
    <n v="0.17"/>
    <x v="6"/>
  </r>
  <r>
    <s v="375eca39-a99b-48a4-b4c0-bb0e8722d963"/>
    <n v="34"/>
    <x v="0"/>
    <x v="2"/>
    <x v="1"/>
    <n v="3.92"/>
    <n v="4"/>
    <x v="2"/>
    <x v="0"/>
    <n v="17.989999999999998"/>
    <x v="0"/>
    <x v="4"/>
    <n v="1"/>
    <n v="0.78"/>
    <x v="3"/>
  </r>
  <r>
    <s v="913c9b60-2bf4-495a-9e80-74719a9c5047"/>
    <n v="23"/>
    <x v="1"/>
    <x v="2"/>
    <x v="1"/>
    <n v="16.510000000000002"/>
    <n v="41"/>
    <x v="5"/>
    <x v="4"/>
    <n v="17.989999999999998"/>
    <x v="1"/>
    <x v="4"/>
    <n v="5"/>
    <n v="0.39"/>
    <x v="4"/>
  </r>
  <r>
    <s v="018fad5a-7be7-48ad-993f-68fe75ed0b9b"/>
    <n v="31"/>
    <x v="0"/>
    <x v="2"/>
    <x v="0"/>
    <n v="2.2000000000000002"/>
    <n v="29"/>
    <x v="0"/>
    <x v="0"/>
    <n v="13.99"/>
    <x v="1"/>
    <x v="3"/>
    <n v="1"/>
    <n v="7.0000000000000007E-2"/>
    <x v="1"/>
  </r>
  <r>
    <s v="5f0a5e42-5c88-417a-b627-1f3057237d04"/>
    <n v="31"/>
    <x v="0"/>
    <x v="0"/>
    <x v="0"/>
    <n v="2.02"/>
    <n v="39"/>
    <x v="1"/>
    <x v="2"/>
    <n v="13.99"/>
    <x v="1"/>
    <x v="2"/>
    <n v="4"/>
    <n v="0.05"/>
    <x v="1"/>
  </r>
  <r>
    <s v="07d43b0b-94e3-4ea5-9281-7d959494690d"/>
    <n v="31"/>
    <x v="0"/>
    <x v="2"/>
    <x v="0"/>
    <n v="54.98"/>
    <n v="57"/>
    <x v="3"/>
    <x v="3"/>
    <n v="13.99"/>
    <x v="0"/>
    <x v="4"/>
    <n v="4"/>
    <n v="0.95"/>
    <x v="2"/>
  </r>
  <r>
    <s v="2a93d86f-7768-4c2d-93f0-82a7356ef894"/>
    <n v="32"/>
    <x v="0"/>
    <x v="1"/>
    <x v="0"/>
    <n v="1.43"/>
    <n v="19"/>
    <x v="5"/>
    <x v="1"/>
    <n v="13.99"/>
    <x v="1"/>
    <x v="4"/>
    <n v="2"/>
    <n v="7.0000000000000007E-2"/>
    <x v="5"/>
  </r>
  <r>
    <s v="4a72d855-c7d1-41ea-bf1d-5e0eba3be8d8"/>
    <n v="28"/>
    <x v="0"/>
    <x v="0"/>
    <x v="1"/>
    <n v="10.38"/>
    <n v="33"/>
    <x v="5"/>
    <x v="2"/>
    <n v="17.989999999999998"/>
    <x v="1"/>
    <x v="2"/>
    <n v="3"/>
    <n v="0.31"/>
    <x v="5"/>
  </r>
  <r>
    <s v="7e829bbe-ef04-481e-88d9-8eeae0a7cac6"/>
    <n v="31"/>
    <x v="0"/>
    <x v="1"/>
    <x v="0"/>
    <n v="23.56"/>
    <n v="40"/>
    <x v="4"/>
    <x v="4"/>
    <n v="13.99"/>
    <x v="0"/>
    <x v="0"/>
    <n v="5"/>
    <n v="0.56999999999999995"/>
    <x v="6"/>
  </r>
  <r>
    <s v="9d71a390-0c88-40da-b62e-7ff0cd29f65b"/>
    <n v="18"/>
    <x v="1"/>
    <x v="1"/>
    <x v="1"/>
    <n v="12.22"/>
    <n v="48"/>
    <x v="1"/>
    <x v="0"/>
    <n v="17.989999999999998"/>
    <x v="0"/>
    <x v="1"/>
    <n v="5"/>
    <n v="0.25"/>
    <x v="6"/>
  </r>
  <r>
    <s v="11d0215f-7d5c-439a-ab60-98c27e38d982"/>
    <n v="23"/>
    <x v="1"/>
    <x v="0"/>
    <x v="0"/>
    <n v="3.9"/>
    <n v="1"/>
    <x v="5"/>
    <x v="4"/>
    <n v="13.99"/>
    <x v="0"/>
    <x v="2"/>
    <n v="1"/>
    <n v="1.95"/>
    <x v="6"/>
  </r>
  <r>
    <s v="b81e2759-c1e2-433e-a4e1-d7fe65a14464"/>
    <n v="21"/>
    <x v="1"/>
    <x v="0"/>
    <x v="1"/>
    <n v="19.77"/>
    <n v="22"/>
    <x v="1"/>
    <x v="4"/>
    <n v="17.989999999999998"/>
    <x v="0"/>
    <x v="2"/>
    <n v="4"/>
    <n v="0.86"/>
    <x v="4"/>
  </r>
  <r>
    <s v="2c4930a3-789b-4ed5-8f39-e8c64a740269"/>
    <n v="21"/>
    <x v="1"/>
    <x v="1"/>
    <x v="0"/>
    <n v="61.8"/>
    <n v="41"/>
    <x v="1"/>
    <x v="1"/>
    <n v="13.99"/>
    <x v="0"/>
    <x v="3"/>
    <n v="3"/>
    <n v="1.47"/>
    <x v="0"/>
  </r>
  <r>
    <s v="ca15d77a-57d5-44c3-bcb3-a0c4d1abbbdd"/>
    <n v="21"/>
    <x v="1"/>
    <x v="1"/>
    <x v="2"/>
    <n v="2.73"/>
    <n v="48"/>
    <x v="0"/>
    <x v="0"/>
    <n v="8.99"/>
    <x v="1"/>
    <x v="3"/>
    <n v="5"/>
    <n v="0.06"/>
    <x v="0"/>
  </r>
  <r>
    <s v="567dc920-9ae2-41ca-b169-a6706369169f"/>
    <n v="28"/>
    <x v="0"/>
    <x v="1"/>
    <x v="1"/>
    <n v="17.100000000000001"/>
    <n v="16"/>
    <x v="3"/>
    <x v="3"/>
    <n v="17.989999999999998"/>
    <x v="0"/>
    <x v="0"/>
    <n v="4"/>
    <n v="1.01"/>
    <x v="3"/>
  </r>
  <r>
    <s v="c7580297-a79c-4487-a676-afefffc00a0c"/>
    <n v="27"/>
    <x v="0"/>
    <x v="2"/>
    <x v="2"/>
    <n v="31"/>
    <n v="57"/>
    <x v="2"/>
    <x v="0"/>
    <n v="8.99"/>
    <x v="0"/>
    <x v="0"/>
    <n v="5"/>
    <n v="0.53"/>
    <x v="4"/>
  </r>
  <r>
    <s v="c06f7f28-0fde-4b15-819b-ec1061932a50"/>
    <n v="19"/>
    <x v="1"/>
    <x v="1"/>
    <x v="2"/>
    <n v="1.23"/>
    <n v="47"/>
    <x v="0"/>
    <x v="2"/>
    <n v="8.99"/>
    <x v="1"/>
    <x v="1"/>
    <n v="4"/>
    <n v="0.03"/>
    <x v="6"/>
  </r>
  <r>
    <s v="c064e06e-7e55-493f-817f-ca67c074b251"/>
    <n v="20"/>
    <x v="1"/>
    <x v="1"/>
    <x v="2"/>
    <n v="0.37"/>
    <n v="27"/>
    <x v="3"/>
    <x v="3"/>
    <n v="8.99"/>
    <x v="1"/>
    <x v="3"/>
    <n v="1"/>
    <n v="0.01"/>
    <x v="0"/>
  </r>
  <r>
    <s v="107172f9-17aa-4d27-9316-211b12b7ca66"/>
    <n v="30"/>
    <x v="0"/>
    <x v="1"/>
    <x v="1"/>
    <n v="21.23"/>
    <n v="50"/>
    <x v="3"/>
    <x v="2"/>
    <n v="17.989999999999998"/>
    <x v="0"/>
    <x v="2"/>
    <n v="2"/>
    <n v="0.42"/>
    <x v="0"/>
  </r>
  <r>
    <s v="9cf98ae9-3ca2-4174-a7ca-0fb8969544aa"/>
    <n v="19"/>
    <x v="1"/>
    <x v="1"/>
    <x v="1"/>
    <n v="13.21"/>
    <n v="32"/>
    <x v="0"/>
    <x v="3"/>
    <n v="17.989999999999998"/>
    <x v="1"/>
    <x v="0"/>
    <n v="2"/>
    <n v="0.4"/>
    <x v="3"/>
  </r>
  <r>
    <s v="2d568e58-1bce-43d3-b509-529c4907feb6"/>
    <n v="32"/>
    <x v="0"/>
    <x v="0"/>
    <x v="0"/>
    <n v="12.46"/>
    <n v="17"/>
    <x v="3"/>
    <x v="1"/>
    <n v="13.99"/>
    <x v="0"/>
    <x v="1"/>
    <n v="5"/>
    <n v="0.69"/>
    <x v="1"/>
  </r>
  <r>
    <s v="1750bbeb-a4d1-4fdd-9d4b-6da8f2110f83"/>
    <n v="24"/>
    <x v="1"/>
    <x v="1"/>
    <x v="1"/>
    <n v="5.54"/>
    <n v="47"/>
    <x v="3"/>
    <x v="4"/>
    <n v="17.989999999999998"/>
    <x v="0"/>
    <x v="3"/>
    <n v="5"/>
    <n v="0.12"/>
    <x v="5"/>
  </r>
  <r>
    <s v="762bdb2f-9869-459d-a388-b7d7499de3d1"/>
    <n v="24"/>
    <x v="1"/>
    <x v="0"/>
    <x v="0"/>
    <n v="30.63"/>
    <n v="58"/>
    <x v="5"/>
    <x v="2"/>
    <n v="13.99"/>
    <x v="0"/>
    <x v="1"/>
    <n v="4"/>
    <n v="0.52"/>
    <x v="6"/>
  </r>
  <r>
    <s v="8c5e8ece-8b04-4187-943f-c47e7452ac98"/>
    <n v="29"/>
    <x v="0"/>
    <x v="0"/>
    <x v="1"/>
    <n v="3.17"/>
    <n v="8"/>
    <x v="2"/>
    <x v="0"/>
    <n v="17.989999999999998"/>
    <x v="1"/>
    <x v="0"/>
    <n v="2"/>
    <n v="0.35"/>
    <x v="3"/>
  </r>
  <r>
    <s v="0b029466-21a8-4aa2-a32d-7957bc97dd15"/>
    <n v="18"/>
    <x v="1"/>
    <x v="0"/>
    <x v="2"/>
    <n v="18.12"/>
    <n v="2"/>
    <x v="4"/>
    <x v="4"/>
    <n v="8.99"/>
    <x v="0"/>
    <x v="1"/>
    <n v="1"/>
    <n v="6.04"/>
    <x v="2"/>
  </r>
  <r>
    <s v="68ce89c8-a5b2-4117-b896-352c78e682a5"/>
    <n v="20"/>
    <x v="1"/>
    <x v="1"/>
    <x v="0"/>
    <n v="2.75"/>
    <n v="2"/>
    <x v="3"/>
    <x v="0"/>
    <n v="13.99"/>
    <x v="0"/>
    <x v="2"/>
    <n v="2"/>
    <n v="0.92"/>
    <x v="6"/>
  </r>
  <r>
    <s v="8f7170b0-9f51-4774-88cc-a5881e14d60d"/>
    <n v="25"/>
    <x v="0"/>
    <x v="2"/>
    <x v="0"/>
    <n v="3.84"/>
    <n v="45"/>
    <x v="3"/>
    <x v="2"/>
    <n v="13.99"/>
    <x v="1"/>
    <x v="1"/>
    <n v="5"/>
    <n v="0.08"/>
    <x v="0"/>
  </r>
  <r>
    <s v="910f20e5-3307-4e9f-928d-bf6b69fbc430"/>
    <n v="25"/>
    <x v="0"/>
    <x v="0"/>
    <x v="1"/>
    <n v="50.94"/>
    <n v="28"/>
    <x v="3"/>
    <x v="2"/>
    <n v="17.989999999999998"/>
    <x v="0"/>
    <x v="1"/>
    <n v="4"/>
    <n v="1.76"/>
    <x v="0"/>
  </r>
  <r>
    <s v="4a384e91-f1c0-47f5-a245-485175a01a96"/>
    <n v="21"/>
    <x v="1"/>
    <x v="2"/>
    <x v="0"/>
    <n v="0.19"/>
    <n v="59"/>
    <x v="4"/>
    <x v="2"/>
    <n v="13.99"/>
    <x v="1"/>
    <x v="1"/>
    <n v="3"/>
    <n v="0"/>
    <x v="4"/>
  </r>
  <r>
    <s v="72636137-36a1-4188-98f6-faaa54b0a5aa"/>
    <n v="32"/>
    <x v="0"/>
    <x v="2"/>
    <x v="0"/>
    <n v="7.88"/>
    <n v="38"/>
    <x v="1"/>
    <x v="4"/>
    <n v="13.99"/>
    <x v="1"/>
    <x v="1"/>
    <n v="1"/>
    <n v="0.2"/>
    <x v="0"/>
  </r>
  <r>
    <s v="215aac75-022a-4a4a-90c3-160a8a792257"/>
    <n v="29"/>
    <x v="0"/>
    <x v="0"/>
    <x v="2"/>
    <n v="15.6"/>
    <n v="11"/>
    <x v="2"/>
    <x v="4"/>
    <n v="8.99"/>
    <x v="0"/>
    <x v="0"/>
    <n v="2"/>
    <n v="1.3"/>
    <x v="5"/>
  </r>
  <r>
    <s v="22bb275c-104e-497a-b1eb-227b79c9a40b"/>
    <n v="22"/>
    <x v="1"/>
    <x v="0"/>
    <x v="2"/>
    <n v="4.4000000000000004"/>
    <n v="34"/>
    <x v="1"/>
    <x v="0"/>
    <n v="8.99"/>
    <x v="1"/>
    <x v="0"/>
    <n v="5"/>
    <n v="0.13"/>
    <x v="3"/>
  </r>
  <r>
    <s v="f640922d-1951-4e52-8d07-58299a016cf0"/>
    <n v="31"/>
    <x v="0"/>
    <x v="2"/>
    <x v="0"/>
    <n v="8.85"/>
    <n v="5"/>
    <x v="5"/>
    <x v="4"/>
    <n v="13.99"/>
    <x v="0"/>
    <x v="4"/>
    <n v="1"/>
    <n v="1.47"/>
    <x v="6"/>
  </r>
  <r>
    <s v="d105d2bf-fcf9-44c6-b086-51c0d096dbb4"/>
    <n v="23"/>
    <x v="1"/>
    <x v="2"/>
    <x v="2"/>
    <n v="1.81"/>
    <n v="0"/>
    <x v="1"/>
    <x v="1"/>
    <n v="8.99"/>
    <x v="0"/>
    <x v="0"/>
    <n v="5"/>
    <n v="1.81"/>
    <x v="2"/>
  </r>
  <r>
    <s v="6119cd5f-25ae-468c-a4c8-0e86ce0da93f"/>
    <n v="20"/>
    <x v="1"/>
    <x v="0"/>
    <x v="1"/>
    <n v="4.18"/>
    <n v="36"/>
    <x v="4"/>
    <x v="4"/>
    <n v="17.989999999999998"/>
    <x v="1"/>
    <x v="1"/>
    <n v="3"/>
    <n v="0.11"/>
    <x v="5"/>
  </r>
  <r>
    <s v="a92b4d05-6e6e-435e-b8ab-ed160c1a0671"/>
    <n v="22"/>
    <x v="1"/>
    <x v="2"/>
    <x v="1"/>
    <n v="0.77"/>
    <n v="29"/>
    <x v="4"/>
    <x v="3"/>
    <n v="17.989999999999998"/>
    <x v="1"/>
    <x v="1"/>
    <n v="1"/>
    <n v="0.03"/>
    <x v="2"/>
  </r>
  <r>
    <s v="7dd16f76-9942-47b6-ae7f-fe82db8b862c"/>
    <n v="27"/>
    <x v="0"/>
    <x v="1"/>
    <x v="1"/>
    <n v="27.3"/>
    <n v="4"/>
    <x v="2"/>
    <x v="1"/>
    <n v="17.989999999999998"/>
    <x v="0"/>
    <x v="3"/>
    <n v="3"/>
    <n v="5.46"/>
    <x v="0"/>
  </r>
  <r>
    <s v="e11b6d38-05be-4524-9735-a838b05d752b"/>
    <n v="22"/>
    <x v="1"/>
    <x v="0"/>
    <x v="1"/>
    <n v="4.9800000000000004"/>
    <n v="0"/>
    <x v="2"/>
    <x v="0"/>
    <n v="17.989999999999998"/>
    <x v="0"/>
    <x v="3"/>
    <n v="5"/>
    <n v="4.9800000000000004"/>
    <x v="0"/>
  </r>
  <r>
    <s v="bf9da4d1-f789-4552-93e8-3b529290ed7d"/>
    <n v="29"/>
    <x v="0"/>
    <x v="0"/>
    <x v="2"/>
    <n v="11.19"/>
    <n v="11"/>
    <x v="3"/>
    <x v="2"/>
    <n v="8.99"/>
    <x v="0"/>
    <x v="1"/>
    <n v="2"/>
    <n v="0.93"/>
    <x v="1"/>
  </r>
  <r>
    <s v="93ffabf9-401d-4998-ba07-69b25693af8f"/>
    <n v="34"/>
    <x v="0"/>
    <x v="2"/>
    <x v="2"/>
    <n v="1.77"/>
    <n v="10"/>
    <x v="3"/>
    <x v="1"/>
    <n v="8.99"/>
    <x v="1"/>
    <x v="2"/>
    <n v="2"/>
    <n v="0.16"/>
    <x v="4"/>
  </r>
  <r>
    <s v="d4d09568-7425-484c-876a-0d23fbd58db7"/>
    <n v="23"/>
    <x v="1"/>
    <x v="1"/>
    <x v="1"/>
    <n v="0.24"/>
    <n v="23"/>
    <x v="0"/>
    <x v="2"/>
    <n v="17.989999999999998"/>
    <x v="1"/>
    <x v="3"/>
    <n v="2"/>
    <n v="0.01"/>
    <x v="2"/>
  </r>
  <r>
    <s v="05b8250f-403e-455e-8588-acfd28455970"/>
    <n v="18"/>
    <x v="1"/>
    <x v="0"/>
    <x v="0"/>
    <n v="6.99"/>
    <n v="46"/>
    <x v="3"/>
    <x v="3"/>
    <n v="13.99"/>
    <x v="1"/>
    <x v="0"/>
    <n v="5"/>
    <n v="0.15"/>
    <x v="1"/>
  </r>
  <r>
    <s v="1e25499f-f040-4626-b6d9-a923812d8aa1"/>
    <n v="22"/>
    <x v="1"/>
    <x v="0"/>
    <x v="1"/>
    <n v="14.35"/>
    <n v="1"/>
    <x v="1"/>
    <x v="1"/>
    <n v="17.989999999999998"/>
    <x v="0"/>
    <x v="2"/>
    <n v="5"/>
    <n v="7.17"/>
    <x v="6"/>
  </r>
  <r>
    <s v="04c15b59-8639-4ca1-a09c-b3cdf6cd26e9"/>
    <n v="29"/>
    <x v="0"/>
    <x v="0"/>
    <x v="1"/>
    <n v="8.8699999999999992"/>
    <n v="41"/>
    <x v="1"/>
    <x v="2"/>
    <n v="17.989999999999998"/>
    <x v="1"/>
    <x v="1"/>
    <n v="3"/>
    <n v="0.21"/>
    <x v="2"/>
  </r>
  <r>
    <s v="7e3cf4e1-5524-4c58-9e6f-181025287358"/>
    <n v="33"/>
    <x v="0"/>
    <x v="1"/>
    <x v="1"/>
    <n v="1.97"/>
    <n v="60"/>
    <x v="1"/>
    <x v="1"/>
    <n v="17.989999999999998"/>
    <x v="1"/>
    <x v="1"/>
    <n v="2"/>
    <n v="0.03"/>
    <x v="6"/>
  </r>
  <r>
    <s v="95fb8941-2b7c-429c-a1d6-d142fcebae4b"/>
    <n v="18"/>
    <x v="1"/>
    <x v="0"/>
    <x v="0"/>
    <n v="1.59"/>
    <n v="10"/>
    <x v="2"/>
    <x v="3"/>
    <n v="13.99"/>
    <x v="1"/>
    <x v="4"/>
    <n v="3"/>
    <n v="0.14000000000000001"/>
    <x v="5"/>
  </r>
  <r>
    <s v="d0eea795-1f4e-4edb-9bd6-d37816cef777"/>
    <n v="18"/>
    <x v="1"/>
    <x v="0"/>
    <x v="0"/>
    <n v="1.48"/>
    <n v="27"/>
    <x v="1"/>
    <x v="3"/>
    <n v="13.99"/>
    <x v="0"/>
    <x v="1"/>
    <n v="4"/>
    <n v="0.05"/>
    <x v="6"/>
  </r>
  <r>
    <s v="c8778c91-31b9-4288-8522-0fc97992be4e"/>
    <n v="28"/>
    <x v="0"/>
    <x v="0"/>
    <x v="2"/>
    <n v="9.1999999999999993"/>
    <n v="7"/>
    <x v="0"/>
    <x v="0"/>
    <n v="8.99"/>
    <x v="0"/>
    <x v="3"/>
    <n v="2"/>
    <n v="1.1499999999999999"/>
    <x v="1"/>
  </r>
  <r>
    <s v="21a219c6-4cd0-4da5-aea7-20e42999e21a"/>
    <n v="18"/>
    <x v="1"/>
    <x v="1"/>
    <x v="2"/>
    <n v="12.33"/>
    <n v="22"/>
    <x v="4"/>
    <x v="4"/>
    <n v="8.99"/>
    <x v="0"/>
    <x v="3"/>
    <n v="5"/>
    <n v="0.54"/>
    <x v="1"/>
  </r>
  <r>
    <s v="4441c4ff-a006-4c5a-98d4-31e630b35f3c"/>
    <n v="22"/>
    <x v="1"/>
    <x v="2"/>
    <x v="0"/>
    <n v="13.64"/>
    <n v="18"/>
    <x v="4"/>
    <x v="2"/>
    <n v="13.99"/>
    <x v="0"/>
    <x v="1"/>
    <n v="4"/>
    <n v="0.72"/>
    <x v="5"/>
  </r>
  <r>
    <s v="fb637754-0acb-469f-adc6-8f653eb28048"/>
    <n v="29"/>
    <x v="0"/>
    <x v="0"/>
    <x v="1"/>
    <n v="9.33"/>
    <n v="9"/>
    <x v="1"/>
    <x v="2"/>
    <n v="17.989999999999998"/>
    <x v="0"/>
    <x v="3"/>
    <n v="5"/>
    <n v="0.93"/>
    <x v="2"/>
  </r>
  <r>
    <s v="0f1b36d1-4484-445c-b533-065818d12a59"/>
    <n v="19"/>
    <x v="1"/>
    <x v="2"/>
    <x v="1"/>
    <n v="3.28"/>
    <n v="30"/>
    <x v="2"/>
    <x v="4"/>
    <n v="17.989999999999998"/>
    <x v="1"/>
    <x v="0"/>
    <n v="5"/>
    <n v="0.11"/>
    <x v="0"/>
  </r>
  <r>
    <s v="a5d3af2e-027f-4ff1-811c-5b08b95aa234"/>
    <n v="34"/>
    <x v="0"/>
    <x v="2"/>
    <x v="2"/>
    <n v="11.2"/>
    <n v="48"/>
    <x v="3"/>
    <x v="3"/>
    <n v="8.99"/>
    <x v="1"/>
    <x v="0"/>
    <n v="4"/>
    <n v="0.23"/>
    <x v="1"/>
  </r>
  <r>
    <s v="2d38083f-cfad-40b3-8343-c572f3d841d8"/>
    <n v="23"/>
    <x v="1"/>
    <x v="2"/>
    <x v="0"/>
    <n v="23.96"/>
    <n v="32"/>
    <x v="5"/>
    <x v="1"/>
    <n v="13.99"/>
    <x v="0"/>
    <x v="2"/>
    <n v="5"/>
    <n v="0.73"/>
    <x v="5"/>
  </r>
  <r>
    <s v="6e4d182d-a3ce-4477-bc55-af71b882893a"/>
    <n v="22"/>
    <x v="1"/>
    <x v="0"/>
    <x v="1"/>
    <n v="5.64"/>
    <n v="29"/>
    <x v="5"/>
    <x v="3"/>
    <n v="17.989999999999998"/>
    <x v="0"/>
    <x v="1"/>
    <n v="1"/>
    <n v="0.19"/>
    <x v="1"/>
  </r>
  <r>
    <s v="fd689478-3167-465d-b35c-2f2238dec6b1"/>
    <n v="31"/>
    <x v="0"/>
    <x v="1"/>
    <x v="1"/>
    <n v="16.79"/>
    <n v="42"/>
    <x v="1"/>
    <x v="4"/>
    <n v="17.989999999999998"/>
    <x v="1"/>
    <x v="4"/>
    <n v="1"/>
    <n v="0.39"/>
    <x v="0"/>
  </r>
  <r>
    <s v="ef22bb3e-f5d3-495a-9e74-c6589bd524fb"/>
    <n v="28"/>
    <x v="0"/>
    <x v="0"/>
    <x v="0"/>
    <n v="25.72"/>
    <n v="60"/>
    <x v="1"/>
    <x v="4"/>
    <n v="13.99"/>
    <x v="0"/>
    <x v="0"/>
    <n v="3"/>
    <n v="0.42"/>
    <x v="1"/>
  </r>
  <r>
    <s v="ac7d370b-5d58-4576-b476-0b9bc78e8750"/>
    <n v="33"/>
    <x v="0"/>
    <x v="2"/>
    <x v="0"/>
    <n v="14.5"/>
    <n v="60"/>
    <x v="4"/>
    <x v="3"/>
    <n v="13.99"/>
    <x v="0"/>
    <x v="3"/>
    <n v="4"/>
    <n v="0.24"/>
    <x v="3"/>
  </r>
  <r>
    <s v="4b38a420-d599-48b2-9b49-b4d3ddfa370b"/>
    <n v="22"/>
    <x v="1"/>
    <x v="2"/>
    <x v="1"/>
    <n v="33.82"/>
    <n v="25"/>
    <x v="3"/>
    <x v="1"/>
    <n v="17.989999999999998"/>
    <x v="0"/>
    <x v="3"/>
    <n v="5"/>
    <n v="1.3"/>
    <x v="0"/>
  </r>
  <r>
    <s v="068d3ec3-4558-4ce6-9c85-06f657b6bd3f"/>
    <n v="19"/>
    <x v="1"/>
    <x v="1"/>
    <x v="0"/>
    <n v="13.27"/>
    <n v="35"/>
    <x v="4"/>
    <x v="2"/>
    <n v="13.99"/>
    <x v="0"/>
    <x v="1"/>
    <n v="4"/>
    <n v="0.37"/>
    <x v="6"/>
  </r>
  <r>
    <s v="04bde8d7-e8ac-4858-811e-4d2ed879f3b2"/>
    <n v="23"/>
    <x v="1"/>
    <x v="2"/>
    <x v="2"/>
    <n v="17.27"/>
    <n v="10"/>
    <x v="1"/>
    <x v="0"/>
    <n v="8.99"/>
    <x v="0"/>
    <x v="3"/>
    <n v="4"/>
    <n v="1.57"/>
    <x v="4"/>
  </r>
  <r>
    <s v="731179a6-acc0-4d35-8dff-4ab8a6a427d0"/>
    <n v="23"/>
    <x v="1"/>
    <x v="2"/>
    <x v="1"/>
    <n v="4.93"/>
    <n v="38"/>
    <x v="3"/>
    <x v="3"/>
    <n v="17.989999999999998"/>
    <x v="1"/>
    <x v="1"/>
    <n v="4"/>
    <n v="0.13"/>
    <x v="3"/>
  </r>
  <r>
    <s v="a2405e26-4977-4666-96f0-555b63ef33f5"/>
    <n v="20"/>
    <x v="1"/>
    <x v="0"/>
    <x v="0"/>
    <n v="2.4300000000000002"/>
    <n v="48"/>
    <x v="2"/>
    <x v="2"/>
    <n v="13.99"/>
    <x v="1"/>
    <x v="1"/>
    <n v="4"/>
    <n v="0.05"/>
    <x v="6"/>
  </r>
  <r>
    <s v="e90ac329-d5ca-425a-8ee5-e4d465f17cf1"/>
    <n v="31"/>
    <x v="0"/>
    <x v="2"/>
    <x v="0"/>
    <n v="10.69"/>
    <n v="20"/>
    <x v="3"/>
    <x v="4"/>
    <n v="13.99"/>
    <x v="0"/>
    <x v="4"/>
    <n v="4"/>
    <n v="0.51"/>
    <x v="1"/>
  </r>
  <r>
    <s v="089923b3-af5c-4e4d-a9ae-44fdc09c96ed"/>
    <n v="23"/>
    <x v="1"/>
    <x v="1"/>
    <x v="1"/>
    <n v="4.05"/>
    <n v="10"/>
    <x v="0"/>
    <x v="2"/>
    <n v="17.989999999999998"/>
    <x v="1"/>
    <x v="3"/>
    <n v="1"/>
    <n v="0.37"/>
    <x v="6"/>
  </r>
  <r>
    <s v="bedcd2ac-2dd8-4df1-85c4-3b099174e2e3"/>
    <n v="20"/>
    <x v="1"/>
    <x v="2"/>
    <x v="0"/>
    <n v="22.07"/>
    <n v="39"/>
    <x v="3"/>
    <x v="0"/>
    <n v="13.99"/>
    <x v="0"/>
    <x v="3"/>
    <n v="4"/>
    <n v="0.55000000000000004"/>
    <x v="2"/>
  </r>
  <r>
    <s v="08bcd88f-9bc2-4463-bc5f-498b5a3e6c27"/>
    <n v="20"/>
    <x v="1"/>
    <x v="1"/>
    <x v="0"/>
    <n v="5.41"/>
    <n v="38"/>
    <x v="4"/>
    <x v="0"/>
    <n v="13.99"/>
    <x v="1"/>
    <x v="3"/>
    <n v="1"/>
    <n v="0.14000000000000001"/>
    <x v="6"/>
  </r>
  <r>
    <s v="db495161-ed07-4cd1-82d4-50a9e4c8c5c0"/>
    <n v="25"/>
    <x v="0"/>
    <x v="0"/>
    <x v="0"/>
    <n v="7.36"/>
    <n v="1"/>
    <x v="4"/>
    <x v="2"/>
    <n v="13.99"/>
    <x v="0"/>
    <x v="3"/>
    <n v="4"/>
    <n v="3.68"/>
    <x v="1"/>
  </r>
  <r>
    <s v="bb9475e9-1a35-46a1-908e-0fcbca2b075d"/>
    <n v="29"/>
    <x v="0"/>
    <x v="1"/>
    <x v="0"/>
    <n v="14.85"/>
    <n v="39"/>
    <x v="3"/>
    <x v="2"/>
    <n v="13.99"/>
    <x v="0"/>
    <x v="2"/>
    <n v="5"/>
    <n v="0.37"/>
    <x v="0"/>
  </r>
  <r>
    <s v="a354f784-6051-47cd-9266-f9f76ae17cf9"/>
    <n v="29"/>
    <x v="0"/>
    <x v="2"/>
    <x v="2"/>
    <n v="5.94"/>
    <n v="38"/>
    <x v="2"/>
    <x v="4"/>
    <n v="8.99"/>
    <x v="1"/>
    <x v="3"/>
    <n v="3"/>
    <n v="0.15"/>
    <x v="2"/>
  </r>
  <r>
    <s v="30c6845d-fcd3-4100-be4a-6939a129e80d"/>
    <n v="28"/>
    <x v="0"/>
    <x v="1"/>
    <x v="2"/>
    <n v="1.58"/>
    <n v="27"/>
    <x v="4"/>
    <x v="1"/>
    <n v="8.99"/>
    <x v="1"/>
    <x v="2"/>
    <n v="5"/>
    <n v="0.06"/>
    <x v="4"/>
  </r>
  <r>
    <s v="789a8aba-0b46-435e-a7a7-903883ab845d"/>
    <n v="21"/>
    <x v="1"/>
    <x v="1"/>
    <x v="1"/>
    <n v="8.16"/>
    <n v="49"/>
    <x v="5"/>
    <x v="3"/>
    <n v="17.989999999999998"/>
    <x v="1"/>
    <x v="3"/>
    <n v="3"/>
    <n v="0.16"/>
    <x v="0"/>
  </r>
  <r>
    <s v="110faa05-b3a5-4946-93c0-4d7e014cf3d4"/>
    <n v="23"/>
    <x v="1"/>
    <x v="1"/>
    <x v="1"/>
    <n v="4.59"/>
    <n v="35"/>
    <x v="4"/>
    <x v="1"/>
    <n v="17.989999999999998"/>
    <x v="1"/>
    <x v="0"/>
    <n v="5"/>
    <n v="0.13"/>
    <x v="2"/>
  </r>
  <r>
    <s v="8408aa81-381c-4653-ad47-eff2475f2fe6"/>
    <n v="24"/>
    <x v="1"/>
    <x v="2"/>
    <x v="2"/>
    <n v="14.73"/>
    <n v="31"/>
    <x v="3"/>
    <x v="4"/>
    <n v="8.99"/>
    <x v="1"/>
    <x v="3"/>
    <n v="2"/>
    <n v="0.46"/>
    <x v="0"/>
  </r>
  <r>
    <s v="aee0bad7-f0d3-4485-af23-b9e4dfa52fd4"/>
    <n v="19"/>
    <x v="1"/>
    <x v="0"/>
    <x v="0"/>
    <n v="12.01"/>
    <n v="0"/>
    <x v="3"/>
    <x v="0"/>
    <n v="13.99"/>
    <x v="0"/>
    <x v="0"/>
    <n v="3"/>
    <n v="12.01"/>
    <x v="5"/>
  </r>
  <r>
    <s v="33a5ffac-c883-407a-9910-f24995588d22"/>
    <n v="30"/>
    <x v="0"/>
    <x v="1"/>
    <x v="1"/>
    <n v="14.88"/>
    <n v="16"/>
    <x v="5"/>
    <x v="1"/>
    <n v="17.989999999999998"/>
    <x v="0"/>
    <x v="2"/>
    <n v="5"/>
    <n v="0.88"/>
    <x v="4"/>
  </r>
  <r>
    <s v="66fb3011-2fb9-4506-8854-e332308091c2"/>
    <n v="23"/>
    <x v="1"/>
    <x v="1"/>
    <x v="0"/>
    <n v="36.880000000000003"/>
    <n v="52"/>
    <x v="2"/>
    <x v="2"/>
    <n v="13.99"/>
    <x v="0"/>
    <x v="4"/>
    <n v="3"/>
    <n v="0.7"/>
    <x v="4"/>
  </r>
  <r>
    <s v="de3fea5a-0bac-47ec-8304-83c1f89f049e"/>
    <n v="18"/>
    <x v="1"/>
    <x v="0"/>
    <x v="0"/>
    <n v="13.02"/>
    <n v="6"/>
    <x v="3"/>
    <x v="3"/>
    <n v="13.99"/>
    <x v="0"/>
    <x v="0"/>
    <n v="5"/>
    <n v="1.86"/>
    <x v="5"/>
  </r>
  <r>
    <s v="d01b5f38-e5e2-424a-bf0f-65f51fc1d64c"/>
    <n v="33"/>
    <x v="0"/>
    <x v="1"/>
    <x v="2"/>
    <n v="10.34"/>
    <n v="20"/>
    <x v="1"/>
    <x v="1"/>
    <n v="8.99"/>
    <x v="0"/>
    <x v="3"/>
    <n v="3"/>
    <n v="0.49"/>
    <x v="6"/>
  </r>
  <r>
    <s v="c480d2b5-7843-47fb-94c0-9f40c6c3d562"/>
    <n v="32"/>
    <x v="0"/>
    <x v="2"/>
    <x v="0"/>
    <n v="40.69"/>
    <n v="23"/>
    <x v="2"/>
    <x v="4"/>
    <n v="13.99"/>
    <x v="0"/>
    <x v="3"/>
    <n v="3"/>
    <n v="1.7"/>
    <x v="1"/>
  </r>
  <r>
    <s v="249f226e-b40a-41f9-93a2-32a9504d7dd9"/>
    <n v="33"/>
    <x v="0"/>
    <x v="1"/>
    <x v="1"/>
    <n v="13.25"/>
    <n v="10"/>
    <x v="1"/>
    <x v="0"/>
    <n v="17.989999999999998"/>
    <x v="0"/>
    <x v="4"/>
    <n v="1"/>
    <n v="1.2"/>
    <x v="1"/>
  </r>
  <r>
    <s v="485e76bb-675c-4eb5-b1e2-82a4934adc5f"/>
    <n v="28"/>
    <x v="0"/>
    <x v="0"/>
    <x v="2"/>
    <n v="2.4700000000000002"/>
    <n v="37"/>
    <x v="4"/>
    <x v="3"/>
    <n v="8.99"/>
    <x v="1"/>
    <x v="3"/>
    <n v="1"/>
    <n v="7.0000000000000007E-2"/>
    <x v="0"/>
  </r>
  <r>
    <s v="daddb68f-42a4-46d6-aa0a-39a8dec340f8"/>
    <n v="34"/>
    <x v="0"/>
    <x v="0"/>
    <x v="2"/>
    <n v="7.71"/>
    <n v="32"/>
    <x v="1"/>
    <x v="4"/>
    <n v="8.99"/>
    <x v="1"/>
    <x v="2"/>
    <n v="5"/>
    <n v="0.23"/>
    <x v="3"/>
  </r>
  <r>
    <s v="001b5926-1113-493d-80a4-f09012f2f43b"/>
    <n v="24"/>
    <x v="1"/>
    <x v="0"/>
    <x v="2"/>
    <n v="2.2999999999999998"/>
    <n v="37"/>
    <x v="5"/>
    <x v="2"/>
    <n v="8.99"/>
    <x v="1"/>
    <x v="4"/>
    <n v="4"/>
    <n v="0.06"/>
    <x v="4"/>
  </r>
  <r>
    <s v="534a8d77-57a7-4b82-a0ff-f55952dc55b1"/>
    <n v="32"/>
    <x v="0"/>
    <x v="2"/>
    <x v="0"/>
    <n v="2.81"/>
    <n v="19"/>
    <x v="5"/>
    <x v="2"/>
    <n v="13.99"/>
    <x v="0"/>
    <x v="3"/>
    <n v="4"/>
    <n v="0.14000000000000001"/>
    <x v="0"/>
  </r>
  <r>
    <s v="4bac5430-7ecd-45e2-99ba-f2c89c88edce"/>
    <n v="19"/>
    <x v="1"/>
    <x v="2"/>
    <x v="0"/>
    <n v="4.71"/>
    <n v="17"/>
    <x v="5"/>
    <x v="3"/>
    <n v="13.99"/>
    <x v="1"/>
    <x v="1"/>
    <n v="2"/>
    <n v="0.26"/>
    <x v="5"/>
  </r>
  <r>
    <s v="01758428-1a21-4640-8f6c-36c669b35b03"/>
    <n v="23"/>
    <x v="1"/>
    <x v="2"/>
    <x v="2"/>
    <n v="7.33"/>
    <n v="20"/>
    <x v="3"/>
    <x v="0"/>
    <n v="8.99"/>
    <x v="1"/>
    <x v="3"/>
    <n v="1"/>
    <n v="0.35"/>
    <x v="5"/>
  </r>
  <r>
    <s v="1e1a8c33-1975-4586-b9e5-62c598f1ec78"/>
    <n v="24"/>
    <x v="1"/>
    <x v="2"/>
    <x v="0"/>
    <n v="9.02"/>
    <n v="13"/>
    <x v="5"/>
    <x v="4"/>
    <n v="13.99"/>
    <x v="0"/>
    <x v="1"/>
    <n v="1"/>
    <n v="0.64"/>
    <x v="0"/>
  </r>
  <r>
    <s v="e67ca5f6-85c4-44d9-b257-120a96520964"/>
    <n v="22"/>
    <x v="1"/>
    <x v="0"/>
    <x v="1"/>
    <n v="1.7"/>
    <n v="20"/>
    <x v="5"/>
    <x v="3"/>
    <n v="17.989999999999998"/>
    <x v="0"/>
    <x v="1"/>
    <n v="5"/>
    <n v="0.08"/>
    <x v="2"/>
  </r>
  <r>
    <s v="a50f0102-dae4-47af-b71f-bbe15439c86b"/>
    <n v="21"/>
    <x v="1"/>
    <x v="0"/>
    <x v="2"/>
    <n v="23.24"/>
    <n v="10"/>
    <x v="2"/>
    <x v="4"/>
    <n v="8.99"/>
    <x v="0"/>
    <x v="2"/>
    <n v="3"/>
    <n v="2.11"/>
    <x v="4"/>
  </r>
  <r>
    <s v="df29e495-0935-4eb2-8330-15d416f94131"/>
    <n v="30"/>
    <x v="0"/>
    <x v="1"/>
    <x v="0"/>
    <n v="3.79"/>
    <n v="20"/>
    <x v="3"/>
    <x v="3"/>
    <n v="13.99"/>
    <x v="1"/>
    <x v="0"/>
    <n v="5"/>
    <n v="0.18"/>
    <x v="0"/>
  </r>
  <r>
    <s v="a0a99e1e-afe1-4f6a-9435-828c93f0423b"/>
    <n v="33"/>
    <x v="0"/>
    <x v="1"/>
    <x v="0"/>
    <n v="7.87"/>
    <n v="42"/>
    <x v="1"/>
    <x v="4"/>
    <n v="13.99"/>
    <x v="0"/>
    <x v="3"/>
    <n v="5"/>
    <n v="0.18"/>
    <x v="6"/>
  </r>
  <r>
    <s v="c069c37d-b02d-4509-b039-bf16d73d22fb"/>
    <n v="18"/>
    <x v="1"/>
    <x v="2"/>
    <x v="0"/>
    <n v="0.64"/>
    <n v="18"/>
    <x v="0"/>
    <x v="0"/>
    <n v="13.99"/>
    <x v="1"/>
    <x v="0"/>
    <n v="2"/>
    <n v="0.03"/>
    <x v="2"/>
  </r>
  <r>
    <s v="ff1360fb-906c-459e-b73c-dbe79d6c0bba"/>
    <n v="20"/>
    <x v="1"/>
    <x v="2"/>
    <x v="0"/>
    <n v="13.57"/>
    <n v="45"/>
    <x v="5"/>
    <x v="2"/>
    <n v="13.99"/>
    <x v="1"/>
    <x v="3"/>
    <n v="1"/>
    <n v="0.28999999999999998"/>
    <x v="6"/>
  </r>
  <r>
    <s v="4597d5ab-47a9-4d12-80a8-0babe6446f8d"/>
    <n v="30"/>
    <x v="0"/>
    <x v="0"/>
    <x v="2"/>
    <n v="10.64"/>
    <n v="2"/>
    <x v="1"/>
    <x v="4"/>
    <n v="8.99"/>
    <x v="0"/>
    <x v="2"/>
    <n v="2"/>
    <n v="3.55"/>
    <x v="4"/>
  </r>
  <r>
    <s v="3159a3b9-ff3a-4ecd-976b-44e795002c17"/>
    <n v="25"/>
    <x v="0"/>
    <x v="1"/>
    <x v="0"/>
    <n v="16.760000000000002"/>
    <n v="53"/>
    <x v="3"/>
    <x v="3"/>
    <n v="13.99"/>
    <x v="0"/>
    <x v="2"/>
    <n v="4"/>
    <n v="0.31"/>
    <x v="4"/>
  </r>
  <r>
    <s v="727a57d8-56dd-4b96-8e01-c0841ed37406"/>
    <n v="28"/>
    <x v="0"/>
    <x v="1"/>
    <x v="2"/>
    <n v="14.14"/>
    <n v="16"/>
    <x v="2"/>
    <x v="2"/>
    <n v="8.99"/>
    <x v="0"/>
    <x v="4"/>
    <n v="3"/>
    <n v="0.83"/>
    <x v="0"/>
  </r>
  <r>
    <s v="a8725398-953d-4250-af9d-f99ecb96b562"/>
    <n v="18"/>
    <x v="1"/>
    <x v="1"/>
    <x v="1"/>
    <n v="46.06"/>
    <n v="57"/>
    <x v="0"/>
    <x v="4"/>
    <n v="17.989999999999998"/>
    <x v="0"/>
    <x v="0"/>
    <n v="4"/>
    <n v="0.79"/>
    <x v="1"/>
  </r>
  <r>
    <s v="40d27e9f-dd96-4b7b-b4c1-b9e098c71542"/>
    <n v="32"/>
    <x v="0"/>
    <x v="1"/>
    <x v="0"/>
    <n v="14.48"/>
    <n v="55"/>
    <x v="1"/>
    <x v="4"/>
    <n v="13.99"/>
    <x v="0"/>
    <x v="1"/>
    <n v="5"/>
    <n v="0.26"/>
    <x v="3"/>
  </r>
  <r>
    <s v="c0f1eefc-9a25-44f6-bf4b-85d606fd6b15"/>
    <n v="28"/>
    <x v="0"/>
    <x v="0"/>
    <x v="0"/>
    <n v="0.34"/>
    <n v="38"/>
    <x v="4"/>
    <x v="4"/>
    <n v="13.99"/>
    <x v="1"/>
    <x v="4"/>
    <n v="4"/>
    <n v="0.01"/>
    <x v="2"/>
  </r>
  <r>
    <s v="c0afed78-fc9f-4375-a3a2-a4e02e01946f"/>
    <n v="30"/>
    <x v="0"/>
    <x v="0"/>
    <x v="2"/>
    <n v="6.93"/>
    <n v="50"/>
    <x v="0"/>
    <x v="4"/>
    <n v="8.99"/>
    <x v="1"/>
    <x v="4"/>
    <n v="2"/>
    <n v="0.14000000000000001"/>
    <x v="1"/>
  </r>
  <r>
    <s v="a6ffb99c-83d7-4249-ad0f-6e34402a52d8"/>
    <n v="31"/>
    <x v="0"/>
    <x v="1"/>
    <x v="0"/>
    <n v="12.62"/>
    <n v="28"/>
    <x v="0"/>
    <x v="2"/>
    <n v="13.99"/>
    <x v="0"/>
    <x v="3"/>
    <n v="5"/>
    <n v="0.44"/>
    <x v="2"/>
  </r>
  <r>
    <s v="e4995385-d038-45d3-8363-db73a27d7469"/>
    <n v="19"/>
    <x v="1"/>
    <x v="2"/>
    <x v="0"/>
    <n v="3.45"/>
    <n v="18"/>
    <x v="3"/>
    <x v="4"/>
    <n v="13.99"/>
    <x v="1"/>
    <x v="2"/>
    <n v="3"/>
    <n v="0.18"/>
    <x v="4"/>
  </r>
  <r>
    <s v="c2385a8f-375b-4476-b78d-072cd47b996c"/>
    <n v="27"/>
    <x v="0"/>
    <x v="1"/>
    <x v="2"/>
    <n v="71.38"/>
    <n v="32"/>
    <x v="2"/>
    <x v="2"/>
    <n v="8.99"/>
    <x v="0"/>
    <x v="3"/>
    <n v="5"/>
    <n v="2.16"/>
    <x v="1"/>
  </r>
  <r>
    <s v="b35d25da-2139-4003-95ae-4692112104fc"/>
    <n v="20"/>
    <x v="1"/>
    <x v="1"/>
    <x v="0"/>
    <n v="0.75"/>
    <n v="53"/>
    <x v="0"/>
    <x v="4"/>
    <n v="13.99"/>
    <x v="1"/>
    <x v="3"/>
    <n v="3"/>
    <n v="0.01"/>
    <x v="3"/>
  </r>
  <r>
    <s v="96c14d7e-0813-4f70-be22-9198e307cc5d"/>
    <n v="20"/>
    <x v="1"/>
    <x v="2"/>
    <x v="2"/>
    <n v="8"/>
    <n v="58"/>
    <x v="5"/>
    <x v="4"/>
    <n v="8.99"/>
    <x v="1"/>
    <x v="4"/>
    <n v="4"/>
    <n v="0.14000000000000001"/>
    <x v="5"/>
  </r>
  <r>
    <s v="9721209e-3147-456f-a2c0-81d23b4cf822"/>
    <n v="34"/>
    <x v="0"/>
    <x v="2"/>
    <x v="0"/>
    <n v="10.25"/>
    <n v="41"/>
    <x v="5"/>
    <x v="3"/>
    <n v="13.99"/>
    <x v="1"/>
    <x v="0"/>
    <n v="3"/>
    <n v="0.24"/>
    <x v="5"/>
  </r>
  <r>
    <s v="f915a366-31c7-4a9e-9042-ca526c771219"/>
    <n v="23"/>
    <x v="1"/>
    <x v="1"/>
    <x v="0"/>
    <n v="3.1"/>
    <n v="12"/>
    <x v="1"/>
    <x v="1"/>
    <n v="13.99"/>
    <x v="1"/>
    <x v="0"/>
    <n v="5"/>
    <n v="0.24"/>
    <x v="1"/>
  </r>
  <r>
    <s v="44f3ba44-b95d-4e50-a786-bac4d06f4a43"/>
    <n v="19"/>
    <x v="1"/>
    <x v="0"/>
    <x v="2"/>
    <n v="49.17"/>
    <n v="11"/>
    <x v="1"/>
    <x v="3"/>
    <n v="8.99"/>
    <x v="0"/>
    <x v="2"/>
    <n v="4"/>
    <n v="4.0999999999999996"/>
    <x v="0"/>
  </r>
  <r>
    <s v="e2a75072-5f48-47ed-a533-eb1b0301aad9"/>
    <n v="39"/>
    <x v="2"/>
    <x v="0"/>
    <x v="2"/>
    <n v="10.97"/>
    <n v="10"/>
    <x v="5"/>
    <x v="2"/>
    <n v="8.99"/>
    <x v="0"/>
    <x v="3"/>
    <n v="1"/>
    <n v="1"/>
    <x v="1"/>
  </r>
  <r>
    <s v="98b7c57d-1094-45dd-bb45-d9bb8dff9b83"/>
    <n v="36"/>
    <x v="2"/>
    <x v="1"/>
    <x v="0"/>
    <n v="34.6"/>
    <n v="19"/>
    <x v="5"/>
    <x v="4"/>
    <n v="13.99"/>
    <x v="0"/>
    <x v="0"/>
    <n v="3"/>
    <n v="1.73"/>
    <x v="3"/>
  </r>
  <r>
    <s v="8b3597af-7da9-405d-9815-60d1e4dbe2e5"/>
    <n v="35"/>
    <x v="2"/>
    <x v="1"/>
    <x v="0"/>
    <n v="22.59"/>
    <n v="16"/>
    <x v="1"/>
    <x v="4"/>
    <n v="13.99"/>
    <x v="0"/>
    <x v="2"/>
    <n v="2"/>
    <n v="1.33"/>
    <x v="1"/>
  </r>
  <r>
    <s v="bfe7729e-7d5d-4850-b496-51e891158836"/>
    <n v="36"/>
    <x v="2"/>
    <x v="1"/>
    <x v="2"/>
    <n v="1.68"/>
    <n v="10"/>
    <x v="3"/>
    <x v="0"/>
    <n v="8.99"/>
    <x v="1"/>
    <x v="3"/>
    <n v="4"/>
    <n v="0.15"/>
    <x v="3"/>
  </r>
  <r>
    <s v="c9c8202c-992c-4e6c-b04f-0e2961ea87cc"/>
    <n v="42"/>
    <x v="2"/>
    <x v="0"/>
    <x v="2"/>
    <n v="49.49"/>
    <n v="39"/>
    <x v="1"/>
    <x v="2"/>
    <n v="8.99"/>
    <x v="0"/>
    <x v="2"/>
    <n v="5"/>
    <n v="1.24"/>
    <x v="2"/>
  </r>
  <r>
    <s v="ec202012-e4bf-4b14-b5fe-4447d8cfb730"/>
    <n v="38"/>
    <x v="2"/>
    <x v="2"/>
    <x v="1"/>
    <n v="29.84"/>
    <n v="56"/>
    <x v="2"/>
    <x v="3"/>
    <n v="17.989999999999998"/>
    <x v="0"/>
    <x v="2"/>
    <n v="4"/>
    <n v="0.52"/>
    <x v="0"/>
  </r>
  <r>
    <s v="da57899f-77b4-4b23-bcab-700db438f6d1"/>
    <n v="43"/>
    <x v="2"/>
    <x v="0"/>
    <x v="1"/>
    <n v="2.5"/>
    <n v="33"/>
    <x v="1"/>
    <x v="0"/>
    <n v="17.989999999999998"/>
    <x v="1"/>
    <x v="2"/>
    <n v="3"/>
    <n v="7.0000000000000007E-2"/>
    <x v="3"/>
  </r>
  <r>
    <s v="746cea20-f12a-4b78-900d-fe19b5eaf91d"/>
    <n v="35"/>
    <x v="2"/>
    <x v="2"/>
    <x v="0"/>
    <n v="25.08"/>
    <n v="2"/>
    <x v="5"/>
    <x v="0"/>
    <n v="13.99"/>
    <x v="0"/>
    <x v="0"/>
    <n v="5"/>
    <n v="8.36"/>
    <x v="3"/>
  </r>
  <r>
    <s v="60559c1a-4093-4379-9e24-d2f033256395"/>
    <n v="41"/>
    <x v="2"/>
    <x v="2"/>
    <x v="2"/>
    <n v="15.26"/>
    <n v="21"/>
    <x v="2"/>
    <x v="3"/>
    <n v="8.99"/>
    <x v="0"/>
    <x v="1"/>
    <n v="5"/>
    <n v="0.69"/>
    <x v="0"/>
  </r>
  <r>
    <s v="31563b13-7c8d-41c6-bdf2-6a1a554574cd"/>
    <n v="35"/>
    <x v="2"/>
    <x v="0"/>
    <x v="0"/>
    <n v="17.53"/>
    <n v="38"/>
    <x v="5"/>
    <x v="1"/>
    <n v="13.99"/>
    <x v="1"/>
    <x v="2"/>
    <n v="1"/>
    <n v="0.45"/>
    <x v="3"/>
  </r>
  <r>
    <s v="2682c90e-8e16-4cb6-88ae-1348cd5a62fb"/>
    <n v="37"/>
    <x v="2"/>
    <x v="2"/>
    <x v="2"/>
    <n v="9.69"/>
    <n v="24"/>
    <x v="0"/>
    <x v="2"/>
    <n v="8.99"/>
    <x v="0"/>
    <x v="2"/>
    <n v="4"/>
    <n v="0.39"/>
    <x v="2"/>
  </r>
  <r>
    <s v="55587cf4-5322-467e-8066-2ac35e023421"/>
    <n v="41"/>
    <x v="2"/>
    <x v="0"/>
    <x v="1"/>
    <n v="18.87"/>
    <n v="9"/>
    <x v="1"/>
    <x v="0"/>
    <n v="17.989999999999998"/>
    <x v="0"/>
    <x v="4"/>
    <n v="3"/>
    <n v="1.89"/>
    <x v="5"/>
  </r>
  <r>
    <s v="72e27837-1995-4843-8284-fadf89a8cfe8"/>
    <n v="36"/>
    <x v="2"/>
    <x v="1"/>
    <x v="1"/>
    <n v="13.38"/>
    <n v="22"/>
    <x v="4"/>
    <x v="2"/>
    <n v="17.989999999999998"/>
    <x v="0"/>
    <x v="4"/>
    <n v="4"/>
    <n v="0.57999999999999996"/>
    <x v="5"/>
  </r>
  <r>
    <s v="d88332b4-4d6a-49a9-a74c-55a5d43f3785"/>
    <n v="42"/>
    <x v="2"/>
    <x v="2"/>
    <x v="1"/>
    <n v="18.170000000000002"/>
    <n v="2"/>
    <x v="2"/>
    <x v="1"/>
    <n v="17.989999999999998"/>
    <x v="0"/>
    <x v="0"/>
    <n v="4"/>
    <n v="6.06"/>
    <x v="6"/>
  </r>
  <r>
    <s v="f5a0302a-6df7-4cad-b563-199ad2af75da"/>
    <n v="35"/>
    <x v="2"/>
    <x v="2"/>
    <x v="2"/>
    <n v="4.58"/>
    <n v="42"/>
    <x v="2"/>
    <x v="4"/>
    <n v="8.99"/>
    <x v="1"/>
    <x v="2"/>
    <n v="4"/>
    <n v="0.11"/>
    <x v="4"/>
  </r>
  <r>
    <s v="a8f0268f-cb07-4c40-9fde-dbe0f1c737fc"/>
    <n v="40"/>
    <x v="2"/>
    <x v="2"/>
    <x v="1"/>
    <n v="12.26"/>
    <n v="3"/>
    <x v="4"/>
    <x v="2"/>
    <n v="17.989999999999998"/>
    <x v="0"/>
    <x v="1"/>
    <n v="5"/>
    <n v="3.06"/>
    <x v="4"/>
  </r>
  <r>
    <s v="80e4a598-68b9-48e1-8bc0-4dbfa54d769e"/>
    <n v="35"/>
    <x v="2"/>
    <x v="0"/>
    <x v="2"/>
    <n v="26.9"/>
    <n v="49"/>
    <x v="2"/>
    <x v="3"/>
    <n v="8.99"/>
    <x v="0"/>
    <x v="4"/>
    <n v="2"/>
    <n v="0.54"/>
    <x v="0"/>
  </r>
  <r>
    <s v="21f1a30f-ff82-424c-b085-7770795446c1"/>
    <n v="40"/>
    <x v="2"/>
    <x v="0"/>
    <x v="0"/>
    <n v="32.880000000000003"/>
    <n v="36"/>
    <x v="2"/>
    <x v="3"/>
    <n v="13.99"/>
    <x v="0"/>
    <x v="0"/>
    <n v="4"/>
    <n v="0.89"/>
    <x v="6"/>
  </r>
  <r>
    <s v="5fa579a5-f777-4206-98c3-de5d03627c6c"/>
    <n v="41"/>
    <x v="2"/>
    <x v="0"/>
    <x v="0"/>
    <n v="6.26"/>
    <n v="16"/>
    <x v="5"/>
    <x v="4"/>
    <n v="13.99"/>
    <x v="0"/>
    <x v="0"/>
    <n v="4"/>
    <n v="0.37"/>
    <x v="3"/>
  </r>
  <r>
    <s v="76d56597-dfb2-4223-845f-b8ff46b00ccd"/>
    <n v="42"/>
    <x v="2"/>
    <x v="2"/>
    <x v="1"/>
    <n v="0.88"/>
    <n v="33"/>
    <x v="5"/>
    <x v="1"/>
    <n v="17.989999999999998"/>
    <x v="1"/>
    <x v="2"/>
    <n v="1"/>
    <n v="0.03"/>
    <x v="1"/>
  </r>
  <r>
    <s v="a9bb3c30-19d3-4f1c-ab31-2749363de6ca"/>
    <n v="37"/>
    <x v="2"/>
    <x v="2"/>
    <x v="0"/>
    <n v="31.31"/>
    <n v="53"/>
    <x v="2"/>
    <x v="2"/>
    <n v="13.99"/>
    <x v="0"/>
    <x v="4"/>
    <n v="1"/>
    <n v="0.57999999999999996"/>
    <x v="6"/>
  </r>
  <r>
    <s v="8a93c9a8-86d1-4fb8-9f0f-89ff6671601a"/>
    <n v="40"/>
    <x v="2"/>
    <x v="1"/>
    <x v="2"/>
    <n v="8.1300000000000008"/>
    <n v="4"/>
    <x v="5"/>
    <x v="4"/>
    <n v="8.99"/>
    <x v="0"/>
    <x v="4"/>
    <n v="4"/>
    <n v="1.63"/>
    <x v="4"/>
  </r>
  <r>
    <s v="61e92891-b875-4291-8e37-00d10b069367"/>
    <n v="44"/>
    <x v="2"/>
    <x v="2"/>
    <x v="1"/>
    <n v="38.18"/>
    <n v="49"/>
    <x v="5"/>
    <x v="0"/>
    <n v="17.989999999999998"/>
    <x v="0"/>
    <x v="4"/>
    <n v="3"/>
    <n v="0.76"/>
    <x v="5"/>
  </r>
  <r>
    <s v="ac2f51d0-0824-4f84-b2cd-ab20ec04b858"/>
    <n v="44"/>
    <x v="2"/>
    <x v="1"/>
    <x v="2"/>
    <n v="14.91"/>
    <n v="47"/>
    <x v="1"/>
    <x v="3"/>
    <n v="8.99"/>
    <x v="1"/>
    <x v="1"/>
    <n v="5"/>
    <n v="0.31"/>
    <x v="2"/>
  </r>
  <r>
    <s v="2986574c-65fa-40e8-ae90-3c745b045804"/>
    <n v="42"/>
    <x v="2"/>
    <x v="1"/>
    <x v="2"/>
    <n v="2.6"/>
    <n v="50"/>
    <x v="2"/>
    <x v="1"/>
    <n v="8.99"/>
    <x v="1"/>
    <x v="2"/>
    <n v="4"/>
    <n v="0.05"/>
    <x v="4"/>
  </r>
  <r>
    <s v="2febe28b-3c16-4efb-9188-1f37a1c01d82"/>
    <n v="36"/>
    <x v="2"/>
    <x v="0"/>
    <x v="1"/>
    <n v="50.98"/>
    <n v="23"/>
    <x v="0"/>
    <x v="2"/>
    <n v="17.989999999999998"/>
    <x v="0"/>
    <x v="4"/>
    <n v="4"/>
    <n v="2.12"/>
    <x v="1"/>
  </r>
  <r>
    <s v="c9c2f14e-1e0f-467a-90f5-e8512a867bf1"/>
    <n v="36"/>
    <x v="2"/>
    <x v="0"/>
    <x v="2"/>
    <n v="3.58"/>
    <n v="14"/>
    <x v="4"/>
    <x v="4"/>
    <n v="8.99"/>
    <x v="1"/>
    <x v="3"/>
    <n v="2"/>
    <n v="0.24"/>
    <x v="4"/>
  </r>
  <r>
    <s v="8e10ed31-6232-49d2-9def-3cb40206c216"/>
    <n v="42"/>
    <x v="2"/>
    <x v="0"/>
    <x v="2"/>
    <n v="2.98"/>
    <n v="29"/>
    <x v="0"/>
    <x v="0"/>
    <n v="8.99"/>
    <x v="1"/>
    <x v="0"/>
    <n v="4"/>
    <n v="0.1"/>
    <x v="1"/>
  </r>
  <r>
    <s v="41e580ba-a11a-416e-863f-d94f0fcb729e"/>
    <n v="36"/>
    <x v="2"/>
    <x v="1"/>
    <x v="1"/>
    <n v="18.47"/>
    <n v="28"/>
    <x v="0"/>
    <x v="4"/>
    <n v="17.989999999999998"/>
    <x v="0"/>
    <x v="2"/>
    <n v="2"/>
    <n v="0.64"/>
    <x v="2"/>
  </r>
  <r>
    <s v="80304332-21c7-4123-9691-ec47680ef521"/>
    <n v="40"/>
    <x v="2"/>
    <x v="0"/>
    <x v="0"/>
    <n v="22.52"/>
    <n v="8"/>
    <x v="3"/>
    <x v="1"/>
    <n v="13.99"/>
    <x v="0"/>
    <x v="3"/>
    <n v="5"/>
    <n v="2.5"/>
    <x v="1"/>
  </r>
  <r>
    <s v="ba539916-0de8-4f60-9b2f-fb07ba7f1193"/>
    <n v="37"/>
    <x v="2"/>
    <x v="2"/>
    <x v="0"/>
    <n v="13.86"/>
    <n v="46"/>
    <x v="2"/>
    <x v="1"/>
    <n v="13.99"/>
    <x v="1"/>
    <x v="4"/>
    <n v="3"/>
    <n v="0.28999999999999998"/>
    <x v="5"/>
  </r>
  <r>
    <s v="c92450d6-b3fa-47a1-82ac-ebbf6f022eac"/>
    <n v="37"/>
    <x v="2"/>
    <x v="2"/>
    <x v="2"/>
    <n v="4.84"/>
    <n v="25"/>
    <x v="3"/>
    <x v="1"/>
    <n v="8.99"/>
    <x v="1"/>
    <x v="3"/>
    <n v="5"/>
    <n v="0.19"/>
    <x v="3"/>
  </r>
  <r>
    <s v="bc58e790-61ad-438b-9059-67adee68af43"/>
    <n v="36"/>
    <x v="2"/>
    <x v="1"/>
    <x v="1"/>
    <n v="8.6999999999999993"/>
    <n v="45"/>
    <x v="2"/>
    <x v="2"/>
    <n v="17.989999999999998"/>
    <x v="0"/>
    <x v="3"/>
    <n v="4"/>
    <n v="0.19"/>
    <x v="0"/>
  </r>
  <r>
    <s v="075f3920-d7be-49de-b9a8-04ae797d2806"/>
    <n v="43"/>
    <x v="2"/>
    <x v="2"/>
    <x v="2"/>
    <n v="0.53"/>
    <n v="22"/>
    <x v="1"/>
    <x v="0"/>
    <n v="8.99"/>
    <x v="1"/>
    <x v="3"/>
    <n v="1"/>
    <n v="0.02"/>
    <x v="4"/>
  </r>
  <r>
    <s v="9479a993-2027-4f6b-90c3-76082a333411"/>
    <n v="38"/>
    <x v="2"/>
    <x v="0"/>
    <x v="2"/>
    <n v="33.5"/>
    <n v="56"/>
    <x v="0"/>
    <x v="1"/>
    <n v="8.99"/>
    <x v="0"/>
    <x v="3"/>
    <n v="2"/>
    <n v="0.59"/>
    <x v="3"/>
  </r>
  <r>
    <s v="dc507aeb-ca76-409a-9ff8-09dd364e0754"/>
    <n v="39"/>
    <x v="2"/>
    <x v="0"/>
    <x v="1"/>
    <n v="47.79"/>
    <n v="12"/>
    <x v="4"/>
    <x v="0"/>
    <n v="17.989999999999998"/>
    <x v="0"/>
    <x v="4"/>
    <n v="1"/>
    <n v="3.68"/>
    <x v="1"/>
  </r>
  <r>
    <s v="0e678d61-af68-4c15-8870-34aeb9e546de"/>
    <n v="42"/>
    <x v="2"/>
    <x v="0"/>
    <x v="0"/>
    <n v="9.91"/>
    <n v="14"/>
    <x v="3"/>
    <x v="3"/>
    <n v="13.99"/>
    <x v="0"/>
    <x v="0"/>
    <n v="1"/>
    <n v="0.66"/>
    <x v="1"/>
  </r>
  <r>
    <s v="613bfc9a-f30f-416c-802a-2aa9327cfa58"/>
    <n v="36"/>
    <x v="2"/>
    <x v="1"/>
    <x v="0"/>
    <n v="32.78"/>
    <n v="51"/>
    <x v="0"/>
    <x v="1"/>
    <n v="13.99"/>
    <x v="0"/>
    <x v="1"/>
    <n v="5"/>
    <n v="0.63"/>
    <x v="5"/>
  </r>
  <r>
    <s v="77cf8860-f7d9-4320-a1eb-c06c6b3941db"/>
    <n v="35"/>
    <x v="2"/>
    <x v="2"/>
    <x v="1"/>
    <n v="1.95"/>
    <n v="52"/>
    <x v="3"/>
    <x v="4"/>
    <n v="17.989999999999998"/>
    <x v="1"/>
    <x v="2"/>
    <n v="5"/>
    <n v="0.04"/>
    <x v="0"/>
  </r>
  <r>
    <s v="b512d943-7962-447f-9112-8ff4bf5b2767"/>
    <n v="41"/>
    <x v="2"/>
    <x v="0"/>
    <x v="2"/>
    <n v="36.94"/>
    <n v="6"/>
    <x v="3"/>
    <x v="4"/>
    <n v="8.99"/>
    <x v="0"/>
    <x v="2"/>
    <n v="4"/>
    <n v="5.28"/>
    <x v="0"/>
  </r>
  <r>
    <s v="5ec455c9-3823-4034-b614-261b8e723d17"/>
    <n v="40"/>
    <x v="2"/>
    <x v="0"/>
    <x v="2"/>
    <n v="7.02"/>
    <n v="44"/>
    <x v="3"/>
    <x v="4"/>
    <n v="8.99"/>
    <x v="1"/>
    <x v="4"/>
    <n v="4"/>
    <n v="0.16"/>
    <x v="2"/>
  </r>
  <r>
    <s v="c0361c14-77f2-4833-ae4a-4fe578223f75"/>
    <n v="42"/>
    <x v="2"/>
    <x v="1"/>
    <x v="2"/>
    <n v="5.55"/>
    <n v="47"/>
    <x v="1"/>
    <x v="4"/>
    <n v="8.99"/>
    <x v="1"/>
    <x v="4"/>
    <n v="2"/>
    <n v="0.12"/>
    <x v="0"/>
  </r>
  <r>
    <s v="1e06d863-a4c7-4967-8340-46c14cb445a0"/>
    <n v="41"/>
    <x v="2"/>
    <x v="2"/>
    <x v="2"/>
    <n v="7.73"/>
    <n v="31"/>
    <x v="0"/>
    <x v="4"/>
    <n v="8.99"/>
    <x v="1"/>
    <x v="4"/>
    <n v="4"/>
    <n v="0.24"/>
    <x v="5"/>
  </r>
  <r>
    <s v="251b46dc-0342-44cf-8868-ac80695ec9df"/>
    <n v="44"/>
    <x v="2"/>
    <x v="2"/>
    <x v="0"/>
    <n v="1.17"/>
    <n v="51"/>
    <x v="2"/>
    <x v="4"/>
    <n v="13.99"/>
    <x v="1"/>
    <x v="2"/>
    <n v="3"/>
    <n v="0.02"/>
    <x v="4"/>
  </r>
  <r>
    <s v="32777b99-f320-4575-93f0-635af1cf0b43"/>
    <n v="35"/>
    <x v="2"/>
    <x v="2"/>
    <x v="1"/>
    <n v="1.1100000000000001"/>
    <n v="13"/>
    <x v="2"/>
    <x v="2"/>
    <n v="17.989999999999998"/>
    <x v="0"/>
    <x v="2"/>
    <n v="4"/>
    <n v="0.08"/>
    <x v="6"/>
  </r>
  <r>
    <s v="b7842c18-8a7c-427d-985c-190fa574149d"/>
    <n v="37"/>
    <x v="2"/>
    <x v="2"/>
    <x v="1"/>
    <n v="13.91"/>
    <n v="27"/>
    <x v="0"/>
    <x v="1"/>
    <n v="17.989999999999998"/>
    <x v="0"/>
    <x v="3"/>
    <n v="5"/>
    <n v="0.5"/>
    <x v="1"/>
  </r>
  <r>
    <s v="51efc330-55c5-4b72-98ef-7bb6c3a82162"/>
    <n v="44"/>
    <x v="2"/>
    <x v="0"/>
    <x v="1"/>
    <n v="3.73"/>
    <n v="49"/>
    <x v="5"/>
    <x v="0"/>
    <n v="17.989999999999998"/>
    <x v="1"/>
    <x v="2"/>
    <n v="5"/>
    <n v="7.0000000000000007E-2"/>
    <x v="0"/>
  </r>
  <r>
    <s v="844f557e-b944-4ca0-aa50-1ce827d8bcb8"/>
    <n v="36"/>
    <x v="2"/>
    <x v="0"/>
    <x v="2"/>
    <n v="20.03"/>
    <n v="16"/>
    <x v="3"/>
    <x v="3"/>
    <n v="8.99"/>
    <x v="0"/>
    <x v="1"/>
    <n v="5"/>
    <n v="1.18"/>
    <x v="1"/>
  </r>
  <r>
    <s v="03e51425-ede3-4da6-9769-2ac43a43a6c8"/>
    <n v="37"/>
    <x v="2"/>
    <x v="1"/>
    <x v="2"/>
    <n v="20.45"/>
    <n v="54"/>
    <x v="0"/>
    <x v="3"/>
    <n v="8.99"/>
    <x v="0"/>
    <x v="1"/>
    <n v="4"/>
    <n v="0.37"/>
    <x v="3"/>
  </r>
  <r>
    <s v="3aabb525-5a7b-4668-af65-a641a594a772"/>
    <n v="35"/>
    <x v="2"/>
    <x v="1"/>
    <x v="2"/>
    <n v="10.43"/>
    <n v="46"/>
    <x v="5"/>
    <x v="2"/>
    <n v="8.99"/>
    <x v="1"/>
    <x v="2"/>
    <n v="4"/>
    <n v="0.22"/>
    <x v="6"/>
  </r>
  <r>
    <s v="5226d599-736b-422f-bf60-186a26fdeaca"/>
    <n v="41"/>
    <x v="2"/>
    <x v="1"/>
    <x v="2"/>
    <n v="18.510000000000002"/>
    <n v="8"/>
    <x v="0"/>
    <x v="2"/>
    <n v="8.99"/>
    <x v="0"/>
    <x v="2"/>
    <n v="2"/>
    <n v="2.06"/>
    <x v="0"/>
  </r>
  <r>
    <s v="12f4c115-7090-47f6-9450-7f3c5b7ce2ee"/>
    <n v="37"/>
    <x v="2"/>
    <x v="2"/>
    <x v="0"/>
    <n v="16.010000000000002"/>
    <n v="11"/>
    <x v="1"/>
    <x v="1"/>
    <n v="13.99"/>
    <x v="0"/>
    <x v="1"/>
    <n v="4"/>
    <n v="1.33"/>
    <x v="2"/>
  </r>
  <r>
    <s v="2f2b96aa-a4b0-47fd-8163-128e7da936ac"/>
    <n v="39"/>
    <x v="2"/>
    <x v="0"/>
    <x v="2"/>
    <n v="33.36"/>
    <n v="37"/>
    <x v="2"/>
    <x v="0"/>
    <n v="8.99"/>
    <x v="1"/>
    <x v="0"/>
    <n v="1"/>
    <n v="0.88"/>
    <x v="6"/>
  </r>
  <r>
    <s v="61e9d50e-dbe8-4e0c-99cc-cfd614f9da3c"/>
    <n v="40"/>
    <x v="2"/>
    <x v="1"/>
    <x v="0"/>
    <n v="7.82"/>
    <n v="8"/>
    <x v="4"/>
    <x v="4"/>
    <n v="13.99"/>
    <x v="0"/>
    <x v="2"/>
    <n v="2"/>
    <n v="0.87"/>
    <x v="5"/>
  </r>
  <r>
    <s v="aaf921c3-5870-4508-8814-a72e0cbd10ff"/>
    <n v="40"/>
    <x v="2"/>
    <x v="2"/>
    <x v="0"/>
    <n v="13.33"/>
    <n v="24"/>
    <x v="4"/>
    <x v="0"/>
    <n v="13.99"/>
    <x v="0"/>
    <x v="0"/>
    <n v="3"/>
    <n v="0.53"/>
    <x v="4"/>
  </r>
  <r>
    <s v="0c8b427b-4b17-4656-9664-805fd9d79d94"/>
    <n v="35"/>
    <x v="2"/>
    <x v="1"/>
    <x v="0"/>
    <n v="0.23"/>
    <n v="54"/>
    <x v="0"/>
    <x v="3"/>
    <n v="13.99"/>
    <x v="1"/>
    <x v="4"/>
    <n v="5"/>
    <n v="0"/>
    <x v="0"/>
  </r>
  <r>
    <s v="2d9b4222-589e-4c8d-b433-3b6f82c14e4c"/>
    <n v="40"/>
    <x v="2"/>
    <x v="0"/>
    <x v="0"/>
    <n v="7.02"/>
    <n v="18"/>
    <x v="3"/>
    <x v="4"/>
    <n v="13.99"/>
    <x v="0"/>
    <x v="3"/>
    <n v="4"/>
    <n v="0.37"/>
    <x v="6"/>
  </r>
  <r>
    <s v="182a0a12-73f2-430c-ace1-e771d0579b8d"/>
    <n v="39"/>
    <x v="2"/>
    <x v="1"/>
    <x v="0"/>
    <n v="5.56"/>
    <n v="47"/>
    <x v="0"/>
    <x v="0"/>
    <n v="13.99"/>
    <x v="1"/>
    <x v="0"/>
    <n v="5"/>
    <n v="0.12"/>
    <x v="5"/>
  </r>
  <r>
    <s v="a9b1e2d9-7f36-437e-a38b-9339999f2ae3"/>
    <n v="38"/>
    <x v="2"/>
    <x v="2"/>
    <x v="0"/>
    <n v="13.61"/>
    <n v="16"/>
    <x v="3"/>
    <x v="3"/>
    <n v="13.99"/>
    <x v="0"/>
    <x v="3"/>
    <n v="5"/>
    <n v="0.8"/>
    <x v="2"/>
  </r>
  <r>
    <s v="652a3ef0-a115-4f83-b5bf-451c62ada858"/>
    <n v="41"/>
    <x v="2"/>
    <x v="2"/>
    <x v="1"/>
    <n v="4.41"/>
    <n v="56"/>
    <x v="3"/>
    <x v="0"/>
    <n v="17.989999999999998"/>
    <x v="1"/>
    <x v="4"/>
    <n v="2"/>
    <n v="0.08"/>
    <x v="2"/>
  </r>
  <r>
    <s v="335f4a66-cbce-4d08-affb-aa5c6d92ca89"/>
    <n v="36"/>
    <x v="2"/>
    <x v="1"/>
    <x v="1"/>
    <n v="12.92"/>
    <n v="14"/>
    <x v="5"/>
    <x v="4"/>
    <n v="17.989999999999998"/>
    <x v="0"/>
    <x v="4"/>
    <n v="5"/>
    <n v="0.86"/>
    <x v="6"/>
  </r>
  <r>
    <s v="d482d990-31c6-4a80-a9f3-f4bc26d671cf"/>
    <n v="38"/>
    <x v="2"/>
    <x v="2"/>
    <x v="0"/>
    <n v="18.899999999999999"/>
    <n v="54"/>
    <x v="3"/>
    <x v="4"/>
    <n v="13.99"/>
    <x v="1"/>
    <x v="4"/>
    <n v="4"/>
    <n v="0.34"/>
    <x v="2"/>
  </r>
  <r>
    <s v="c71d03ad-0974-4365-9d07-44c31a3dd2ca"/>
    <n v="37"/>
    <x v="2"/>
    <x v="0"/>
    <x v="2"/>
    <n v="7.59"/>
    <n v="5"/>
    <x v="1"/>
    <x v="3"/>
    <n v="8.99"/>
    <x v="0"/>
    <x v="0"/>
    <n v="2"/>
    <n v="1.26"/>
    <x v="0"/>
  </r>
  <r>
    <s v="b294bf19-b1f0-4b62-ba68-2b8d4d0bb572"/>
    <n v="44"/>
    <x v="2"/>
    <x v="2"/>
    <x v="1"/>
    <n v="2.5099999999999998"/>
    <n v="30"/>
    <x v="1"/>
    <x v="2"/>
    <n v="17.989999999999998"/>
    <x v="0"/>
    <x v="1"/>
    <n v="4"/>
    <n v="0.08"/>
    <x v="6"/>
  </r>
  <r>
    <s v="5c758e8d-16b7-4015-a0fc-7bb34b34879d"/>
    <n v="36"/>
    <x v="2"/>
    <x v="1"/>
    <x v="2"/>
    <n v="29.27"/>
    <n v="35"/>
    <x v="1"/>
    <x v="0"/>
    <n v="8.99"/>
    <x v="0"/>
    <x v="4"/>
    <n v="4"/>
    <n v="0.81"/>
    <x v="4"/>
  </r>
  <r>
    <s v="d38dd14e-66f0-4a23-8c80-370b4f241ec1"/>
    <n v="38"/>
    <x v="2"/>
    <x v="1"/>
    <x v="2"/>
    <n v="14.43"/>
    <n v="16"/>
    <x v="2"/>
    <x v="4"/>
    <n v="8.99"/>
    <x v="0"/>
    <x v="2"/>
    <n v="1"/>
    <n v="0.85"/>
    <x v="5"/>
  </r>
  <r>
    <s v="d9b3c54f-401e-4ff5-83c5-66c369e26290"/>
    <n v="38"/>
    <x v="2"/>
    <x v="1"/>
    <x v="1"/>
    <n v="1.81"/>
    <n v="22"/>
    <x v="0"/>
    <x v="1"/>
    <n v="17.989999999999998"/>
    <x v="1"/>
    <x v="4"/>
    <n v="4"/>
    <n v="0.08"/>
    <x v="3"/>
  </r>
  <r>
    <s v="dd4567d9-cc06-4eed-bf3c-44042f1d4e6b"/>
    <n v="41"/>
    <x v="2"/>
    <x v="1"/>
    <x v="2"/>
    <n v="12.04"/>
    <n v="32"/>
    <x v="5"/>
    <x v="3"/>
    <n v="8.99"/>
    <x v="1"/>
    <x v="2"/>
    <n v="1"/>
    <n v="0.36"/>
    <x v="0"/>
  </r>
  <r>
    <s v="5c49d257-0de5-4601-a2ec-ff29a72735ab"/>
    <n v="43"/>
    <x v="2"/>
    <x v="0"/>
    <x v="1"/>
    <n v="12.37"/>
    <n v="37"/>
    <x v="1"/>
    <x v="3"/>
    <n v="17.989999999999998"/>
    <x v="1"/>
    <x v="0"/>
    <n v="3"/>
    <n v="0.33"/>
    <x v="4"/>
  </r>
  <r>
    <s v="b34037d6-c10b-4513-9969-2b2578c9e3a8"/>
    <n v="42"/>
    <x v="2"/>
    <x v="0"/>
    <x v="2"/>
    <n v="7.27"/>
    <n v="7"/>
    <x v="3"/>
    <x v="1"/>
    <n v="8.99"/>
    <x v="0"/>
    <x v="0"/>
    <n v="2"/>
    <n v="0.91"/>
    <x v="4"/>
  </r>
  <r>
    <s v="bed23ab3-6714-42a2-a245-7865f95bf8ed"/>
    <n v="43"/>
    <x v="2"/>
    <x v="1"/>
    <x v="1"/>
    <n v="86.73"/>
    <n v="26"/>
    <x v="3"/>
    <x v="0"/>
    <n v="17.989999999999998"/>
    <x v="0"/>
    <x v="1"/>
    <n v="3"/>
    <n v="3.21"/>
    <x v="4"/>
  </r>
  <r>
    <s v="7c183a33-34e5-4c0b-ad55-ffa5702d8d2e"/>
    <n v="42"/>
    <x v="2"/>
    <x v="2"/>
    <x v="1"/>
    <n v="8.3699999999999992"/>
    <n v="21"/>
    <x v="1"/>
    <x v="4"/>
    <n v="17.989999999999998"/>
    <x v="0"/>
    <x v="0"/>
    <n v="3"/>
    <n v="0.38"/>
    <x v="5"/>
  </r>
  <r>
    <s v="7bbe4107-001f-4bc9-a9b0-c449d046f78b"/>
    <n v="44"/>
    <x v="2"/>
    <x v="2"/>
    <x v="1"/>
    <n v="1.83"/>
    <n v="25"/>
    <x v="3"/>
    <x v="0"/>
    <n v="17.989999999999998"/>
    <x v="0"/>
    <x v="3"/>
    <n v="5"/>
    <n v="7.0000000000000007E-2"/>
    <x v="1"/>
  </r>
  <r>
    <s v="77998b87-1b1a-4e4d-bbdc-63bc7a33610b"/>
    <n v="40"/>
    <x v="2"/>
    <x v="0"/>
    <x v="1"/>
    <n v="8.64"/>
    <n v="35"/>
    <x v="2"/>
    <x v="1"/>
    <n v="17.989999999999998"/>
    <x v="0"/>
    <x v="1"/>
    <n v="5"/>
    <n v="0.24"/>
    <x v="4"/>
  </r>
  <r>
    <s v="9c2ffacf-8752-49e0-ad2c-018b0373d9d3"/>
    <n v="36"/>
    <x v="2"/>
    <x v="2"/>
    <x v="1"/>
    <n v="11.31"/>
    <n v="7"/>
    <x v="4"/>
    <x v="0"/>
    <n v="17.989999999999998"/>
    <x v="0"/>
    <x v="3"/>
    <n v="3"/>
    <n v="1.41"/>
    <x v="3"/>
  </r>
  <r>
    <s v="3484396b-3ad3-44fe-8288-9cd8fb629122"/>
    <n v="41"/>
    <x v="2"/>
    <x v="0"/>
    <x v="0"/>
    <n v="6.47"/>
    <n v="32"/>
    <x v="3"/>
    <x v="0"/>
    <n v="13.99"/>
    <x v="1"/>
    <x v="4"/>
    <n v="4"/>
    <n v="0.2"/>
    <x v="0"/>
  </r>
  <r>
    <s v="1e6a3b73-f6dd-4bbb-aa8d-b0462877ce4f"/>
    <n v="38"/>
    <x v="2"/>
    <x v="0"/>
    <x v="0"/>
    <n v="7.34"/>
    <n v="56"/>
    <x v="1"/>
    <x v="0"/>
    <n v="13.99"/>
    <x v="1"/>
    <x v="4"/>
    <n v="4"/>
    <n v="0.13"/>
    <x v="4"/>
  </r>
  <r>
    <s v="03b2b19e-62cd-4c9e-a3ef-51cb27a687df"/>
    <n v="36"/>
    <x v="2"/>
    <x v="1"/>
    <x v="2"/>
    <n v="16.649999999999999"/>
    <n v="36"/>
    <x v="5"/>
    <x v="4"/>
    <n v="8.99"/>
    <x v="1"/>
    <x v="1"/>
    <n v="2"/>
    <n v="0.45"/>
    <x v="5"/>
  </r>
  <r>
    <s v="05232fb1-bb8f-4e7e-a2fd-d7c0957a3fd0"/>
    <n v="40"/>
    <x v="2"/>
    <x v="2"/>
    <x v="2"/>
    <n v="10.98"/>
    <n v="28"/>
    <x v="2"/>
    <x v="2"/>
    <n v="8.99"/>
    <x v="1"/>
    <x v="1"/>
    <n v="1"/>
    <n v="0.38"/>
    <x v="3"/>
  </r>
  <r>
    <s v="416a1fd1-5f6d-483d-9fb3-75c6e1f01afb"/>
    <n v="42"/>
    <x v="2"/>
    <x v="1"/>
    <x v="1"/>
    <n v="4.26"/>
    <n v="6"/>
    <x v="4"/>
    <x v="4"/>
    <n v="17.989999999999998"/>
    <x v="0"/>
    <x v="0"/>
    <n v="5"/>
    <n v="0.61"/>
    <x v="2"/>
  </r>
  <r>
    <s v="8d11c2a7-db32-4ffa-bd30-00b65f83f249"/>
    <n v="38"/>
    <x v="2"/>
    <x v="2"/>
    <x v="0"/>
    <n v="0.61"/>
    <n v="9"/>
    <x v="4"/>
    <x v="2"/>
    <n v="13.99"/>
    <x v="0"/>
    <x v="2"/>
    <n v="4"/>
    <n v="0.06"/>
    <x v="5"/>
  </r>
  <r>
    <s v="7d8f6a29-0e4d-47f5-8bb5-3b07c5ba02ef"/>
    <n v="40"/>
    <x v="2"/>
    <x v="0"/>
    <x v="2"/>
    <n v="7.31"/>
    <n v="3"/>
    <x v="3"/>
    <x v="4"/>
    <n v="8.99"/>
    <x v="0"/>
    <x v="1"/>
    <n v="1"/>
    <n v="1.83"/>
    <x v="3"/>
  </r>
  <r>
    <s v="3eed3d0c-0ee6-4e81-8651-dd2585e2228e"/>
    <n v="35"/>
    <x v="2"/>
    <x v="1"/>
    <x v="2"/>
    <n v="9.58"/>
    <n v="13"/>
    <x v="4"/>
    <x v="2"/>
    <n v="8.99"/>
    <x v="0"/>
    <x v="1"/>
    <n v="1"/>
    <n v="0.68"/>
    <x v="2"/>
  </r>
  <r>
    <s v="801c7969-7d28-4e6b-8276-b4f92da9f3f6"/>
    <n v="36"/>
    <x v="2"/>
    <x v="0"/>
    <x v="2"/>
    <n v="22.91"/>
    <n v="0"/>
    <x v="0"/>
    <x v="0"/>
    <n v="8.99"/>
    <x v="0"/>
    <x v="0"/>
    <n v="1"/>
    <n v="22.91"/>
    <x v="0"/>
  </r>
  <r>
    <s v="13477d55-06b1-4d0e-a170-4047512eb6c6"/>
    <n v="39"/>
    <x v="2"/>
    <x v="0"/>
    <x v="1"/>
    <n v="17.14"/>
    <n v="3"/>
    <x v="0"/>
    <x v="2"/>
    <n v="17.989999999999998"/>
    <x v="0"/>
    <x v="2"/>
    <n v="5"/>
    <n v="4.29"/>
    <x v="1"/>
  </r>
  <r>
    <s v="e2716bd9-d203-499c-8788-c8a7f8b192a9"/>
    <n v="36"/>
    <x v="2"/>
    <x v="1"/>
    <x v="1"/>
    <n v="23.5"/>
    <n v="1"/>
    <x v="5"/>
    <x v="1"/>
    <n v="17.989999999999998"/>
    <x v="0"/>
    <x v="3"/>
    <n v="1"/>
    <n v="11.75"/>
    <x v="3"/>
  </r>
  <r>
    <s v="12248975-1f7f-458f-b21e-c3a45986b4c0"/>
    <n v="42"/>
    <x v="2"/>
    <x v="0"/>
    <x v="2"/>
    <n v="8.5"/>
    <n v="32"/>
    <x v="0"/>
    <x v="3"/>
    <n v="8.99"/>
    <x v="1"/>
    <x v="3"/>
    <n v="2"/>
    <n v="0.26"/>
    <x v="1"/>
  </r>
  <r>
    <s v="3b400433-a639-4fe3-a458-dbbb865f8261"/>
    <n v="36"/>
    <x v="2"/>
    <x v="1"/>
    <x v="0"/>
    <n v="31.46"/>
    <n v="47"/>
    <x v="5"/>
    <x v="3"/>
    <n v="13.99"/>
    <x v="0"/>
    <x v="3"/>
    <n v="3"/>
    <n v="0.66"/>
    <x v="1"/>
  </r>
  <r>
    <s v="ca6a16c5-d79c-40a5-949f-ba4b2a45993d"/>
    <n v="40"/>
    <x v="2"/>
    <x v="2"/>
    <x v="0"/>
    <n v="13.4"/>
    <n v="49"/>
    <x v="3"/>
    <x v="2"/>
    <n v="13.99"/>
    <x v="1"/>
    <x v="0"/>
    <n v="1"/>
    <n v="0.27"/>
    <x v="5"/>
  </r>
  <r>
    <s v="d80a7642-b629-4ca4-b51d-91600ae5d0a5"/>
    <n v="37"/>
    <x v="2"/>
    <x v="0"/>
    <x v="2"/>
    <n v="7.36"/>
    <n v="38"/>
    <x v="5"/>
    <x v="1"/>
    <n v="8.99"/>
    <x v="1"/>
    <x v="1"/>
    <n v="2"/>
    <n v="0.19"/>
    <x v="4"/>
  </r>
  <r>
    <s v="7d980d04-b321-432f-b415-ce55969de68a"/>
    <n v="35"/>
    <x v="2"/>
    <x v="0"/>
    <x v="0"/>
    <n v="8.39"/>
    <n v="0"/>
    <x v="3"/>
    <x v="0"/>
    <n v="13.99"/>
    <x v="0"/>
    <x v="2"/>
    <n v="2"/>
    <n v="8.39"/>
    <x v="1"/>
  </r>
  <r>
    <s v="c0df8988-6625-4beb-8955-1a12520bd8c5"/>
    <n v="38"/>
    <x v="2"/>
    <x v="0"/>
    <x v="1"/>
    <n v="1.18"/>
    <n v="4"/>
    <x v="3"/>
    <x v="2"/>
    <n v="17.989999999999998"/>
    <x v="0"/>
    <x v="1"/>
    <n v="3"/>
    <n v="0.24"/>
    <x v="3"/>
  </r>
  <r>
    <s v="7a2c4939-7e7b-4ada-8f61-e09737ba40b3"/>
    <n v="39"/>
    <x v="2"/>
    <x v="2"/>
    <x v="0"/>
    <n v="8.99"/>
    <n v="32"/>
    <x v="0"/>
    <x v="0"/>
    <n v="13.99"/>
    <x v="1"/>
    <x v="4"/>
    <n v="3"/>
    <n v="0.27"/>
    <x v="5"/>
  </r>
  <r>
    <s v="0f372dc7-03c2-4955-88bd-4b78deb7bdc1"/>
    <n v="44"/>
    <x v="2"/>
    <x v="0"/>
    <x v="2"/>
    <n v="55.55"/>
    <n v="17"/>
    <x v="3"/>
    <x v="3"/>
    <n v="8.99"/>
    <x v="0"/>
    <x v="1"/>
    <n v="2"/>
    <n v="3.09"/>
    <x v="4"/>
  </r>
  <r>
    <s v="f3786d5d-fa50-4225-a34c-c869fe92149d"/>
    <n v="43"/>
    <x v="2"/>
    <x v="2"/>
    <x v="1"/>
    <n v="4.6399999999999997"/>
    <n v="7"/>
    <x v="5"/>
    <x v="4"/>
    <n v="17.989999999999998"/>
    <x v="0"/>
    <x v="1"/>
    <n v="5"/>
    <n v="0.57999999999999996"/>
    <x v="5"/>
  </r>
  <r>
    <s v="6004a0a1-5334-4dc7-8cd6-6ad98aa442e7"/>
    <n v="41"/>
    <x v="2"/>
    <x v="0"/>
    <x v="0"/>
    <n v="23.03"/>
    <n v="50"/>
    <x v="1"/>
    <x v="0"/>
    <n v="13.99"/>
    <x v="0"/>
    <x v="2"/>
    <n v="3"/>
    <n v="0.45"/>
    <x v="0"/>
  </r>
  <r>
    <s v="e9b22aff-6ec8-4298-8d8a-74084c1bac83"/>
    <n v="41"/>
    <x v="2"/>
    <x v="2"/>
    <x v="1"/>
    <n v="22.75"/>
    <n v="22"/>
    <x v="1"/>
    <x v="0"/>
    <n v="17.989999999999998"/>
    <x v="0"/>
    <x v="4"/>
    <n v="2"/>
    <n v="0.99"/>
    <x v="2"/>
  </r>
  <r>
    <s v="ab588e4b-6d23-4746-a5d3-2380dd359f2c"/>
    <n v="38"/>
    <x v="2"/>
    <x v="1"/>
    <x v="2"/>
    <n v="4.55"/>
    <n v="18"/>
    <x v="3"/>
    <x v="0"/>
    <n v="8.99"/>
    <x v="1"/>
    <x v="2"/>
    <n v="5"/>
    <n v="0.24"/>
    <x v="0"/>
  </r>
  <r>
    <s v="9c254e1c-5ae4-470d-9db9-79fd55092590"/>
    <n v="42"/>
    <x v="2"/>
    <x v="2"/>
    <x v="2"/>
    <n v="0.79"/>
    <n v="18"/>
    <x v="2"/>
    <x v="1"/>
    <n v="8.99"/>
    <x v="1"/>
    <x v="3"/>
    <n v="4"/>
    <n v="0.04"/>
    <x v="3"/>
  </r>
  <r>
    <s v="a5275893-fc09-4f77-a4bb-7fcb11fbb042"/>
    <n v="37"/>
    <x v="2"/>
    <x v="1"/>
    <x v="1"/>
    <n v="1.99"/>
    <n v="13"/>
    <x v="0"/>
    <x v="4"/>
    <n v="17.989999999999998"/>
    <x v="0"/>
    <x v="1"/>
    <n v="4"/>
    <n v="0.14000000000000001"/>
    <x v="2"/>
  </r>
  <r>
    <s v="b042695c-e2c1-4f68-ab2d-3446f8f65967"/>
    <n v="44"/>
    <x v="2"/>
    <x v="0"/>
    <x v="0"/>
    <n v="0.78"/>
    <n v="3"/>
    <x v="4"/>
    <x v="2"/>
    <n v="13.99"/>
    <x v="0"/>
    <x v="2"/>
    <n v="3"/>
    <n v="0.2"/>
    <x v="0"/>
  </r>
  <r>
    <s v="d04d1f2d-ed98-4ffe-b4f8-05678d9903a2"/>
    <n v="43"/>
    <x v="2"/>
    <x v="2"/>
    <x v="0"/>
    <n v="31.73"/>
    <n v="34"/>
    <x v="0"/>
    <x v="0"/>
    <n v="13.99"/>
    <x v="0"/>
    <x v="2"/>
    <n v="3"/>
    <n v="0.91"/>
    <x v="2"/>
  </r>
  <r>
    <s v="0d6dae1e-d44c-425b-abf5-371bb1a033db"/>
    <n v="44"/>
    <x v="2"/>
    <x v="1"/>
    <x v="1"/>
    <n v="1.41"/>
    <n v="33"/>
    <x v="2"/>
    <x v="1"/>
    <n v="17.989999999999998"/>
    <x v="1"/>
    <x v="2"/>
    <n v="1"/>
    <n v="0.04"/>
    <x v="5"/>
  </r>
  <r>
    <s v="8f8e95b6-5be4-47ed-a018-6976631fbe71"/>
    <n v="44"/>
    <x v="2"/>
    <x v="2"/>
    <x v="2"/>
    <n v="6.67"/>
    <n v="25"/>
    <x v="3"/>
    <x v="4"/>
    <n v="8.99"/>
    <x v="0"/>
    <x v="0"/>
    <n v="5"/>
    <n v="0.26"/>
    <x v="0"/>
  </r>
  <r>
    <s v="38948c93-2299-4dc1-9bcf-aadfdbde8079"/>
    <n v="44"/>
    <x v="2"/>
    <x v="2"/>
    <x v="1"/>
    <n v="18.920000000000002"/>
    <n v="0"/>
    <x v="5"/>
    <x v="4"/>
    <n v="17.989999999999998"/>
    <x v="0"/>
    <x v="0"/>
    <n v="4"/>
    <n v="18.920000000000002"/>
    <x v="4"/>
  </r>
  <r>
    <s v="04f5830d-14f7-4ba4-916d-8485f464808a"/>
    <n v="41"/>
    <x v="2"/>
    <x v="0"/>
    <x v="2"/>
    <n v="40.64"/>
    <n v="31"/>
    <x v="3"/>
    <x v="1"/>
    <n v="8.99"/>
    <x v="0"/>
    <x v="4"/>
    <n v="2"/>
    <n v="1.27"/>
    <x v="3"/>
  </r>
  <r>
    <s v="0d1c4623-a498-47e4-acb2-bb5d73f9baff"/>
    <n v="43"/>
    <x v="2"/>
    <x v="2"/>
    <x v="2"/>
    <n v="9.58"/>
    <n v="13"/>
    <x v="5"/>
    <x v="3"/>
    <n v="8.99"/>
    <x v="0"/>
    <x v="1"/>
    <n v="4"/>
    <n v="0.68"/>
    <x v="0"/>
  </r>
  <r>
    <s v="7e292c54-b2c4-497a-b05b-00d61d2b824d"/>
    <n v="44"/>
    <x v="2"/>
    <x v="2"/>
    <x v="1"/>
    <n v="3.95"/>
    <n v="26"/>
    <x v="0"/>
    <x v="3"/>
    <n v="17.989999999999998"/>
    <x v="1"/>
    <x v="4"/>
    <n v="4"/>
    <n v="0.15"/>
    <x v="3"/>
  </r>
  <r>
    <s v="e3e4232d-f726-423d-80bc-e293587b52d9"/>
    <n v="44"/>
    <x v="2"/>
    <x v="0"/>
    <x v="2"/>
    <n v="6.71"/>
    <n v="40"/>
    <x v="0"/>
    <x v="2"/>
    <n v="8.99"/>
    <x v="1"/>
    <x v="0"/>
    <n v="1"/>
    <n v="0.16"/>
    <x v="6"/>
  </r>
  <r>
    <s v="a32ab2df-8cda-4673-9acf-c0a20e99522e"/>
    <n v="36"/>
    <x v="2"/>
    <x v="0"/>
    <x v="2"/>
    <n v="14.33"/>
    <n v="44"/>
    <x v="2"/>
    <x v="1"/>
    <n v="8.99"/>
    <x v="1"/>
    <x v="4"/>
    <n v="2"/>
    <n v="0.32"/>
    <x v="0"/>
  </r>
  <r>
    <s v="15bf4f39-0a66-4d87-a298-8f53c4e0f27d"/>
    <n v="35"/>
    <x v="2"/>
    <x v="2"/>
    <x v="0"/>
    <n v="16.34"/>
    <n v="39"/>
    <x v="0"/>
    <x v="3"/>
    <n v="13.99"/>
    <x v="1"/>
    <x v="4"/>
    <n v="2"/>
    <n v="0.41"/>
    <x v="5"/>
  </r>
  <r>
    <s v="145a8f1f-3c7d-4dd1-b0d4-858bea81ce6f"/>
    <n v="42"/>
    <x v="2"/>
    <x v="1"/>
    <x v="0"/>
    <n v="0.68"/>
    <n v="50"/>
    <x v="3"/>
    <x v="2"/>
    <n v="13.99"/>
    <x v="1"/>
    <x v="4"/>
    <n v="4"/>
    <n v="0.01"/>
    <x v="6"/>
  </r>
  <r>
    <s v="ee277a8f-6580-47ff-b15d-bd4c472f7c33"/>
    <n v="40"/>
    <x v="2"/>
    <x v="0"/>
    <x v="0"/>
    <n v="0.68"/>
    <n v="37"/>
    <x v="3"/>
    <x v="1"/>
    <n v="13.99"/>
    <x v="1"/>
    <x v="1"/>
    <n v="3"/>
    <n v="0.02"/>
    <x v="2"/>
  </r>
  <r>
    <s v="36cad62c-bef7-4f24-bc63-6a45179bbe5f"/>
    <n v="36"/>
    <x v="2"/>
    <x v="1"/>
    <x v="1"/>
    <n v="11.87"/>
    <n v="5"/>
    <x v="4"/>
    <x v="0"/>
    <n v="17.989999999999998"/>
    <x v="0"/>
    <x v="4"/>
    <n v="4"/>
    <n v="1.98"/>
    <x v="1"/>
  </r>
  <r>
    <s v="2dee33b5-2a32-4b1e-b663-e4e941113df5"/>
    <n v="42"/>
    <x v="2"/>
    <x v="1"/>
    <x v="1"/>
    <n v="3.6"/>
    <n v="2"/>
    <x v="5"/>
    <x v="0"/>
    <n v="17.989999999999998"/>
    <x v="0"/>
    <x v="2"/>
    <n v="1"/>
    <n v="1.2"/>
    <x v="3"/>
  </r>
  <r>
    <s v="a6a0e427-fde3-4051-bced-8486d4bd1883"/>
    <n v="40"/>
    <x v="2"/>
    <x v="2"/>
    <x v="0"/>
    <n v="9.61"/>
    <n v="39"/>
    <x v="5"/>
    <x v="3"/>
    <n v="13.99"/>
    <x v="1"/>
    <x v="1"/>
    <n v="2"/>
    <n v="0.24"/>
    <x v="5"/>
  </r>
  <r>
    <s v="e9c0dcf8-d2f5-45de-8296-71b278906386"/>
    <n v="42"/>
    <x v="2"/>
    <x v="1"/>
    <x v="0"/>
    <n v="1.1100000000000001"/>
    <n v="14"/>
    <x v="5"/>
    <x v="2"/>
    <n v="13.99"/>
    <x v="1"/>
    <x v="4"/>
    <n v="2"/>
    <n v="7.0000000000000007E-2"/>
    <x v="0"/>
  </r>
  <r>
    <s v="29a921ff-1567-4ba6-87c0-585ba15fcac7"/>
    <n v="39"/>
    <x v="2"/>
    <x v="0"/>
    <x v="2"/>
    <n v="1.28"/>
    <n v="45"/>
    <x v="3"/>
    <x v="0"/>
    <n v="8.99"/>
    <x v="1"/>
    <x v="4"/>
    <n v="5"/>
    <n v="0.03"/>
    <x v="2"/>
  </r>
  <r>
    <s v="52281669-df74-44a5-a392-2be8c8a0147c"/>
    <n v="43"/>
    <x v="2"/>
    <x v="2"/>
    <x v="0"/>
    <n v="8.99"/>
    <n v="53"/>
    <x v="4"/>
    <x v="1"/>
    <n v="13.99"/>
    <x v="1"/>
    <x v="0"/>
    <n v="1"/>
    <n v="0.17"/>
    <x v="3"/>
  </r>
  <r>
    <s v="00bcd65f-ca17-43af-b1a3-c0e310d52966"/>
    <n v="42"/>
    <x v="2"/>
    <x v="2"/>
    <x v="0"/>
    <n v="1.65"/>
    <n v="41"/>
    <x v="3"/>
    <x v="2"/>
    <n v="13.99"/>
    <x v="1"/>
    <x v="3"/>
    <n v="3"/>
    <n v="0.04"/>
    <x v="3"/>
  </r>
  <r>
    <s v="e614db81-6994-48a8-a374-e5aa644e85e0"/>
    <n v="36"/>
    <x v="2"/>
    <x v="0"/>
    <x v="1"/>
    <n v="22.1"/>
    <n v="40"/>
    <x v="2"/>
    <x v="0"/>
    <n v="17.989999999999998"/>
    <x v="0"/>
    <x v="0"/>
    <n v="4"/>
    <n v="0.54"/>
    <x v="5"/>
  </r>
  <r>
    <s v="00cadb17-dcde-4cbc-ae45-068cd811df59"/>
    <n v="37"/>
    <x v="2"/>
    <x v="0"/>
    <x v="2"/>
    <n v="6.47"/>
    <n v="21"/>
    <x v="4"/>
    <x v="2"/>
    <n v="8.99"/>
    <x v="1"/>
    <x v="4"/>
    <n v="3"/>
    <n v="0.28999999999999998"/>
    <x v="3"/>
  </r>
  <r>
    <s v="1f80abbd-35a7-4d62-b292-d31fa23c9f5f"/>
    <n v="38"/>
    <x v="2"/>
    <x v="0"/>
    <x v="2"/>
    <n v="3.49"/>
    <n v="54"/>
    <x v="0"/>
    <x v="4"/>
    <n v="8.99"/>
    <x v="1"/>
    <x v="3"/>
    <n v="5"/>
    <n v="0.06"/>
    <x v="2"/>
  </r>
  <r>
    <s v="19f66e59-f164-47f1-b788-4b1762db226b"/>
    <n v="36"/>
    <x v="2"/>
    <x v="0"/>
    <x v="2"/>
    <n v="0.99"/>
    <n v="24"/>
    <x v="3"/>
    <x v="1"/>
    <n v="8.99"/>
    <x v="1"/>
    <x v="1"/>
    <n v="3"/>
    <n v="0.04"/>
    <x v="1"/>
  </r>
  <r>
    <s v="3be271a0-02dd-41ad-bed5-3fdeb3a08266"/>
    <n v="44"/>
    <x v="2"/>
    <x v="1"/>
    <x v="1"/>
    <n v="18.75"/>
    <n v="44"/>
    <x v="0"/>
    <x v="3"/>
    <n v="17.989999999999998"/>
    <x v="0"/>
    <x v="3"/>
    <n v="5"/>
    <n v="0.42"/>
    <x v="3"/>
  </r>
  <r>
    <s v="6acac882-0bc1-4196-bb12-05ac39dc229c"/>
    <n v="36"/>
    <x v="2"/>
    <x v="1"/>
    <x v="0"/>
    <n v="25.82"/>
    <n v="3"/>
    <x v="3"/>
    <x v="2"/>
    <n v="13.99"/>
    <x v="0"/>
    <x v="3"/>
    <n v="1"/>
    <n v="6.46"/>
    <x v="1"/>
  </r>
  <r>
    <s v="642cffb6-ab5c-4931-b947-cfa60413b560"/>
    <n v="39"/>
    <x v="2"/>
    <x v="1"/>
    <x v="0"/>
    <n v="8.6300000000000008"/>
    <n v="8"/>
    <x v="5"/>
    <x v="2"/>
    <n v="13.99"/>
    <x v="0"/>
    <x v="1"/>
    <n v="4"/>
    <n v="0.96"/>
    <x v="4"/>
  </r>
  <r>
    <s v="09904ad7-d9db-45a3-ba9f-220cfe88a333"/>
    <n v="44"/>
    <x v="2"/>
    <x v="0"/>
    <x v="0"/>
    <n v="22.85"/>
    <n v="1"/>
    <x v="2"/>
    <x v="4"/>
    <n v="13.99"/>
    <x v="0"/>
    <x v="2"/>
    <n v="3"/>
    <n v="11.43"/>
    <x v="1"/>
  </r>
  <r>
    <s v="2c564e41-545b-44a4-bb03-6a827657ea51"/>
    <n v="43"/>
    <x v="2"/>
    <x v="0"/>
    <x v="2"/>
    <n v="5.59"/>
    <n v="32"/>
    <x v="1"/>
    <x v="0"/>
    <n v="8.99"/>
    <x v="1"/>
    <x v="1"/>
    <n v="4"/>
    <n v="0.17"/>
    <x v="5"/>
  </r>
  <r>
    <s v="ee076784-8841-4531-be9c-ca0b916c309a"/>
    <n v="35"/>
    <x v="2"/>
    <x v="2"/>
    <x v="0"/>
    <n v="11.93"/>
    <n v="45"/>
    <x v="1"/>
    <x v="3"/>
    <n v="13.99"/>
    <x v="1"/>
    <x v="4"/>
    <n v="1"/>
    <n v="0.26"/>
    <x v="5"/>
  </r>
  <r>
    <s v="8042c4ad-3a4a-4994-b81e-8ae09199076c"/>
    <n v="41"/>
    <x v="2"/>
    <x v="2"/>
    <x v="0"/>
    <n v="28.13"/>
    <n v="42"/>
    <x v="5"/>
    <x v="2"/>
    <n v="13.99"/>
    <x v="0"/>
    <x v="2"/>
    <n v="2"/>
    <n v="0.65"/>
    <x v="5"/>
  </r>
  <r>
    <s v="39f699b0-d6db-4b6d-9c15-b8bbc716ce34"/>
    <n v="38"/>
    <x v="2"/>
    <x v="2"/>
    <x v="2"/>
    <n v="15.32"/>
    <n v="56"/>
    <x v="1"/>
    <x v="2"/>
    <n v="8.99"/>
    <x v="1"/>
    <x v="0"/>
    <n v="2"/>
    <n v="0.27"/>
    <x v="3"/>
  </r>
  <r>
    <s v="432fa974-2a36-4f64-af1e-770e03b9385f"/>
    <n v="37"/>
    <x v="2"/>
    <x v="1"/>
    <x v="1"/>
    <n v="28.08"/>
    <n v="25"/>
    <x v="4"/>
    <x v="0"/>
    <n v="17.989999999999998"/>
    <x v="0"/>
    <x v="2"/>
    <n v="4"/>
    <n v="1.08"/>
    <x v="2"/>
  </r>
  <r>
    <s v="84e4f9a0-f16b-4b00-ba64-a1dc667f9350"/>
    <n v="44"/>
    <x v="2"/>
    <x v="2"/>
    <x v="1"/>
    <n v="20.32"/>
    <n v="46"/>
    <x v="5"/>
    <x v="1"/>
    <n v="17.989999999999998"/>
    <x v="0"/>
    <x v="1"/>
    <n v="3"/>
    <n v="0.43"/>
    <x v="2"/>
  </r>
  <r>
    <s v="f76a2802-20d0-4772-b6cc-f7e2a95d6384"/>
    <n v="43"/>
    <x v="2"/>
    <x v="1"/>
    <x v="2"/>
    <n v="0.59"/>
    <n v="11"/>
    <x v="1"/>
    <x v="2"/>
    <n v="8.99"/>
    <x v="1"/>
    <x v="1"/>
    <n v="3"/>
    <n v="0.05"/>
    <x v="0"/>
  </r>
  <r>
    <s v="bb2ec39d-5eeb-478a-b763-0a2528ec4d7b"/>
    <n v="39"/>
    <x v="2"/>
    <x v="0"/>
    <x v="0"/>
    <n v="67.05"/>
    <n v="24"/>
    <x v="5"/>
    <x v="2"/>
    <n v="13.99"/>
    <x v="0"/>
    <x v="3"/>
    <n v="2"/>
    <n v="2.68"/>
    <x v="4"/>
  </r>
  <r>
    <s v="68203b4f-6e76-442b-863a-29eca29cc26b"/>
    <n v="35"/>
    <x v="2"/>
    <x v="0"/>
    <x v="2"/>
    <n v="11.85"/>
    <n v="57"/>
    <x v="4"/>
    <x v="0"/>
    <n v="8.99"/>
    <x v="1"/>
    <x v="4"/>
    <n v="3"/>
    <n v="0.2"/>
    <x v="5"/>
  </r>
  <r>
    <s v="f4af1dff-3131-49eb-a195-0cb169bf9ed4"/>
    <n v="36"/>
    <x v="2"/>
    <x v="1"/>
    <x v="1"/>
    <n v="24.09"/>
    <n v="36"/>
    <x v="5"/>
    <x v="1"/>
    <n v="17.989999999999998"/>
    <x v="0"/>
    <x v="2"/>
    <n v="5"/>
    <n v="0.65"/>
    <x v="0"/>
  </r>
  <r>
    <s v="08875185-f2ab-42e7-ae3e-5945341e5bb7"/>
    <n v="39"/>
    <x v="2"/>
    <x v="0"/>
    <x v="0"/>
    <n v="20.87"/>
    <n v="59"/>
    <x v="1"/>
    <x v="0"/>
    <n v="13.99"/>
    <x v="0"/>
    <x v="2"/>
    <n v="1"/>
    <n v="0.35"/>
    <x v="4"/>
  </r>
  <r>
    <s v="51ac7c84-3653-4bd2-8f22-6f6cace9b98b"/>
    <n v="38"/>
    <x v="2"/>
    <x v="1"/>
    <x v="2"/>
    <n v="10.25"/>
    <n v="42"/>
    <x v="1"/>
    <x v="3"/>
    <n v="8.99"/>
    <x v="1"/>
    <x v="3"/>
    <n v="2"/>
    <n v="0.24"/>
    <x v="3"/>
  </r>
  <r>
    <s v="2726ac92-319f-4aac-bf5a-89ce36e291fe"/>
    <n v="39"/>
    <x v="2"/>
    <x v="2"/>
    <x v="0"/>
    <n v="1.97"/>
    <n v="53"/>
    <x v="0"/>
    <x v="2"/>
    <n v="13.99"/>
    <x v="1"/>
    <x v="1"/>
    <n v="2"/>
    <n v="0.04"/>
    <x v="0"/>
  </r>
  <r>
    <s v="b2c52c4f-2ca8-4719-b798-32128b9009ba"/>
    <n v="40"/>
    <x v="2"/>
    <x v="0"/>
    <x v="2"/>
    <n v="33.549999999999997"/>
    <n v="5"/>
    <x v="3"/>
    <x v="2"/>
    <n v="8.99"/>
    <x v="0"/>
    <x v="3"/>
    <n v="1"/>
    <n v="5.59"/>
    <x v="2"/>
  </r>
  <r>
    <s v="fc76c95d-6886-4993-bc12-adbfcd4cdac0"/>
    <n v="43"/>
    <x v="2"/>
    <x v="1"/>
    <x v="1"/>
    <n v="4.17"/>
    <n v="46"/>
    <x v="2"/>
    <x v="2"/>
    <n v="17.989999999999998"/>
    <x v="1"/>
    <x v="2"/>
    <n v="1"/>
    <n v="0.09"/>
    <x v="1"/>
  </r>
  <r>
    <s v="4641b78c-9f54-43b3-8f33-809da152aba2"/>
    <n v="36"/>
    <x v="2"/>
    <x v="1"/>
    <x v="2"/>
    <n v="14.63"/>
    <n v="52"/>
    <x v="2"/>
    <x v="3"/>
    <n v="8.99"/>
    <x v="1"/>
    <x v="0"/>
    <n v="1"/>
    <n v="0.28000000000000003"/>
    <x v="2"/>
  </r>
  <r>
    <s v="a36c6729-b90c-4514-92d8-4a98a66bfff4"/>
    <n v="43"/>
    <x v="2"/>
    <x v="2"/>
    <x v="1"/>
    <n v="4.17"/>
    <n v="24"/>
    <x v="2"/>
    <x v="1"/>
    <n v="17.989999999999998"/>
    <x v="1"/>
    <x v="0"/>
    <n v="4"/>
    <n v="0.17"/>
    <x v="4"/>
  </r>
  <r>
    <s v="da21d05b-cec0-405d-a7d3-3dad478f3bcf"/>
    <n v="38"/>
    <x v="2"/>
    <x v="2"/>
    <x v="1"/>
    <n v="1.05"/>
    <n v="24"/>
    <x v="5"/>
    <x v="1"/>
    <n v="17.989999999999998"/>
    <x v="0"/>
    <x v="1"/>
    <n v="4"/>
    <n v="0.04"/>
    <x v="6"/>
  </r>
  <r>
    <s v="2088ff07-56ed-49a3-8824-6b0f5577b9eb"/>
    <n v="38"/>
    <x v="2"/>
    <x v="1"/>
    <x v="2"/>
    <n v="16.27"/>
    <n v="24"/>
    <x v="3"/>
    <x v="3"/>
    <n v="8.99"/>
    <x v="0"/>
    <x v="4"/>
    <n v="2"/>
    <n v="0.65"/>
    <x v="4"/>
  </r>
  <r>
    <s v="8f5e0f72-3edf-4a03-bdb4-44a26f91077b"/>
    <n v="44"/>
    <x v="2"/>
    <x v="2"/>
    <x v="2"/>
    <n v="9"/>
    <n v="33"/>
    <x v="2"/>
    <x v="0"/>
    <n v="8.99"/>
    <x v="1"/>
    <x v="0"/>
    <n v="1"/>
    <n v="0.26"/>
    <x v="3"/>
  </r>
  <r>
    <s v="e9e8258f-3f5b-4bbf-99a7-59b4c88125e6"/>
    <n v="36"/>
    <x v="2"/>
    <x v="0"/>
    <x v="0"/>
    <n v="9.1999999999999993"/>
    <n v="7"/>
    <x v="5"/>
    <x v="3"/>
    <n v="13.99"/>
    <x v="0"/>
    <x v="1"/>
    <n v="2"/>
    <n v="1.1499999999999999"/>
    <x v="3"/>
  </r>
  <r>
    <s v="30999e0c-ada1-4174-89b6-d820cfca282a"/>
    <n v="36"/>
    <x v="2"/>
    <x v="2"/>
    <x v="0"/>
    <n v="14.29"/>
    <n v="4"/>
    <x v="3"/>
    <x v="2"/>
    <n v="13.99"/>
    <x v="0"/>
    <x v="2"/>
    <n v="4"/>
    <n v="2.86"/>
    <x v="6"/>
  </r>
  <r>
    <s v="d8e3d413-9b2b-47ee-96b7-c1de8ba78a74"/>
    <n v="37"/>
    <x v="2"/>
    <x v="1"/>
    <x v="0"/>
    <n v="11.76"/>
    <n v="17"/>
    <x v="5"/>
    <x v="3"/>
    <n v="13.99"/>
    <x v="0"/>
    <x v="0"/>
    <n v="3"/>
    <n v="0.65"/>
    <x v="1"/>
  </r>
  <r>
    <s v="277577cb-b4e0-41ca-9c88-2456d7f2ba36"/>
    <n v="37"/>
    <x v="2"/>
    <x v="2"/>
    <x v="2"/>
    <n v="21.82"/>
    <n v="40"/>
    <x v="1"/>
    <x v="4"/>
    <n v="8.99"/>
    <x v="0"/>
    <x v="2"/>
    <n v="2"/>
    <n v="0.53"/>
    <x v="0"/>
  </r>
  <r>
    <s v="7c88ae82-dad4-4bb3-8e01-e587c43395ab"/>
    <n v="38"/>
    <x v="2"/>
    <x v="1"/>
    <x v="0"/>
    <n v="3.39"/>
    <n v="35"/>
    <x v="2"/>
    <x v="3"/>
    <n v="13.99"/>
    <x v="1"/>
    <x v="1"/>
    <n v="1"/>
    <n v="0.09"/>
    <x v="0"/>
  </r>
  <r>
    <s v="d786a211-3e93-4204-8b1d-e10f595bf093"/>
    <n v="40"/>
    <x v="2"/>
    <x v="0"/>
    <x v="2"/>
    <n v="23.97"/>
    <n v="48"/>
    <x v="2"/>
    <x v="3"/>
    <n v="8.99"/>
    <x v="0"/>
    <x v="1"/>
    <n v="5"/>
    <n v="0.49"/>
    <x v="3"/>
  </r>
  <r>
    <s v="4c1eec06-5abb-4b67-a976-0a1b307004ce"/>
    <n v="41"/>
    <x v="2"/>
    <x v="0"/>
    <x v="1"/>
    <n v="0.43"/>
    <n v="2"/>
    <x v="5"/>
    <x v="2"/>
    <n v="17.989999999999998"/>
    <x v="0"/>
    <x v="4"/>
    <n v="5"/>
    <n v="0.14000000000000001"/>
    <x v="2"/>
  </r>
  <r>
    <s v="9344e6e8-32e7-4867-a514-a51882b6ab16"/>
    <n v="40"/>
    <x v="2"/>
    <x v="1"/>
    <x v="1"/>
    <n v="1.2"/>
    <n v="7"/>
    <x v="3"/>
    <x v="4"/>
    <n v="17.989999999999998"/>
    <x v="1"/>
    <x v="3"/>
    <n v="1"/>
    <n v="0.15"/>
    <x v="3"/>
  </r>
  <r>
    <s v="4403409b-c5ff-4f1d-85b6-d7d26093f6a3"/>
    <n v="43"/>
    <x v="2"/>
    <x v="0"/>
    <x v="2"/>
    <n v="0.69"/>
    <n v="39"/>
    <x v="2"/>
    <x v="1"/>
    <n v="8.99"/>
    <x v="1"/>
    <x v="1"/>
    <n v="1"/>
    <n v="0.02"/>
    <x v="3"/>
  </r>
  <r>
    <s v="09861433-8978-4198-a3f3-51e0cbe5b9a0"/>
    <n v="40"/>
    <x v="2"/>
    <x v="1"/>
    <x v="0"/>
    <n v="14.34"/>
    <n v="15"/>
    <x v="4"/>
    <x v="3"/>
    <n v="13.99"/>
    <x v="0"/>
    <x v="1"/>
    <n v="1"/>
    <n v="0.9"/>
    <x v="6"/>
  </r>
  <r>
    <s v="3497e92a-d299-4252-b5e1-b77c3424dd97"/>
    <n v="38"/>
    <x v="2"/>
    <x v="1"/>
    <x v="1"/>
    <n v="20.79"/>
    <n v="21"/>
    <x v="0"/>
    <x v="0"/>
    <n v="17.989999999999998"/>
    <x v="0"/>
    <x v="2"/>
    <n v="4"/>
    <n v="0.94"/>
    <x v="2"/>
  </r>
  <r>
    <s v="d1abaf68-4ead-452c-9916-921a55246557"/>
    <n v="38"/>
    <x v="2"/>
    <x v="1"/>
    <x v="2"/>
    <n v="11.42"/>
    <n v="5"/>
    <x v="2"/>
    <x v="1"/>
    <n v="8.99"/>
    <x v="0"/>
    <x v="0"/>
    <n v="5"/>
    <n v="1.9"/>
    <x v="4"/>
  </r>
  <r>
    <s v="f872f7f1-9736-4b28-a268-51c252774a54"/>
    <n v="43"/>
    <x v="2"/>
    <x v="0"/>
    <x v="1"/>
    <n v="17.91"/>
    <n v="26"/>
    <x v="3"/>
    <x v="3"/>
    <n v="17.989999999999998"/>
    <x v="0"/>
    <x v="4"/>
    <n v="1"/>
    <n v="0.66"/>
    <x v="3"/>
  </r>
  <r>
    <s v="59c9af14-e6e7-42b9-bfc6-1e3f7b529c79"/>
    <n v="41"/>
    <x v="2"/>
    <x v="1"/>
    <x v="0"/>
    <n v="12.78"/>
    <n v="48"/>
    <x v="1"/>
    <x v="3"/>
    <n v="13.99"/>
    <x v="1"/>
    <x v="0"/>
    <n v="5"/>
    <n v="0.26"/>
    <x v="6"/>
  </r>
  <r>
    <s v="250343bf-153a-4ecf-969c-591aae270fc8"/>
    <n v="41"/>
    <x v="2"/>
    <x v="1"/>
    <x v="1"/>
    <n v="26.57"/>
    <n v="58"/>
    <x v="1"/>
    <x v="3"/>
    <n v="17.989999999999998"/>
    <x v="0"/>
    <x v="0"/>
    <n v="3"/>
    <n v="0.45"/>
    <x v="1"/>
  </r>
  <r>
    <s v="3578445b-fdf1-4151-8f2b-22511480c2ef"/>
    <n v="41"/>
    <x v="2"/>
    <x v="2"/>
    <x v="2"/>
    <n v="4.32"/>
    <n v="0"/>
    <x v="2"/>
    <x v="4"/>
    <n v="8.99"/>
    <x v="1"/>
    <x v="3"/>
    <n v="1"/>
    <n v="4.32"/>
    <x v="2"/>
  </r>
  <r>
    <s v="be23ec59-2fcc-4671-9283-33b1981584f0"/>
    <n v="35"/>
    <x v="2"/>
    <x v="2"/>
    <x v="1"/>
    <n v="14.76"/>
    <n v="26"/>
    <x v="2"/>
    <x v="3"/>
    <n v="17.989999999999998"/>
    <x v="0"/>
    <x v="2"/>
    <n v="4"/>
    <n v="0.55000000000000004"/>
    <x v="0"/>
  </r>
  <r>
    <s v="d9909eed-db58-4db5-b0e4-92b311601ab9"/>
    <n v="44"/>
    <x v="2"/>
    <x v="1"/>
    <x v="0"/>
    <n v="2.14"/>
    <n v="4"/>
    <x v="0"/>
    <x v="3"/>
    <n v="13.99"/>
    <x v="1"/>
    <x v="0"/>
    <n v="2"/>
    <n v="0.43"/>
    <x v="1"/>
  </r>
  <r>
    <s v="312afc5f-e59a-4e90-925d-2a8de08ec764"/>
    <n v="38"/>
    <x v="2"/>
    <x v="1"/>
    <x v="2"/>
    <n v="53.06"/>
    <n v="55"/>
    <x v="3"/>
    <x v="1"/>
    <n v="8.99"/>
    <x v="0"/>
    <x v="3"/>
    <n v="4"/>
    <n v="0.95"/>
    <x v="2"/>
  </r>
  <r>
    <s v="51c26840-b286-42ef-b074-77c2db6c31f5"/>
    <n v="38"/>
    <x v="2"/>
    <x v="2"/>
    <x v="2"/>
    <n v="3.86"/>
    <n v="37"/>
    <x v="2"/>
    <x v="1"/>
    <n v="8.99"/>
    <x v="1"/>
    <x v="3"/>
    <n v="4"/>
    <n v="0.1"/>
    <x v="4"/>
  </r>
  <r>
    <s v="3d1d46bb-37e3-4347-84f6-1266325022c0"/>
    <n v="38"/>
    <x v="2"/>
    <x v="0"/>
    <x v="1"/>
    <n v="4.12"/>
    <n v="54"/>
    <x v="5"/>
    <x v="4"/>
    <n v="17.989999999999998"/>
    <x v="1"/>
    <x v="4"/>
    <n v="1"/>
    <n v="7.0000000000000007E-2"/>
    <x v="4"/>
  </r>
  <r>
    <s v="6dfa61eb-b7eb-4d9f-979a-252808674892"/>
    <n v="39"/>
    <x v="2"/>
    <x v="1"/>
    <x v="1"/>
    <n v="1.83"/>
    <n v="12"/>
    <x v="3"/>
    <x v="2"/>
    <n v="17.989999999999998"/>
    <x v="1"/>
    <x v="2"/>
    <n v="3"/>
    <n v="0.14000000000000001"/>
    <x v="4"/>
  </r>
  <r>
    <s v="5e67d8d5-6502-4810-99de-205eff3fa834"/>
    <n v="41"/>
    <x v="2"/>
    <x v="1"/>
    <x v="2"/>
    <n v="9.25"/>
    <n v="47"/>
    <x v="5"/>
    <x v="3"/>
    <n v="8.99"/>
    <x v="1"/>
    <x v="1"/>
    <n v="5"/>
    <n v="0.19"/>
    <x v="0"/>
  </r>
  <r>
    <s v="1f81b811-5888-4bae-83fd-50155e50c4da"/>
    <n v="39"/>
    <x v="2"/>
    <x v="1"/>
    <x v="0"/>
    <n v="8.27"/>
    <n v="36"/>
    <x v="2"/>
    <x v="1"/>
    <n v="13.99"/>
    <x v="1"/>
    <x v="4"/>
    <n v="2"/>
    <n v="0.22"/>
    <x v="5"/>
  </r>
  <r>
    <s v="534229c3-8f50-4913-9f38-ceb0de98fa82"/>
    <n v="42"/>
    <x v="2"/>
    <x v="2"/>
    <x v="2"/>
    <n v="14.77"/>
    <n v="29"/>
    <x v="1"/>
    <x v="2"/>
    <n v="8.99"/>
    <x v="1"/>
    <x v="4"/>
    <n v="3"/>
    <n v="0.49"/>
    <x v="2"/>
  </r>
  <r>
    <s v="e469dd14-2b8e-4054-b091-b7e45361ed5e"/>
    <n v="44"/>
    <x v="2"/>
    <x v="0"/>
    <x v="1"/>
    <n v="9.89"/>
    <n v="25"/>
    <x v="2"/>
    <x v="3"/>
    <n v="17.989999999999998"/>
    <x v="0"/>
    <x v="2"/>
    <n v="4"/>
    <n v="0.38"/>
    <x v="1"/>
  </r>
  <r>
    <s v="c44dca13-8b31-45ae-8749-b96c8cc7f207"/>
    <n v="42"/>
    <x v="2"/>
    <x v="1"/>
    <x v="0"/>
    <n v="0.45"/>
    <n v="15"/>
    <x v="3"/>
    <x v="1"/>
    <n v="13.99"/>
    <x v="1"/>
    <x v="4"/>
    <n v="5"/>
    <n v="0.03"/>
    <x v="4"/>
  </r>
  <r>
    <s v="e0907dc5-05e8-4469-822f-a363ed76009f"/>
    <n v="44"/>
    <x v="2"/>
    <x v="1"/>
    <x v="1"/>
    <n v="7.91"/>
    <n v="7"/>
    <x v="2"/>
    <x v="2"/>
    <n v="17.989999999999998"/>
    <x v="0"/>
    <x v="1"/>
    <n v="1"/>
    <n v="0.99"/>
    <x v="5"/>
  </r>
  <r>
    <s v="1c351517-e739-4ef8-a0bf-c188dc68abca"/>
    <n v="39"/>
    <x v="2"/>
    <x v="1"/>
    <x v="0"/>
    <n v="23.44"/>
    <n v="22"/>
    <x v="5"/>
    <x v="0"/>
    <n v="13.99"/>
    <x v="0"/>
    <x v="1"/>
    <n v="5"/>
    <n v="1.02"/>
    <x v="1"/>
  </r>
  <r>
    <s v="3835799a-8de3-44fd-8982-3f36e75865ed"/>
    <n v="37"/>
    <x v="2"/>
    <x v="2"/>
    <x v="1"/>
    <n v="6.42"/>
    <n v="3"/>
    <x v="4"/>
    <x v="1"/>
    <n v="17.989999999999998"/>
    <x v="0"/>
    <x v="1"/>
    <n v="1"/>
    <n v="1.6"/>
    <x v="1"/>
  </r>
  <r>
    <s v="31785188-5996-4861-a62c-90d91330002d"/>
    <n v="38"/>
    <x v="2"/>
    <x v="0"/>
    <x v="2"/>
    <n v="23.78"/>
    <n v="1"/>
    <x v="5"/>
    <x v="3"/>
    <n v="8.99"/>
    <x v="0"/>
    <x v="2"/>
    <n v="2"/>
    <n v="11.89"/>
    <x v="3"/>
  </r>
  <r>
    <s v="a1ba331a-1851-4e9e-a785-9e38e25fee01"/>
    <n v="39"/>
    <x v="2"/>
    <x v="0"/>
    <x v="2"/>
    <n v="17.350000000000001"/>
    <n v="29"/>
    <x v="2"/>
    <x v="4"/>
    <n v="8.99"/>
    <x v="0"/>
    <x v="3"/>
    <n v="4"/>
    <n v="0.57999999999999996"/>
    <x v="2"/>
  </r>
  <r>
    <s v="450aaa67-4be4-4d6a-957f-3c3b3e02f741"/>
    <n v="38"/>
    <x v="2"/>
    <x v="2"/>
    <x v="0"/>
    <n v="1.21"/>
    <n v="21"/>
    <x v="2"/>
    <x v="0"/>
    <n v="13.99"/>
    <x v="0"/>
    <x v="3"/>
    <n v="4"/>
    <n v="0.06"/>
    <x v="4"/>
  </r>
  <r>
    <s v="11889462-30c0-4225-a01f-7363d2edb91f"/>
    <n v="43"/>
    <x v="2"/>
    <x v="0"/>
    <x v="1"/>
    <n v="7.18"/>
    <n v="14"/>
    <x v="1"/>
    <x v="2"/>
    <n v="17.989999999999998"/>
    <x v="0"/>
    <x v="4"/>
    <n v="5"/>
    <n v="0.48"/>
    <x v="4"/>
  </r>
  <r>
    <s v="0bdf101f-bfac-4ae9-82bb-a063653efd7b"/>
    <n v="41"/>
    <x v="2"/>
    <x v="2"/>
    <x v="2"/>
    <n v="10.68"/>
    <n v="14"/>
    <x v="1"/>
    <x v="1"/>
    <n v="8.99"/>
    <x v="0"/>
    <x v="4"/>
    <n v="5"/>
    <n v="0.71"/>
    <x v="0"/>
  </r>
  <r>
    <s v="ed301603-0c5b-4e19-bc71-e669064a348d"/>
    <n v="42"/>
    <x v="2"/>
    <x v="0"/>
    <x v="0"/>
    <n v="27.93"/>
    <n v="59"/>
    <x v="0"/>
    <x v="0"/>
    <n v="13.99"/>
    <x v="0"/>
    <x v="0"/>
    <n v="4"/>
    <n v="0.47"/>
    <x v="2"/>
  </r>
  <r>
    <s v="79e33997-7571-4785-bf32-7c6b45dd2a38"/>
    <n v="37"/>
    <x v="2"/>
    <x v="0"/>
    <x v="1"/>
    <n v="0.52"/>
    <n v="37"/>
    <x v="4"/>
    <x v="0"/>
    <n v="17.989999999999998"/>
    <x v="1"/>
    <x v="3"/>
    <n v="4"/>
    <n v="0.01"/>
    <x v="5"/>
  </r>
  <r>
    <s v="3b9e88b6-d283-419b-9562-d98fe199e04e"/>
    <n v="39"/>
    <x v="2"/>
    <x v="1"/>
    <x v="1"/>
    <n v="3.98"/>
    <n v="39"/>
    <x v="0"/>
    <x v="4"/>
    <n v="17.989999999999998"/>
    <x v="1"/>
    <x v="1"/>
    <n v="3"/>
    <n v="0.1"/>
    <x v="0"/>
  </r>
  <r>
    <s v="5b57deb8-313a-4470-b11e-f3a11aecea63"/>
    <n v="36"/>
    <x v="2"/>
    <x v="1"/>
    <x v="2"/>
    <n v="0.95"/>
    <n v="41"/>
    <x v="4"/>
    <x v="3"/>
    <n v="8.99"/>
    <x v="1"/>
    <x v="4"/>
    <n v="5"/>
    <n v="0.02"/>
    <x v="5"/>
  </r>
  <r>
    <s v="df604392-c45e-4f2d-80d5-544300e084e2"/>
    <n v="41"/>
    <x v="2"/>
    <x v="1"/>
    <x v="2"/>
    <n v="4.1500000000000004"/>
    <n v="39"/>
    <x v="0"/>
    <x v="1"/>
    <n v="8.99"/>
    <x v="1"/>
    <x v="3"/>
    <n v="5"/>
    <n v="0.1"/>
    <x v="1"/>
  </r>
  <r>
    <s v="6cf5b92e-37e9-4e2e-9993-28d4abdbe701"/>
    <n v="44"/>
    <x v="2"/>
    <x v="1"/>
    <x v="2"/>
    <n v="16.91"/>
    <n v="23"/>
    <x v="3"/>
    <x v="2"/>
    <n v="8.99"/>
    <x v="0"/>
    <x v="0"/>
    <n v="4"/>
    <n v="0.7"/>
    <x v="4"/>
  </r>
  <r>
    <s v="1a2dcd89-e8ac-4205-abd6-4f2fa9a6559a"/>
    <n v="44"/>
    <x v="2"/>
    <x v="0"/>
    <x v="2"/>
    <n v="3.72"/>
    <n v="37"/>
    <x v="5"/>
    <x v="0"/>
    <n v="8.99"/>
    <x v="1"/>
    <x v="1"/>
    <n v="1"/>
    <n v="0.1"/>
    <x v="5"/>
  </r>
  <r>
    <s v="240347ff-cafe-4b8b-86da-a0a0b6b8e162"/>
    <n v="43"/>
    <x v="2"/>
    <x v="2"/>
    <x v="2"/>
    <n v="50.47"/>
    <n v="37"/>
    <x v="3"/>
    <x v="1"/>
    <n v="8.99"/>
    <x v="0"/>
    <x v="1"/>
    <n v="4"/>
    <n v="1.33"/>
    <x v="6"/>
  </r>
  <r>
    <s v="97e6a461-5a39-4cd6-8459-95562f279693"/>
    <n v="38"/>
    <x v="2"/>
    <x v="2"/>
    <x v="2"/>
    <n v="5.46"/>
    <n v="5"/>
    <x v="5"/>
    <x v="0"/>
    <n v="8.99"/>
    <x v="0"/>
    <x v="4"/>
    <n v="2"/>
    <n v="0.91"/>
    <x v="2"/>
  </r>
  <r>
    <s v="98006a18-b3dc-4c62-862d-60e463cf6f7f"/>
    <n v="37"/>
    <x v="2"/>
    <x v="2"/>
    <x v="0"/>
    <n v="2.31"/>
    <n v="28"/>
    <x v="0"/>
    <x v="1"/>
    <n v="13.99"/>
    <x v="1"/>
    <x v="3"/>
    <n v="1"/>
    <n v="0.08"/>
    <x v="2"/>
  </r>
  <r>
    <s v="f6586998-c5aa-4fc4-86ac-0c0356195134"/>
    <n v="41"/>
    <x v="2"/>
    <x v="1"/>
    <x v="1"/>
    <n v="2.74"/>
    <n v="19"/>
    <x v="0"/>
    <x v="1"/>
    <n v="17.989999999999998"/>
    <x v="1"/>
    <x v="1"/>
    <n v="3"/>
    <n v="0.14000000000000001"/>
    <x v="6"/>
  </r>
  <r>
    <s v="1fda0f85-9ca8-4a37-b594-0577cc40d107"/>
    <n v="40"/>
    <x v="2"/>
    <x v="1"/>
    <x v="2"/>
    <n v="0.86"/>
    <n v="5"/>
    <x v="5"/>
    <x v="4"/>
    <n v="8.99"/>
    <x v="1"/>
    <x v="1"/>
    <n v="2"/>
    <n v="0.14000000000000001"/>
    <x v="5"/>
  </r>
  <r>
    <s v="99b75d88-389d-4e15-ae49-2fbda9481a56"/>
    <n v="42"/>
    <x v="2"/>
    <x v="2"/>
    <x v="1"/>
    <n v="1.91"/>
    <n v="44"/>
    <x v="1"/>
    <x v="2"/>
    <n v="17.989999999999998"/>
    <x v="1"/>
    <x v="0"/>
    <n v="1"/>
    <n v="0.04"/>
    <x v="3"/>
  </r>
  <r>
    <s v="be26463d-8df5-4f33-aaa9-94fd9b9512f9"/>
    <n v="39"/>
    <x v="2"/>
    <x v="2"/>
    <x v="0"/>
    <n v="31.83"/>
    <n v="2"/>
    <x v="3"/>
    <x v="2"/>
    <n v="13.99"/>
    <x v="0"/>
    <x v="0"/>
    <n v="5"/>
    <n v="10.61"/>
    <x v="2"/>
  </r>
  <r>
    <s v="86b8e1a7-89e0-4e3e-9888-b7007b775af0"/>
    <n v="40"/>
    <x v="2"/>
    <x v="1"/>
    <x v="0"/>
    <n v="9.41"/>
    <n v="46"/>
    <x v="3"/>
    <x v="0"/>
    <n v="13.99"/>
    <x v="1"/>
    <x v="0"/>
    <n v="3"/>
    <n v="0.2"/>
    <x v="0"/>
  </r>
  <r>
    <s v="41f6124d-7959-4fc3-83af-7c634c843b10"/>
    <n v="39"/>
    <x v="2"/>
    <x v="1"/>
    <x v="1"/>
    <n v="2.99"/>
    <n v="46"/>
    <x v="1"/>
    <x v="4"/>
    <n v="17.989999999999998"/>
    <x v="1"/>
    <x v="0"/>
    <n v="4"/>
    <n v="0.06"/>
    <x v="4"/>
  </r>
  <r>
    <s v="53280000-5c09-40ef-a4dc-78d8c0583b19"/>
    <n v="36"/>
    <x v="2"/>
    <x v="1"/>
    <x v="2"/>
    <n v="18.510000000000002"/>
    <n v="11"/>
    <x v="2"/>
    <x v="0"/>
    <n v="8.99"/>
    <x v="0"/>
    <x v="1"/>
    <n v="3"/>
    <n v="1.54"/>
    <x v="6"/>
  </r>
  <r>
    <s v="7be4e423-83bd-4cc9-96d5-a845a5ae728f"/>
    <n v="43"/>
    <x v="2"/>
    <x v="2"/>
    <x v="1"/>
    <n v="1.99"/>
    <n v="17"/>
    <x v="3"/>
    <x v="0"/>
    <n v="17.989999999999998"/>
    <x v="1"/>
    <x v="0"/>
    <n v="5"/>
    <n v="0.11"/>
    <x v="3"/>
  </r>
  <r>
    <s v="dcaf88dd-7810-44bb-ab55-d2ad4410ad63"/>
    <n v="44"/>
    <x v="2"/>
    <x v="1"/>
    <x v="2"/>
    <n v="1.4"/>
    <n v="58"/>
    <x v="0"/>
    <x v="0"/>
    <n v="8.99"/>
    <x v="1"/>
    <x v="1"/>
    <n v="5"/>
    <n v="0.02"/>
    <x v="0"/>
  </r>
  <r>
    <s v="a9d14534-5bca-41dd-8d02-0d92570cb764"/>
    <n v="35"/>
    <x v="2"/>
    <x v="2"/>
    <x v="0"/>
    <n v="4.13"/>
    <n v="32"/>
    <x v="3"/>
    <x v="0"/>
    <n v="13.99"/>
    <x v="1"/>
    <x v="2"/>
    <n v="1"/>
    <n v="0.13"/>
    <x v="2"/>
  </r>
  <r>
    <s v="39ec453a-2361-4649-b68a-cba07181c4a7"/>
    <n v="41"/>
    <x v="2"/>
    <x v="1"/>
    <x v="0"/>
    <n v="22.67"/>
    <n v="51"/>
    <x v="4"/>
    <x v="3"/>
    <n v="13.99"/>
    <x v="0"/>
    <x v="3"/>
    <n v="2"/>
    <n v="0.44"/>
    <x v="5"/>
  </r>
  <r>
    <s v="cb370c32-624d-42ee-b4c7-d90cd286a11f"/>
    <n v="40"/>
    <x v="2"/>
    <x v="0"/>
    <x v="2"/>
    <n v="1.79"/>
    <n v="14"/>
    <x v="2"/>
    <x v="1"/>
    <n v="8.99"/>
    <x v="1"/>
    <x v="3"/>
    <n v="1"/>
    <n v="0.12"/>
    <x v="5"/>
  </r>
  <r>
    <s v="0ad1bda0-04dc-4731-9a41-b2c54969004c"/>
    <n v="35"/>
    <x v="2"/>
    <x v="0"/>
    <x v="2"/>
    <n v="5.61"/>
    <n v="18"/>
    <x v="1"/>
    <x v="2"/>
    <n v="8.99"/>
    <x v="1"/>
    <x v="0"/>
    <n v="2"/>
    <n v="0.3"/>
    <x v="2"/>
  </r>
  <r>
    <s v="6a99ebb0-cc9f-45ab-b6e9-4791602ae7c4"/>
    <n v="35"/>
    <x v="2"/>
    <x v="0"/>
    <x v="0"/>
    <n v="3.26"/>
    <n v="39"/>
    <x v="1"/>
    <x v="4"/>
    <n v="13.99"/>
    <x v="1"/>
    <x v="1"/>
    <n v="2"/>
    <n v="0.08"/>
    <x v="0"/>
  </r>
  <r>
    <s v="59711c93-38ef-47c5-b728-42fa302cacd0"/>
    <n v="42"/>
    <x v="2"/>
    <x v="0"/>
    <x v="0"/>
    <n v="3.67"/>
    <n v="13"/>
    <x v="5"/>
    <x v="0"/>
    <n v="13.99"/>
    <x v="1"/>
    <x v="1"/>
    <n v="3"/>
    <n v="0.26"/>
    <x v="3"/>
  </r>
  <r>
    <s v="32c0a4d8-3699-4f09-907b-5f303f8274c1"/>
    <n v="38"/>
    <x v="2"/>
    <x v="0"/>
    <x v="1"/>
    <n v="15.94"/>
    <n v="54"/>
    <x v="5"/>
    <x v="3"/>
    <n v="17.989999999999998"/>
    <x v="1"/>
    <x v="0"/>
    <n v="2"/>
    <n v="0.28999999999999998"/>
    <x v="3"/>
  </r>
  <r>
    <s v="8c4c751f-f5a4-4ac7-877d-1158db922567"/>
    <n v="38"/>
    <x v="2"/>
    <x v="0"/>
    <x v="2"/>
    <n v="6.63"/>
    <n v="24"/>
    <x v="1"/>
    <x v="2"/>
    <n v="8.99"/>
    <x v="1"/>
    <x v="0"/>
    <n v="3"/>
    <n v="0.27"/>
    <x v="0"/>
  </r>
  <r>
    <s v="686ac4a2-1ff7-45dc-82a3-e28d5333190b"/>
    <n v="39"/>
    <x v="2"/>
    <x v="0"/>
    <x v="1"/>
    <n v="12.07"/>
    <n v="15"/>
    <x v="2"/>
    <x v="3"/>
    <n v="17.989999999999998"/>
    <x v="0"/>
    <x v="1"/>
    <n v="1"/>
    <n v="0.75"/>
    <x v="5"/>
  </r>
  <r>
    <s v="99b76135-94d0-48e6-9ac7-ada314cc1ad1"/>
    <n v="37"/>
    <x v="2"/>
    <x v="1"/>
    <x v="1"/>
    <n v="26.5"/>
    <n v="12"/>
    <x v="2"/>
    <x v="4"/>
    <n v="17.989999999999998"/>
    <x v="0"/>
    <x v="1"/>
    <n v="5"/>
    <n v="2.04"/>
    <x v="0"/>
  </r>
  <r>
    <s v="7cdc323f-67af-48e2-b15b-3e94cf19681f"/>
    <n v="36"/>
    <x v="2"/>
    <x v="1"/>
    <x v="0"/>
    <n v="2.79"/>
    <n v="10"/>
    <x v="1"/>
    <x v="3"/>
    <n v="13.99"/>
    <x v="1"/>
    <x v="4"/>
    <n v="1"/>
    <n v="0.25"/>
    <x v="6"/>
  </r>
  <r>
    <s v="d7ec3b35-329b-4ea1-b9d7-8e8da1ae05bc"/>
    <n v="37"/>
    <x v="2"/>
    <x v="2"/>
    <x v="0"/>
    <n v="2.4300000000000002"/>
    <n v="6"/>
    <x v="4"/>
    <x v="4"/>
    <n v="13.99"/>
    <x v="0"/>
    <x v="0"/>
    <n v="5"/>
    <n v="0.35"/>
    <x v="4"/>
  </r>
  <r>
    <s v="17f2ec1d-c875-43da-9307-7012fa87236c"/>
    <n v="40"/>
    <x v="2"/>
    <x v="0"/>
    <x v="1"/>
    <n v="3.91"/>
    <n v="53"/>
    <x v="1"/>
    <x v="2"/>
    <n v="17.989999999999998"/>
    <x v="1"/>
    <x v="3"/>
    <n v="4"/>
    <n v="7.0000000000000007E-2"/>
    <x v="3"/>
  </r>
  <r>
    <s v="414e2477-5a33-4de3-9f34-d375ccd27a80"/>
    <n v="38"/>
    <x v="2"/>
    <x v="1"/>
    <x v="1"/>
    <n v="8.36"/>
    <n v="1"/>
    <x v="2"/>
    <x v="0"/>
    <n v="17.989999999999998"/>
    <x v="0"/>
    <x v="4"/>
    <n v="2"/>
    <n v="4.18"/>
    <x v="0"/>
  </r>
  <r>
    <s v="d35e9995-4a42-438c-a56f-dff2e9acc65e"/>
    <n v="39"/>
    <x v="2"/>
    <x v="1"/>
    <x v="2"/>
    <n v="1.28"/>
    <n v="39"/>
    <x v="2"/>
    <x v="3"/>
    <n v="8.99"/>
    <x v="1"/>
    <x v="2"/>
    <n v="5"/>
    <n v="0.03"/>
    <x v="5"/>
  </r>
  <r>
    <s v="7d3f0d0b-9acd-4f21-88ae-3801eba6cd8b"/>
    <n v="42"/>
    <x v="2"/>
    <x v="0"/>
    <x v="2"/>
    <n v="23.89"/>
    <n v="18"/>
    <x v="5"/>
    <x v="2"/>
    <n v="8.99"/>
    <x v="0"/>
    <x v="0"/>
    <n v="4"/>
    <n v="1.26"/>
    <x v="2"/>
  </r>
  <r>
    <s v="ceae0c44-3af1-464c-98de-82c6c0a19ae2"/>
    <n v="35"/>
    <x v="2"/>
    <x v="1"/>
    <x v="1"/>
    <n v="3.63"/>
    <n v="57"/>
    <x v="1"/>
    <x v="1"/>
    <n v="17.989999999999998"/>
    <x v="1"/>
    <x v="2"/>
    <n v="5"/>
    <n v="0.06"/>
    <x v="6"/>
  </r>
  <r>
    <s v="0c3d6cf4-03ef-4bdc-90c2-4219f71d505a"/>
    <n v="38"/>
    <x v="2"/>
    <x v="1"/>
    <x v="0"/>
    <n v="18.329999999999998"/>
    <n v="21"/>
    <x v="3"/>
    <x v="3"/>
    <n v="13.99"/>
    <x v="0"/>
    <x v="4"/>
    <n v="5"/>
    <n v="0.83"/>
    <x v="1"/>
  </r>
  <r>
    <s v="c8a3fc80-5146-415e-b463-45b56f4a9c14"/>
    <n v="40"/>
    <x v="2"/>
    <x v="2"/>
    <x v="2"/>
    <n v="5.1100000000000003"/>
    <n v="8"/>
    <x v="4"/>
    <x v="3"/>
    <n v="8.99"/>
    <x v="0"/>
    <x v="0"/>
    <n v="1"/>
    <n v="0.56999999999999995"/>
    <x v="4"/>
  </r>
  <r>
    <s v="e5d91451-1d12-4a01-a042-87b0f22cc66b"/>
    <n v="42"/>
    <x v="2"/>
    <x v="2"/>
    <x v="1"/>
    <n v="16.37"/>
    <n v="45"/>
    <x v="0"/>
    <x v="3"/>
    <n v="17.989999999999998"/>
    <x v="0"/>
    <x v="1"/>
    <n v="4"/>
    <n v="0.36"/>
    <x v="1"/>
  </r>
  <r>
    <s v="49b003fa-4997-4af1-90e2-c4f8ee1f1779"/>
    <n v="44"/>
    <x v="2"/>
    <x v="2"/>
    <x v="0"/>
    <n v="1.05"/>
    <n v="18"/>
    <x v="3"/>
    <x v="4"/>
    <n v="13.99"/>
    <x v="1"/>
    <x v="3"/>
    <n v="3"/>
    <n v="0.06"/>
    <x v="0"/>
  </r>
  <r>
    <s v="ddc99c73-7758-4640-aed3-4e11d1f22150"/>
    <n v="40"/>
    <x v="2"/>
    <x v="2"/>
    <x v="2"/>
    <n v="1.18"/>
    <n v="39"/>
    <x v="0"/>
    <x v="4"/>
    <n v="8.99"/>
    <x v="1"/>
    <x v="1"/>
    <n v="2"/>
    <n v="0.03"/>
    <x v="6"/>
  </r>
  <r>
    <s v="561b865b-5d18-4836-b50e-f40bde688bcf"/>
    <n v="35"/>
    <x v="2"/>
    <x v="0"/>
    <x v="2"/>
    <n v="5"/>
    <n v="48"/>
    <x v="3"/>
    <x v="3"/>
    <n v="8.99"/>
    <x v="1"/>
    <x v="0"/>
    <n v="1"/>
    <n v="0.1"/>
    <x v="0"/>
  </r>
  <r>
    <s v="101b4ce6-b2f8-41ab-b6f4-2a3ed4dba3eb"/>
    <n v="36"/>
    <x v="2"/>
    <x v="0"/>
    <x v="2"/>
    <n v="0.05"/>
    <n v="25"/>
    <x v="1"/>
    <x v="3"/>
    <n v="8.99"/>
    <x v="1"/>
    <x v="1"/>
    <n v="4"/>
    <n v="0"/>
    <x v="3"/>
  </r>
  <r>
    <s v="e4e9504a-7d5d-47d9-940d-31817782fc8f"/>
    <n v="40"/>
    <x v="2"/>
    <x v="1"/>
    <x v="0"/>
    <n v="19.149999999999999"/>
    <n v="40"/>
    <x v="0"/>
    <x v="1"/>
    <n v="13.99"/>
    <x v="1"/>
    <x v="1"/>
    <n v="2"/>
    <n v="0.47"/>
    <x v="2"/>
  </r>
  <r>
    <s v="8329446c-9c38-459b-b296-59f5f19f2a51"/>
    <n v="37"/>
    <x v="2"/>
    <x v="2"/>
    <x v="2"/>
    <n v="4.9800000000000004"/>
    <n v="30"/>
    <x v="2"/>
    <x v="2"/>
    <n v="8.99"/>
    <x v="1"/>
    <x v="4"/>
    <n v="4"/>
    <n v="0.16"/>
    <x v="4"/>
  </r>
  <r>
    <s v="242a83be-25ed-4b50-966e-126fa3bda7d0"/>
    <n v="44"/>
    <x v="2"/>
    <x v="2"/>
    <x v="2"/>
    <n v="4.8899999999999997"/>
    <n v="35"/>
    <x v="5"/>
    <x v="1"/>
    <n v="8.99"/>
    <x v="1"/>
    <x v="3"/>
    <n v="3"/>
    <n v="0.14000000000000001"/>
    <x v="0"/>
  </r>
  <r>
    <s v="17ec48bb-58d9-4be7-a2d5-ad5f1bd26c9b"/>
    <n v="36"/>
    <x v="2"/>
    <x v="1"/>
    <x v="1"/>
    <n v="2.85"/>
    <n v="15"/>
    <x v="3"/>
    <x v="4"/>
    <n v="17.989999999999998"/>
    <x v="1"/>
    <x v="3"/>
    <n v="3"/>
    <n v="0.18"/>
    <x v="1"/>
  </r>
  <r>
    <s v="0a6816a7-f888-47b3-84f4-937bcd1a9023"/>
    <n v="39"/>
    <x v="2"/>
    <x v="1"/>
    <x v="1"/>
    <n v="13.49"/>
    <n v="21"/>
    <x v="2"/>
    <x v="4"/>
    <n v="17.989999999999998"/>
    <x v="0"/>
    <x v="2"/>
    <n v="4"/>
    <n v="0.61"/>
    <x v="0"/>
  </r>
  <r>
    <s v="a16251fb-f52b-430e-9bb1-272ebfb4a387"/>
    <n v="41"/>
    <x v="2"/>
    <x v="1"/>
    <x v="2"/>
    <n v="20.260000000000002"/>
    <n v="41"/>
    <x v="3"/>
    <x v="1"/>
    <n v="8.99"/>
    <x v="1"/>
    <x v="0"/>
    <n v="1"/>
    <n v="0.48"/>
    <x v="5"/>
  </r>
  <r>
    <s v="794b6449-c942-4346-82b8-166667e62c6c"/>
    <n v="41"/>
    <x v="2"/>
    <x v="1"/>
    <x v="0"/>
    <n v="2.95"/>
    <n v="4"/>
    <x v="0"/>
    <x v="1"/>
    <n v="13.99"/>
    <x v="0"/>
    <x v="3"/>
    <n v="3"/>
    <n v="0.59"/>
    <x v="6"/>
  </r>
  <r>
    <s v="1cedb0ea-4404-4bd3-bd08-e1aa6ee85a12"/>
    <n v="38"/>
    <x v="2"/>
    <x v="0"/>
    <x v="0"/>
    <n v="12.85"/>
    <n v="23"/>
    <x v="2"/>
    <x v="0"/>
    <n v="13.99"/>
    <x v="0"/>
    <x v="4"/>
    <n v="5"/>
    <n v="0.54"/>
    <x v="3"/>
  </r>
  <r>
    <s v="8a558ce9-588b-4840-9e84-5a5d836d430f"/>
    <n v="41"/>
    <x v="2"/>
    <x v="0"/>
    <x v="0"/>
    <n v="53.7"/>
    <n v="15"/>
    <x v="4"/>
    <x v="3"/>
    <n v="13.99"/>
    <x v="0"/>
    <x v="3"/>
    <n v="5"/>
    <n v="3.36"/>
    <x v="6"/>
  </r>
  <r>
    <s v="5a65a314-97bb-4893-b479-fe03c3e20276"/>
    <n v="36"/>
    <x v="2"/>
    <x v="0"/>
    <x v="1"/>
    <n v="71.41"/>
    <n v="60"/>
    <x v="2"/>
    <x v="3"/>
    <n v="17.989999999999998"/>
    <x v="0"/>
    <x v="1"/>
    <n v="1"/>
    <n v="1.17"/>
    <x v="3"/>
  </r>
  <r>
    <s v="36fdcf0e-96a0-4a84-80e5-92931c07651c"/>
    <n v="38"/>
    <x v="2"/>
    <x v="1"/>
    <x v="0"/>
    <n v="1.24"/>
    <n v="55"/>
    <x v="1"/>
    <x v="0"/>
    <n v="13.99"/>
    <x v="1"/>
    <x v="2"/>
    <n v="5"/>
    <n v="0.02"/>
    <x v="2"/>
  </r>
  <r>
    <s v="d31f19b8-7add-4867-9aee-a9987c498e9d"/>
    <n v="38"/>
    <x v="2"/>
    <x v="2"/>
    <x v="0"/>
    <n v="10.71"/>
    <n v="20"/>
    <x v="0"/>
    <x v="2"/>
    <n v="13.99"/>
    <x v="0"/>
    <x v="1"/>
    <n v="3"/>
    <n v="0.51"/>
    <x v="5"/>
  </r>
  <r>
    <s v="ee80ddff-0534-48ba-a952-aa9e70933650"/>
    <n v="44"/>
    <x v="2"/>
    <x v="1"/>
    <x v="0"/>
    <n v="1.1200000000000001"/>
    <n v="24"/>
    <x v="1"/>
    <x v="0"/>
    <n v="13.99"/>
    <x v="1"/>
    <x v="4"/>
    <n v="2"/>
    <n v="0.04"/>
    <x v="5"/>
  </r>
  <r>
    <s v="a8a06958-f065-4125-ad8c-1d43312e8635"/>
    <n v="40"/>
    <x v="2"/>
    <x v="2"/>
    <x v="1"/>
    <n v="0.88"/>
    <n v="1"/>
    <x v="1"/>
    <x v="2"/>
    <n v="17.989999999999998"/>
    <x v="0"/>
    <x v="2"/>
    <n v="2"/>
    <n v="0.44"/>
    <x v="6"/>
  </r>
  <r>
    <s v="8766bf34-0235-4bad-b3d3-4d855393ec68"/>
    <n v="44"/>
    <x v="2"/>
    <x v="2"/>
    <x v="2"/>
    <n v="3.32"/>
    <n v="16"/>
    <x v="2"/>
    <x v="3"/>
    <n v="8.99"/>
    <x v="1"/>
    <x v="4"/>
    <n v="4"/>
    <n v="0.2"/>
    <x v="5"/>
  </r>
  <r>
    <s v="866d76de-f261-47fd-a76b-04d26f4354cd"/>
    <n v="44"/>
    <x v="2"/>
    <x v="2"/>
    <x v="0"/>
    <n v="29.87"/>
    <n v="6"/>
    <x v="3"/>
    <x v="2"/>
    <n v="13.99"/>
    <x v="0"/>
    <x v="4"/>
    <n v="3"/>
    <n v="4.2699999999999996"/>
    <x v="0"/>
  </r>
  <r>
    <s v="8a796eb5-411e-4659-8712-f55009816c45"/>
    <n v="35"/>
    <x v="2"/>
    <x v="2"/>
    <x v="0"/>
    <n v="3.65"/>
    <n v="42"/>
    <x v="4"/>
    <x v="4"/>
    <n v="13.99"/>
    <x v="1"/>
    <x v="1"/>
    <n v="1"/>
    <n v="0.08"/>
    <x v="0"/>
  </r>
  <r>
    <s v="d3a4252b-a64c-4b21-99c8-fa78272e30c8"/>
    <n v="40"/>
    <x v="2"/>
    <x v="2"/>
    <x v="0"/>
    <n v="4.09"/>
    <n v="37"/>
    <x v="4"/>
    <x v="2"/>
    <n v="13.99"/>
    <x v="1"/>
    <x v="4"/>
    <n v="2"/>
    <n v="0.11"/>
    <x v="6"/>
  </r>
  <r>
    <s v="08cc1c3f-bd03-470e-9ee5-f6206ef8f0ea"/>
    <n v="36"/>
    <x v="2"/>
    <x v="1"/>
    <x v="1"/>
    <n v="5.79"/>
    <n v="21"/>
    <x v="4"/>
    <x v="1"/>
    <n v="17.989999999999998"/>
    <x v="0"/>
    <x v="4"/>
    <n v="3"/>
    <n v="0.26"/>
    <x v="2"/>
  </r>
  <r>
    <s v="4875bcbf-cc55-419a-8d9d-cec963f0dc03"/>
    <n v="39"/>
    <x v="2"/>
    <x v="2"/>
    <x v="0"/>
    <n v="4.1900000000000004"/>
    <n v="47"/>
    <x v="1"/>
    <x v="1"/>
    <n v="13.99"/>
    <x v="1"/>
    <x v="0"/>
    <n v="2"/>
    <n v="0.09"/>
    <x v="2"/>
  </r>
  <r>
    <s v="815bed6b-02ad-465b-9f68-c07c508524ce"/>
    <n v="39"/>
    <x v="2"/>
    <x v="1"/>
    <x v="2"/>
    <n v="9.9600000000000009"/>
    <n v="22"/>
    <x v="2"/>
    <x v="4"/>
    <n v="8.99"/>
    <x v="0"/>
    <x v="4"/>
    <n v="5"/>
    <n v="0.43"/>
    <x v="0"/>
  </r>
  <r>
    <s v="6c7a0786-5bbd-45a6-bf15-a8ca2018cb9f"/>
    <n v="35"/>
    <x v="2"/>
    <x v="1"/>
    <x v="1"/>
    <n v="2.86"/>
    <n v="16"/>
    <x v="5"/>
    <x v="2"/>
    <n v="17.989999999999998"/>
    <x v="1"/>
    <x v="1"/>
    <n v="1"/>
    <n v="0.17"/>
    <x v="1"/>
  </r>
  <r>
    <s v="524d67c4-a4d6-46c4-853a-a934c0ccfeea"/>
    <n v="35"/>
    <x v="2"/>
    <x v="2"/>
    <x v="0"/>
    <n v="3.52"/>
    <n v="24"/>
    <x v="2"/>
    <x v="2"/>
    <n v="13.99"/>
    <x v="1"/>
    <x v="0"/>
    <n v="5"/>
    <n v="0.14000000000000001"/>
    <x v="3"/>
  </r>
  <r>
    <s v="a20d885b-6335-48e3-bdd1-e4f60ebe2b61"/>
    <n v="36"/>
    <x v="2"/>
    <x v="1"/>
    <x v="1"/>
    <n v="12.74"/>
    <n v="58"/>
    <x v="0"/>
    <x v="3"/>
    <n v="17.989999999999998"/>
    <x v="1"/>
    <x v="0"/>
    <n v="2"/>
    <n v="0.22"/>
    <x v="0"/>
  </r>
  <r>
    <s v="992f57db-5fda-457c-84f3-deb78b71d38d"/>
    <n v="35"/>
    <x v="2"/>
    <x v="1"/>
    <x v="1"/>
    <n v="14.56"/>
    <n v="45"/>
    <x v="5"/>
    <x v="0"/>
    <n v="17.989999999999998"/>
    <x v="1"/>
    <x v="0"/>
    <n v="3"/>
    <n v="0.32"/>
    <x v="4"/>
  </r>
  <r>
    <s v="a2f7e258-4c9b-423f-b78f-23c8f482ef7e"/>
    <n v="36"/>
    <x v="2"/>
    <x v="2"/>
    <x v="2"/>
    <n v="0.19"/>
    <n v="5"/>
    <x v="5"/>
    <x v="2"/>
    <n v="8.99"/>
    <x v="1"/>
    <x v="1"/>
    <n v="2"/>
    <n v="0.03"/>
    <x v="6"/>
  </r>
  <r>
    <s v="f40f674e-adfa-4d99-bff1-f4742c94a88f"/>
    <n v="37"/>
    <x v="2"/>
    <x v="2"/>
    <x v="0"/>
    <n v="20.47"/>
    <n v="41"/>
    <x v="2"/>
    <x v="1"/>
    <n v="13.99"/>
    <x v="0"/>
    <x v="3"/>
    <n v="3"/>
    <n v="0.49"/>
    <x v="5"/>
  </r>
  <r>
    <s v="29152433-d03d-4d65-bc6a-a13f5319a1d4"/>
    <n v="44"/>
    <x v="2"/>
    <x v="2"/>
    <x v="2"/>
    <n v="1.45"/>
    <n v="18"/>
    <x v="2"/>
    <x v="0"/>
    <n v="8.99"/>
    <x v="1"/>
    <x v="2"/>
    <n v="4"/>
    <n v="0.08"/>
    <x v="2"/>
  </r>
  <r>
    <s v="d292c5c2-afaa-4fa5-b935-feb18b9e3b50"/>
    <n v="40"/>
    <x v="2"/>
    <x v="1"/>
    <x v="2"/>
    <n v="14.88"/>
    <n v="12"/>
    <x v="5"/>
    <x v="4"/>
    <n v="8.99"/>
    <x v="0"/>
    <x v="1"/>
    <n v="3"/>
    <n v="1.1399999999999999"/>
    <x v="6"/>
  </r>
  <r>
    <s v="268f87dd-8e50-4924-80b5-50821c1a67ed"/>
    <n v="35"/>
    <x v="2"/>
    <x v="1"/>
    <x v="0"/>
    <n v="11.54"/>
    <n v="41"/>
    <x v="1"/>
    <x v="0"/>
    <n v="13.99"/>
    <x v="0"/>
    <x v="3"/>
    <n v="4"/>
    <n v="0.27"/>
    <x v="1"/>
  </r>
  <r>
    <s v="54f5cc09-4077-40dc-a4d7-f6fb71e80f17"/>
    <n v="36"/>
    <x v="2"/>
    <x v="0"/>
    <x v="1"/>
    <n v="3.85"/>
    <n v="46"/>
    <x v="4"/>
    <x v="4"/>
    <n v="17.989999999999998"/>
    <x v="1"/>
    <x v="3"/>
    <n v="2"/>
    <n v="0.08"/>
    <x v="2"/>
  </r>
  <r>
    <s v="5440ff01-6874-4316-a8de-332c14096e93"/>
    <n v="35"/>
    <x v="2"/>
    <x v="0"/>
    <x v="1"/>
    <n v="22.18"/>
    <n v="18"/>
    <x v="3"/>
    <x v="2"/>
    <n v="17.989999999999998"/>
    <x v="0"/>
    <x v="1"/>
    <n v="1"/>
    <n v="1.17"/>
    <x v="1"/>
  </r>
  <r>
    <s v="d4c626a2-6b6f-412f-b35f-453cc57a08b7"/>
    <n v="44"/>
    <x v="2"/>
    <x v="1"/>
    <x v="0"/>
    <n v="14.26"/>
    <n v="20"/>
    <x v="4"/>
    <x v="1"/>
    <n v="13.99"/>
    <x v="0"/>
    <x v="3"/>
    <n v="1"/>
    <n v="0.68"/>
    <x v="6"/>
  </r>
  <r>
    <s v="8100db00-7b75-4069-93f5-cf74502a98c4"/>
    <n v="36"/>
    <x v="2"/>
    <x v="1"/>
    <x v="0"/>
    <n v="15.58"/>
    <n v="43"/>
    <x v="4"/>
    <x v="2"/>
    <n v="13.99"/>
    <x v="0"/>
    <x v="2"/>
    <n v="4"/>
    <n v="0.35"/>
    <x v="1"/>
  </r>
  <r>
    <s v="450b6e68-026e-4d1b-b9bb-597f2a9b1bdc"/>
    <n v="35"/>
    <x v="2"/>
    <x v="1"/>
    <x v="1"/>
    <n v="14.46"/>
    <n v="44"/>
    <x v="4"/>
    <x v="4"/>
    <n v="17.989999999999998"/>
    <x v="1"/>
    <x v="1"/>
    <n v="1"/>
    <n v="0.32"/>
    <x v="3"/>
  </r>
  <r>
    <s v="b76c94bc-af32-4a71-ae69-9a2c713cb696"/>
    <n v="40"/>
    <x v="2"/>
    <x v="0"/>
    <x v="0"/>
    <n v="4.26"/>
    <n v="49"/>
    <x v="1"/>
    <x v="0"/>
    <n v="13.99"/>
    <x v="1"/>
    <x v="1"/>
    <n v="4"/>
    <n v="0.09"/>
    <x v="5"/>
  </r>
  <r>
    <s v="930be712-ec74-4260-8c2c-c52f7f2327b7"/>
    <n v="36"/>
    <x v="2"/>
    <x v="1"/>
    <x v="2"/>
    <n v="22.43"/>
    <n v="2"/>
    <x v="2"/>
    <x v="4"/>
    <n v="8.99"/>
    <x v="0"/>
    <x v="0"/>
    <n v="4"/>
    <n v="7.48"/>
    <x v="4"/>
  </r>
  <r>
    <s v="b2b8ae31-eb8a-40a3-a5d9-b131324d826b"/>
    <n v="37"/>
    <x v="2"/>
    <x v="2"/>
    <x v="0"/>
    <n v="0.02"/>
    <n v="10"/>
    <x v="1"/>
    <x v="0"/>
    <n v="13.99"/>
    <x v="0"/>
    <x v="3"/>
    <n v="5"/>
    <n v="0"/>
    <x v="6"/>
  </r>
  <r>
    <s v="2f5798a1-fb24-4efb-932c-6b0a926a6290"/>
    <n v="36"/>
    <x v="2"/>
    <x v="2"/>
    <x v="1"/>
    <n v="3.24"/>
    <n v="53"/>
    <x v="2"/>
    <x v="3"/>
    <n v="17.989999999999998"/>
    <x v="1"/>
    <x v="3"/>
    <n v="1"/>
    <n v="0.06"/>
    <x v="0"/>
  </r>
  <r>
    <s v="0f08014b-da6e-4b79-8171-2c51bdce39a2"/>
    <n v="43"/>
    <x v="2"/>
    <x v="2"/>
    <x v="1"/>
    <n v="11.97"/>
    <n v="57"/>
    <x v="0"/>
    <x v="4"/>
    <n v="17.989999999999998"/>
    <x v="1"/>
    <x v="1"/>
    <n v="2"/>
    <n v="0.21"/>
    <x v="0"/>
  </r>
  <r>
    <s v="ed0f871a-c1bc-4b93-9f5d-e2d90206146b"/>
    <n v="42"/>
    <x v="2"/>
    <x v="0"/>
    <x v="2"/>
    <n v="1.52"/>
    <n v="48"/>
    <x v="3"/>
    <x v="4"/>
    <n v="8.99"/>
    <x v="1"/>
    <x v="1"/>
    <n v="5"/>
    <n v="0.03"/>
    <x v="4"/>
  </r>
  <r>
    <s v="f6bb630e-6a2d-42e4-9371-a598462b1515"/>
    <n v="40"/>
    <x v="2"/>
    <x v="2"/>
    <x v="1"/>
    <n v="4.68"/>
    <n v="5"/>
    <x v="1"/>
    <x v="4"/>
    <n v="17.989999999999998"/>
    <x v="0"/>
    <x v="1"/>
    <n v="4"/>
    <n v="0.78"/>
    <x v="2"/>
  </r>
  <r>
    <s v="a7bcd2d8-77b6-48b7-ba44-4a1939df29fb"/>
    <n v="36"/>
    <x v="2"/>
    <x v="2"/>
    <x v="0"/>
    <n v="15.05"/>
    <n v="37"/>
    <x v="3"/>
    <x v="3"/>
    <n v="13.99"/>
    <x v="1"/>
    <x v="0"/>
    <n v="2"/>
    <n v="0.4"/>
    <x v="4"/>
  </r>
  <r>
    <s v="a7f9da07-1c52-4dc2-9ba9-9f3f2b901acd"/>
    <n v="35"/>
    <x v="2"/>
    <x v="2"/>
    <x v="1"/>
    <n v="16.78"/>
    <n v="15"/>
    <x v="5"/>
    <x v="1"/>
    <n v="17.989999999999998"/>
    <x v="0"/>
    <x v="3"/>
    <n v="2"/>
    <n v="1.05"/>
    <x v="5"/>
  </r>
  <r>
    <s v="483d0f42-e4be-4801-acaa-ece87555fe7e"/>
    <n v="37"/>
    <x v="2"/>
    <x v="1"/>
    <x v="2"/>
    <n v="24.82"/>
    <n v="46"/>
    <x v="4"/>
    <x v="0"/>
    <n v="8.99"/>
    <x v="0"/>
    <x v="0"/>
    <n v="2"/>
    <n v="0.53"/>
    <x v="4"/>
  </r>
  <r>
    <s v="e2c388e8-73e3-43f6-930b-1787b2345d9d"/>
    <n v="37"/>
    <x v="2"/>
    <x v="0"/>
    <x v="1"/>
    <n v="0.83"/>
    <n v="45"/>
    <x v="1"/>
    <x v="0"/>
    <n v="17.989999999999998"/>
    <x v="1"/>
    <x v="1"/>
    <n v="4"/>
    <n v="0.02"/>
    <x v="5"/>
  </r>
  <r>
    <s v="84505d11-f057-48b5-a9ff-b18e99e81dcc"/>
    <n v="38"/>
    <x v="2"/>
    <x v="1"/>
    <x v="2"/>
    <n v="8.81"/>
    <n v="17"/>
    <x v="3"/>
    <x v="2"/>
    <n v="8.99"/>
    <x v="0"/>
    <x v="1"/>
    <n v="4"/>
    <n v="0.49"/>
    <x v="4"/>
  </r>
  <r>
    <s v="532673fd-e1a4-45bd-8652-63aaba3617a6"/>
    <n v="38"/>
    <x v="2"/>
    <x v="0"/>
    <x v="0"/>
    <n v="4.0599999999999996"/>
    <n v="26"/>
    <x v="2"/>
    <x v="3"/>
    <n v="13.99"/>
    <x v="1"/>
    <x v="0"/>
    <n v="5"/>
    <n v="0.15"/>
    <x v="1"/>
  </r>
  <r>
    <s v="24586107-5506-4471-a0fe-c2f6bdbe3a78"/>
    <n v="37"/>
    <x v="2"/>
    <x v="2"/>
    <x v="1"/>
    <n v="8.02"/>
    <n v="53"/>
    <x v="4"/>
    <x v="4"/>
    <n v="17.989999999999998"/>
    <x v="1"/>
    <x v="4"/>
    <n v="4"/>
    <n v="0.15"/>
    <x v="1"/>
  </r>
  <r>
    <s v="cdf8f775-0d9f-4cbf-ba73-91ed31fbcf5b"/>
    <n v="44"/>
    <x v="2"/>
    <x v="2"/>
    <x v="1"/>
    <n v="13.56"/>
    <n v="14"/>
    <x v="0"/>
    <x v="3"/>
    <n v="17.989999999999998"/>
    <x v="0"/>
    <x v="1"/>
    <n v="1"/>
    <n v="0.9"/>
    <x v="5"/>
  </r>
  <r>
    <s v="e686a25c-0048-4481-b94e-b2668948bd5a"/>
    <n v="40"/>
    <x v="2"/>
    <x v="1"/>
    <x v="2"/>
    <n v="24.02"/>
    <n v="23"/>
    <x v="0"/>
    <x v="1"/>
    <n v="8.99"/>
    <x v="0"/>
    <x v="3"/>
    <n v="5"/>
    <n v="1"/>
    <x v="5"/>
  </r>
  <r>
    <s v="1b0a8496-8374-45f8-9d5c-41c5f0749ccf"/>
    <n v="36"/>
    <x v="2"/>
    <x v="2"/>
    <x v="2"/>
    <n v="6.54"/>
    <n v="28"/>
    <x v="5"/>
    <x v="1"/>
    <n v="8.99"/>
    <x v="0"/>
    <x v="1"/>
    <n v="5"/>
    <n v="0.23"/>
    <x v="3"/>
  </r>
  <r>
    <s v="029a667b-d5e3-4e33-8804-ae8ad6593a7d"/>
    <n v="38"/>
    <x v="2"/>
    <x v="0"/>
    <x v="2"/>
    <n v="7.92"/>
    <n v="18"/>
    <x v="2"/>
    <x v="0"/>
    <n v="8.99"/>
    <x v="1"/>
    <x v="0"/>
    <n v="1"/>
    <n v="0.42"/>
    <x v="6"/>
  </r>
  <r>
    <s v="d65621ad-d7c8-43cb-b2d5-338df3a9e044"/>
    <n v="35"/>
    <x v="2"/>
    <x v="1"/>
    <x v="2"/>
    <n v="8.8699999999999992"/>
    <n v="10"/>
    <x v="5"/>
    <x v="1"/>
    <n v="8.99"/>
    <x v="0"/>
    <x v="2"/>
    <n v="2"/>
    <n v="0.81"/>
    <x v="0"/>
  </r>
  <r>
    <s v="b25014f9-a877-4644-8ca2-3ecc383aede2"/>
    <n v="37"/>
    <x v="2"/>
    <x v="1"/>
    <x v="1"/>
    <n v="58.79"/>
    <n v="27"/>
    <x v="4"/>
    <x v="2"/>
    <n v="17.989999999999998"/>
    <x v="0"/>
    <x v="0"/>
    <n v="3"/>
    <n v="2.1"/>
    <x v="0"/>
  </r>
  <r>
    <s v="924f48da-83dd-4188-81e0-30d3d4b7753a"/>
    <n v="35"/>
    <x v="2"/>
    <x v="1"/>
    <x v="0"/>
    <n v="5.16"/>
    <n v="17"/>
    <x v="5"/>
    <x v="2"/>
    <n v="13.99"/>
    <x v="0"/>
    <x v="2"/>
    <n v="4"/>
    <n v="0.28999999999999998"/>
    <x v="1"/>
  </r>
  <r>
    <s v="a819f681-825a-48b6-9554-03c6ca09838b"/>
    <n v="39"/>
    <x v="2"/>
    <x v="1"/>
    <x v="0"/>
    <n v="8.6"/>
    <n v="37"/>
    <x v="1"/>
    <x v="2"/>
    <n v="13.99"/>
    <x v="0"/>
    <x v="2"/>
    <n v="4"/>
    <n v="0.23"/>
    <x v="3"/>
  </r>
  <r>
    <s v="8ef7eacb-b757-4433-8663-81f540a1f53f"/>
    <n v="44"/>
    <x v="2"/>
    <x v="2"/>
    <x v="1"/>
    <n v="0.62"/>
    <n v="22"/>
    <x v="3"/>
    <x v="4"/>
    <n v="17.989999999999998"/>
    <x v="1"/>
    <x v="3"/>
    <n v="2"/>
    <n v="0.03"/>
    <x v="5"/>
  </r>
  <r>
    <s v="5377482b-2831-42cb-a580-2c8bc3613adc"/>
    <n v="41"/>
    <x v="2"/>
    <x v="1"/>
    <x v="2"/>
    <n v="5.65"/>
    <n v="57"/>
    <x v="3"/>
    <x v="4"/>
    <n v="8.99"/>
    <x v="1"/>
    <x v="1"/>
    <n v="5"/>
    <n v="0.1"/>
    <x v="1"/>
  </r>
  <r>
    <s v="aa5d28fd-4c26-4f47-8fca-552f071cc0b4"/>
    <n v="39"/>
    <x v="2"/>
    <x v="0"/>
    <x v="0"/>
    <n v="17.670000000000002"/>
    <n v="13"/>
    <x v="1"/>
    <x v="4"/>
    <n v="13.99"/>
    <x v="0"/>
    <x v="1"/>
    <n v="3"/>
    <n v="1.26"/>
    <x v="4"/>
  </r>
  <r>
    <s v="e14b47da-804c-4813-9b11-42c5bf7a7966"/>
    <n v="44"/>
    <x v="2"/>
    <x v="2"/>
    <x v="2"/>
    <n v="24.96"/>
    <n v="35"/>
    <x v="1"/>
    <x v="0"/>
    <n v="8.99"/>
    <x v="0"/>
    <x v="0"/>
    <n v="2"/>
    <n v="0.69"/>
    <x v="5"/>
  </r>
  <r>
    <s v="2b91949d-dcf1-41ea-a2d7-4c9314f5279d"/>
    <n v="37"/>
    <x v="2"/>
    <x v="2"/>
    <x v="0"/>
    <n v="5.08"/>
    <n v="40"/>
    <x v="3"/>
    <x v="1"/>
    <n v="13.99"/>
    <x v="0"/>
    <x v="3"/>
    <n v="4"/>
    <n v="0.12"/>
    <x v="5"/>
  </r>
  <r>
    <s v="36c1e728-81e6-4d66-99a2-cc8773d2db30"/>
    <n v="42"/>
    <x v="2"/>
    <x v="1"/>
    <x v="0"/>
    <n v="0.02"/>
    <n v="38"/>
    <x v="1"/>
    <x v="3"/>
    <n v="13.99"/>
    <x v="1"/>
    <x v="0"/>
    <n v="3"/>
    <n v="0"/>
    <x v="4"/>
  </r>
  <r>
    <s v="d1a393f0-9e4c-481a-a923-37ac3b34df3e"/>
    <n v="39"/>
    <x v="2"/>
    <x v="2"/>
    <x v="1"/>
    <n v="16.03"/>
    <n v="13"/>
    <x v="0"/>
    <x v="0"/>
    <n v="17.989999999999998"/>
    <x v="0"/>
    <x v="2"/>
    <n v="1"/>
    <n v="1.1499999999999999"/>
    <x v="5"/>
  </r>
  <r>
    <s v="f44bb6f9-a8d9-4bac-95fc-6fd46ca8c65c"/>
    <n v="35"/>
    <x v="2"/>
    <x v="2"/>
    <x v="1"/>
    <n v="11.07"/>
    <n v="12"/>
    <x v="1"/>
    <x v="4"/>
    <n v="17.989999999999998"/>
    <x v="0"/>
    <x v="3"/>
    <n v="3"/>
    <n v="0.85"/>
    <x v="2"/>
  </r>
  <r>
    <s v="6308bb89-2d05-4eb5-b8b6-1a29eaa86f65"/>
    <n v="40"/>
    <x v="2"/>
    <x v="1"/>
    <x v="2"/>
    <n v="8.15"/>
    <n v="24"/>
    <x v="3"/>
    <x v="1"/>
    <n v="8.99"/>
    <x v="0"/>
    <x v="3"/>
    <n v="4"/>
    <n v="0.33"/>
    <x v="2"/>
  </r>
  <r>
    <s v="17eb2d4c-2069-4247-9ced-33e6af1ccd4f"/>
    <n v="41"/>
    <x v="2"/>
    <x v="0"/>
    <x v="1"/>
    <n v="1.35"/>
    <n v="59"/>
    <x v="0"/>
    <x v="1"/>
    <n v="17.989999999999998"/>
    <x v="1"/>
    <x v="3"/>
    <n v="1"/>
    <n v="0.02"/>
    <x v="2"/>
  </r>
  <r>
    <s v="a7a5f733-c699-45ee-8aa3-22d484d8dfba"/>
    <n v="43"/>
    <x v="2"/>
    <x v="2"/>
    <x v="1"/>
    <n v="2.23"/>
    <n v="29"/>
    <x v="5"/>
    <x v="1"/>
    <n v="17.989999999999998"/>
    <x v="1"/>
    <x v="4"/>
    <n v="1"/>
    <n v="7.0000000000000007E-2"/>
    <x v="5"/>
  </r>
  <r>
    <s v="9a94d32f-e929-4b83-8cb1-b58b14e15500"/>
    <n v="41"/>
    <x v="2"/>
    <x v="2"/>
    <x v="0"/>
    <n v="9.19"/>
    <n v="45"/>
    <x v="4"/>
    <x v="1"/>
    <n v="13.99"/>
    <x v="1"/>
    <x v="3"/>
    <n v="2"/>
    <n v="0.2"/>
    <x v="0"/>
  </r>
  <r>
    <s v="c7e04e58-fe88-45e8-9b70-e8325d3c0d77"/>
    <n v="36"/>
    <x v="2"/>
    <x v="1"/>
    <x v="1"/>
    <n v="25.4"/>
    <n v="46"/>
    <x v="5"/>
    <x v="1"/>
    <n v="17.989999999999998"/>
    <x v="0"/>
    <x v="1"/>
    <n v="5"/>
    <n v="0.54"/>
    <x v="5"/>
  </r>
  <r>
    <s v="7ae75372-d52c-4b9f-81db-187b5df11b8f"/>
    <n v="37"/>
    <x v="2"/>
    <x v="0"/>
    <x v="1"/>
    <n v="7.79"/>
    <n v="55"/>
    <x v="0"/>
    <x v="3"/>
    <n v="17.989999999999998"/>
    <x v="1"/>
    <x v="1"/>
    <n v="2"/>
    <n v="0.14000000000000001"/>
    <x v="5"/>
  </r>
  <r>
    <s v="cae083ba-161c-4411-a397-aa999397571f"/>
    <n v="42"/>
    <x v="2"/>
    <x v="1"/>
    <x v="2"/>
    <n v="28.96"/>
    <n v="22"/>
    <x v="1"/>
    <x v="1"/>
    <n v="8.99"/>
    <x v="0"/>
    <x v="3"/>
    <n v="5"/>
    <n v="1.26"/>
    <x v="6"/>
  </r>
  <r>
    <s v="d294b97f-cf2d-4d94-a8ae-75b4fbb91cf6"/>
    <n v="39"/>
    <x v="2"/>
    <x v="1"/>
    <x v="1"/>
    <n v="3.87"/>
    <n v="23"/>
    <x v="4"/>
    <x v="1"/>
    <n v="17.989999999999998"/>
    <x v="0"/>
    <x v="1"/>
    <n v="5"/>
    <n v="0.16"/>
    <x v="0"/>
  </r>
  <r>
    <s v="da72bd4b-af88-4044-9054-b1256e865aa1"/>
    <n v="37"/>
    <x v="2"/>
    <x v="0"/>
    <x v="1"/>
    <n v="0.56000000000000005"/>
    <n v="50"/>
    <x v="1"/>
    <x v="0"/>
    <n v="17.989999999999998"/>
    <x v="1"/>
    <x v="1"/>
    <n v="3"/>
    <n v="0.01"/>
    <x v="5"/>
  </r>
  <r>
    <s v="34a2c2e6-d37c-441d-a3fa-8e2683608dc9"/>
    <n v="36"/>
    <x v="2"/>
    <x v="2"/>
    <x v="0"/>
    <n v="10.58"/>
    <n v="0"/>
    <x v="1"/>
    <x v="4"/>
    <n v="13.99"/>
    <x v="0"/>
    <x v="2"/>
    <n v="1"/>
    <n v="10.58"/>
    <x v="4"/>
  </r>
  <r>
    <s v="459f77f9-49ea-4a47-8ef9-eccbcd48f711"/>
    <n v="38"/>
    <x v="2"/>
    <x v="2"/>
    <x v="2"/>
    <n v="23.85"/>
    <n v="37"/>
    <x v="2"/>
    <x v="4"/>
    <n v="8.99"/>
    <x v="0"/>
    <x v="2"/>
    <n v="1"/>
    <n v="0.63"/>
    <x v="0"/>
  </r>
  <r>
    <s v="9cf92281-2835-407d-8baf-930f65d4a895"/>
    <n v="40"/>
    <x v="2"/>
    <x v="1"/>
    <x v="1"/>
    <n v="2.14"/>
    <n v="12"/>
    <x v="2"/>
    <x v="0"/>
    <n v="17.989999999999998"/>
    <x v="1"/>
    <x v="0"/>
    <n v="1"/>
    <n v="0.16"/>
    <x v="3"/>
  </r>
  <r>
    <s v="ac249a0b-f687-44e4-8b45-c7e3ca5b62af"/>
    <n v="37"/>
    <x v="2"/>
    <x v="1"/>
    <x v="2"/>
    <n v="13.86"/>
    <n v="55"/>
    <x v="5"/>
    <x v="2"/>
    <n v="8.99"/>
    <x v="1"/>
    <x v="3"/>
    <n v="2"/>
    <n v="0.25"/>
    <x v="4"/>
  </r>
  <r>
    <s v="a369fdd9-f4e2-4ce1-88b5-8e63a29d3048"/>
    <n v="35"/>
    <x v="2"/>
    <x v="2"/>
    <x v="2"/>
    <n v="32.1"/>
    <n v="58"/>
    <x v="1"/>
    <x v="2"/>
    <n v="8.99"/>
    <x v="0"/>
    <x v="4"/>
    <n v="4"/>
    <n v="0.54"/>
    <x v="1"/>
  </r>
  <r>
    <s v="ac571168-447d-4a33-9a0e-9ecf66da13a2"/>
    <n v="41"/>
    <x v="2"/>
    <x v="2"/>
    <x v="0"/>
    <n v="1.87"/>
    <n v="37"/>
    <x v="1"/>
    <x v="3"/>
    <n v="13.99"/>
    <x v="1"/>
    <x v="0"/>
    <n v="2"/>
    <n v="0.05"/>
    <x v="6"/>
  </r>
  <r>
    <s v="f28ba34a-da01-4b10-a6e5-f19be9ec4993"/>
    <n v="43"/>
    <x v="2"/>
    <x v="0"/>
    <x v="1"/>
    <n v="12.18"/>
    <n v="50"/>
    <x v="1"/>
    <x v="1"/>
    <n v="17.989999999999998"/>
    <x v="1"/>
    <x v="4"/>
    <n v="3"/>
    <n v="0.24"/>
    <x v="4"/>
  </r>
  <r>
    <s v="13892f24-0399-43e4-81ad-b2683a5937f3"/>
    <n v="44"/>
    <x v="2"/>
    <x v="2"/>
    <x v="1"/>
    <n v="2.11"/>
    <n v="25"/>
    <x v="1"/>
    <x v="0"/>
    <n v="17.989999999999998"/>
    <x v="0"/>
    <x v="3"/>
    <n v="4"/>
    <n v="0.08"/>
    <x v="0"/>
  </r>
  <r>
    <s v="85745954-f001-4b50-a3a8-89081a78fdb3"/>
    <n v="43"/>
    <x v="2"/>
    <x v="0"/>
    <x v="0"/>
    <n v="3.24"/>
    <n v="23"/>
    <x v="2"/>
    <x v="1"/>
    <n v="13.99"/>
    <x v="1"/>
    <x v="4"/>
    <n v="5"/>
    <n v="0.14000000000000001"/>
    <x v="0"/>
  </r>
  <r>
    <s v="d2d40ebb-b8b3-4ad9-ace3-096edd180329"/>
    <n v="37"/>
    <x v="2"/>
    <x v="1"/>
    <x v="0"/>
    <n v="1.56"/>
    <n v="21"/>
    <x v="2"/>
    <x v="3"/>
    <n v="13.99"/>
    <x v="0"/>
    <x v="2"/>
    <n v="5"/>
    <n v="7.0000000000000007E-2"/>
    <x v="1"/>
  </r>
  <r>
    <s v="66dec43e-1ffc-4923-9e95-3d865f5b8ef2"/>
    <n v="35"/>
    <x v="2"/>
    <x v="0"/>
    <x v="0"/>
    <n v="20.45"/>
    <n v="10"/>
    <x v="1"/>
    <x v="4"/>
    <n v="13.99"/>
    <x v="0"/>
    <x v="2"/>
    <n v="2"/>
    <n v="1.86"/>
    <x v="6"/>
  </r>
  <r>
    <s v="1f93face-05de-4411-bebd-d5f0d5ca63cd"/>
    <n v="38"/>
    <x v="2"/>
    <x v="2"/>
    <x v="1"/>
    <n v="11.96"/>
    <n v="22"/>
    <x v="4"/>
    <x v="0"/>
    <n v="17.989999999999998"/>
    <x v="0"/>
    <x v="1"/>
    <n v="4"/>
    <n v="0.52"/>
    <x v="0"/>
  </r>
  <r>
    <s v="842e532f-eafa-43c3-91e1-043216a3a1b9"/>
    <n v="35"/>
    <x v="2"/>
    <x v="0"/>
    <x v="2"/>
    <n v="20.74"/>
    <n v="51"/>
    <x v="5"/>
    <x v="2"/>
    <n v="8.99"/>
    <x v="0"/>
    <x v="1"/>
    <n v="5"/>
    <n v="0.4"/>
    <x v="2"/>
  </r>
  <r>
    <s v="56fc1cd3-f46c-45b1-86c8-a8d814b4b01f"/>
    <n v="37"/>
    <x v="2"/>
    <x v="0"/>
    <x v="2"/>
    <n v="12.73"/>
    <n v="49"/>
    <x v="3"/>
    <x v="2"/>
    <n v="8.99"/>
    <x v="1"/>
    <x v="2"/>
    <n v="3"/>
    <n v="0.25"/>
    <x v="3"/>
  </r>
  <r>
    <s v="ad4116a1-d841-48bb-b96d-4474cbf84c68"/>
    <n v="44"/>
    <x v="2"/>
    <x v="0"/>
    <x v="1"/>
    <n v="7.59"/>
    <n v="46"/>
    <x v="0"/>
    <x v="0"/>
    <n v="17.989999999999998"/>
    <x v="1"/>
    <x v="3"/>
    <n v="2"/>
    <n v="0.16"/>
    <x v="4"/>
  </r>
  <r>
    <s v="1ee48ca0-f336-47e8-bc94-950b8fb7b8e4"/>
    <n v="39"/>
    <x v="2"/>
    <x v="2"/>
    <x v="0"/>
    <n v="6.8"/>
    <n v="44"/>
    <x v="3"/>
    <x v="3"/>
    <n v="13.99"/>
    <x v="1"/>
    <x v="0"/>
    <n v="3"/>
    <n v="0.15"/>
    <x v="4"/>
  </r>
  <r>
    <s v="01b9a552-c129-4000-a259-2125118a2d05"/>
    <n v="44"/>
    <x v="2"/>
    <x v="0"/>
    <x v="2"/>
    <n v="1.69"/>
    <n v="7"/>
    <x v="4"/>
    <x v="2"/>
    <n v="8.99"/>
    <x v="1"/>
    <x v="0"/>
    <n v="5"/>
    <n v="0.21"/>
    <x v="4"/>
  </r>
  <r>
    <s v="14ce19c7-ffce-41b5-b4a1-67314cd5974a"/>
    <n v="35"/>
    <x v="2"/>
    <x v="0"/>
    <x v="2"/>
    <n v="8.85"/>
    <n v="48"/>
    <x v="5"/>
    <x v="2"/>
    <n v="8.99"/>
    <x v="1"/>
    <x v="0"/>
    <n v="5"/>
    <n v="0.18"/>
    <x v="4"/>
  </r>
  <r>
    <s v="af3333ad-218a-4c59-a505-0bdc6c3a8ff9"/>
    <n v="43"/>
    <x v="2"/>
    <x v="2"/>
    <x v="0"/>
    <n v="9.1300000000000008"/>
    <n v="12"/>
    <x v="3"/>
    <x v="2"/>
    <n v="13.99"/>
    <x v="0"/>
    <x v="1"/>
    <n v="3"/>
    <n v="0.7"/>
    <x v="5"/>
  </r>
  <r>
    <s v="5709d5c3-d7e3-44cb-a414-0401be7a414d"/>
    <n v="43"/>
    <x v="2"/>
    <x v="0"/>
    <x v="2"/>
    <n v="1.51"/>
    <n v="29"/>
    <x v="4"/>
    <x v="3"/>
    <n v="8.99"/>
    <x v="1"/>
    <x v="2"/>
    <n v="2"/>
    <n v="0.05"/>
    <x v="5"/>
  </r>
  <r>
    <s v="f0d90afa-ac9b-4248-9f1f-d262d266696b"/>
    <n v="44"/>
    <x v="2"/>
    <x v="0"/>
    <x v="0"/>
    <n v="0.55000000000000004"/>
    <n v="51"/>
    <x v="0"/>
    <x v="4"/>
    <n v="13.99"/>
    <x v="1"/>
    <x v="0"/>
    <n v="2"/>
    <n v="0.01"/>
    <x v="5"/>
  </r>
  <r>
    <s v="3a9ecfb2-33d3-4bee-a44a-630de00fbd01"/>
    <n v="37"/>
    <x v="2"/>
    <x v="1"/>
    <x v="0"/>
    <n v="18.23"/>
    <n v="36"/>
    <x v="5"/>
    <x v="3"/>
    <n v="13.99"/>
    <x v="1"/>
    <x v="4"/>
    <n v="5"/>
    <n v="0.49"/>
    <x v="3"/>
  </r>
  <r>
    <s v="e674aba0-35ab-4d84-9283-901a58d5ece9"/>
    <n v="36"/>
    <x v="2"/>
    <x v="2"/>
    <x v="2"/>
    <n v="34.97"/>
    <n v="16"/>
    <x v="1"/>
    <x v="0"/>
    <n v="8.99"/>
    <x v="0"/>
    <x v="3"/>
    <n v="2"/>
    <n v="2.06"/>
    <x v="3"/>
  </r>
  <r>
    <s v="422bf1a4-f0ed-4bab-a1ff-8269c1c70ecc"/>
    <n v="37"/>
    <x v="2"/>
    <x v="0"/>
    <x v="2"/>
    <n v="5.62"/>
    <n v="19"/>
    <x v="0"/>
    <x v="1"/>
    <n v="8.99"/>
    <x v="1"/>
    <x v="0"/>
    <n v="3"/>
    <n v="0.28000000000000003"/>
    <x v="4"/>
  </r>
  <r>
    <s v="32c89f45-a6e5-450a-991b-ca55e7d3bc65"/>
    <n v="37"/>
    <x v="2"/>
    <x v="1"/>
    <x v="2"/>
    <n v="10.37"/>
    <n v="58"/>
    <x v="2"/>
    <x v="4"/>
    <n v="8.99"/>
    <x v="1"/>
    <x v="2"/>
    <n v="1"/>
    <n v="0.18"/>
    <x v="2"/>
  </r>
  <r>
    <s v="f80d6eaf-dae4-43ce-8c83-bd1c6ae38c81"/>
    <n v="39"/>
    <x v="2"/>
    <x v="1"/>
    <x v="1"/>
    <n v="22.35"/>
    <n v="36"/>
    <x v="0"/>
    <x v="0"/>
    <n v="17.989999999999998"/>
    <x v="0"/>
    <x v="4"/>
    <n v="5"/>
    <n v="0.6"/>
    <x v="4"/>
  </r>
  <r>
    <s v="3cb33869-2004-4ce2-8d6d-bcfe4432e0cf"/>
    <n v="40"/>
    <x v="2"/>
    <x v="2"/>
    <x v="2"/>
    <n v="14.79"/>
    <n v="4"/>
    <x v="4"/>
    <x v="0"/>
    <n v="8.99"/>
    <x v="0"/>
    <x v="3"/>
    <n v="3"/>
    <n v="2.96"/>
    <x v="6"/>
  </r>
  <r>
    <s v="07c019ac-78fd-4f04-99b3-ed1efce17ed2"/>
    <n v="37"/>
    <x v="2"/>
    <x v="2"/>
    <x v="0"/>
    <n v="4.6500000000000004"/>
    <n v="15"/>
    <x v="3"/>
    <x v="1"/>
    <n v="13.99"/>
    <x v="1"/>
    <x v="2"/>
    <n v="3"/>
    <n v="0.28999999999999998"/>
    <x v="2"/>
  </r>
  <r>
    <s v="a6af82cf-a6a1-4305-a839-e70b51783c32"/>
    <n v="36"/>
    <x v="2"/>
    <x v="1"/>
    <x v="2"/>
    <n v="13.88"/>
    <n v="27"/>
    <x v="2"/>
    <x v="0"/>
    <n v="8.99"/>
    <x v="0"/>
    <x v="3"/>
    <n v="3"/>
    <n v="0.5"/>
    <x v="2"/>
  </r>
  <r>
    <s v="c306dc87-45f3-4bee-bfbc-2e928cd8c63f"/>
    <n v="35"/>
    <x v="2"/>
    <x v="2"/>
    <x v="1"/>
    <n v="9.2100000000000009"/>
    <n v="34"/>
    <x v="4"/>
    <x v="4"/>
    <n v="17.989999999999998"/>
    <x v="0"/>
    <x v="3"/>
    <n v="5"/>
    <n v="0.26"/>
    <x v="6"/>
  </r>
  <r>
    <s v="b47423e0-fc07-4c45-93e9-5de5f180c69b"/>
    <n v="44"/>
    <x v="2"/>
    <x v="2"/>
    <x v="2"/>
    <n v="0.6"/>
    <n v="47"/>
    <x v="3"/>
    <x v="3"/>
    <n v="8.99"/>
    <x v="1"/>
    <x v="3"/>
    <n v="5"/>
    <n v="0.01"/>
    <x v="1"/>
  </r>
  <r>
    <s v="4bb2258b-b1bf-4e4a-8e25-5738517e9917"/>
    <n v="35"/>
    <x v="2"/>
    <x v="1"/>
    <x v="1"/>
    <n v="2.4300000000000002"/>
    <n v="58"/>
    <x v="3"/>
    <x v="0"/>
    <n v="17.989999999999998"/>
    <x v="1"/>
    <x v="2"/>
    <n v="2"/>
    <n v="0.04"/>
    <x v="3"/>
  </r>
  <r>
    <s v="9363bef2-c9cb-4a76-971e-f1a5bb357d58"/>
    <n v="37"/>
    <x v="2"/>
    <x v="0"/>
    <x v="0"/>
    <n v="10.29"/>
    <n v="49"/>
    <x v="2"/>
    <x v="3"/>
    <n v="13.99"/>
    <x v="1"/>
    <x v="0"/>
    <n v="1"/>
    <n v="0.21"/>
    <x v="0"/>
  </r>
  <r>
    <s v="c4c39eed-21ee-4f06-be68-f9f4899be76b"/>
    <n v="35"/>
    <x v="2"/>
    <x v="1"/>
    <x v="2"/>
    <n v="2.19"/>
    <n v="5"/>
    <x v="5"/>
    <x v="1"/>
    <n v="8.99"/>
    <x v="1"/>
    <x v="4"/>
    <n v="5"/>
    <n v="0.36"/>
    <x v="3"/>
  </r>
  <r>
    <s v="7bd51ef6-d0f6-4894-ade9-af2b4f2f45b1"/>
    <n v="42"/>
    <x v="2"/>
    <x v="0"/>
    <x v="0"/>
    <n v="25.68"/>
    <n v="33"/>
    <x v="0"/>
    <x v="1"/>
    <n v="13.99"/>
    <x v="0"/>
    <x v="1"/>
    <n v="5"/>
    <n v="0.76"/>
    <x v="1"/>
  </r>
  <r>
    <s v="67db947c-f035-417e-8883-71b4780b4fc0"/>
    <n v="39"/>
    <x v="2"/>
    <x v="1"/>
    <x v="2"/>
    <n v="10.6"/>
    <n v="53"/>
    <x v="4"/>
    <x v="1"/>
    <n v="8.99"/>
    <x v="1"/>
    <x v="3"/>
    <n v="3"/>
    <n v="0.2"/>
    <x v="1"/>
  </r>
  <r>
    <s v="32484385-55d4-4c6a-ad1a-834abeaaa883"/>
    <n v="44"/>
    <x v="2"/>
    <x v="1"/>
    <x v="0"/>
    <n v="1.46"/>
    <n v="59"/>
    <x v="4"/>
    <x v="4"/>
    <n v="13.99"/>
    <x v="1"/>
    <x v="3"/>
    <n v="1"/>
    <n v="0.02"/>
    <x v="5"/>
  </r>
  <r>
    <s v="16baff30-d637-4241-9b5f-1d0451f30375"/>
    <n v="40"/>
    <x v="2"/>
    <x v="1"/>
    <x v="1"/>
    <n v="0.52"/>
    <n v="26"/>
    <x v="4"/>
    <x v="2"/>
    <n v="17.989999999999998"/>
    <x v="1"/>
    <x v="3"/>
    <n v="2"/>
    <n v="0.02"/>
    <x v="5"/>
  </r>
  <r>
    <s v="d1f48191-4dfa-474e-b7ca-3b935aee6531"/>
    <n v="44"/>
    <x v="2"/>
    <x v="1"/>
    <x v="1"/>
    <n v="3.38"/>
    <n v="6"/>
    <x v="1"/>
    <x v="2"/>
    <n v="17.989999999999998"/>
    <x v="0"/>
    <x v="2"/>
    <n v="5"/>
    <n v="0.48"/>
    <x v="2"/>
  </r>
  <r>
    <s v="c6d7aa04-5235-4214-b413-8a53f966b119"/>
    <n v="41"/>
    <x v="2"/>
    <x v="0"/>
    <x v="1"/>
    <n v="8.27"/>
    <n v="50"/>
    <x v="2"/>
    <x v="0"/>
    <n v="17.989999999999998"/>
    <x v="0"/>
    <x v="2"/>
    <n v="5"/>
    <n v="0.16"/>
    <x v="4"/>
  </r>
  <r>
    <s v="fde18152-cb7b-433c-98b4-cc7b6016b750"/>
    <n v="40"/>
    <x v="2"/>
    <x v="0"/>
    <x v="0"/>
    <n v="8.89"/>
    <n v="21"/>
    <x v="5"/>
    <x v="4"/>
    <n v="13.99"/>
    <x v="0"/>
    <x v="4"/>
    <n v="1"/>
    <n v="0.4"/>
    <x v="5"/>
  </r>
  <r>
    <s v="55725796-857e-4b59-b253-187bd5f07d1b"/>
    <n v="40"/>
    <x v="2"/>
    <x v="0"/>
    <x v="0"/>
    <n v="11.91"/>
    <n v="4"/>
    <x v="1"/>
    <x v="2"/>
    <n v="13.99"/>
    <x v="0"/>
    <x v="1"/>
    <n v="5"/>
    <n v="2.38"/>
    <x v="1"/>
  </r>
  <r>
    <s v="a22669d5-6da6-4097-a4e4-4ff4655a0d38"/>
    <n v="40"/>
    <x v="2"/>
    <x v="1"/>
    <x v="2"/>
    <n v="6.48"/>
    <n v="51"/>
    <x v="0"/>
    <x v="3"/>
    <n v="8.99"/>
    <x v="1"/>
    <x v="2"/>
    <n v="4"/>
    <n v="0.12"/>
    <x v="0"/>
  </r>
  <r>
    <s v="fb963246-a793-4d70-a015-0402e3173f5a"/>
    <n v="36"/>
    <x v="2"/>
    <x v="0"/>
    <x v="0"/>
    <n v="2.59"/>
    <n v="36"/>
    <x v="4"/>
    <x v="3"/>
    <n v="13.99"/>
    <x v="1"/>
    <x v="1"/>
    <n v="2"/>
    <n v="7.0000000000000007E-2"/>
    <x v="1"/>
  </r>
  <r>
    <s v="23e2a122-9e50-41d8-a434-c25675765f79"/>
    <n v="42"/>
    <x v="2"/>
    <x v="2"/>
    <x v="2"/>
    <n v="98.42"/>
    <n v="0"/>
    <x v="0"/>
    <x v="3"/>
    <n v="8.99"/>
    <x v="0"/>
    <x v="4"/>
    <n v="5"/>
    <n v="98.42"/>
    <x v="5"/>
  </r>
  <r>
    <s v="02ec20f5-ed7f-4f0e-8c1c-e95b386c28b5"/>
    <n v="40"/>
    <x v="2"/>
    <x v="0"/>
    <x v="2"/>
    <n v="31.43"/>
    <n v="26"/>
    <x v="4"/>
    <x v="4"/>
    <n v="8.99"/>
    <x v="0"/>
    <x v="0"/>
    <n v="1"/>
    <n v="1.1599999999999999"/>
    <x v="3"/>
  </r>
  <r>
    <s v="48692c47-9278-4198-be47-f921a8ab8299"/>
    <n v="37"/>
    <x v="2"/>
    <x v="0"/>
    <x v="0"/>
    <n v="47.74"/>
    <n v="52"/>
    <x v="5"/>
    <x v="1"/>
    <n v="13.99"/>
    <x v="0"/>
    <x v="4"/>
    <n v="4"/>
    <n v="0.9"/>
    <x v="3"/>
  </r>
  <r>
    <s v="5d298906-96ce-4a2a-b1f1-8e7b18bbbd25"/>
    <n v="41"/>
    <x v="2"/>
    <x v="0"/>
    <x v="2"/>
    <n v="8.14"/>
    <n v="54"/>
    <x v="1"/>
    <x v="2"/>
    <n v="8.99"/>
    <x v="1"/>
    <x v="4"/>
    <n v="5"/>
    <n v="0.15"/>
    <x v="4"/>
  </r>
  <r>
    <s v="f57d69c1-f51d-4ec3-b0f7-7cfcc5f49e3b"/>
    <n v="36"/>
    <x v="2"/>
    <x v="0"/>
    <x v="1"/>
    <n v="19.63"/>
    <n v="1"/>
    <x v="4"/>
    <x v="3"/>
    <n v="17.989999999999998"/>
    <x v="0"/>
    <x v="4"/>
    <n v="2"/>
    <n v="9.81"/>
    <x v="3"/>
  </r>
  <r>
    <s v="82eb568e-1658-4648-8809-2a53fafc3dc7"/>
    <n v="39"/>
    <x v="2"/>
    <x v="0"/>
    <x v="2"/>
    <n v="2.09"/>
    <n v="3"/>
    <x v="5"/>
    <x v="1"/>
    <n v="8.99"/>
    <x v="1"/>
    <x v="0"/>
    <n v="3"/>
    <n v="0.52"/>
    <x v="5"/>
  </r>
  <r>
    <s v="5626606a-8708-469e-a1c9-d0d93478c2e1"/>
    <n v="41"/>
    <x v="2"/>
    <x v="0"/>
    <x v="2"/>
    <n v="17.37"/>
    <n v="16"/>
    <x v="5"/>
    <x v="2"/>
    <n v="8.99"/>
    <x v="0"/>
    <x v="3"/>
    <n v="2"/>
    <n v="1.02"/>
    <x v="1"/>
  </r>
  <r>
    <s v="154ec30a-7a10-4161-9386-87abd5a14b98"/>
    <n v="38"/>
    <x v="2"/>
    <x v="2"/>
    <x v="2"/>
    <n v="6.75"/>
    <n v="43"/>
    <x v="0"/>
    <x v="2"/>
    <n v="8.99"/>
    <x v="1"/>
    <x v="3"/>
    <n v="2"/>
    <n v="0.15"/>
    <x v="2"/>
  </r>
  <r>
    <s v="88848d87-d7aa-4f30-85e6-af72905dd402"/>
    <n v="40"/>
    <x v="2"/>
    <x v="0"/>
    <x v="2"/>
    <n v="3.8"/>
    <n v="10"/>
    <x v="3"/>
    <x v="3"/>
    <n v="8.99"/>
    <x v="1"/>
    <x v="2"/>
    <n v="3"/>
    <n v="0.35"/>
    <x v="1"/>
  </r>
  <r>
    <s v="f6c76b05-75ec-4bf4-a63d-e8eede4026c6"/>
    <n v="39"/>
    <x v="2"/>
    <x v="1"/>
    <x v="2"/>
    <n v="8.16"/>
    <n v="14"/>
    <x v="2"/>
    <x v="1"/>
    <n v="8.99"/>
    <x v="0"/>
    <x v="3"/>
    <n v="1"/>
    <n v="0.54"/>
    <x v="1"/>
  </r>
  <r>
    <s v="38dde078-8a79-4e50-8d44-dad952e9ae22"/>
    <n v="38"/>
    <x v="2"/>
    <x v="0"/>
    <x v="2"/>
    <n v="24.57"/>
    <n v="2"/>
    <x v="3"/>
    <x v="4"/>
    <n v="8.99"/>
    <x v="0"/>
    <x v="4"/>
    <n v="4"/>
    <n v="8.19"/>
    <x v="1"/>
  </r>
  <r>
    <s v="a577834a-41c6-489f-9666-5eafe78530a5"/>
    <n v="40"/>
    <x v="2"/>
    <x v="0"/>
    <x v="0"/>
    <n v="6.2"/>
    <n v="10"/>
    <x v="4"/>
    <x v="4"/>
    <n v="13.99"/>
    <x v="0"/>
    <x v="2"/>
    <n v="3"/>
    <n v="0.56000000000000005"/>
    <x v="0"/>
  </r>
  <r>
    <s v="796a5f77-018a-451d-abc9-46948b6456b2"/>
    <n v="35"/>
    <x v="2"/>
    <x v="1"/>
    <x v="2"/>
    <n v="25.11"/>
    <n v="3"/>
    <x v="3"/>
    <x v="2"/>
    <n v="8.99"/>
    <x v="0"/>
    <x v="0"/>
    <n v="2"/>
    <n v="6.28"/>
    <x v="0"/>
  </r>
  <r>
    <s v="49ff3afb-cb6c-4dfc-8468-530f9c0abfd6"/>
    <n v="39"/>
    <x v="2"/>
    <x v="0"/>
    <x v="0"/>
    <n v="57.19"/>
    <n v="19"/>
    <x v="3"/>
    <x v="2"/>
    <n v="13.99"/>
    <x v="0"/>
    <x v="4"/>
    <n v="5"/>
    <n v="2.86"/>
    <x v="5"/>
  </r>
  <r>
    <s v="a085a33f-40ea-44f0-a592-3869a8fb76d6"/>
    <n v="44"/>
    <x v="2"/>
    <x v="1"/>
    <x v="0"/>
    <n v="8.65"/>
    <n v="60"/>
    <x v="5"/>
    <x v="4"/>
    <n v="13.99"/>
    <x v="1"/>
    <x v="2"/>
    <n v="1"/>
    <n v="0.14000000000000001"/>
    <x v="1"/>
  </r>
  <r>
    <s v="f1bf566a-dde7-4e4f-8895-4e30277b67fe"/>
    <n v="36"/>
    <x v="2"/>
    <x v="1"/>
    <x v="2"/>
    <n v="1.82"/>
    <n v="55"/>
    <x v="1"/>
    <x v="1"/>
    <n v="8.99"/>
    <x v="1"/>
    <x v="3"/>
    <n v="2"/>
    <n v="0.03"/>
    <x v="6"/>
  </r>
  <r>
    <s v="ff0381b1-21b5-4e1c-9f32-a33104814ce9"/>
    <n v="35"/>
    <x v="2"/>
    <x v="1"/>
    <x v="0"/>
    <n v="9.43"/>
    <n v="10"/>
    <x v="2"/>
    <x v="1"/>
    <n v="13.99"/>
    <x v="0"/>
    <x v="3"/>
    <n v="2"/>
    <n v="0.86"/>
    <x v="2"/>
  </r>
  <r>
    <s v="b02aafea-c911-43ca-8034-748cdba41d79"/>
    <n v="43"/>
    <x v="2"/>
    <x v="2"/>
    <x v="1"/>
    <n v="8.9700000000000006"/>
    <n v="0"/>
    <x v="4"/>
    <x v="0"/>
    <n v="17.989999999999998"/>
    <x v="0"/>
    <x v="4"/>
    <n v="5"/>
    <n v="8.9700000000000006"/>
    <x v="5"/>
  </r>
  <r>
    <s v="a9284906-2f35-4b1c-85bb-7eb60338cc2d"/>
    <n v="36"/>
    <x v="2"/>
    <x v="2"/>
    <x v="0"/>
    <n v="8.8699999999999992"/>
    <n v="36"/>
    <x v="4"/>
    <x v="3"/>
    <n v="13.99"/>
    <x v="1"/>
    <x v="4"/>
    <n v="2"/>
    <n v="0.24"/>
    <x v="4"/>
  </r>
  <r>
    <s v="16993e91-870b-47d2-9098-b687b2f20336"/>
    <n v="36"/>
    <x v="2"/>
    <x v="0"/>
    <x v="1"/>
    <n v="4.26"/>
    <n v="21"/>
    <x v="1"/>
    <x v="0"/>
    <n v="17.989999999999998"/>
    <x v="0"/>
    <x v="3"/>
    <n v="4"/>
    <n v="0.19"/>
    <x v="2"/>
  </r>
  <r>
    <s v="ae7779f6-13a0-43e7-a356-45a7c3965e23"/>
    <n v="37"/>
    <x v="2"/>
    <x v="1"/>
    <x v="0"/>
    <n v="10.84"/>
    <n v="29"/>
    <x v="4"/>
    <x v="2"/>
    <n v="13.99"/>
    <x v="0"/>
    <x v="0"/>
    <n v="4"/>
    <n v="0.36"/>
    <x v="6"/>
  </r>
  <r>
    <s v="d2f0f59a-fd2c-4f32-9da0-a09c7b877025"/>
    <n v="44"/>
    <x v="2"/>
    <x v="1"/>
    <x v="2"/>
    <n v="26.37"/>
    <n v="21"/>
    <x v="5"/>
    <x v="2"/>
    <n v="8.99"/>
    <x v="0"/>
    <x v="3"/>
    <n v="5"/>
    <n v="1.2"/>
    <x v="4"/>
  </r>
  <r>
    <s v="efba9209-3221-4892-8d96-23146aef4424"/>
    <n v="37"/>
    <x v="2"/>
    <x v="2"/>
    <x v="2"/>
    <n v="3.05"/>
    <n v="15"/>
    <x v="2"/>
    <x v="4"/>
    <n v="8.99"/>
    <x v="1"/>
    <x v="4"/>
    <n v="3"/>
    <n v="0.19"/>
    <x v="6"/>
  </r>
  <r>
    <s v="e1400ac9-2fdf-4207-8c65-82d322a55539"/>
    <n v="42"/>
    <x v="2"/>
    <x v="0"/>
    <x v="0"/>
    <n v="2.96"/>
    <n v="30"/>
    <x v="1"/>
    <x v="0"/>
    <n v="13.99"/>
    <x v="0"/>
    <x v="3"/>
    <n v="5"/>
    <n v="0.1"/>
    <x v="6"/>
  </r>
  <r>
    <s v="9fb45fe7-6937-4239-8548-115936dfce77"/>
    <n v="42"/>
    <x v="2"/>
    <x v="2"/>
    <x v="2"/>
    <n v="20.9"/>
    <n v="42"/>
    <x v="1"/>
    <x v="4"/>
    <n v="8.99"/>
    <x v="1"/>
    <x v="2"/>
    <n v="3"/>
    <n v="0.49"/>
    <x v="0"/>
  </r>
  <r>
    <s v="fbeabb4d-6f7e-4465-881f-bcb265b21ca0"/>
    <n v="40"/>
    <x v="2"/>
    <x v="1"/>
    <x v="2"/>
    <n v="14.01"/>
    <n v="14"/>
    <x v="1"/>
    <x v="1"/>
    <n v="8.99"/>
    <x v="0"/>
    <x v="1"/>
    <n v="3"/>
    <n v="0.93"/>
    <x v="4"/>
  </r>
  <r>
    <s v="db369245-5a2d-4fd1-8463-4679d35d7cd2"/>
    <n v="36"/>
    <x v="2"/>
    <x v="0"/>
    <x v="1"/>
    <n v="16.68"/>
    <n v="60"/>
    <x v="3"/>
    <x v="0"/>
    <n v="17.989999999999998"/>
    <x v="0"/>
    <x v="2"/>
    <n v="5"/>
    <n v="0.27"/>
    <x v="2"/>
  </r>
  <r>
    <s v="fe420cef-9ccb-473e-9ae5-d7ca920ec4fc"/>
    <n v="42"/>
    <x v="2"/>
    <x v="2"/>
    <x v="0"/>
    <n v="7.63"/>
    <n v="32"/>
    <x v="5"/>
    <x v="4"/>
    <n v="13.99"/>
    <x v="1"/>
    <x v="2"/>
    <n v="2"/>
    <n v="0.23"/>
    <x v="3"/>
  </r>
  <r>
    <s v="81f9ef23-4a14-44ac-9c0d-8322b1588958"/>
    <n v="44"/>
    <x v="2"/>
    <x v="0"/>
    <x v="2"/>
    <n v="0.65"/>
    <n v="59"/>
    <x v="3"/>
    <x v="0"/>
    <n v="8.99"/>
    <x v="1"/>
    <x v="3"/>
    <n v="4"/>
    <n v="0.01"/>
    <x v="2"/>
  </r>
  <r>
    <s v="099bd55e-eb92-4b54-b33a-c148619d6148"/>
    <n v="35"/>
    <x v="2"/>
    <x v="2"/>
    <x v="1"/>
    <n v="7.93"/>
    <n v="19"/>
    <x v="4"/>
    <x v="0"/>
    <n v="17.989999999999998"/>
    <x v="0"/>
    <x v="3"/>
    <n v="5"/>
    <n v="0.4"/>
    <x v="2"/>
  </r>
  <r>
    <s v="1660ae96-d64f-496c-91cb-bdac9b7722aa"/>
    <n v="44"/>
    <x v="2"/>
    <x v="2"/>
    <x v="0"/>
    <n v="15.75"/>
    <n v="47"/>
    <x v="0"/>
    <x v="3"/>
    <n v="13.99"/>
    <x v="1"/>
    <x v="4"/>
    <n v="4"/>
    <n v="0.33"/>
    <x v="1"/>
  </r>
  <r>
    <s v="f0e1c2de-9251-4a9a-a28d-083519f93a99"/>
    <n v="43"/>
    <x v="2"/>
    <x v="1"/>
    <x v="2"/>
    <n v="13.19"/>
    <n v="10"/>
    <x v="0"/>
    <x v="0"/>
    <n v="8.99"/>
    <x v="0"/>
    <x v="0"/>
    <n v="5"/>
    <n v="1.2"/>
    <x v="1"/>
  </r>
  <r>
    <s v="2e278144-386b-48ff-9777-dbe15a249e13"/>
    <n v="44"/>
    <x v="2"/>
    <x v="2"/>
    <x v="0"/>
    <n v="2"/>
    <n v="40"/>
    <x v="5"/>
    <x v="1"/>
    <n v="13.99"/>
    <x v="1"/>
    <x v="4"/>
    <n v="1"/>
    <n v="0.05"/>
    <x v="3"/>
  </r>
  <r>
    <s v="c3335df7-3db5-44c4-bc70-1b03ba03048a"/>
    <n v="39"/>
    <x v="2"/>
    <x v="0"/>
    <x v="0"/>
    <n v="17.05"/>
    <n v="37"/>
    <x v="1"/>
    <x v="3"/>
    <n v="13.99"/>
    <x v="1"/>
    <x v="1"/>
    <n v="1"/>
    <n v="0.45"/>
    <x v="0"/>
  </r>
  <r>
    <s v="08b55574-a0b5-45c8-abea-e84eb7b32975"/>
    <n v="38"/>
    <x v="2"/>
    <x v="1"/>
    <x v="2"/>
    <n v="6.49"/>
    <n v="34"/>
    <x v="4"/>
    <x v="0"/>
    <n v="8.99"/>
    <x v="1"/>
    <x v="1"/>
    <n v="2"/>
    <n v="0.19"/>
    <x v="2"/>
  </r>
  <r>
    <s v="f078167b-f855-4987-bfda-6527e54e8d44"/>
    <n v="36"/>
    <x v="2"/>
    <x v="0"/>
    <x v="1"/>
    <n v="14.18"/>
    <n v="6"/>
    <x v="5"/>
    <x v="4"/>
    <n v="17.989999999999998"/>
    <x v="0"/>
    <x v="4"/>
    <n v="2"/>
    <n v="2.0299999999999998"/>
    <x v="6"/>
  </r>
  <r>
    <s v="cabf84bd-b268-4013-af9d-cbe9ffc044af"/>
    <n v="38"/>
    <x v="2"/>
    <x v="2"/>
    <x v="2"/>
    <n v="8.32"/>
    <n v="22"/>
    <x v="0"/>
    <x v="1"/>
    <n v="8.99"/>
    <x v="1"/>
    <x v="1"/>
    <n v="1"/>
    <n v="0.36"/>
    <x v="5"/>
  </r>
  <r>
    <s v="da313250-0337-4225-a411-b5b75ca190d9"/>
    <n v="40"/>
    <x v="2"/>
    <x v="1"/>
    <x v="1"/>
    <n v="9.64"/>
    <n v="34"/>
    <x v="4"/>
    <x v="4"/>
    <n v="17.989999999999998"/>
    <x v="1"/>
    <x v="2"/>
    <n v="1"/>
    <n v="0.28000000000000003"/>
    <x v="3"/>
  </r>
  <r>
    <s v="06768e6d-9118-44cd-852c-32cce8bfe898"/>
    <n v="35"/>
    <x v="2"/>
    <x v="0"/>
    <x v="0"/>
    <n v="13.03"/>
    <n v="0"/>
    <x v="3"/>
    <x v="3"/>
    <n v="13.99"/>
    <x v="0"/>
    <x v="3"/>
    <n v="5"/>
    <n v="13.03"/>
    <x v="6"/>
  </r>
  <r>
    <s v="7f73a9ec-fb82-4eb0-bc55-bff60ca0afc4"/>
    <n v="42"/>
    <x v="2"/>
    <x v="0"/>
    <x v="0"/>
    <n v="13.17"/>
    <n v="50"/>
    <x v="3"/>
    <x v="2"/>
    <n v="13.99"/>
    <x v="0"/>
    <x v="3"/>
    <n v="4"/>
    <n v="0.26"/>
    <x v="5"/>
  </r>
  <r>
    <s v="cd3e92be-8dbb-4f0f-a7b7-80be21d85db8"/>
    <n v="41"/>
    <x v="2"/>
    <x v="1"/>
    <x v="1"/>
    <n v="1.65"/>
    <n v="9"/>
    <x v="1"/>
    <x v="4"/>
    <n v="17.989999999999998"/>
    <x v="1"/>
    <x v="3"/>
    <n v="2"/>
    <n v="0.16"/>
    <x v="1"/>
  </r>
  <r>
    <s v="6c580d81-de0f-4db3-b8dd-bd1ab10919e4"/>
    <n v="41"/>
    <x v="2"/>
    <x v="0"/>
    <x v="1"/>
    <n v="13.2"/>
    <n v="29"/>
    <x v="3"/>
    <x v="1"/>
    <n v="17.989999999999998"/>
    <x v="0"/>
    <x v="0"/>
    <n v="3"/>
    <n v="0.44"/>
    <x v="2"/>
  </r>
  <r>
    <s v="6a3430a2-4a88-41a8-beaf-fccdd1d45517"/>
    <n v="36"/>
    <x v="2"/>
    <x v="1"/>
    <x v="0"/>
    <n v="14.25"/>
    <n v="22"/>
    <x v="5"/>
    <x v="2"/>
    <n v="13.99"/>
    <x v="0"/>
    <x v="3"/>
    <n v="5"/>
    <n v="0.62"/>
    <x v="2"/>
  </r>
  <r>
    <s v="03572a83-a989-4602-bb89-d6ed424bb61a"/>
    <n v="35"/>
    <x v="2"/>
    <x v="1"/>
    <x v="1"/>
    <n v="28.04"/>
    <n v="59"/>
    <x v="5"/>
    <x v="2"/>
    <n v="17.989999999999998"/>
    <x v="0"/>
    <x v="0"/>
    <n v="2"/>
    <n v="0.47"/>
    <x v="2"/>
  </r>
  <r>
    <s v="e8ba80fd-2a67-4540-bd98-b356fd9e2dd2"/>
    <n v="43"/>
    <x v="2"/>
    <x v="1"/>
    <x v="2"/>
    <n v="8.0500000000000007"/>
    <n v="13"/>
    <x v="4"/>
    <x v="3"/>
    <n v="8.99"/>
    <x v="0"/>
    <x v="3"/>
    <n v="5"/>
    <n v="0.57999999999999996"/>
    <x v="2"/>
  </r>
  <r>
    <s v="33fa6e25-f271-47d9-8a29-de91bc1af0d5"/>
    <n v="38"/>
    <x v="2"/>
    <x v="2"/>
    <x v="0"/>
    <n v="2.76"/>
    <n v="30"/>
    <x v="4"/>
    <x v="3"/>
    <n v="13.99"/>
    <x v="1"/>
    <x v="4"/>
    <n v="4"/>
    <n v="0.09"/>
    <x v="0"/>
  </r>
  <r>
    <s v="cdfc45e7-7f97-429e-bb8b-09a7c29b9bd0"/>
    <n v="36"/>
    <x v="2"/>
    <x v="1"/>
    <x v="1"/>
    <n v="13.25"/>
    <n v="19"/>
    <x v="4"/>
    <x v="4"/>
    <n v="17.989999999999998"/>
    <x v="0"/>
    <x v="4"/>
    <n v="1"/>
    <n v="0.66"/>
    <x v="4"/>
  </r>
  <r>
    <s v="85a4f95c-60cc-4cb9-814d-d8f745f82325"/>
    <n v="41"/>
    <x v="2"/>
    <x v="2"/>
    <x v="0"/>
    <n v="14.82"/>
    <n v="33"/>
    <x v="1"/>
    <x v="1"/>
    <n v="13.99"/>
    <x v="1"/>
    <x v="1"/>
    <n v="2"/>
    <n v="0.44"/>
    <x v="4"/>
  </r>
  <r>
    <s v="8388cf02-9398-4b74-b67b-56d7a074612e"/>
    <n v="39"/>
    <x v="2"/>
    <x v="1"/>
    <x v="2"/>
    <n v="2.52"/>
    <n v="52"/>
    <x v="5"/>
    <x v="3"/>
    <n v="8.99"/>
    <x v="1"/>
    <x v="3"/>
    <n v="2"/>
    <n v="0.05"/>
    <x v="4"/>
  </r>
  <r>
    <s v="eca1d876-576b-4434-b47b-1bebd8f426d2"/>
    <n v="40"/>
    <x v="2"/>
    <x v="0"/>
    <x v="0"/>
    <n v="7.88"/>
    <n v="9"/>
    <x v="5"/>
    <x v="2"/>
    <n v="13.99"/>
    <x v="0"/>
    <x v="0"/>
    <n v="2"/>
    <n v="0.79"/>
    <x v="6"/>
  </r>
  <r>
    <s v="cb4b90e7-5dcc-4e06-92b4-2aeb4db98cdf"/>
    <n v="36"/>
    <x v="2"/>
    <x v="1"/>
    <x v="1"/>
    <n v="41.02"/>
    <n v="47"/>
    <x v="1"/>
    <x v="0"/>
    <n v="17.989999999999998"/>
    <x v="0"/>
    <x v="1"/>
    <n v="3"/>
    <n v="0.85"/>
    <x v="0"/>
  </r>
  <r>
    <s v="1a594ae9-af38-4c31-a00b-a1cf439139bc"/>
    <n v="43"/>
    <x v="2"/>
    <x v="2"/>
    <x v="2"/>
    <n v="1.18"/>
    <n v="31"/>
    <x v="0"/>
    <x v="3"/>
    <n v="8.99"/>
    <x v="1"/>
    <x v="1"/>
    <n v="1"/>
    <n v="0.04"/>
    <x v="3"/>
  </r>
  <r>
    <s v="7dca795d-ec1e-44b2-a87c-daa04461915a"/>
    <n v="43"/>
    <x v="2"/>
    <x v="2"/>
    <x v="2"/>
    <n v="17.66"/>
    <n v="7"/>
    <x v="0"/>
    <x v="1"/>
    <n v="8.99"/>
    <x v="0"/>
    <x v="0"/>
    <n v="1"/>
    <n v="2.21"/>
    <x v="2"/>
  </r>
  <r>
    <s v="b8c06b97-66a7-492f-9ee4-a115b51e9dcf"/>
    <n v="38"/>
    <x v="2"/>
    <x v="2"/>
    <x v="1"/>
    <n v="11.56"/>
    <n v="38"/>
    <x v="4"/>
    <x v="2"/>
    <n v="17.989999999999998"/>
    <x v="1"/>
    <x v="4"/>
    <n v="4"/>
    <n v="0.3"/>
    <x v="4"/>
  </r>
  <r>
    <s v="33a69d90-e90a-45af-a9ce-eda2a1ab0d7c"/>
    <n v="44"/>
    <x v="2"/>
    <x v="2"/>
    <x v="0"/>
    <n v="8.0299999999999994"/>
    <n v="57"/>
    <x v="2"/>
    <x v="0"/>
    <n v="13.99"/>
    <x v="1"/>
    <x v="0"/>
    <n v="5"/>
    <n v="0.14000000000000001"/>
    <x v="2"/>
  </r>
  <r>
    <s v="35cdcfe1-c48a-43b6-8533-8f70aa35c713"/>
    <n v="38"/>
    <x v="2"/>
    <x v="2"/>
    <x v="0"/>
    <n v="6.77"/>
    <n v="49"/>
    <x v="1"/>
    <x v="2"/>
    <n v="13.99"/>
    <x v="1"/>
    <x v="4"/>
    <n v="3"/>
    <n v="0.14000000000000001"/>
    <x v="4"/>
  </r>
  <r>
    <s v="b46fb518-339f-4c79-a429-f00e662c7085"/>
    <n v="43"/>
    <x v="2"/>
    <x v="2"/>
    <x v="2"/>
    <n v="1.63"/>
    <n v="0"/>
    <x v="5"/>
    <x v="2"/>
    <n v="8.99"/>
    <x v="0"/>
    <x v="2"/>
    <n v="3"/>
    <n v="1.63"/>
    <x v="5"/>
  </r>
  <r>
    <s v="cb5d5d80-7f94-421c-a76a-fb560beeb1ba"/>
    <n v="43"/>
    <x v="2"/>
    <x v="1"/>
    <x v="0"/>
    <n v="77.569999999999993"/>
    <n v="6"/>
    <x v="2"/>
    <x v="2"/>
    <n v="13.99"/>
    <x v="0"/>
    <x v="2"/>
    <n v="4"/>
    <n v="11.08"/>
    <x v="1"/>
  </r>
  <r>
    <s v="3db1dae5-386e-4bcd-8696-37840c900ccf"/>
    <n v="42"/>
    <x v="2"/>
    <x v="1"/>
    <x v="2"/>
    <n v="12.95"/>
    <n v="41"/>
    <x v="5"/>
    <x v="3"/>
    <n v="8.99"/>
    <x v="1"/>
    <x v="4"/>
    <n v="1"/>
    <n v="0.31"/>
    <x v="1"/>
  </r>
  <r>
    <s v="8109f1c7-ba4f-46ec-b3c5-46243b944811"/>
    <n v="35"/>
    <x v="2"/>
    <x v="2"/>
    <x v="0"/>
    <n v="23.05"/>
    <n v="14"/>
    <x v="3"/>
    <x v="1"/>
    <n v="13.99"/>
    <x v="0"/>
    <x v="1"/>
    <n v="4"/>
    <n v="1.54"/>
    <x v="5"/>
  </r>
  <r>
    <s v="b2b6a0a2-6478-467c-b4f6-901fde495cec"/>
    <n v="43"/>
    <x v="2"/>
    <x v="2"/>
    <x v="0"/>
    <n v="16.48"/>
    <n v="17"/>
    <x v="4"/>
    <x v="4"/>
    <n v="13.99"/>
    <x v="0"/>
    <x v="4"/>
    <n v="3"/>
    <n v="0.92"/>
    <x v="1"/>
  </r>
  <r>
    <s v="7b2aae74-2b75-4973-93ec-b657bff5a9a1"/>
    <n v="38"/>
    <x v="2"/>
    <x v="1"/>
    <x v="0"/>
    <n v="10.23"/>
    <n v="18"/>
    <x v="3"/>
    <x v="0"/>
    <n v="13.99"/>
    <x v="0"/>
    <x v="3"/>
    <n v="5"/>
    <n v="0.54"/>
    <x v="5"/>
  </r>
  <r>
    <s v="09263d5f-674e-482d-a8c0-324762193672"/>
    <n v="35"/>
    <x v="2"/>
    <x v="1"/>
    <x v="1"/>
    <n v="21.23"/>
    <n v="9"/>
    <x v="0"/>
    <x v="0"/>
    <n v="17.989999999999998"/>
    <x v="0"/>
    <x v="3"/>
    <n v="5"/>
    <n v="2.12"/>
    <x v="2"/>
  </r>
  <r>
    <s v="3dd65018-61b5-4329-a9cc-bac8c15a6b25"/>
    <n v="35"/>
    <x v="2"/>
    <x v="2"/>
    <x v="2"/>
    <n v="16.649999999999999"/>
    <n v="46"/>
    <x v="0"/>
    <x v="0"/>
    <n v="8.99"/>
    <x v="1"/>
    <x v="0"/>
    <n v="3"/>
    <n v="0.35"/>
    <x v="4"/>
  </r>
  <r>
    <s v="42466881-a58b-4057-a0ea-615af204f9a6"/>
    <n v="38"/>
    <x v="2"/>
    <x v="2"/>
    <x v="2"/>
    <n v="6.67"/>
    <n v="39"/>
    <x v="4"/>
    <x v="1"/>
    <n v="8.99"/>
    <x v="1"/>
    <x v="4"/>
    <n v="3"/>
    <n v="0.17"/>
    <x v="0"/>
  </r>
  <r>
    <s v="fa6410af-b085-4a71-9789-00ccefdeb848"/>
    <n v="36"/>
    <x v="2"/>
    <x v="0"/>
    <x v="0"/>
    <n v="12.08"/>
    <n v="60"/>
    <x v="1"/>
    <x v="2"/>
    <n v="13.99"/>
    <x v="1"/>
    <x v="3"/>
    <n v="2"/>
    <n v="0.2"/>
    <x v="1"/>
  </r>
  <r>
    <s v="79d11806-228a-4fab-8270-a7d65c9cecf7"/>
    <n v="40"/>
    <x v="2"/>
    <x v="1"/>
    <x v="0"/>
    <n v="11.56"/>
    <n v="48"/>
    <x v="0"/>
    <x v="4"/>
    <n v="13.99"/>
    <x v="1"/>
    <x v="4"/>
    <n v="5"/>
    <n v="0.24"/>
    <x v="5"/>
  </r>
  <r>
    <s v="1663f5da-a60e-41d7-a9ae-5704f4c7a196"/>
    <n v="37"/>
    <x v="2"/>
    <x v="2"/>
    <x v="2"/>
    <n v="11.52"/>
    <n v="38"/>
    <x v="5"/>
    <x v="0"/>
    <n v="8.99"/>
    <x v="1"/>
    <x v="3"/>
    <n v="4"/>
    <n v="0.3"/>
    <x v="3"/>
  </r>
  <r>
    <s v="f7b5a5d9-ce05-4088-8839-e0ee991872ec"/>
    <n v="38"/>
    <x v="2"/>
    <x v="1"/>
    <x v="2"/>
    <n v="8.81"/>
    <n v="1"/>
    <x v="4"/>
    <x v="3"/>
    <n v="8.99"/>
    <x v="0"/>
    <x v="4"/>
    <n v="4"/>
    <n v="4.41"/>
    <x v="3"/>
  </r>
  <r>
    <s v="2756a817-e711-4a26-b146-2e793e01d065"/>
    <n v="36"/>
    <x v="2"/>
    <x v="2"/>
    <x v="0"/>
    <n v="48.01"/>
    <n v="29"/>
    <x v="3"/>
    <x v="4"/>
    <n v="13.99"/>
    <x v="0"/>
    <x v="0"/>
    <n v="5"/>
    <n v="1.6"/>
    <x v="6"/>
  </r>
  <r>
    <s v="abe07eca-d0df-4a23-8b09-738a81049742"/>
    <n v="37"/>
    <x v="2"/>
    <x v="2"/>
    <x v="2"/>
    <n v="18.78"/>
    <n v="33"/>
    <x v="4"/>
    <x v="4"/>
    <n v="8.99"/>
    <x v="1"/>
    <x v="1"/>
    <n v="3"/>
    <n v="0.55000000000000004"/>
    <x v="2"/>
  </r>
  <r>
    <s v="7e65ef60-0906-4e1e-9b54-b8d89cefddae"/>
    <n v="44"/>
    <x v="2"/>
    <x v="2"/>
    <x v="2"/>
    <n v="8.02"/>
    <n v="9"/>
    <x v="4"/>
    <x v="0"/>
    <n v="8.99"/>
    <x v="0"/>
    <x v="0"/>
    <n v="4"/>
    <n v="0.8"/>
    <x v="1"/>
  </r>
  <r>
    <s v="ba7257d0-99c8-4c55-a657-6537eb677dfb"/>
    <n v="37"/>
    <x v="2"/>
    <x v="0"/>
    <x v="0"/>
    <n v="5.31"/>
    <n v="38"/>
    <x v="0"/>
    <x v="0"/>
    <n v="13.99"/>
    <x v="0"/>
    <x v="3"/>
    <n v="5"/>
    <n v="0.14000000000000001"/>
    <x v="6"/>
  </r>
  <r>
    <s v="6b608954-fb0e-409e-bb61-f6b97fea7fb5"/>
    <n v="41"/>
    <x v="2"/>
    <x v="2"/>
    <x v="2"/>
    <n v="7.04"/>
    <n v="30"/>
    <x v="2"/>
    <x v="4"/>
    <n v="8.99"/>
    <x v="0"/>
    <x v="1"/>
    <n v="5"/>
    <n v="0.23"/>
    <x v="6"/>
  </r>
  <r>
    <s v="727e553f-d207-4563-9a00-8d82561e7817"/>
    <n v="38"/>
    <x v="2"/>
    <x v="2"/>
    <x v="2"/>
    <n v="22.74"/>
    <n v="60"/>
    <x v="0"/>
    <x v="3"/>
    <n v="8.99"/>
    <x v="1"/>
    <x v="4"/>
    <n v="3"/>
    <n v="0.37"/>
    <x v="5"/>
  </r>
  <r>
    <s v="2b7bf795-ccef-4bca-93a6-d00318b73c50"/>
    <n v="38"/>
    <x v="2"/>
    <x v="0"/>
    <x v="0"/>
    <n v="0.9"/>
    <n v="35"/>
    <x v="4"/>
    <x v="3"/>
    <n v="13.99"/>
    <x v="1"/>
    <x v="3"/>
    <n v="2"/>
    <n v="0.03"/>
    <x v="6"/>
  </r>
  <r>
    <s v="f1200806-6780-4b17-b062-50507384f5ce"/>
    <n v="36"/>
    <x v="2"/>
    <x v="2"/>
    <x v="0"/>
    <n v="37.54"/>
    <n v="54"/>
    <x v="1"/>
    <x v="0"/>
    <n v="13.99"/>
    <x v="0"/>
    <x v="3"/>
    <n v="2"/>
    <n v="0.68"/>
    <x v="4"/>
  </r>
  <r>
    <s v="e3a57085-5027-4193-90fd-91b31d51ffe8"/>
    <n v="42"/>
    <x v="2"/>
    <x v="2"/>
    <x v="0"/>
    <n v="1.64"/>
    <n v="17"/>
    <x v="5"/>
    <x v="3"/>
    <n v="13.99"/>
    <x v="0"/>
    <x v="1"/>
    <n v="5"/>
    <n v="0.09"/>
    <x v="1"/>
  </r>
  <r>
    <s v="214cb42c-b964-4040-9c71-0251fb9a4a1e"/>
    <n v="43"/>
    <x v="2"/>
    <x v="2"/>
    <x v="0"/>
    <n v="5.61"/>
    <n v="41"/>
    <x v="1"/>
    <x v="4"/>
    <n v="13.99"/>
    <x v="1"/>
    <x v="3"/>
    <n v="1"/>
    <n v="0.13"/>
    <x v="2"/>
  </r>
  <r>
    <s v="ecb0426b-5580-4337-a6c4-add3b523895d"/>
    <n v="41"/>
    <x v="2"/>
    <x v="0"/>
    <x v="2"/>
    <n v="27.09"/>
    <n v="7"/>
    <x v="2"/>
    <x v="0"/>
    <n v="8.99"/>
    <x v="0"/>
    <x v="2"/>
    <n v="5"/>
    <n v="3.39"/>
    <x v="3"/>
  </r>
  <r>
    <s v="57212dcb-1d06-4d90-8679-277113d72959"/>
    <n v="35"/>
    <x v="2"/>
    <x v="0"/>
    <x v="2"/>
    <n v="2.2200000000000002"/>
    <n v="4"/>
    <x v="3"/>
    <x v="3"/>
    <n v="8.99"/>
    <x v="1"/>
    <x v="3"/>
    <n v="2"/>
    <n v="0.44"/>
    <x v="1"/>
  </r>
  <r>
    <s v="18a5612d-f555-46c6-ad9a-ec247c068c0e"/>
    <n v="39"/>
    <x v="2"/>
    <x v="1"/>
    <x v="1"/>
    <n v="4"/>
    <n v="32"/>
    <x v="2"/>
    <x v="2"/>
    <n v="17.989999999999998"/>
    <x v="1"/>
    <x v="1"/>
    <n v="2"/>
    <n v="0.12"/>
    <x v="2"/>
  </r>
  <r>
    <s v="ac6d762a-91b1-494e-9ce5-cdccfd177f90"/>
    <n v="42"/>
    <x v="2"/>
    <x v="1"/>
    <x v="2"/>
    <n v="20.52"/>
    <n v="5"/>
    <x v="1"/>
    <x v="4"/>
    <n v="8.99"/>
    <x v="0"/>
    <x v="1"/>
    <n v="2"/>
    <n v="3.42"/>
    <x v="4"/>
  </r>
  <r>
    <s v="9084d77f-70c5-4e36-91f5-57f8f36c20c7"/>
    <n v="42"/>
    <x v="2"/>
    <x v="2"/>
    <x v="1"/>
    <n v="3.49"/>
    <n v="55"/>
    <x v="5"/>
    <x v="4"/>
    <n v="17.989999999999998"/>
    <x v="1"/>
    <x v="4"/>
    <n v="4"/>
    <n v="0.06"/>
    <x v="2"/>
  </r>
  <r>
    <s v="2381eca7-1a48-4bfb-8dab-c7a632ed0058"/>
    <n v="40"/>
    <x v="2"/>
    <x v="0"/>
    <x v="2"/>
    <n v="12.67"/>
    <n v="44"/>
    <x v="1"/>
    <x v="1"/>
    <n v="8.99"/>
    <x v="1"/>
    <x v="2"/>
    <n v="1"/>
    <n v="0.28000000000000003"/>
    <x v="1"/>
  </r>
  <r>
    <s v="0986188b-fb15-47a9-afc2-8a22c131768f"/>
    <n v="37"/>
    <x v="2"/>
    <x v="0"/>
    <x v="2"/>
    <n v="25.43"/>
    <n v="5"/>
    <x v="3"/>
    <x v="3"/>
    <n v="8.99"/>
    <x v="0"/>
    <x v="4"/>
    <n v="4"/>
    <n v="4.24"/>
    <x v="2"/>
  </r>
  <r>
    <s v="887211af-46f5-4170-b67d-ae4b857a3e02"/>
    <n v="40"/>
    <x v="2"/>
    <x v="0"/>
    <x v="0"/>
    <n v="30.74"/>
    <n v="55"/>
    <x v="5"/>
    <x v="4"/>
    <n v="13.99"/>
    <x v="0"/>
    <x v="0"/>
    <n v="3"/>
    <n v="0.55000000000000004"/>
    <x v="0"/>
  </r>
  <r>
    <s v="19cef185-673b-4519-9fb2-cd85a59f6528"/>
    <n v="39"/>
    <x v="2"/>
    <x v="1"/>
    <x v="2"/>
    <n v="16.77"/>
    <n v="48"/>
    <x v="2"/>
    <x v="1"/>
    <n v="8.99"/>
    <x v="1"/>
    <x v="2"/>
    <n v="1"/>
    <n v="0.34"/>
    <x v="4"/>
  </r>
  <r>
    <s v="51902957-4d34-4297-ae4b-fb94b2467e14"/>
    <n v="43"/>
    <x v="2"/>
    <x v="0"/>
    <x v="2"/>
    <n v="17.899999999999999"/>
    <n v="48"/>
    <x v="0"/>
    <x v="3"/>
    <n v="8.99"/>
    <x v="1"/>
    <x v="0"/>
    <n v="2"/>
    <n v="0.37"/>
    <x v="5"/>
  </r>
  <r>
    <s v="5ad29c73-f218-4cb0-b44c-628973888c49"/>
    <n v="41"/>
    <x v="2"/>
    <x v="2"/>
    <x v="1"/>
    <n v="60.32"/>
    <n v="25"/>
    <x v="0"/>
    <x v="0"/>
    <n v="17.989999999999998"/>
    <x v="0"/>
    <x v="3"/>
    <n v="5"/>
    <n v="2.3199999999999998"/>
    <x v="1"/>
  </r>
  <r>
    <s v="4b9cde42-026c-4e54-a2d5-c417ffca15ac"/>
    <n v="39"/>
    <x v="2"/>
    <x v="1"/>
    <x v="0"/>
    <n v="14.12"/>
    <n v="12"/>
    <x v="1"/>
    <x v="3"/>
    <n v="13.99"/>
    <x v="0"/>
    <x v="2"/>
    <n v="5"/>
    <n v="1.0900000000000001"/>
    <x v="5"/>
  </r>
  <r>
    <s v="755f3ee0-6334-4300-8117-dd9d43d6b113"/>
    <n v="42"/>
    <x v="2"/>
    <x v="1"/>
    <x v="1"/>
    <n v="13.25"/>
    <n v="29"/>
    <x v="3"/>
    <x v="3"/>
    <n v="17.989999999999998"/>
    <x v="0"/>
    <x v="3"/>
    <n v="4"/>
    <n v="0.44"/>
    <x v="4"/>
  </r>
  <r>
    <s v="8eebe75f-d578-48f5-9c59-5a5864dfa1c2"/>
    <n v="41"/>
    <x v="2"/>
    <x v="0"/>
    <x v="2"/>
    <n v="7.36"/>
    <n v="30"/>
    <x v="2"/>
    <x v="0"/>
    <n v="8.99"/>
    <x v="0"/>
    <x v="3"/>
    <n v="3"/>
    <n v="0.24"/>
    <x v="0"/>
  </r>
  <r>
    <s v="d87c00e4-e192-46ea-a7cf-353a90d06715"/>
    <n v="35"/>
    <x v="2"/>
    <x v="0"/>
    <x v="1"/>
    <n v="1.84"/>
    <n v="30"/>
    <x v="0"/>
    <x v="3"/>
    <n v="17.989999999999998"/>
    <x v="1"/>
    <x v="0"/>
    <n v="3"/>
    <n v="0.06"/>
    <x v="2"/>
  </r>
  <r>
    <s v="2f7bc8a8-1433-4c9e-976d-02584059d9c4"/>
    <n v="44"/>
    <x v="2"/>
    <x v="0"/>
    <x v="1"/>
    <n v="15.31"/>
    <n v="26"/>
    <x v="4"/>
    <x v="0"/>
    <n v="17.989999999999998"/>
    <x v="0"/>
    <x v="0"/>
    <n v="5"/>
    <n v="0.56999999999999995"/>
    <x v="6"/>
  </r>
  <r>
    <s v="5c4b45aa-9549-406c-9b5a-efbc6faf2a36"/>
    <n v="43"/>
    <x v="2"/>
    <x v="0"/>
    <x v="0"/>
    <n v="19.95"/>
    <n v="40"/>
    <x v="4"/>
    <x v="1"/>
    <n v="13.99"/>
    <x v="1"/>
    <x v="3"/>
    <n v="1"/>
    <n v="0.49"/>
    <x v="2"/>
  </r>
  <r>
    <s v="f933c9ef-6e58-4e70-b20d-e7d40e7c0ea2"/>
    <n v="39"/>
    <x v="2"/>
    <x v="0"/>
    <x v="0"/>
    <n v="1.72"/>
    <n v="24"/>
    <x v="0"/>
    <x v="4"/>
    <n v="13.99"/>
    <x v="1"/>
    <x v="4"/>
    <n v="5"/>
    <n v="7.0000000000000007E-2"/>
    <x v="0"/>
  </r>
  <r>
    <s v="e334edac-479f-4209-a523-985d5244f439"/>
    <n v="43"/>
    <x v="2"/>
    <x v="0"/>
    <x v="0"/>
    <n v="8.4499999999999993"/>
    <n v="20"/>
    <x v="3"/>
    <x v="1"/>
    <n v="13.99"/>
    <x v="0"/>
    <x v="4"/>
    <n v="3"/>
    <n v="0.4"/>
    <x v="5"/>
  </r>
  <r>
    <s v="ee1c6064-32f6-488d-b0c5-e7ff7fc46d64"/>
    <n v="37"/>
    <x v="2"/>
    <x v="1"/>
    <x v="1"/>
    <n v="1.32"/>
    <n v="47"/>
    <x v="4"/>
    <x v="3"/>
    <n v="17.989999999999998"/>
    <x v="1"/>
    <x v="3"/>
    <n v="3"/>
    <n v="0.03"/>
    <x v="0"/>
  </r>
  <r>
    <s v="88007999-8185-4c2c-8bb7-019af9a4268a"/>
    <n v="44"/>
    <x v="2"/>
    <x v="0"/>
    <x v="0"/>
    <n v="2.69"/>
    <n v="12"/>
    <x v="3"/>
    <x v="2"/>
    <n v="13.99"/>
    <x v="0"/>
    <x v="2"/>
    <n v="5"/>
    <n v="0.21"/>
    <x v="6"/>
  </r>
  <r>
    <s v="c7070081-a154-4414-b413-bef90b05e624"/>
    <n v="39"/>
    <x v="2"/>
    <x v="0"/>
    <x v="1"/>
    <n v="15.78"/>
    <n v="25"/>
    <x v="5"/>
    <x v="1"/>
    <n v="17.989999999999998"/>
    <x v="0"/>
    <x v="4"/>
    <n v="4"/>
    <n v="0.61"/>
    <x v="4"/>
  </r>
  <r>
    <s v="37d89df6-e945-4365-b6bf-f153ff42dba6"/>
    <n v="39"/>
    <x v="2"/>
    <x v="2"/>
    <x v="2"/>
    <n v="0.21"/>
    <n v="39"/>
    <x v="2"/>
    <x v="1"/>
    <n v="8.99"/>
    <x v="1"/>
    <x v="3"/>
    <n v="3"/>
    <n v="0.01"/>
    <x v="3"/>
  </r>
  <r>
    <s v="6463ec75-e456-45e7-8cfb-a377f3842234"/>
    <n v="39"/>
    <x v="2"/>
    <x v="0"/>
    <x v="1"/>
    <n v="17.260000000000002"/>
    <n v="21"/>
    <x v="2"/>
    <x v="0"/>
    <n v="17.989999999999998"/>
    <x v="0"/>
    <x v="1"/>
    <n v="5"/>
    <n v="0.78"/>
    <x v="5"/>
  </r>
  <r>
    <s v="31f056a8-4f89-4d97-a971-d157f79285c2"/>
    <n v="38"/>
    <x v="2"/>
    <x v="0"/>
    <x v="0"/>
    <n v="47.25"/>
    <n v="12"/>
    <x v="3"/>
    <x v="1"/>
    <n v="13.99"/>
    <x v="0"/>
    <x v="4"/>
    <n v="1"/>
    <n v="3.63"/>
    <x v="5"/>
  </r>
  <r>
    <s v="6cdf0799-8c0c-40af-8522-41cb8dedbd76"/>
    <n v="37"/>
    <x v="2"/>
    <x v="2"/>
    <x v="0"/>
    <n v="5.47"/>
    <n v="39"/>
    <x v="0"/>
    <x v="0"/>
    <n v="13.99"/>
    <x v="1"/>
    <x v="4"/>
    <n v="2"/>
    <n v="0.14000000000000001"/>
    <x v="2"/>
  </r>
  <r>
    <s v="fd0ef1ea-371a-4e71-8fb7-c9a05f7ccd03"/>
    <n v="41"/>
    <x v="2"/>
    <x v="1"/>
    <x v="1"/>
    <n v="0.87"/>
    <n v="33"/>
    <x v="2"/>
    <x v="4"/>
    <n v="17.989999999999998"/>
    <x v="1"/>
    <x v="3"/>
    <n v="4"/>
    <n v="0.03"/>
    <x v="5"/>
  </r>
  <r>
    <s v="3fede56d-0d7a-4aa2-93b7-acc1341f620b"/>
    <n v="41"/>
    <x v="2"/>
    <x v="0"/>
    <x v="1"/>
    <n v="0.43"/>
    <n v="60"/>
    <x v="1"/>
    <x v="1"/>
    <n v="17.989999999999998"/>
    <x v="1"/>
    <x v="1"/>
    <n v="3"/>
    <n v="0.01"/>
    <x v="3"/>
  </r>
  <r>
    <s v="c73888d0-47c7-49e4-ac1f-8c525c426907"/>
    <n v="35"/>
    <x v="2"/>
    <x v="2"/>
    <x v="1"/>
    <n v="28.76"/>
    <n v="23"/>
    <x v="2"/>
    <x v="4"/>
    <n v="17.989999999999998"/>
    <x v="0"/>
    <x v="4"/>
    <n v="1"/>
    <n v="1.2"/>
    <x v="6"/>
  </r>
  <r>
    <s v="2e409def-802a-4a41-9972-8c8864802af3"/>
    <n v="38"/>
    <x v="2"/>
    <x v="1"/>
    <x v="2"/>
    <n v="4.26"/>
    <n v="42"/>
    <x v="1"/>
    <x v="2"/>
    <n v="8.99"/>
    <x v="1"/>
    <x v="4"/>
    <n v="5"/>
    <n v="0.1"/>
    <x v="3"/>
  </r>
  <r>
    <s v="4d71c035-c5c9-4da6-907e-171241ea0922"/>
    <n v="44"/>
    <x v="2"/>
    <x v="1"/>
    <x v="0"/>
    <n v="6.9"/>
    <n v="21"/>
    <x v="1"/>
    <x v="2"/>
    <n v="13.99"/>
    <x v="0"/>
    <x v="4"/>
    <n v="4"/>
    <n v="0.31"/>
    <x v="2"/>
  </r>
  <r>
    <s v="abb4775a-faff-43c3-8d78-641ec98033a8"/>
    <n v="36"/>
    <x v="2"/>
    <x v="2"/>
    <x v="1"/>
    <n v="6.59"/>
    <n v="58"/>
    <x v="2"/>
    <x v="2"/>
    <n v="17.989999999999998"/>
    <x v="1"/>
    <x v="4"/>
    <n v="5"/>
    <n v="0.11"/>
    <x v="6"/>
  </r>
  <r>
    <s v="75f21653-1613-4eb8-92a6-5b82721d96df"/>
    <n v="40"/>
    <x v="2"/>
    <x v="2"/>
    <x v="1"/>
    <n v="18.059999999999999"/>
    <n v="21"/>
    <x v="5"/>
    <x v="3"/>
    <n v="17.989999999999998"/>
    <x v="0"/>
    <x v="4"/>
    <n v="1"/>
    <n v="0.82"/>
    <x v="6"/>
  </r>
  <r>
    <s v="5c4d8663-35c7-4f51-a930-5b1a7059a8b0"/>
    <n v="43"/>
    <x v="2"/>
    <x v="1"/>
    <x v="2"/>
    <n v="4.07"/>
    <n v="19"/>
    <x v="0"/>
    <x v="3"/>
    <n v="8.99"/>
    <x v="1"/>
    <x v="1"/>
    <n v="3"/>
    <n v="0.2"/>
    <x v="2"/>
  </r>
  <r>
    <s v="9eacdfae-16bb-4a84-8c31-dd5976efb95f"/>
    <n v="40"/>
    <x v="2"/>
    <x v="0"/>
    <x v="1"/>
    <n v="6.11"/>
    <n v="28"/>
    <x v="4"/>
    <x v="3"/>
    <n v="17.989999999999998"/>
    <x v="0"/>
    <x v="2"/>
    <n v="1"/>
    <n v="0.21"/>
    <x v="4"/>
  </r>
  <r>
    <s v="3d36ed49-a4f4-4fb2-80ea-f90f048bc0e1"/>
    <n v="35"/>
    <x v="2"/>
    <x v="0"/>
    <x v="0"/>
    <n v="2.42"/>
    <n v="59"/>
    <x v="1"/>
    <x v="1"/>
    <n v="13.99"/>
    <x v="1"/>
    <x v="3"/>
    <n v="3"/>
    <n v="0.04"/>
    <x v="0"/>
  </r>
  <r>
    <s v="e5a706a6-0a02-4a59-93ae-8d86ea5fcb6e"/>
    <n v="38"/>
    <x v="2"/>
    <x v="2"/>
    <x v="2"/>
    <n v="9.06"/>
    <n v="30"/>
    <x v="1"/>
    <x v="2"/>
    <n v="8.99"/>
    <x v="0"/>
    <x v="2"/>
    <n v="2"/>
    <n v="0.28999999999999998"/>
    <x v="0"/>
  </r>
  <r>
    <s v="571102fa-b9c7-4e1c-8e0f-bc6642d36cb0"/>
    <n v="44"/>
    <x v="2"/>
    <x v="2"/>
    <x v="2"/>
    <n v="15.61"/>
    <n v="30"/>
    <x v="4"/>
    <x v="3"/>
    <n v="8.99"/>
    <x v="0"/>
    <x v="0"/>
    <n v="5"/>
    <n v="0.5"/>
    <x v="4"/>
  </r>
  <r>
    <s v="8e57aa17-60f6-4c7e-9e15-a886a240c4d7"/>
    <n v="38"/>
    <x v="2"/>
    <x v="1"/>
    <x v="1"/>
    <n v="24.19"/>
    <n v="22"/>
    <x v="5"/>
    <x v="2"/>
    <n v="17.989999999999998"/>
    <x v="0"/>
    <x v="4"/>
    <n v="2"/>
    <n v="1.05"/>
    <x v="4"/>
  </r>
  <r>
    <s v="cb219c7b-8d77-454d-8967-2b4529a0e172"/>
    <n v="40"/>
    <x v="2"/>
    <x v="2"/>
    <x v="0"/>
    <n v="16.13"/>
    <n v="47"/>
    <x v="0"/>
    <x v="2"/>
    <n v="13.99"/>
    <x v="0"/>
    <x v="1"/>
    <n v="5"/>
    <n v="0.34"/>
    <x v="1"/>
  </r>
  <r>
    <s v="abf01a4a-4b6f-477f-943c-7189c33cd6cc"/>
    <n v="39"/>
    <x v="2"/>
    <x v="0"/>
    <x v="0"/>
    <n v="19.16"/>
    <n v="60"/>
    <x v="3"/>
    <x v="4"/>
    <n v="13.99"/>
    <x v="0"/>
    <x v="1"/>
    <n v="5"/>
    <n v="0.31"/>
    <x v="2"/>
  </r>
  <r>
    <s v="ab5b6ce1-4472-4987-b7ca-dd71334f9592"/>
    <n v="39"/>
    <x v="2"/>
    <x v="1"/>
    <x v="1"/>
    <n v="1.1200000000000001"/>
    <n v="27"/>
    <x v="4"/>
    <x v="2"/>
    <n v="17.989999999999998"/>
    <x v="1"/>
    <x v="4"/>
    <n v="5"/>
    <n v="0.04"/>
    <x v="6"/>
  </r>
  <r>
    <s v="41667e6f-421b-44dc-a22e-6f49d64d11c7"/>
    <n v="38"/>
    <x v="2"/>
    <x v="0"/>
    <x v="0"/>
    <n v="3.26"/>
    <n v="20"/>
    <x v="5"/>
    <x v="1"/>
    <n v="13.99"/>
    <x v="0"/>
    <x v="3"/>
    <n v="4"/>
    <n v="0.16"/>
    <x v="6"/>
  </r>
  <r>
    <s v="9c5addc5-de2b-4614-8efc-afc56a0ac20b"/>
    <n v="35"/>
    <x v="2"/>
    <x v="1"/>
    <x v="2"/>
    <n v="29.26"/>
    <n v="36"/>
    <x v="3"/>
    <x v="1"/>
    <n v="8.99"/>
    <x v="0"/>
    <x v="1"/>
    <n v="1"/>
    <n v="0.79"/>
    <x v="1"/>
  </r>
  <r>
    <s v="a5e54cb5-cab8-452b-9592-f2b83dadb4c5"/>
    <n v="37"/>
    <x v="2"/>
    <x v="0"/>
    <x v="0"/>
    <n v="1.64"/>
    <n v="8"/>
    <x v="0"/>
    <x v="1"/>
    <n v="13.99"/>
    <x v="1"/>
    <x v="2"/>
    <n v="1"/>
    <n v="0.18"/>
    <x v="3"/>
  </r>
  <r>
    <s v="49d191d4-94d6-46a0-a47a-f36813b05dfb"/>
    <n v="40"/>
    <x v="2"/>
    <x v="1"/>
    <x v="1"/>
    <n v="3.41"/>
    <n v="26"/>
    <x v="4"/>
    <x v="0"/>
    <n v="17.989999999999998"/>
    <x v="0"/>
    <x v="2"/>
    <n v="5"/>
    <n v="0.13"/>
    <x v="3"/>
  </r>
  <r>
    <s v="14b8d5b4-acf9-4243-bfc7-371bfc3b67df"/>
    <n v="36"/>
    <x v="2"/>
    <x v="2"/>
    <x v="1"/>
    <n v="5.72"/>
    <n v="21"/>
    <x v="5"/>
    <x v="4"/>
    <n v="17.989999999999998"/>
    <x v="0"/>
    <x v="1"/>
    <n v="1"/>
    <n v="0.26"/>
    <x v="1"/>
  </r>
  <r>
    <s v="46621af8-c4ca-4079-87d7-a8b68c9461b3"/>
    <n v="43"/>
    <x v="2"/>
    <x v="0"/>
    <x v="1"/>
    <n v="16.600000000000001"/>
    <n v="17"/>
    <x v="4"/>
    <x v="1"/>
    <n v="17.989999999999998"/>
    <x v="0"/>
    <x v="4"/>
    <n v="3"/>
    <n v="0.92"/>
    <x v="0"/>
  </r>
  <r>
    <s v="4933b25d-6722-45b2-b706-e08605c11066"/>
    <n v="38"/>
    <x v="2"/>
    <x v="0"/>
    <x v="1"/>
    <n v="3.26"/>
    <n v="36"/>
    <x v="3"/>
    <x v="4"/>
    <n v="17.989999999999998"/>
    <x v="1"/>
    <x v="4"/>
    <n v="1"/>
    <n v="0.09"/>
    <x v="5"/>
  </r>
  <r>
    <s v="3fb95ed2-0c85-4197-9463-622b3ca9a90c"/>
    <n v="42"/>
    <x v="2"/>
    <x v="2"/>
    <x v="1"/>
    <n v="3.39"/>
    <n v="30"/>
    <x v="2"/>
    <x v="2"/>
    <n v="17.989999999999998"/>
    <x v="0"/>
    <x v="1"/>
    <n v="5"/>
    <n v="0.11"/>
    <x v="0"/>
  </r>
  <r>
    <s v="17219697-8881-42f0-aba7-7ab8fdd11da9"/>
    <n v="41"/>
    <x v="2"/>
    <x v="2"/>
    <x v="1"/>
    <n v="11.91"/>
    <n v="18"/>
    <x v="2"/>
    <x v="4"/>
    <n v="17.989999999999998"/>
    <x v="0"/>
    <x v="2"/>
    <n v="3"/>
    <n v="0.63"/>
    <x v="3"/>
  </r>
  <r>
    <s v="b4af5cfb-b811-4ec6-9b0e-b8fbf7de35b5"/>
    <n v="40"/>
    <x v="2"/>
    <x v="1"/>
    <x v="0"/>
    <n v="0.65"/>
    <n v="16"/>
    <x v="0"/>
    <x v="4"/>
    <n v="13.99"/>
    <x v="1"/>
    <x v="4"/>
    <n v="5"/>
    <n v="0.04"/>
    <x v="2"/>
  </r>
  <r>
    <s v="6b1bf8c4-e894-4ba9-9fad-7497ef253b7f"/>
    <n v="39"/>
    <x v="2"/>
    <x v="1"/>
    <x v="0"/>
    <n v="6.67"/>
    <n v="49"/>
    <x v="5"/>
    <x v="3"/>
    <n v="13.99"/>
    <x v="1"/>
    <x v="0"/>
    <n v="1"/>
    <n v="0.13"/>
    <x v="5"/>
  </r>
  <r>
    <s v="17570efb-4ba0-4b9f-8841-56492358c59a"/>
    <n v="40"/>
    <x v="2"/>
    <x v="0"/>
    <x v="0"/>
    <n v="12.53"/>
    <n v="30"/>
    <x v="4"/>
    <x v="2"/>
    <n v="13.99"/>
    <x v="0"/>
    <x v="0"/>
    <n v="4"/>
    <n v="0.4"/>
    <x v="5"/>
  </r>
  <r>
    <s v="d4fa918c-1bfb-4a9f-ab36-2179e743db0b"/>
    <n v="39"/>
    <x v="2"/>
    <x v="0"/>
    <x v="1"/>
    <n v="4.25"/>
    <n v="21"/>
    <x v="2"/>
    <x v="1"/>
    <n v="17.989999999999998"/>
    <x v="1"/>
    <x v="3"/>
    <n v="3"/>
    <n v="0.19"/>
    <x v="6"/>
  </r>
  <r>
    <s v="6843cc5d-4c0d-4a4f-a479-05001622c9bb"/>
    <n v="41"/>
    <x v="2"/>
    <x v="0"/>
    <x v="0"/>
    <n v="1.21"/>
    <n v="20"/>
    <x v="2"/>
    <x v="4"/>
    <n v="13.99"/>
    <x v="1"/>
    <x v="4"/>
    <n v="5"/>
    <n v="0.06"/>
    <x v="6"/>
  </r>
  <r>
    <s v="43e3cd1c-2c5a-4b3b-bd24-5a7d4ccd8bf2"/>
    <n v="44"/>
    <x v="2"/>
    <x v="1"/>
    <x v="0"/>
    <n v="10.18"/>
    <n v="56"/>
    <x v="4"/>
    <x v="1"/>
    <n v="13.99"/>
    <x v="1"/>
    <x v="1"/>
    <n v="3"/>
    <n v="0.18"/>
    <x v="4"/>
  </r>
  <r>
    <s v="5526ab76-d30d-4cdf-84cb-ff2d3217274a"/>
    <n v="40"/>
    <x v="2"/>
    <x v="2"/>
    <x v="0"/>
    <n v="3.48"/>
    <n v="29"/>
    <x v="5"/>
    <x v="1"/>
    <n v="13.99"/>
    <x v="0"/>
    <x v="1"/>
    <n v="4"/>
    <n v="0.12"/>
    <x v="0"/>
  </r>
  <r>
    <s v="3ee82784-d01b-44da-b1fe-bbfa81b78bf1"/>
    <n v="35"/>
    <x v="2"/>
    <x v="0"/>
    <x v="0"/>
    <n v="58.33"/>
    <n v="42"/>
    <x v="5"/>
    <x v="1"/>
    <n v="13.99"/>
    <x v="0"/>
    <x v="0"/>
    <n v="4"/>
    <n v="1.36"/>
    <x v="2"/>
  </r>
  <r>
    <s v="ddb44990-503f-4d57-b23e-81ee8e33e31c"/>
    <n v="37"/>
    <x v="2"/>
    <x v="1"/>
    <x v="2"/>
    <n v="18.149999999999999"/>
    <n v="54"/>
    <x v="4"/>
    <x v="3"/>
    <n v="8.99"/>
    <x v="1"/>
    <x v="1"/>
    <n v="1"/>
    <n v="0.33"/>
    <x v="6"/>
  </r>
  <r>
    <s v="b74f6b4b-a83d-4319-a121-99c5b4e1a7ed"/>
    <n v="37"/>
    <x v="2"/>
    <x v="1"/>
    <x v="2"/>
    <n v="1.32"/>
    <n v="11"/>
    <x v="2"/>
    <x v="0"/>
    <n v="8.99"/>
    <x v="1"/>
    <x v="4"/>
    <n v="5"/>
    <n v="0.11"/>
    <x v="2"/>
  </r>
  <r>
    <s v="c26d29b3-eac5-4ac4-82a5-116833c65582"/>
    <n v="38"/>
    <x v="2"/>
    <x v="1"/>
    <x v="1"/>
    <n v="3.64"/>
    <n v="39"/>
    <x v="3"/>
    <x v="3"/>
    <n v="17.989999999999998"/>
    <x v="1"/>
    <x v="4"/>
    <n v="5"/>
    <n v="0.09"/>
    <x v="0"/>
  </r>
  <r>
    <s v="e4d4a948-04d2-434f-a52c-ebc5151db43e"/>
    <n v="39"/>
    <x v="2"/>
    <x v="1"/>
    <x v="1"/>
    <n v="11.29"/>
    <n v="7"/>
    <x v="1"/>
    <x v="4"/>
    <n v="17.989999999999998"/>
    <x v="0"/>
    <x v="4"/>
    <n v="1"/>
    <n v="1.41"/>
    <x v="5"/>
  </r>
  <r>
    <s v="3c84119c-5db9-4cbb-ac42-45757da0210f"/>
    <n v="41"/>
    <x v="2"/>
    <x v="1"/>
    <x v="2"/>
    <n v="11.39"/>
    <n v="44"/>
    <x v="2"/>
    <x v="2"/>
    <n v="8.99"/>
    <x v="1"/>
    <x v="4"/>
    <n v="3"/>
    <n v="0.25"/>
    <x v="4"/>
  </r>
  <r>
    <s v="729ef660-eb97-4b5e-8765-4791dba2f754"/>
    <n v="41"/>
    <x v="2"/>
    <x v="0"/>
    <x v="1"/>
    <n v="1.5"/>
    <n v="60"/>
    <x v="2"/>
    <x v="3"/>
    <n v="17.989999999999998"/>
    <x v="1"/>
    <x v="4"/>
    <n v="5"/>
    <n v="0.02"/>
    <x v="2"/>
  </r>
  <r>
    <s v="e5bd752b-a772-4775-b45b-1f2fdd438ba7"/>
    <n v="37"/>
    <x v="2"/>
    <x v="2"/>
    <x v="1"/>
    <n v="3.73"/>
    <n v="31"/>
    <x v="0"/>
    <x v="0"/>
    <n v="17.989999999999998"/>
    <x v="1"/>
    <x v="3"/>
    <n v="5"/>
    <n v="0.12"/>
    <x v="5"/>
  </r>
  <r>
    <s v="23f24aaf-241e-4d60-a09e-7b0ca98bc162"/>
    <n v="35"/>
    <x v="2"/>
    <x v="1"/>
    <x v="2"/>
    <n v="0.56999999999999995"/>
    <n v="56"/>
    <x v="2"/>
    <x v="2"/>
    <n v="8.99"/>
    <x v="1"/>
    <x v="3"/>
    <n v="2"/>
    <n v="0.01"/>
    <x v="1"/>
  </r>
  <r>
    <s v="28dd1332-f527-4429-88e4-2c54f09b4578"/>
    <n v="40"/>
    <x v="2"/>
    <x v="1"/>
    <x v="0"/>
    <n v="12.82"/>
    <n v="36"/>
    <x v="0"/>
    <x v="0"/>
    <n v="13.99"/>
    <x v="1"/>
    <x v="2"/>
    <n v="2"/>
    <n v="0.35"/>
    <x v="4"/>
  </r>
  <r>
    <s v="67e5d466-d227-4f8e-9bda-0149ee523745"/>
    <n v="38"/>
    <x v="2"/>
    <x v="2"/>
    <x v="1"/>
    <n v="2.95"/>
    <n v="40"/>
    <x v="5"/>
    <x v="1"/>
    <n v="17.989999999999998"/>
    <x v="1"/>
    <x v="2"/>
    <n v="2"/>
    <n v="7.0000000000000007E-2"/>
    <x v="4"/>
  </r>
  <r>
    <s v="96e05214-21b3-4450-ab7c-2722a75e519d"/>
    <n v="39"/>
    <x v="2"/>
    <x v="0"/>
    <x v="2"/>
    <n v="10.64"/>
    <n v="57"/>
    <x v="5"/>
    <x v="1"/>
    <n v="8.99"/>
    <x v="1"/>
    <x v="1"/>
    <n v="1"/>
    <n v="0.18"/>
    <x v="3"/>
  </r>
  <r>
    <s v="34b11349-c05d-4937-a515-141c02818f64"/>
    <n v="36"/>
    <x v="2"/>
    <x v="1"/>
    <x v="0"/>
    <n v="23.37"/>
    <n v="57"/>
    <x v="3"/>
    <x v="0"/>
    <n v="13.99"/>
    <x v="0"/>
    <x v="2"/>
    <n v="5"/>
    <n v="0.4"/>
    <x v="1"/>
  </r>
  <r>
    <s v="0690ee56-dbe2-4187-9a3b-db22c49cea51"/>
    <n v="42"/>
    <x v="2"/>
    <x v="2"/>
    <x v="0"/>
    <n v="4.1100000000000003"/>
    <n v="54"/>
    <x v="0"/>
    <x v="2"/>
    <n v="13.99"/>
    <x v="1"/>
    <x v="1"/>
    <n v="1"/>
    <n v="7.0000000000000007E-2"/>
    <x v="6"/>
  </r>
  <r>
    <s v="72c79df9-fe17-4b36-887c-9ac68890f255"/>
    <n v="40"/>
    <x v="2"/>
    <x v="1"/>
    <x v="2"/>
    <n v="27.26"/>
    <n v="24"/>
    <x v="3"/>
    <x v="2"/>
    <n v="8.99"/>
    <x v="0"/>
    <x v="0"/>
    <n v="1"/>
    <n v="1.0900000000000001"/>
    <x v="3"/>
  </r>
  <r>
    <s v="3ead40cc-03a1-4cf8-abf1-cfed74120c33"/>
    <n v="40"/>
    <x v="2"/>
    <x v="0"/>
    <x v="1"/>
    <n v="0.12"/>
    <n v="28"/>
    <x v="5"/>
    <x v="3"/>
    <n v="17.989999999999998"/>
    <x v="1"/>
    <x v="0"/>
    <n v="4"/>
    <n v="0"/>
    <x v="4"/>
  </r>
  <r>
    <s v="35eda14f-a4c1-4e4d-a0ff-48d5f47d6cd0"/>
    <n v="36"/>
    <x v="2"/>
    <x v="1"/>
    <x v="0"/>
    <n v="22.9"/>
    <n v="47"/>
    <x v="2"/>
    <x v="3"/>
    <n v="13.99"/>
    <x v="0"/>
    <x v="0"/>
    <n v="2"/>
    <n v="0.48"/>
    <x v="5"/>
  </r>
  <r>
    <s v="0c23ddf6-2f6f-4738-bbbe-d03878cef662"/>
    <n v="37"/>
    <x v="2"/>
    <x v="1"/>
    <x v="2"/>
    <n v="8.77"/>
    <n v="41"/>
    <x v="1"/>
    <x v="0"/>
    <n v="8.99"/>
    <x v="1"/>
    <x v="0"/>
    <n v="2"/>
    <n v="0.21"/>
    <x v="2"/>
  </r>
  <r>
    <s v="5b1eeeb3-53e3-4ae2-bcfb-2b0d60e1a21c"/>
    <n v="38"/>
    <x v="2"/>
    <x v="2"/>
    <x v="1"/>
    <n v="43.56"/>
    <n v="26"/>
    <x v="5"/>
    <x v="1"/>
    <n v="17.989999999999998"/>
    <x v="0"/>
    <x v="1"/>
    <n v="3"/>
    <n v="1.61"/>
    <x v="2"/>
  </r>
  <r>
    <s v="cfe60bd5-d9f0-4eb7-bd59-3358e35bca91"/>
    <n v="42"/>
    <x v="2"/>
    <x v="0"/>
    <x v="2"/>
    <n v="2.8"/>
    <n v="40"/>
    <x v="4"/>
    <x v="0"/>
    <n v="8.99"/>
    <x v="1"/>
    <x v="4"/>
    <n v="4"/>
    <n v="7.0000000000000007E-2"/>
    <x v="1"/>
  </r>
  <r>
    <s v="1211c375-77c5-456b-b087-adb685025dd0"/>
    <n v="37"/>
    <x v="2"/>
    <x v="0"/>
    <x v="2"/>
    <n v="5.78"/>
    <n v="22"/>
    <x v="1"/>
    <x v="1"/>
    <n v="8.99"/>
    <x v="1"/>
    <x v="0"/>
    <n v="2"/>
    <n v="0.25"/>
    <x v="4"/>
  </r>
  <r>
    <s v="196f5f4b-47a8-496e-9ddb-9299912fd698"/>
    <n v="43"/>
    <x v="2"/>
    <x v="2"/>
    <x v="1"/>
    <n v="11.84"/>
    <n v="56"/>
    <x v="3"/>
    <x v="2"/>
    <n v="17.989999999999998"/>
    <x v="0"/>
    <x v="2"/>
    <n v="5"/>
    <n v="0.21"/>
    <x v="6"/>
  </r>
  <r>
    <s v="ecd368fd-0a23-436c-b18c-f79fa8d974c1"/>
    <n v="35"/>
    <x v="2"/>
    <x v="1"/>
    <x v="1"/>
    <n v="19.190000000000001"/>
    <n v="50"/>
    <x v="0"/>
    <x v="3"/>
    <n v="17.989999999999998"/>
    <x v="1"/>
    <x v="2"/>
    <n v="1"/>
    <n v="0.38"/>
    <x v="5"/>
  </r>
  <r>
    <s v="44e14173-268c-47b3-b10d-35e655f1b8d5"/>
    <n v="43"/>
    <x v="2"/>
    <x v="2"/>
    <x v="0"/>
    <n v="16.899999999999999"/>
    <n v="20"/>
    <x v="2"/>
    <x v="4"/>
    <n v="13.99"/>
    <x v="0"/>
    <x v="2"/>
    <n v="2"/>
    <n v="0.8"/>
    <x v="0"/>
  </r>
  <r>
    <s v="ec5781d8-464a-454c-baff-392f96621e07"/>
    <n v="35"/>
    <x v="2"/>
    <x v="0"/>
    <x v="1"/>
    <n v="38.65"/>
    <n v="21"/>
    <x v="0"/>
    <x v="3"/>
    <n v="17.989999999999998"/>
    <x v="0"/>
    <x v="3"/>
    <n v="4"/>
    <n v="1.76"/>
    <x v="2"/>
  </r>
  <r>
    <s v="2d4805d4-31be-4eb1-940d-a328774e9e5d"/>
    <n v="41"/>
    <x v="2"/>
    <x v="1"/>
    <x v="2"/>
    <n v="0.86"/>
    <n v="22"/>
    <x v="2"/>
    <x v="0"/>
    <n v="8.99"/>
    <x v="1"/>
    <x v="0"/>
    <n v="4"/>
    <n v="0.04"/>
    <x v="5"/>
  </r>
  <r>
    <s v="6e50444c-6c08-423f-b720-847af215bd41"/>
    <n v="37"/>
    <x v="2"/>
    <x v="0"/>
    <x v="0"/>
    <n v="0.59"/>
    <n v="13"/>
    <x v="5"/>
    <x v="0"/>
    <n v="13.99"/>
    <x v="1"/>
    <x v="2"/>
    <n v="3"/>
    <n v="0.04"/>
    <x v="6"/>
  </r>
  <r>
    <s v="18529d93-893a-4903-8289-5bc00dfbbbc6"/>
    <n v="35"/>
    <x v="2"/>
    <x v="2"/>
    <x v="0"/>
    <n v="4.7"/>
    <n v="13"/>
    <x v="5"/>
    <x v="4"/>
    <n v="13.99"/>
    <x v="1"/>
    <x v="0"/>
    <n v="4"/>
    <n v="0.34"/>
    <x v="6"/>
  </r>
  <r>
    <s v="b2b3bbdb-482c-4388-b355-c728f9da748f"/>
    <n v="39"/>
    <x v="2"/>
    <x v="1"/>
    <x v="0"/>
    <n v="35.700000000000003"/>
    <n v="7"/>
    <x v="2"/>
    <x v="0"/>
    <n v="13.99"/>
    <x v="0"/>
    <x v="0"/>
    <n v="4"/>
    <n v="4.46"/>
    <x v="6"/>
  </r>
  <r>
    <s v="769674ba-19e5-4a6a-b353-facf54fbb6e0"/>
    <n v="41"/>
    <x v="2"/>
    <x v="0"/>
    <x v="0"/>
    <n v="0.11"/>
    <n v="41"/>
    <x v="3"/>
    <x v="2"/>
    <n v="13.99"/>
    <x v="1"/>
    <x v="2"/>
    <n v="2"/>
    <n v="0"/>
    <x v="3"/>
  </r>
  <r>
    <s v="e5a8e0b5-5b5e-4613-acc4-76b38e03f958"/>
    <n v="42"/>
    <x v="2"/>
    <x v="1"/>
    <x v="1"/>
    <n v="8.18"/>
    <n v="40"/>
    <x v="1"/>
    <x v="2"/>
    <n v="17.989999999999998"/>
    <x v="0"/>
    <x v="2"/>
    <n v="5"/>
    <n v="0.2"/>
    <x v="4"/>
  </r>
  <r>
    <s v="0c07f09f-a442-4a69-a25d-8af2df6af414"/>
    <n v="38"/>
    <x v="2"/>
    <x v="1"/>
    <x v="0"/>
    <n v="6.49"/>
    <n v="50"/>
    <x v="5"/>
    <x v="0"/>
    <n v="13.99"/>
    <x v="0"/>
    <x v="3"/>
    <n v="5"/>
    <n v="0.13"/>
    <x v="4"/>
  </r>
  <r>
    <s v="af2f7a8e-6611-416a-8cbc-871e3df33a1b"/>
    <n v="41"/>
    <x v="2"/>
    <x v="0"/>
    <x v="0"/>
    <n v="2.97"/>
    <n v="46"/>
    <x v="4"/>
    <x v="4"/>
    <n v="13.99"/>
    <x v="1"/>
    <x v="2"/>
    <n v="1"/>
    <n v="0.06"/>
    <x v="2"/>
  </r>
  <r>
    <s v="965d9ef5-fdbf-48e4-a11e-8fd70b8dd4a9"/>
    <n v="35"/>
    <x v="2"/>
    <x v="0"/>
    <x v="1"/>
    <n v="3.78"/>
    <n v="37"/>
    <x v="3"/>
    <x v="1"/>
    <n v="17.989999999999998"/>
    <x v="1"/>
    <x v="1"/>
    <n v="5"/>
    <n v="0.1"/>
    <x v="0"/>
  </r>
  <r>
    <s v="b3e8ad34-ade8-4b9e-a72d-1629275399eb"/>
    <n v="36"/>
    <x v="2"/>
    <x v="0"/>
    <x v="0"/>
    <n v="6.49"/>
    <n v="21"/>
    <x v="4"/>
    <x v="1"/>
    <n v="13.99"/>
    <x v="0"/>
    <x v="2"/>
    <n v="5"/>
    <n v="0.28999999999999998"/>
    <x v="3"/>
  </r>
  <r>
    <s v="d3bfe52c-7f6a-4e4a-b895-a3210b84d94d"/>
    <n v="43"/>
    <x v="2"/>
    <x v="2"/>
    <x v="1"/>
    <n v="19.59"/>
    <n v="25"/>
    <x v="3"/>
    <x v="4"/>
    <n v="17.989999999999998"/>
    <x v="0"/>
    <x v="2"/>
    <n v="1"/>
    <n v="0.75"/>
    <x v="0"/>
  </r>
  <r>
    <s v="1c1c5145-fd13-4c0e-9a45-e18e9ebb6a07"/>
    <n v="36"/>
    <x v="2"/>
    <x v="2"/>
    <x v="0"/>
    <n v="1.36"/>
    <n v="58"/>
    <x v="4"/>
    <x v="3"/>
    <n v="13.99"/>
    <x v="1"/>
    <x v="2"/>
    <n v="5"/>
    <n v="0.02"/>
    <x v="5"/>
  </r>
  <r>
    <s v="9e153932-2f33-4f32-ac2d-279f5c5ffaab"/>
    <n v="37"/>
    <x v="2"/>
    <x v="0"/>
    <x v="1"/>
    <n v="7.53"/>
    <n v="48"/>
    <x v="0"/>
    <x v="3"/>
    <n v="17.989999999999998"/>
    <x v="1"/>
    <x v="3"/>
    <n v="3"/>
    <n v="0.15"/>
    <x v="5"/>
  </r>
  <r>
    <s v="a2860e45-9812-4952-8865-2c9113baae8d"/>
    <n v="44"/>
    <x v="2"/>
    <x v="0"/>
    <x v="0"/>
    <n v="62.82"/>
    <n v="44"/>
    <x v="3"/>
    <x v="3"/>
    <n v="13.99"/>
    <x v="0"/>
    <x v="2"/>
    <n v="4"/>
    <n v="1.4"/>
    <x v="6"/>
  </r>
  <r>
    <s v="bf57159a-63c5-479a-b4c8-ced4a60e2d2d"/>
    <n v="41"/>
    <x v="2"/>
    <x v="0"/>
    <x v="1"/>
    <n v="6.01"/>
    <n v="36"/>
    <x v="4"/>
    <x v="4"/>
    <n v="17.989999999999998"/>
    <x v="0"/>
    <x v="1"/>
    <n v="4"/>
    <n v="0.16"/>
    <x v="3"/>
  </r>
  <r>
    <s v="3c7bdc9d-9591-4914-8ba0-50080fe98b08"/>
    <n v="39"/>
    <x v="2"/>
    <x v="0"/>
    <x v="2"/>
    <n v="13.15"/>
    <n v="13"/>
    <x v="0"/>
    <x v="0"/>
    <n v="8.99"/>
    <x v="0"/>
    <x v="4"/>
    <n v="2"/>
    <n v="0.94"/>
    <x v="2"/>
  </r>
  <r>
    <s v="e43fd57a-efec-41d1-93be-ef8bb0e913be"/>
    <n v="38"/>
    <x v="2"/>
    <x v="2"/>
    <x v="0"/>
    <n v="6.68"/>
    <n v="15"/>
    <x v="5"/>
    <x v="2"/>
    <n v="13.99"/>
    <x v="0"/>
    <x v="2"/>
    <n v="1"/>
    <n v="0.42"/>
    <x v="0"/>
  </r>
  <r>
    <s v="b92f9947-8cc5-4c19-a6e2-92166d3183a6"/>
    <n v="35"/>
    <x v="2"/>
    <x v="0"/>
    <x v="1"/>
    <n v="9.17"/>
    <n v="43"/>
    <x v="0"/>
    <x v="2"/>
    <n v="17.989999999999998"/>
    <x v="1"/>
    <x v="0"/>
    <n v="3"/>
    <n v="0.21"/>
    <x v="0"/>
  </r>
  <r>
    <s v="20610703-f205-4e18-8f71-b06869a773d9"/>
    <n v="43"/>
    <x v="2"/>
    <x v="2"/>
    <x v="0"/>
    <n v="0.83"/>
    <n v="13"/>
    <x v="2"/>
    <x v="0"/>
    <n v="13.99"/>
    <x v="1"/>
    <x v="3"/>
    <n v="3"/>
    <n v="0.06"/>
    <x v="5"/>
  </r>
  <r>
    <s v="27ad2e65-11c8-44ef-b468-c1b5a271b2d6"/>
    <n v="37"/>
    <x v="2"/>
    <x v="1"/>
    <x v="2"/>
    <n v="3.68"/>
    <n v="45"/>
    <x v="3"/>
    <x v="1"/>
    <n v="8.99"/>
    <x v="1"/>
    <x v="2"/>
    <n v="3"/>
    <n v="0.08"/>
    <x v="6"/>
  </r>
  <r>
    <s v="6f635592-2a83-4d81-bfc8-1bc88a9a26a2"/>
    <n v="38"/>
    <x v="2"/>
    <x v="1"/>
    <x v="2"/>
    <n v="1.1299999999999999"/>
    <n v="41"/>
    <x v="0"/>
    <x v="3"/>
    <n v="8.99"/>
    <x v="1"/>
    <x v="0"/>
    <n v="2"/>
    <n v="0.03"/>
    <x v="1"/>
  </r>
  <r>
    <s v="017de893-5eca-4abb-a6fb-235bf52e1183"/>
    <n v="38"/>
    <x v="2"/>
    <x v="2"/>
    <x v="1"/>
    <n v="3.49"/>
    <n v="26"/>
    <x v="0"/>
    <x v="0"/>
    <n v="17.989999999999998"/>
    <x v="0"/>
    <x v="2"/>
    <n v="5"/>
    <n v="0.13"/>
    <x v="3"/>
  </r>
  <r>
    <s v="82ce0b3d-f1d9-4a0f-92cf-cef581133e3f"/>
    <n v="44"/>
    <x v="2"/>
    <x v="2"/>
    <x v="0"/>
    <n v="2.2799999999999998"/>
    <n v="59"/>
    <x v="0"/>
    <x v="1"/>
    <n v="13.99"/>
    <x v="1"/>
    <x v="0"/>
    <n v="2"/>
    <n v="0.04"/>
    <x v="1"/>
  </r>
  <r>
    <s v="f1f1260d-5360-470d-9818-505f8db68230"/>
    <n v="37"/>
    <x v="2"/>
    <x v="2"/>
    <x v="0"/>
    <n v="28.57"/>
    <n v="4"/>
    <x v="1"/>
    <x v="2"/>
    <n v="13.99"/>
    <x v="0"/>
    <x v="2"/>
    <n v="2"/>
    <n v="5.71"/>
    <x v="2"/>
  </r>
  <r>
    <s v="ebf85bd7-b3b1-4299-9d0f-e32e7fc3cd4a"/>
    <n v="41"/>
    <x v="2"/>
    <x v="0"/>
    <x v="1"/>
    <n v="14.17"/>
    <n v="19"/>
    <x v="4"/>
    <x v="4"/>
    <n v="17.989999999999998"/>
    <x v="0"/>
    <x v="4"/>
    <n v="3"/>
    <n v="0.71"/>
    <x v="3"/>
  </r>
  <r>
    <s v="3944f950-85d8-4cb2-bedb-09ce9cbed09c"/>
    <n v="39"/>
    <x v="2"/>
    <x v="0"/>
    <x v="1"/>
    <n v="3.69"/>
    <n v="26"/>
    <x v="0"/>
    <x v="4"/>
    <n v="17.989999999999998"/>
    <x v="1"/>
    <x v="0"/>
    <n v="5"/>
    <n v="0.14000000000000001"/>
    <x v="5"/>
  </r>
  <r>
    <s v="d9fc180d-06dc-4976-b536-f86b54c3006f"/>
    <n v="36"/>
    <x v="2"/>
    <x v="1"/>
    <x v="1"/>
    <n v="2.98"/>
    <n v="60"/>
    <x v="2"/>
    <x v="2"/>
    <n v="17.989999999999998"/>
    <x v="1"/>
    <x v="1"/>
    <n v="4"/>
    <n v="0.05"/>
    <x v="0"/>
  </r>
  <r>
    <s v="b80f6489-78a5-440f-8084-6db353891aeb"/>
    <n v="42"/>
    <x v="2"/>
    <x v="0"/>
    <x v="2"/>
    <n v="1.85"/>
    <n v="6"/>
    <x v="3"/>
    <x v="1"/>
    <n v="8.99"/>
    <x v="1"/>
    <x v="0"/>
    <n v="5"/>
    <n v="0.26"/>
    <x v="2"/>
  </r>
  <r>
    <s v="2f313767-ac03-459d-9300-05962c229980"/>
    <n v="39"/>
    <x v="2"/>
    <x v="2"/>
    <x v="1"/>
    <n v="9.7799999999999994"/>
    <n v="54"/>
    <x v="3"/>
    <x v="3"/>
    <n v="17.989999999999998"/>
    <x v="0"/>
    <x v="2"/>
    <n v="4"/>
    <n v="0.18"/>
    <x v="4"/>
  </r>
  <r>
    <s v="05ec7918-ccd6-4042-9577-99ccf86b3031"/>
    <n v="43"/>
    <x v="2"/>
    <x v="1"/>
    <x v="0"/>
    <n v="4.09"/>
    <n v="7"/>
    <x v="1"/>
    <x v="0"/>
    <n v="13.99"/>
    <x v="0"/>
    <x v="4"/>
    <n v="5"/>
    <n v="0.51"/>
    <x v="5"/>
  </r>
  <r>
    <s v="64b4c226-5693-4b0c-a064-e5e7567ef883"/>
    <n v="36"/>
    <x v="2"/>
    <x v="2"/>
    <x v="1"/>
    <n v="6.16"/>
    <n v="53"/>
    <x v="1"/>
    <x v="2"/>
    <n v="17.989999999999998"/>
    <x v="0"/>
    <x v="2"/>
    <n v="4"/>
    <n v="0.11"/>
    <x v="6"/>
  </r>
  <r>
    <s v="d50c7902-2f7e-4db5-b315-db3e9f0c2496"/>
    <n v="37"/>
    <x v="2"/>
    <x v="1"/>
    <x v="2"/>
    <n v="3.17"/>
    <n v="46"/>
    <x v="3"/>
    <x v="2"/>
    <n v="8.99"/>
    <x v="1"/>
    <x v="3"/>
    <n v="1"/>
    <n v="7.0000000000000007E-2"/>
    <x v="0"/>
  </r>
  <r>
    <s v="606e1bbd-36d5-45a1-9932-cf5aa3484e5c"/>
    <n v="40"/>
    <x v="2"/>
    <x v="2"/>
    <x v="0"/>
    <n v="3.11"/>
    <n v="51"/>
    <x v="5"/>
    <x v="4"/>
    <n v="13.99"/>
    <x v="1"/>
    <x v="4"/>
    <n v="5"/>
    <n v="0.06"/>
    <x v="0"/>
  </r>
  <r>
    <s v="054d48d4-e95f-4bb8-a4cb-e1bd7c448dbc"/>
    <n v="42"/>
    <x v="2"/>
    <x v="2"/>
    <x v="0"/>
    <n v="4.79"/>
    <n v="58"/>
    <x v="2"/>
    <x v="0"/>
    <n v="13.99"/>
    <x v="1"/>
    <x v="2"/>
    <n v="3"/>
    <n v="0.08"/>
    <x v="6"/>
  </r>
  <r>
    <s v="c4a05da1-d840-47cf-baf8-d8f4005a4928"/>
    <n v="42"/>
    <x v="2"/>
    <x v="1"/>
    <x v="2"/>
    <n v="5.46"/>
    <n v="41"/>
    <x v="0"/>
    <x v="1"/>
    <n v="8.99"/>
    <x v="1"/>
    <x v="1"/>
    <n v="3"/>
    <n v="0.13"/>
    <x v="3"/>
  </r>
  <r>
    <s v="3c07805f-4275-40c9-ac26-921ea46824e8"/>
    <n v="42"/>
    <x v="2"/>
    <x v="1"/>
    <x v="0"/>
    <n v="3.69"/>
    <n v="45"/>
    <x v="3"/>
    <x v="4"/>
    <n v="13.99"/>
    <x v="1"/>
    <x v="4"/>
    <n v="2"/>
    <n v="0.08"/>
    <x v="2"/>
  </r>
  <r>
    <s v="3ee5c136-2055-4e39-a9b9-46da20b123a7"/>
    <n v="39"/>
    <x v="2"/>
    <x v="2"/>
    <x v="1"/>
    <n v="7.45"/>
    <n v="24"/>
    <x v="3"/>
    <x v="2"/>
    <n v="17.989999999999998"/>
    <x v="0"/>
    <x v="1"/>
    <n v="1"/>
    <n v="0.3"/>
    <x v="6"/>
  </r>
  <r>
    <s v="e5697b4f-3b1f-40d0-a27f-ffbe199aa1fa"/>
    <n v="40"/>
    <x v="2"/>
    <x v="0"/>
    <x v="0"/>
    <n v="9.36"/>
    <n v="27"/>
    <x v="0"/>
    <x v="1"/>
    <n v="13.99"/>
    <x v="0"/>
    <x v="1"/>
    <n v="3"/>
    <n v="0.33"/>
    <x v="2"/>
  </r>
  <r>
    <s v="7f720eb2-a80f-4b4d-8daf-1f6829e1e9ae"/>
    <n v="44"/>
    <x v="2"/>
    <x v="2"/>
    <x v="1"/>
    <n v="1.68"/>
    <n v="16"/>
    <x v="5"/>
    <x v="3"/>
    <n v="17.989999999999998"/>
    <x v="1"/>
    <x v="1"/>
    <n v="2"/>
    <n v="0.1"/>
    <x v="0"/>
  </r>
  <r>
    <s v="a854b579-3d98-44fb-9d45-00ab83f24a6f"/>
    <n v="36"/>
    <x v="2"/>
    <x v="0"/>
    <x v="0"/>
    <n v="3.88"/>
    <n v="41"/>
    <x v="2"/>
    <x v="1"/>
    <n v="13.99"/>
    <x v="1"/>
    <x v="3"/>
    <n v="4"/>
    <n v="0.09"/>
    <x v="2"/>
  </r>
  <r>
    <s v="c614659a-26da-476a-864b-718733fe9da3"/>
    <n v="41"/>
    <x v="2"/>
    <x v="0"/>
    <x v="1"/>
    <n v="10.47"/>
    <n v="37"/>
    <x v="0"/>
    <x v="0"/>
    <n v="17.989999999999998"/>
    <x v="0"/>
    <x v="1"/>
    <n v="4"/>
    <n v="0.28000000000000003"/>
    <x v="6"/>
  </r>
  <r>
    <s v="7d08d89e-8404-4b5f-9997-bf9e6b5fb250"/>
    <n v="36"/>
    <x v="2"/>
    <x v="1"/>
    <x v="1"/>
    <n v="54.48"/>
    <n v="25"/>
    <x v="3"/>
    <x v="2"/>
    <n v="17.989999999999998"/>
    <x v="0"/>
    <x v="4"/>
    <n v="2"/>
    <n v="2.1"/>
    <x v="5"/>
  </r>
  <r>
    <s v="b188eb5c-8e85-49e6-be94-ebd9f6c8db61"/>
    <n v="35"/>
    <x v="2"/>
    <x v="1"/>
    <x v="0"/>
    <n v="8.18"/>
    <n v="36"/>
    <x v="2"/>
    <x v="2"/>
    <n v="13.99"/>
    <x v="1"/>
    <x v="1"/>
    <n v="2"/>
    <n v="0.22"/>
    <x v="4"/>
  </r>
  <r>
    <s v="0ce8e49e-5fe9-4acc-a9fa-9cc3afcfde73"/>
    <n v="44"/>
    <x v="2"/>
    <x v="1"/>
    <x v="1"/>
    <n v="11.7"/>
    <n v="28"/>
    <x v="1"/>
    <x v="3"/>
    <n v="17.989999999999998"/>
    <x v="0"/>
    <x v="1"/>
    <n v="3"/>
    <n v="0.4"/>
    <x v="2"/>
  </r>
  <r>
    <s v="8b5b904f-29d5-4933-ba64-957976fa103c"/>
    <n v="39"/>
    <x v="2"/>
    <x v="0"/>
    <x v="0"/>
    <n v="12.72"/>
    <n v="16"/>
    <x v="4"/>
    <x v="3"/>
    <n v="13.99"/>
    <x v="0"/>
    <x v="4"/>
    <n v="3"/>
    <n v="0.75"/>
    <x v="2"/>
  </r>
  <r>
    <s v="5fd6b79c-c1c6-45e2-9604-58cece9a92f7"/>
    <n v="40"/>
    <x v="2"/>
    <x v="2"/>
    <x v="1"/>
    <n v="1.85"/>
    <n v="46"/>
    <x v="4"/>
    <x v="2"/>
    <n v="17.989999999999998"/>
    <x v="1"/>
    <x v="0"/>
    <n v="1"/>
    <n v="0.04"/>
    <x v="3"/>
  </r>
  <r>
    <s v="051f8977-2874-40a1-b3ff-2374156b1ea0"/>
    <n v="36"/>
    <x v="2"/>
    <x v="0"/>
    <x v="1"/>
    <n v="8.8000000000000007"/>
    <n v="10"/>
    <x v="5"/>
    <x v="2"/>
    <n v="17.989999999999998"/>
    <x v="0"/>
    <x v="1"/>
    <n v="2"/>
    <n v="0.8"/>
    <x v="1"/>
  </r>
  <r>
    <s v="891545a3-c612-41af-b037-c9513bd65f4d"/>
    <n v="44"/>
    <x v="2"/>
    <x v="1"/>
    <x v="2"/>
    <n v="18.32"/>
    <n v="52"/>
    <x v="5"/>
    <x v="4"/>
    <n v="8.99"/>
    <x v="1"/>
    <x v="0"/>
    <n v="5"/>
    <n v="0.35"/>
    <x v="1"/>
  </r>
  <r>
    <s v="069324d5-5b98-413b-b77a-f60ebb7a0342"/>
    <n v="41"/>
    <x v="2"/>
    <x v="0"/>
    <x v="1"/>
    <n v="5.18"/>
    <n v="33"/>
    <x v="2"/>
    <x v="1"/>
    <n v="17.989999999999998"/>
    <x v="1"/>
    <x v="4"/>
    <n v="1"/>
    <n v="0.15"/>
    <x v="3"/>
  </r>
  <r>
    <s v="b72a5d95-24ba-4440-8288-b9aacfee95b9"/>
    <n v="40"/>
    <x v="2"/>
    <x v="0"/>
    <x v="1"/>
    <n v="11.57"/>
    <n v="11"/>
    <x v="2"/>
    <x v="1"/>
    <n v="17.989999999999998"/>
    <x v="0"/>
    <x v="1"/>
    <n v="3"/>
    <n v="0.96"/>
    <x v="5"/>
  </r>
  <r>
    <s v="8f6dc546-9b9c-41fb-9ed2-afac4e5c5a9e"/>
    <n v="36"/>
    <x v="2"/>
    <x v="1"/>
    <x v="2"/>
    <n v="21.08"/>
    <n v="27"/>
    <x v="3"/>
    <x v="2"/>
    <n v="8.99"/>
    <x v="0"/>
    <x v="1"/>
    <n v="2"/>
    <n v="0.75"/>
    <x v="3"/>
  </r>
  <r>
    <s v="fa307a7f-4a55-4e3a-a385-0de816f61de8"/>
    <n v="37"/>
    <x v="2"/>
    <x v="1"/>
    <x v="2"/>
    <n v="7.72"/>
    <n v="31"/>
    <x v="2"/>
    <x v="0"/>
    <n v="8.99"/>
    <x v="1"/>
    <x v="0"/>
    <n v="5"/>
    <n v="0.24"/>
    <x v="1"/>
  </r>
  <r>
    <s v="f1c437f2-b4be-40fb-9007-03dece9b63bd"/>
    <n v="42"/>
    <x v="2"/>
    <x v="1"/>
    <x v="0"/>
    <n v="7.51"/>
    <n v="28"/>
    <x v="1"/>
    <x v="1"/>
    <n v="13.99"/>
    <x v="0"/>
    <x v="4"/>
    <n v="1"/>
    <n v="0.26"/>
    <x v="5"/>
  </r>
  <r>
    <s v="a7b7aed8-c00a-4d06-8ffc-bf527572f7bb"/>
    <n v="44"/>
    <x v="2"/>
    <x v="0"/>
    <x v="2"/>
    <n v="9.35"/>
    <n v="56"/>
    <x v="3"/>
    <x v="4"/>
    <n v="8.99"/>
    <x v="1"/>
    <x v="0"/>
    <n v="5"/>
    <n v="0.16"/>
    <x v="6"/>
  </r>
  <r>
    <s v="febacab1-7c87-4a27-b2a5-6aaa51021c13"/>
    <n v="43"/>
    <x v="2"/>
    <x v="0"/>
    <x v="2"/>
    <n v="11.02"/>
    <n v="47"/>
    <x v="5"/>
    <x v="0"/>
    <n v="8.99"/>
    <x v="1"/>
    <x v="0"/>
    <n v="4"/>
    <n v="0.23"/>
    <x v="4"/>
  </r>
  <r>
    <s v="5b9fc53d-960a-475a-b189-b54d9c7564a6"/>
    <n v="35"/>
    <x v="2"/>
    <x v="0"/>
    <x v="1"/>
    <n v="8.44"/>
    <n v="47"/>
    <x v="0"/>
    <x v="1"/>
    <n v="17.989999999999998"/>
    <x v="1"/>
    <x v="0"/>
    <n v="4"/>
    <n v="0.18"/>
    <x v="6"/>
  </r>
  <r>
    <s v="c3144388-5e8f-4c1c-83ff-3129e562ba4e"/>
    <n v="40"/>
    <x v="2"/>
    <x v="1"/>
    <x v="0"/>
    <n v="1.46"/>
    <n v="44"/>
    <x v="1"/>
    <x v="1"/>
    <n v="13.99"/>
    <x v="1"/>
    <x v="2"/>
    <n v="3"/>
    <n v="0.03"/>
    <x v="5"/>
  </r>
  <r>
    <s v="90acaef3-45c4-49e4-bd9f-1faf1b350e71"/>
    <n v="44"/>
    <x v="2"/>
    <x v="0"/>
    <x v="2"/>
    <n v="9.89"/>
    <n v="39"/>
    <x v="0"/>
    <x v="2"/>
    <n v="8.99"/>
    <x v="1"/>
    <x v="4"/>
    <n v="4"/>
    <n v="0.25"/>
    <x v="6"/>
  </r>
  <r>
    <s v="c42b0dd0-9d7e-47eb-9b16-18c2195e9fce"/>
    <n v="41"/>
    <x v="2"/>
    <x v="1"/>
    <x v="2"/>
    <n v="19.100000000000001"/>
    <n v="2"/>
    <x v="1"/>
    <x v="2"/>
    <n v="8.99"/>
    <x v="0"/>
    <x v="3"/>
    <n v="1"/>
    <n v="6.37"/>
    <x v="6"/>
  </r>
  <r>
    <s v="4e16202d-72c0-4a59-974b-ba3e9c9fb04d"/>
    <n v="44"/>
    <x v="2"/>
    <x v="1"/>
    <x v="2"/>
    <n v="3.53"/>
    <n v="56"/>
    <x v="4"/>
    <x v="3"/>
    <n v="8.99"/>
    <x v="1"/>
    <x v="0"/>
    <n v="1"/>
    <n v="0.06"/>
    <x v="1"/>
  </r>
  <r>
    <s v="f49a225d-d3da-4584-8f5b-2d17ebb19bd7"/>
    <n v="42"/>
    <x v="2"/>
    <x v="2"/>
    <x v="1"/>
    <n v="18.09"/>
    <n v="10"/>
    <x v="2"/>
    <x v="0"/>
    <n v="17.989999999999998"/>
    <x v="0"/>
    <x v="1"/>
    <n v="2"/>
    <n v="1.64"/>
    <x v="2"/>
  </r>
  <r>
    <s v="88023604-f612-409e-9761-9fe2336a43e4"/>
    <n v="41"/>
    <x v="2"/>
    <x v="0"/>
    <x v="1"/>
    <n v="7.53"/>
    <n v="28"/>
    <x v="5"/>
    <x v="3"/>
    <n v="17.989999999999998"/>
    <x v="0"/>
    <x v="1"/>
    <n v="2"/>
    <n v="0.26"/>
    <x v="1"/>
  </r>
  <r>
    <s v="2635a91a-d4db-4458-8100-c8aa01ee55f1"/>
    <n v="35"/>
    <x v="2"/>
    <x v="2"/>
    <x v="2"/>
    <n v="5.07"/>
    <n v="41"/>
    <x v="2"/>
    <x v="0"/>
    <n v="8.99"/>
    <x v="1"/>
    <x v="1"/>
    <n v="2"/>
    <n v="0.12"/>
    <x v="2"/>
  </r>
  <r>
    <s v="8918b03e-e245-4ebf-b05f-158b557fcaea"/>
    <n v="38"/>
    <x v="2"/>
    <x v="0"/>
    <x v="1"/>
    <n v="20.14"/>
    <n v="40"/>
    <x v="3"/>
    <x v="3"/>
    <n v="17.989999999999998"/>
    <x v="0"/>
    <x v="3"/>
    <n v="3"/>
    <n v="0.49"/>
    <x v="0"/>
  </r>
  <r>
    <s v="d3cdf140-4887-4f53-a5d3-ec891892c883"/>
    <n v="36"/>
    <x v="2"/>
    <x v="2"/>
    <x v="1"/>
    <n v="0.98"/>
    <n v="55"/>
    <x v="5"/>
    <x v="2"/>
    <n v="17.989999999999998"/>
    <x v="1"/>
    <x v="1"/>
    <n v="2"/>
    <n v="0.02"/>
    <x v="1"/>
  </r>
  <r>
    <s v="8868e07d-acc4-4b62-808a-ad4553109922"/>
    <n v="42"/>
    <x v="2"/>
    <x v="2"/>
    <x v="2"/>
    <n v="7.09"/>
    <n v="21"/>
    <x v="3"/>
    <x v="0"/>
    <n v="8.99"/>
    <x v="1"/>
    <x v="1"/>
    <n v="1"/>
    <n v="0.32"/>
    <x v="3"/>
  </r>
  <r>
    <s v="91a11dc0-b609-434f-a1d2-3ecd42d2321b"/>
    <n v="35"/>
    <x v="2"/>
    <x v="1"/>
    <x v="2"/>
    <n v="1.21"/>
    <n v="4"/>
    <x v="5"/>
    <x v="3"/>
    <n v="8.99"/>
    <x v="1"/>
    <x v="4"/>
    <n v="2"/>
    <n v="0.24"/>
    <x v="3"/>
  </r>
  <r>
    <s v="a96d856f-c265-4f78-80d5-f6d85c2e3e48"/>
    <n v="38"/>
    <x v="2"/>
    <x v="0"/>
    <x v="2"/>
    <n v="3.08"/>
    <n v="53"/>
    <x v="4"/>
    <x v="3"/>
    <n v="8.99"/>
    <x v="1"/>
    <x v="4"/>
    <n v="2"/>
    <n v="0.06"/>
    <x v="1"/>
  </r>
  <r>
    <s v="57a0a7ed-21ea-4587-b519-ab35689cc9c8"/>
    <n v="40"/>
    <x v="2"/>
    <x v="0"/>
    <x v="0"/>
    <n v="7.66"/>
    <n v="57"/>
    <x v="0"/>
    <x v="3"/>
    <n v="13.99"/>
    <x v="1"/>
    <x v="0"/>
    <n v="1"/>
    <n v="0.13"/>
    <x v="3"/>
  </r>
  <r>
    <s v="3afd0a8c-2d06-41f8-954a-e439e193f21d"/>
    <n v="43"/>
    <x v="2"/>
    <x v="0"/>
    <x v="0"/>
    <n v="12.58"/>
    <n v="16"/>
    <x v="5"/>
    <x v="3"/>
    <n v="13.99"/>
    <x v="0"/>
    <x v="2"/>
    <n v="4"/>
    <n v="0.74"/>
    <x v="2"/>
  </r>
  <r>
    <s v="1c663855-e700-49cf-8512-224b34d1efac"/>
    <n v="37"/>
    <x v="2"/>
    <x v="1"/>
    <x v="1"/>
    <n v="14.54"/>
    <n v="22"/>
    <x v="4"/>
    <x v="4"/>
    <n v="17.989999999999998"/>
    <x v="0"/>
    <x v="1"/>
    <n v="2"/>
    <n v="0.63"/>
    <x v="0"/>
  </r>
  <r>
    <s v="27482340-b055-4041-aeb1-1a0feb5dec60"/>
    <n v="36"/>
    <x v="2"/>
    <x v="2"/>
    <x v="0"/>
    <n v="12.66"/>
    <n v="34"/>
    <x v="4"/>
    <x v="3"/>
    <n v="13.99"/>
    <x v="1"/>
    <x v="3"/>
    <n v="1"/>
    <n v="0.36"/>
    <x v="5"/>
  </r>
  <r>
    <s v="35119411-b270-46a9-b807-5f703dc512e5"/>
    <n v="38"/>
    <x v="2"/>
    <x v="1"/>
    <x v="0"/>
    <n v="0.08"/>
    <n v="35"/>
    <x v="1"/>
    <x v="1"/>
    <n v="13.99"/>
    <x v="1"/>
    <x v="4"/>
    <n v="1"/>
    <n v="0"/>
    <x v="1"/>
  </r>
  <r>
    <s v="2e1aad64-26cc-449a-b08c-fbedd731de31"/>
    <n v="36"/>
    <x v="2"/>
    <x v="2"/>
    <x v="1"/>
    <n v="11.69"/>
    <n v="23"/>
    <x v="0"/>
    <x v="0"/>
    <n v="17.989999999999998"/>
    <x v="0"/>
    <x v="4"/>
    <n v="3"/>
    <n v="0.49"/>
    <x v="0"/>
  </r>
  <r>
    <s v="7aa81ae5-8879-4d6b-ac2c-e30ddadbbef6"/>
    <n v="42"/>
    <x v="2"/>
    <x v="1"/>
    <x v="0"/>
    <n v="14.09"/>
    <n v="57"/>
    <x v="3"/>
    <x v="2"/>
    <n v="13.99"/>
    <x v="0"/>
    <x v="1"/>
    <n v="4"/>
    <n v="0.24"/>
    <x v="3"/>
  </r>
  <r>
    <s v="59631c00-9348-44af-a232-40e34ec07c22"/>
    <n v="35"/>
    <x v="2"/>
    <x v="0"/>
    <x v="2"/>
    <n v="6.03"/>
    <n v="42"/>
    <x v="1"/>
    <x v="2"/>
    <n v="8.99"/>
    <x v="1"/>
    <x v="2"/>
    <n v="3"/>
    <n v="0.14000000000000001"/>
    <x v="0"/>
  </r>
  <r>
    <s v="1f736007-b6d2-447a-840d-89c0ee65629b"/>
    <n v="42"/>
    <x v="2"/>
    <x v="1"/>
    <x v="1"/>
    <n v="9.19"/>
    <n v="5"/>
    <x v="2"/>
    <x v="2"/>
    <n v="17.989999999999998"/>
    <x v="0"/>
    <x v="3"/>
    <n v="5"/>
    <n v="1.53"/>
    <x v="2"/>
  </r>
  <r>
    <s v="797e3a2d-50ad-478d-9f62-48f49771dd87"/>
    <n v="44"/>
    <x v="2"/>
    <x v="1"/>
    <x v="2"/>
    <n v="1.06"/>
    <n v="37"/>
    <x v="0"/>
    <x v="3"/>
    <n v="8.99"/>
    <x v="1"/>
    <x v="0"/>
    <n v="1"/>
    <n v="0.03"/>
    <x v="1"/>
  </r>
  <r>
    <s v="12fa97b3-078a-4a97-b338-f130fb3762a4"/>
    <n v="41"/>
    <x v="2"/>
    <x v="2"/>
    <x v="0"/>
    <n v="8.6"/>
    <n v="47"/>
    <x v="3"/>
    <x v="2"/>
    <n v="13.99"/>
    <x v="1"/>
    <x v="3"/>
    <n v="2"/>
    <n v="0.18"/>
    <x v="3"/>
  </r>
  <r>
    <s v="1753bc3c-d5f3-4507-bbc9-3d8d2de87bf6"/>
    <n v="36"/>
    <x v="2"/>
    <x v="2"/>
    <x v="1"/>
    <n v="13.68"/>
    <n v="3"/>
    <x v="2"/>
    <x v="4"/>
    <n v="17.989999999999998"/>
    <x v="0"/>
    <x v="0"/>
    <n v="3"/>
    <n v="3.42"/>
    <x v="1"/>
  </r>
  <r>
    <s v="b13b45b8-9130-4222-aced-db116c542c50"/>
    <n v="36"/>
    <x v="2"/>
    <x v="2"/>
    <x v="1"/>
    <n v="7.25"/>
    <n v="36"/>
    <x v="5"/>
    <x v="4"/>
    <n v="17.989999999999998"/>
    <x v="0"/>
    <x v="2"/>
    <n v="5"/>
    <n v="0.2"/>
    <x v="1"/>
  </r>
  <r>
    <s v="b4a4ef53-4da5-4b3a-818d-7a2db7b6dc3c"/>
    <n v="39"/>
    <x v="2"/>
    <x v="1"/>
    <x v="1"/>
    <n v="12.34"/>
    <n v="30"/>
    <x v="3"/>
    <x v="0"/>
    <n v="17.989999999999998"/>
    <x v="0"/>
    <x v="1"/>
    <n v="5"/>
    <n v="0.4"/>
    <x v="1"/>
  </r>
  <r>
    <s v="9318ddca-73d1-425f-8cf2-180b30bf5c37"/>
    <n v="36"/>
    <x v="2"/>
    <x v="0"/>
    <x v="0"/>
    <n v="22.11"/>
    <n v="6"/>
    <x v="1"/>
    <x v="1"/>
    <n v="13.99"/>
    <x v="0"/>
    <x v="2"/>
    <n v="4"/>
    <n v="3.16"/>
    <x v="3"/>
  </r>
  <r>
    <s v="a36af881-f75f-42aa-bb55-aa8f43cd2c1f"/>
    <n v="37"/>
    <x v="2"/>
    <x v="2"/>
    <x v="0"/>
    <n v="5.43"/>
    <n v="46"/>
    <x v="3"/>
    <x v="0"/>
    <n v="13.99"/>
    <x v="0"/>
    <x v="3"/>
    <n v="5"/>
    <n v="0.12"/>
    <x v="5"/>
  </r>
  <r>
    <s v="433c3f13-1127-42b6-bff7-8801b71cdaf6"/>
    <n v="36"/>
    <x v="2"/>
    <x v="1"/>
    <x v="2"/>
    <n v="5.39"/>
    <n v="4"/>
    <x v="0"/>
    <x v="4"/>
    <n v="8.99"/>
    <x v="0"/>
    <x v="1"/>
    <n v="2"/>
    <n v="1.08"/>
    <x v="0"/>
  </r>
  <r>
    <s v="87dd331e-af28-4193-ad16-3fa4dde9f4df"/>
    <n v="43"/>
    <x v="2"/>
    <x v="0"/>
    <x v="2"/>
    <n v="15.64"/>
    <n v="8"/>
    <x v="5"/>
    <x v="2"/>
    <n v="8.99"/>
    <x v="0"/>
    <x v="1"/>
    <n v="1"/>
    <n v="1.74"/>
    <x v="3"/>
  </r>
  <r>
    <s v="1a4dc981-f642-40e7-be57-eb92abdce2cd"/>
    <n v="38"/>
    <x v="2"/>
    <x v="1"/>
    <x v="1"/>
    <n v="0.55000000000000004"/>
    <n v="3"/>
    <x v="3"/>
    <x v="3"/>
    <n v="17.989999999999998"/>
    <x v="1"/>
    <x v="1"/>
    <n v="1"/>
    <n v="0.14000000000000001"/>
    <x v="5"/>
  </r>
  <r>
    <s v="530f7589-89c5-487c-a14a-d1500bb9fc21"/>
    <n v="44"/>
    <x v="2"/>
    <x v="0"/>
    <x v="0"/>
    <n v="3.08"/>
    <n v="58"/>
    <x v="0"/>
    <x v="0"/>
    <n v="13.99"/>
    <x v="1"/>
    <x v="3"/>
    <n v="1"/>
    <n v="0.05"/>
    <x v="4"/>
  </r>
  <r>
    <s v="cc1eecc4-1916-4342-9400-b18c036d98e5"/>
    <n v="43"/>
    <x v="2"/>
    <x v="0"/>
    <x v="0"/>
    <n v="1.86"/>
    <n v="52"/>
    <x v="0"/>
    <x v="4"/>
    <n v="13.99"/>
    <x v="1"/>
    <x v="4"/>
    <n v="3"/>
    <n v="0.04"/>
    <x v="1"/>
  </r>
  <r>
    <s v="8629cc72-e810-4acd-89b5-51614d21b070"/>
    <n v="39"/>
    <x v="2"/>
    <x v="0"/>
    <x v="0"/>
    <n v="6.5"/>
    <n v="12"/>
    <x v="0"/>
    <x v="4"/>
    <n v="13.99"/>
    <x v="0"/>
    <x v="0"/>
    <n v="4"/>
    <n v="0.5"/>
    <x v="6"/>
  </r>
  <r>
    <s v="a35dfad2-b67f-40ea-871c-37c1ec686bda"/>
    <n v="39"/>
    <x v="2"/>
    <x v="0"/>
    <x v="1"/>
    <n v="4.67"/>
    <n v="9"/>
    <x v="5"/>
    <x v="0"/>
    <n v="17.989999999999998"/>
    <x v="1"/>
    <x v="0"/>
    <n v="3"/>
    <n v="0.47"/>
    <x v="6"/>
  </r>
  <r>
    <s v="7dae8155-8114-4ead-acab-712cdb9fecda"/>
    <n v="36"/>
    <x v="2"/>
    <x v="0"/>
    <x v="0"/>
    <n v="9.16"/>
    <n v="47"/>
    <x v="2"/>
    <x v="3"/>
    <n v="13.99"/>
    <x v="1"/>
    <x v="0"/>
    <n v="5"/>
    <n v="0.19"/>
    <x v="3"/>
  </r>
  <r>
    <s v="23738ea6-6051-407f-b134-54b5abf97c76"/>
    <n v="43"/>
    <x v="2"/>
    <x v="1"/>
    <x v="1"/>
    <n v="4.96"/>
    <n v="34"/>
    <x v="1"/>
    <x v="0"/>
    <n v="17.989999999999998"/>
    <x v="1"/>
    <x v="0"/>
    <n v="3"/>
    <n v="0.14000000000000001"/>
    <x v="5"/>
  </r>
  <r>
    <s v="0f3aff18-a29f-48d1-96fd-3dce25aa3f30"/>
    <n v="41"/>
    <x v="2"/>
    <x v="0"/>
    <x v="2"/>
    <n v="23.74"/>
    <n v="8"/>
    <x v="4"/>
    <x v="2"/>
    <n v="8.99"/>
    <x v="0"/>
    <x v="0"/>
    <n v="2"/>
    <n v="2.64"/>
    <x v="5"/>
  </r>
  <r>
    <s v="b2ac1325-4f88-49f8-b626-c339c8a839b8"/>
    <n v="37"/>
    <x v="2"/>
    <x v="1"/>
    <x v="1"/>
    <n v="11.15"/>
    <n v="60"/>
    <x v="5"/>
    <x v="3"/>
    <n v="17.989999999999998"/>
    <x v="0"/>
    <x v="3"/>
    <n v="4"/>
    <n v="0.18"/>
    <x v="5"/>
  </r>
  <r>
    <s v="ad2be0d3-7744-43bd-b4b8-5b61799756a1"/>
    <n v="42"/>
    <x v="2"/>
    <x v="1"/>
    <x v="2"/>
    <n v="2.65"/>
    <n v="30"/>
    <x v="3"/>
    <x v="0"/>
    <n v="8.99"/>
    <x v="1"/>
    <x v="4"/>
    <n v="1"/>
    <n v="0.09"/>
    <x v="5"/>
  </r>
  <r>
    <s v="5b2ec7eb-5ee5-4b1a-a409-88f9b0dba73e"/>
    <n v="39"/>
    <x v="2"/>
    <x v="0"/>
    <x v="1"/>
    <n v="7.21"/>
    <n v="42"/>
    <x v="3"/>
    <x v="4"/>
    <n v="17.989999999999998"/>
    <x v="1"/>
    <x v="3"/>
    <n v="2"/>
    <n v="0.17"/>
    <x v="3"/>
  </r>
  <r>
    <s v="37b1f7e9-731b-45f0-8b64-0019780a7c3c"/>
    <n v="36"/>
    <x v="2"/>
    <x v="2"/>
    <x v="1"/>
    <n v="25.23"/>
    <n v="53"/>
    <x v="3"/>
    <x v="2"/>
    <n v="17.989999999999998"/>
    <x v="0"/>
    <x v="0"/>
    <n v="2"/>
    <n v="0.47"/>
    <x v="6"/>
  </r>
  <r>
    <s v="0c65fd72-9e3b-4033-99ed-4397ccf9346f"/>
    <n v="40"/>
    <x v="2"/>
    <x v="1"/>
    <x v="2"/>
    <n v="4.68"/>
    <n v="25"/>
    <x v="3"/>
    <x v="4"/>
    <n v="8.99"/>
    <x v="1"/>
    <x v="3"/>
    <n v="5"/>
    <n v="0.18"/>
    <x v="3"/>
  </r>
  <r>
    <s v="88d0c4cb-a32d-45df-b849-536859b8ba10"/>
    <n v="43"/>
    <x v="2"/>
    <x v="1"/>
    <x v="0"/>
    <n v="13.53"/>
    <n v="15"/>
    <x v="1"/>
    <x v="4"/>
    <n v="13.99"/>
    <x v="0"/>
    <x v="1"/>
    <n v="4"/>
    <n v="0.85"/>
    <x v="1"/>
  </r>
  <r>
    <s v="9b18d52f-d169-4ac0-aae9-840d5b8fd937"/>
    <n v="40"/>
    <x v="2"/>
    <x v="0"/>
    <x v="1"/>
    <n v="0.17"/>
    <n v="58"/>
    <x v="2"/>
    <x v="3"/>
    <n v="17.989999999999998"/>
    <x v="1"/>
    <x v="4"/>
    <n v="5"/>
    <n v="0"/>
    <x v="2"/>
  </r>
  <r>
    <s v="85f3c893-5cb4-402f-893a-563686a5a644"/>
    <n v="40"/>
    <x v="2"/>
    <x v="0"/>
    <x v="1"/>
    <n v="30.61"/>
    <n v="35"/>
    <x v="1"/>
    <x v="0"/>
    <n v="17.989999999999998"/>
    <x v="0"/>
    <x v="1"/>
    <n v="3"/>
    <n v="0.85"/>
    <x v="4"/>
  </r>
  <r>
    <s v="44bf9ce1-bd7d-40f8-a16c-abce926888ae"/>
    <n v="40"/>
    <x v="2"/>
    <x v="1"/>
    <x v="1"/>
    <n v="4.13"/>
    <n v="58"/>
    <x v="4"/>
    <x v="3"/>
    <n v="17.989999999999998"/>
    <x v="1"/>
    <x v="0"/>
    <n v="3"/>
    <n v="7.0000000000000007E-2"/>
    <x v="3"/>
  </r>
  <r>
    <s v="75609f51-5ee6-4cac-ad28-a3821e94554e"/>
    <n v="37"/>
    <x v="2"/>
    <x v="0"/>
    <x v="2"/>
    <n v="4.6900000000000004"/>
    <n v="25"/>
    <x v="1"/>
    <x v="4"/>
    <n v="8.99"/>
    <x v="1"/>
    <x v="4"/>
    <n v="4"/>
    <n v="0.18"/>
    <x v="4"/>
  </r>
  <r>
    <s v="f33d248f-0bb4-4189-919e-61f1a239d69e"/>
    <n v="38"/>
    <x v="2"/>
    <x v="2"/>
    <x v="1"/>
    <n v="2.2400000000000002"/>
    <n v="58"/>
    <x v="3"/>
    <x v="1"/>
    <n v="17.989999999999998"/>
    <x v="1"/>
    <x v="1"/>
    <n v="4"/>
    <n v="0.04"/>
    <x v="5"/>
  </r>
  <r>
    <s v="39319e9d-faad-4026-bac4-4270b7853cd0"/>
    <n v="40"/>
    <x v="2"/>
    <x v="2"/>
    <x v="1"/>
    <n v="46.29"/>
    <n v="26"/>
    <x v="3"/>
    <x v="1"/>
    <n v="17.989999999999998"/>
    <x v="0"/>
    <x v="0"/>
    <n v="4"/>
    <n v="1.71"/>
    <x v="0"/>
  </r>
  <r>
    <s v="7b2c7b95-8650-4966-80b5-50bcedc9ef73"/>
    <n v="35"/>
    <x v="2"/>
    <x v="0"/>
    <x v="1"/>
    <n v="3.59"/>
    <n v="53"/>
    <x v="0"/>
    <x v="4"/>
    <n v="17.989999999999998"/>
    <x v="1"/>
    <x v="0"/>
    <n v="3"/>
    <n v="7.0000000000000007E-2"/>
    <x v="4"/>
  </r>
  <r>
    <s v="3b02d521-586b-4e03-88dc-a0e6f9d01eda"/>
    <n v="42"/>
    <x v="2"/>
    <x v="1"/>
    <x v="1"/>
    <n v="10.89"/>
    <n v="31"/>
    <x v="2"/>
    <x v="4"/>
    <n v="17.989999999999998"/>
    <x v="0"/>
    <x v="3"/>
    <n v="5"/>
    <n v="0.34"/>
    <x v="0"/>
  </r>
  <r>
    <s v="501815fc-7cd1-4680-8c34-93a69e69f7eb"/>
    <n v="37"/>
    <x v="2"/>
    <x v="2"/>
    <x v="0"/>
    <n v="8.39"/>
    <n v="8"/>
    <x v="5"/>
    <x v="3"/>
    <n v="13.99"/>
    <x v="0"/>
    <x v="0"/>
    <n v="5"/>
    <n v="0.93"/>
    <x v="3"/>
  </r>
  <r>
    <s v="8a86d03a-5e09-42ff-bd95-e5195e959450"/>
    <n v="35"/>
    <x v="2"/>
    <x v="0"/>
    <x v="1"/>
    <n v="26.28"/>
    <n v="23"/>
    <x v="1"/>
    <x v="3"/>
    <n v="17.989999999999998"/>
    <x v="0"/>
    <x v="1"/>
    <n v="1"/>
    <n v="1.0900000000000001"/>
    <x v="0"/>
  </r>
  <r>
    <s v="dcf5f39e-43d4-4d3e-bd9a-217b4ef016b8"/>
    <n v="37"/>
    <x v="2"/>
    <x v="2"/>
    <x v="2"/>
    <n v="37.369999999999997"/>
    <n v="52"/>
    <x v="3"/>
    <x v="3"/>
    <n v="8.99"/>
    <x v="0"/>
    <x v="3"/>
    <n v="3"/>
    <n v="0.71"/>
    <x v="0"/>
  </r>
  <r>
    <s v="81ff625a-3b7d-4d84-8a40-c0e42881eab7"/>
    <n v="44"/>
    <x v="2"/>
    <x v="2"/>
    <x v="2"/>
    <n v="19.82"/>
    <n v="43"/>
    <x v="2"/>
    <x v="2"/>
    <n v="8.99"/>
    <x v="1"/>
    <x v="3"/>
    <n v="2"/>
    <n v="0.45"/>
    <x v="1"/>
  </r>
  <r>
    <s v="2a0d5401-4f2f-49e7-811e-f0ea4fe51a48"/>
    <n v="39"/>
    <x v="2"/>
    <x v="2"/>
    <x v="2"/>
    <n v="22.24"/>
    <n v="47"/>
    <x v="4"/>
    <x v="1"/>
    <n v="8.99"/>
    <x v="1"/>
    <x v="1"/>
    <n v="3"/>
    <n v="0.46"/>
    <x v="3"/>
  </r>
  <r>
    <s v="dc750f45-8d0f-4d97-9c14-5f2c12b388df"/>
    <n v="35"/>
    <x v="2"/>
    <x v="2"/>
    <x v="1"/>
    <n v="9.2899999999999991"/>
    <n v="20"/>
    <x v="3"/>
    <x v="4"/>
    <n v="17.989999999999998"/>
    <x v="0"/>
    <x v="1"/>
    <n v="4"/>
    <n v="0.44"/>
    <x v="1"/>
  </r>
  <r>
    <s v="7d6adea2-0428-4b69-b74a-83be5a20dcdd"/>
    <n v="38"/>
    <x v="2"/>
    <x v="0"/>
    <x v="0"/>
    <n v="1.69"/>
    <n v="12"/>
    <x v="3"/>
    <x v="2"/>
    <n v="13.99"/>
    <x v="1"/>
    <x v="1"/>
    <n v="3"/>
    <n v="0.13"/>
    <x v="0"/>
  </r>
  <r>
    <s v="0b3ee497-e62e-42de-907d-169ab8c05e41"/>
    <n v="42"/>
    <x v="2"/>
    <x v="2"/>
    <x v="1"/>
    <n v="2.81"/>
    <n v="32"/>
    <x v="1"/>
    <x v="3"/>
    <n v="17.989999999999998"/>
    <x v="1"/>
    <x v="4"/>
    <n v="2"/>
    <n v="0.09"/>
    <x v="1"/>
  </r>
  <r>
    <s v="fbf49131-0d40-4538-b833-61f2853232f7"/>
    <n v="41"/>
    <x v="2"/>
    <x v="0"/>
    <x v="0"/>
    <n v="18.04"/>
    <n v="49"/>
    <x v="2"/>
    <x v="0"/>
    <n v="13.99"/>
    <x v="0"/>
    <x v="3"/>
    <n v="4"/>
    <n v="0.36"/>
    <x v="4"/>
  </r>
  <r>
    <s v="003a0b79-bbe0-4fc3-a472-6f41163304f6"/>
    <n v="38"/>
    <x v="2"/>
    <x v="0"/>
    <x v="1"/>
    <n v="34.08"/>
    <n v="1"/>
    <x v="4"/>
    <x v="1"/>
    <n v="17.989999999999998"/>
    <x v="0"/>
    <x v="2"/>
    <n v="4"/>
    <n v="17.04"/>
    <x v="0"/>
  </r>
  <r>
    <s v="1e5ea5bb-78d0-44d0-8ed9-1ab9ee0f5ec6"/>
    <n v="40"/>
    <x v="2"/>
    <x v="2"/>
    <x v="2"/>
    <n v="23.44"/>
    <n v="40"/>
    <x v="4"/>
    <x v="0"/>
    <n v="8.99"/>
    <x v="0"/>
    <x v="4"/>
    <n v="4"/>
    <n v="0.56999999999999995"/>
    <x v="2"/>
  </r>
  <r>
    <s v="04df6b31-22ff-4a64-b1f9-fde97eed25f8"/>
    <n v="37"/>
    <x v="2"/>
    <x v="1"/>
    <x v="0"/>
    <n v="26.94"/>
    <n v="12"/>
    <x v="3"/>
    <x v="3"/>
    <n v="13.99"/>
    <x v="0"/>
    <x v="4"/>
    <n v="3"/>
    <n v="2.0699999999999998"/>
    <x v="5"/>
  </r>
  <r>
    <s v="aa9475e4-00e1-4e7c-9c1b-780632d33b3d"/>
    <n v="39"/>
    <x v="2"/>
    <x v="2"/>
    <x v="2"/>
    <n v="7.67"/>
    <n v="27"/>
    <x v="3"/>
    <x v="4"/>
    <n v="8.99"/>
    <x v="0"/>
    <x v="2"/>
    <n v="3"/>
    <n v="0.27"/>
    <x v="1"/>
  </r>
  <r>
    <s v="5bf04dcf-b209-4833-a2b7-be6c11aa6a41"/>
    <n v="38"/>
    <x v="2"/>
    <x v="0"/>
    <x v="0"/>
    <n v="2.44"/>
    <n v="11"/>
    <x v="5"/>
    <x v="1"/>
    <n v="13.99"/>
    <x v="1"/>
    <x v="4"/>
    <n v="5"/>
    <n v="0.2"/>
    <x v="5"/>
  </r>
  <r>
    <s v="61ae1e60-0d02-409b-b105-b64c3f2ecf90"/>
    <n v="38"/>
    <x v="2"/>
    <x v="2"/>
    <x v="1"/>
    <n v="5.89"/>
    <n v="2"/>
    <x v="1"/>
    <x v="3"/>
    <n v="17.989999999999998"/>
    <x v="0"/>
    <x v="0"/>
    <n v="1"/>
    <n v="1.96"/>
    <x v="4"/>
  </r>
  <r>
    <s v="2a4f3f62-fb1c-4854-b2d0-8078586f0eff"/>
    <n v="43"/>
    <x v="2"/>
    <x v="2"/>
    <x v="0"/>
    <n v="12.79"/>
    <n v="36"/>
    <x v="3"/>
    <x v="4"/>
    <n v="13.99"/>
    <x v="0"/>
    <x v="2"/>
    <n v="5"/>
    <n v="0.35"/>
    <x v="5"/>
  </r>
  <r>
    <s v="6d118c34-ab50-4536-a2a2-b07a214e2343"/>
    <n v="43"/>
    <x v="2"/>
    <x v="0"/>
    <x v="0"/>
    <n v="5.74"/>
    <n v="6"/>
    <x v="5"/>
    <x v="2"/>
    <n v="13.99"/>
    <x v="0"/>
    <x v="2"/>
    <n v="3"/>
    <n v="0.82"/>
    <x v="0"/>
  </r>
  <r>
    <s v="755df1c3-0358-4107-9e92-d5bcc92e25ff"/>
    <n v="39"/>
    <x v="2"/>
    <x v="0"/>
    <x v="0"/>
    <n v="15.89"/>
    <n v="21"/>
    <x v="5"/>
    <x v="3"/>
    <n v="13.99"/>
    <x v="0"/>
    <x v="4"/>
    <n v="4"/>
    <n v="0.72"/>
    <x v="6"/>
  </r>
  <r>
    <s v="1ada8db6-b7b4-4bfc-ae3d-600e0fce87c6"/>
    <n v="42"/>
    <x v="2"/>
    <x v="1"/>
    <x v="1"/>
    <n v="25.84"/>
    <n v="59"/>
    <x v="4"/>
    <x v="4"/>
    <n v="17.989999999999998"/>
    <x v="0"/>
    <x v="3"/>
    <n v="3"/>
    <n v="0.43"/>
    <x v="1"/>
  </r>
  <r>
    <s v="eb5b6e30-6cc5-4abf-a0e0-99faac5951e6"/>
    <n v="41"/>
    <x v="2"/>
    <x v="2"/>
    <x v="2"/>
    <n v="9.42"/>
    <n v="19"/>
    <x v="2"/>
    <x v="2"/>
    <n v="8.99"/>
    <x v="1"/>
    <x v="3"/>
    <n v="1"/>
    <n v="0.47"/>
    <x v="5"/>
  </r>
  <r>
    <s v="99e90dad-2eaa-46e0-838a-ed38065dcef8"/>
    <n v="37"/>
    <x v="2"/>
    <x v="0"/>
    <x v="2"/>
    <n v="4.76"/>
    <n v="41"/>
    <x v="0"/>
    <x v="3"/>
    <n v="8.99"/>
    <x v="1"/>
    <x v="3"/>
    <n v="3"/>
    <n v="0.11"/>
    <x v="4"/>
  </r>
  <r>
    <s v="67370c23-ea2c-4fae-a662-bac10e67fb5d"/>
    <n v="40"/>
    <x v="2"/>
    <x v="0"/>
    <x v="1"/>
    <n v="3.93"/>
    <n v="30"/>
    <x v="4"/>
    <x v="4"/>
    <n v="17.989999999999998"/>
    <x v="0"/>
    <x v="1"/>
    <n v="4"/>
    <n v="0.13"/>
    <x v="5"/>
  </r>
  <r>
    <s v="d58c60e4-282f-48df-a284-f965335453a6"/>
    <n v="37"/>
    <x v="2"/>
    <x v="1"/>
    <x v="1"/>
    <n v="5.97"/>
    <n v="57"/>
    <x v="5"/>
    <x v="3"/>
    <n v="17.989999999999998"/>
    <x v="0"/>
    <x v="2"/>
    <n v="5"/>
    <n v="0.1"/>
    <x v="3"/>
  </r>
  <r>
    <s v="eae91e7a-6c46-4327-b6d4-a5ad5d813d39"/>
    <n v="43"/>
    <x v="2"/>
    <x v="1"/>
    <x v="0"/>
    <n v="12.39"/>
    <n v="31"/>
    <x v="1"/>
    <x v="0"/>
    <n v="13.99"/>
    <x v="1"/>
    <x v="3"/>
    <n v="3"/>
    <n v="0.39"/>
    <x v="1"/>
  </r>
  <r>
    <s v="d2947208-73ad-4e8c-9665-809f51d636fb"/>
    <n v="44"/>
    <x v="2"/>
    <x v="0"/>
    <x v="2"/>
    <n v="50.38"/>
    <n v="53"/>
    <x v="4"/>
    <x v="2"/>
    <n v="8.99"/>
    <x v="0"/>
    <x v="0"/>
    <n v="4"/>
    <n v="0.93"/>
    <x v="2"/>
  </r>
  <r>
    <s v="cc7fca45-d81c-4971-8fd7-2a953250de71"/>
    <n v="44"/>
    <x v="2"/>
    <x v="2"/>
    <x v="0"/>
    <n v="0.91"/>
    <n v="39"/>
    <x v="4"/>
    <x v="1"/>
    <n v="13.99"/>
    <x v="1"/>
    <x v="0"/>
    <n v="2"/>
    <n v="0.02"/>
    <x v="1"/>
  </r>
  <r>
    <s v="2d9e4af8-9f66-4585-9e71-d42609937bb8"/>
    <n v="37"/>
    <x v="2"/>
    <x v="2"/>
    <x v="1"/>
    <n v="4.12"/>
    <n v="28"/>
    <x v="5"/>
    <x v="2"/>
    <n v="17.989999999999998"/>
    <x v="1"/>
    <x v="3"/>
    <n v="1"/>
    <n v="0.14000000000000001"/>
    <x v="0"/>
  </r>
  <r>
    <s v="730c39fa-5f30-44a1-9ca8-0fb76e80cd16"/>
    <n v="37"/>
    <x v="2"/>
    <x v="2"/>
    <x v="2"/>
    <n v="17.29"/>
    <n v="49"/>
    <x v="4"/>
    <x v="4"/>
    <n v="8.99"/>
    <x v="1"/>
    <x v="3"/>
    <n v="3"/>
    <n v="0.35"/>
    <x v="2"/>
  </r>
  <r>
    <s v="3d0adeac-cb46-4796-8548-b37987c94581"/>
    <n v="44"/>
    <x v="2"/>
    <x v="0"/>
    <x v="2"/>
    <n v="1.75"/>
    <n v="52"/>
    <x v="3"/>
    <x v="0"/>
    <n v="8.99"/>
    <x v="1"/>
    <x v="0"/>
    <n v="5"/>
    <n v="0.03"/>
    <x v="0"/>
  </r>
  <r>
    <s v="ccddfb15-797a-4e9e-b571-4675290b071d"/>
    <n v="42"/>
    <x v="2"/>
    <x v="0"/>
    <x v="0"/>
    <n v="4.16"/>
    <n v="46"/>
    <x v="0"/>
    <x v="1"/>
    <n v="13.99"/>
    <x v="1"/>
    <x v="1"/>
    <n v="5"/>
    <n v="0.09"/>
    <x v="2"/>
  </r>
  <r>
    <s v="724493ea-fdfc-4cb1-914c-4f157f8803a8"/>
    <n v="41"/>
    <x v="2"/>
    <x v="1"/>
    <x v="2"/>
    <n v="1.06"/>
    <n v="30"/>
    <x v="0"/>
    <x v="4"/>
    <n v="8.99"/>
    <x v="1"/>
    <x v="1"/>
    <n v="4"/>
    <n v="0.03"/>
    <x v="2"/>
  </r>
  <r>
    <s v="b146adf9-cdfd-48d7-bc1c-0748cca548b2"/>
    <n v="38"/>
    <x v="2"/>
    <x v="2"/>
    <x v="2"/>
    <n v="15.01"/>
    <n v="11"/>
    <x v="2"/>
    <x v="0"/>
    <n v="8.99"/>
    <x v="0"/>
    <x v="1"/>
    <n v="3"/>
    <n v="1.25"/>
    <x v="5"/>
  </r>
  <r>
    <s v="d2bbf3a7-d910-4d8b-b554-497251508886"/>
    <n v="36"/>
    <x v="2"/>
    <x v="1"/>
    <x v="0"/>
    <n v="3.89"/>
    <n v="37"/>
    <x v="2"/>
    <x v="0"/>
    <n v="13.99"/>
    <x v="1"/>
    <x v="0"/>
    <n v="3"/>
    <n v="0.1"/>
    <x v="4"/>
  </r>
  <r>
    <s v="99cbb3de-fe56-4704-82c1-ffa8dd5c7a36"/>
    <n v="40"/>
    <x v="2"/>
    <x v="0"/>
    <x v="2"/>
    <n v="3"/>
    <n v="0"/>
    <x v="5"/>
    <x v="1"/>
    <n v="8.99"/>
    <x v="0"/>
    <x v="1"/>
    <n v="4"/>
    <n v="3"/>
    <x v="0"/>
  </r>
  <r>
    <s v="77601669-57ba-4d83-822b-2c9d3fbee785"/>
    <n v="38"/>
    <x v="2"/>
    <x v="0"/>
    <x v="1"/>
    <n v="12.49"/>
    <n v="38"/>
    <x v="5"/>
    <x v="0"/>
    <n v="17.989999999999998"/>
    <x v="1"/>
    <x v="2"/>
    <n v="1"/>
    <n v="0.32"/>
    <x v="6"/>
  </r>
  <r>
    <s v="107f9e60-e4ce-4fe0-b90f-7f478b64e346"/>
    <n v="36"/>
    <x v="2"/>
    <x v="0"/>
    <x v="2"/>
    <n v="9.02"/>
    <n v="32"/>
    <x v="1"/>
    <x v="4"/>
    <n v="8.99"/>
    <x v="1"/>
    <x v="3"/>
    <n v="2"/>
    <n v="0.27"/>
    <x v="6"/>
  </r>
  <r>
    <s v="e88ae0bf-e5ca-4295-ab09-1ea14e389b70"/>
    <n v="43"/>
    <x v="2"/>
    <x v="0"/>
    <x v="2"/>
    <n v="3.17"/>
    <n v="30"/>
    <x v="4"/>
    <x v="1"/>
    <n v="8.99"/>
    <x v="1"/>
    <x v="3"/>
    <n v="4"/>
    <n v="0.1"/>
    <x v="4"/>
  </r>
  <r>
    <s v="74dcb7c7-74c6-43e6-9034-d1a72adad651"/>
    <n v="44"/>
    <x v="2"/>
    <x v="0"/>
    <x v="2"/>
    <n v="9.0299999999999994"/>
    <n v="49"/>
    <x v="5"/>
    <x v="3"/>
    <n v="8.99"/>
    <x v="1"/>
    <x v="2"/>
    <n v="2"/>
    <n v="0.18"/>
    <x v="5"/>
  </r>
  <r>
    <s v="32b42dc3-6e82-44bb-b5d0-f323244aba7c"/>
    <n v="44"/>
    <x v="2"/>
    <x v="0"/>
    <x v="2"/>
    <n v="7.25"/>
    <n v="19"/>
    <x v="5"/>
    <x v="3"/>
    <n v="8.99"/>
    <x v="1"/>
    <x v="2"/>
    <n v="1"/>
    <n v="0.36"/>
    <x v="2"/>
  </r>
  <r>
    <s v="71f9b5da-cd65-4d82-aadc-03be9f0d0822"/>
    <n v="43"/>
    <x v="2"/>
    <x v="2"/>
    <x v="1"/>
    <n v="14.21"/>
    <n v="11"/>
    <x v="2"/>
    <x v="0"/>
    <n v="17.989999999999998"/>
    <x v="0"/>
    <x v="3"/>
    <n v="3"/>
    <n v="1.18"/>
    <x v="2"/>
  </r>
  <r>
    <s v="2619177e-ff09-4d89-b00b-f61e7dad8bf9"/>
    <n v="44"/>
    <x v="2"/>
    <x v="2"/>
    <x v="1"/>
    <n v="1.22"/>
    <n v="24"/>
    <x v="5"/>
    <x v="4"/>
    <n v="17.989999999999998"/>
    <x v="1"/>
    <x v="0"/>
    <n v="3"/>
    <n v="0.05"/>
    <x v="2"/>
  </r>
  <r>
    <s v="a2fa6fbd-35f8-4db0-aff2-2673727dc84c"/>
    <n v="40"/>
    <x v="2"/>
    <x v="0"/>
    <x v="0"/>
    <n v="3.21"/>
    <n v="58"/>
    <x v="1"/>
    <x v="3"/>
    <n v="13.99"/>
    <x v="1"/>
    <x v="3"/>
    <n v="2"/>
    <n v="0.05"/>
    <x v="3"/>
  </r>
  <r>
    <s v="c298405c-4f93-4e45-b8ce-de46bc13b51a"/>
    <n v="37"/>
    <x v="2"/>
    <x v="1"/>
    <x v="2"/>
    <n v="6.29"/>
    <n v="16"/>
    <x v="3"/>
    <x v="4"/>
    <n v="8.99"/>
    <x v="0"/>
    <x v="1"/>
    <n v="2"/>
    <n v="0.37"/>
    <x v="0"/>
  </r>
  <r>
    <s v="107b7ac2-d69a-482e-ba42-0707d07983f5"/>
    <n v="36"/>
    <x v="2"/>
    <x v="0"/>
    <x v="0"/>
    <n v="2.06"/>
    <n v="24"/>
    <x v="3"/>
    <x v="1"/>
    <n v="13.99"/>
    <x v="1"/>
    <x v="0"/>
    <n v="1"/>
    <n v="0.08"/>
    <x v="4"/>
  </r>
  <r>
    <s v="db07d34d-d62e-4cee-a65b-00f8a336c73b"/>
    <n v="37"/>
    <x v="2"/>
    <x v="2"/>
    <x v="2"/>
    <n v="9.34"/>
    <n v="43"/>
    <x v="0"/>
    <x v="4"/>
    <n v="8.99"/>
    <x v="1"/>
    <x v="0"/>
    <n v="3"/>
    <n v="0.21"/>
    <x v="6"/>
  </r>
  <r>
    <s v="76cc2999-f28b-46ee-b31d-a27407c1f421"/>
    <n v="36"/>
    <x v="2"/>
    <x v="2"/>
    <x v="1"/>
    <n v="22.32"/>
    <n v="55"/>
    <x v="0"/>
    <x v="0"/>
    <n v="17.989999999999998"/>
    <x v="0"/>
    <x v="4"/>
    <n v="3"/>
    <n v="0.4"/>
    <x v="0"/>
  </r>
  <r>
    <s v="1b9db6e9-6522-4731-9474-7b1f63da1fc9"/>
    <n v="44"/>
    <x v="2"/>
    <x v="2"/>
    <x v="2"/>
    <n v="21.72"/>
    <n v="0"/>
    <x v="0"/>
    <x v="4"/>
    <n v="8.99"/>
    <x v="0"/>
    <x v="0"/>
    <n v="2"/>
    <n v="21.72"/>
    <x v="5"/>
  </r>
  <r>
    <s v="ac919ac2-e711-45b2-8d74-f2d164585c15"/>
    <n v="37"/>
    <x v="2"/>
    <x v="0"/>
    <x v="0"/>
    <n v="11.8"/>
    <n v="23"/>
    <x v="3"/>
    <x v="1"/>
    <n v="13.99"/>
    <x v="0"/>
    <x v="1"/>
    <n v="3"/>
    <n v="0.49"/>
    <x v="1"/>
  </r>
  <r>
    <s v="d85e4916-857b-4008-b7a5-20ea8157e9af"/>
    <n v="36"/>
    <x v="2"/>
    <x v="2"/>
    <x v="0"/>
    <n v="4.34"/>
    <n v="57"/>
    <x v="2"/>
    <x v="1"/>
    <n v="13.99"/>
    <x v="1"/>
    <x v="1"/>
    <n v="3"/>
    <n v="7.0000000000000007E-2"/>
    <x v="4"/>
  </r>
  <r>
    <s v="17ed341d-de04-4466-8b18-bda03f5e38fd"/>
    <n v="35"/>
    <x v="2"/>
    <x v="0"/>
    <x v="1"/>
    <n v="12.01"/>
    <n v="5"/>
    <x v="0"/>
    <x v="2"/>
    <n v="17.989999999999998"/>
    <x v="0"/>
    <x v="1"/>
    <n v="4"/>
    <n v="2"/>
    <x v="2"/>
  </r>
  <r>
    <s v="37c521d5-e042-4dc6-a38a-be7eafeb9092"/>
    <n v="37"/>
    <x v="2"/>
    <x v="1"/>
    <x v="0"/>
    <n v="0.44"/>
    <n v="35"/>
    <x v="3"/>
    <x v="0"/>
    <n v="13.99"/>
    <x v="1"/>
    <x v="4"/>
    <n v="2"/>
    <n v="0.01"/>
    <x v="2"/>
  </r>
  <r>
    <s v="3e3cfb79-20ef-4690-a186-7f69adb9c1c6"/>
    <n v="35"/>
    <x v="2"/>
    <x v="1"/>
    <x v="2"/>
    <n v="14.78"/>
    <n v="24"/>
    <x v="0"/>
    <x v="2"/>
    <n v="8.99"/>
    <x v="0"/>
    <x v="0"/>
    <n v="4"/>
    <n v="0.59"/>
    <x v="6"/>
  </r>
  <r>
    <s v="c726aec5-29ec-4b62-b752-7d9f91d7ebd1"/>
    <n v="41"/>
    <x v="2"/>
    <x v="1"/>
    <x v="0"/>
    <n v="2.14"/>
    <n v="59"/>
    <x v="4"/>
    <x v="3"/>
    <n v="13.99"/>
    <x v="1"/>
    <x v="2"/>
    <n v="1"/>
    <n v="0.04"/>
    <x v="2"/>
  </r>
  <r>
    <s v="8bdf4628-437d-4675-a5bd-c0e70adb590d"/>
    <n v="37"/>
    <x v="2"/>
    <x v="1"/>
    <x v="0"/>
    <n v="8.25"/>
    <n v="4"/>
    <x v="4"/>
    <x v="1"/>
    <n v="13.99"/>
    <x v="0"/>
    <x v="3"/>
    <n v="1"/>
    <n v="1.65"/>
    <x v="2"/>
  </r>
  <r>
    <s v="33e54062-d5b6-400e-9f34-fe98abbe476c"/>
    <n v="39"/>
    <x v="2"/>
    <x v="2"/>
    <x v="1"/>
    <n v="21.09"/>
    <n v="57"/>
    <x v="4"/>
    <x v="1"/>
    <n v="17.989999999999998"/>
    <x v="0"/>
    <x v="4"/>
    <n v="2"/>
    <n v="0.36"/>
    <x v="0"/>
  </r>
  <r>
    <s v="56eae98d-0f94-42e9-bc74-b87ee559adc0"/>
    <n v="38"/>
    <x v="2"/>
    <x v="0"/>
    <x v="2"/>
    <n v="7.99"/>
    <n v="27"/>
    <x v="2"/>
    <x v="2"/>
    <n v="8.99"/>
    <x v="0"/>
    <x v="2"/>
    <n v="3"/>
    <n v="0.28999999999999998"/>
    <x v="1"/>
  </r>
  <r>
    <s v="fe3fe07b-85b9-4f24-aef0-78a120ffca7d"/>
    <n v="39"/>
    <x v="2"/>
    <x v="2"/>
    <x v="1"/>
    <n v="4.84"/>
    <n v="0"/>
    <x v="3"/>
    <x v="1"/>
    <n v="17.989999999999998"/>
    <x v="0"/>
    <x v="1"/>
    <n v="2"/>
    <n v="4.84"/>
    <x v="1"/>
  </r>
  <r>
    <s v="e2dfa569-35ea-412e-9a4e-2b194f5d62c8"/>
    <n v="37"/>
    <x v="2"/>
    <x v="2"/>
    <x v="1"/>
    <n v="24.13"/>
    <n v="31"/>
    <x v="2"/>
    <x v="0"/>
    <n v="17.989999999999998"/>
    <x v="0"/>
    <x v="0"/>
    <n v="2"/>
    <n v="0.75"/>
    <x v="3"/>
  </r>
  <r>
    <s v="e444d340-ba14-40bd-99f4-85f85f98cf78"/>
    <n v="44"/>
    <x v="2"/>
    <x v="1"/>
    <x v="2"/>
    <n v="22.22"/>
    <n v="42"/>
    <x v="0"/>
    <x v="4"/>
    <n v="8.99"/>
    <x v="0"/>
    <x v="4"/>
    <n v="5"/>
    <n v="0.52"/>
    <x v="1"/>
  </r>
  <r>
    <s v="e12dbde6-af94-4fed-8392-75efd9f8c1a8"/>
    <n v="44"/>
    <x v="2"/>
    <x v="2"/>
    <x v="0"/>
    <n v="27.08"/>
    <n v="16"/>
    <x v="0"/>
    <x v="3"/>
    <n v="13.99"/>
    <x v="0"/>
    <x v="0"/>
    <n v="3"/>
    <n v="1.59"/>
    <x v="2"/>
  </r>
  <r>
    <s v="def3e5b6-5ce0-4d69-b0b5-b39fad417a6d"/>
    <n v="35"/>
    <x v="2"/>
    <x v="2"/>
    <x v="1"/>
    <n v="9.51"/>
    <n v="2"/>
    <x v="5"/>
    <x v="3"/>
    <n v="17.989999999999998"/>
    <x v="0"/>
    <x v="4"/>
    <n v="1"/>
    <n v="3.17"/>
    <x v="2"/>
  </r>
  <r>
    <s v="b27e3290-ca39-4779-89db-6402ae280a3d"/>
    <n v="37"/>
    <x v="2"/>
    <x v="1"/>
    <x v="2"/>
    <n v="23.55"/>
    <n v="17"/>
    <x v="1"/>
    <x v="2"/>
    <n v="8.99"/>
    <x v="0"/>
    <x v="0"/>
    <n v="2"/>
    <n v="1.31"/>
    <x v="1"/>
  </r>
  <r>
    <s v="8a0a4ccf-0708-43c7-8b95-12cf9b4fb001"/>
    <n v="38"/>
    <x v="2"/>
    <x v="0"/>
    <x v="2"/>
    <n v="5.61"/>
    <n v="12"/>
    <x v="2"/>
    <x v="3"/>
    <n v="8.99"/>
    <x v="1"/>
    <x v="4"/>
    <n v="2"/>
    <n v="0.43"/>
    <x v="0"/>
  </r>
  <r>
    <s v="67ce86b7-0f74-4af8-acf1-5987206db796"/>
    <n v="41"/>
    <x v="2"/>
    <x v="2"/>
    <x v="1"/>
    <n v="10.7"/>
    <n v="50"/>
    <x v="2"/>
    <x v="4"/>
    <n v="17.989999999999998"/>
    <x v="0"/>
    <x v="3"/>
    <n v="5"/>
    <n v="0.21"/>
    <x v="0"/>
  </r>
  <r>
    <s v="827b839a-2a40-41e8-a668-3e84708aab8d"/>
    <n v="44"/>
    <x v="2"/>
    <x v="0"/>
    <x v="2"/>
    <n v="47.4"/>
    <n v="9"/>
    <x v="4"/>
    <x v="3"/>
    <n v="8.99"/>
    <x v="0"/>
    <x v="1"/>
    <n v="5"/>
    <n v="4.74"/>
    <x v="4"/>
  </r>
  <r>
    <s v="6c297fda-c973-4435-ac49-c330b5e20030"/>
    <n v="40"/>
    <x v="2"/>
    <x v="2"/>
    <x v="2"/>
    <n v="2.2400000000000002"/>
    <n v="9"/>
    <x v="5"/>
    <x v="3"/>
    <n v="8.99"/>
    <x v="1"/>
    <x v="1"/>
    <n v="2"/>
    <n v="0.22"/>
    <x v="0"/>
  </r>
  <r>
    <s v="b160aa5f-532a-4e17-999d-5d17abb3926f"/>
    <n v="38"/>
    <x v="2"/>
    <x v="1"/>
    <x v="0"/>
    <n v="32.69"/>
    <n v="7"/>
    <x v="0"/>
    <x v="4"/>
    <n v="13.99"/>
    <x v="0"/>
    <x v="4"/>
    <n v="4"/>
    <n v="4.09"/>
    <x v="5"/>
  </r>
  <r>
    <s v="ca6e759e-e5b0-4f69-b548-2acfba9ef338"/>
    <n v="41"/>
    <x v="2"/>
    <x v="2"/>
    <x v="1"/>
    <n v="10.81"/>
    <n v="44"/>
    <x v="2"/>
    <x v="4"/>
    <n v="17.989999999999998"/>
    <x v="1"/>
    <x v="4"/>
    <n v="3"/>
    <n v="0.24"/>
    <x v="5"/>
  </r>
  <r>
    <s v="58ae61ba-c2a5-4ae2-b3ec-3a99c8ea6357"/>
    <n v="38"/>
    <x v="2"/>
    <x v="1"/>
    <x v="0"/>
    <n v="29.16"/>
    <n v="46"/>
    <x v="4"/>
    <x v="4"/>
    <n v="13.99"/>
    <x v="0"/>
    <x v="0"/>
    <n v="5"/>
    <n v="0.62"/>
    <x v="0"/>
  </r>
  <r>
    <s v="b78b1bc6-d7d2-45a0-ba76-f10383ccc023"/>
    <n v="35"/>
    <x v="2"/>
    <x v="0"/>
    <x v="1"/>
    <n v="14.42"/>
    <n v="30"/>
    <x v="2"/>
    <x v="0"/>
    <n v="17.989999999999998"/>
    <x v="0"/>
    <x v="4"/>
    <n v="2"/>
    <n v="0.47"/>
    <x v="3"/>
  </r>
  <r>
    <s v="7bb98f8f-da88-4641-9a18-990f20e1ec42"/>
    <n v="35"/>
    <x v="2"/>
    <x v="2"/>
    <x v="0"/>
    <n v="1.91"/>
    <n v="38"/>
    <x v="0"/>
    <x v="3"/>
    <n v="13.99"/>
    <x v="1"/>
    <x v="1"/>
    <n v="2"/>
    <n v="0.05"/>
    <x v="0"/>
  </r>
  <r>
    <s v="48231d68-14ab-4cff-a17c-f9fb1022ba1a"/>
    <n v="43"/>
    <x v="2"/>
    <x v="2"/>
    <x v="0"/>
    <n v="16.440000000000001"/>
    <n v="60"/>
    <x v="3"/>
    <x v="1"/>
    <n v="13.99"/>
    <x v="1"/>
    <x v="4"/>
    <n v="4"/>
    <n v="0.27"/>
    <x v="0"/>
  </r>
  <r>
    <s v="625dc945-cbd7-42b5-9199-2f64f2abd664"/>
    <n v="41"/>
    <x v="2"/>
    <x v="1"/>
    <x v="0"/>
    <n v="3.59"/>
    <n v="41"/>
    <x v="3"/>
    <x v="1"/>
    <n v="13.99"/>
    <x v="1"/>
    <x v="4"/>
    <n v="5"/>
    <n v="0.09"/>
    <x v="1"/>
  </r>
  <r>
    <s v="7370e647-9b05-42bd-8ede-b893eebcbafc"/>
    <n v="35"/>
    <x v="2"/>
    <x v="1"/>
    <x v="2"/>
    <n v="0.87"/>
    <n v="58"/>
    <x v="4"/>
    <x v="4"/>
    <n v="8.99"/>
    <x v="1"/>
    <x v="1"/>
    <n v="5"/>
    <n v="0.01"/>
    <x v="3"/>
  </r>
  <r>
    <s v="00dda31e-daec-401f-af63-32a4bd2be0f9"/>
    <n v="42"/>
    <x v="2"/>
    <x v="0"/>
    <x v="2"/>
    <n v="9.75"/>
    <n v="48"/>
    <x v="2"/>
    <x v="1"/>
    <n v="8.99"/>
    <x v="1"/>
    <x v="0"/>
    <n v="5"/>
    <n v="0.2"/>
    <x v="6"/>
  </r>
  <r>
    <s v="62d7e157-addd-463a-8fa3-07f8f309d8ca"/>
    <n v="35"/>
    <x v="2"/>
    <x v="1"/>
    <x v="2"/>
    <n v="0.03"/>
    <n v="5"/>
    <x v="0"/>
    <x v="0"/>
    <n v="8.99"/>
    <x v="1"/>
    <x v="3"/>
    <n v="3"/>
    <n v="0.01"/>
    <x v="2"/>
  </r>
  <r>
    <s v="91d28d6e-d797-43b0-918a-180131e67a89"/>
    <n v="37"/>
    <x v="2"/>
    <x v="2"/>
    <x v="0"/>
    <n v="21.24"/>
    <n v="41"/>
    <x v="5"/>
    <x v="2"/>
    <n v="13.99"/>
    <x v="0"/>
    <x v="1"/>
    <n v="4"/>
    <n v="0.51"/>
    <x v="0"/>
  </r>
  <r>
    <s v="b8109934-3350-4d7d-a4a2-4665cbbac2b0"/>
    <n v="44"/>
    <x v="2"/>
    <x v="1"/>
    <x v="0"/>
    <n v="7.64"/>
    <n v="35"/>
    <x v="3"/>
    <x v="1"/>
    <n v="13.99"/>
    <x v="0"/>
    <x v="2"/>
    <n v="4"/>
    <n v="0.21"/>
    <x v="1"/>
  </r>
  <r>
    <s v="f267db4a-af7e-447d-b5b2-09798e3160a4"/>
    <n v="41"/>
    <x v="2"/>
    <x v="2"/>
    <x v="2"/>
    <n v="17.87"/>
    <n v="6"/>
    <x v="4"/>
    <x v="4"/>
    <n v="8.99"/>
    <x v="0"/>
    <x v="3"/>
    <n v="1"/>
    <n v="2.5499999999999998"/>
    <x v="0"/>
  </r>
  <r>
    <s v="783898c5-a397-44be-9556-e1fd61bf35e9"/>
    <n v="43"/>
    <x v="2"/>
    <x v="0"/>
    <x v="2"/>
    <n v="12.52"/>
    <n v="26"/>
    <x v="1"/>
    <x v="0"/>
    <n v="8.99"/>
    <x v="0"/>
    <x v="2"/>
    <n v="2"/>
    <n v="0.46"/>
    <x v="2"/>
  </r>
  <r>
    <s v="05aa98f7-b533-4184-9f57-bafe5be92e11"/>
    <n v="35"/>
    <x v="2"/>
    <x v="0"/>
    <x v="2"/>
    <n v="7.06"/>
    <n v="14"/>
    <x v="3"/>
    <x v="4"/>
    <n v="8.99"/>
    <x v="0"/>
    <x v="4"/>
    <n v="5"/>
    <n v="0.47"/>
    <x v="5"/>
  </r>
  <r>
    <s v="125660b9-b996-4330-b1c1-c12ecf075f80"/>
    <n v="40"/>
    <x v="2"/>
    <x v="1"/>
    <x v="2"/>
    <n v="75.989999999999995"/>
    <n v="9"/>
    <x v="3"/>
    <x v="2"/>
    <n v="8.99"/>
    <x v="0"/>
    <x v="2"/>
    <n v="1"/>
    <n v="7.6"/>
    <x v="1"/>
  </r>
  <r>
    <s v="7cd4a8f6-a14a-4c46-9c67-d52b2279855e"/>
    <n v="41"/>
    <x v="2"/>
    <x v="1"/>
    <x v="2"/>
    <n v="2.09"/>
    <n v="52"/>
    <x v="0"/>
    <x v="1"/>
    <n v="8.99"/>
    <x v="1"/>
    <x v="0"/>
    <n v="3"/>
    <n v="0.04"/>
    <x v="1"/>
  </r>
  <r>
    <s v="f1cfed63-b6f3-4af8-b406-dc92beac76ce"/>
    <n v="35"/>
    <x v="2"/>
    <x v="0"/>
    <x v="0"/>
    <n v="0.45"/>
    <n v="7"/>
    <x v="5"/>
    <x v="1"/>
    <n v="13.99"/>
    <x v="0"/>
    <x v="1"/>
    <n v="5"/>
    <n v="0.06"/>
    <x v="5"/>
  </r>
  <r>
    <s v="914a0ec2-9ccc-4c89-a18e-4a95f8f38049"/>
    <n v="35"/>
    <x v="2"/>
    <x v="1"/>
    <x v="1"/>
    <n v="5.39"/>
    <n v="54"/>
    <x v="2"/>
    <x v="0"/>
    <n v="17.989999999999998"/>
    <x v="1"/>
    <x v="1"/>
    <n v="1"/>
    <n v="0.1"/>
    <x v="1"/>
  </r>
  <r>
    <s v="0b97eae3-769e-4f45-bdc7-47173286870f"/>
    <n v="39"/>
    <x v="2"/>
    <x v="2"/>
    <x v="1"/>
    <n v="4.22"/>
    <n v="33"/>
    <x v="0"/>
    <x v="3"/>
    <n v="17.989999999999998"/>
    <x v="1"/>
    <x v="3"/>
    <n v="2"/>
    <n v="0.12"/>
    <x v="0"/>
  </r>
  <r>
    <s v="6f2eb696-241e-4d07-b0dd-f8fa78955fc7"/>
    <n v="38"/>
    <x v="2"/>
    <x v="1"/>
    <x v="0"/>
    <n v="32.729999999999997"/>
    <n v="21"/>
    <x v="0"/>
    <x v="2"/>
    <n v="13.99"/>
    <x v="0"/>
    <x v="1"/>
    <n v="5"/>
    <n v="1.49"/>
    <x v="5"/>
  </r>
  <r>
    <s v="a816aad2-ddc6-4714-9013-8d76b4de89e5"/>
    <n v="35"/>
    <x v="2"/>
    <x v="0"/>
    <x v="2"/>
    <n v="7.37"/>
    <n v="9"/>
    <x v="0"/>
    <x v="4"/>
    <n v="8.99"/>
    <x v="0"/>
    <x v="3"/>
    <n v="4"/>
    <n v="0.74"/>
    <x v="2"/>
  </r>
  <r>
    <s v="c5fc233b-21e3-410c-85bf-742fca828d6a"/>
    <n v="44"/>
    <x v="2"/>
    <x v="2"/>
    <x v="1"/>
    <n v="30.04"/>
    <n v="56"/>
    <x v="0"/>
    <x v="2"/>
    <n v="17.989999999999998"/>
    <x v="0"/>
    <x v="1"/>
    <n v="5"/>
    <n v="0.53"/>
    <x v="4"/>
  </r>
  <r>
    <s v="3ca556af-b4d6-4c39-bb53-f00960221cbf"/>
    <n v="36"/>
    <x v="2"/>
    <x v="2"/>
    <x v="2"/>
    <n v="12.52"/>
    <n v="6"/>
    <x v="0"/>
    <x v="1"/>
    <n v="8.99"/>
    <x v="0"/>
    <x v="2"/>
    <n v="4"/>
    <n v="1.79"/>
    <x v="5"/>
  </r>
  <r>
    <s v="fac8f5fe-151e-4991-98a9-7906520b9967"/>
    <n v="39"/>
    <x v="2"/>
    <x v="0"/>
    <x v="2"/>
    <n v="6.52"/>
    <n v="54"/>
    <x v="0"/>
    <x v="0"/>
    <n v="8.99"/>
    <x v="1"/>
    <x v="3"/>
    <n v="4"/>
    <n v="0.12"/>
    <x v="4"/>
  </r>
  <r>
    <s v="b794556e-1123-4c20-bc98-4ad400d68f76"/>
    <n v="35"/>
    <x v="2"/>
    <x v="0"/>
    <x v="0"/>
    <n v="2.19"/>
    <n v="57"/>
    <x v="5"/>
    <x v="4"/>
    <n v="13.99"/>
    <x v="1"/>
    <x v="4"/>
    <n v="2"/>
    <n v="0.04"/>
    <x v="1"/>
  </r>
  <r>
    <s v="92a658bc-f2c1-4f19-ba0a-5f8627195a23"/>
    <n v="38"/>
    <x v="2"/>
    <x v="0"/>
    <x v="0"/>
    <n v="3.79"/>
    <n v="32"/>
    <x v="3"/>
    <x v="4"/>
    <n v="13.99"/>
    <x v="1"/>
    <x v="0"/>
    <n v="3"/>
    <n v="0.11"/>
    <x v="0"/>
  </r>
  <r>
    <s v="a74837e1-dc9c-4feb-a9f4-4091b15d15ea"/>
    <n v="43"/>
    <x v="2"/>
    <x v="2"/>
    <x v="1"/>
    <n v="0.05"/>
    <n v="33"/>
    <x v="1"/>
    <x v="4"/>
    <n v="17.989999999999998"/>
    <x v="1"/>
    <x v="1"/>
    <n v="4"/>
    <n v="0"/>
    <x v="6"/>
  </r>
  <r>
    <s v="a2a1697f-7d68-4c9a-bd9f-82c6958a0222"/>
    <n v="40"/>
    <x v="2"/>
    <x v="0"/>
    <x v="1"/>
    <n v="2.66"/>
    <n v="52"/>
    <x v="2"/>
    <x v="1"/>
    <n v="17.989999999999998"/>
    <x v="1"/>
    <x v="3"/>
    <n v="1"/>
    <n v="0.05"/>
    <x v="4"/>
  </r>
  <r>
    <s v="57b01680-4141-4474-a48b-e78a987b9d2f"/>
    <n v="37"/>
    <x v="2"/>
    <x v="0"/>
    <x v="2"/>
    <n v="18.86"/>
    <n v="42"/>
    <x v="1"/>
    <x v="4"/>
    <n v="8.99"/>
    <x v="1"/>
    <x v="3"/>
    <n v="5"/>
    <n v="0.44"/>
    <x v="1"/>
  </r>
  <r>
    <s v="f5463712-8752-4fb0-ae3f-30137078f44b"/>
    <n v="37"/>
    <x v="2"/>
    <x v="1"/>
    <x v="0"/>
    <n v="10.87"/>
    <n v="1"/>
    <x v="5"/>
    <x v="2"/>
    <n v="13.99"/>
    <x v="0"/>
    <x v="4"/>
    <n v="5"/>
    <n v="5.43"/>
    <x v="5"/>
  </r>
  <r>
    <s v="c1d63ea1-39ef-402c-aaac-6086bd3e3368"/>
    <n v="42"/>
    <x v="2"/>
    <x v="0"/>
    <x v="0"/>
    <n v="33.479999999999997"/>
    <n v="16"/>
    <x v="1"/>
    <x v="3"/>
    <n v="13.99"/>
    <x v="0"/>
    <x v="1"/>
    <n v="2"/>
    <n v="1.97"/>
    <x v="3"/>
  </r>
  <r>
    <s v="aeca46b3-2f4a-4f8a-941a-bcc7c536f372"/>
    <n v="40"/>
    <x v="2"/>
    <x v="1"/>
    <x v="1"/>
    <n v="2.2799999999999998"/>
    <n v="37"/>
    <x v="3"/>
    <x v="1"/>
    <n v="17.989999999999998"/>
    <x v="1"/>
    <x v="4"/>
    <n v="2"/>
    <n v="0.06"/>
    <x v="3"/>
  </r>
  <r>
    <s v="89f7d229-8ad2-4553-8582-066a2af2ebed"/>
    <n v="39"/>
    <x v="2"/>
    <x v="1"/>
    <x v="2"/>
    <n v="9.89"/>
    <n v="45"/>
    <x v="3"/>
    <x v="2"/>
    <n v="8.99"/>
    <x v="1"/>
    <x v="4"/>
    <n v="4"/>
    <n v="0.22"/>
    <x v="5"/>
  </r>
  <r>
    <s v="48486230-b6dd-4d6c-8d2a-0c8a2b7f2f39"/>
    <n v="41"/>
    <x v="2"/>
    <x v="2"/>
    <x v="1"/>
    <n v="16.13"/>
    <n v="44"/>
    <x v="0"/>
    <x v="3"/>
    <n v="17.989999999999998"/>
    <x v="0"/>
    <x v="1"/>
    <n v="4"/>
    <n v="0.36"/>
    <x v="2"/>
  </r>
  <r>
    <s v="5af2d5bd-47aa-435f-8ea9-f18bba61da3f"/>
    <n v="35"/>
    <x v="2"/>
    <x v="2"/>
    <x v="2"/>
    <n v="43.84"/>
    <n v="24"/>
    <x v="2"/>
    <x v="0"/>
    <n v="8.99"/>
    <x v="0"/>
    <x v="4"/>
    <n v="4"/>
    <n v="1.75"/>
    <x v="3"/>
  </r>
  <r>
    <s v="aacd3fe3-fdd1-415f-bdaf-a0d23aeb3c37"/>
    <n v="41"/>
    <x v="2"/>
    <x v="0"/>
    <x v="0"/>
    <n v="7.91"/>
    <n v="41"/>
    <x v="0"/>
    <x v="3"/>
    <n v="13.99"/>
    <x v="0"/>
    <x v="3"/>
    <n v="4"/>
    <n v="0.19"/>
    <x v="4"/>
  </r>
  <r>
    <s v="26f6d31c-6d28-43f9-a56e-760eef8da91e"/>
    <n v="43"/>
    <x v="2"/>
    <x v="1"/>
    <x v="1"/>
    <n v="7.18"/>
    <n v="5"/>
    <x v="4"/>
    <x v="3"/>
    <n v="17.989999999999998"/>
    <x v="0"/>
    <x v="0"/>
    <n v="5"/>
    <n v="1.2"/>
    <x v="6"/>
  </r>
  <r>
    <s v="91c178ba-d603-4aa5-8a9f-f872b9e9ee38"/>
    <n v="43"/>
    <x v="2"/>
    <x v="2"/>
    <x v="0"/>
    <n v="26.79"/>
    <n v="6"/>
    <x v="3"/>
    <x v="0"/>
    <n v="13.99"/>
    <x v="0"/>
    <x v="2"/>
    <n v="3"/>
    <n v="3.83"/>
    <x v="1"/>
  </r>
  <r>
    <s v="75bb1697-a008-4d94-9307-8652f6b88827"/>
    <n v="42"/>
    <x v="2"/>
    <x v="1"/>
    <x v="0"/>
    <n v="6.91"/>
    <n v="21"/>
    <x v="0"/>
    <x v="2"/>
    <n v="13.99"/>
    <x v="0"/>
    <x v="4"/>
    <n v="4"/>
    <n v="0.31"/>
    <x v="0"/>
  </r>
  <r>
    <s v="95da76ce-dc72-4192-b15d-57b576909335"/>
    <n v="37"/>
    <x v="2"/>
    <x v="1"/>
    <x v="2"/>
    <n v="11.16"/>
    <n v="23"/>
    <x v="4"/>
    <x v="4"/>
    <n v="8.99"/>
    <x v="0"/>
    <x v="3"/>
    <n v="2"/>
    <n v="0.47"/>
    <x v="5"/>
  </r>
  <r>
    <s v="c3f2e7fd-8b89-48a5-8327-6db568e73a64"/>
    <n v="43"/>
    <x v="2"/>
    <x v="0"/>
    <x v="0"/>
    <n v="3.16"/>
    <n v="7"/>
    <x v="0"/>
    <x v="2"/>
    <n v="13.99"/>
    <x v="1"/>
    <x v="3"/>
    <n v="2"/>
    <n v="0.4"/>
    <x v="6"/>
  </r>
  <r>
    <s v="28028f3f-af46-4e13-b3cd-d32ab1279c48"/>
    <n v="40"/>
    <x v="2"/>
    <x v="2"/>
    <x v="2"/>
    <n v="4.92"/>
    <n v="30"/>
    <x v="4"/>
    <x v="4"/>
    <n v="8.99"/>
    <x v="1"/>
    <x v="2"/>
    <n v="5"/>
    <n v="0.16"/>
    <x v="5"/>
  </r>
  <r>
    <s v="c32bafe7-6744-4901-bf9a-fa83bda82088"/>
    <n v="39"/>
    <x v="2"/>
    <x v="1"/>
    <x v="0"/>
    <n v="0.75"/>
    <n v="27"/>
    <x v="3"/>
    <x v="1"/>
    <n v="13.99"/>
    <x v="1"/>
    <x v="0"/>
    <n v="4"/>
    <n v="0.03"/>
    <x v="4"/>
  </r>
  <r>
    <s v="8b321e79-2eea-4412-8d82-1d3178d5bf05"/>
    <n v="36"/>
    <x v="2"/>
    <x v="2"/>
    <x v="2"/>
    <n v="0.38"/>
    <n v="44"/>
    <x v="5"/>
    <x v="1"/>
    <n v="8.99"/>
    <x v="1"/>
    <x v="0"/>
    <n v="2"/>
    <n v="0.01"/>
    <x v="1"/>
  </r>
  <r>
    <s v="9347980b-009d-4c3f-99d8-e7c509a64747"/>
    <n v="44"/>
    <x v="2"/>
    <x v="0"/>
    <x v="2"/>
    <n v="6"/>
    <n v="44"/>
    <x v="1"/>
    <x v="1"/>
    <n v="8.99"/>
    <x v="1"/>
    <x v="0"/>
    <n v="4"/>
    <n v="0.13"/>
    <x v="2"/>
  </r>
  <r>
    <s v="96ff8ebe-a6e9-4cdc-ba8f-cd8ab503887e"/>
    <n v="41"/>
    <x v="2"/>
    <x v="0"/>
    <x v="0"/>
    <n v="4.13"/>
    <n v="26"/>
    <x v="0"/>
    <x v="0"/>
    <n v="13.99"/>
    <x v="1"/>
    <x v="3"/>
    <n v="3"/>
    <n v="0.15"/>
    <x v="2"/>
  </r>
  <r>
    <s v="6e4404fd-2f42-4a86-8d30-769a4f940474"/>
    <n v="42"/>
    <x v="2"/>
    <x v="1"/>
    <x v="1"/>
    <n v="0.15"/>
    <n v="5"/>
    <x v="2"/>
    <x v="4"/>
    <n v="17.989999999999998"/>
    <x v="0"/>
    <x v="1"/>
    <n v="4"/>
    <n v="0.02"/>
    <x v="6"/>
  </r>
  <r>
    <s v="c889501d-97d7-4383-9fcf-9c87840e4a43"/>
    <n v="35"/>
    <x v="2"/>
    <x v="0"/>
    <x v="2"/>
    <n v="1.1000000000000001"/>
    <n v="25"/>
    <x v="4"/>
    <x v="1"/>
    <n v="8.99"/>
    <x v="1"/>
    <x v="3"/>
    <n v="2"/>
    <n v="0.04"/>
    <x v="2"/>
  </r>
  <r>
    <s v="74e8480b-6d93-4e54-8298-026036832022"/>
    <n v="35"/>
    <x v="2"/>
    <x v="0"/>
    <x v="2"/>
    <n v="1.1000000000000001"/>
    <n v="35"/>
    <x v="3"/>
    <x v="0"/>
    <n v="8.99"/>
    <x v="1"/>
    <x v="3"/>
    <n v="2"/>
    <n v="0.03"/>
    <x v="6"/>
  </r>
  <r>
    <s v="5f0daf72-991e-4edc-a8c2-c1a330351e9a"/>
    <n v="35"/>
    <x v="2"/>
    <x v="0"/>
    <x v="2"/>
    <n v="37.93"/>
    <n v="14"/>
    <x v="3"/>
    <x v="3"/>
    <n v="8.99"/>
    <x v="0"/>
    <x v="0"/>
    <n v="4"/>
    <n v="2.5299999999999998"/>
    <x v="4"/>
  </r>
  <r>
    <s v="2bcf8e3c-c68d-4343-9d6f-8a0d4406a4cb"/>
    <n v="43"/>
    <x v="2"/>
    <x v="2"/>
    <x v="1"/>
    <n v="13.49"/>
    <n v="8"/>
    <x v="1"/>
    <x v="3"/>
    <n v="17.989999999999998"/>
    <x v="0"/>
    <x v="4"/>
    <n v="4"/>
    <n v="1.5"/>
    <x v="5"/>
  </r>
  <r>
    <s v="c9246e8b-545b-4719-88f1-ee69be75e652"/>
    <n v="39"/>
    <x v="2"/>
    <x v="0"/>
    <x v="0"/>
    <n v="2.76"/>
    <n v="1"/>
    <x v="2"/>
    <x v="2"/>
    <n v="13.99"/>
    <x v="0"/>
    <x v="3"/>
    <n v="3"/>
    <n v="1.38"/>
    <x v="5"/>
  </r>
  <r>
    <s v="2de72af7-0363-4ede-bf96-c0003a896f72"/>
    <n v="42"/>
    <x v="2"/>
    <x v="2"/>
    <x v="1"/>
    <n v="22.19"/>
    <n v="6"/>
    <x v="0"/>
    <x v="3"/>
    <n v="17.989999999999998"/>
    <x v="0"/>
    <x v="3"/>
    <n v="2"/>
    <n v="3.17"/>
    <x v="6"/>
  </r>
  <r>
    <s v="7108b055-a04f-4eb1-b937-acf3b9eacbfc"/>
    <n v="37"/>
    <x v="2"/>
    <x v="2"/>
    <x v="1"/>
    <n v="0.64"/>
    <n v="10"/>
    <x v="1"/>
    <x v="3"/>
    <n v="17.989999999999998"/>
    <x v="1"/>
    <x v="4"/>
    <n v="5"/>
    <n v="0.06"/>
    <x v="1"/>
  </r>
  <r>
    <s v="838a0849-d3c0-459d-be8a-3062f5c3c0f4"/>
    <n v="43"/>
    <x v="2"/>
    <x v="0"/>
    <x v="1"/>
    <n v="12.51"/>
    <n v="47"/>
    <x v="5"/>
    <x v="0"/>
    <n v="17.989999999999998"/>
    <x v="1"/>
    <x v="2"/>
    <n v="1"/>
    <n v="0.26"/>
    <x v="3"/>
  </r>
  <r>
    <s v="082fd087-4859-4b03-9ec1-f51050cd285b"/>
    <n v="42"/>
    <x v="2"/>
    <x v="1"/>
    <x v="1"/>
    <n v="6.34"/>
    <n v="28"/>
    <x v="0"/>
    <x v="0"/>
    <n v="17.989999999999998"/>
    <x v="0"/>
    <x v="4"/>
    <n v="1"/>
    <n v="0.22"/>
    <x v="5"/>
  </r>
  <r>
    <s v="74bab484-aac9-4a5c-8e3d-d2a4504a1eff"/>
    <n v="35"/>
    <x v="2"/>
    <x v="2"/>
    <x v="0"/>
    <n v="32.86"/>
    <n v="25"/>
    <x v="5"/>
    <x v="0"/>
    <n v="13.99"/>
    <x v="0"/>
    <x v="4"/>
    <n v="4"/>
    <n v="1.26"/>
    <x v="4"/>
  </r>
  <r>
    <s v="80b1fe1e-8ef5-42af-ada7-af43d8993352"/>
    <n v="39"/>
    <x v="2"/>
    <x v="1"/>
    <x v="1"/>
    <n v="7.99"/>
    <n v="50"/>
    <x v="0"/>
    <x v="2"/>
    <n v="17.989999999999998"/>
    <x v="1"/>
    <x v="3"/>
    <n v="3"/>
    <n v="0.16"/>
    <x v="0"/>
  </r>
  <r>
    <s v="3a68905f-037f-48eb-97b0-7e8c5a6f9c5a"/>
    <n v="36"/>
    <x v="2"/>
    <x v="2"/>
    <x v="1"/>
    <n v="3.28"/>
    <n v="15"/>
    <x v="2"/>
    <x v="4"/>
    <n v="17.989999999999998"/>
    <x v="1"/>
    <x v="3"/>
    <n v="3"/>
    <n v="0.2"/>
    <x v="2"/>
  </r>
  <r>
    <s v="31832db0-5f36-4c75-9226-07c279e0f707"/>
    <n v="35"/>
    <x v="2"/>
    <x v="1"/>
    <x v="1"/>
    <n v="1.45"/>
    <n v="12"/>
    <x v="3"/>
    <x v="1"/>
    <n v="17.989999999999998"/>
    <x v="1"/>
    <x v="2"/>
    <n v="2"/>
    <n v="0.11"/>
    <x v="5"/>
  </r>
  <r>
    <s v="d62d3551-4902-442d-8c64-0d6877a35934"/>
    <n v="42"/>
    <x v="2"/>
    <x v="1"/>
    <x v="2"/>
    <n v="8.18"/>
    <n v="15"/>
    <x v="2"/>
    <x v="1"/>
    <n v="8.99"/>
    <x v="0"/>
    <x v="4"/>
    <n v="2"/>
    <n v="0.51"/>
    <x v="2"/>
  </r>
  <r>
    <s v="84e03006-c72a-4d1f-bd72-d59d7854660a"/>
    <n v="36"/>
    <x v="2"/>
    <x v="0"/>
    <x v="0"/>
    <n v="7.28"/>
    <n v="2"/>
    <x v="4"/>
    <x v="4"/>
    <n v="13.99"/>
    <x v="0"/>
    <x v="1"/>
    <n v="4"/>
    <n v="2.4300000000000002"/>
    <x v="6"/>
  </r>
  <r>
    <s v="7fde535c-b503-4287-a277-ee12295cf580"/>
    <n v="36"/>
    <x v="2"/>
    <x v="1"/>
    <x v="1"/>
    <n v="5.09"/>
    <n v="26"/>
    <x v="1"/>
    <x v="1"/>
    <n v="17.989999999999998"/>
    <x v="0"/>
    <x v="1"/>
    <n v="4"/>
    <n v="0.19"/>
    <x v="5"/>
  </r>
  <r>
    <s v="d25fa337-92ae-40f9-a2ab-8c6bc5cdf6ae"/>
    <n v="40"/>
    <x v="2"/>
    <x v="1"/>
    <x v="1"/>
    <n v="2.78"/>
    <n v="12"/>
    <x v="4"/>
    <x v="1"/>
    <n v="17.989999999999998"/>
    <x v="1"/>
    <x v="3"/>
    <n v="2"/>
    <n v="0.21"/>
    <x v="0"/>
  </r>
  <r>
    <s v="ee07ca21-c2c4-44e6-9df9-1c15ec176c3a"/>
    <n v="44"/>
    <x v="2"/>
    <x v="1"/>
    <x v="0"/>
    <n v="5.3"/>
    <n v="29"/>
    <x v="3"/>
    <x v="2"/>
    <n v="13.99"/>
    <x v="0"/>
    <x v="4"/>
    <n v="1"/>
    <n v="0.18"/>
    <x v="5"/>
  </r>
  <r>
    <s v="5c3ffb03-1eb8-4441-853f-e6aca2fdbc2b"/>
    <n v="44"/>
    <x v="2"/>
    <x v="2"/>
    <x v="2"/>
    <n v="4.99"/>
    <n v="57"/>
    <x v="1"/>
    <x v="1"/>
    <n v="8.99"/>
    <x v="1"/>
    <x v="2"/>
    <n v="3"/>
    <n v="0.09"/>
    <x v="0"/>
  </r>
  <r>
    <s v="c836e596-7e8e-4be9-8413-4d75f8151709"/>
    <n v="35"/>
    <x v="2"/>
    <x v="2"/>
    <x v="0"/>
    <n v="1.75"/>
    <n v="41"/>
    <x v="1"/>
    <x v="0"/>
    <n v="13.99"/>
    <x v="1"/>
    <x v="3"/>
    <n v="1"/>
    <n v="0.04"/>
    <x v="4"/>
  </r>
  <r>
    <s v="4a3d750d-4fc6-43ce-9354-c086e2372d3e"/>
    <n v="38"/>
    <x v="2"/>
    <x v="1"/>
    <x v="1"/>
    <n v="7.13"/>
    <n v="60"/>
    <x v="1"/>
    <x v="3"/>
    <n v="17.989999999999998"/>
    <x v="1"/>
    <x v="3"/>
    <n v="1"/>
    <n v="0.12"/>
    <x v="0"/>
  </r>
  <r>
    <s v="81703340-2d76-4363-953e-56bed0c5b93c"/>
    <n v="39"/>
    <x v="2"/>
    <x v="1"/>
    <x v="0"/>
    <n v="7.27"/>
    <n v="31"/>
    <x v="0"/>
    <x v="2"/>
    <n v="13.99"/>
    <x v="1"/>
    <x v="0"/>
    <n v="1"/>
    <n v="0.23"/>
    <x v="0"/>
  </r>
  <r>
    <s v="7f9e1a97-c9be-4712-a61b-aed1bbbf858e"/>
    <n v="37"/>
    <x v="2"/>
    <x v="2"/>
    <x v="0"/>
    <n v="3.66"/>
    <n v="5"/>
    <x v="3"/>
    <x v="4"/>
    <n v="13.99"/>
    <x v="0"/>
    <x v="3"/>
    <n v="1"/>
    <n v="0.61"/>
    <x v="6"/>
  </r>
  <r>
    <s v="181b6713-b90e-4211-a3c5-0f763e890d58"/>
    <n v="38"/>
    <x v="2"/>
    <x v="1"/>
    <x v="1"/>
    <n v="8.93"/>
    <n v="57"/>
    <x v="2"/>
    <x v="2"/>
    <n v="17.989999999999998"/>
    <x v="0"/>
    <x v="1"/>
    <n v="4"/>
    <n v="0.15"/>
    <x v="0"/>
  </r>
  <r>
    <s v="b084d328-0b3a-49bd-a03f-06d53bf89686"/>
    <n v="44"/>
    <x v="2"/>
    <x v="0"/>
    <x v="2"/>
    <n v="5.7"/>
    <n v="18"/>
    <x v="4"/>
    <x v="4"/>
    <n v="8.99"/>
    <x v="0"/>
    <x v="3"/>
    <n v="2"/>
    <n v="0.3"/>
    <x v="0"/>
  </r>
  <r>
    <s v="cbe73b6f-edfd-43a2-95aa-8821c564389e"/>
    <n v="36"/>
    <x v="2"/>
    <x v="0"/>
    <x v="1"/>
    <n v="12.97"/>
    <n v="18"/>
    <x v="1"/>
    <x v="4"/>
    <n v="17.989999999999998"/>
    <x v="0"/>
    <x v="2"/>
    <n v="2"/>
    <n v="0.68"/>
    <x v="5"/>
  </r>
  <r>
    <s v="1b5358fa-03c3-4163-8dd5-c30b2460ca97"/>
    <n v="36"/>
    <x v="2"/>
    <x v="0"/>
    <x v="0"/>
    <n v="48.9"/>
    <n v="23"/>
    <x v="4"/>
    <x v="1"/>
    <n v="13.99"/>
    <x v="0"/>
    <x v="3"/>
    <n v="1"/>
    <n v="2.04"/>
    <x v="0"/>
  </r>
  <r>
    <s v="5a10ba14-49e9-4305-84c4-39690a5750e2"/>
    <n v="43"/>
    <x v="2"/>
    <x v="1"/>
    <x v="0"/>
    <n v="2.08"/>
    <n v="45"/>
    <x v="0"/>
    <x v="0"/>
    <n v="13.99"/>
    <x v="1"/>
    <x v="1"/>
    <n v="3"/>
    <n v="0.05"/>
    <x v="3"/>
  </r>
  <r>
    <s v="6d3f8263-b314-4d76-b2bf-0329597d963e"/>
    <n v="42"/>
    <x v="2"/>
    <x v="0"/>
    <x v="2"/>
    <n v="5.67"/>
    <n v="2"/>
    <x v="0"/>
    <x v="2"/>
    <n v="8.99"/>
    <x v="0"/>
    <x v="1"/>
    <n v="3"/>
    <n v="1.89"/>
    <x v="2"/>
  </r>
  <r>
    <s v="b33d87e2-8e21-405e-95e0-b357f02a0af5"/>
    <n v="37"/>
    <x v="2"/>
    <x v="0"/>
    <x v="2"/>
    <n v="5.35"/>
    <n v="2"/>
    <x v="4"/>
    <x v="4"/>
    <n v="8.99"/>
    <x v="0"/>
    <x v="4"/>
    <n v="2"/>
    <n v="1.78"/>
    <x v="0"/>
  </r>
  <r>
    <s v="a856148d-f351-4167-97b3-f542c4b0055b"/>
    <n v="37"/>
    <x v="2"/>
    <x v="2"/>
    <x v="1"/>
    <n v="10.86"/>
    <n v="47"/>
    <x v="3"/>
    <x v="3"/>
    <n v="17.989999999999998"/>
    <x v="1"/>
    <x v="0"/>
    <n v="3"/>
    <n v="0.23"/>
    <x v="4"/>
  </r>
  <r>
    <s v="c2a427a1-f7a0-4e27-aa4b-00a947a019fb"/>
    <n v="36"/>
    <x v="2"/>
    <x v="0"/>
    <x v="0"/>
    <n v="15.28"/>
    <n v="54"/>
    <x v="4"/>
    <x v="4"/>
    <n v="13.99"/>
    <x v="1"/>
    <x v="0"/>
    <n v="4"/>
    <n v="0.28000000000000003"/>
    <x v="0"/>
  </r>
  <r>
    <s v="e75da4f2-0792-4146-9a51-f4a49af1275b"/>
    <n v="44"/>
    <x v="2"/>
    <x v="1"/>
    <x v="0"/>
    <n v="14.25"/>
    <n v="25"/>
    <x v="2"/>
    <x v="1"/>
    <n v="13.99"/>
    <x v="0"/>
    <x v="0"/>
    <n v="1"/>
    <n v="0.55000000000000004"/>
    <x v="1"/>
  </r>
  <r>
    <s v="611b8c45-f9dd-4635-a726-f2fab2ab0c7e"/>
    <n v="36"/>
    <x v="2"/>
    <x v="2"/>
    <x v="0"/>
    <n v="9.1"/>
    <n v="2"/>
    <x v="4"/>
    <x v="4"/>
    <n v="13.99"/>
    <x v="0"/>
    <x v="1"/>
    <n v="2"/>
    <n v="3.03"/>
    <x v="0"/>
  </r>
  <r>
    <s v="6f8f6066-8b9d-4d86-9706-fd94c6d87f8c"/>
    <n v="38"/>
    <x v="2"/>
    <x v="0"/>
    <x v="2"/>
    <n v="0.32"/>
    <n v="16"/>
    <x v="2"/>
    <x v="4"/>
    <n v="8.99"/>
    <x v="1"/>
    <x v="1"/>
    <n v="3"/>
    <n v="0.02"/>
    <x v="1"/>
  </r>
  <r>
    <s v="0ef46415-fdcc-428b-8f0d-068a9412db6a"/>
    <n v="44"/>
    <x v="2"/>
    <x v="0"/>
    <x v="2"/>
    <n v="1.03"/>
    <n v="15"/>
    <x v="0"/>
    <x v="4"/>
    <n v="8.99"/>
    <x v="1"/>
    <x v="4"/>
    <n v="3"/>
    <n v="0.06"/>
    <x v="0"/>
  </r>
  <r>
    <s v="e4103b71-a2ba-4c11-82f8-9bff9aba5a4b"/>
    <n v="40"/>
    <x v="2"/>
    <x v="0"/>
    <x v="1"/>
    <n v="25.5"/>
    <n v="24"/>
    <x v="0"/>
    <x v="0"/>
    <n v="17.989999999999998"/>
    <x v="0"/>
    <x v="0"/>
    <n v="5"/>
    <n v="1.02"/>
    <x v="3"/>
  </r>
  <r>
    <s v="1f958ee1-08d0-46d2-8375-88bb42ff738a"/>
    <n v="36"/>
    <x v="2"/>
    <x v="0"/>
    <x v="1"/>
    <n v="19.03"/>
    <n v="1"/>
    <x v="0"/>
    <x v="3"/>
    <n v="17.989999999999998"/>
    <x v="0"/>
    <x v="0"/>
    <n v="2"/>
    <n v="9.52"/>
    <x v="6"/>
  </r>
  <r>
    <s v="33287cc9-f41f-40ae-ac5c-71754484e635"/>
    <n v="40"/>
    <x v="2"/>
    <x v="1"/>
    <x v="2"/>
    <n v="6.58"/>
    <n v="3"/>
    <x v="0"/>
    <x v="3"/>
    <n v="8.99"/>
    <x v="0"/>
    <x v="3"/>
    <n v="1"/>
    <n v="1.65"/>
    <x v="0"/>
  </r>
  <r>
    <s v="ed0d8d2e-659d-4a88-ba88-b42846c0e9c8"/>
    <n v="41"/>
    <x v="2"/>
    <x v="0"/>
    <x v="0"/>
    <n v="3.35"/>
    <n v="57"/>
    <x v="5"/>
    <x v="4"/>
    <n v="13.99"/>
    <x v="1"/>
    <x v="0"/>
    <n v="3"/>
    <n v="0.06"/>
    <x v="2"/>
  </r>
  <r>
    <s v="45e9c6d3-4c02-4437-9a89-b1e425b3809c"/>
    <n v="37"/>
    <x v="2"/>
    <x v="0"/>
    <x v="0"/>
    <n v="3.94"/>
    <n v="2"/>
    <x v="5"/>
    <x v="2"/>
    <n v="13.99"/>
    <x v="0"/>
    <x v="1"/>
    <n v="2"/>
    <n v="1.31"/>
    <x v="1"/>
  </r>
  <r>
    <s v="fddebef1-3eb1-4164-b39e-58708ccec633"/>
    <n v="42"/>
    <x v="2"/>
    <x v="1"/>
    <x v="2"/>
    <n v="3.47"/>
    <n v="36"/>
    <x v="2"/>
    <x v="4"/>
    <n v="8.99"/>
    <x v="1"/>
    <x v="2"/>
    <n v="5"/>
    <n v="0.09"/>
    <x v="5"/>
  </r>
  <r>
    <s v="05c92d11-017e-4bc6-bb81-936a2547ed8a"/>
    <n v="39"/>
    <x v="2"/>
    <x v="2"/>
    <x v="1"/>
    <n v="7.64"/>
    <n v="40"/>
    <x v="5"/>
    <x v="3"/>
    <n v="17.989999999999998"/>
    <x v="1"/>
    <x v="3"/>
    <n v="1"/>
    <n v="0.19"/>
    <x v="3"/>
  </r>
  <r>
    <s v="1b04627d-b81d-4bad-8343-ae22bd145828"/>
    <n v="39"/>
    <x v="2"/>
    <x v="1"/>
    <x v="2"/>
    <n v="12.17"/>
    <n v="18"/>
    <x v="2"/>
    <x v="0"/>
    <n v="8.99"/>
    <x v="0"/>
    <x v="2"/>
    <n v="5"/>
    <n v="0.64"/>
    <x v="6"/>
  </r>
  <r>
    <s v="3e53a4a8-4033-4454-8c95-0b6be106de8d"/>
    <n v="43"/>
    <x v="2"/>
    <x v="2"/>
    <x v="0"/>
    <n v="0.24"/>
    <n v="3"/>
    <x v="1"/>
    <x v="2"/>
    <n v="13.99"/>
    <x v="1"/>
    <x v="4"/>
    <n v="3"/>
    <n v="0.06"/>
    <x v="4"/>
  </r>
  <r>
    <s v="2224d120-e062-49d2-bd41-26419d703ce9"/>
    <n v="39"/>
    <x v="2"/>
    <x v="1"/>
    <x v="1"/>
    <n v="18.98"/>
    <n v="37"/>
    <x v="0"/>
    <x v="1"/>
    <n v="17.989999999999998"/>
    <x v="0"/>
    <x v="4"/>
    <n v="3"/>
    <n v="0.5"/>
    <x v="1"/>
  </r>
  <r>
    <s v="74e01e40-d5a7-4efb-90fe-f1300408cb29"/>
    <n v="38"/>
    <x v="2"/>
    <x v="0"/>
    <x v="1"/>
    <n v="15.01"/>
    <n v="31"/>
    <x v="3"/>
    <x v="3"/>
    <n v="17.989999999999998"/>
    <x v="0"/>
    <x v="1"/>
    <n v="5"/>
    <n v="0.47"/>
    <x v="6"/>
  </r>
  <r>
    <s v="18c6f3b7-bdb7-4860-b12f-d614adedd94e"/>
    <n v="35"/>
    <x v="2"/>
    <x v="0"/>
    <x v="1"/>
    <n v="9.9700000000000006"/>
    <n v="13"/>
    <x v="3"/>
    <x v="0"/>
    <n v="17.989999999999998"/>
    <x v="0"/>
    <x v="1"/>
    <n v="5"/>
    <n v="0.71"/>
    <x v="0"/>
  </r>
  <r>
    <s v="180983f8-9d3c-440f-b4cd-32012522ca03"/>
    <n v="38"/>
    <x v="2"/>
    <x v="2"/>
    <x v="2"/>
    <n v="6.95"/>
    <n v="17"/>
    <x v="2"/>
    <x v="4"/>
    <n v="8.99"/>
    <x v="0"/>
    <x v="2"/>
    <n v="5"/>
    <n v="0.39"/>
    <x v="5"/>
  </r>
  <r>
    <s v="362cc198-e99a-4e0f-91b3-f0442b7d0177"/>
    <n v="41"/>
    <x v="2"/>
    <x v="2"/>
    <x v="1"/>
    <n v="1.34"/>
    <n v="4"/>
    <x v="1"/>
    <x v="1"/>
    <n v="17.989999999999998"/>
    <x v="0"/>
    <x v="3"/>
    <n v="2"/>
    <n v="0.27"/>
    <x v="3"/>
  </r>
  <r>
    <s v="da651aa7-4e06-40d7-88dd-bc98395aaade"/>
    <n v="43"/>
    <x v="2"/>
    <x v="1"/>
    <x v="1"/>
    <n v="5.78"/>
    <n v="11"/>
    <x v="3"/>
    <x v="3"/>
    <n v="17.989999999999998"/>
    <x v="0"/>
    <x v="3"/>
    <n v="5"/>
    <n v="0.48"/>
    <x v="6"/>
  </r>
  <r>
    <s v="5862858f-d37e-4231-aaef-31db7463d60d"/>
    <n v="44"/>
    <x v="2"/>
    <x v="1"/>
    <x v="2"/>
    <n v="5.85"/>
    <n v="5"/>
    <x v="0"/>
    <x v="4"/>
    <n v="8.99"/>
    <x v="0"/>
    <x v="3"/>
    <n v="1"/>
    <n v="0.97"/>
    <x v="3"/>
  </r>
  <r>
    <s v="5caa5ca3-c54d-4b59-838f-e008e0cdc129"/>
    <n v="41"/>
    <x v="2"/>
    <x v="1"/>
    <x v="1"/>
    <n v="2.4900000000000002"/>
    <n v="26"/>
    <x v="1"/>
    <x v="0"/>
    <n v="17.989999999999998"/>
    <x v="1"/>
    <x v="0"/>
    <n v="2"/>
    <n v="0.09"/>
    <x v="3"/>
  </r>
  <r>
    <s v="4efc58fd-c544-473c-8e01-cb331aa88456"/>
    <n v="40"/>
    <x v="2"/>
    <x v="2"/>
    <x v="2"/>
    <n v="14.79"/>
    <n v="15"/>
    <x v="1"/>
    <x v="0"/>
    <n v="8.99"/>
    <x v="0"/>
    <x v="2"/>
    <n v="1"/>
    <n v="0.92"/>
    <x v="6"/>
  </r>
  <r>
    <s v="3cf735c4-c340-44e5-9fe5-b5aee7b4d3d9"/>
    <n v="42"/>
    <x v="2"/>
    <x v="1"/>
    <x v="2"/>
    <n v="0.33"/>
    <n v="43"/>
    <x v="5"/>
    <x v="0"/>
    <n v="8.99"/>
    <x v="1"/>
    <x v="4"/>
    <n v="2"/>
    <n v="0.01"/>
    <x v="5"/>
  </r>
  <r>
    <s v="be1de62d-9b6f-4c09-9316-1212c248b4c6"/>
    <n v="36"/>
    <x v="2"/>
    <x v="0"/>
    <x v="1"/>
    <n v="17.329999999999998"/>
    <n v="21"/>
    <x v="2"/>
    <x v="2"/>
    <n v="17.989999999999998"/>
    <x v="0"/>
    <x v="0"/>
    <n v="4"/>
    <n v="0.79"/>
    <x v="0"/>
  </r>
  <r>
    <s v="72a2c300-cc3d-4e71-81e6-85e4e309c680"/>
    <n v="38"/>
    <x v="2"/>
    <x v="0"/>
    <x v="2"/>
    <n v="76.2"/>
    <n v="12"/>
    <x v="3"/>
    <x v="1"/>
    <n v="8.99"/>
    <x v="0"/>
    <x v="0"/>
    <n v="5"/>
    <n v="5.86"/>
    <x v="4"/>
  </r>
  <r>
    <s v="d85b071c-30c4-4396-9b9d-14e3e60e724f"/>
    <n v="44"/>
    <x v="2"/>
    <x v="0"/>
    <x v="2"/>
    <n v="40.75"/>
    <n v="9"/>
    <x v="2"/>
    <x v="3"/>
    <n v="8.99"/>
    <x v="0"/>
    <x v="4"/>
    <n v="1"/>
    <n v="4.08"/>
    <x v="5"/>
  </r>
  <r>
    <s v="90695f65-6429-4f63-903f-843160038baa"/>
    <n v="44"/>
    <x v="2"/>
    <x v="1"/>
    <x v="1"/>
    <n v="6.78"/>
    <n v="6"/>
    <x v="3"/>
    <x v="1"/>
    <n v="17.989999999999998"/>
    <x v="0"/>
    <x v="3"/>
    <n v="5"/>
    <n v="0.97"/>
    <x v="3"/>
  </r>
  <r>
    <s v="352b88dc-f431-41cc-ab32-20829a4e4e37"/>
    <n v="36"/>
    <x v="2"/>
    <x v="0"/>
    <x v="0"/>
    <n v="16.29"/>
    <n v="48"/>
    <x v="4"/>
    <x v="2"/>
    <n v="13.99"/>
    <x v="1"/>
    <x v="0"/>
    <n v="4"/>
    <n v="0.33"/>
    <x v="5"/>
  </r>
  <r>
    <s v="aaafd476-ccb4-457e-a984-24abae7f34c8"/>
    <n v="44"/>
    <x v="2"/>
    <x v="1"/>
    <x v="0"/>
    <n v="12.56"/>
    <n v="53"/>
    <x v="4"/>
    <x v="1"/>
    <n v="13.99"/>
    <x v="1"/>
    <x v="0"/>
    <n v="3"/>
    <n v="0.23"/>
    <x v="3"/>
  </r>
  <r>
    <s v="2d08c15f-c97d-4cf0-84fc-9127dcf6e9cb"/>
    <n v="39"/>
    <x v="2"/>
    <x v="2"/>
    <x v="2"/>
    <n v="34.56"/>
    <n v="39"/>
    <x v="1"/>
    <x v="2"/>
    <n v="8.99"/>
    <x v="0"/>
    <x v="1"/>
    <n v="1"/>
    <n v="0.86"/>
    <x v="1"/>
  </r>
  <r>
    <s v="177ad6c2-46ed-4fbb-a3f8-1dc137c45417"/>
    <n v="36"/>
    <x v="2"/>
    <x v="1"/>
    <x v="2"/>
    <n v="1.1100000000000001"/>
    <n v="39"/>
    <x v="5"/>
    <x v="0"/>
    <n v="8.99"/>
    <x v="1"/>
    <x v="2"/>
    <n v="1"/>
    <n v="0.03"/>
    <x v="5"/>
  </r>
  <r>
    <s v="4e449f48-1106-4a52-a52f-217f716f2987"/>
    <n v="39"/>
    <x v="2"/>
    <x v="1"/>
    <x v="1"/>
    <n v="11.04"/>
    <n v="60"/>
    <x v="1"/>
    <x v="4"/>
    <n v="17.989999999999998"/>
    <x v="1"/>
    <x v="0"/>
    <n v="4"/>
    <n v="0.18"/>
    <x v="2"/>
  </r>
  <r>
    <s v="025012fa-15f3-4f23-8772-35803aa97fae"/>
    <n v="44"/>
    <x v="2"/>
    <x v="2"/>
    <x v="0"/>
    <n v="1.01"/>
    <n v="13"/>
    <x v="1"/>
    <x v="1"/>
    <n v="13.99"/>
    <x v="0"/>
    <x v="3"/>
    <n v="4"/>
    <n v="7.0000000000000007E-2"/>
    <x v="3"/>
  </r>
  <r>
    <s v="94da8854-45e5-453f-99ce-a98d248d8673"/>
    <n v="44"/>
    <x v="2"/>
    <x v="0"/>
    <x v="1"/>
    <n v="7.47"/>
    <n v="19"/>
    <x v="1"/>
    <x v="3"/>
    <n v="17.989999999999998"/>
    <x v="0"/>
    <x v="1"/>
    <n v="1"/>
    <n v="0.37"/>
    <x v="3"/>
  </r>
  <r>
    <s v="85e00a43-2e79-4d0b-8231-6920229fb2f9"/>
    <n v="38"/>
    <x v="2"/>
    <x v="0"/>
    <x v="2"/>
    <n v="39.29"/>
    <n v="54"/>
    <x v="4"/>
    <x v="0"/>
    <n v="8.99"/>
    <x v="0"/>
    <x v="2"/>
    <n v="5"/>
    <n v="0.71"/>
    <x v="4"/>
  </r>
  <r>
    <s v="4b4467e7-7863-4358-8c3e-2b5f347a1dfc"/>
    <n v="36"/>
    <x v="2"/>
    <x v="0"/>
    <x v="0"/>
    <n v="3.16"/>
    <n v="23"/>
    <x v="5"/>
    <x v="4"/>
    <n v="13.99"/>
    <x v="1"/>
    <x v="0"/>
    <n v="5"/>
    <n v="0.13"/>
    <x v="1"/>
  </r>
  <r>
    <s v="921baddb-222c-49fe-94f2-cc54858a5de8"/>
    <n v="37"/>
    <x v="2"/>
    <x v="2"/>
    <x v="0"/>
    <n v="3.72"/>
    <n v="31"/>
    <x v="3"/>
    <x v="2"/>
    <n v="13.99"/>
    <x v="1"/>
    <x v="1"/>
    <n v="2"/>
    <n v="0.12"/>
    <x v="4"/>
  </r>
  <r>
    <s v="dbb8c947-e4f5-46a0-b002-a03a0e6d5ea4"/>
    <n v="36"/>
    <x v="2"/>
    <x v="0"/>
    <x v="1"/>
    <n v="1.46"/>
    <n v="60"/>
    <x v="1"/>
    <x v="3"/>
    <n v="17.989999999999998"/>
    <x v="1"/>
    <x v="4"/>
    <n v="5"/>
    <n v="0.02"/>
    <x v="6"/>
  </r>
  <r>
    <s v="b2f4e8db-e2b0-42f7-81aa-26e6239d7d25"/>
    <n v="37"/>
    <x v="2"/>
    <x v="2"/>
    <x v="1"/>
    <n v="2.44"/>
    <n v="8"/>
    <x v="1"/>
    <x v="2"/>
    <n v="17.989999999999998"/>
    <x v="1"/>
    <x v="0"/>
    <n v="2"/>
    <n v="0.27"/>
    <x v="1"/>
  </r>
  <r>
    <s v="9904ca50-a24a-42c6-b4b0-5459488f77d9"/>
    <n v="39"/>
    <x v="2"/>
    <x v="0"/>
    <x v="1"/>
    <n v="1.86"/>
    <n v="55"/>
    <x v="5"/>
    <x v="1"/>
    <n v="17.989999999999998"/>
    <x v="1"/>
    <x v="1"/>
    <n v="3"/>
    <n v="0.03"/>
    <x v="5"/>
  </r>
  <r>
    <s v="bb85954d-bb34-4a56-96e8-4a8829119bb7"/>
    <n v="35"/>
    <x v="2"/>
    <x v="0"/>
    <x v="0"/>
    <n v="34.299999999999997"/>
    <n v="18"/>
    <x v="5"/>
    <x v="2"/>
    <n v="13.99"/>
    <x v="0"/>
    <x v="2"/>
    <n v="1"/>
    <n v="1.81"/>
    <x v="0"/>
  </r>
  <r>
    <s v="e1535564-40f4-4c87-8d67-95f407c4ded6"/>
    <n v="42"/>
    <x v="2"/>
    <x v="2"/>
    <x v="0"/>
    <n v="10.89"/>
    <n v="15"/>
    <x v="3"/>
    <x v="4"/>
    <n v="13.99"/>
    <x v="0"/>
    <x v="4"/>
    <n v="5"/>
    <n v="0.68"/>
    <x v="4"/>
  </r>
  <r>
    <s v="546af1fb-d39f-4610-8236-c4cd162d3c0c"/>
    <n v="44"/>
    <x v="2"/>
    <x v="1"/>
    <x v="1"/>
    <n v="46.8"/>
    <n v="46"/>
    <x v="5"/>
    <x v="2"/>
    <n v="17.989999999999998"/>
    <x v="0"/>
    <x v="0"/>
    <n v="4"/>
    <n v="1"/>
    <x v="4"/>
  </r>
  <r>
    <s v="c5d86549-b3f3-4afe-9bf3-b1b47a6bf584"/>
    <n v="41"/>
    <x v="2"/>
    <x v="1"/>
    <x v="0"/>
    <n v="1.2"/>
    <n v="49"/>
    <x v="3"/>
    <x v="1"/>
    <n v="13.99"/>
    <x v="1"/>
    <x v="2"/>
    <n v="4"/>
    <n v="0.02"/>
    <x v="4"/>
  </r>
  <r>
    <s v="f81158ac-1559-4728-88fd-9c2e111fc41b"/>
    <n v="35"/>
    <x v="2"/>
    <x v="0"/>
    <x v="2"/>
    <n v="21.25"/>
    <n v="46"/>
    <x v="5"/>
    <x v="3"/>
    <n v="8.99"/>
    <x v="1"/>
    <x v="2"/>
    <n v="3"/>
    <n v="0.45"/>
    <x v="0"/>
  </r>
  <r>
    <s v="30a113c8-1b0c-4bc1-885c-e1a385ad11c0"/>
    <n v="41"/>
    <x v="2"/>
    <x v="2"/>
    <x v="2"/>
    <n v="6"/>
    <n v="26"/>
    <x v="3"/>
    <x v="1"/>
    <n v="8.99"/>
    <x v="0"/>
    <x v="1"/>
    <n v="4"/>
    <n v="0.22"/>
    <x v="3"/>
  </r>
  <r>
    <s v="4297d7f1-545a-486b-8473-214ebfa4741a"/>
    <n v="38"/>
    <x v="2"/>
    <x v="1"/>
    <x v="2"/>
    <n v="10.9"/>
    <n v="45"/>
    <x v="2"/>
    <x v="4"/>
    <n v="8.99"/>
    <x v="1"/>
    <x v="2"/>
    <n v="4"/>
    <n v="0.24"/>
    <x v="6"/>
  </r>
  <r>
    <s v="30b99823-3634-4286-a9b9-7db9f87cb49b"/>
    <n v="44"/>
    <x v="2"/>
    <x v="2"/>
    <x v="2"/>
    <n v="3.91"/>
    <n v="2"/>
    <x v="2"/>
    <x v="1"/>
    <n v="8.99"/>
    <x v="0"/>
    <x v="2"/>
    <n v="4"/>
    <n v="1.3"/>
    <x v="0"/>
  </r>
  <r>
    <s v="55cfd789-ef07-43f7-aeac-cb4e8beb5c27"/>
    <n v="35"/>
    <x v="2"/>
    <x v="2"/>
    <x v="1"/>
    <n v="9.8800000000000008"/>
    <n v="10"/>
    <x v="2"/>
    <x v="2"/>
    <n v="17.989999999999998"/>
    <x v="0"/>
    <x v="1"/>
    <n v="3"/>
    <n v="0.9"/>
    <x v="6"/>
  </r>
  <r>
    <s v="1141bdf2-a5e8-4026-9422-d4844620fe61"/>
    <n v="40"/>
    <x v="2"/>
    <x v="2"/>
    <x v="2"/>
    <n v="0.28000000000000003"/>
    <n v="37"/>
    <x v="2"/>
    <x v="3"/>
    <n v="8.99"/>
    <x v="1"/>
    <x v="4"/>
    <n v="2"/>
    <n v="0.01"/>
    <x v="4"/>
  </r>
  <r>
    <s v="e5187426-4fcb-4133-8191-022dbde6aee2"/>
    <n v="42"/>
    <x v="2"/>
    <x v="2"/>
    <x v="1"/>
    <n v="1.87"/>
    <n v="20"/>
    <x v="3"/>
    <x v="2"/>
    <n v="17.989999999999998"/>
    <x v="1"/>
    <x v="1"/>
    <n v="3"/>
    <n v="0.09"/>
    <x v="0"/>
  </r>
  <r>
    <s v="5e47d43e-927d-46dc-8828-d13eaab15b4e"/>
    <n v="35"/>
    <x v="2"/>
    <x v="2"/>
    <x v="2"/>
    <n v="22.39"/>
    <n v="45"/>
    <x v="1"/>
    <x v="2"/>
    <n v="8.99"/>
    <x v="1"/>
    <x v="4"/>
    <n v="1"/>
    <n v="0.49"/>
    <x v="6"/>
  </r>
  <r>
    <s v="da1333b2-35f9-4d1e-9799-55116f166b51"/>
    <n v="41"/>
    <x v="2"/>
    <x v="1"/>
    <x v="0"/>
    <n v="3.61"/>
    <n v="29"/>
    <x v="0"/>
    <x v="4"/>
    <n v="13.99"/>
    <x v="0"/>
    <x v="1"/>
    <n v="5"/>
    <n v="0.12"/>
    <x v="3"/>
  </r>
  <r>
    <s v="19352d22-01bc-4e16-b5b7-cb2fe248f5b7"/>
    <n v="43"/>
    <x v="2"/>
    <x v="1"/>
    <x v="2"/>
    <n v="0.37"/>
    <n v="16"/>
    <x v="3"/>
    <x v="0"/>
    <n v="8.99"/>
    <x v="1"/>
    <x v="1"/>
    <n v="5"/>
    <n v="0.02"/>
    <x v="5"/>
  </r>
  <r>
    <s v="a8fddcff-3303-437f-b4ba-c3ecab9da8f5"/>
    <n v="41"/>
    <x v="2"/>
    <x v="2"/>
    <x v="2"/>
    <n v="19.329999999999998"/>
    <n v="6"/>
    <x v="1"/>
    <x v="1"/>
    <n v="8.99"/>
    <x v="0"/>
    <x v="4"/>
    <n v="5"/>
    <n v="2.76"/>
    <x v="2"/>
  </r>
  <r>
    <s v="052a034c-7746-43fc-912d-4991c01b1f95"/>
    <n v="37"/>
    <x v="2"/>
    <x v="1"/>
    <x v="2"/>
    <n v="7.26"/>
    <n v="57"/>
    <x v="5"/>
    <x v="0"/>
    <n v="8.99"/>
    <x v="1"/>
    <x v="4"/>
    <n v="4"/>
    <n v="0.13"/>
    <x v="2"/>
  </r>
  <r>
    <s v="f6b21267-fc81-4b2c-bb52-26535593c64d"/>
    <n v="37"/>
    <x v="2"/>
    <x v="2"/>
    <x v="0"/>
    <n v="18.920000000000002"/>
    <n v="0"/>
    <x v="4"/>
    <x v="0"/>
    <n v="13.99"/>
    <x v="0"/>
    <x v="0"/>
    <n v="1"/>
    <n v="18.920000000000002"/>
    <x v="3"/>
  </r>
  <r>
    <s v="d567ec1c-9950-494f-b619-0071de29b581"/>
    <n v="41"/>
    <x v="2"/>
    <x v="2"/>
    <x v="1"/>
    <n v="8.26"/>
    <n v="57"/>
    <x v="4"/>
    <x v="2"/>
    <n v="17.989999999999998"/>
    <x v="1"/>
    <x v="0"/>
    <n v="4"/>
    <n v="0.14000000000000001"/>
    <x v="5"/>
  </r>
  <r>
    <s v="a88809ec-5337-4c2d-bee2-480cdcb0ad4d"/>
    <n v="44"/>
    <x v="2"/>
    <x v="0"/>
    <x v="2"/>
    <n v="58.4"/>
    <n v="26"/>
    <x v="5"/>
    <x v="3"/>
    <n v="8.99"/>
    <x v="0"/>
    <x v="4"/>
    <n v="1"/>
    <n v="2.16"/>
    <x v="6"/>
  </r>
  <r>
    <s v="33572a9e-8851-48b3-a9b8-9b6a3f88b1d1"/>
    <n v="42"/>
    <x v="2"/>
    <x v="0"/>
    <x v="1"/>
    <n v="9.08"/>
    <n v="17"/>
    <x v="3"/>
    <x v="3"/>
    <n v="17.989999999999998"/>
    <x v="0"/>
    <x v="0"/>
    <n v="1"/>
    <n v="0.5"/>
    <x v="5"/>
  </r>
  <r>
    <s v="480aa107-c976-4ba7-ac36-ee39787e0eda"/>
    <n v="37"/>
    <x v="2"/>
    <x v="2"/>
    <x v="1"/>
    <n v="8.9600000000000009"/>
    <n v="42"/>
    <x v="2"/>
    <x v="1"/>
    <n v="17.989999999999998"/>
    <x v="1"/>
    <x v="4"/>
    <n v="1"/>
    <n v="0.21"/>
    <x v="1"/>
  </r>
  <r>
    <s v="37eff54d-aa2b-4cc4-8aba-ea192afc459b"/>
    <n v="40"/>
    <x v="2"/>
    <x v="2"/>
    <x v="2"/>
    <n v="9.07"/>
    <n v="11"/>
    <x v="0"/>
    <x v="2"/>
    <n v="8.99"/>
    <x v="0"/>
    <x v="2"/>
    <n v="1"/>
    <n v="0.76"/>
    <x v="2"/>
  </r>
  <r>
    <s v="dbfb92e5-f251-4870-9cf1-89bd39cee9bc"/>
    <n v="44"/>
    <x v="2"/>
    <x v="0"/>
    <x v="1"/>
    <n v="5.79"/>
    <n v="8"/>
    <x v="2"/>
    <x v="0"/>
    <n v="17.989999999999998"/>
    <x v="0"/>
    <x v="4"/>
    <n v="3"/>
    <n v="0.64"/>
    <x v="5"/>
  </r>
  <r>
    <s v="0e10b5dc-491e-4846-8c4f-1c77e212012e"/>
    <n v="41"/>
    <x v="2"/>
    <x v="0"/>
    <x v="1"/>
    <n v="8.44"/>
    <n v="36"/>
    <x v="2"/>
    <x v="2"/>
    <n v="17.989999999999998"/>
    <x v="1"/>
    <x v="0"/>
    <n v="4"/>
    <n v="0.23"/>
    <x v="0"/>
  </r>
  <r>
    <s v="146b3e1f-e680-446f-8f4a-54de55694a39"/>
    <n v="41"/>
    <x v="2"/>
    <x v="0"/>
    <x v="1"/>
    <n v="5.24"/>
    <n v="49"/>
    <x v="4"/>
    <x v="0"/>
    <n v="17.989999999999998"/>
    <x v="1"/>
    <x v="0"/>
    <n v="2"/>
    <n v="0.1"/>
    <x v="1"/>
  </r>
  <r>
    <s v="cb2fa434-022a-42a5-97ea-56caf52190af"/>
    <n v="40"/>
    <x v="2"/>
    <x v="0"/>
    <x v="1"/>
    <n v="2.65"/>
    <n v="21"/>
    <x v="3"/>
    <x v="0"/>
    <n v="17.989999999999998"/>
    <x v="0"/>
    <x v="1"/>
    <n v="5"/>
    <n v="0.12"/>
    <x v="1"/>
  </r>
  <r>
    <s v="b6f391a5-6046-41cd-bd2a-bb08cba87ade"/>
    <n v="35"/>
    <x v="2"/>
    <x v="1"/>
    <x v="2"/>
    <n v="2.5499999999999998"/>
    <n v="26"/>
    <x v="5"/>
    <x v="4"/>
    <n v="8.99"/>
    <x v="1"/>
    <x v="4"/>
    <n v="2"/>
    <n v="0.09"/>
    <x v="3"/>
  </r>
  <r>
    <s v="997cbf98-32d4-40da-9947-3faefe7425ad"/>
    <n v="39"/>
    <x v="2"/>
    <x v="0"/>
    <x v="0"/>
    <n v="0.12"/>
    <n v="3"/>
    <x v="2"/>
    <x v="4"/>
    <n v="13.99"/>
    <x v="0"/>
    <x v="1"/>
    <n v="3"/>
    <n v="0.03"/>
    <x v="6"/>
  </r>
  <r>
    <s v="abb49c7b-8ac5-47b5-a703-ece9fb8d520a"/>
    <n v="40"/>
    <x v="2"/>
    <x v="0"/>
    <x v="1"/>
    <n v="18.010000000000002"/>
    <n v="14"/>
    <x v="0"/>
    <x v="3"/>
    <n v="17.989999999999998"/>
    <x v="0"/>
    <x v="1"/>
    <n v="2"/>
    <n v="1.2"/>
    <x v="4"/>
  </r>
  <r>
    <s v="9a31ef57-a971-484e-a186-29ed435f5442"/>
    <n v="40"/>
    <x v="2"/>
    <x v="0"/>
    <x v="2"/>
    <n v="15.45"/>
    <n v="58"/>
    <x v="4"/>
    <x v="1"/>
    <n v="8.99"/>
    <x v="1"/>
    <x v="3"/>
    <n v="2"/>
    <n v="0.26"/>
    <x v="1"/>
  </r>
  <r>
    <s v="98642ab8-58f0-4356-912e-7b4425666afe"/>
    <n v="37"/>
    <x v="2"/>
    <x v="0"/>
    <x v="2"/>
    <n v="28.01"/>
    <n v="35"/>
    <x v="1"/>
    <x v="3"/>
    <n v="8.99"/>
    <x v="0"/>
    <x v="3"/>
    <n v="1"/>
    <n v="0.78"/>
    <x v="6"/>
  </r>
  <r>
    <s v="146badc9-8bea-4703-970a-5735ef9e9896"/>
    <n v="36"/>
    <x v="2"/>
    <x v="1"/>
    <x v="0"/>
    <n v="17.04"/>
    <n v="31"/>
    <x v="2"/>
    <x v="2"/>
    <n v="13.99"/>
    <x v="0"/>
    <x v="1"/>
    <n v="2"/>
    <n v="0.53"/>
    <x v="6"/>
  </r>
  <r>
    <s v="2f8b0059-b300-4da0-bacc-749ab45c3722"/>
    <n v="44"/>
    <x v="2"/>
    <x v="2"/>
    <x v="2"/>
    <n v="2.84"/>
    <n v="12"/>
    <x v="5"/>
    <x v="4"/>
    <n v="8.99"/>
    <x v="1"/>
    <x v="1"/>
    <n v="2"/>
    <n v="0.22"/>
    <x v="2"/>
  </r>
  <r>
    <s v="951166de-8d22-49ad-afff-2d0f720aedc8"/>
    <n v="38"/>
    <x v="2"/>
    <x v="2"/>
    <x v="0"/>
    <n v="7.44"/>
    <n v="34"/>
    <x v="2"/>
    <x v="2"/>
    <n v="13.99"/>
    <x v="1"/>
    <x v="2"/>
    <n v="2"/>
    <n v="0.21"/>
    <x v="5"/>
  </r>
  <r>
    <s v="dff09d24-0925-4658-95d4-89b6ced8d1ca"/>
    <n v="39"/>
    <x v="2"/>
    <x v="1"/>
    <x v="1"/>
    <n v="15.64"/>
    <n v="24"/>
    <x v="5"/>
    <x v="3"/>
    <n v="17.989999999999998"/>
    <x v="0"/>
    <x v="2"/>
    <n v="4"/>
    <n v="0.63"/>
    <x v="4"/>
  </r>
  <r>
    <s v="15af8821-bdd5-4c9b-8aff-88435d9efaae"/>
    <n v="44"/>
    <x v="2"/>
    <x v="2"/>
    <x v="0"/>
    <n v="4.2"/>
    <n v="39"/>
    <x v="0"/>
    <x v="1"/>
    <n v="13.99"/>
    <x v="1"/>
    <x v="3"/>
    <n v="3"/>
    <n v="0.11"/>
    <x v="3"/>
  </r>
  <r>
    <s v="14ee7859-5504-41ac-aac7-9bc5d66a0bb9"/>
    <n v="40"/>
    <x v="2"/>
    <x v="2"/>
    <x v="0"/>
    <n v="4.87"/>
    <n v="19"/>
    <x v="1"/>
    <x v="2"/>
    <n v="13.99"/>
    <x v="1"/>
    <x v="1"/>
    <n v="1"/>
    <n v="0.24"/>
    <x v="0"/>
  </r>
  <r>
    <s v="6bb1aca9-0bb6-4a2c-a5ea-b04faf91ec09"/>
    <n v="38"/>
    <x v="2"/>
    <x v="0"/>
    <x v="2"/>
    <n v="2.7"/>
    <n v="49"/>
    <x v="4"/>
    <x v="2"/>
    <n v="8.99"/>
    <x v="1"/>
    <x v="1"/>
    <n v="1"/>
    <n v="0.05"/>
    <x v="5"/>
  </r>
  <r>
    <s v="33cfe352-95d7-49f7-b368-ce5218758112"/>
    <n v="39"/>
    <x v="2"/>
    <x v="2"/>
    <x v="1"/>
    <n v="9.2799999999999994"/>
    <n v="39"/>
    <x v="1"/>
    <x v="4"/>
    <n v="17.989999999999998"/>
    <x v="1"/>
    <x v="0"/>
    <n v="3"/>
    <n v="0.23"/>
    <x v="2"/>
  </r>
  <r>
    <s v="435c5516-9ca4-4623-8c1b-6e7c568352ca"/>
    <n v="38"/>
    <x v="2"/>
    <x v="2"/>
    <x v="0"/>
    <n v="8.7899999999999991"/>
    <n v="17"/>
    <x v="4"/>
    <x v="0"/>
    <n v="13.99"/>
    <x v="0"/>
    <x v="3"/>
    <n v="5"/>
    <n v="0.49"/>
    <x v="0"/>
  </r>
  <r>
    <s v="2b46513e-8412-4b99-91aa-d614206322d1"/>
    <n v="41"/>
    <x v="2"/>
    <x v="0"/>
    <x v="1"/>
    <n v="0.56999999999999995"/>
    <n v="52"/>
    <x v="4"/>
    <x v="2"/>
    <n v="17.989999999999998"/>
    <x v="1"/>
    <x v="3"/>
    <n v="4"/>
    <n v="0.01"/>
    <x v="5"/>
  </r>
  <r>
    <s v="d2038fcb-1899-4b27-acc7-8bd054f32003"/>
    <n v="38"/>
    <x v="2"/>
    <x v="0"/>
    <x v="0"/>
    <n v="32.31"/>
    <n v="11"/>
    <x v="5"/>
    <x v="2"/>
    <n v="13.99"/>
    <x v="0"/>
    <x v="3"/>
    <n v="3"/>
    <n v="2.69"/>
    <x v="2"/>
  </r>
  <r>
    <s v="735f5a63-06cb-47d4-8240-138887fdbab6"/>
    <n v="40"/>
    <x v="2"/>
    <x v="1"/>
    <x v="2"/>
    <n v="6.86"/>
    <n v="1"/>
    <x v="5"/>
    <x v="4"/>
    <n v="8.99"/>
    <x v="0"/>
    <x v="0"/>
    <n v="4"/>
    <n v="3.43"/>
    <x v="6"/>
  </r>
  <r>
    <s v="296d587f-e02a-4e4c-a88a-cc31e10823f3"/>
    <n v="35"/>
    <x v="2"/>
    <x v="0"/>
    <x v="1"/>
    <n v="25.2"/>
    <n v="48"/>
    <x v="0"/>
    <x v="4"/>
    <n v="17.989999999999998"/>
    <x v="0"/>
    <x v="1"/>
    <n v="4"/>
    <n v="0.51"/>
    <x v="6"/>
  </r>
  <r>
    <s v="e7847fc5-4848-485d-8172-53505ff5c1d5"/>
    <n v="43"/>
    <x v="2"/>
    <x v="1"/>
    <x v="2"/>
    <n v="6.86"/>
    <n v="41"/>
    <x v="2"/>
    <x v="3"/>
    <n v="8.99"/>
    <x v="1"/>
    <x v="3"/>
    <n v="4"/>
    <n v="0.16"/>
    <x v="5"/>
  </r>
  <r>
    <s v="ee7b619d-8df1-47ce-8ab5-060c29ac3d3e"/>
    <n v="42"/>
    <x v="2"/>
    <x v="0"/>
    <x v="0"/>
    <n v="0.48"/>
    <n v="5"/>
    <x v="4"/>
    <x v="3"/>
    <n v="13.99"/>
    <x v="0"/>
    <x v="2"/>
    <n v="5"/>
    <n v="0.08"/>
    <x v="3"/>
  </r>
  <r>
    <s v="f0e1cc4a-8545-4e03-9f16-9e83b65e44aa"/>
    <n v="41"/>
    <x v="2"/>
    <x v="0"/>
    <x v="2"/>
    <n v="32.799999999999997"/>
    <n v="32"/>
    <x v="1"/>
    <x v="2"/>
    <n v="8.99"/>
    <x v="0"/>
    <x v="2"/>
    <n v="2"/>
    <n v="0.99"/>
    <x v="0"/>
  </r>
  <r>
    <s v="85003a46-57ba-4ad5-8240-99d3d8b9ef27"/>
    <n v="43"/>
    <x v="2"/>
    <x v="1"/>
    <x v="0"/>
    <n v="38.840000000000003"/>
    <n v="56"/>
    <x v="1"/>
    <x v="2"/>
    <n v="13.99"/>
    <x v="0"/>
    <x v="1"/>
    <n v="4"/>
    <n v="0.68"/>
    <x v="4"/>
  </r>
  <r>
    <s v="0c807992-f90b-4e89-85e3-9178d3bae4a8"/>
    <n v="36"/>
    <x v="2"/>
    <x v="0"/>
    <x v="0"/>
    <n v="2.56"/>
    <n v="6"/>
    <x v="3"/>
    <x v="4"/>
    <n v="13.99"/>
    <x v="0"/>
    <x v="1"/>
    <n v="5"/>
    <n v="0.37"/>
    <x v="1"/>
  </r>
  <r>
    <s v="f229d011-40b4-4e21-ac8e-394de1b4d6bc"/>
    <n v="37"/>
    <x v="2"/>
    <x v="2"/>
    <x v="0"/>
    <n v="1.33"/>
    <n v="60"/>
    <x v="1"/>
    <x v="3"/>
    <n v="13.99"/>
    <x v="1"/>
    <x v="4"/>
    <n v="5"/>
    <n v="0.02"/>
    <x v="1"/>
  </r>
  <r>
    <s v="f0a64ef5-b531-4c85-9f81-5ce41490de02"/>
    <n v="43"/>
    <x v="2"/>
    <x v="2"/>
    <x v="2"/>
    <n v="10.02"/>
    <n v="50"/>
    <x v="1"/>
    <x v="0"/>
    <n v="8.99"/>
    <x v="1"/>
    <x v="2"/>
    <n v="1"/>
    <n v="0.2"/>
    <x v="0"/>
  </r>
  <r>
    <s v="24b27817-e433-45cf-8439-8658f84b5d2e"/>
    <n v="35"/>
    <x v="2"/>
    <x v="0"/>
    <x v="2"/>
    <n v="9.1999999999999993"/>
    <n v="26"/>
    <x v="2"/>
    <x v="1"/>
    <n v="8.99"/>
    <x v="1"/>
    <x v="4"/>
    <n v="2"/>
    <n v="0.34"/>
    <x v="1"/>
  </r>
  <r>
    <s v="5bd2fa59-db60-4274-9e7c-f64de753ff84"/>
    <n v="36"/>
    <x v="2"/>
    <x v="0"/>
    <x v="0"/>
    <n v="11.94"/>
    <n v="45"/>
    <x v="1"/>
    <x v="4"/>
    <n v="13.99"/>
    <x v="1"/>
    <x v="3"/>
    <n v="2"/>
    <n v="0.26"/>
    <x v="1"/>
  </r>
  <r>
    <s v="d2927ae0-0518-4579-aed1-4ad9a039d1d0"/>
    <n v="39"/>
    <x v="2"/>
    <x v="1"/>
    <x v="1"/>
    <n v="13.51"/>
    <n v="54"/>
    <x v="5"/>
    <x v="4"/>
    <n v="17.989999999999998"/>
    <x v="0"/>
    <x v="3"/>
    <n v="4"/>
    <n v="0.25"/>
    <x v="0"/>
  </r>
  <r>
    <s v="91c22005-2619-4f68-a797-531076bc8d6a"/>
    <n v="41"/>
    <x v="2"/>
    <x v="0"/>
    <x v="2"/>
    <n v="7.78"/>
    <n v="0"/>
    <x v="0"/>
    <x v="4"/>
    <n v="8.99"/>
    <x v="0"/>
    <x v="3"/>
    <n v="2"/>
    <n v="7.78"/>
    <x v="4"/>
  </r>
  <r>
    <s v="acc43c61-4f60-49b8-a93b-4241c02b2be2"/>
    <n v="44"/>
    <x v="2"/>
    <x v="1"/>
    <x v="2"/>
    <n v="20.91"/>
    <n v="5"/>
    <x v="2"/>
    <x v="1"/>
    <n v="8.99"/>
    <x v="0"/>
    <x v="4"/>
    <n v="5"/>
    <n v="3.48"/>
    <x v="6"/>
  </r>
  <r>
    <s v="efc777d9-e7a2-404c-9626-3b30b333dcce"/>
    <n v="40"/>
    <x v="2"/>
    <x v="1"/>
    <x v="0"/>
    <n v="7.48"/>
    <n v="54"/>
    <x v="3"/>
    <x v="4"/>
    <n v="13.99"/>
    <x v="1"/>
    <x v="1"/>
    <n v="1"/>
    <n v="0.14000000000000001"/>
    <x v="1"/>
  </r>
  <r>
    <s v="e51e6d48-d863-4799-9f3d-75b6980b5d3e"/>
    <n v="36"/>
    <x v="2"/>
    <x v="2"/>
    <x v="1"/>
    <n v="2.13"/>
    <n v="54"/>
    <x v="5"/>
    <x v="1"/>
    <n v="17.989999999999998"/>
    <x v="1"/>
    <x v="1"/>
    <n v="3"/>
    <n v="0.04"/>
    <x v="0"/>
  </r>
  <r>
    <s v="4e3215e3-48be-4ea9-86e4-057e5ce9bf39"/>
    <n v="43"/>
    <x v="2"/>
    <x v="2"/>
    <x v="0"/>
    <n v="1.06"/>
    <n v="27"/>
    <x v="0"/>
    <x v="0"/>
    <n v="13.99"/>
    <x v="0"/>
    <x v="3"/>
    <n v="4"/>
    <n v="0.04"/>
    <x v="3"/>
  </r>
  <r>
    <s v="4f6c6788-a003-4eca-b344-5e47ace30e12"/>
    <n v="38"/>
    <x v="2"/>
    <x v="1"/>
    <x v="0"/>
    <n v="5.32"/>
    <n v="24"/>
    <x v="1"/>
    <x v="4"/>
    <n v="13.99"/>
    <x v="0"/>
    <x v="0"/>
    <n v="4"/>
    <n v="0.21"/>
    <x v="5"/>
  </r>
  <r>
    <s v="f25ebdda-0532-43da-91be-d2ff34c108cc"/>
    <n v="40"/>
    <x v="2"/>
    <x v="0"/>
    <x v="2"/>
    <n v="5.54"/>
    <n v="11"/>
    <x v="5"/>
    <x v="2"/>
    <n v="8.99"/>
    <x v="1"/>
    <x v="4"/>
    <n v="1"/>
    <n v="0.46"/>
    <x v="0"/>
  </r>
  <r>
    <s v="c6c8cbb4-b03d-4aa7-ae8f-591c88f61aa2"/>
    <n v="43"/>
    <x v="2"/>
    <x v="0"/>
    <x v="2"/>
    <n v="7.51"/>
    <n v="2"/>
    <x v="1"/>
    <x v="0"/>
    <n v="8.99"/>
    <x v="0"/>
    <x v="2"/>
    <n v="4"/>
    <n v="2.5"/>
    <x v="0"/>
  </r>
  <r>
    <s v="7a8163de-f9a8-416e-8019-79049bb31e9b"/>
    <n v="39"/>
    <x v="2"/>
    <x v="0"/>
    <x v="0"/>
    <n v="11.29"/>
    <n v="40"/>
    <x v="1"/>
    <x v="1"/>
    <n v="13.99"/>
    <x v="1"/>
    <x v="0"/>
    <n v="1"/>
    <n v="0.28000000000000003"/>
    <x v="5"/>
  </r>
  <r>
    <s v="b7aa7d7c-1680-4a40-9646-3fbc458fdef6"/>
    <n v="39"/>
    <x v="2"/>
    <x v="0"/>
    <x v="2"/>
    <n v="7.24"/>
    <n v="8"/>
    <x v="5"/>
    <x v="2"/>
    <n v="8.99"/>
    <x v="0"/>
    <x v="2"/>
    <n v="3"/>
    <n v="0.8"/>
    <x v="2"/>
  </r>
  <r>
    <s v="c154deff-4e9e-4fe4-9d67-f48908ff54d9"/>
    <n v="40"/>
    <x v="2"/>
    <x v="0"/>
    <x v="2"/>
    <n v="3.95"/>
    <n v="34"/>
    <x v="5"/>
    <x v="4"/>
    <n v="8.99"/>
    <x v="1"/>
    <x v="1"/>
    <n v="4"/>
    <n v="0.11"/>
    <x v="1"/>
  </r>
  <r>
    <s v="b3df269b-9a99-4b0d-b72a-309d9eb0fdff"/>
    <n v="40"/>
    <x v="2"/>
    <x v="2"/>
    <x v="0"/>
    <n v="1.53"/>
    <n v="23"/>
    <x v="3"/>
    <x v="1"/>
    <n v="13.99"/>
    <x v="1"/>
    <x v="2"/>
    <n v="1"/>
    <n v="0.06"/>
    <x v="0"/>
  </r>
  <r>
    <s v="e06fb7ea-7713-4fac-a996-c7ea9349c0f1"/>
    <n v="38"/>
    <x v="2"/>
    <x v="2"/>
    <x v="1"/>
    <n v="4.88"/>
    <n v="12"/>
    <x v="4"/>
    <x v="1"/>
    <n v="17.989999999999998"/>
    <x v="1"/>
    <x v="4"/>
    <n v="1"/>
    <n v="0.38"/>
    <x v="4"/>
  </r>
  <r>
    <s v="391f7245-b2ef-4328-b1f0-47135a7252ce"/>
    <n v="42"/>
    <x v="2"/>
    <x v="0"/>
    <x v="1"/>
    <n v="6.45"/>
    <n v="52"/>
    <x v="1"/>
    <x v="4"/>
    <n v="17.989999999999998"/>
    <x v="1"/>
    <x v="4"/>
    <n v="1"/>
    <n v="0.12"/>
    <x v="5"/>
  </r>
  <r>
    <s v="05e332ce-23b3-4687-90ae-3a9a515490ff"/>
    <n v="39"/>
    <x v="2"/>
    <x v="1"/>
    <x v="1"/>
    <n v="0.33"/>
    <n v="29"/>
    <x v="3"/>
    <x v="1"/>
    <n v="17.989999999999998"/>
    <x v="1"/>
    <x v="2"/>
    <n v="2"/>
    <n v="0.01"/>
    <x v="5"/>
  </r>
  <r>
    <s v="5802fec8-2f12-4cea-8fe6-64a2d9038aba"/>
    <n v="37"/>
    <x v="2"/>
    <x v="0"/>
    <x v="1"/>
    <n v="19.29"/>
    <n v="42"/>
    <x v="4"/>
    <x v="4"/>
    <n v="17.989999999999998"/>
    <x v="0"/>
    <x v="3"/>
    <n v="4"/>
    <n v="0.45"/>
    <x v="1"/>
  </r>
  <r>
    <s v="16eef2bf-6be9-48c4-bc16-37c86a697011"/>
    <n v="35"/>
    <x v="2"/>
    <x v="0"/>
    <x v="1"/>
    <n v="19.05"/>
    <n v="57"/>
    <x v="5"/>
    <x v="2"/>
    <n v="17.989999999999998"/>
    <x v="0"/>
    <x v="2"/>
    <n v="5"/>
    <n v="0.33"/>
    <x v="3"/>
  </r>
  <r>
    <s v="f53ae566-c104-415c-a1f2-4e8e5e814603"/>
    <n v="38"/>
    <x v="2"/>
    <x v="0"/>
    <x v="1"/>
    <n v="10.11"/>
    <n v="23"/>
    <x v="0"/>
    <x v="3"/>
    <n v="17.989999999999998"/>
    <x v="0"/>
    <x v="3"/>
    <n v="4"/>
    <n v="0.42"/>
    <x v="3"/>
  </r>
  <r>
    <s v="87d56579-1f8f-477f-a0bf-ab16a504a431"/>
    <n v="38"/>
    <x v="2"/>
    <x v="2"/>
    <x v="2"/>
    <n v="11.77"/>
    <n v="49"/>
    <x v="3"/>
    <x v="0"/>
    <n v="8.99"/>
    <x v="1"/>
    <x v="2"/>
    <n v="5"/>
    <n v="0.24"/>
    <x v="1"/>
  </r>
  <r>
    <s v="32eb81b5-af6f-44d3-bc33-4de00ebe132d"/>
    <n v="42"/>
    <x v="2"/>
    <x v="0"/>
    <x v="0"/>
    <n v="4.37"/>
    <n v="18"/>
    <x v="3"/>
    <x v="1"/>
    <n v="13.99"/>
    <x v="1"/>
    <x v="0"/>
    <n v="5"/>
    <n v="0.23"/>
    <x v="2"/>
  </r>
  <r>
    <s v="0de1d06b-e229-4173-ae8f-a5e2602c629a"/>
    <n v="40"/>
    <x v="2"/>
    <x v="2"/>
    <x v="0"/>
    <n v="8.17"/>
    <n v="4"/>
    <x v="4"/>
    <x v="1"/>
    <n v="13.99"/>
    <x v="0"/>
    <x v="1"/>
    <n v="1"/>
    <n v="1.63"/>
    <x v="5"/>
  </r>
  <r>
    <s v="e832c2fc-cd6b-419d-8c4c-e3c2a995c0da"/>
    <n v="38"/>
    <x v="2"/>
    <x v="2"/>
    <x v="1"/>
    <n v="0.47"/>
    <n v="48"/>
    <x v="2"/>
    <x v="3"/>
    <n v="17.989999999999998"/>
    <x v="1"/>
    <x v="3"/>
    <n v="3"/>
    <n v="0.01"/>
    <x v="2"/>
  </r>
  <r>
    <s v="1ce4b8f6-4a3b-433e-b6df-03b90ab10530"/>
    <n v="39"/>
    <x v="2"/>
    <x v="2"/>
    <x v="2"/>
    <n v="6.04"/>
    <n v="37"/>
    <x v="1"/>
    <x v="3"/>
    <n v="8.99"/>
    <x v="1"/>
    <x v="4"/>
    <n v="2"/>
    <n v="0.16"/>
    <x v="5"/>
  </r>
  <r>
    <s v="22576ce0-1d98-41da-818e-272c0718c042"/>
    <n v="43"/>
    <x v="2"/>
    <x v="1"/>
    <x v="0"/>
    <n v="5.12"/>
    <n v="26"/>
    <x v="2"/>
    <x v="2"/>
    <n v="13.99"/>
    <x v="0"/>
    <x v="1"/>
    <n v="5"/>
    <n v="0.19"/>
    <x v="5"/>
  </r>
  <r>
    <s v="682fdf52-1ebf-4d53-a4b0-141a586bd183"/>
    <n v="39"/>
    <x v="2"/>
    <x v="0"/>
    <x v="2"/>
    <n v="2.44"/>
    <n v="43"/>
    <x v="3"/>
    <x v="4"/>
    <n v="8.99"/>
    <x v="1"/>
    <x v="2"/>
    <n v="5"/>
    <n v="0.06"/>
    <x v="5"/>
  </r>
  <r>
    <s v="70b56f5e-a3c0-404d-99d8-7aa2814b5a4d"/>
    <n v="35"/>
    <x v="2"/>
    <x v="0"/>
    <x v="2"/>
    <n v="30.91"/>
    <n v="23"/>
    <x v="1"/>
    <x v="0"/>
    <n v="8.99"/>
    <x v="0"/>
    <x v="3"/>
    <n v="5"/>
    <n v="1.29"/>
    <x v="1"/>
  </r>
  <r>
    <s v="c013d89c-ded5-477f-a7a1-82f17a4bc821"/>
    <n v="44"/>
    <x v="2"/>
    <x v="0"/>
    <x v="1"/>
    <n v="18.89"/>
    <n v="11"/>
    <x v="3"/>
    <x v="1"/>
    <n v="17.989999999999998"/>
    <x v="0"/>
    <x v="3"/>
    <n v="1"/>
    <n v="1.57"/>
    <x v="5"/>
  </r>
  <r>
    <s v="c07e896d-752f-4841-9fa4-aa8c9ed4acf5"/>
    <n v="36"/>
    <x v="2"/>
    <x v="0"/>
    <x v="1"/>
    <n v="13.32"/>
    <n v="45"/>
    <x v="2"/>
    <x v="2"/>
    <n v="17.989999999999998"/>
    <x v="1"/>
    <x v="2"/>
    <n v="2"/>
    <n v="0.28999999999999998"/>
    <x v="5"/>
  </r>
  <r>
    <s v="ca2c759f-eb04-494f-8fc1-cd125bf44244"/>
    <n v="42"/>
    <x v="2"/>
    <x v="0"/>
    <x v="1"/>
    <n v="2.2200000000000002"/>
    <n v="40"/>
    <x v="1"/>
    <x v="1"/>
    <n v="17.989999999999998"/>
    <x v="1"/>
    <x v="2"/>
    <n v="1"/>
    <n v="0.05"/>
    <x v="1"/>
  </r>
  <r>
    <s v="bb281009-8f9e-4de8-a2be-18ead738858e"/>
    <n v="40"/>
    <x v="2"/>
    <x v="2"/>
    <x v="0"/>
    <n v="1.1100000000000001"/>
    <n v="20"/>
    <x v="1"/>
    <x v="4"/>
    <n v="13.99"/>
    <x v="1"/>
    <x v="3"/>
    <n v="1"/>
    <n v="0.05"/>
    <x v="2"/>
  </r>
  <r>
    <s v="4faf647b-445b-40e8-a4cc-322e3c0cf8c1"/>
    <n v="41"/>
    <x v="2"/>
    <x v="1"/>
    <x v="0"/>
    <n v="6.01"/>
    <n v="14"/>
    <x v="2"/>
    <x v="1"/>
    <n v="13.99"/>
    <x v="0"/>
    <x v="4"/>
    <n v="2"/>
    <n v="0.4"/>
    <x v="2"/>
  </r>
  <r>
    <s v="3be193c1-71c9-4feb-8146-f7c113153a5e"/>
    <n v="41"/>
    <x v="2"/>
    <x v="0"/>
    <x v="2"/>
    <n v="11.55"/>
    <n v="57"/>
    <x v="0"/>
    <x v="4"/>
    <n v="8.99"/>
    <x v="1"/>
    <x v="0"/>
    <n v="1"/>
    <n v="0.2"/>
    <x v="6"/>
  </r>
  <r>
    <s v="067df9b8-5818-4c62-b69c-7d52b011a2ee"/>
    <n v="35"/>
    <x v="2"/>
    <x v="1"/>
    <x v="1"/>
    <n v="2.41"/>
    <n v="49"/>
    <x v="2"/>
    <x v="2"/>
    <n v="17.989999999999998"/>
    <x v="1"/>
    <x v="2"/>
    <n v="2"/>
    <n v="0.05"/>
    <x v="2"/>
  </r>
  <r>
    <s v="8a651951-8fd2-431e-968d-ed0041ad09cd"/>
    <n v="37"/>
    <x v="2"/>
    <x v="1"/>
    <x v="1"/>
    <n v="3.58"/>
    <n v="33"/>
    <x v="2"/>
    <x v="0"/>
    <n v="17.989999999999998"/>
    <x v="1"/>
    <x v="0"/>
    <n v="5"/>
    <n v="0.11"/>
    <x v="6"/>
  </r>
  <r>
    <s v="25786b48-b57f-43d4-8a62-b852aa91d6eb"/>
    <n v="40"/>
    <x v="2"/>
    <x v="2"/>
    <x v="0"/>
    <n v="3.58"/>
    <n v="21"/>
    <x v="3"/>
    <x v="0"/>
    <n v="13.99"/>
    <x v="1"/>
    <x v="2"/>
    <n v="3"/>
    <n v="0.16"/>
    <x v="0"/>
  </r>
  <r>
    <s v="5cd95d80-f5f2-405a-b630-3b517d652c66"/>
    <n v="36"/>
    <x v="2"/>
    <x v="1"/>
    <x v="2"/>
    <n v="8.32"/>
    <n v="20"/>
    <x v="5"/>
    <x v="1"/>
    <n v="8.99"/>
    <x v="0"/>
    <x v="3"/>
    <n v="2"/>
    <n v="0.4"/>
    <x v="3"/>
  </r>
  <r>
    <s v="207f3314-e691-4165-9db7-11d5209f16b8"/>
    <n v="39"/>
    <x v="2"/>
    <x v="1"/>
    <x v="2"/>
    <n v="11.55"/>
    <n v="10"/>
    <x v="1"/>
    <x v="2"/>
    <n v="8.99"/>
    <x v="0"/>
    <x v="4"/>
    <n v="1"/>
    <n v="1.05"/>
    <x v="2"/>
  </r>
  <r>
    <s v="d6e2c3f2-1b15-47fc-a1db-49862399a770"/>
    <n v="44"/>
    <x v="2"/>
    <x v="2"/>
    <x v="1"/>
    <n v="41.31"/>
    <n v="60"/>
    <x v="4"/>
    <x v="1"/>
    <n v="17.989999999999998"/>
    <x v="0"/>
    <x v="4"/>
    <n v="4"/>
    <n v="0.68"/>
    <x v="0"/>
  </r>
  <r>
    <s v="fffbf94b-2308-4687-a8bb-12e0347a511d"/>
    <n v="37"/>
    <x v="2"/>
    <x v="2"/>
    <x v="1"/>
    <n v="7.16"/>
    <n v="12"/>
    <x v="5"/>
    <x v="0"/>
    <n v="17.989999999999998"/>
    <x v="0"/>
    <x v="2"/>
    <n v="2"/>
    <n v="0.55000000000000004"/>
    <x v="6"/>
  </r>
  <r>
    <s v="33208f6c-63b0-473e-ab21-97527b057c83"/>
    <n v="38"/>
    <x v="2"/>
    <x v="1"/>
    <x v="0"/>
    <n v="17.05"/>
    <n v="34"/>
    <x v="0"/>
    <x v="0"/>
    <n v="13.99"/>
    <x v="1"/>
    <x v="2"/>
    <n v="3"/>
    <n v="0.49"/>
    <x v="4"/>
  </r>
  <r>
    <s v="00bdfac1-c682-408a-b6e1-73fdbfd9453c"/>
    <n v="39"/>
    <x v="2"/>
    <x v="0"/>
    <x v="1"/>
    <n v="11.83"/>
    <n v="55"/>
    <x v="2"/>
    <x v="1"/>
    <n v="17.989999999999998"/>
    <x v="1"/>
    <x v="4"/>
    <n v="3"/>
    <n v="0.21"/>
    <x v="3"/>
  </r>
  <r>
    <s v="2a4fafb1-ea01-4a1b-aacc-a09cf8eb1040"/>
    <n v="37"/>
    <x v="2"/>
    <x v="1"/>
    <x v="2"/>
    <n v="55.15"/>
    <n v="59"/>
    <x v="4"/>
    <x v="2"/>
    <n v="8.99"/>
    <x v="0"/>
    <x v="4"/>
    <n v="4"/>
    <n v="0.92"/>
    <x v="2"/>
  </r>
  <r>
    <s v="4d0d9fe7-24e6-423a-909d-9842181b5945"/>
    <n v="41"/>
    <x v="2"/>
    <x v="1"/>
    <x v="2"/>
    <n v="48.84"/>
    <n v="47"/>
    <x v="0"/>
    <x v="4"/>
    <n v="8.99"/>
    <x v="0"/>
    <x v="3"/>
    <n v="4"/>
    <n v="1.02"/>
    <x v="4"/>
  </r>
  <r>
    <s v="6e59af78-eae8-4862-a459-ccb4bb6c9077"/>
    <n v="43"/>
    <x v="2"/>
    <x v="2"/>
    <x v="1"/>
    <n v="6.6"/>
    <n v="11"/>
    <x v="2"/>
    <x v="3"/>
    <n v="17.989999999999998"/>
    <x v="0"/>
    <x v="4"/>
    <n v="4"/>
    <n v="0.55000000000000004"/>
    <x v="0"/>
  </r>
  <r>
    <s v="299e91ef-64c6-4cde-83d5-49b2c453eeb6"/>
    <n v="36"/>
    <x v="2"/>
    <x v="0"/>
    <x v="2"/>
    <n v="17.32"/>
    <n v="34"/>
    <x v="5"/>
    <x v="0"/>
    <n v="8.99"/>
    <x v="1"/>
    <x v="3"/>
    <n v="2"/>
    <n v="0.49"/>
    <x v="1"/>
  </r>
  <r>
    <s v="3853a2be-416d-4b36-ab0f-1e9284166094"/>
    <n v="44"/>
    <x v="2"/>
    <x v="2"/>
    <x v="2"/>
    <n v="12.76"/>
    <n v="41"/>
    <x v="5"/>
    <x v="4"/>
    <n v="8.99"/>
    <x v="1"/>
    <x v="2"/>
    <n v="3"/>
    <n v="0.3"/>
    <x v="0"/>
  </r>
  <r>
    <s v="a9b75100-82a8-427a-a208-72f24052884a"/>
    <n v="51"/>
    <x v="3"/>
    <x v="1"/>
    <x v="2"/>
    <n v="14.73"/>
    <n v="29"/>
    <x v="3"/>
    <x v="0"/>
    <n v="8.99"/>
    <x v="1"/>
    <x v="4"/>
    <n v="1"/>
    <n v="0.49"/>
    <x v="3"/>
  </r>
  <r>
    <s v="49a5dfd9-7e69-4022-a6ad-0a1b9767fb5b"/>
    <n v="47"/>
    <x v="3"/>
    <x v="1"/>
    <x v="0"/>
    <n v="0.7"/>
    <n v="19"/>
    <x v="1"/>
    <x v="2"/>
    <n v="13.99"/>
    <x v="1"/>
    <x v="4"/>
    <n v="5"/>
    <n v="0.03"/>
    <x v="6"/>
  </r>
  <r>
    <s v="d3c72c38-631b-4f9e-8a0e-de103cad1a7d"/>
    <n v="53"/>
    <x v="3"/>
    <x v="1"/>
    <x v="1"/>
    <n v="4.51"/>
    <n v="12"/>
    <x v="5"/>
    <x v="0"/>
    <n v="17.989999999999998"/>
    <x v="1"/>
    <x v="0"/>
    <n v="2"/>
    <n v="0.35"/>
    <x v="2"/>
  </r>
  <r>
    <s v="8e63450a-13d6-4e83-bbb5-6aebde9152cb"/>
    <n v="48"/>
    <x v="3"/>
    <x v="1"/>
    <x v="2"/>
    <n v="13.83"/>
    <n v="20"/>
    <x v="0"/>
    <x v="0"/>
    <n v="8.99"/>
    <x v="0"/>
    <x v="4"/>
    <n v="5"/>
    <n v="0.66"/>
    <x v="4"/>
  </r>
  <r>
    <s v="02387681-8c42-462a-807a-de0168c73b38"/>
    <n v="51"/>
    <x v="3"/>
    <x v="2"/>
    <x v="2"/>
    <n v="14.3"/>
    <n v="56"/>
    <x v="1"/>
    <x v="2"/>
    <n v="8.99"/>
    <x v="1"/>
    <x v="4"/>
    <n v="1"/>
    <n v="0.25"/>
    <x v="3"/>
  </r>
  <r>
    <s v="0bcaad0c-545c-4ee1-85a6-75e165f39361"/>
    <n v="45"/>
    <x v="3"/>
    <x v="1"/>
    <x v="2"/>
    <n v="9.98"/>
    <n v="10"/>
    <x v="0"/>
    <x v="2"/>
    <n v="8.99"/>
    <x v="0"/>
    <x v="3"/>
    <n v="3"/>
    <n v="0.91"/>
    <x v="4"/>
  </r>
  <r>
    <s v="4690bf9c-b828-44d3-bdb6-f91b10668288"/>
    <n v="47"/>
    <x v="3"/>
    <x v="1"/>
    <x v="0"/>
    <n v="7.92"/>
    <n v="23"/>
    <x v="2"/>
    <x v="0"/>
    <n v="13.99"/>
    <x v="0"/>
    <x v="0"/>
    <n v="1"/>
    <n v="0.33"/>
    <x v="6"/>
  </r>
  <r>
    <s v="0aac0e54-7d40-4cf2-abe4-45f3ff73f5ff"/>
    <n v="49"/>
    <x v="3"/>
    <x v="0"/>
    <x v="2"/>
    <n v="5.26"/>
    <n v="33"/>
    <x v="2"/>
    <x v="2"/>
    <n v="8.99"/>
    <x v="1"/>
    <x v="0"/>
    <n v="3"/>
    <n v="0.15"/>
    <x v="5"/>
  </r>
  <r>
    <s v="bf48551e-a8e6-4fd9-bb32-3f798ed84680"/>
    <n v="46"/>
    <x v="3"/>
    <x v="1"/>
    <x v="1"/>
    <n v="1.25"/>
    <n v="13"/>
    <x v="1"/>
    <x v="4"/>
    <n v="17.989999999999998"/>
    <x v="1"/>
    <x v="1"/>
    <n v="3"/>
    <n v="0.09"/>
    <x v="1"/>
  </r>
  <r>
    <s v="3819aaed-bed6-49c8-ab53-0fd9d917e4e1"/>
    <n v="48"/>
    <x v="3"/>
    <x v="0"/>
    <x v="0"/>
    <n v="8.1199999999999992"/>
    <n v="32"/>
    <x v="3"/>
    <x v="3"/>
    <n v="13.99"/>
    <x v="1"/>
    <x v="0"/>
    <n v="2"/>
    <n v="0.25"/>
    <x v="3"/>
  </r>
  <r>
    <s v="8071c1be-1197-49a1-aa75-5fb6a6b3087a"/>
    <n v="53"/>
    <x v="3"/>
    <x v="1"/>
    <x v="0"/>
    <n v="43.02"/>
    <n v="43"/>
    <x v="2"/>
    <x v="4"/>
    <n v="13.99"/>
    <x v="0"/>
    <x v="0"/>
    <n v="1"/>
    <n v="0.98"/>
    <x v="3"/>
  </r>
  <r>
    <s v="b7c1bdad-cafb-4586-a15d-fc9ff30a8115"/>
    <n v="45"/>
    <x v="3"/>
    <x v="0"/>
    <x v="0"/>
    <n v="7.39"/>
    <n v="6"/>
    <x v="5"/>
    <x v="0"/>
    <n v="13.99"/>
    <x v="0"/>
    <x v="3"/>
    <n v="1"/>
    <n v="1.06"/>
    <x v="4"/>
  </r>
  <r>
    <s v="2211b077-0300-4e0c-834c-e7751a45eb96"/>
    <n v="47"/>
    <x v="3"/>
    <x v="1"/>
    <x v="0"/>
    <n v="15.87"/>
    <n v="52"/>
    <x v="3"/>
    <x v="1"/>
    <n v="13.99"/>
    <x v="1"/>
    <x v="0"/>
    <n v="1"/>
    <n v="0.3"/>
    <x v="6"/>
  </r>
  <r>
    <s v="8d755725-4f16-4006-bdae-fa3dc9fa2579"/>
    <n v="49"/>
    <x v="3"/>
    <x v="0"/>
    <x v="0"/>
    <n v="7.62"/>
    <n v="27"/>
    <x v="0"/>
    <x v="0"/>
    <n v="13.99"/>
    <x v="0"/>
    <x v="1"/>
    <n v="3"/>
    <n v="0.27"/>
    <x v="3"/>
  </r>
  <r>
    <s v="9235d289-6d46-46ba-a48a-1cf4ea18b599"/>
    <n v="49"/>
    <x v="3"/>
    <x v="1"/>
    <x v="1"/>
    <n v="2.0499999999999998"/>
    <n v="14"/>
    <x v="4"/>
    <x v="4"/>
    <n v="17.989999999999998"/>
    <x v="0"/>
    <x v="1"/>
    <n v="5"/>
    <n v="0.14000000000000001"/>
    <x v="4"/>
  </r>
  <r>
    <s v="2117b36a-9e3e-4077-ac5b-03540bb38461"/>
    <n v="49"/>
    <x v="3"/>
    <x v="2"/>
    <x v="0"/>
    <n v="4.22"/>
    <n v="50"/>
    <x v="5"/>
    <x v="3"/>
    <n v="13.99"/>
    <x v="1"/>
    <x v="4"/>
    <n v="2"/>
    <n v="0.08"/>
    <x v="1"/>
  </r>
  <r>
    <s v="ceec2c10-9770-48d1-8366-344fa66195b1"/>
    <n v="54"/>
    <x v="3"/>
    <x v="0"/>
    <x v="2"/>
    <n v="26.88"/>
    <n v="44"/>
    <x v="2"/>
    <x v="3"/>
    <n v="8.99"/>
    <x v="0"/>
    <x v="4"/>
    <n v="3"/>
    <n v="0.6"/>
    <x v="0"/>
  </r>
  <r>
    <s v="a2eab47c-dc4c-427f-88f8-755051b303fb"/>
    <n v="51"/>
    <x v="3"/>
    <x v="0"/>
    <x v="1"/>
    <n v="3.7"/>
    <n v="37"/>
    <x v="2"/>
    <x v="2"/>
    <n v="17.989999999999998"/>
    <x v="1"/>
    <x v="2"/>
    <n v="2"/>
    <n v="0.1"/>
    <x v="2"/>
  </r>
  <r>
    <s v="aaf3513b-97c7-46fa-b889-0d78c2ca0be7"/>
    <n v="46"/>
    <x v="3"/>
    <x v="1"/>
    <x v="0"/>
    <n v="13.38"/>
    <n v="3"/>
    <x v="2"/>
    <x v="1"/>
    <n v="13.99"/>
    <x v="0"/>
    <x v="2"/>
    <n v="2"/>
    <n v="3.35"/>
    <x v="4"/>
  </r>
  <r>
    <s v="f3dd9f07-99ca-4425-8eaa-62f1a949e8b1"/>
    <n v="48"/>
    <x v="3"/>
    <x v="1"/>
    <x v="1"/>
    <n v="11.1"/>
    <n v="41"/>
    <x v="3"/>
    <x v="2"/>
    <n v="17.989999999999998"/>
    <x v="1"/>
    <x v="4"/>
    <n v="5"/>
    <n v="0.26"/>
    <x v="5"/>
  </r>
  <r>
    <s v="6be0b14c-eaea-4580-b845-457df93bb828"/>
    <n v="46"/>
    <x v="3"/>
    <x v="1"/>
    <x v="2"/>
    <n v="6.22"/>
    <n v="36"/>
    <x v="0"/>
    <x v="1"/>
    <n v="8.99"/>
    <x v="1"/>
    <x v="2"/>
    <n v="2"/>
    <n v="0.17"/>
    <x v="2"/>
  </r>
  <r>
    <s v="84cbf173-d71c-49cf-b015-0ea96838663a"/>
    <n v="46"/>
    <x v="3"/>
    <x v="0"/>
    <x v="0"/>
    <n v="5.78"/>
    <n v="4"/>
    <x v="0"/>
    <x v="1"/>
    <n v="13.99"/>
    <x v="0"/>
    <x v="2"/>
    <n v="2"/>
    <n v="1.1599999999999999"/>
    <x v="6"/>
  </r>
  <r>
    <s v="747d7b40-97b1-4207-923c-72d5c3e65343"/>
    <n v="50"/>
    <x v="3"/>
    <x v="0"/>
    <x v="0"/>
    <n v="3.58"/>
    <n v="54"/>
    <x v="1"/>
    <x v="4"/>
    <n v="13.99"/>
    <x v="1"/>
    <x v="2"/>
    <n v="4"/>
    <n v="7.0000000000000007E-2"/>
    <x v="4"/>
  </r>
  <r>
    <s v="4b1e6601-b97e-479b-b01c-5228f3c6681e"/>
    <n v="47"/>
    <x v="3"/>
    <x v="1"/>
    <x v="1"/>
    <n v="14.24"/>
    <n v="37"/>
    <x v="3"/>
    <x v="4"/>
    <n v="17.989999999999998"/>
    <x v="1"/>
    <x v="4"/>
    <n v="2"/>
    <n v="0.37"/>
    <x v="5"/>
  </r>
  <r>
    <s v="fa19687b-872c-4163-a900-59f1b4098ed9"/>
    <n v="49"/>
    <x v="3"/>
    <x v="0"/>
    <x v="2"/>
    <n v="2.9"/>
    <n v="46"/>
    <x v="0"/>
    <x v="2"/>
    <n v="8.99"/>
    <x v="1"/>
    <x v="1"/>
    <n v="2"/>
    <n v="0.06"/>
    <x v="2"/>
  </r>
  <r>
    <s v="52c7f909-500a-4c6d-851d-e504c27ec859"/>
    <n v="52"/>
    <x v="3"/>
    <x v="1"/>
    <x v="2"/>
    <n v="6.18"/>
    <n v="41"/>
    <x v="2"/>
    <x v="4"/>
    <n v="8.99"/>
    <x v="1"/>
    <x v="4"/>
    <n v="3"/>
    <n v="0.15"/>
    <x v="1"/>
  </r>
  <r>
    <s v="d019bb17-c284-4b18-b15e-a8625a16d93f"/>
    <n v="49"/>
    <x v="3"/>
    <x v="1"/>
    <x v="0"/>
    <n v="5.88"/>
    <n v="40"/>
    <x v="4"/>
    <x v="2"/>
    <n v="13.99"/>
    <x v="1"/>
    <x v="0"/>
    <n v="2"/>
    <n v="0.14000000000000001"/>
    <x v="3"/>
  </r>
  <r>
    <s v="00477256-578d-4abd-8ed8-3a5e75539e7a"/>
    <n v="53"/>
    <x v="3"/>
    <x v="0"/>
    <x v="1"/>
    <n v="1.36"/>
    <n v="35"/>
    <x v="2"/>
    <x v="2"/>
    <n v="17.989999999999998"/>
    <x v="1"/>
    <x v="4"/>
    <n v="2"/>
    <n v="0.04"/>
    <x v="4"/>
  </r>
  <r>
    <s v="33563d42-7f51-405c-8328-8cd881128656"/>
    <n v="54"/>
    <x v="3"/>
    <x v="2"/>
    <x v="2"/>
    <n v="3.13"/>
    <n v="16"/>
    <x v="5"/>
    <x v="0"/>
    <n v="8.99"/>
    <x v="1"/>
    <x v="2"/>
    <n v="5"/>
    <n v="0.18"/>
    <x v="0"/>
  </r>
  <r>
    <s v="844f2522-32e3-4f44-a960-cd0c13881618"/>
    <n v="45"/>
    <x v="3"/>
    <x v="1"/>
    <x v="2"/>
    <n v="3.4"/>
    <n v="27"/>
    <x v="4"/>
    <x v="1"/>
    <n v="8.99"/>
    <x v="1"/>
    <x v="0"/>
    <n v="3"/>
    <n v="0.12"/>
    <x v="6"/>
  </r>
  <r>
    <s v="8bc108d0-ddb9-4aa9-8c28-081008f38cb6"/>
    <n v="50"/>
    <x v="3"/>
    <x v="1"/>
    <x v="2"/>
    <n v="0.11"/>
    <n v="1"/>
    <x v="2"/>
    <x v="4"/>
    <n v="8.99"/>
    <x v="1"/>
    <x v="4"/>
    <n v="2"/>
    <n v="0.06"/>
    <x v="6"/>
  </r>
  <r>
    <s v="7bb33e01-e208-48b0-9c0b-cd38833b1124"/>
    <n v="47"/>
    <x v="3"/>
    <x v="0"/>
    <x v="0"/>
    <n v="40.119999999999997"/>
    <n v="55"/>
    <x v="3"/>
    <x v="3"/>
    <n v="13.99"/>
    <x v="0"/>
    <x v="3"/>
    <n v="1"/>
    <n v="0.72"/>
    <x v="3"/>
  </r>
  <r>
    <s v="ffdade4e-d794-42ce-a50d-25f0a5729e88"/>
    <n v="48"/>
    <x v="3"/>
    <x v="1"/>
    <x v="1"/>
    <n v="16.78"/>
    <n v="2"/>
    <x v="1"/>
    <x v="2"/>
    <n v="17.989999999999998"/>
    <x v="0"/>
    <x v="3"/>
    <n v="1"/>
    <n v="5.59"/>
    <x v="0"/>
  </r>
  <r>
    <s v="fb2804df-cb81-4735-a73b-15241d47b179"/>
    <n v="51"/>
    <x v="3"/>
    <x v="0"/>
    <x v="1"/>
    <n v="2.04"/>
    <n v="6"/>
    <x v="2"/>
    <x v="0"/>
    <n v="17.989999999999998"/>
    <x v="0"/>
    <x v="1"/>
    <n v="2"/>
    <n v="0.28999999999999998"/>
    <x v="0"/>
  </r>
  <r>
    <s v="95506f85-ac7c-441f-9653-2ff87e09cf22"/>
    <n v="50"/>
    <x v="3"/>
    <x v="0"/>
    <x v="1"/>
    <n v="7.92"/>
    <n v="58"/>
    <x v="0"/>
    <x v="3"/>
    <n v="17.989999999999998"/>
    <x v="1"/>
    <x v="4"/>
    <n v="4"/>
    <n v="0.13"/>
    <x v="0"/>
  </r>
  <r>
    <s v="78f24d23-96c3-46bf-a87a-fb61569fc00b"/>
    <n v="54"/>
    <x v="3"/>
    <x v="1"/>
    <x v="0"/>
    <n v="10.1"/>
    <n v="40"/>
    <x v="5"/>
    <x v="0"/>
    <n v="13.99"/>
    <x v="0"/>
    <x v="3"/>
    <n v="5"/>
    <n v="0.25"/>
    <x v="2"/>
  </r>
  <r>
    <s v="6517898e-2c6a-4f44-a25a-33272efdc08d"/>
    <n v="51"/>
    <x v="3"/>
    <x v="0"/>
    <x v="1"/>
    <n v="8.32"/>
    <n v="48"/>
    <x v="1"/>
    <x v="0"/>
    <n v="17.989999999999998"/>
    <x v="1"/>
    <x v="2"/>
    <n v="2"/>
    <n v="0.17"/>
    <x v="2"/>
  </r>
  <r>
    <s v="31dab47e-d021-4d4b-8284-98460539ef0a"/>
    <n v="47"/>
    <x v="3"/>
    <x v="2"/>
    <x v="0"/>
    <n v="3.92"/>
    <n v="58"/>
    <x v="3"/>
    <x v="4"/>
    <n v="13.99"/>
    <x v="1"/>
    <x v="3"/>
    <n v="5"/>
    <n v="7.0000000000000007E-2"/>
    <x v="2"/>
  </r>
  <r>
    <s v="339bd217-4512-4fce-8e0f-a8ee2938f548"/>
    <n v="54"/>
    <x v="3"/>
    <x v="2"/>
    <x v="2"/>
    <n v="24.44"/>
    <n v="28"/>
    <x v="4"/>
    <x v="1"/>
    <n v="8.99"/>
    <x v="0"/>
    <x v="4"/>
    <n v="4"/>
    <n v="0.84"/>
    <x v="0"/>
  </r>
  <r>
    <s v="6131b5ac-7daf-4a54-9f44-63fe0fcca85f"/>
    <n v="52"/>
    <x v="3"/>
    <x v="2"/>
    <x v="0"/>
    <n v="1.35"/>
    <n v="7"/>
    <x v="0"/>
    <x v="0"/>
    <n v="13.99"/>
    <x v="1"/>
    <x v="0"/>
    <n v="1"/>
    <n v="0.17"/>
    <x v="3"/>
  </r>
  <r>
    <s v="c81ba12a-e438-42fc-9d0a-045fb8a0e87a"/>
    <n v="53"/>
    <x v="3"/>
    <x v="1"/>
    <x v="1"/>
    <n v="0.25"/>
    <n v="50"/>
    <x v="0"/>
    <x v="4"/>
    <n v="17.989999999999998"/>
    <x v="1"/>
    <x v="3"/>
    <n v="1"/>
    <n v="0"/>
    <x v="4"/>
  </r>
  <r>
    <s v="7ce062a1-89ad-45c1-a25a-0b3b4ee4ec72"/>
    <n v="47"/>
    <x v="3"/>
    <x v="1"/>
    <x v="2"/>
    <n v="0.39"/>
    <n v="48"/>
    <x v="2"/>
    <x v="4"/>
    <n v="8.99"/>
    <x v="1"/>
    <x v="3"/>
    <n v="5"/>
    <n v="0.01"/>
    <x v="4"/>
  </r>
  <r>
    <s v="0480261e-6011-440b-862c-17eb4d5f183f"/>
    <n v="54"/>
    <x v="3"/>
    <x v="1"/>
    <x v="1"/>
    <n v="0.56000000000000005"/>
    <n v="30"/>
    <x v="4"/>
    <x v="4"/>
    <n v="17.989999999999998"/>
    <x v="1"/>
    <x v="1"/>
    <n v="2"/>
    <n v="0.02"/>
    <x v="2"/>
  </r>
  <r>
    <s v="a15b0804-4a6c-4410-b37f-a4986930e827"/>
    <n v="51"/>
    <x v="3"/>
    <x v="2"/>
    <x v="2"/>
    <n v="2.17"/>
    <n v="14"/>
    <x v="3"/>
    <x v="4"/>
    <n v="8.99"/>
    <x v="1"/>
    <x v="1"/>
    <n v="3"/>
    <n v="0.14000000000000001"/>
    <x v="2"/>
  </r>
  <r>
    <s v="06d02ff5-4241-48cf-88cd-83e965c477fa"/>
    <n v="49"/>
    <x v="3"/>
    <x v="1"/>
    <x v="0"/>
    <n v="2.2599999999999998"/>
    <n v="31"/>
    <x v="1"/>
    <x v="1"/>
    <n v="13.99"/>
    <x v="1"/>
    <x v="3"/>
    <n v="5"/>
    <n v="7.0000000000000007E-2"/>
    <x v="1"/>
  </r>
  <r>
    <s v="908d1c29-96cd-4d12-9b7b-6f25c85d46ea"/>
    <n v="49"/>
    <x v="3"/>
    <x v="1"/>
    <x v="1"/>
    <n v="5.31"/>
    <n v="39"/>
    <x v="1"/>
    <x v="0"/>
    <n v="17.989999999999998"/>
    <x v="1"/>
    <x v="2"/>
    <n v="1"/>
    <n v="0.13"/>
    <x v="1"/>
  </r>
  <r>
    <s v="a229903c-f733-4e37-8f53-26759271a27d"/>
    <n v="52"/>
    <x v="3"/>
    <x v="0"/>
    <x v="0"/>
    <n v="2.62"/>
    <n v="43"/>
    <x v="2"/>
    <x v="2"/>
    <n v="13.99"/>
    <x v="1"/>
    <x v="4"/>
    <n v="5"/>
    <n v="0.06"/>
    <x v="5"/>
  </r>
  <r>
    <s v="82247ee5-3c0e-45db-b734-31cf92c63a7a"/>
    <n v="50"/>
    <x v="3"/>
    <x v="0"/>
    <x v="0"/>
    <n v="5.0199999999999996"/>
    <n v="47"/>
    <x v="3"/>
    <x v="2"/>
    <n v="13.99"/>
    <x v="1"/>
    <x v="0"/>
    <n v="3"/>
    <n v="0.1"/>
    <x v="2"/>
  </r>
  <r>
    <s v="93991bdd-3b61-4167-ba40-807e3fc24cce"/>
    <n v="49"/>
    <x v="3"/>
    <x v="0"/>
    <x v="2"/>
    <n v="38.43"/>
    <n v="6"/>
    <x v="5"/>
    <x v="4"/>
    <n v="8.99"/>
    <x v="0"/>
    <x v="3"/>
    <n v="3"/>
    <n v="5.49"/>
    <x v="0"/>
  </r>
  <r>
    <s v="10e3667e-01b2-4340-8f1e-f6eca396f00c"/>
    <n v="52"/>
    <x v="3"/>
    <x v="1"/>
    <x v="0"/>
    <n v="1.79"/>
    <n v="38"/>
    <x v="3"/>
    <x v="2"/>
    <n v="13.99"/>
    <x v="1"/>
    <x v="2"/>
    <n v="1"/>
    <n v="0.05"/>
    <x v="0"/>
  </r>
  <r>
    <s v="fe5de36a-ab2a-40c9-9697-4578c5212b9e"/>
    <n v="49"/>
    <x v="3"/>
    <x v="1"/>
    <x v="0"/>
    <n v="5.0199999999999996"/>
    <n v="26"/>
    <x v="2"/>
    <x v="4"/>
    <n v="13.99"/>
    <x v="0"/>
    <x v="2"/>
    <n v="4"/>
    <n v="0.19"/>
    <x v="5"/>
  </r>
  <r>
    <s v="c91b0ee0-8912-4f6a-bad2-32747ee6e7b4"/>
    <n v="48"/>
    <x v="3"/>
    <x v="0"/>
    <x v="2"/>
    <n v="1.3"/>
    <n v="2"/>
    <x v="2"/>
    <x v="2"/>
    <n v="8.99"/>
    <x v="1"/>
    <x v="0"/>
    <n v="4"/>
    <n v="0.43"/>
    <x v="0"/>
  </r>
  <r>
    <s v="8a88927d-a219-4bb5-8f16-acc4c3171dbf"/>
    <n v="47"/>
    <x v="3"/>
    <x v="2"/>
    <x v="0"/>
    <n v="17.12"/>
    <n v="22"/>
    <x v="1"/>
    <x v="3"/>
    <n v="13.99"/>
    <x v="0"/>
    <x v="2"/>
    <n v="1"/>
    <n v="0.74"/>
    <x v="5"/>
  </r>
  <r>
    <s v="6627f98b-c514-4d31-9be0-73d1f859e0bc"/>
    <n v="50"/>
    <x v="3"/>
    <x v="2"/>
    <x v="0"/>
    <n v="7.88"/>
    <n v="43"/>
    <x v="1"/>
    <x v="4"/>
    <n v="13.99"/>
    <x v="1"/>
    <x v="0"/>
    <n v="1"/>
    <n v="0.18"/>
    <x v="2"/>
  </r>
  <r>
    <s v="2b408c37-307e-4e4b-aa9e-df26fd74e648"/>
    <n v="46"/>
    <x v="3"/>
    <x v="2"/>
    <x v="2"/>
    <n v="19.739999999999998"/>
    <n v="20"/>
    <x v="0"/>
    <x v="2"/>
    <n v="8.99"/>
    <x v="0"/>
    <x v="1"/>
    <n v="1"/>
    <n v="0.94"/>
    <x v="2"/>
  </r>
  <r>
    <s v="b943a742-e530-4b1d-a717-b6f72c8eb0df"/>
    <n v="49"/>
    <x v="3"/>
    <x v="1"/>
    <x v="1"/>
    <n v="19.670000000000002"/>
    <n v="54"/>
    <x v="1"/>
    <x v="2"/>
    <n v="17.989999999999998"/>
    <x v="0"/>
    <x v="2"/>
    <n v="5"/>
    <n v="0.36"/>
    <x v="5"/>
  </r>
  <r>
    <s v="0de32e81-bbd2-465d-a0bd-dc9981e9de95"/>
    <n v="51"/>
    <x v="3"/>
    <x v="2"/>
    <x v="0"/>
    <n v="2.56"/>
    <n v="53"/>
    <x v="5"/>
    <x v="3"/>
    <n v="13.99"/>
    <x v="1"/>
    <x v="3"/>
    <n v="2"/>
    <n v="0.05"/>
    <x v="4"/>
  </r>
  <r>
    <s v="3ca42ba1-9483-49c4-9da0-3261165ecb8e"/>
    <n v="51"/>
    <x v="3"/>
    <x v="1"/>
    <x v="1"/>
    <n v="23.55"/>
    <n v="13"/>
    <x v="2"/>
    <x v="0"/>
    <n v="17.989999999999998"/>
    <x v="0"/>
    <x v="2"/>
    <n v="2"/>
    <n v="1.68"/>
    <x v="0"/>
  </r>
  <r>
    <s v="14ab6691-c9c4-479d-b472-b54fad1ea99e"/>
    <n v="46"/>
    <x v="3"/>
    <x v="0"/>
    <x v="0"/>
    <n v="41.63"/>
    <n v="46"/>
    <x v="2"/>
    <x v="4"/>
    <n v="13.99"/>
    <x v="0"/>
    <x v="1"/>
    <n v="4"/>
    <n v="0.89"/>
    <x v="1"/>
  </r>
  <r>
    <s v="baee1593-6034-48d7-8a84-7486c56e1563"/>
    <n v="50"/>
    <x v="3"/>
    <x v="0"/>
    <x v="1"/>
    <n v="5.41"/>
    <n v="35"/>
    <x v="4"/>
    <x v="3"/>
    <n v="17.989999999999998"/>
    <x v="1"/>
    <x v="4"/>
    <n v="4"/>
    <n v="0.15"/>
    <x v="3"/>
  </r>
  <r>
    <s v="b81c0235-959b-4e73-af06-1a55896f1693"/>
    <n v="54"/>
    <x v="3"/>
    <x v="0"/>
    <x v="0"/>
    <n v="11.79"/>
    <n v="39"/>
    <x v="0"/>
    <x v="1"/>
    <n v="13.99"/>
    <x v="1"/>
    <x v="1"/>
    <n v="2"/>
    <n v="0.28999999999999998"/>
    <x v="5"/>
  </r>
  <r>
    <s v="f18f3f06-7f7a-4860-8d04-5656e811782e"/>
    <n v="48"/>
    <x v="3"/>
    <x v="1"/>
    <x v="2"/>
    <n v="4.91"/>
    <n v="1"/>
    <x v="4"/>
    <x v="2"/>
    <n v="8.99"/>
    <x v="1"/>
    <x v="3"/>
    <n v="1"/>
    <n v="2.46"/>
    <x v="3"/>
  </r>
  <r>
    <s v="4cb69e88-ac09-4383-b583-af8ac1ed8aa7"/>
    <n v="52"/>
    <x v="3"/>
    <x v="1"/>
    <x v="1"/>
    <n v="11.5"/>
    <n v="53"/>
    <x v="1"/>
    <x v="0"/>
    <n v="17.989999999999998"/>
    <x v="1"/>
    <x v="0"/>
    <n v="5"/>
    <n v="0.21"/>
    <x v="5"/>
  </r>
  <r>
    <s v="9eb4965a-d5d7-4223-abf2-4bc3205567d5"/>
    <n v="50"/>
    <x v="3"/>
    <x v="1"/>
    <x v="0"/>
    <n v="1.49"/>
    <n v="8"/>
    <x v="0"/>
    <x v="1"/>
    <n v="13.99"/>
    <x v="0"/>
    <x v="2"/>
    <n v="4"/>
    <n v="0.17"/>
    <x v="5"/>
  </r>
  <r>
    <s v="ff0a52b7-4a72-4a00-b2b9-926f67c65a15"/>
    <n v="52"/>
    <x v="3"/>
    <x v="2"/>
    <x v="2"/>
    <n v="0.12"/>
    <n v="25"/>
    <x v="2"/>
    <x v="2"/>
    <n v="8.99"/>
    <x v="1"/>
    <x v="4"/>
    <n v="4"/>
    <n v="0"/>
    <x v="5"/>
  </r>
  <r>
    <s v="f5194307-2cf2-4d42-a353-6ed0142b7dee"/>
    <n v="48"/>
    <x v="3"/>
    <x v="0"/>
    <x v="1"/>
    <n v="16.100000000000001"/>
    <n v="20"/>
    <x v="2"/>
    <x v="2"/>
    <n v="17.989999999999998"/>
    <x v="0"/>
    <x v="4"/>
    <n v="4"/>
    <n v="0.77"/>
    <x v="4"/>
  </r>
  <r>
    <s v="bb60c0f0-462a-411c-bd4a-be52a830f801"/>
    <n v="49"/>
    <x v="3"/>
    <x v="1"/>
    <x v="1"/>
    <n v="0.65"/>
    <n v="34"/>
    <x v="2"/>
    <x v="1"/>
    <n v="17.989999999999998"/>
    <x v="1"/>
    <x v="2"/>
    <n v="3"/>
    <n v="0.02"/>
    <x v="0"/>
  </r>
  <r>
    <s v="2147d452-2d5c-4618-aaba-e7feb7d322f5"/>
    <n v="52"/>
    <x v="3"/>
    <x v="0"/>
    <x v="2"/>
    <n v="0.3"/>
    <n v="21"/>
    <x v="1"/>
    <x v="2"/>
    <n v="8.99"/>
    <x v="1"/>
    <x v="4"/>
    <n v="2"/>
    <n v="0.01"/>
    <x v="2"/>
  </r>
  <r>
    <s v="00ed9abb-99cc-4b26-bac4-eab742a14f5a"/>
    <n v="49"/>
    <x v="3"/>
    <x v="0"/>
    <x v="1"/>
    <n v="5"/>
    <n v="17"/>
    <x v="5"/>
    <x v="2"/>
    <n v="17.989999999999998"/>
    <x v="0"/>
    <x v="0"/>
    <n v="1"/>
    <n v="0.28000000000000003"/>
    <x v="0"/>
  </r>
  <r>
    <s v="6419436c-0144-4b48-a8be-7a43d909a91d"/>
    <n v="47"/>
    <x v="3"/>
    <x v="0"/>
    <x v="2"/>
    <n v="17.940000000000001"/>
    <n v="19"/>
    <x v="5"/>
    <x v="4"/>
    <n v="8.99"/>
    <x v="0"/>
    <x v="3"/>
    <n v="2"/>
    <n v="0.9"/>
    <x v="3"/>
  </r>
  <r>
    <s v="0c7c7313-11c4-4127-86d9-7db7dbc296b3"/>
    <n v="48"/>
    <x v="3"/>
    <x v="2"/>
    <x v="2"/>
    <n v="3.34"/>
    <n v="1"/>
    <x v="5"/>
    <x v="2"/>
    <n v="8.99"/>
    <x v="1"/>
    <x v="2"/>
    <n v="1"/>
    <n v="1.67"/>
    <x v="1"/>
  </r>
  <r>
    <s v="9eb92a08-3a88-47a8-93ed-717e041463d3"/>
    <n v="50"/>
    <x v="3"/>
    <x v="0"/>
    <x v="2"/>
    <n v="0.82"/>
    <n v="1"/>
    <x v="4"/>
    <x v="2"/>
    <n v="8.99"/>
    <x v="1"/>
    <x v="3"/>
    <n v="5"/>
    <n v="0.41"/>
    <x v="0"/>
  </r>
  <r>
    <s v="4ed3af39-edab-4a77-a166-978bd2fe04c3"/>
    <n v="49"/>
    <x v="3"/>
    <x v="2"/>
    <x v="2"/>
    <n v="13.95"/>
    <n v="21"/>
    <x v="5"/>
    <x v="1"/>
    <n v="8.99"/>
    <x v="0"/>
    <x v="3"/>
    <n v="1"/>
    <n v="0.63"/>
    <x v="6"/>
  </r>
  <r>
    <s v="45fae5a6-eb08-4eae-9ec0-d6530ad02310"/>
    <n v="54"/>
    <x v="3"/>
    <x v="1"/>
    <x v="2"/>
    <n v="7.19"/>
    <n v="56"/>
    <x v="4"/>
    <x v="3"/>
    <n v="8.99"/>
    <x v="1"/>
    <x v="4"/>
    <n v="2"/>
    <n v="0.13"/>
    <x v="4"/>
  </r>
  <r>
    <s v="8ead4768-c185-45ab-acc0-233037753cf4"/>
    <n v="52"/>
    <x v="3"/>
    <x v="1"/>
    <x v="1"/>
    <n v="6.19"/>
    <n v="19"/>
    <x v="0"/>
    <x v="0"/>
    <n v="17.989999999999998"/>
    <x v="0"/>
    <x v="4"/>
    <n v="3"/>
    <n v="0.31"/>
    <x v="4"/>
  </r>
  <r>
    <s v="8ee6ec42-bc06-4390-b152-bbf1c1c0b165"/>
    <n v="45"/>
    <x v="3"/>
    <x v="2"/>
    <x v="0"/>
    <n v="9.8699999999999992"/>
    <n v="46"/>
    <x v="1"/>
    <x v="3"/>
    <n v="13.99"/>
    <x v="0"/>
    <x v="1"/>
    <n v="4"/>
    <n v="0.21"/>
    <x v="1"/>
  </r>
  <r>
    <s v="463e5585-9dae-4c85-94fd-dd5c15096551"/>
    <n v="49"/>
    <x v="3"/>
    <x v="2"/>
    <x v="2"/>
    <n v="2.89"/>
    <n v="16"/>
    <x v="5"/>
    <x v="1"/>
    <n v="8.99"/>
    <x v="1"/>
    <x v="2"/>
    <n v="5"/>
    <n v="0.17"/>
    <x v="0"/>
  </r>
  <r>
    <s v="6701c268-e97f-46a1-891b-a5283d199258"/>
    <n v="54"/>
    <x v="3"/>
    <x v="2"/>
    <x v="0"/>
    <n v="8.56"/>
    <n v="33"/>
    <x v="2"/>
    <x v="2"/>
    <n v="13.99"/>
    <x v="1"/>
    <x v="4"/>
    <n v="4"/>
    <n v="0.25"/>
    <x v="0"/>
  </r>
  <r>
    <s v="95e16d3f-1437-48a6-878c-5684ef5f409a"/>
    <n v="46"/>
    <x v="3"/>
    <x v="0"/>
    <x v="0"/>
    <n v="0.71"/>
    <n v="26"/>
    <x v="4"/>
    <x v="4"/>
    <n v="13.99"/>
    <x v="1"/>
    <x v="0"/>
    <n v="5"/>
    <n v="0.03"/>
    <x v="3"/>
  </r>
  <r>
    <s v="ad31433b-096b-43e2-b67b-28aac9340c0c"/>
    <n v="48"/>
    <x v="3"/>
    <x v="2"/>
    <x v="2"/>
    <n v="6.52"/>
    <n v="34"/>
    <x v="4"/>
    <x v="4"/>
    <n v="8.99"/>
    <x v="1"/>
    <x v="3"/>
    <n v="4"/>
    <n v="0.19"/>
    <x v="1"/>
  </r>
  <r>
    <s v="676427ff-9d86-4bc4-98aa-4904e25ed3ed"/>
    <n v="47"/>
    <x v="3"/>
    <x v="0"/>
    <x v="1"/>
    <n v="11.36"/>
    <n v="13"/>
    <x v="2"/>
    <x v="2"/>
    <n v="17.989999999999998"/>
    <x v="0"/>
    <x v="4"/>
    <n v="1"/>
    <n v="0.81"/>
    <x v="2"/>
  </r>
  <r>
    <s v="090c334f-63fc-4946-92ad-a588a7600d25"/>
    <n v="46"/>
    <x v="3"/>
    <x v="2"/>
    <x v="1"/>
    <n v="3.18"/>
    <n v="11"/>
    <x v="4"/>
    <x v="0"/>
    <n v="17.989999999999998"/>
    <x v="1"/>
    <x v="0"/>
    <n v="4"/>
    <n v="0.27"/>
    <x v="6"/>
  </r>
  <r>
    <s v="1d186e14-fe68-41bb-abb3-cf5a3055bdd1"/>
    <n v="50"/>
    <x v="3"/>
    <x v="1"/>
    <x v="1"/>
    <n v="13.98"/>
    <n v="56"/>
    <x v="5"/>
    <x v="2"/>
    <n v="17.989999999999998"/>
    <x v="1"/>
    <x v="0"/>
    <n v="4"/>
    <n v="0.25"/>
    <x v="2"/>
  </r>
  <r>
    <s v="1abd56c9-1fde-473b-89cd-f9d78879fc10"/>
    <n v="45"/>
    <x v="3"/>
    <x v="2"/>
    <x v="2"/>
    <n v="4.59"/>
    <n v="47"/>
    <x v="0"/>
    <x v="1"/>
    <n v="8.99"/>
    <x v="1"/>
    <x v="4"/>
    <n v="1"/>
    <n v="0.1"/>
    <x v="6"/>
  </r>
  <r>
    <s v="31229975-3432-4e6f-9676-3ba672c58f6a"/>
    <n v="48"/>
    <x v="3"/>
    <x v="1"/>
    <x v="1"/>
    <n v="26.34"/>
    <n v="40"/>
    <x v="3"/>
    <x v="0"/>
    <n v="17.989999999999998"/>
    <x v="0"/>
    <x v="0"/>
    <n v="2"/>
    <n v="0.64"/>
    <x v="4"/>
  </r>
  <r>
    <s v="d16217df-4ad4-42ad-95da-3c3c95f09d2b"/>
    <n v="49"/>
    <x v="3"/>
    <x v="0"/>
    <x v="1"/>
    <n v="20.88"/>
    <n v="41"/>
    <x v="2"/>
    <x v="0"/>
    <n v="17.989999999999998"/>
    <x v="0"/>
    <x v="0"/>
    <n v="3"/>
    <n v="0.5"/>
    <x v="2"/>
  </r>
  <r>
    <s v="b039fd18-e62f-4ab4-9bae-db1d0eb6872b"/>
    <n v="50"/>
    <x v="3"/>
    <x v="1"/>
    <x v="2"/>
    <n v="7.35"/>
    <n v="26"/>
    <x v="4"/>
    <x v="1"/>
    <n v="8.99"/>
    <x v="0"/>
    <x v="1"/>
    <n v="3"/>
    <n v="0.27"/>
    <x v="0"/>
  </r>
  <r>
    <s v="60929da4-5915-4610-b737-ba4e7b7fab9a"/>
    <n v="47"/>
    <x v="3"/>
    <x v="1"/>
    <x v="0"/>
    <n v="8.67"/>
    <n v="41"/>
    <x v="4"/>
    <x v="1"/>
    <n v="13.99"/>
    <x v="1"/>
    <x v="3"/>
    <n v="2"/>
    <n v="0.21"/>
    <x v="6"/>
  </r>
  <r>
    <s v="fa67e175-0a06-4309-b029-013aca420427"/>
    <n v="48"/>
    <x v="3"/>
    <x v="2"/>
    <x v="0"/>
    <n v="29.96"/>
    <n v="44"/>
    <x v="1"/>
    <x v="1"/>
    <n v="13.99"/>
    <x v="0"/>
    <x v="0"/>
    <n v="5"/>
    <n v="0.67"/>
    <x v="6"/>
  </r>
  <r>
    <s v="bec1ae44-944b-454d-afbe-fd5358230b23"/>
    <n v="45"/>
    <x v="3"/>
    <x v="0"/>
    <x v="1"/>
    <n v="8.0500000000000007"/>
    <n v="54"/>
    <x v="3"/>
    <x v="0"/>
    <n v="17.989999999999998"/>
    <x v="1"/>
    <x v="0"/>
    <n v="3"/>
    <n v="0.15"/>
    <x v="3"/>
  </r>
  <r>
    <s v="7519830f-3b2a-42c3-91c4-d440cec4edd4"/>
    <n v="48"/>
    <x v="3"/>
    <x v="0"/>
    <x v="0"/>
    <n v="4.1900000000000004"/>
    <n v="0"/>
    <x v="1"/>
    <x v="4"/>
    <n v="13.99"/>
    <x v="0"/>
    <x v="4"/>
    <n v="2"/>
    <n v="4.1900000000000004"/>
    <x v="5"/>
  </r>
  <r>
    <s v="bf0666fc-cc28-486c-8763-e4ae72e567bd"/>
    <n v="54"/>
    <x v="3"/>
    <x v="1"/>
    <x v="1"/>
    <n v="14.2"/>
    <n v="6"/>
    <x v="1"/>
    <x v="1"/>
    <n v="17.989999999999998"/>
    <x v="0"/>
    <x v="0"/>
    <n v="5"/>
    <n v="2.0299999999999998"/>
    <x v="4"/>
  </r>
  <r>
    <s v="9fa9433e-9b38-4a44-9a82-5c6014630867"/>
    <n v="49"/>
    <x v="3"/>
    <x v="0"/>
    <x v="2"/>
    <n v="4.49"/>
    <n v="57"/>
    <x v="2"/>
    <x v="4"/>
    <n v="8.99"/>
    <x v="1"/>
    <x v="0"/>
    <n v="5"/>
    <n v="0.08"/>
    <x v="5"/>
  </r>
  <r>
    <s v="cc539484-c58e-4f2a-8d71-499afab22937"/>
    <n v="45"/>
    <x v="3"/>
    <x v="2"/>
    <x v="1"/>
    <n v="3.31"/>
    <n v="34"/>
    <x v="5"/>
    <x v="4"/>
    <n v="17.989999999999998"/>
    <x v="1"/>
    <x v="4"/>
    <n v="2"/>
    <n v="0.09"/>
    <x v="0"/>
  </r>
  <r>
    <s v="012128df-8b33-420d-89d1-4716b755bda8"/>
    <n v="54"/>
    <x v="3"/>
    <x v="2"/>
    <x v="2"/>
    <n v="5.47"/>
    <n v="36"/>
    <x v="2"/>
    <x v="2"/>
    <n v="8.99"/>
    <x v="1"/>
    <x v="2"/>
    <n v="1"/>
    <n v="0.15"/>
    <x v="1"/>
  </r>
  <r>
    <s v="f3f3ef4b-6dfa-4504-a0df-68572435dd73"/>
    <n v="53"/>
    <x v="3"/>
    <x v="2"/>
    <x v="0"/>
    <n v="16.62"/>
    <n v="44"/>
    <x v="3"/>
    <x v="0"/>
    <n v="13.99"/>
    <x v="0"/>
    <x v="3"/>
    <n v="5"/>
    <n v="0.37"/>
    <x v="0"/>
  </r>
  <r>
    <s v="eec5fa1c-5a41-448a-b4f8-46e7e258acc3"/>
    <n v="49"/>
    <x v="3"/>
    <x v="0"/>
    <x v="0"/>
    <n v="11.06"/>
    <n v="50"/>
    <x v="1"/>
    <x v="4"/>
    <n v="13.99"/>
    <x v="1"/>
    <x v="3"/>
    <n v="3"/>
    <n v="0.22"/>
    <x v="5"/>
  </r>
  <r>
    <s v="9732c8a3-1080-422b-92c6-ecb2c1f838f3"/>
    <n v="54"/>
    <x v="3"/>
    <x v="0"/>
    <x v="0"/>
    <n v="21.67"/>
    <n v="18"/>
    <x v="3"/>
    <x v="0"/>
    <n v="13.99"/>
    <x v="0"/>
    <x v="4"/>
    <n v="3"/>
    <n v="1.1399999999999999"/>
    <x v="4"/>
  </r>
  <r>
    <s v="68111b31-0aa4-40ac-a612-5001e2891b73"/>
    <n v="45"/>
    <x v="3"/>
    <x v="0"/>
    <x v="1"/>
    <n v="0.91"/>
    <n v="7"/>
    <x v="2"/>
    <x v="2"/>
    <n v="17.989999999999998"/>
    <x v="1"/>
    <x v="0"/>
    <n v="5"/>
    <n v="0.11"/>
    <x v="2"/>
  </r>
  <r>
    <s v="4d4d4e8d-a8e6-44a5-bc8d-e6585696d1b7"/>
    <n v="51"/>
    <x v="3"/>
    <x v="2"/>
    <x v="0"/>
    <n v="41.24"/>
    <n v="38"/>
    <x v="4"/>
    <x v="2"/>
    <n v="13.99"/>
    <x v="0"/>
    <x v="2"/>
    <n v="5"/>
    <n v="1.06"/>
    <x v="1"/>
  </r>
  <r>
    <s v="aae17cd4-a7ca-4820-844d-a03761fa27af"/>
    <n v="45"/>
    <x v="3"/>
    <x v="2"/>
    <x v="0"/>
    <n v="13.13"/>
    <n v="5"/>
    <x v="0"/>
    <x v="3"/>
    <n v="13.99"/>
    <x v="0"/>
    <x v="0"/>
    <n v="5"/>
    <n v="2.19"/>
    <x v="0"/>
  </r>
  <r>
    <s v="1d65e890-ed62-468a-b0cd-153ad70cf2d4"/>
    <n v="49"/>
    <x v="3"/>
    <x v="0"/>
    <x v="1"/>
    <n v="4.26"/>
    <n v="40"/>
    <x v="3"/>
    <x v="2"/>
    <n v="17.989999999999998"/>
    <x v="1"/>
    <x v="2"/>
    <n v="3"/>
    <n v="0.1"/>
    <x v="1"/>
  </r>
  <r>
    <s v="470675d5-5cf6-4a4c-974d-38ba18e0d875"/>
    <n v="47"/>
    <x v="3"/>
    <x v="0"/>
    <x v="2"/>
    <n v="8.2200000000000006"/>
    <n v="4"/>
    <x v="3"/>
    <x v="0"/>
    <n v="8.99"/>
    <x v="0"/>
    <x v="4"/>
    <n v="2"/>
    <n v="1.64"/>
    <x v="3"/>
  </r>
  <r>
    <s v="4f808be4-e7f6-424a-87e8-61497b1afee7"/>
    <n v="50"/>
    <x v="3"/>
    <x v="2"/>
    <x v="2"/>
    <n v="3.28"/>
    <n v="59"/>
    <x v="3"/>
    <x v="4"/>
    <n v="8.99"/>
    <x v="1"/>
    <x v="4"/>
    <n v="3"/>
    <n v="0.05"/>
    <x v="5"/>
  </r>
  <r>
    <s v="ff95f3be-2385-4aca-b331-f385759179bb"/>
    <n v="50"/>
    <x v="3"/>
    <x v="2"/>
    <x v="1"/>
    <n v="4.2699999999999996"/>
    <n v="50"/>
    <x v="0"/>
    <x v="2"/>
    <n v="17.989999999999998"/>
    <x v="1"/>
    <x v="2"/>
    <n v="3"/>
    <n v="0.08"/>
    <x v="5"/>
  </r>
  <r>
    <s v="0b9e8972-a536-4e1c-8f0d-62e22d801f63"/>
    <n v="51"/>
    <x v="3"/>
    <x v="0"/>
    <x v="2"/>
    <n v="4.74"/>
    <n v="27"/>
    <x v="3"/>
    <x v="4"/>
    <n v="8.99"/>
    <x v="1"/>
    <x v="3"/>
    <n v="3"/>
    <n v="0.17"/>
    <x v="0"/>
  </r>
  <r>
    <s v="67155e14-7779-4ff6-9536-1fa72821c3ab"/>
    <n v="51"/>
    <x v="3"/>
    <x v="0"/>
    <x v="2"/>
    <n v="23.59"/>
    <n v="9"/>
    <x v="2"/>
    <x v="0"/>
    <n v="8.99"/>
    <x v="0"/>
    <x v="1"/>
    <n v="3"/>
    <n v="2.36"/>
    <x v="5"/>
  </r>
  <r>
    <s v="e9bacc45-dde8-4b72-bfbc-2466280d785a"/>
    <n v="53"/>
    <x v="3"/>
    <x v="2"/>
    <x v="1"/>
    <n v="0.77"/>
    <n v="21"/>
    <x v="2"/>
    <x v="1"/>
    <n v="17.989999999999998"/>
    <x v="1"/>
    <x v="0"/>
    <n v="3"/>
    <n v="0.04"/>
    <x v="6"/>
  </r>
  <r>
    <s v="40f087fd-eaa5-407c-8b81-41d6795a73ac"/>
    <n v="49"/>
    <x v="3"/>
    <x v="0"/>
    <x v="0"/>
    <n v="0.59"/>
    <n v="4"/>
    <x v="3"/>
    <x v="3"/>
    <n v="13.99"/>
    <x v="1"/>
    <x v="2"/>
    <n v="1"/>
    <n v="0.12"/>
    <x v="1"/>
  </r>
  <r>
    <s v="0f0a0838-f17e-4151-be3a-174c1df1d1c7"/>
    <n v="53"/>
    <x v="3"/>
    <x v="1"/>
    <x v="2"/>
    <n v="23.5"/>
    <n v="20"/>
    <x v="2"/>
    <x v="2"/>
    <n v="8.99"/>
    <x v="0"/>
    <x v="4"/>
    <n v="4"/>
    <n v="1.1200000000000001"/>
    <x v="5"/>
  </r>
  <r>
    <s v="ca65ce5d-63ec-4006-86ab-32fb0feda982"/>
    <n v="47"/>
    <x v="3"/>
    <x v="2"/>
    <x v="1"/>
    <n v="19.68"/>
    <n v="59"/>
    <x v="2"/>
    <x v="3"/>
    <n v="17.989999999999998"/>
    <x v="1"/>
    <x v="0"/>
    <n v="2"/>
    <n v="0.33"/>
    <x v="2"/>
  </r>
  <r>
    <s v="ad9d7de3-a095-4576-931f-7e06480c9b78"/>
    <n v="45"/>
    <x v="3"/>
    <x v="2"/>
    <x v="2"/>
    <n v="2.73"/>
    <n v="27"/>
    <x v="0"/>
    <x v="2"/>
    <n v="8.99"/>
    <x v="1"/>
    <x v="1"/>
    <n v="3"/>
    <n v="0.1"/>
    <x v="0"/>
  </r>
  <r>
    <s v="9ab81da7-21f5-4a76-9bd4-10a78fe5ae0a"/>
    <n v="53"/>
    <x v="3"/>
    <x v="2"/>
    <x v="1"/>
    <n v="16.53"/>
    <n v="43"/>
    <x v="1"/>
    <x v="2"/>
    <n v="17.989999999999998"/>
    <x v="1"/>
    <x v="4"/>
    <n v="1"/>
    <n v="0.38"/>
    <x v="4"/>
  </r>
  <r>
    <s v="f022ca06-c211-4695-9187-4a67a9f811da"/>
    <n v="53"/>
    <x v="3"/>
    <x v="1"/>
    <x v="0"/>
    <n v="7.0000000000000007E-2"/>
    <n v="50"/>
    <x v="4"/>
    <x v="3"/>
    <n v="13.99"/>
    <x v="1"/>
    <x v="3"/>
    <n v="3"/>
    <n v="0"/>
    <x v="3"/>
  </r>
  <r>
    <s v="5bdfbdcf-ab7b-41da-b1d5-51f819eb66dc"/>
    <n v="52"/>
    <x v="3"/>
    <x v="0"/>
    <x v="2"/>
    <n v="22.21"/>
    <n v="54"/>
    <x v="5"/>
    <x v="0"/>
    <n v="8.99"/>
    <x v="1"/>
    <x v="2"/>
    <n v="1"/>
    <n v="0.4"/>
    <x v="4"/>
  </r>
  <r>
    <s v="63f4e2e6-f646-430e-9f39-89f270669dc4"/>
    <n v="54"/>
    <x v="3"/>
    <x v="1"/>
    <x v="1"/>
    <n v="13.49"/>
    <n v="4"/>
    <x v="3"/>
    <x v="1"/>
    <n v="17.989999999999998"/>
    <x v="0"/>
    <x v="1"/>
    <n v="1"/>
    <n v="2.7"/>
    <x v="3"/>
  </r>
  <r>
    <s v="2c840d2c-acbe-4a46-8e80-99489a4c1622"/>
    <n v="54"/>
    <x v="3"/>
    <x v="2"/>
    <x v="1"/>
    <n v="11.38"/>
    <n v="31"/>
    <x v="0"/>
    <x v="2"/>
    <n v="17.989999999999998"/>
    <x v="0"/>
    <x v="2"/>
    <n v="4"/>
    <n v="0.36"/>
    <x v="2"/>
  </r>
  <r>
    <s v="f43dbc00-267c-4582-8a48-c51c960178ab"/>
    <n v="49"/>
    <x v="3"/>
    <x v="0"/>
    <x v="2"/>
    <n v="10.87"/>
    <n v="14"/>
    <x v="2"/>
    <x v="4"/>
    <n v="8.99"/>
    <x v="0"/>
    <x v="2"/>
    <n v="5"/>
    <n v="0.72"/>
    <x v="6"/>
  </r>
  <r>
    <s v="98b942f7-194b-40aa-95ab-66f412de5d19"/>
    <n v="48"/>
    <x v="3"/>
    <x v="0"/>
    <x v="2"/>
    <n v="17.68"/>
    <n v="47"/>
    <x v="5"/>
    <x v="4"/>
    <n v="8.99"/>
    <x v="1"/>
    <x v="3"/>
    <n v="3"/>
    <n v="0.37"/>
    <x v="4"/>
  </r>
  <r>
    <s v="1137c41e-fb4a-4d4b-a92a-075de068f94a"/>
    <n v="50"/>
    <x v="3"/>
    <x v="1"/>
    <x v="0"/>
    <n v="8.77"/>
    <n v="42"/>
    <x v="4"/>
    <x v="4"/>
    <n v="13.99"/>
    <x v="1"/>
    <x v="3"/>
    <n v="2"/>
    <n v="0.2"/>
    <x v="3"/>
  </r>
  <r>
    <s v="627b1b93-2178-4157-8e76-b8b8326e8694"/>
    <n v="54"/>
    <x v="3"/>
    <x v="2"/>
    <x v="0"/>
    <n v="9.7799999999999994"/>
    <n v="56"/>
    <x v="3"/>
    <x v="2"/>
    <n v="13.99"/>
    <x v="0"/>
    <x v="1"/>
    <n v="5"/>
    <n v="0.17"/>
    <x v="5"/>
  </r>
  <r>
    <s v="e2bb3e3f-6995-4d56-8ada-5b22730b7d50"/>
    <n v="48"/>
    <x v="3"/>
    <x v="1"/>
    <x v="1"/>
    <n v="0.71"/>
    <n v="24"/>
    <x v="3"/>
    <x v="2"/>
    <n v="17.989999999999998"/>
    <x v="1"/>
    <x v="3"/>
    <n v="2"/>
    <n v="0.03"/>
    <x v="6"/>
  </r>
  <r>
    <s v="73e2fabe-cd9f-47cd-91c1-fa7d54a00851"/>
    <n v="53"/>
    <x v="3"/>
    <x v="0"/>
    <x v="0"/>
    <n v="1.49"/>
    <n v="14"/>
    <x v="4"/>
    <x v="3"/>
    <n v="13.99"/>
    <x v="1"/>
    <x v="4"/>
    <n v="2"/>
    <n v="0.1"/>
    <x v="3"/>
  </r>
  <r>
    <s v="cd6292f9-f9aa-4d53-83d2-e1a38238cf1e"/>
    <n v="46"/>
    <x v="3"/>
    <x v="0"/>
    <x v="0"/>
    <n v="7.59"/>
    <n v="3"/>
    <x v="5"/>
    <x v="1"/>
    <n v="13.99"/>
    <x v="0"/>
    <x v="0"/>
    <n v="3"/>
    <n v="1.9"/>
    <x v="1"/>
  </r>
  <r>
    <s v="52b32e23-e4d9-4aa8-bdb6-3d8116bc98aa"/>
    <n v="48"/>
    <x v="3"/>
    <x v="0"/>
    <x v="2"/>
    <n v="0.23"/>
    <n v="37"/>
    <x v="1"/>
    <x v="2"/>
    <n v="8.99"/>
    <x v="1"/>
    <x v="2"/>
    <n v="2"/>
    <n v="0.01"/>
    <x v="3"/>
  </r>
  <r>
    <s v="df17acd4-8698-461e-9cc7-1ac06d763fbc"/>
    <n v="47"/>
    <x v="3"/>
    <x v="2"/>
    <x v="1"/>
    <n v="3.88"/>
    <n v="53"/>
    <x v="4"/>
    <x v="2"/>
    <n v="17.989999999999998"/>
    <x v="1"/>
    <x v="0"/>
    <n v="5"/>
    <n v="7.0000000000000007E-2"/>
    <x v="5"/>
  </r>
  <r>
    <s v="f19ee025-d5a8-41e3-9a40-78a71e473891"/>
    <n v="50"/>
    <x v="3"/>
    <x v="0"/>
    <x v="0"/>
    <n v="0.27"/>
    <n v="31"/>
    <x v="2"/>
    <x v="4"/>
    <n v="13.99"/>
    <x v="1"/>
    <x v="0"/>
    <n v="1"/>
    <n v="0.01"/>
    <x v="4"/>
  </r>
  <r>
    <s v="570a21e1-bc72-482a-b2f3-afea983390f0"/>
    <n v="46"/>
    <x v="3"/>
    <x v="1"/>
    <x v="1"/>
    <n v="5.98"/>
    <n v="31"/>
    <x v="0"/>
    <x v="1"/>
    <n v="17.989999999999998"/>
    <x v="1"/>
    <x v="3"/>
    <n v="1"/>
    <n v="0.19"/>
    <x v="1"/>
  </r>
  <r>
    <s v="bbd4f7df-e4dc-4f51-b4ff-473eaf1005ee"/>
    <n v="52"/>
    <x v="3"/>
    <x v="0"/>
    <x v="1"/>
    <n v="6.28"/>
    <n v="44"/>
    <x v="4"/>
    <x v="3"/>
    <n v="17.989999999999998"/>
    <x v="1"/>
    <x v="0"/>
    <n v="1"/>
    <n v="0.14000000000000001"/>
    <x v="4"/>
  </r>
  <r>
    <s v="f7b78561-9d8b-4712-b3f3-238569b95f4b"/>
    <n v="47"/>
    <x v="3"/>
    <x v="2"/>
    <x v="1"/>
    <n v="1.57"/>
    <n v="39"/>
    <x v="5"/>
    <x v="3"/>
    <n v="17.989999999999998"/>
    <x v="1"/>
    <x v="2"/>
    <n v="5"/>
    <n v="0.04"/>
    <x v="2"/>
  </r>
  <r>
    <s v="7d921bf8-61ef-4609-a46e-96d832d0d04e"/>
    <n v="52"/>
    <x v="3"/>
    <x v="2"/>
    <x v="1"/>
    <n v="2.73"/>
    <n v="45"/>
    <x v="4"/>
    <x v="0"/>
    <n v="17.989999999999998"/>
    <x v="1"/>
    <x v="0"/>
    <n v="5"/>
    <n v="0.06"/>
    <x v="2"/>
  </r>
  <r>
    <s v="48f68f53-a7ef-4736-91a4-28ba10e80c58"/>
    <n v="49"/>
    <x v="3"/>
    <x v="1"/>
    <x v="1"/>
    <n v="9.61"/>
    <n v="27"/>
    <x v="2"/>
    <x v="0"/>
    <n v="17.989999999999998"/>
    <x v="0"/>
    <x v="3"/>
    <n v="3"/>
    <n v="0.34"/>
    <x v="2"/>
  </r>
  <r>
    <s v="ed148da8-e51d-4504-b40a-e358f6e8238a"/>
    <n v="47"/>
    <x v="3"/>
    <x v="0"/>
    <x v="0"/>
    <n v="9.7799999999999994"/>
    <n v="18"/>
    <x v="0"/>
    <x v="4"/>
    <n v="13.99"/>
    <x v="0"/>
    <x v="0"/>
    <n v="3"/>
    <n v="0.51"/>
    <x v="1"/>
  </r>
  <r>
    <s v="9d6dfd4a-f437-4d78-b291-dc00556b9e40"/>
    <n v="46"/>
    <x v="3"/>
    <x v="1"/>
    <x v="2"/>
    <n v="14.53"/>
    <n v="19"/>
    <x v="2"/>
    <x v="2"/>
    <n v="8.99"/>
    <x v="0"/>
    <x v="0"/>
    <n v="4"/>
    <n v="0.73"/>
    <x v="4"/>
  </r>
  <r>
    <s v="f337bc34-f6bf-4cf4-a559-4b79ae8ec658"/>
    <n v="49"/>
    <x v="3"/>
    <x v="0"/>
    <x v="1"/>
    <n v="2.74"/>
    <n v="46"/>
    <x v="0"/>
    <x v="0"/>
    <n v="17.989999999999998"/>
    <x v="1"/>
    <x v="2"/>
    <n v="5"/>
    <n v="0.06"/>
    <x v="2"/>
  </r>
  <r>
    <s v="80ee7450-f22a-4f0f-b081-c978a5a5b347"/>
    <n v="48"/>
    <x v="3"/>
    <x v="0"/>
    <x v="0"/>
    <n v="10.98"/>
    <n v="44"/>
    <x v="0"/>
    <x v="4"/>
    <n v="13.99"/>
    <x v="1"/>
    <x v="0"/>
    <n v="1"/>
    <n v="0.24"/>
    <x v="0"/>
  </r>
  <r>
    <s v="def12ba1-ee3f-4059-a620-05d7d523636c"/>
    <n v="53"/>
    <x v="3"/>
    <x v="0"/>
    <x v="2"/>
    <n v="4.01"/>
    <n v="49"/>
    <x v="4"/>
    <x v="3"/>
    <n v="8.99"/>
    <x v="1"/>
    <x v="0"/>
    <n v="2"/>
    <n v="0.08"/>
    <x v="3"/>
  </r>
  <r>
    <s v="3829a8ad-947c-4e70-906d-bf4bbdf0fe60"/>
    <n v="54"/>
    <x v="3"/>
    <x v="2"/>
    <x v="0"/>
    <n v="19.260000000000002"/>
    <n v="10"/>
    <x v="3"/>
    <x v="2"/>
    <n v="13.99"/>
    <x v="0"/>
    <x v="1"/>
    <n v="5"/>
    <n v="1.75"/>
    <x v="1"/>
  </r>
  <r>
    <s v="29836151-75b3-437c-8395-299b962d9f0d"/>
    <n v="52"/>
    <x v="3"/>
    <x v="2"/>
    <x v="1"/>
    <n v="8.34"/>
    <n v="21"/>
    <x v="3"/>
    <x v="0"/>
    <n v="17.989999999999998"/>
    <x v="0"/>
    <x v="3"/>
    <n v="2"/>
    <n v="0.38"/>
    <x v="6"/>
  </r>
  <r>
    <s v="5f63adf1-cf70-4f07-8351-63fe77c15857"/>
    <n v="50"/>
    <x v="3"/>
    <x v="2"/>
    <x v="0"/>
    <n v="4.17"/>
    <n v="44"/>
    <x v="5"/>
    <x v="4"/>
    <n v="13.99"/>
    <x v="1"/>
    <x v="4"/>
    <n v="1"/>
    <n v="0.09"/>
    <x v="5"/>
  </r>
  <r>
    <s v="0f125ed8-866a-4f58-acd3-f981c2d910c4"/>
    <n v="50"/>
    <x v="3"/>
    <x v="1"/>
    <x v="2"/>
    <n v="29.04"/>
    <n v="48"/>
    <x v="2"/>
    <x v="0"/>
    <n v="8.99"/>
    <x v="0"/>
    <x v="2"/>
    <n v="4"/>
    <n v="0.59"/>
    <x v="4"/>
  </r>
  <r>
    <s v="5736a841-06be-4e91-a475-fdeae4dbb161"/>
    <n v="49"/>
    <x v="3"/>
    <x v="2"/>
    <x v="0"/>
    <n v="4.67"/>
    <n v="48"/>
    <x v="4"/>
    <x v="1"/>
    <n v="13.99"/>
    <x v="1"/>
    <x v="1"/>
    <n v="5"/>
    <n v="0.1"/>
    <x v="2"/>
  </r>
  <r>
    <s v="976212fe-e88c-4118-a57c-8c828ce17f0c"/>
    <n v="46"/>
    <x v="3"/>
    <x v="2"/>
    <x v="1"/>
    <n v="8.7799999999999994"/>
    <n v="13"/>
    <x v="0"/>
    <x v="4"/>
    <n v="17.989999999999998"/>
    <x v="0"/>
    <x v="3"/>
    <n v="4"/>
    <n v="0.63"/>
    <x v="3"/>
  </r>
  <r>
    <s v="75ef07c7-3ac8-4c14-b9d3-2ce79a3865b7"/>
    <n v="54"/>
    <x v="3"/>
    <x v="2"/>
    <x v="0"/>
    <n v="18.96"/>
    <n v="18"/>
    <x v="5"/>
    <x v="4"/>
    <n v="13.99"/>
    <x v="0"/>
    <x v="0"/>
    <n v="3"/>
    <n v="1"/>
    <x v="5"/>
  </r>
  <r>
    <s v="0b11ab87-551c-42d8-a5a4-1cd7ff98386f"/>
    <n v="47"/>
    <x v="3"/>
    <x v="2"/>
    <x v="1"/>
    <n v="6.33"/>
    <n v="9"/>
    <x v="0"/>
    <x v="1"/>
    <n v="17.989999999999998"/>
    <x v="0"/>
    <x v="4"/>
    <n v="4"/>
    <n v="0.63"/>
    <x v="5"/>
  </r>
  <r>
    <s v="fa1f7eb9-e6fd-41f7-943e-1186499aeb8b"/>
    <n v="53"/>
    <x v="3"/>
    <x v="1"/>
    <x v="0"/>
    <n v="8.85"/>
    <n v="3"/>
    <x v="5"/>
    <x v="2"/>
    <n v="13.99"/>
    <x v="0"/>
    <x v="4"/>
    <n v="1"/>
    <n v="2.21"/>
    <x v="6"/>
  </r>
  <r>
    <s v="45e3d341-d04b-4276-99dc-9fc89496e4b9"/>
    <n v="45"/>
    <x v="3"/>
    <x v="2"/>
    <x v="1"/>
    <n v="13.88"/>
    <n v="26"/>
    <x v="4"/>
    <x v="3"/>
    <n v="17.989999999999998"/>
    <x v="0"/>
    <x v="0"/>
    <n v="1"/>
    <n v="0.51"/>
    <x v="5"/>
  </r>
  <r>
    <s v="c6ac02c8-fe12-46b3-a1ae-fd7f7ba481f9"/>
    <n v="50"/>
    <x v="3"/>
    <x v="1"/>
    <x v="1"/>
    <n v="0.32"/>
    <n v="35"/>
    <x v="1"/>
    <x v="3"/>
    <n v="17.989999999999998"/>
    <x v="1"/>
    <x v="1"/>
    <n v="2"/>
    <n v="0.01"/>
    <x v="1"/>
  </r>
  <r>
    <s v="24828084-41fa-4b71-a36f-4575ccbe0ca8"/>
    <n v="45"/>
    <x v="3"/>
    <x v="1"/>
    <x v="0"/>
    <n v="7.03"/>
    <n v="2"/>
    <x v="3"/>
    <x v="1"/>
    <n v="13.99"/>
    <x v="0"/>
    <x v="3"/>
    <n v="2"/>
    <n v="2.34"/>
    <x v="0"/>
  </r>
  <r>
    <s v="a1f99ca8-0b8f-4c59-a52e-4eb2ea8d4bf6"/>
    <n v="49"/>
    <x v="3"/>
    <x v="1"/>
    <x v="0"/>
    <n v="2.86"/>
    <n v="30"/>
    <x v="1"/>
    <x v="4"/>
    <n v="13.99"/>
    <x v="1"/>
    <x v="2"/>
    <n v="3"/>
    <n v="0.09"/>
    <x v="0"/>
  </r>
  <r>
    <s v="c34baf8c-d65c-4aaa-9602-2bb9efaa4f6c"/>
    <n v="45"/>
    <x v="3"/>
    <x v="0"/>
    <x v="2"/>
    <n v="7.13"/>
    <n v="8"/>
    <x v="5"/>
    <x v="2"/>
    <n v="8.99"/>
    <x v="0"/>
    <x v="2"/>
    <n v="3"/>
    <n v="0.79"/>
    <x v="2"/>
  </r>
  <r>
    <s v="0ef9124e-50c5-411b-b436-edacd29199a8"/>
    <n v="47"/>
    <x v="3"/>
    <x v="0"/>
    <x v="0"/>
    <n v="4.13"/>
    <n v="30"/>
    <x v="2"/>
    <x v="4"/>
    <n v="13.99"/>
    <x v="1"/>
    <x v="4"/>
    <n v="2"/>
    <n v="0.13"/>
    <x v="2"/>
  </r>
  <r>
    <s v="a6b50d35-9ec1-4952-bc1a-4db4877d1b7c"/>
    <n v="54"/>
    <x v="3"/>
    <x v="0"/>
    <x v="0"/>
    <n v="6.26"/>
    <n v="47"/>
    <x v="2"/>
    <x v="3"/>
    <n v="13.99"/>
    <x v="1"/>
    <x v="2"/>
    <n v="2"/>
    <n v="0.13"/>
    <x v="0"/>
  </r>
  <r>
    <s v="2d77b990-4c9b-4602-b2cc-3635194e1daf"/>
    <n v="52"/>
    <x v="3"/>
    <x v="2"/>
    <x v="0"/>
    <n v="28.47"/>
    <n v="15"/>
    <x v="1"/>
    <x v="1"/>
    <n v="13.99"/>
    <x v="0"/>
    <x v="2"/>
    <n v="1"/>
    <n v="1.78"/>
    <x v="0"/>
  </r>
  <r>
    <s v="d5085dca-434a-4eab-91d5-9a0085af79d2"/>
    <n v="54"/>
    <x v="3"/>
    <x v="1"/>
    <x v="0"/>
    <n v="0.37"/>
    <n v="39"/>
    <x v="4"/>
    <x v="4"/>
    <n v="13.99"/>
    <x v="1"/>
    <x v="2"/>
    <n v="4"/>
    <n v="0.01"/>
    <x v="6"/>
  </r>
  <r>
    <s v="7b7213e4-5ca8-4625-b1d2-f73605f5ca06"/>
    <n v="51"/>
    <x v="3"/>
    <x v="1"/>
    <x v="2"/>
    <n v="15.14"/>
    <n v="17"/>
    <x v="4"/>
    <x v="3"/>
    <n v="8.99"/>
    <x v="0"/>
    <x v="4"/>
    <n v="4"/>
    <n v="0.84"/>
    <x v="5"/>
  </r>
  <r>
    <s v="6e346808-c15b-472c-ab5a-83cc8f70c8cb"/>
    <n v="54"/>
    <x v="3"/>
    <x v="2"/>
    <x v="0"/>
    <n v="3.47"/>
    <n v="31"/>
    <x v="1"/>
    <x v="1"/>
    <n v="13.99"/>
    <x v="1"/>
    <x v="0"/>
    <n v="5"/>
    <n v="0.11"/>
    <x v="6"/>
  </r>
  <r>
    <s v="a6439c47-77e6-4c51-b834-0f66b0f1a239"/>
    <n v="48"/>
    <x v="3"/>
    <x v="0"/>
    <x v="1"/>
    <n v="9.65"/>
    <n v="60"/>
    <x v="5"/>
    <x v="1"/>
    <n v="17.989999999999998"/>
    <x v="1"/>
    <x v="4"/>
    <n v="4"/>
    <n v="0.16"/>
    <x v="0"/>
  </r>
  <r>
    <s v="af47b2dd-417b-4542-8f5f-34d5f6940e36"/>
    <n v="46"/>
    <x v="3"/>
    <x v="0"/>
    <x v="0"/>
    <n v="19.63"/>
    <n v="30"/>
    <x v="4"/>
    <x v="2"/>
    <n v="13.99"/>
    <x v="0"/>
    <x v="2"/>
    <n v="1"/>
    <n v="0.63"/>
    <x v="1"/>
  </r>
  <r>
    <s v="6ca95308-1b7d-40a9-a8ff-fc292007d82f"/>
    <n v="54"/>
    <x v="3"/>
    <x v="0"/>
    <x v="0"/>
    <n v="8.41"/>
    <n v="55"/>
    <x v="4"/>
    <x v="2"/>
    <n v="13.99"/>
    <x v="1"/>
    <x v="0"/>
    <n v="4"/>
    <n v="0.15"/>
    <x v="6"/>
  </r>
  <r>
    <s v="e4a0a6b2-3105-4153-8233-36a82a6f9b11"/>
    <n v="54"/>
    <x v="3"/>
    <x v="0"/>
    <x v="1"/>
    <n v="11.96"/>
    <n v="37"/>
    <x v="5"/>
    <x v="3"/>
    <n v="17.989999999999998"/>
    <x v="1"/>
    <x v="4"/>
    <n v="3"/>
    <n v="0.31"/>
    <x v="4"/>
  </r>
  <r>
    <s v="a3eeb138-744f-4bfb-87bf-72f794b2290a"/>
    <n v="47"/>
    <x v="3"/>
    <x v="1"/>
    <x v="1"/>
    <n v="3.99"/>
    <n v="53"/>
    <x v="3"/>
    <x v="2"/>
    <n v="17.989999999999998"/>
    <x v="1"/>
    <x v="4"/>
    <n v="2"/>
    <n v="7.0000000000000007E-2"/>
    <x v="6"/>
  </r>
  <r>
    <s v="2a99d3ad-4874-4d00-a714-5e17ab8be70e"/>
    <n v="49"/>
    <x v="3"/>
    <x v="2"/>
    <x v="2"/>
    <n v="3.34"/>
    <n v="50"/>
    <x v="3"/>
    <x v="1"/>
    <n v="8.99"/>
    <x v="1"/>
    <x v="2"/>
    <n v="5"/>
    <n v="7.0000000000000007E-2"/>
    <x v="6"/>
  </r>
  <r>
    <s v="0f6eeb6a-a13b-49df-aa42-65048a3879e7"/>
    <n v="51"/>
    <x v="3"/>
    <x v="1"/>
    <x v="2"/>
    <n v="7.53"/>
    <n v="39"/>
    <x v="3"/>
    <x v="2"/>
    <n v="8.99"/>
    <x v="1"/>
    <x v="2"/>
    <n v="3"/>
    <n v="0.19"/>
    <x v="0"/>
  </r>
  <r>
    <s v="867083ff-72cc-4bcb-a44f-442d4a12f7bd"/>
    <n v="46"/>
    <x v="3"/>
    <x v="0"/>
    <x v="0"/>
    <n v="13.41"/>
    <n v="42"/>
    <x v="5"/>
    <x v="4"/>
    <n v="13.99"/>
    <x v="1"/>
    <x v="0"/>
    <n v="1"/>
    <n v="0.31"/>
    <x v="0"/>
  </r>
  <r>
    <s v="d26df67f-9283-43be-be84-53d211ed7bf4"/>
    <n v="53"/>
    <x v="3"/>
    <x v="0"/>
    <x v="2"/>
    <n v="7.94"/>
    <n v="12"/>
    <x v="1"/>
    <x v="2"/>
    <n v="8.99"/>
    <x v="0"/>
    <x v="3"/>
    <n v="1"/>
    <n v="0.61"/>
    <x v="5"/>
  </r>
  <r>
    <s v="02ca32eb-bc08-4a92-8c39-ea2fe7612be9"/>
    <n v="53"/>
    <x v="3"/>
    <x v="2"/>
    <x v="1"/>
    <n v="2.72"/>
    <n v="8"/>
    <x v="0"/>
    <x v="3"/>
    <n v="17.989999999999998"/>
    <x v="1"/>
    <x v="0"/>
    <n v="1"/>
    <n v="0.3"/>
    <x v="4"/>
  </r>
  <r>
    <s v="1d3f0f36-3bb5-407a-a51b-4656e78996aa"/>
    <n v="47"/>
    <x v="3"/>
    <x v="0"/>
    <x v="2"/>
    <n v="6.51"/>
    <n v="58"/>
    <x v="0"/>
    <x v="1"/>
    <n v="8.99"/>
    <x v="1"/>
    <x v="4"/>
    <n v="5"/>
    <n v="0.11"/>
    <x v="5"/>
  </r>
  <r>
    <s v="20c8a7c5-8ed4-4b39-a8f3-244a4679ff09"/>
    <n v="47"/>
    <x v="3"/>
    <x v="0"/>
    <x v="2"/>
    <n v="16.29"/>
    <n v="57"/>
    <x v="4"/>
    <x v="4"/>
    <n v="8.99"/>
    <x v="1"/>
    <x v="2"/>
    <n v="3"/>
    <n v="0.28000000000000003"/>
    <x v="2"/>
  </r>
  <r>
    <s v="8751780d-93c1-4eb9-8905-ec30ecc5cabd"/>
    <n v="49"/>
    <x v="3"/>
    <x v="0"/>
    <x v="0"/>
    <n v="10.83"/>
    <n v="56"/>
    <x v="1"/>
    <x v="2"/>
    <n v="13.99"/>
    <x v="1"/>
    <x v="4"/>
    <n v="1"/>
    <n v="0.19"/>
    <x v="6"/>
  </r>
  <r>
    <s v="3fad7427-ca8a-45c7-8ace-23b3cfa8b921"/>
    <n v="51"/>
    <x v="3"/>
    <x v="1"/>
    <x v="1"/>
    <n v="8"/>
    <n v="11"/>
    <x v="2"/>
    <x v="0"/>
    <n v="17.989999999999998"/>
    <x v="0"/>
    <x v="0"/>
    <n v="1"/>
    <n v="0.67"/>
    <x v="6"/>
  </r>
  <r>
    <s v="eb64992f-d352-47d7-afb7-c03dd58cdba6"/>
    <n v="50"/>
    <x v="3"/>
    <x v="1"/>
    <x v="1"/>
    <n v="21.92"/>
    <n v="6"/>
    <x v="0"/>
    <x v="2"/>
    <n v="17.989999999999998"/>
    <x v="0"/>
    <x v="3"/>
    <n v="1"/>
    <n v="3.13"/>
    <x v="5"/>
  </r>
  <r>
    <s v="8cab77af-0730-4c99-abfa-9322d9cd1e3f"/>
    <n v="49"/>
    <x v="3"/>
    <x v="2"/>
    <x v="0"/>
    <n v="3.91"/>
    <n v="10"/>
    <x v="5"/>
    <x v="0"/>
    <n v="13.99"/>
    <x v="1"/>
    <x v="4"/>
    <n v="3"/>
    <n v="0.36"/>
    <x v="4"/>
  </r>
  <r>
    <s v="6af66e55-75f5-4b4b-8cc6-59f5b1a12687"/>
    <n v="46"/>
    <x v="3"/>
    <x v="1"/>
    <x v="0"/>
    <n v="16.420000000000002"/>
    <n v="58"/>
    <x v="3"/>
    <x v="2"/>
    <n v="13.99"/>
    <x v="1"/>
    <x v="1"/>
    <n v="2"/>
    <n v="0.28000000000000003"/>
    <x v="1"/>
  </r>
  <r>
    <s v="74a351ad-a105-47a3-8788-be27f4901415"/>
    <n v="46"/>
    <x v="3"/>
    <x v="0"/>
    <x v="1"/>
    <n v="2.09"/>
    <n v="36"/>
    <x v="4"/>
    <x v="2"/>
    <n v="17.989999999999998"/>
    <x v="1"/>
    <x v="1"/>
    <n v="3"/>
    <n v="0.06"/>
    <x v="6"/>
  </r>
  <r>
    <s v="ebfb6de4-10aa-40fd-8f58-14f5bbe80d7f"/>
    <n v="48"/>
    <x v="3"/>
    <x v="0"/>
    <x v="2"/>
    <n v="5.22"/>
    <n v="51"/>
    <x v="1"/>
    <x v="0"/>
    <n v="8.99"/>
    <x v="1"/>
    <x v="4"/>
    <n v="2"/>
    <n v="0.1"/>
    <x v="5"/>
  </r>
  <r>
    <s v="05014de6-4f07-455d-ae29-2ec9600d723c"/>
    <n v="52"/>
    <x v="3"/>
    <x v="1"/>
    <x v="1"/>
    <n v="26.94"/>
    <n v="6"/>
    <x v="4"/>
    <x v="3"/>
    <n v="17.989999999999998"/>
    <x v="0"/>
    <x v="0"/>
    <n v="3"/>
    <n v="3.85"/>
    <x v="5"/>
  </r>
  <r>
    <s v="a54d2797-8e28-42a3-a8b9-74d42fc1d3bd"/>
    <n v="51"/>
    <x v="3"/>
    <x v="1"/>
    <x v="0"/>
    <n v="16.03"/>
    <n v="48"/>
    <x v="3"/>
    <x v="4"/>
    <n v="13.99"/>
    <x v="1"/>
    <x v="0"/>
    <n v="4"/>
    <n v="0.33"/>
    <x v="4"/>
  </r>
  <r>
    <s v="1f1b3a5e-0dbc-4352-ac12-73d9bc1dc7b4"/>
    <n v="53"/>
    <x v="3"/>
    <x v="2"/>
    <x v="0"/>
    <n v="7.88"/>
    <n v="23"/>
    <x v="2"/>
    <x v="0"/>
    <n v="13.99"/>
    <x v="0"/>
    <x v="2"/>
    <n v="1"/>
    <n v="0.33"/>
    <x v="2"/>
  </r>
  <r>
    <s v="7e6f4d69-8626-4fd9-a4b9-f0206bd3fa3b"/>
    <n v="50"/>
    <x v="3"/>
    <x v="0"/>
    <x v="1"/>
    <n v="3.81"/>
    <n v="53"/>
    <x v="1"/>
    <x v="2"/>
    <n v="17.989999999999998"/>
    <x v="1"/>
    <x v="4"/>
    <n v="1"/>
    <n v="7.0000000000000007E-2"/>
    <x v="6"/>
  </r>
  <r>
    <s v="a765f57c-d958-435c-b331-ffc9a8750a0f"/>
    <n v="50"/>
    <x v="3"/>
    <x v="1"/>
    <x v="2"/>
    <n v="7.86"/>
    <n v="55"/>
    <x v="0"/>
    <x v="0"/>
    <n v="8.99"/>
    <x v="1"/>
    <x v="4"/>
    <n v="1"/>
    <n v="0.14000000000000001"/>
    <x v="0"/>
  </r>
  <r>
    <s v="c78370fc-117b-44eb-927d-1e56d69513fc"/>
    <n v="54"/>
    <x v="3"/>
    <x v="1"/>
    <x v="1"/>
    <n v="6.83"/>
    <n v="53"/>
    <x v="5"/>
    <x v="0"/>
    <n v="17.989999999999998"/>
    <x v="0"/>
    <x v="1"/>
    <n v="4"/>
    <n v="0.13"/>
    <x v="5"/>
  </r>
  <r>
    <s v="e86efcfc-cc7a-402e-b8c1-b2a0a5ad92b8"/>
    <n v="49"/>
    <x v="3"/>
    <x v="1"/>
    <x v="2"/>
    <n v="25.4"/>
    <n v="47"/>
    <x v="4"/>
    <x v="1"/>
    <n v="8.99"/>
    <x v="0"/>
    <x v="0"/>
    <n v="4"/>
    <n v="0.53"/>
    <x v="5"/>
  </r>
  <r>
    <s v="51a00cea-7f82-4b3b-b03e-dcd34870ecb6"/>
    <n v="49"/>
    <x v="3"/>
    <x v="1"/>
    <x v="1"/>
    <n v="6.23"/>
    <n v="12"/>
    <x v="1"/>
    <x v="1"/>
    <n v="17.989999999999998"/>
    <x v="0"/>
    <x v="1"/>
    <n v="2"/>
    <n v="0.48"/>
    <x v="0"/>
  </r>
  <r>
    <s v="7b727762-d96e-4828-bd7d-0548f6311542"/>
    <n v="47"/>
    <x v="3"/>
    <x v="0"/>
    <x v="1"/>
    <n v="14.8"/>
    <n v="43"/>
    <x v="1"/>
    <x v="0"/>
    <n v="17.989999999999998"/>
    <x v="1"/>
    <x v="2"/>
    <n v="3"/>
    <n v="0.34"/>
    <x v="4"/>
  </r>
  <r>
    <s v="e12018ab-4d36-4bbe-bd5a-3e7d2c14b5bb"/>
    <n v="52"/>
    <x v="3"/>
    <x v="0"/>
    <x v="2"/>
    <n v="34.130000000000003"/>
    <n v="32"/>
    <x v="2"/>
    <x v="3"/>
    <n v="8.99"/>
    <x v="0"/>
    <x v="0"/>
    <n v="3"/>
    <n v="1.03"/>
    <x v="1"/>
  </r>
  <r>
    <s v="fb73a240-4dd9-4168-adfa-cd33c41b23a3"/>
    <n v="45"/>
    <x v="3"/>
    <x v="2"/>
    <x v="0"/>
    <n v="13.11"/>
    <n v="8"/>
    <x v="0"/>
    <x v="1"/>
    <n v="13.99"/>
    <x v="0"/>
    <x v="4"/>
    <n v="1"/>
    <n v="1.46"/>
    <x v="6"/>
  </r>
  <r>
    <s v="c211101f-5e9f-4e0a-b04d-6e14174a8a29"/>
    <n v="45"/>
    <x v="3"/>
    <x v="2"/>
    <x v="2"/>
    <n v="6.78"/>
    <n v="23"/>
    <x v="0"/>
    <x v="1"/>
    <n v="8.99"/>
    <x v="0"/>
    <x v="3"/>
    <n v="2"/>
    <n v="0.28000000000000003"/>
    <x v="6"/>
  </r>
  <r>
    <s v="272a45af-0205-4022-a7d3-fd8266d2a630"/>
    <n v="46"/>
    <x v="3"/>
    <x v="0"/>
    <x v="2"/>
    <n v="0.49"/>
    <n v="35"/>
    <x v="3"/>
    <x v="2"/>
    <n v="8.99"/>
    <x v="1"/>
    <x v="4"/>
    <n v="3"/>
    <n v="0.01"/>
    <x v="0"/>
  </r>
  <r>
    <s v="1839b86b-6680-44d8-91d9-6875ad85997e"/>
    <n v="50"/>
    <x v="3"/>
    <x v="2"/>
    <x v="1"/>
    <n v="4.5999999999999996"/>
    <n v="6"/>
    <x v="4"/>
    <x v="4"/>
    <n v="17.989999999999998"/>
    <x v="0"/>
    <x v="3"/>
    <n v="4"/>
    <n v="0.66"/>
    <x v="6"/>
  </r>
  <r>
    <s v="dbab2c81-25f3-4f64-969d-48093e7989cc"/>
    <n v="50"/>
    <x v="3"/>
    <x v="1"/>
    <x v="1"/>
    <n v="1.21"/>
    <n v="44"/>
    <x v="1"/>
    <x v="4"/>
    <n v="17.989999999999998"/>
    <x v="1"/>
    <x v="2"/>
    <n v="1"/>
    <n v="0.03"/>
    <x v="3"/>
  </r>
  <r>
    <s v="c70b095c-012c-4449-97e4-e685d7b9a45b"/>
    <n v="53"/>
    <x v="3"/>
    <x v="0"/>
    <x v="2"/>
    <n v="20.8"/>
    <n v="27"/>
    <x v="0"/>
    <x v="2"/>
    <n v="8.99"/>
    <x v="0"/>
    <x v="4"/>
    <n v="5"/>
    <n v="0.74"/>
    <x v="1"/>
  </r>
  <r>
    <s v="c8bd8abb-7f19-4148-8b95-bf358610e66e"/>
    <n v="48"/>
    <x v="3"/>
    <x v="2"/>
    <x v="1"/>
    <n v="8.82"/>
    <n v="1"/>
    <x v="2"/>
    <x v="1"/>
    <n v="17.989999999999998"/>
    <x v="0"/>
    <x v="3"/>
    <n v="5"/>
    <n v="4.41"/>
    <x v="4"/>
  </r>
  <r>
    <s v="645a02c0-c741-4abc-8ac1-a9fb97b766e9"/>
    <n v="50"/>
    <x v="3"/>
    <x v="1"/>
    <x v="1"/>
    <n v="75.900000000000006"/>
    <n v="40"/>
    <x v="2"/>
    <x v="2"/>
    <n v="17.989999999999998"/>
    <x v="0"/>
    <x v="0"/>
    <n v="5"/>
    <n v="1.85"/>
    <x v="3"/>
  </r>
  <r>
    <s v="2fa4c011-968c-449e-b26f-3cb70ae6a8a0"/>
    <n v="49"/>
    <x v="3"/>
    <x v="0"/>
    <x v="2"/>
    <n v="18.190000000000001"/>
    <n v="23"/>
    <x v="1"/>
    <x v="2"/>
    <n v="8.99"/>
    <x v="0"/>
    <x v="4"/>
    <n v="3"/>
    <n v="0.76"/>
    <x v="6"/>
  </r>
  <r>
    <s v="07e2381a-6287-4599-acc0-231fcce39535"/>
    <n v="52"/>
    <x v="3"/>
    <x v="2"/>
    <x v="1"/>
    <n v="10.14"/>
    <n v="42"/>
    <x v="1"/>
    <x v="1"/>
    <n v="17.989999999999998"/>
    <x v="0"/>
    <x v="2"/>
    <n v="5"/>
    <n v="0.24"/>
    <x v="0"/>
  </r>
  <r>
    <s v="8c1a9225-1585-49c8-84c6-ef0e0cd5265b"/>
    <n v="51"/>
    <x v="3"/>
    <x v="0"/>
    <x v="0"/>
    <n v="18.3"/>
    <n v="56"/>
    <x v="3"/>
    <x v="0"/>
    <n v="13.99"/>
    <x v="1"/>
    <x v="1"/>
    <n v="3"/>
    <n v="0.32"/>
    <x v="2"/>
  </r>
  <r>
    <s v="76ad4d6a-19dd-42de-add3-bb96a7511b3c"/>
    <n v="53"/>
    <x v="3"/>
    <x v="0"/>
    <x v="1"/>
    <n v="1.25"/>
    <n v="37"/>
    <x v="0"/>
    <x v="2"/>
    <n v="17.989999999999998"/>
    <x v="1"/>
    <x v="3"/>
    <n v="5"/>
    <n v="0.03"/>
    <x v="3"/>
  </r>
  <r>
    <s v="92f2af93-27fc-4030-95ce-aecc9b077942"/>
    <n v="54"/>
    <x v="3"/>
    <x v="2"/>
    <x v="0"/>
    <n v="8.18"/>
    <n v="36"/>
    <x v="5"/>
    <x v="2"/>
    <n v="13.99"/>
    <x v="1"/>
    <x v="2"/>
    <n v="2"/>
    <n v="0.22"/>
    <x v="5"/>
  </r>
  <r>
    <s v="4b2d1a25-31b7-4b0f-bc95-017606ce2284"/>
    <n v="54"/>
    <x v="3"/>
    <x v="1"/>
    <x v="2"/>
    <n v="12.13"/>
    <n v="50"/>
    <x v="2"/>
    <x v="4"/>
    <n v="8.99"/>
    <x v="1"/>
    <x v="0"/>
    <n v="1"/>
    <n v="0.24"/>
    <x v="4"/>
  </r>
  <r>
    <s v="ab11ccda-a915-4c76-851d-663a8e0d10df"/>
    <n v="54"/>
    <x v="3"/>
    <x v="1"/>
    <x v="2"/>
    <n v="30.06"/>
    <n v="37"/>
    <x v="5"/>
    <x v="0"/>
    <n v="8.99"/>
    <x v="0"/>
    <x v="4"/>
    <n v="2"/>
    <n v="0.79"/>
    <x v="3"/>
  </r>
  <r>
    <s v="fa434710-e3c5-4591-b249-e7c0091ef66f"/>
    <n v="54"/>
    <x v="3"/>
    <x v="0"/>
    <x v="0"/>
    <n v="15.72"/>
    <n v="0"/>
    <x v="3"/>
    <x v="2"/>
    <n v="13.99"/>
    <x v="0"/>
    <x v="3"/>
    <n v="5"/>
    <n v="15.72"/>
    <x v="4"/>
  </r>
  <r>
    <s v="9faa53a9-c587-4b26-830b-365ae864c983"/>
    <n v="47"/>
    <x v="3"/>
    <x v="1"/>
    <x v="0"/>
    <n v="24.11"/>
    <n v="31"/>
    <x v="1"/>
    <x v="1"/>
    <n v="13.99"/>
    <x v="0"/>
    <x v="3"/>
    <n v="3"/>
    <n v="0.75"/>
    <x v="6"/>
  </r>
  <r>
    <s v="83ca2b12-f1fd-48b2-886b-c795742478a4"/>
    <n v="45"/>
    <x v="3"/>
    <x v="0"/>
    <x v="1"/>
    <n v="11.99"/>
    <n v="54"/>
    <x v="4"/>
    <x v="3"/>
    <n v="17.989999999999998"/>
    <x v="1"/>
    <x v="2"/>
    <n v="2"/>
    <n v="0.22"/>
    <x v="2"/>
  </r>
  <r>
    <s v="7003d3e0-38c6-442b-b19e-026dde7d98ea"/>
    <n v="48"/>
    <x v="3"/>
    <x v="2"/>
    <x v="1"/>
    <n v="7.18"/>
    <n v="53"/>
    <x v="0"/>
    <x v="4"/>
    <n v="17.989999999999998"/>
    <x v="0"/>
    <x v="1"/>
    <n v="4"/>
    <n v="0.13"/>
    <x v="1"/>
  </r>
  <r>
    <s v="a6391928-52e9-4141-85d4-5a49f203a0fb"/>
    <n v="51"/>
    <x v="3"/>
    <x v="1"/>
    <x v="2"/>
    <n v="36.619999999999997"/>
    <n v="43"/>
    <x v="4"/>
    <x v="1"/>
    <n v="8.99"/>
    <x v="0"/>
    <x v="2"/>
    <n v="4"/>
    <n v="0.83"/>
    <x v="2"/>
  </r>
  <r>
    <s v="5707a108-c200-42ad-af1e-b4653b58d581"/>
    <n v="46"/>
    <x v="3"/>
    <x v="0"/>
    <x v="0"/>
    <n v="10.98"/>
    <n v="20"/>
    <x v="3"/>
    <x v="2"/>
    <n v="13.99"/>
    <x v="0"/>
    <x v="4"/>
    <n v="5"/>
    <n v="0.52"/>
    <x v="6"/>
  </r>
  <r>
    <s v="603d23eb-86c6-449e-83a9-626d45204c7f"/>
    <n v="45"/>
    <x v="3"/>
    <x v="2"/>
    <x v="2"/>
    <n v="5.8"/>
    <n v="39"/>
    <x v="4"/>
    <x v="2"/>
    <n v="8.99"/>
    <x v="1"/>
    <x v="1"/>
    <n v="4"/>
    <n v="0.14000000000000001"/>
    <x v="5"/>
  </r>
  <r>
    <s v="825c1f34-4c70-4e01-88de-57f51cf6bc99"/>
    <n v="46"/>
    <x v="3"/>
    <x v="1"/>
    <x v="2"/>
    <n v="8.69"/>
    <n v="35"/>
    <x v="5"/>
    <x v="0"/>
    <n v="8.99"/>
    <x v="1"/>
    <x v="4"/>
    <n v="1"/>
    <n v="0.24"/>
    <x v="1"/>
  </r>
  <r>
    <s v="2810911b-db9f-4cf9-97c5-5c22d2d60bee"/>
    <n v="52"/>
    <x v="3"/>
    <x v="1"/>
    <x v="0"/>
    <n v="8.61"/>
    <n v="45"/>
    <x v="4"/>
    <x v="2"/>
    <n v="13.99"/>
    <x v="1"/>
    <x v="0"/>
    <n v="3"/>
    <n v="0.19"/>
    <x v="2"/>
  </r>
  <r>
    <s v="3d604c3a-0b78-4192-8389-dd95566832af"/>
    <n v="46"/>
    <x v="3"/>
    <x v="1"/>
    <x v="0"/>
    <n v="0.83"/>
    <n v="12"/>
    <x v="2"/>
    <x v="2"/>
    <n v="13.99"/>
    <x v="1"/>
    <x v="0"/>
    <n v="4"/>
    <n v="0.06"/>
    <x v="1"/>
  </r>
  <r>
    <s v="93880064-9281-4aec-a8f9-0be261a5257c"/>
    <n v="49"/>
    <x v="3"/>
    <x v="0"/>
    <x v="1"/>
    <n v="3.31"/>
    <n v="59"/>
    <x v="1"/>
    <x v="1"/>
    <n v="17.989999999999998"/>
    <x v="1"/>
    <x v="3"/>
    <n v="1"/>
    <n v="0.06"/>
    <x v="6"/>
  </r>
  <r>
    <s v="a7e20d3f-bf41-4628-8052-ba95cff759c1"/>
    <n v="51"/>
    <x v="3"/>
    <x v="0"/>
    <x v="0"/>
    <n v="13.68"/>
    <n v="3"/>
    <x v="3"/>
    <x v="3"/>
    <n v="13.99"/>
    <x v="0"/>
    <x v="3"/>
    <n v="4"/>
    <n v="3.42"/>
    <x v="5"/>
  </r>
  <r>
    <s v="4d72f986-020f-4c5e-9e76-eb69bea859e6"/>
    <n v="46"/>
    <x v="3"/>
    <x v="1"/>
    <x v="0"/>
    <n v="1.24"/>
    <n v="60"/>
    <x v="1"/>
    <x v="0"/>
    <n v="13.99"/>
    <x v="1"/>
    <x v="1"/>
    <n v="5"/>
    <n v="0.02"/>
    <x v="2"/>
  </r>
  <r>
    <s v="9401354d-1498-4eee-a560-19b633a103b3"/>
    <n v="48"/>
    <x v="3"/>
    <x v="1"/>
    <x v="1"/>
    <n v="25.07"/>
    <n v="29"/>
    <x v="4"/>
    <x v="4"/>
    <n v="17.989999999999998"/>
    <x v="0"/>
    <x v="2"/>
    <n v="4"/>
    <n v="0.84"/>
    <x v="0"/>
  </r>
  <r>
    <s v="ccfcd4b9-a541-4751-abb4-571a84c4770c"/>
    <n v="54"/>
    <x v="3"/>
    <x v="1"/>
    <x v="0"/>
    <n v="8.61"/>
    <n v="11"/>
    <x v="3"/>
    <x v="4"/>
    <n v="13.99"/>
    <x v="0"/>
    <x v="4"/>
    <n v="3"/>
    <n v="0.72"/>
    <x v="4"/>
  </r>
  <r>
    <s v="31673a23-132a-46a7-b029-975ac1465c50"/>
    <n v="48"/>
    <x v="3"/>
    <x v="2"/>
    <x v="1"/>
    <n v="4.1500000000000004"/>
    <n v="53"/>
    <x v="3"/>
    <x v="1"/>
    <n v="17.989999999999998"/>
    <x v="1"/>
    <x v="2"/>
    <n v="4"/>
    <n v="0.08"/>
    <x v="5"/>
  </r>
  <r>
    <s v="094c8ee8-4143-4ebf-9ed3-1ad255f30ef5"/>
    <n v="53"/>
    <x v="3"/>
    <x v="0"/>
    <x v="0"/>
    <n v="20.82"/>
    <n v="13"/>
    <x v="0"/>
    <x v="1"/>
    <n v="13.99"/>
    <x v="0"/>
    <x v="2"/>
    <n v="2"/>
    <n v="1.49"/>
    <x v="4"/>
  </r>
  <r>
    <s v="c7429be0-64d2-4995-a915-e1250fbe94ec"/>
    <n v="48"/>
    <x v="3"/>
    <x v="0"/>
    <x v="1"/>
    <n v="5.85"/>
    <n v="3"/>
    <x v="4"/>
    <x v="4"/>
    <n v="17.989999999999998"/>
    <x v="0"/>
    <x v="2"/>
    <n v="4"/>
    <n v="1.46"/>
    <x v="3"/>
  </r>
  <r>
    <s v="2c06953e-4bc1-42f4-8769-813f8f36b530"/>
    <n v="54"/>
    <x v="3"/>
    <x v="1"/>
    <x v="2"/>
    <n v="0.5"/>
    <n v="54"/>
    <x v="0"/>
    <x v="3"/>
    <n v="8.99"/>
    <x v="1"/>
    <x v="0"/>
    <n v="1"/>
    <n v="0.01"/>
    <x v="1"/>
  </r>
  <r>
    <s v="3e8c2562-a487-4d89-a1d8-3fdc53caf638"/>
    <n v="45"/>
    <x v="3"/>
    <x v="1"/>
    <x v="2"/>
    <n v="10.01"/>
    <n v="46"/>
    <x v="0"/>
    <x v="2"/>
    <n v="8.99"/>
    <x v="1"/>
    <x v="3"/>
    <n v="3"/>
    <n v="0.21"/>
    <x v="1"/>
  </r>
  <r>
    <s v="6b9ce9b4-316f-4e82-a0b9-127441795232"/>
    <n v="53"/>
    <x v="3"/>
    <x v="2"/>
    <x v="1"/>
    <n v="7.98"/>
    <n v="20"/>
    <x v="1"/>
    <x v="3"/>
    <n v="17.989999999999998"/>
    <x v="0"/>
    <x v="2"/>
    <n v="3"/>
    <n v="0.38"/>
    <x v="3"/>
  </r>
  <r>
    <s v="14f4e734-af4b-4566-9b26-a78985629df6"/>
    <n v="47"/>
    <x v="3"/>
    <x v="2"/>
    <x v="0"/>
    <n v="26.18"/>
    <n v="8"/>
    <x v="4"/>
    <x v="0"/>
    <n v="13.99"/>
    <x v="0"/>
    <x v="1"/>
    <n v="1"/>
    <n v="2.91"/>
    <x v="3"/>
  </r>
  <r>
    <s v="dc13c828-eda9-45c8-909b-cb84e3b0b8fb"/>
    <n v="46"/>
    <x v="3"/>
    <x v="2"/>
    <x v="2"/>
    <n v="7.08"/>
    <n v="23"/>
    <x v="0"/>
    <x v="3"/>
    <n v="8.99"/>
    <x v="0"/>
    <x v="2"/>
    <n v="5"/>
    <n v="0.28999999999999998"/>
    <x v="3"/>
  </r>
  <r>
    <s v="ec765c0b-cd27-4e30-b514-9509f020f439"/>
    <n v="51"/>
    <x v="3"/>
    <x v="2"/>
    <x v="2"/>
    <n v="26.04"/>
    <n v="8"/>
    <x v="2"/>
    <x v="1"/>
    <n v="8.99"/>
    <x v="0"/>
    <x v="2"/>
    <n v="1"/>
    <n v="2.89"/>
    <x v="4"/>
  </r>
  <r>
    <s v="e969d3a9-a455-455f-9be8-38e701b1f653"/>
    <n v="46"/>
    <x v="3"/>
    <x v="0"/>
    <x v="0"/>
    <n v="4.68"/>
    <n v="11"/>
    <x v="3"/>
    <x v="4"/>
    <n v="13.99"/>
    <x v="1"/>
    <x v="4"/>
    <n v="5"/>
    <n v="0.39"/>
    <x v="1"/>
  </r>
  <r>
    <s v="fef36da3-13ae-416d-9e67-cfebe1220e24"/>
    <n v="51"/>
    <x v="3"/>
    <x v="0"/>
    <x v="1"/>
    <n v="8.6"/>
    <n v="9"/>
    <x v="1"/>
    <x v="0"/>
    <n v="17.989999999999998"/>
    <x v="0"/>
    <x v="4"/>
    <n v="1"/>
    <n v="0.86"/>
    <x v="6"/>
  </r>
  <r>
    <s v="744ddc65-15bd-4ea4-abe0-e6c0e760796f"/>
    <n v="46"/>
    <x v="3"/>
    <x v="2"/>
    <x v="1"/>
    <n v="2.96"/>
    <n v="33"/>
    <x v="2"/>
    <x v="0"/>
    <n v="17.989999999999998"/>
    <x v="1"/>
    <x v="3"/>
    <n v="5"/>
    <n v="0.09"/>
    <x v="3"/>
  </r>
  <r>
    <s v="f9436f14-5021-4177-9206-b79da434105c"/>
    <n v="49"/>
    <x v="3"/>
    <x v="1"/>
    <x v="1"/>
    <n v="22.29"/>
    <n v="19"/>
    <x v="3"/>
    <x v="4"/>
    <n v="17.989999999999998"/>
    <x v="0"/>
    <x v="4"/>
    <n v="1"/>
    <n v="1.1100000000000001"/>
    <x v="1"/>
  </r>
  <r>
    <s v="5673adfa-c739-4dbb-b371-fd1f3eaeb562"/>
    <n v="52"/>
    <x v="3"/>
    <x v="2"/>
    <x v="1"/>
    <n v="1.92"/>
    <n v="0"/>
    <x v="4"/>
    <x v="0"/>
    <n v="17.989999999999998"/>
    <x v="0"/>
    <x v="1"/>
    <n v="4"/>
    <n v="1.92"/>
    <x v="3"/>
  </r>
  <r>
    <s v="6bcde048-341c-45ac-98f5-4d14cb9833fb"/>
    <n v="53"/>
    <x v="3"/>
    <x v="0"/>
    <x v="1"/>
    <n v="10.75"/>
    <n v="48"/>
    <x v="2"/>
    <x v="2"/>
    <n v="17.989999999999998"/>
    <x v="0"/>
    <x v="3"/>
    <n v="4"/>
    <n v="0.22"/>
    <x v="6"/>
  </r>
  <r>
    <s v="d667d8ed-686c-4d78-b93e-ad2bab070d4a"/>
    <n v="46"/>
    <x v="3"/>
    <x v="0"/>
    <x v="2"/>
    <n v="5.62"/>
    <n v="58"/>
    <x v="1"/>
    <x v="2"/>
    <n v="8.99"/>
    <x v="1"/>
    <x v="3"/>
    <n v="4"/>
    <n v="0.1"/>
    <x v="5"/>
  </r>
  <r>
    <s v="d2538457-5b62-41a2-98c7-4b3b8e570a97"/>
    <n v="45"/>
    <x v="3"/>
    <x v="0"/>
    <x v="1"/>
    <n v="15.57"/>
    <n v="24"/>
    <x v="1"/>
    <x v="2"/>
    <n v="17.989999999999998"/>
    <x v="0"/>
    <x v="2"/>
    <n v="4"/>
    <n v="0.62"/>
    <x v="5"/>
  </r>
  <r>
    <s v="713434a0-cfc8-456f-b17e-2f35e330560f"/>
    <n v="46"/>
    <x v="3"/>
    <x v="1"/>
    <x v="0"/>
    <n v="20.57"/>
    <n v="43"/>
    <x v="0"/>
    <x v="2"/>
    <n v="13.99"/>
    <x v="0"/>
    <x v="2"/>
    <n v="3"/>
    <n v="0.47"/>
    <x v="0"/>
  </r>
  <r>
    <s v="45c38646-4908-4075-b81d-b90b507bdc9b"/>
    <n v="50"/>
    <x v="3"/>
    <x v="1"/>
    <x v="0"/>
    <n v="31.24"/>
    <n v="8"/>
    <x v="2"/>
    <x v="0"/>
    <n v="13.99"/>
    <x v="0"/>
    <x v="3"/>
    <n v="4"/>
    <n v="3.47"/>
    <x v="4"/>
  </r>
  <r>
    <s v="ccde27c7-ce46-4ad9-a8b4-8b2e100c2fa1"/>
    <n v="53"/>
    <x v="3"/>
    <x v="2"/>
    <x v="0"/>
    <n v="3.65"/>
    <n v="2"/>
    <x v="0"/>
    <x v="1"/>
    <n v="13.99"/>
    <x v="0"/>
    <x v="3"/>
    <n v="4"/>
    <n v="1.22"/>
    <x v="4"/>
  </r>
  <r>
    <s v="771523c2-478a-4251-bf5c-8a002d31b068"/>
    <n v="51"/>
    <x v="3"/>
    <x v="1"/>
    <x v="1"/>
    <n v="4.5199999999999996"/>
    <n v="59"/>
    <x v="4"/>
    <x v="0"/>
    <n v="17.989999999999998"/>
    <x v="1"/>
    <x v="0"/>
    <n v="3"/>
    <n v="0.08"/>
    <x v="1"/>
  </r>
  <r>
    <s v="f77b7449-0c29-440f-a2c0-67cd766eb69b"/>
    <n v="54"/>
    <x v="3"/>
    <x v="1"/>
    <x v="2"/>
    <n v="12.9"/>
    <n v="48"/>
    <x v="3"/>
    <x v="4"/>
    <n v="8.99"/>
    <x v="1"/>
    <x v="4"/>
    <n v="4"/>
    <n v="0.26"/>
    <x v="3"/>
  </r>
  <r>
    <s v="b444d608-a7ec-4a3d-b25b-e182bde9cdca"/>
    <n v="51"/>
    <x v="3"/>
    <x v="2"/>
    <x v="1"/>
    <n v="7.8"/>
    <n v="59"/>
    <x v="4"/>
    <x v="3"/>
    <n v="17.989999999999998"/>
    <x v="1"/>
    <x v="1"/>
    <n v="2"/>
    <n v="0.13"/>
    <x v="4"/>
  </r>
  <r>
    <s v="70c22bdb-e226-4a53-b2da-5f00c9873c5c"/>
    <n v="47"/>
    <x v="3"/>
    <x v="1"/>
    <x v="2"/>
    <n v="3.64"/>
    <n v="15"/>
    <x v="5"/>
    <x v="2"/>
    <n v="8.99"/>
    <x v="1"/>
    <x v="0"/>
    <n v="4"/>
    <n v="0.23"/>
    <x v="0"/>
  </r>
  <r>
    <s v="30b72525-6af0-428b-a8d9-7451d407f3b9"/>
    <n v="46"/>
    <x v="3"/>
    <x v="2"/>
    <x v="1"/>
    <n v="30.92"/>
    <n v="15"/>
    <x v="1"/>
    <x v="3"/>
    <n v="17.989999999999998"/>
    <x v="0"/>
    <x v="2"/>
    <n v="5"/>
    <n v="1.93"/>
    <x v="3"/>
  </r>
  <r>
    <s v="e76f0da1-9474-47af-a161-0d2f9a8fda76"/>
    <n v="48"/>
    <x v="3"/>
    <x v="1"/>
    <x v="2"/>
    <n v="17.72"/>
    <n v="22"/>
    <x v="3"/>
    <x v="2"/>
    <n v="8.99"/>
    <x v="0"/>
    <x v="0"/>
    <n v="3"/>
    <n v="0.77"/>
    <x v="1"/>
  </r>
  <r>
    <s v="ff13f6a1-44b1-4c92-b638-17f63606970b"/>
    <n v="46"/>
    <x v="3"/>
    <x v="1"/>
    <x v="1"/>
    <n v="1.76"/>
    <n v="28"/>
    <x v="5"/>
    <x v="3"/>
    <n v="17.989999999999998"/>
    <x v="0"/>
    <x v="2"/>
    <n v="4"/>
    <n v="0.06"/>
    <x v="5"/>
  </r>
  <r>
    <s v="6c9f98ff-4f0f-4639-85d0-5e401d743a4c"/>
    <n v="52"/>
    <x v="3"/>
    <x v="2"/>
    <x v="2"/>
    <n v="0.41"/>
    <n v="48"/>
    <x v="1"/>
    <x v="0"/>
    <n v="8.99"/>
    <x v="1"/>
    <x v="2"/>
    <n v="5"/>
    <n v="0.01"/>
    <x v="5"/>
  </r>
  <r>
    <s v="2f4ee00e-a84b-43e8-bb6d-64c48d0ce757"/>
    <n v="46"/>
    <x v="3"/>
    <x v="1"/>
    <x v="1"/>
    <n v="7.86"/>
    <n v="10"/>
    <x v="5"/>
    <x v="4"/>
    <n v="17.989999999999998"/>
    <x v="0"/>
    <x v="2"/>
    <n v="1"/>
    <n v="0.71"/>
    <x v="0"/>
  </r>
  <r>
    <s v="3d81d442-7bd1-472e-be6c-87d59a39d2d6"/>
    <n v="46"/>
    <x v="3"/>
    <x v="1"/>
    <x v="1"/>
    <n v="13.15"/>
    <n v="57"/>
    <x v="5"/>
    <x v="4"/>
    <n v="17.989999999999998"/>
    <x v="1"/>
    <x v="0"/>
    <n v="5"/>
    <n v="0.23"/>
    <x v="3"/>
  </r>
  <r>
    <s v="61e49860-703a-4a67-82ad-5749094f5dc2"/>
    <n v="53"/>
    <x v="3"/>
    <x v="0"/>
    <x v="1"/>
    <n v="2.89"/>
    <n v="22"/>
    <x v="2"/>
    <x v="2"/>
    <n v="17.989999999999998"/>
    <x v="0"/>
    <x v="3"/>
    <n v="5"/>
    <n v="0.13"/>
    <x v="5"/>
  </r>
  <r>
    <s v="20e2e96f-2ac5-4a36-9cfa-9d6738c4e1ee"/>
    <n v="54"/>
    <x v="3"/>
    <x v="1"/>
    <x v="0"/>
    <n v="5.57"/>
    <n v="53"/>
    <x v="1"/>
    <x v="0"/>
    <n v="13.99"/>
    <x v="1"/>
    <x v="0"/>
    <n v="5"/>
    <n v="0.1"/>
    <x v="5"/>
  </r>
  <r>
    <s v="d642d465-d3dc-4c44-89d0-a93e4cc2f65d"/>
    <n v="46"/>
    <x v="3"/>
    <x v="2"/>
    <x v="0"/>
    <n v="3.37"/>
    <n v="18"/>
    <x v="5"/>
    <x v="0"/>
    <n v="13.99"/>
    <x v="0"/>
    <x v="1"/>
    <n v="5"/>
    <n v="0.18"/>
    <x v="2"/>
  </r>
  <r>
    <s v="dfd1210c-8265-4142-b69e-e4cdb9258776"/>
    <n v="47"/>
    <x v="3"/>
    <x v="2"/>
    <x v="0"/>
    <n v="2.0099999999999998"/>
    <n v="5"/>
    <x v="4"/>
    <x v="1"/>
    <n v="13.99"/>
    <x v="0"/>
    <x v="2"/>
    <n v="2"/>
    <n v="0.33"/>
    <x v="5"/>
  </r>
  <r>
    <s v="ad681c74-e812-4922-a966-89fea4750cd4"/>
    <n v="47"/>
    <x v="3"/>
    <x v="2"/>
    <x v="2"/>
    <n v="6.54"/>
    <n v="55"/>
    <x v="3"/>
    <x v="2"/>
    <n v="8.99"/>
    <x v="1"/>
    <x v="3"/>
    <n v="2"/>
    <n v="0.12"/>
    <x v="1"/>
  </r>
  <r>
    <s v="b586e701-6744-4a21-a4c4-2a434139d2ed"/>
    <n v="47"/>
    <x v="3"/>
    <x v="1"/>
    <x v="0"/>
    <n v="10.82"/>
    <n v="51"/>
    <x v="1"/>
    <x v="2"/>
    <n v="13.99"/>
    <x v="1"/>
    <x v="2"/>
    <n v="2"/>
    <n v="0.21"/>
    <x v="1"/>
  </r>
  <r>
    <s v="2b17d2bf-926e-4ebf-a591-a9966eed3815"/>
    <n v="47"/>
    <x v="3"/>
    <x v="2"/>
    <x v="1"/>
    <n v="2.57"/>
    <n v="60"/>
    <x v="2"/>
    <x v="0"/>
    <n v="17.989999999999998"/>
    <x v="1"/>
    <x v="4"/>
    <n v="3"/>
    <n v="0.04"/>
    <x v="3"/>
  </r>
  <r>
    <s v="71231f4a-6054-4c64-8499-31766c837b61"/>
    <n v="51"/>
    <x v="3"/>
    <x v="0"/>
    <x v="1"/>
    <n v="8.34"/>
    <n v="32"/>
    <x v="0"/>
    <x v="0"/>
    <n v="17.989999999999998"/>
    <x v="1"/>
    <x v="0"/>
    <n v="2"/>
    <n v="0.25"/>
    <x v="4"/>
  </r>
  <r>
    <s v="acbe95b8-be8f-459a-b0e1-2e9f99755a77"/>
    <n v="48"/>
    <x v="3"/>
    <x v="2"/>
    <x v="0"/>
    <n v="20.69"/>
    <n v="43"/>
    <x v="3"/>
    <x v="1"/>
    <n v="13.99"/>
    <x v="0"/>
    <x v="2"/>
    <n v="2"/>
    <n v="0.47"/>
    <x v="3"/>
  </r>
  <r>
    <s v="31f8fd87-aea7-4f86-ac51-080bbd39c074"/>
    <n v="51"/>
    <x v="3"/>
    <x v="1"/>
    <x v="2"/>
    <n v="3.64"/>
    <n v="50"/>
    <x v="2"/>
    <x v="0"/>
    <n v="8.99"/>
    <x v="1"/>
    <x v="1"/>
    <n v="1"/>
    <n v="7.0000000000000007E-2"/>
    <x v="3"/>
  </r>
  <r>
    <s v="3bf8c2a4-b13f-4ce2-9532-440dfd0472a0"/>
    <n v="52"/>
    <x v="3"/>
    <x v="0"/>
    <x v="0"/>
    <n v="10.14"/>
    <n v="49"/>
    <x v="1"/>
    <x v="0"/>
    <n v="13.99"/>
    <x v="1"/>
    <x v="4"/>
    <n v="4"/>
    <n v="0.2"/>
    <x v="3"/>
  </r>
  <r>
    <s v="dc684b93-d819-40f9-8e0e-8419b6139db6"/>
    <n v="48"/>
    <x v="3"/>
    <x v="1"/>
    <x v="2"/>
    <n v="6.63"/>
    <n v="10"/>
    <x v="2"/>
    <x v="4"/>
    <n v="8.99"/>
    <x v="0"/>
    <x v="3"/>
    <n v="2"/>
    <n v="0.6"/>
    <x v="5"/>
  </r>
  <r>
    <s v="1b03740b-7608-4b96-a78e-b48bebde5337"/>
    <n v="53"/>
    <x v="3"/>
    <x v="2"/>
    <x v="2"/>
    <n v="3.37"/>
    <n v="54"/>
    <x v="2"/>
    <x v="3"/>
    <n v="8.99"/>
    <x v="1"/>
    <x v="3"/>
    <n v="5"/>
    <n v="0.06"/>
    <x v="1"/>
  </r>
  <r>
    <s v="b5f4e9de-96ed-44b6-9ce8-51d81ac90562"/>
    <n v="50"/>
    <x v="3"/>
    <x v="1"/>
    <x v="0"/>
    <n v="21.29"/>
    <n v="26"/>
    <x v="5"/>
    <x v="1"/>
    <n v="13.99"/>
    <x v="0"/>
    <x v="4"/>
    <n v="3"/>
    <n v="0.79"/>
    <x v="4"/>
  </r>
  <r>
    <s v="f4c785ec-5213-4d09-8dfd-af38ed4cc0b8"/>
    <n v="47"/>
    <x v="3"/>
    <x v="0"/>
    <x v="0"/>
    <n v="4.0999999999999996"/>
    <n v="52"/>
    <x v="2"/>
    <x v="1"/>
    <n v="13.99"/>
    <x v="1"/>
    <x v="1"/>
    <n v="1"/>
    <n v="0.08"/>
    <x v="0"/>
  </r>
  <r>
    <s v="cd4e8d09-810c-44a7-a053-37f8f77c0514"/>
    <n v="54"/>
    <x v="3"/>
    <x v="1"/>
    <x v="2"/>
    <n v="8.52"/>
    <n v="10"/>
    <x v="0"/>
    <x v="0"/>
    <n v="8.99"/>
    <x v="0"/>
    <x v="2"/>
    <n v="4"/>
    <n v="0.77"/>
    <x v="3"/>
  </r>
  <r>
    <s v="fa40f79b-8e48-448a-98b0-d9064c1b0115"/>
    <n v="48"/>
    <x v="3"/>
    <x v="1"/>
    <x v="1"/>
    <n v="18.21"/>
    <n v="35"/>
    <x v="0"/>
    <x v="1"/>
    <n v="17.989999999999998"/>
    <x v="0"/>
    <x v="4"/>
    <n v="2"/>
    <n v="0.51"/>
    <x v="6"/>
  </r>
  <r>
    <s v="df4ef614-eed1-4c6c-8472-b5bf8fe1e6ae"/>
    <n v="49"/>
    <x v="3"/>
    <x v="2"/>
    <x v="1"/>
    <n v="5.08"/>
    <n v="25"/>
    <x v="5"/>
    <x v="1"/>
    <n v="17.989999999999998"/>
    <x v="0"/>
    <x v="3"/>
    <n v="4"/>
    <n v="0.2"/>
    <x v="2"/>
  </r>
  <r>
    <s v="cff5d87d-e5d3-46a7-a439-b5d14d3aee6b"/>
    <n v="45"/>
    <x v="3"/>
    <x v="2"/>
    <x v="2"/>
    <n v="1.92"/>
    <n v="46"/>
    <x v="4"/>
    <x v="0"/>
    <n v="8.99"/>
    <x v="1"/>
    <x v="1"/>
    <n v="4"/>
    <n v="0.04"/>
    <x v="0"/>
  </r>
  <r>
    <s v="baaa1f32-4ba3-46ed-90ef-d74366522631"/>
    <n v="54"/>
    <x v="3"/>
    <x v="0"/>
    <x v="2"/>
    <n v="5.61"/>
    <n v="11"/>
    <x v="1"/>
    <x v="2"/>
    <n v="8.99"/>
    <x v="0"/>
    <x v="3"/>
    <n v="4"/>
    <n v="0.47"/>
    <x v="6"/>
  </r>
  <r>
    <s v="de1c3060-c7e2-4ddb-b67d-6c80b0cc9f9b"/>
    <n v="47"/>
    <x v="3"/>
    <x v="0"/>
    <x v="2"/>
    <n v="0.46"/>
    <n v="1"/>
    <x v="0"/>
    <x v="0"/>
    <n v="8.99"/>
    <x v="1"/>
    <x v="2"/>
    <n v="1"/>
    <n v="0.23"/>
    <x v="1"/>
  </r>
  <r>
    <s v="b1255159-1199-4d92-925d-2bd1d66f27a8"/>
    <n v="46"/>
    <x v="3"/>
    <x v="2"/>
    <x v="0"/>
    <n v="6.19"/>
    <n v="60"/>
    <x v="1"/>
    <x v="1"/>
    <n v="13.99"/>
    <x v="1"/>
    <x v="4"/>
    <n v="3"/>
    <n v="0.1"/>
    <x v="2"/>
  </r>
  <r>
    <s v="e68dd843-5ad0-4f96-a114-fecf95b5f4d6"/>
    <n v="47"/>
    <x v="3"/>
    <x v="1"/>
    <x v="1"/>
    <n v="1.03"/>
    <n v="38"/>
    <x v="4"/>
    <x v="4"/>
    <n v="17.989999999999998"/>
    <x v="1"/>
    <x v="0"/>
    <n v="5"/>
    <n v="0.03"/>
    <x v="1"/>
  </r>
  <r>
    <s v="48f3d126-2b72-47ce-a88c-125dbfcea2f6"/>
    <n v="53"/>
    <x v="3"/>
    <x v="0"/>
    <x v="0"/>
    <n v="5.54"/>
    <n v="40"/>
    <x v="2"/>
    <x v="2"/>
    <n v="13.99"/>
    <x v="1"/>
    <x v="0"/>
    <n v="3"/>
    <n v="0.14000000000000001"/>
    <x v="2"/>
  </r>
  <r>
    <s v="6a551fc0-60a5-483f-a823-de6ecf0ed3fc"/>
    <n v="50"/>
    <x v="3"/>
    <x v="0"/>
    <x v="2"/>
    <n v="11.25"/>
    <n v="13"/>
    <x v="0"/>
    <x v="0"/>
    <n v="8.99"/>
    <x v="0"/>
    <x v="0"/>
    <n v="4"/>
    <n v="0.8"/>
    <x v="6"/>
  </r>
  <r>
    <s v="f0d16cce-516b-4b52-b541-146fa115d382"/>
    <n v="47"/>
    <x v="3"/>
    <x v="1"/>
    <x v="0"/>
    <n v="6.85"/>
    <n v="2"/>
    <x v="4"/>
    <x v="2"/>
    <n v="13.99"/>
    <x v="0"/>
    <x v="4"/>
    <n v="3"/>
    <n v="2.2799999999999998"/>
    <x v="4"/>
  </r>
  <r>
    <s v="5ae85ada-ce4a-4e43-9055-cba17bc8e5e9"/>
    <n v="53"/>
    <x v="3"/>
    <x v="0"/>
    <x v="1"/>
    <n v="5.65"/>
    <n v="24"/>
    <x v="0"/>
    <x v="4"/>
    <n v="17.989999999999998"/>
    <x v="0"/>
    <x v="2"/>
    <n v="2"/>
    <n v="0.23"/>
    <x v="6"/>
  </r>
  <r>
    <s v="0e194852-0ef1-49eb-ace7-3995062e3482"/>
    <n v="53"/>
    <x v="3"/>
    <x v="0"/>
    <x v="2"/>
    <n v="2.6"/>
    <n v="46"/>
    <x v="1"/>
    <x v="3"/>
    <n v="8.99"/>
    <x v="1"/>
    <x v="4"/>
    <n v="5"/>
    <n v="0.06"/>
    <x v="6"/>
  </r>
  <r>
    <s v="3ef7aba6-d2db-4bf8-9700-8eaa5f286afe"/>
    <n v="50"/>
    <x v="3"/>
    <x v="1"/>
    <x v="2"/>
    <n v="8.9700000000000006"/>
    <n v="56"/>
    <x v="0"/>
    <x v="1"/>
    <n v="8.99"/>
    <x v="1"/>
    <x v="2"/>
    <n v="4"/>
    <n v="0.16"/>
    <x v="1"/>
  </r>
  <r>
    <s v="ac6e7c60-12d5-49f7-927e-a32412e81b93"/>
    <n v="52"/>
    <x v="3"/>
    <x v="1"/>
    <x v="2"/>
    <n v="8.9"/>
    <n v="23"/>
    <x v="0"/>
    <x v="2"/>
    <n v="8.99"/>
    <x v="1"/>
    <x v="3"/>
    <n v="1"/>
    <n v="0.37"/>
    <x v="1"/>
  </r>
  <r>
    <s v="c0687495-cb7e-4949-b63f-9532608d32f6"/>
    <n v="46"/>
    <x v="3"/>
    <x v="2"/>
    <x v="2"/>
    <n v="9.09"/>
    <n v="60"/>
    <x v="2"/>
    <x v="3"/>
    <n v="8.99"/>
    <x v="1"/>
    <x v="4"/>
    <n v="1"/>
    <n v="0.15"/>
    <x v="3"/>
  </r>
  <r>
    <s v="24fae6e6-0303-46ef-835f-1123d6500129"/>
    <n v="45"/>
    <x v="3"/>
    <x v="0"/>
    <x v="1"/>
    <n v="3.45"/>
    <n v="44"/>
    <x v="2"/>
    <x v="4"/>
    <n v="17.989999999999998"/>
    <x v="1"/>
    <x v="0"/>
    <n v="3"/>
    <n v="0.08"/>
    <x v="3"/>
  </r>
  <r>
    <s v="c19ffda9-ff61-4dcc-83a6-1c12abf91b0f"/>
    <n v="54"/>
    <x v="3"/>
    <x v="0"/>
    <x v="0"/>
    <n v="10.91"/>
    <n v="37"/>
    <x v="2"/>
    <x v="4"/>
    <n v="13.99"/>
    <x v="0"/>
    <x v="3"/>
    <n v="5"/>
    <n v="0.28999999999999998"/>
    <x v="5"/>
  </r>
  <r>
    <s v="bc6d4f0a-746b-4b43-b1a9-9a39dac02d85"/>
    <n v="52"/>
    <x v="3"/>
    <x v="1"/>
    <x v="2"/>
    <n v="10.08"/>
    <n v="46"/>
    <x v="5"/>
    <x v="1"/>
    <n v="8.99"/>
    <x v="1"/>
    <x v="0"/>
    <n v="5"/>
    <n v="0.21"/>
    <x v="6"/>
  </r>
  <r>
    <s v="2eb3cff4-1b23-4d37-a3dd-71e3a5a0e463"/>
    <n v="52"/>
    <x v="3"/>
    <x v="1"/>
    <x v="2"/>
    <n v="8.4499999999999993"/>
    <n v="58"/>
    <x v="5"/>
    <x v="0"/>
    <n v="8.99"/>
    <x v="1"/>
    <x v="3"/>
    <n v="3"/>
    <n v="0.14000000000000001"/>
    <x v="5"/>
  </r>
  <r>
    <s v="ded64a9a-2e56-4024-8a7e-81dc3e63e121"/>
    <n v="51"/>
    <x v="3"/>
    <x v="1"/>
    <x v="0"/>
    <n v="2.68"/>
    <n v="48"/>
    <x v="0"/>
    <x v="1"/>
    <n v="13.99"/>
    <x v="1"/>
    <x v="0"/>
    <n v="3"/>
    <n v="0.05"/>
    <x v="1"/>
  </r>
  <r>
    <s v="fe46b178-30b3-46cf-be44-cac1f583f76c"/>
    <n v="52"/>
    <x v="3"/>
    <x v="0"/>
    <x v="2"/>
    <n v="20.8"/>
    <n v="33"/>
    <x v="1"/>
    <x v="0"/>
    <n v="8.99"/>
    <x v="0"/>
    <x v="2"/>
    <n v="2"/>
    <n v="0.61"/>
    <x v="4"/>
  </r>
  <r>
    <s v="5eb87ccc-7ce2-4502-b08e-4329d8b2b0ab"/>
    <n v="52"/>
    <x v="3"/>
    <x v="2"/>
    <x v="0"/>
    <n v="11.84"/>
    <n v="36"/>
    <x v="1"/>
    <x v="4"/>
    <n v="13.99"/>
    <x v="0"/>
    <x v="2"/>
    <n v="4"/>
    <n v="0.32"/>
    <x v="2"/>
  </r>
  <r>
    <s v="9659348b-2121-44af-ba88-7d3c1e7f84a7"/>
    <n v="45"/>
    <x v="3"/>
    <x v="2"/>
    <x v="2"/>
    <n v="3.05"/>
    <n v="59"/>
    <x v="4"/>
    <x v="4"/>
    <n v="8.99"/>
    <x v="1"/>
    <x v="2"/>
    <n v="1"/>
    <n v="0.05"/>
    <x v="3"/>
  </r>
  <r>
    <s v="a16386a4-1670-4f10-828f-3ac3c2b798b5"/>
    <n v="51"/>
    <x v="3"/>
    <x v="2"/>
    <x v="0"/>
    <n v="5.54"/>
    <n v="26"/>
    <x v="5"/>
    <x v="4"/>
    <n v="13.99"/>
    <x v="0"/>
    <x v="1"/>
    <n v="4"/>
    <n v="0.21"/>
    <x v="5"/>
  </r>
  <r>
    <s v="59c7d7a5-6a3b-4790-9380-f763a497e0fa"/>
    <n v="47"/>
    <x v="3"/>
    <x v="1"/>
    <x v="2"/>
    <n v="8.3699999999999992"/>
    <n v="27"/>
    <x v="1"/>
    <x v="4"/>
    <n v="8.99"/>
    <x v="0"/>
    <x v="4"/>
    <n v="5"/>
    <n v="0.3"/>
    <x v="1"/>
  </r>
  <r>
    <s v="654257bf-3f17-4ffd-8a54-3410e94a9954"/>
    <n v="51"/>
    <x v="3"/>
    <x v="2"/>
    <x v="0"/>
    <n v="18.53"/>
    <n v="30"/>
    <x v="5"/>
    <x v="0"/>
    <n v="13.99"/>
    <x v="0"/>
    <x v="2"/>
    <n v="3"/>
    <n v="0.6"/>
    <x v="0"/>
  </r>
  <r>
    <s v="21205edc-2ffb-4dce-b6a4-13ad8a8450bf"/>
    <n v="53"/>
    <x v="3"/>
    <x v="0"/>
    <x v="0"/>
    <n v="1.72"/>
    <n v="19"/>
    <x v="0"/>
    <x v="0"/>
    <n v="13.99"/>
    <x v="1"/>
    <x v="2"/>
    <n v="1"/>
    <n v="0.09"/>
    <x v="2"/>
  </r>
  <r>
    <s v="7d2d65f3-ed1f-4425-a325-8f8e43594e69"/>
    <n v="50"/>
    <x v="3"/>
    <x v="0"/>
    <x v="0"/>
    <n v="8.43"/>
    <n v="16"/>
    <x v="1"/>
    <x v="0"/>
    <n v="13.99"/>
    <x v="0"/>
    <x v="3"/>
    <n v="3"/>
    <n v="0.5"/>
    <x v="5"/>
  </r>
  <r>
    <s v="9c2bece6-8c3e-409b-bf83-40e0508a45cc"/>
    <n v="47"/>
    <x v="3"/>
    <x v="2"/>
    <x v="1"/>
    <n v="9.82"/>
    <n v="55"/>
    <x v="4"/>
    <x v="2"/>
    <n v="17.989999999999998"/>
    <x v="0"/>
    <x v="1"/>
    <n v="5"/>
    <n v="0.18"/>
    <x v="0"/>
  </r>
  <r>
    <s v="d72a2ac1-389d-4500-8f2a-65253fd4ebc3"/>
    <n v="52"/>
    <x v="3"/>
    <x v="2"/>
    <x v="0"/>
    <n v="17.260000000000002"/>
    <n v="58"/>
    <x v="4"/>
    <x v="2"/>
    <n v="13.99"/>
    <x v="1"/>
    <x v="0"/>
    <n v="4"/>
    <n v="0.28999999999999998"/>
    <x v="1"/>
  </r>
  <r>
    <s v="5ad14c26-01d1-47d0-97d0-c57fe72f84ee"/>
    <n v="49"/>
    <x v="3"/>
    <x v="0"/>
    <x v="0"/>
    <n v="11.88"/>
    <n v="41"/>
    <x v="0"/>
    <x v="3"/>
    <n v="13.99"/>
    <x v="0"/>
    <x v="2"/>
    <n v="4"/>
    <n v="0.28000000000000003"/>
    <x v="2"/>
  </r>
  <r>
    <s v="b98db897-f857-4c18-ba27-c667b30c0dfe"/>
    <n v="47"/>
    <x v="3"/>
    <x v="0"/>
    <x v="0"/>
    <n v="0.55000000000000004"/>
    <n v="40"/>
    <x v="0"/>
    <x v="0"/>
    <n v="13.99"/>
    <x v="1"/>
    <x v="3"/>
    <n v="3"/>
    <n v="0.01"/>
    <x v="2"/>
  </r>
  <r>
    <s v="8a229d09-04c2-4922-8645-c46ee272ebd2"/>
    <n v="47"/>
    <x v="3"/>
    <x v="0"/>
    <x v="2"/>
    <n v="4.6900000000000004"/>
    <n v="46"/>
    <x v="1"/>
    <x v="1"/>
    <n v="8.99"/>
    <x v="1"/>
    <x v="0"/>
    <n v="2"/>
    <n v="0.1"/>
    <x v="6"/>
  </r>
  <r>
    <s v="7d6f9c3e-50e3-4059-b5d0-bbc9fcbd3910"/>
    <n v="45"/>
    <x v="3"/>
    <x v="1"/>
    <x v="0"/>
    <n v="26.82"/>
    <n v="41"/>
    <x v="5"/>
    <x v="2"/>
    <n v="13.99"/>
    <x v="0"/>
    <x v="2"/>
    <n v="5"/>
    <n v="0.64"/>
    <x v="4"/>
  </r>
  <r>
    <s v="3b478fcf-d4a2-4c33-b050-0b45af3c0679"/>
    <n v="48"/>
    <x v="3"/>
    <x v="2"/>
    <x v="2"/>
    <n v="0.31"/>
    <n v="37"/>
    <x v="0"/>
    <x v="2"/>
    <n v="8.99"/>
    <x v="1"/>
    <x v="0"/>
    <n v="2"/>
    <n v="0.01"/>
    <x v="3"/>
  </r>
  <r>
    <s v="2cc87dcd-7955-4ec0-b520-000d68d18181"/>
    <n v="48"/>
    <x v="3"/>
    <x v="2"/>
    <x v="2"/>
    <n v="34.5"/>
    <n v="42"/>
    <x v="4"/>
    <x v="2"/>
    <n v="8.99"/>
    <x v="0"/>
    <x v="4"/>
    <n v="5"/>
    <n v="0.8"/>
    <x v="5"/>
  </r>
  <r>
    <s v="2b8002e0-b5f8-48f3-89d2-e7690e565274"/>
    <n v="45"/>
    <x v="3"/>
    <x v="2"/>
    <x v="2"/>
    <n v="9.31"/>
    <n v="51"/>
    <x v="3"/>
    <x v="4"/>
    <n v="8.99"/>
    <x v="1"/>
    <x v="3"/>
    <n v="2"/>
    <n v="0.18"/>
    <x v="4"/>
  </r>
  <r>
    <s v="8b0943cb-2fd8-4ef7-9255-13bf11e0932d"/>
    <n v="54"/>
    <x v="3"/>
    <x v="0"/>
    <x v="1"/>
    <n v="11.6"/>
    <n v="33"/>
    <x v="3"/>
    <x v="0"/>
    <n v="17.989999999999998"/>
    <x v="1"/>
    <x v="4"/>
    <n v="4"/>
    <n v="0.34"/>
    <x v="2"/>
  </r>
  <r>
    <s v="9d8fb170-2207-4356-9a79-049a27db6af1"/>
    <n v="47"/>
    <x v="3"/>
    <x v="1"/>
    <x v="0"/>
    <n v="3.5"/>
    <n v="32"/>
    <x v="1"/>
    <x v="4"/>
    <n v="13.99"/>
    <x v="1"/>
    <x v="0"/>
    <n v="1"/>
    <n v="0.11"/>
    <x v="6"/>
  </r>
  <r>
    <s v="ec2ed7b8-5675-4d32-b413-406ef8f75e89"/>
    <n v="54"/>
    <x v="3"/>
    <x v="1"/>
    <x v="0"/>
    <n v="2.79"/>
    <n v="1"/>
    <x v="2"/>
    <x v="0"/>
    <n v="13.99"/>
    <x v="0"/>
    <x v="2"/>
    <n v="1"/>
    <n v="1.4"/>
    <x v="3"/>
  </r>
  <r>
    <s v="b7d06409-49ad-4e7a-9c82-12205a0a36b2"/>
    <n v="50"/>
    <x v="3"/>
    <x v="2"/>
    <x v="0"/>
    <n v="30.53"/>
    <n v="31"/>
    <x v="4"/>
    <x v="3"/>
    <n v="13.99"/>
    <x v="0"/>
    <x v="4"/>
    <n v="5"/>
    <n v="0.95"/>
    <x v="3"/>
  </r>
  <r>
    <s v="259e4b86-1544-4c6b-a093-d429692cdf4d"/>
    <n v="54"/>
    <x v="3"/>
    <x v="2"/>
    <x v="1"/>
    <n v="6.26"/>
    <n v="51"/>
    <x v="2"/>
    <x v="3"/>
    <n v="17.989999999999998"/>
    <x v="1"/>
    <x v="4"/>
    <n v="3"/>
    <n v="0.12"/>
    <x v="2"/>
  </r>
  <r>
    <s v="8036cdac-84b1-4b10-abd3-f32109c28d1e"/>
    <n v="45"/>
    <x v="3"/>
    <x v="1"/>
    <x v="2"/>
    <n v="6.87"/>
    <n v="11"/>
    <x v="1"/>
    <x v="1"/>
    <n v="8.99"/>
    <x v="0"/>
    <x v="1"/>
    <n v="3"/>
    <n v="0.56999999999999995"/>
    <x v="0"/>
  </r>
  <r>
    <s v="6242664e-528e-49c3-bd6d-d0449f66cc35"/>
    <n v="50"/>
    <x v="3"/>
    <x v="1"/>
    <x v="0"/>
    <n v="7.54"/>
    <n v="18"/>
    <x v="2"/>
    <x v="3"/>
    <n v="13.99"/>
    <x v="0"/>
    <x v="2"/>
    <n v="4"/>
    <n v="0.4"/>
    <x v="3"/>
  </r>
  <r>
    <s v="a92e0986-aa29-4342-a381-38b070a25697"/>
    <n v="50"/>
    <x v="3"/>
    <x v="1"/>
    <x v="2"/>
    <n v="18.87"/>
    <n v="28"/>
    <x v="5"/>
    <x v="2"/>
    <n v="8.99"/>
    <x v="0"/>
    <x v="0"/>
    <n v="4"/>
    <n v="0.65"/>
    <x v="3"/>
  </r>
  <r>
    <s v="2858e12c-4b07-4c7d-98d7-1c54f6e93ae1"/>
    <n v="48"/>
    <x v="3"/>
    <x v="2"/>
    <x v="2"/>
    <n v="3.88"/>
    <n v="17"/>
    <x v="2"/>
    <x v="2"/>
    <n v="8.99"/>
    <x v="1"/>
    <x v="1"/>
    <n v="1"/>
    <n v="0.22"/>
    <x v="3"/>
  </r>
  <r>
    <s v="af8f5153-7336-4fda-9255-900c86922fef"/>
    <n v="51"/>
    <x v="3"/>
    <x v="1"/>
    <x v="2"/>
    <n v="1.5"/>
    <n v="34"/>
    <x v="2"/>
    <x v="0"/>
    <n v="8.99"/>
    <x v="1"/>
    <x v="0"/>
    <n v="2"/>
    <n v="0.04"/>
    <x v="5"/>
  </r>
  <r>
    <s v="7d3a7eb0-43dc-437f-acb9-23282ba7030d"/>
    <n v="51"/>
    <x v="3"/>
    <x v="0"/>
    <x v="2"/>
    <n v="7.61"/>
    <n v="23"/>
    <x v="2"/>
    <x v="4"/>
    <n v="8.99"/>
    <x v="1"/>
    <x v="4"/>
    <n v="3"/>
    <n v="0.32"/>
    <x v="1"/>
  </r>
  <r>
    <s v="0473d552-6b1f-403d-82f0-df9246e4da81"/>
    <n v="48"/>
    <x v="3"/>
    <x v="2"/>
    <x v="2"/>
    <n v="7.52"/>
    <n v="48"/>
    <x v="0"/>
    <x v="3"/>
    <n v="8.99"/>
    <x v="1"/>
    <x v="1"/>
    <n v="3"/>
    <n v="0.15"/>
    <x v="4"/>
  </r>
  <r>
    <s v="cbd69447-6141-4d27-80e4-3d24b6720c99"/>
    <n v="51"/>
    <x v="3"/>
    <x v="1"/>
    <x v="1"/>
    <n v="1.37"/>
    <n v="60"/>
    <x v="2"/>
    <x v="4"/>
    <n v="17.989999999999998"/>
    <x v="1"/>
    <x v="3"/>
    <n v="4"/>
    <n v="0.02"/>
    <x v="3"/>
  </r>
  <r>
    <s v="651b3e7c-1854-42e0-9a77-5764c9372d8c"/>
    <n v="52"/>
    <x v="3"/>
    <x v="1"/>
    <x v="2"/>
    <n v="9.57"/>
    <n v="25"/>
    <x v="2"/>
    <x v="0"/>
    <n v="8.99"/>
    <x v="0"/>
    <x v="1"/>
    <n v="5"/>
    <n v="0.37"/>
    <x v="2"/>
  </r>
  <r>
    <s v="4a96d981-4507-4e47-816a-6b5cf721875f"/>
    <n v="46"/>
    <x v="3"/>
    <x v="2"/>
    <x v="2"/>
    <n v="13.33"/>
    <n v="34"/>
    <x v="0"/>
    <x v="1"/>
    <n v="8.99"/>
    <x v="1"/>
    <x v="2"/>
    <n v="2"/>
    <n v="0.38"/>
    <x v="6"/>
  </r>
  <r>
    <s v="02ec2522-2ad3-47c8-862a-0ecbcd44d536"/>
    <n v="53"/>
    <x v="3"/>
    <x v="0"/>
    <x v="2"/>
    <n v="7.84"/>
    <n v="0"/>
    <x v="4"/>
    <x v="2"/>
    <n v="8.99"/>
    <x v="0"/>
    <x v="4"/>
    <n v="3"/>
    <n v="7.84"/>
    <x v="3"/>
  </r>
  <r>
    <s v="e401cb19-1807-4c06-99bc-0cc66b195884"/>
    <n v="53"/>
    <x v="3"/>
    <x v="1"/>
    <x v="0"/>
    <n v="7.16"/>
    <n v="33"/>
    <x v="0"/>
    <x v="1"/>
    <n v="13.99"/>
    <x v="1"/>
    <x v="1"/>
    <n v="1"/>
    <n v="0.21"/>
    <x v="0"/>
  </r>
  <r>
    <s v="0e38ffca-1f73-4b0d-82c2-e19a2035bab1"/>
    <n v="46"/>
    <x v="3"/>
    <x v="1"/>
    <x v="1"/>
    <n v="8.98"/>
    <n v="13"/>
    <x v="3"/>
    <x v="3"/>
    <n v="17.989999999999998"/>
    <x v="0"/>
    <x v="4"/>
    <n v="5"/>
    <n v="0.64"/>
    <x v="4"/>
  </r>
  <r>
    <s v="c50b4664-7e7c-4c68-8615-0dd35ce09233"/>
    <n v="51"/>
    <x v="3"/>
    <x v="0"/>
    <x v="2"/>
    <n v="12.86"/>
    <n v="32"/>
    <x v="3"/>
    <x v="1"/>
    <n v="8.99"/>
    <x v="1"/>
    <x v="3"/>
    <n v="5"/>
    <n v="0.39"/>
    <x v="3"/>
  </r>
  <r>
    <s v="de6ffcd0-4344-4bc7-9f81-0a47b718b1c6"/>
    <n v="48"/>
    <x v="3"/>
    <x v="0"/>
    <x v="0"/>
    <n v="0.81"/>
    <n v="54"/>
    <x v="4"/>
    <x v="2"/>
    <n v="13.99"/>
    <x v="1"/>
    <x v="2"/>
    <n v="1"/>
    <n v="0.01"/>
    <x v="3"/>
  </r>
  <r>
    <s v="ba736959-f583-4739-8968-0290afa029e6"/>
    <n v="49"/>
    <x v="3"/>
    <x v="2"/>
    <x v="2"/>
    <n v="4.1100000000000003"/>
    <n v="3"/>
    <x v="5"/>
    <x v="2"/>
    <n v="8.99"/>
    <x v="1"/>
    <x v="0"/>
    <n v="3"/>
    <n v="1.03"/>
    <x v="3"/>
  </r>
  <r>
    <s v="16e5f52c-b9a9-4682-bd78-bab672de433f"/>
    <n v="48"/>
    <x v="3"/>
    <x v="2"/>
    <x v="2"/>
    <n v="2.12"/>
    <n v="52"/>
    <x v="4"/>
    <x v="1"/>
    <n v="8.99"/>
    <x v="1"/>
    <x v="0"/>
    <n v="5"/>
    <n v="0.04"/>
    <x v="5"/>
  </r>
  <r>
    <s v="c7e024a2-a7b1-42de-9ec8-2eface7a42ea"/>
    <n v="54"/>
    <x v="3"/>
    <x v="2"/>
    <x v="0"/>
    <n v="13.51"/>
    <n v="26"/>
    <x v="0"/>
    <x v="4"/>
    <n v="13.99"/>
    <x v="0"/>
    <x v="3"/>
    <n v="4"/>
    <n v="0.5"/>
    <x v="2"/>
  </r>
  <r>
    <s v="581e6697-714a-4270-a0ee-fa3f59b0af0c"/>
    <n v="46"/>
    <x v="3"/>
    <x v="0"/>
    <x v="0"/>
    <n v="3.07"/>
    <n v="51"/>
    <x v="1"/>
    <x v="4"/>
    <n v="13.99"/>
    <x v="1"/>
    <x v="0"/>
    <n v="2"/>
    <n v="0.06"/>
    <x v="5"/>
  </r>
  <r>
    <s v="803ceff0-36a0-4703-bf52-cad1d975542f"/>
    <n v="53"/>
    <x v="3"/>
    <x v="2"/>
    <x v="2"/>
    <n v="0.09"/>
    <n v="18"/>
    <x v="3"/>
    <x v="2"/>
    <n v="8.99"/>
    <x v="1"/>
    <x v="3"/>
    <n v="3"/>
    <n v="0"/>
    <x v="1"/>
  </r>
  <r>
    <s v="0a66cb6f-a8c4-44db-bce7-81a5c9e5e968"/>
    <n v="54"/>
    <x v="3"/>
    <x v="0"/>
    <x v="1"/>
    <n v="1.42"/>
    <n v="59"/>
    <x v="2"/>
    <x v="1"/>
    <n v="17.989999999999998"/>
    <x v="1"/>
    <x v="2"/>
    <n v="5"/>
    <n v="0.02"/>
    <x v="5"/>
  </r>
  <r>
    <s v="7bab1710-b049-40ab-a51a-d4b81eb796ca"/>
    <n v="50"/>
    <x v="3"/>
    <x v="0"/>
    <x v="0"/>
    <n v="16.829999999999998"/>
    <n v="11"/>
    <x v="2"/>
    <x v="4"/>
    <n v="13.99"/>
    <x v="0"/>
    <x v="2"/>
    <n v="2"/>
    <n v="1.4"/>
    <x v="5"/>
  </r>
  <r>
    <s v="5dd87c4e-29ae-4eb3-af0c-170f76727f27"/>
    <n v="54"/>
    <x v="3"/>
    <x v="0"/>
    <x v="2"/>
    <n v="39.11"/>
    <n v="53"/>
    <x v="2"/>
    <x v="1"/>
    <n v="8.99"/>
    <x v="0"/>
    <x v="4"/>
    <n v="3"/>
    <n v="0.72"/>
    <x v="2"/>
  </r>
  <r>
    <s v="593f585f-8c2e-4301-8d4f-9a5072b0521a"/>
    <n v="54"/>
    <x v="3"/>
    <x v="2"/>
    <x v="1"/>
    <n v="12.02"/>
    <n v="58"/>
    <x v="1"/>
    <x v="4"/>
    <n v="17.989999999999998"/>
    <x v="1"/>
    <x v="1"/>
    <n v="3"/>
    <n v="0.2"/>
    <x v="5"/>
  </r>
  <r>
    <s v="0ff5f6d7-dc9b-46c0-b3d3-1a613b6f40dc"/>
    <n v="46"/>
    <x v="3"/>
    <x v="2"/>
    <x v="0"/>
    <n v="19.739999999999998"/>
    <n v="2"/>
    <x v="4"/>
    <x v="3"/>
    <n v="13.99"/>
    <x v="0"/>
    <x v="2"/>
    <n v="4"/>
    <n v="6.58"/>
    <x v="5"/>
  </r>
  <r>
    <s v="f8c37904-7754-4f4f-a0a6-6c300f52d1b9"/>
    <n v="51"/>
    <x v="3"/>
    <x v="1"/>
    <x v="0"/>
    <n v="1.1200000000000001"/>
    <n v="34"/>
    <x v="3"/>
    <x v="1"/>
    <n v="13.99"/>
    <x v="1"/>
    <x v="4"/>
    <n v="1"/>
    <n v="0.03"/>
    <x v="5"/>
  </r>
  <r>
    <s v="58ded57a-ec90-49e9-963f-dfea5dc82a15"/>
    <n v="46"/>
    <x v="3"/>
    <x v="2"/>
    <x v="2"/>
    <n v="11.72"/>
    <n v="23"/>
    <x v="1"/>
    <x v="0"/>
    <n v="8.99"/>
    <x v="0"/>
    <x v="0"/>
    <n v="4"/>
    <n v="0.49"/>
    <x v="0"/>
  </r>
  <r>
    <s v="0bc417ee-3f71-4373-a8cc-331b1aa4a350"/>
    <n v="48"/>
    <x v="3"/>
    <x v="1"/>
    <x v="2"/>
    <n v="1.61"/>
    <n v="41"/>
    <x v="3"/>
    <x v="1"/>
    <n v="8.99"/>
    <x v="1"/>
    <x v="2"/>
    <n v="2"/>
    <n v="0.04"/>
    <x v="0"/>
  </r>
  <r>
    <s v="de4b41a5-0849-4e62-8e1a-8a8402d632bc"/>
    <n v="52"/>
    <x v="3"/>
    <x v="1"/>
    <x v="1"/>
    <n v="7.17"/>
    <n v="48"/>
    <x v="5"/>
    <x v="3"/>
    <n v="17.989999999999998"/>
    <x v="1"/>
    <x v="2"/>
    <n v="3"/>
    <n v="0.15"/>
    <x v="1"/>
  </r>
  <r>
    <s v="2def8921-9bc9-4018-94e5-e01583cb4a8a"/>
    <n v="45"/>
    <x v="3"/>
    <x v="0"/>
    <x v="2"/>
    <n v="5.12"/>
    <n v="25"/>
    <x v="5"/>
    <x v="0"/>
    <n v="8.99"/>
    <x v="0"/>
    <x v="0"/>
    <n v="5"/>
    <n v="0.2"/>
    <x v="2"/>
  </r>
  <r>
    <s v="9c36838f-6eaf-4bb4-9024-1e2b376b94ab"/>
    <n v="45"/>
    <x v="3"/>
    <x v="0"/>
    <x v="1"/>
    <n v="32.96"/>
    <n v="50"/>
    <x v="5"/>
    <x v="4"/>
    <n v="17.989999999999998"/>
    <x v="0"/>
    <x v="1"/>
    <n v="5"/>
    <n v="0.65"/>
    <x v="4"/>
  </r>
  <r>
    <s v="d1eea60c-8922-461e-97b9-7c8c3634e4a8"/>
    <n v="46"/>
    <x v="3"/>
    <x v="2"/>
    <x v="1"/>
    <n v="14.63"/>
    <n v="0"/>
    <x v="5"/>
    <x v="2"/>
    <n v="17.989999999999998"/>
    <x v="0"/>
    <x v="3"/>
    <n v="2"/>
    <n v="14.63"/>
    <x v="5"/>
  </r>
  <r>
    <s v="6065d8f7-08e7-421c-ab2c-0f3401c1007e"/>
    <n v="54"/>
    <x v="3"/>
    <x v="2"/>
    <x v="1"/>
    <n v="4.8099999999999996"/>
    <n v="27"/>
    <x v="4"/>
    <x v="0"/>
    <n v="17.989999999999998"/>
    <x v="1"/>
    <x v="1"/>
    <n v="3"/>
    <n v="0.17"/>
    <x v="5"/>
  </r>
  <r>
    <s v="46849fbb-5a52-4e73-bb8f-ae01b6fb599c"/>
    <n v="45"/>
    <x v="3"/>
    <x v="0"/>
    <x v="0"/>
    <n v="21.09"/>
    <n v="4"/>
    <x v="3"/>
    <x v="4"/>
    <n v="13.99"/>
    <x v="0"/>
    <x v="4"/>
    <n v="5"/>
    <n v="4.22"/>
    <x v="4"/>
  </r>
  <r>
    <s v="4b3a58cf-f92e-40ab-bfe3-9203f6b813ea"/>
    <n v="53"/>
    <x v="3"/>
    <x v="0"/>
    <x v="0"/>
    <n v="2.23"/>
    <n v="22"/>
    <x v="1"/>
    <x v="3"/>
    <n v="13.99"/>
    <x v="1"/>
    <x v="2"/>
    <n v="2"/>
    <n v="0.1"/>
    <x v="4"/>
  </r>
  <r>
    <s v="7e08b75e-d8c2-4370-917d-99e19d660ed3"/>
    <n v="52"/>
    <x v="3"/>
    <x v="1"/>
    <x v="2"/>
    <n v="4.08"/>
    <n v="37"/>
    <x v="3"/>
    <x v="3"/>
    <n v="8.99"/>
    <x v="1"/>
    <x v="3"/>
    <n v="4"/>
    <n v="0.11"/>
    <x v="4"/>
  </r>
  <r>
    <s v="ad1386aa-c4a6-4fef-ac7d-8d017bc1834d"/>
    <n v="46"/>
    <x v="3"/>
    <x v="1"/>
    <x v="0"/>
    <n v="7.14"/>
    <n v="23"/>
    <x v="5"/>
    <x v="0"/>
    <n v="13.99"/>
    <x v="0"/>
    <x v="0"/>
    <n v="5"/>
    <n v="0.3"/>
    <x v="6"/>
  </r>
  <r>
    <s v="b0e1e6b6-595d-40f5-9190-bda8ffaf670c"/>
    <n v="49"/>
    <x v="3"/>
    <x v="0"/>
    <x v="0"/>
    <n v="4.38"/>
    <n v="43"/>
    <x v="1"/>
    <x v="0"/>
    <n v="13.99"/>
    <x v="1"/>
    <x v="1"/>
    <n v="3"/>
    <n v="0.1"/>
    <x v="4"/>
  </r>
  <r>
    <s v="35687a5e-84aa-4fd3-8a35-6d2c4ede909e"/>
    <n v="46"/>
    <x v="3"/>
    <x v="0"/>
    <x v="1"/>
    <n v="4.16"/>
    <n v="13"/>
    <x v="4"/>
    <x v="4"/>
    <n v="17.989999999999998"/>
    <x v="1"/>
    <x v="1"/>
    <n v="2"/>
    <n v="0.3"/>
    <x v="6"/>
  </r>
  <r>
    <s v="092b1c55-371b-4499-a9ba-03a34d3efd9e"/>
    <n v="50"/>
    <x v="3"/>
    <x v="1"/>
    <x v="2"/>
    <n v="13.21"/>
    <n v="36"/>
    <x v="0"/>
    <x v="4"/>
    <n v="8.99"/>
    <x v="1"/>
    <x v="0"/>
    <n v="4"/>
    <n v="0.36"/>
    <x v="1"/>
  </r>
  <r>
    <s v="5f99dc80-0876-4938-9f32-32f8121def1d"/>
    <n v="54"/>
    <x v="3"/>
    <x v="2"/>
    <x v="2"/>
    <n v="2.2799999999999998"/>
    <n v="17"/>
    <x v="0"/>
    <x v="0"/>
    <n v="8.99"/>
    <x v="1"/>
    <x v="3"/>
    <n v="2"/>
    <n v="0.13"/>
    <x v="2"/>
  </r>
  <r>
    <s v="b253557e-7e9f-42e7-a964-08409512972c"/>
    <n v="52"/>
    <x v="3"/>
    <x v="0"/>
    <x v="2"/>
    <n v="1.59"/>
    <n v="29"/>
    <x v="2"/>
    <x v="0"/>
    <n v="8.99"/>
    <x v="1"/>
    <x v="3"/>
    <n v="3"/>
    <n v="0.05"/>
    <x v="3"/>
  </r>
  <r>
    <s v="394cb1e4-055f-4966-83e6-243beaeb3aca"/>
    <n v="47"/>
    <x v="3"/>
    <x v="1"/>
    <x v="2"/>
    <n v="14.08"/>
    <n v="20"/>
    <x v="3"/>
    <x v="3"/>
    <n v="8.99"/>
    <x v="0"/>
    <x v="4"/>
    <n v="3"/>
    <n v="0.67"/>
    <x v="1"/>
  </r>
  <r>
    <s v="41816b3f-56f6-43bf-9115-971ba7dc242f"/>
    <n v="45"/>
    <x v="3"/>
    <x v="1"/>
    <x v="2"/>
    <n v="3.95"/>
    <n v="38"/>
    <x v="3"/>
    <x v="4"/>
    <n v="8.99"/>
    <x v="1"/>
    <x v="4"/>
    <n v="1"/>
    <n v="0.1"/>
    <x v="5"/>
  </r>
  <r>
    <s v="e33b05be-fc1b-4cf1-9fcc-185be5525bac"/>
    <n v="53"/>
    <x v="3"/>
    <x v="1"/>
    <x v="1"/>
    <n v="5.79"/>
    <n v="34"/>
    <x v="3"/>
    <x v="2"/>
    <n v="17.989999999999998"/>
    <x v="1"/>
    <x v="4"/>
    <n v="5"/>
    <n v="0.17"/>
    <x v="5"/>
  </r>
  <r>
    <s v="98504084-75ee-40c1-a61e-c01ebf8377d5"/>
    <n v="48"/>
    <x v="3"/>
    <x v="0"/>
    <x v="2"/>
    <n v="5.71"/>
    <n v="40"/>
    <x v="3"/>
    <x v="4"/>
    <n v="8.99"/>
    <x v="1"/>
    <x v="0"/>
    <n v="1"/>
    <n v="0.14000000000000001"/>
    <x v="4"/>
  </r>
  <r>
    <s v="6579bce5-dc6a-481c-b1fe-a22518a7a609"/>
    <n v="51"/>
    <x v="3"/>
    <x v="1"/>
    <x v="0"/>
    <n v="7.43"/>
    <n v="25"/>
    <x v="4"/>
    <x v="2"/>
    <n v="13.99"/>
    <x v="0"/>
    <x v="0"/>
    <n v="5"/>
    <n v="0.28999999999999998"/>
    <x v="1"/>
  </r>
  <r>
    <s v="3d12f279-fec1-42b9-8628-9191b773a7f4"/>
    <n v="49"/>
    <x v="3"/>
    <x v="2"/>
    <x v="0"/>
    <n v="14.28"/>
    <n v="7"/>
    <x v="3"/>
    <x v="3"/>
    <n v="13.99"/>
    <x v="0"/>
    <x v="0"/>
    <n v="3"/>
    <n v="1.78"/>
    <x v="6"/>
  </r>
  <r>
    <s v="c33f8bd1-b44c-4e7b-af87-b85574c2bec5"/>
    <n v="52"/>
    <x v="3"/>
    <x v="2"/>
    <x v="1"/>
    <n v="45.18"/>
    <n v="45"/>
    <x v="3"/>
    <x v="0"/>
    <n v="17.989999999999998"/>
    <x v="0"/>
    <x v="4"/>
    <n v="5"/>
    <n v="0.98"/>
    <x v="3"/>
  </r>
  <r>
    <s v="f06a4e35-9aad-42e2-97b8-88c0876364ae"/>
    <n v="50"/>
    <x v="3"/>
    <x v="2"/>
    <x v="0"/>
    <n v="13.5"/>
    <n v="49"/>
    <x v="0"/>
    <x v="4"/>
    <n v="13.99"/>
    <x v="1"/>
    <x v="2"/>
    <n v="2"/>
    <n v="0.27"/>
    <x v="0"/>
  </r>
  <r>
    <s v="45cd4327-0de3-43a8-a581-0bdd0432030d"/>
    <n v="45"/>
    <x v="3"/>
    <x v="0"/>
    <x v="0"/>
    <n v="2.52"/>
    <n v="23"/>
    <x v="1"/>
    <x v="3"/>
    <n v="13.99"/>
    <x v="1"/>
    <x v="1"/>
    <n v="1"/>
    <n v="0.1"/>
    <x v="5"/>
  </r>
  <r>
    <s v="7e16b964-d803-4cb8-94da-29f5660c1027"/>
    <n v="45"/>
    <x v="3"/>
    <x v="1"/>
    <x v="0"/>
    <n v="6.84"/>
    <n v="40"/>
    <x v="2"/>
    <x v="4"/>
    <n v="13.99"/>
    <x v="1"/>
    <x v="0"/>
    <n v="2"/>
    <n v="0.17"/>
    <x v="5"/>
  </r>
  <r>
    <s v="672a8d38-e6ed-4649-8b8f-e31ceedeea37"/>
    <n v="52"/>
    <x v="3"/>
    <x v="2"/>
    <x v="1"/>
    <n v="1.81"/>
    <n v="23"/>
    <x v="4"/>
    <x v="2"/>
    <n v="17.989999999999998"/>
    <x v="1"/>
    <x v="1"/>
    <n v="3"/>
    <n v="0.08"/>
    <x v="5"/>
  </r>
  <r>
    <s v="9cc41b86-9e5f-40f1-91f1-5c431290571a"/>
    <n v="46"/>
    <x v="3"/>
    <x v="1"/>
    <x v="1"/>
    <n v="30.01"/>
    <n v="56"/>
    <x v="4"/>
    <x v="2"/>
    <n v="17.989999999999998"/>
    <x v="0"/>
    <x v="4"/>
    <n v="5"/>
    <n v="0.53"/>
    <x v="4"/>
  </r>
  <r>
    <s v="c9ca7e43-bb03-4e5c-82be-057200bc6f32"/>
    <n v="46"/>
    <x v="3"/>
    <x v="1"/>
    <x v="1"/>
    <n v="7.29"/>
    <n v="4"/>
    <x v="4"/>
    <x v="1"/>
    <n v="17.989999999999998"/>
    <x v="0"/>
    <x v="2"/>
    <n v="2"/>
    <n v="1.46"/>
    <x v="1"/>
  </r>
  <r>
    <s v="16c333fc-47cb-49f9-819b-b9853c0254d7"/>
    <n v="52"/>
    <x v="3"/>
    <x v="1"/>
    <x v="2"/>
    <n v="8.7200000000000006"/>
    <n v="28"/>
    <x v="3"/>
    <x v="1"/>
    <n v="8.99"/>
    <x v="1"/>
    <x v="1"/>
    <n v="1"/>
    <n v="0.3"/>
    <x v="2"/>
  </r>
  <r>
    <s v="3790887a-7a19-4201-9f39-fec333345e97"/>
    <n v="54"/>
    <x v="3"/>
    <x v="0"/>
    <x v="2"/>
    <n v="12.12"/>
    <n v="38"/>
    <x v="4"/>
    <x v="0"/>
    <n v="8.99"/>
    <x v="1"/>
    <x v="4"/>
    <n v="5"/>
    <n v="0.31"/>
    <x v="4"/>
  </r>
  <r>
    <s v="466baf83-d1b8-4d98-9f30-06b1e654f463"/>
    <n v="54"/>
    <x v="3"/>
    <x v="0"/>
    <x v="2"/>
    <n v="18.84"/>
    <n v="49"/>
    <x v="2"/>
    <x v="2"/>
    <n v="8.99"/>
    <x v="1"/>
    <x v="4"/>
    <n v="1"/>
    <n v="0.38"/>
    <x v="1"/>
  </r>
  <r>
    <s v="64f688c6-0b4c-451a-94f9-48a66dd0139d"/>
    <n v="48"/>
    <x v="3"/>
    <x v="2"/>
    <x v="1"/>
    <n v="0.84"/>
    <n v="43"/>
    <x v="3"/>
    <x v="2"/>
    <n v="17.989999999999998"/>
    <x v="1"/>
    <x v="0"/>
    <n v="4"/>
    <n v="0.02"/>
    <x v="2"/>
  </r>
  <r>
    <s v="6b1bb258-a4c9-41c1-abb5-811dbb60701a"/>
    <n v="46"/>
    <x v="3"/>
    <x v="1"/>
    <x v="1"/>
    <n v="26.06"/>
    <n v="4"/>
    <x v="5"/>
    <x v="3"/>
    <n v="17.989999999999998"/>
    <x v="0"/>
    <x v="3"/>
    <n v="4"/>
    <n v="5.21"/>
    <x v="3"/>
  </r>
  <r>
    <s v="d13f6fc0-7d6e-4dce-9798-93a1c6162887"/>
    <n v="51"/>
    <x v="3"/>
    <x v="1"/>
    <x v="0"/>
    <n v="1.1399999999999999"/>
    <n v="55"/>
    <x v="0"/>
    <x v="1"/>
    <n v="13.99"/>
    <x v="1"/>
    <x v="0"/>
    <n v="1"/>
    <n v="0.02"/>
    <x v="0"/>
  </r>
  <r>
    <s v="5a5cf094-cda6-4488-9171-9747ec590ad0"/>
    <n v="50"/>
    <x v="3"/>
    <x v="0"/>
    <x v="2"/>
    <n v="8.09"/>
    <n v="4"/>
    <x v="4"/>
    <x v="2"/>
    <n v="8.99"/>
    <x v="0"/>
    <x v="1"/>
    <n v="1"/>
    <n v="1.62"/>
    <x v="3"/>
  </r>
  <r>
    <s v="94b1c205-4fe9-431a-bba7-ca1d0d013436"/>
    <n v="52"/>
    <x v="3"/>
    <x v="1"/>
    <x v="1"/>
    <n v="21.99"/>
    <n v="19"/>
    <x v="0"/>
    <x v="1"/>
    <n v="17.989999999999998"/>
    <x v="0"/>
    <x v="4"/>
    <n v="2"/>
    <n v="1.1000000000000001"/>
    <x v="0"/>
  </r>
  <r>
    <s v="c172eab0-fd92-44ea-aed5-4119fdf3d104"/>
    <n v="48"/>
    <x v="3"/>
    <x v="1"/>
    <x v="0"/>
    <n v="3.97"/>
    <n v="1"/>
    <x v="2"/>
    <x v="0"/>
    <n v="13.99"/>
    <x v="0"/>
    <x v="1"/>
    <n v="5"/>
    <n v="1.99"/>
    <x v="2"/>
  </r>
  <r>
    <s v="3daa3b0c-08d0-4763-876b-dc2c86533963"/>
    <n v="50"/>
    <x v="3"/>
    <x v="2"/>
    <x v="1"/>
    <n v="10.83"/>
    <n v="3"/>
    <x v="3"/>
    <x v="1"/>
    <n v="17.989999999999998"/>
    <x v="0"/>
    <x v="2"/>
    <n v="3"/>
    <n v="2.71"/>
    <x v="0"/>
  </r>
  <r>
    <s v="1b077aeb-57d0-438b-adab-48691727b847"/>
    <n v="53"/>
    <x v="3"/>
    <x v="0"/>
    <x v="0"/>
    <n v="6.68"/>
    <n v="11"/>
    <x v="4"/>
    <x v="2"/>
    <n v="13.99"/>
    <x v="0"/>
    <x v="3"/>
    <n v="4"/>
    <n v="0.56000000000000005"/>
    <x v="3"/>
  </r>
  <r>
    <s v="6b2ff669-1b0a-4f76-acfe-421153087710"/>
    <n v="52"/>
    <x v="3"/>
    <x v="1"/>
    <x v="0"/>
    <n v="6.41"/>
    <n v="15"/>
    <x v="5"/>
    <x v="0"/>
    <n v="13.99"/>
    <x v="0"/>
    <x v="3"/>
    <n v="1"/>
    <n v="0.4"/>
    <x v="6"/>
  </r>
  <r>
    <s v="aef0ea56-6758-44c7-88b6-32d7ca0556ca"/>
    <n v="51"/>
    <x v="3"/>
    <x v="0"/>
    <x v="1"/>
    <n v="1.46"/>
    <n v="35"/>
    <x v="5"/>
    <x v="4"/>
    <n v="17.989999999999998"/>
    <x v="1"/>
    <x v="3"/>
    <n v="3"/>
    <n v="0.04"/>
    <x v="3"/>
  </r>
  <r>
    <s v="cfce115a-0bc5-4aac-bf51-59898240c4a1"/>
    <n v="54"/>
    <x v="3"/>
    <x v="2"/>
    <x v="0"/>
    <n v="23.35"/>
    <n v="40"/>
    <x v="4"/>
    <x v="2"/>
    <n v="13.99"/>
    <x v="0"/>
    <x v="2"/>
    <n v="5"/>
    <n v="0.56999999999999995"/>
    <x v="2"/>
  </r>
  <r>
    <s v="edd9b3d1-bdde-4f75-a7f9-8012744512ba"/>
    <n v="51"/>
    <x v="3"/>
    <x v="2"/>
    <x v="2"/>
    <n v="5.69"/>
    <n v="36"/>
    <x v="1"/>
    <x v="0"/>
    <n v="8.99"/>
    <x v="1"/>
    <x v="3"/>
    <n v="3"/>
    <n v="0.15"/>
    <x v="2"/>
  </r>
  <r>
    <s v="fcd90302-e7f6-4679-ac49-cffe71a7ee46"/>
    <n v="54"/>
    <x v="3"/>
    <x v="1"/>
    <x v="1"/>
    <n v="3.66"/>
    <n v="40"/>
    <x v="5"/>
    <x v="0"/>
    <n v="17.989999999999998"/>
    <x v="1"/>
    <x v="4"/>
    <n v="1"/>
    <n v="0.09"/>
    <x v="5"/>
  </r>
  <r>
    <s v="aae4b13b-2247-4c8b-bdfd-f94dc5ac45e9"/>
    <n v="48"/>
    <x v="3"/>
    <x v="2"/>
    <x v="1"/>
    <n v="7.86"/>
    <n v="40"/>
    <x v="5"/>
    <x v="3"/>
    <n v="17.989999999999998"/>
    <x v="1"/>
    <x v="0"/>
    <n v="3"/>
    <n v="0.19"/>
    <x v="2"/>
  </r>
  <r>
    <s v="ba02bc00-8be5-478d-92ba-eb993ed9e571"/>
    <n v="48"/>
    <x v="3"/>
    <x v="1"/>
    <x v="0"/>
    <n v="6.66"/>
    <n v="34"/>
    <x v="2"/>
    <x v="3"/>
    <n v="13.99"/>
    <x v="0"/>
    <x v="1"/>
    <n v="5"/>
    <n v="0.19"/>
    <x v="2"/>
  </r>
  <r>
    <s v="403d8e8c-bc7b-4d0a-8339-07365f767b62"/>
    <n v="47"/>
    <x v="3"/>
    <x v="2"/>
    <x v="1"/>
    <n v="7.22"/>
    <n v="38"/>
    <x v="1"/>
    <x v="3"/>
    <n v="17.989999999999998"/>
    <x v="1"/>
    <x v="2"/>
    <n v="2"/>
    <n v="0.19"/>
    <x v="0"/>
  </r>
  <r>
    <s v="8ff8e23b-ac00-4e86-9748-01556e3ecc32"/>
    <n v="48"/>
    <x v="3"/>
    <x v="0"/>
    <x v="2"/>
    <n v="22.06"/>
    <n v="47"/>
    <x v="3"/>
    <x v="3"/>
    <n v="8.99"/>
    <x v="1"/>
    <x v="0"/>
    <n v="1"/>
    <n v="0.46"/>
    <x v="6"/>
  </r>
  <r>
    <s v="ee0c0189-40a6-4894-a64a-5c23b3f6b5a2"/>
    <n v="48"/>
    <x v="3"/>
    <x v="2"/>
    <x v="0"/>
    <n v="1.93"/>
    <n v="50"/>
    <x v="0"/>
    <x v="0"/>
    <n v="13.99"/>
    <x v="1"/>
    <x v="4"/>
    <n v="4"/>
    <n v="0.04"/>
    <x v="0"/>
  </r>
  <r>
    <s v="d20a61c2-fa3d-4e57-8b09-3e19ade44d10"/>
    <n v="46"/>
    <x v="3"/>
    <x v="1"/>
    <x v="2"/>
    <n v="9.61"/>
    <n v="15"/>
    <x v="5"/>
    <x v="4"/>
    <n v="8.99"/>
    <x v="0"/>
    <x v="3"/>
    <n v="1"/>
    <n v="0.6"/>
    <x v="1"/>
  </r>
  <r>
    <s v="838bc2fe-a146-4520-97ba-0f710f7b1ea3"/>
    <n v="51"/>
    <x v="3"/>
    <x v="2"/>
    <x v="1"/>
    <n v="26.92"/>
    <n v="24"/>
    <x v="4"/>
    <x v="4"/>
    <n v="17.989999999999998"/>
    <x v="0"/>
    <x v="3"/>
    <n v="1"/>
    <n v="1.08"/>
    <x v="0"/>
  </r>
  <r>
    <s v="b5c5a9ff-0db7-466e-b0cd-e2948bd83e94"/>
    <n v="54"/>
    <x v="3"/>
    <x v="2"/>
    <x v="2"/>
    <n v="2.54"/>
    <n v="52"/>
    <x v="1"/>
    <x v="1"/>
    <n v="8.99"/>
    <x v="1"/>
    <x v="3"/>
    <n v="4"/>
    <n v="0.05"/>
    <x v="4"/>
  </r>
  <r>
    <s v="dc518d2a-a7f9-4120-8407-01ccb6efe5cb"/>
    <n v="47"/>
    <x v="3"/>
    <x v="2"/>
    <x v="1"/>
    <n v="2.11"/>
    <n v="58"/>
    <x v="5"/>
    <x v="4"/>
    <n v="17.989999999999998"/>
    <x v="1"/>
    <x v="4"/>
    <n v="2"/>
    <n v="0.04"/>
    <x v="2"/>
  </r>
  <r>
    <s v="6c561eec-2d63-4ef6-9d9a-18c9c6f1bac1"/>
    <n v="52"/>
    <x v="3"/>
    <x v="2"/>
    <x v="2"/>
    <n v="27.37"/>
    <n v="12"/>
    <x v="2"/>
    <x v="0"/>
    <n v="8.99"/>
    <x v="0"/>
    <x v="2"/>
    <n v="2"/>
    <n v="2.11"/>
    <x v="4"/>
  </r>
  <r>
    <s v="3ab879fb-d01a-4c51-b3f9-625d2c4e1860"/>
    <n v="47"/>
    <x v="3"/>
    <x v="1"/>
    <x v="2"/>
    <n v="14.8"/>
    <n v="19"/>
    <x v="1"/>
    <x v="2"/>
    <n v="8.99"/>
    <x v="0"/>
    <x v="2"/>
    <n v="2"/>
    <n v="0.74"/>
    <x v="4"/>
  </r>
  <r>
    <s v="ee70356f-8d7b-4674-bdc8-ee84bf93e296"/>
    <n v="45"/>
    <x v="3"/>
    <x v="0"/>
    <x v="1"/>
    <n v="3.91"/>
    <n v="44"/>
    <x v="3"/>
    <x v="3"/>
    <n v="17.989999999999998"/>
    <x v="1"/>
    <x v="2"/>
    <n v="3"/>
    <n v="0.09"/>
    <x v="1"/>
  </r>
  <r>
    <s v="950d7dad-d93e-43ae-ab6f-1e24d330f4b3"/>
    <n v="46"/>
    <x v="3"/>
    <x v="1"/>
    <x v="0"/>
    <n v="16.079999999999998"/>
    <n v="40"/>
    <x v="5"/>
    <x v="3"/>
    <n v="13.99"/>
    <x v="1"/>
    <x v="0"/>
    <n v="3"/>
    <n v="0.39"/>
    <x v="3"/>
  </r>
  <r>
    <s v="4fe787fa-8786-4d56-93d0-ed72f11b7241"/>
    <n v="51"/>
    <x v="3"/>
    <x v="2"/>
    <x v="0"/>
    <n v="8.6300000000000008"/>
    <n v="23"/>
    <x v="5"/>
    <x v="4"/>
    <n v="13.99"/>
    <x v="0"/>
    <x v="1"/>
    <n v="1"/>
    <n v="0.36"/>
    <x v="0"/>
  </r>
  <r>
    <s v="693f8ac0-ef10-4a05-9f43-07e089edab75"/>
    <n v="51"/>
    <x v="3"/>
    <x v="1"/>
    <x v="0"/>
    <n v="4.9800000000000004"/>
    <n v="28"/>
    <x v="2"/>
    <x v="4"/>
    <n v="13.99"/>
    <x v="1"/>
    <x v="4"/>
    <n v="5"/>
    <n v="0.17"/>
    <x v="6"/>
  </r>
  <r>
    <s v="2dc2f017-c762-4922-8704-ed47a421afb6"/>
    <n v="45"/>
    <x v="3"/>
    <x v="2"/>
    <x v="1"/>
    <n v="2.7"/>
    <n v="2"/>
    <x v="1"/>
    <x v="0"/>
    <n v="17.989999999999998"/>
    <x v="0"/>
    <x v="2"/>
    <n v="4"/>
    <n v="0.9"/>
    <x v="6"/>
  </r>
  <r>
    <s v="748be132-1b1e-4306-ba23-735a539d422e"/>
    <n v="49"/>
    <x v="3"/>
    <x v="0"/>
    <x v="2"/>
    <n v="17.05"/>
    <n v="16"/>
    <x v="1"/>
    <x v="1"/>
    <n v="8.99"/>
    <x v="0"/>
    <x v="3"/>
    <n v="4"/>
    <n v="1"/>
    <x v="2"/>
  </r>
  <r>
    <s v="8f16a933-2d0f-43f7-af59-63dba7b6db8d"/>
    <n v="48"/>
    <x v="3"/>
    <x v="2"/>
    <x v="0"/>
    <n v="5.33"/>
    <n v="31"/>
    <x v="4"/>
    <x v="4"/>
    <n v="13.99"/>
    <x v="1"/>
    <x v="0"/>
    <n v="3"/>
    <n v="0.17"/>
    <x v="5"/>
  </r>
  <r>
    <s v="bae9ac0c-dcd5-429b-88df-2af895fc1f3e"/>
    <n v="50"/>
    <x v="3"/>
    <x v="2"/>
    <x v="1"/>
    <n v="7.18"/>
    <n v="23"/>
    <x v="4"/>
    <x v="0"/>
    <n v="17.989999999999998"/>
    <x v="0"/>
    <x v="2"/>
    <n v="3"/>
    <n v="0.3"/>
    <x v="3"/>
  </r>
  <r>
    <s v="fbdfea76-1ced-4cf1-96dd-6c38e159ddbb"/>
    <n v="48"/>
    <x v="3"/>
    <x v="1"/>
    <x v="1"/>
    <n v="1.67"/>
    <n v="14"/>
    <x v="0"/>
    <x v="1"/>
    <n v="17.989999999999998"/>
    <x v="1"/>
    <x v="4"/>
    <n v="3"/>
    <n v="0.11"/>
    <x v="6"/>
  </r>
  <r>
    <s v="7fa02534-0dd1-455f-84ac-dcbef3aa4168"/>
    <n v="52"/>
    <x v="3"/>
    <x v="2"/>
    <x v="1"/>
    <n v="10.6"/>
    <n v="38"/>
    <x v="3"/>
    <x v="3"/>
    <n v="17.989999999999998"/>
    <x v="0"/>
    <x v="2"/>
    <n v="4"/>
    <n v="0.27"/>
    <x v="4"/>
  </r>
  <r>
    <s v="27fd0327-3305-449e-b4df-20aeb99d6ea2"/>
    <n v="45"/>
    <x v="3"/>
    <x v="2"/>
    <x v="1"/>
    <n v="14"/>
    <n v="33"/>
    <x v="4"/>
    <x v="0"/>
    <n v="17.989999999999998"/>
    <x v="1"/>
    <x v="2"/>
    <n v="2"/>
    <n v="0.41"/>
    <x v="2"/>
  </r>
  <r>
    <s v="90ad70cd-6152-4d45-a6a3-9289f33ed606"/>
    <n v="49"/>
    <x v="3"/>
    <x v="2"/>
    <x v="1"/>
    <n v="6.06"/>
    <n v="12"/>
    <x v="0"/>
    <x v="0"/>
    <n v="17.989999999999998"/>
    <x v="0"/>
    <x v="3"/>
    <n v="5"/>
    <n v="0.47"/>
    <x v="1"/>
  </r>
  <r>
    <s v="1a69031e-2a84-46b5-a375-e94e60ab0bc7"/>
    <n v="54"/>
    <x v="3"/>
    <x v="1"/>
    <x v="2"/>
    <n v="9.44"/>
    <n v="36"/>
    <x v="2"/>
    <x v="4"/>
    <n v="8.99"/>
    <x v="1"/>
    <x v="0"/>
    <n v="4"/>
    <n v="0.26"/>
    <x v="1"/>
  </r>
  <r>
    <s v="eb8761bc-db4a-4e20-951a-e00522afcb18"/>
    <n v="50"/>
    <x v="3"/>
    <x v="1"/>
    <x v="1"/>
    <n v="2.77"/>
    <n v="49"/>
    <x v="2"/>
    <x v="2"/>
    <n v="17.989999999999998"/>
    <x v="1"/>
    <x v="1"/>
    <n v="4"/>
    <n v="0.06"/>
    <x v="0"/>
  </r>
  <r>
    <s v="c7d025b0-f633-4505-8793-1401f9c0f412"/>
    <n v="49"/>
    <x v="3"/>
    <x v="1"/>
    <x v="2"/>
    <n v="3.07"/>
    <n v="44"/>
    <x v="2"/>
    <x v="4"/>
    <n v="8.99"/>
    <x v="1"/>
    <x v="0"/>
    <n v="1"/>
    <n v="7.0000000000000007E-2"/>
    <x v="4"/>
  </r>
  <r>
    <s v="ab1a4a62-5d67-4e91-bceb-bfd5cf9779c9"/>
    <n v="45"/>
    <x v="3"/>
    <x v="0"/>
    <x v="2"/>
    <n v="4.0199999999999996"/>
    <n v="5"/>
    <x v="4"/>
    <x v="4"/>
    <n v="8.99"/>
    <x v="1"/>
    <x v="3"/>
    <n v="1"/>
    <n v="0.67"/>
    <x v="5"/>
  </r>
  <r>
    <s v="d8f3a1ce-a034-4298-bdec-7a1edd116231"/>
    <n v="52"/>
    <x v="3"/>
    <x v="2"/>
    <x v="0"/>
    <n v="22.33"/>
    <n v="28"/>
    <x v="2"/>
    <x v="3"/>
    <n v="13.99"/>
    <x v="0"/>
    <x v="3"/>
    <n v="5"/>
    <n v="0.77"/>
    <x v="6"/>
  </r>
  <r>
    <s v="dbdbfa7c-7932-46fa-ad10-d53bbd798cf5"/>
    <n v="48"/>
    <x v="3"/>
    <x v="0"/>
    <x v="2"/>
    <n v="16.75"/>
    <n v="16"/>
    <x v="3"/>
    <x v="1"/>
    <n v="8.99"/>
    <x v="0"/>
    <x v="4"/>
    <n v="5"/>
    <n v="0.99"/>
    <x v="5"/>
  </r>
  <r>
    <s v="f608833d-8f7e-4184-a3fc-665f57aba3b0"/>
    <n v="46"/>
    <x v="3"/>
    <x v="0"/>
    <x v="1"/>
    <n v="23.02"/>
    <n v="59"/>
    <x v="0"/>
    <x v="4"/>
    <n v="17.989999999999998"/>
    <x v="0"/>
    <x v="0"/>
    <n v="2"/>
    <n v="0.38"/>
    <x v="5"/>
  </r>
  <r>
    <s v="132aaf5f-1300-43ed-bae5-4887a7e7e6aa"/>
    <n v="54"/>
    <x v="3"/>
    <x v="2"/>
    <x v="2"/>
    <n v="22.85"/>
    <n v="10"/>
    <x v="2"/>
    <x v="3"/>
    <n v="8.99"/>
    <x v="0"/>
    <x v="0"/>
    <n v="5"/>
    <n v="2.08"/>
    <x v="0"/>
  </r>
  <r>
    <s v="a7cc0271-0b4c-4da5-869b-7b59ce57d0bd"/>
    <n v="54"/>
    <x v="3"/>
    <x v="1"/>
    <x v="0"/>
    <n v="3.22"/>
    <n v="12"/>
    <x v="3"/>
    <x v="1"/>
    <n v="13.99"/>
    <x v="1"/>
    <x v="2"/>
    <n v="1"/>
    <n v="0.25"/>
    <x v="0"/>
  </r>
  <r>
    <s v="954dcb74-100f-4ceb-8eed-376103cf5436"/>
    <n v="46"/>
    <x v="3"/>
    <x v="1"/>
    <x v="2"/>
    <n v="6.99"/>
    <n v="34"/>
    <x v="0"/>
    <x v="1"/>
    <n v="8.99"/>
    <x v="1"/>
    <x v="0"/>
    <n v="2"/>
    <n v="0.2"/>
    <x v="2"/>
  </r>
  <r>
    <s v="4bc6206b-a4ee-4f43-a69f-13a03aa8adbe"/>
    <n v="53"/>
    <x v="3"/>
    <x v="0"/>
    <x v="2"/>
    <n v="20.16"/>
    <n v="1"/>
    <x v="4"/>
    <x v="4"/>
    <n v="8.99"/>
    <x v="0"/>
    <x v="1"/>
    <n v="5"/>
    <n v="10.08"/>
    <x v="5"/>
  </r>
  <r>
    <s v="fd485b3c-f7bd-4eb2-a742-1d2431bcbb2a"/>
    <n v="53"/>
    <x v="3"/>
    <x v="1"/>
    <x v="2"/>
    <n v="8.33"/>
    <n v="4"/>
    <x v="0"/>
    <x v="4"/>
    <n v="8.99"/>
    <x v="0"/>
    <x v="0"/>
    <n v="2"/>
    <n v="1.67"/>
    <x v="4"/>
  </r>
  <r>
    <s v="efb1d2d1-e437-4a9d-a0e4-6b1da652541e"/>
    <n v="47"/>
    <x v="3"/>
    <x v="0"/>
    <x v="1"/>
    <n v="3.51"/>
    <n v="50"/>
    <x v="5"/>
    <x v="2"/>
    <n v="17.989999999999998"/>
    <x v="1"/>
    <x v="0"/>
    <n v="1"/>
    <n v="7.0000000000000007E-2"/>
    <x v="4"/>
  </r>
  <r>
    <s v="8b92d68f-3baa-431c-b556-472d9638ce45"/>
    <n v="45"/>
    <x v="3"/>
    <x v="1"/>
    <x v="2"/>
    <n v="11.74"/>
    <n v="17"/>
    <x v="5"/>
    <x v="4"/>
    <n v="8.99"/>
    <x v="0"/>
    <x v="1"/>
    <n v="4"/>
    <n v="0.65"/>
    <x v="5"/>
  </r>
  <r>
    <s v="4efe87f8-2bf7-48e1-85cf-5c1457df9d9d"/>
    <n v="46"/>
    <x v="3"/>
    <x v="1"/>
    <x v="2"/>
    <n v="3.39"/>
    <n v="5"/>
    <x v="4"/>
    <x v="4"/>
    <n v="8.99"/>
    <x v="0"/>
    <x v="1"/>
    <n v="4"/>
    <n v="0.56999999999999995"/>
    <x v="2"/>
  </r>
  <r>
    <s v="d5959062-3681-408a-a01a-53c7403a89be"/>
    <n v="46"/>
    <x v="3"/>
    <x v="1"/>
    <x v="0"/>
    <n v="16.95"/>
    <n v="32"/>
    <x v="5"/>
    <x v="1"/>
    <n v="13.99"/>
    <x v="0"/>
    <x v="1"/>
    <n v="2"/>
    <n v="0.51"/>
    <x v="0"/>
  </r>
  <r>
    <s v="3c779e4e-ccc4-4d72-b98e-a1757ac6797f"/>
    <n v="51"/>
    <x v="3"/>
    <x v="1"/>
    <x v="2"/>
    <n v="6.7"/>
    <n v="58"/>
    <x v="5"/>
    <x v="4"/>
    <n v="8.99"/>
    <x v="1"/>
    <x v="4"/>
    <n v="4"/>
    <n v="0.11"/>
    <x v="2"/>
  </r>
  <r>
    <s v="a3dfcf7d-3765-40d2-8a11-2111df14899b"/>
    <n v="49"/>
    <x v="3"/>
    <x v="2"/>
    <x v="0"/>
    <n v="20.37"/>
    <n v="30"/>
    <x v="1"/>
    <x v="2"/>
    <n v="13.99"/>
    <x v="0"/>
    <x v="0"/>
    <n v="1"/>
    <n v="0.66"/>
    <x v="0"/>
  </r>
  <r>
    <s v="ea9dd8be-c392-42e1-8ccc-ace56b211966"/>
    <n v="47"/>
    <x v="3"/>
    <x v="2"/>
    <x v="2"/>
    <n v="0.83"/>
    <n v="42"/>
    <x v="4"/>
    <x v="0"/>
    <n v="8.99"/>
    <x v="1"/>
    <x v="2"/>
    <n v="2"/>
    <n v="0.02"/>
    <x v="2"/>
  </r>
  <r>
    <s v="6d7cc8e5-2cc5-46a0-84c8-43c7f87daf9a"/>
    <n v="47"/>
    <x v="3"/>
    <x v="2"/>
    <x v="1"/>
    <n v="25.17"/>
    <n v="1"/>
    <x v="3"/>
    <x v="3"/>
    <n v="17.989999999999998"/>
    <x v="0"/>
    <x v="0"/>
    <n v="5"/>
    <n v="12.59"/>
    <x v="6"/>
  </r>
  <r>
    <s v="1b88d370-7853-4579-99af-dc942e3f248f"/>
    <n v="51"/>
    <x v="3"/>
    <x v="0"/>
    <x v="0"/>
    <n v="6.79"/>
    <n v="3"/>
    <x v="0"/>
    <x v="4"/>
    <n v="13.99"/>
    <x v="0"/>
    <x v="4"/>
    <n v="4"/>
    <n v="1.7"/>
    <x v="3"/>
  </r>
  <r>
    <s v="ee89f93f-b2ff-459e-93a2-ea8bfa7992f6"/>
    <n v="48"/>
    <x v="3"/>
    <x v="1"/>
    <x v="2"/>
    <n v="60.85"/>
    <n v="10"/>
    <x v="3"/>
    <x v="3"/>
    <n v="8.99"/>
    <x v="0"/>
    <x v="1"/>
    <n v="5"/>
    <n v="5.53"/>
    <x v="2"/>
  </r>
  <r>
    <s v="c86981de-a762-42d2-8576-c52e61cf46b6"/>
    <n v="50"/>
    <x v="3"/>
    <x v="1"/>
    <x v="2"/>
    <n v="6.36"/>
    <n v="57"/>
    <x v="1"/>
    <x v="2"/>
    <n v="8.99"/>
    <x v="1"/>
    <x v="1"/>
    <n v="5"/>
    <n v="0.11"/>
    <x v="5"/>
  </r>
  <r>
    <s v="c93b183b-6934-4630-b9b9-727cf3a44d9f"/>
    <n v="49"/>
    <x v="3"/>
    <x v="2"/>
    <x v="0"/>
    <n v="3.75"/>
    <n v="0"/>
    <x v="4"/>
    <x v="4"/>
    <n v="13.99"/>
    <x v="0"/>
    <x v="2"/>
    <n v="4"/>
    <n v="3.75"/>
    <x v="2"/>
  </r>
  <r>
    <s v="1de5ede5-f00c-473f-9a4c-adb67defa9a2"/>
    <n v="46"/>
    <x v="3"/>
    <x v="0"/>
    <x v="1"/>
    <n v="3.16"/>
    <n v="5"/>
    <x v="0"/>
    <x v="0"/>
    <n v="17.989999999999998"/>
    <x v="0"/>
    <x v="1"/>
    <n v="5"/>
    <n v="0.53"/>
    <x v="3"/>
  </r>
  <r>
    <s v="1a0feffc-117c-4e7c-a2cf-8c2c3548f658"/>
    <n v="47"/>
    <x v="3"/>
    <x v="2"/>
    <x v="2"/>
    <n v="19.260000000000002"/>
    <n v="57"/>
    <x v="1"/>
    <x v="0"/>
    <n v="8.99"/>
    <x v="1"/>
    <x v="3"/>
    <n v="2"/>
    <n v="0.33"/>
    <x v="3"/>
  </r>
  <r>
    <s v="a0acfed2-3ecb-4404-a39e-2fc473381219"/>
    <n v="49"/>
    <x v="3"/>
    <x v="2"/>
    <x v="1"/>
    <n v="7.9"/>
    <n v="20"/>
    <x v="1"/>
    <x v="2"/>
    <n v="17.989999999999998"/>
    <x v="0"/>
    <x v="0"/>
    <n v="2"/>
    <n v="0.38"/>
    <x v="2"/>
  </r>
  <r>
    <s v="eb6c6692-bbc5-40f1-b191-88b47869c368"/>
    <n v="46"/>
    <x v="3"/>
    <x v="2"/>
    <x v="1"/>
    <n v="26.01"/>
    <n v="3"/>
    <x v="0"/>
    <x v="2"/>
    <n v="17.989999999999998"/>
    <x v="0"/>
    <x v="1"/>
    <n v="3"/>
    <n v="6.5"/>
    <x v="2"/>
  </r>
  <r>
    <s v="e55e1e83-d28d-4691-a909-185781512ae0"/>
    <n v="51"/>
    <x v="3"/>
    <x v="0"/>
    <x v="1"/>
    <n v="16.96"/>
    <n v="15"/>
    <x v="5"/>
    <x v="1"/>
    <n v="17.989999999999998"/>
    <x v="0"/>
    <x v="2"/>
    <n v="5"/>
    <n v="1.06"/>
    <x v="6"/>
  </r>
  <r>
    <s v="a35353ba-7e5d-4a4e-b1e2-851b4ce3ed64"/>
    <n v="53"/>
    <x v="3"/>
    <x v="2"/>
    <x v="2"/>
    <n v="6.64"/>
    <n v="37"/>
    <x v="3"/>
    <x v="3"/>
    <n v="8.99"/>
    <x v="1"/>
    <x v="2"/>
    <n v="5"/>
    <n v="0.17"/>
    <x v="5"/>
  </r>
  <r>
    <s v="a060eae1-66cc-4f52-9aef-d512ccc77f47"/>
    <n v="45"/>
    <x v="3"/>
    <x v="1"/>
    <x v="0"/>
    <n v="25.59"/>
    <n v="22"/>
    <x v="1"/>
    <x v="0"/>
    <n v="13.99"/>
    <x v="0"/>
    <x v="2"/>
    <n v="2"/>
    <n v="1.1100000000000001"/>
    <x v="6"/>
  </r>
  <r>
    <s v="8f38ef25-91a6-42e2-947f-9d9d094a2d0d"/>
    <n v="54"/>
    <x v="3"/>
    <x v="1"/>
    <x v="2"/>
    <n v="1.07"/>
    <n v="59"/>
    <x v="1"/>
    <x v="0"/>
    <n v="8.99"/>
    <x v="1"/>
    <x v="2"/>
    <n v="1"/>
    <n v="0.02"/>
    <x v="5"/>
  </r>
  <r>
    <s v="e1c24850-9ba6-4b3c-b64c-b3dc0e49a8f0"/>
    <n v="46"/>
    <x v="3"/>
    <x v="1"/>
    <x v="2"/>
    <n v="7.63"/>
    <n v="31"/>
    <x v="0"/>
    <x v="4"/>
    <n v="8.99"/>
    <x v="1"/>
    <x v="4"/>
    <n v="5"/>
    <n v="0.24"/>
    <x v="4"/>
  </r>
  <r>
    <s v="eb61a935-8dbb-40cc-83eb-a4b86a1c5f82"/>
    <n v="49"/>
    <x v="3"/>
    <x v="2"/>
    <x v="2"/>
    <n v="5.3"/>
    <n v="44"/>
    <x v="5"/>
    <x v="0"/>
    <n v="8.99"/>
    <x v="1"/>
    <x v="2"/>
    <n v="3"/>
    <n v="0.12"/>
    <x v="1"/>
  </r>
  <r>
    <s v="5ab5431d-4185-4b4f-be21-4183473aa0a9"/>
    <n v="53"/>
    <x v="3"/>
    <x v="1"/>
    <x v="1"/>
    <n v="4.49"/>
    <n v="10"/>
    <x v="2"/>
    <x v="4"/>
    <n v="17.989999999999998"/>
    <x v="1"/>
    <x v="1"/>
    <n v="1"/>
    <n v="0.41"/>
    <x v="3"/>
  </r>
  <r>
    <s v="eb0d1e13-35b7-472c-a39c-c5211ebb80e4"/>
    <n v="45"/>
    <x v="3"/>
    <x v="2"/>
    <x v="2"/>
    <n v="4.22"/>
    <n v="18"/>
    <x v="3"/>
    <x v="3"/>
    <n v="8.99"/>
    <x v="1"/>
    <x v="0"/>
    <n v="3"/>
    <n v="0.22"/>
    <x v="6"/>
  </r>
  <r>
    <s v="ac790561-30ba-49da-b38b-56e3f1d6898d"/>
    <n v="53"/>
    <x v="3"/>
    <x v="1"/>
    <x v="1"/>
    <n v="27.73"/>
    <n v="32"/>
    <x v="3"/>
    <x v="3"/>
    <n v="17.989999999999998"/>
    <x v="0"/>
    <x v="1"/>
    <n v="4"/>
    <n v="0.84"/>
    <x v="1"/>
  </r>
  <r>
    <s v="7fc041a7-0fd1-44e9-b505-6dd1e752a78c"/>
    <n v="51"/>
    <x v="3"/>
    <x v="2"/>
    <x v="2"/>
    <n v="7.54"/>
    <n v="5"/>
    <x v="1"/>
    <x v="3"/>
    <n v="8.99"/>
    <x v="0"/>
    <x v="1"/>
    <n v="4"/>
    <n v="1.26"/>
    <x v="3"/>
  </r>
  <r>
    <s v="43c2a767-ad49-4977-b9b7-e87e81e9e93d"/>
    <n v="46"/>
    <x v="3"/>
    <x v="1"/>
    <x v="2"/>
    <n v="13.83"/>
    <n v="44"/>
    <x v="4"/>
    <x v="2"/>
    <n v="8.99"/>
    <x v="1"/>
    <x v="1"/>
    <n v="4"/>
    <n v="0.31"/>
    <x v="3"/>
  </r>
  <r>
    <s v="83a192a7-6748-40bc-a60b-004e4a03e87b"/>
    <n v="51"/>
    <x v="3"/>
    <x v="2"/>
    <x v="1"/>
    <n v="7.92"/>
    <n v="16"/>
    <x v="3"/>
    <x v="2"/>
    <n v="17.989999999999998"/>
    <x v="0"/>
    <x v="1"/>
    <n v="2"/>
    <n v="0.47"/>
    <x v="5"/>
  </r>
  <r>
    <s v="91b02759-584d-4f29-b1a4-5818311708d1"/>
    <n v="54"/>
    <x v="3"/>
    <x v="2"/>
    <x v="0"/>
    <n v="15.65"/>
    <n v="53"/>
    <x v="5"/>
    <x v="4"/>
    <n v="13.99"/>
    <x v="1"/>
    <x v="4"/>
    <n v="2"/>
    <n v="0.28999999999999998"/>
    <x v="6"/>
  </r>
  <r>
    <s v="10fe2d39-3e7a-4fd6-afef-fd7885f1fd16"/>
    <n v="51"/>
    <x v="3"/>
    <x v="0"/>
    <x v="0"/>
    <n v="5.79"/>
    <n v="47"/>
    <x v="2"/>
    <x v="2"/>
    <n v="13.99"/>
    <x v="1"/>
    <x v="1"/>
    <n v="2"/>
    <n v="0.12"/>
    <x v="5"/>
  </r>
  <r>
    <s v="bdfa953f-4810-434e-a574-205313689450"/>
    <n v="49"/>
    <x v="3"/>
    <x v="0"/>
    <x v="1"/>
    <n v="14.39"/>
    <n v="48"/>
    <x v="0"/>
    <x v="3"/>
    <n v="17.989999999999998"/>
    <x v="1"/>
    <x v="4"/>
    <n v="1"/>
    <n v="0.28999999999999998"/>
    <x v="3"/>
  </r>
  <r>
    <s v="11ea4551-84fd-4d94-b679-4a8f5d4fd69a"/>
    <n v="53"/>
    <x v="3"/>
    <x v="0"/>
    <x v="2"/>
    <n v="10.96"/>
    <n v="15"/>
    <x v="2"/>
    <x v="0"/>
    <n v="8.99"/>
    <x v="0"/>
    <x v="3"/>
    <n v="2"/>
    <n v="0.69"/>
    <x v="1"/>
  </r>
  <r>
    <s v="c6e7dcc7-f791-40a3-ac2e-7604b3a98468"/>
    <n v="52"/>
    <x v="3"/>
    <x v="2"/>
    <x v="0"/>
    <n v="5.03"/>
    <n v="4"/>
    <x v="1"/>
    <x v="3"/>
    <n v="13.99"/>
    <x v="0"/>
    <x v="1"/>
    <n v="5"/>
    <n v="1.01"/>
    <x v="6"/>
  </r>
  <r>
    <s v="398c5457-acaa-41b1-887c-eb2b44578430"/>
    <n v="51"/>
    <x v="3"/>
    <x v="1"/>
    <x v="2"/>
    <n v="51.43"/>
    <n v="34"/>
    <x v="2"/>
    <x v="4"/>
    <n v="8.99"/>
    <x v="0"/>
    <x v="4"/>
    <n v="5"/>
    <n v="1.47"/>
    <x v="2"/>
  </r>
  <r>
    <s v="87224324-13d4-4c0c-b5a2-8f782c47cccd"/>
    <n v="52"/>
    <x v="3"/>
    <x v="2"/>
    <x v="0"/>
    <n v="21.89"/>
    <n v="3"/>
    <x v="1"/>
    <x v="2"/>
    <n v="13.99"/>
    <x v="0"/>
    <x v="3"/>
    <n v="1"/>
    <n v="5.47"/>
    <x v="2"/>
  </r>
  <r>
    <s v="226c0013-0f4e-437e-a087-e806934fc1fb"/>
    <n v="50"/>
    <x v="3"/>
    <x v="1"/>
    <x v="2"/>
    <n v="6.53"/>
    <n v="19"/>
    <x v="1"/>
    <x v="2"/>
    <n v="8.99"/>
    <x v="0"/>
    <x v="0"/>
    <n v="5"/>
    <n v="0.33"/>
    <x v="6"/>
  </r>
  <r>
    <s v="07cbc13d-c375-4955-a2a8-15fd519c8740"/>
    <n v="51"/>
    <x v="3"/>
    <x v="1"/>
    <x v="1"/>
    <n v="10.47"/>
    <n v="22"/>
    <x v="2"/>
    <x v="4"/>
    <n v="17.989999999999998"/>
    <x v="0"/>
    <x v="2"/>
    <n v="2"/>
    <n v="0.46"/>
    <x v="2"/>
  </r>
  <r>
    <s v="cd892f9f-b0e1-4c18-b7da-e733c906f25a"/>
    <n v="53"/>
    <x v="3"/>
    <x v="2"/>
    <x v="2"/>
    <n v="7.21"/>
    <n v="53"/>
    <x v="4"/>
    <x v="2"/>
    <n v="8.99"/>
    <x v="1"/>
    <x v="2"/>
    <n v="3"/>
    <n v="0.13"/>
    <x v="1"/>
  </r>
  <r>
    <s v="61ed2c75-3159-4640-9a7f-adbdcd9f6144"/>
    <n v="45"/>
    <x v="3"/>
    <x v="1"/>
    <x v="0"/>
    <n v="12.64"/>
    <n v="33"/>
    <x v="4"/>
    <x v="3"/>
    <n v="13.99"/>
    <x v="1"/>
    <x v="0"/>
    <n v="4"/>
    <n v="0.37"/>
    <x v="4"/>
  </r>
  <r>
    <s v="2820c5f3-3394-45aa-930f-e4e26a781c66"/>
    <n v="45"/>
    <x v="3"/>
    <x v="1"/>
    <x v="1"/>
    <n v="21.12"/>
    <n v="27"/>
    <x v="5"/>
    <x v="3"/>
    <n v="17.989999999999998"/>
    <x v="0"/>
    <x v="2"/>
    <n v="5"/>
    <n v="0.75"/>
    <x v="0"/>
  </r>
  <r>
    <s v="c0874a78-dcb0-4a64-b41d-1995f7c54cab"/>
    <n v="48"/>
    <x v="3"/>
    <x v="1"/>
    <x v="0"/>
    <n v="3.22"/>
    <n v="33"/>
    <x v="0"/>
    <x v="3"/>
    <n v="13.99"/>
    <x v="1"/>
    <x v="3"/>
    <n v="1"/>
    <n v="0.09"/>
    <x v="1"/>
  </r>
  <r>
    <s v="10d5f159-a06d-4c0b-8ca6-20231beefa15"/>
    <n v="50"/>
    <x v="3"/>
    <x v="0"/>
    <x v="0"/>
    <n v="19.48"/>
    <n v="49"/>
    <x v="1"/>
    <x v="1"/>
    <n v="13.99"/>
    <x v="1"/>
    <x v="4"/>
    <n v="3"/>
    <n v="0.39"/>
    <x v="1"/>
  </r>
  <r>
    <s v="19ff99c9-4347-4ec5-9ba7-d9680a0268a6"/>
    <n v="54"/>
    <x v="3"/>
    <x v="1"/>
    <x v="2"/>
    <n v="9.92"/>
    <n v="27"/>
    <x v="0"/>
    <x v="1"/>
    <n v="8.99"/>
    <x v="1"/>
    <x v="2"/>
    <n v="1"/>
    <n v="0.35"/>
    <x v="0"/>
  </r>
  <r>
    <s v="a20bd2c0-01c9-46f2-883e-addc3a0b0ab3"/>
    <n v="50"/>
    <x v="3"/>
    <x v="2"/>
    <x v="0"/>
    <n v="1.96"/>
    <n v="60"/>
    <x v="5"/>
    <x v="1"/>
    <n v="13.99"/>
    <x v="1"/>
    <x v="0"/>
    <n v="2"/>
    <n v="0.03"/>
    <x v="2"/>
  </r>
  <r>
    <s v="df6931fb-0022-4c8a-a665-d7a6fa7e896d"/>
    <n v="46"/>
    <x v="3"/>
    <x v="0"/>
    <x v="1"/>
    <n v="0.5"/>
    <n v="51"/>
    <x v="2"/>
    <x v="4"/>
    <n v="17.989999999999998"/>
    <x v="1"/>
    <x v="1"/>
    <n v="4"/>
    <n v="0.01"/>
    <x v="1"/>
  </r>
  <r>
    <s v="acccbbd5-848f-4151-a9e8-33e653d4e494"/>
    <n v="46"/>
    <x v="3"/>
    <x v="1"/>
    <x v="0"/>
    <n v="4"/>
    <n v="42"/>
    <x v="0"/>
    <x v="1"/>
    <n v="13.99"/>
    <x v="1"/>
    <x v="2"/>
    <n v="3"/>
    <n v="0.09"/>
    <x v="1"/>
  </r>
  <r>
    <s v="8cb6d729-372a-415e-a63f-7460bf042fb5"/>
    <n v="54"/>
    <x v="3"/>
    <x v="0"/>
    <x v="0"/>
    <n v="9.9700000000000006"/>
    <n v="2"/>
    <x v="0"/>
    <x v="4"/>
    <n v="13.99"/>
    <x v="0"/>
    <x v="1"/>
    <n v="2"/>
    <n v="3.32"/>
    <x v="4"/>
  </r>
  <r>
    <s v="0d84a40e-1adf-46a9-850f-312e3efd401b"/>
    <n v="47"/>
    <x v="3"/>
    <x v="2"/>
    <x v="0"/>
    <n v="13.37"/>
    <n v="46"/>
    <x v="0"/>
    <x v="2"/>
    <n v="13.99"/>
    <x v="1"/>
    <x v="0"/>
    <n v="3"/>
    <n v="0.28000000000000003"/>
    <x v="6"/>
  </r>
  <r>
    <s v="0090f79e-a776-489a-9112-5f71e7870f94"/>
    <n v="53"/>
    <x v="3"/>
    <x v="0"/>
    <x v="0"/>
    <n v="0.89"/>
    <n v="42"/>
    <x v="1"/>
    <x v="0"/>
    <n v="13.99"/>
    <x v="1"/>
    <x v="2"/>
    <n v="3"/>
    <n v="0.02"/>
    <x v="4"/>
  </r>
  <r>
    <s v="a65d3fbe-d5b0-4ac7-840c-fdca8d9a9379"/>
    <n v="53"/>
    <x v="3"/>
    <x v="2"/>
    <x v="2"/>
    <n v="79.83"/>
    <n v="27"/>
    <x v="5"/>
    <x v="0"/>
    <n v="8.99"/>
    <x v="0"/>
    <x v="4"/>
    <n v="3"/>
    <n v="2.85"/>
    <x v="6"/>
  </r>
  <r>
    <s v="b96865dc-ec6f-42ff-8d8b-9a0bf7d5b6be"/>
    <n v="45"/>
    <x v="3"/>
    <x v="2"/>
    <x v="0"/>
    <n v="2.69"/>
    <n v="8"/>
    <x v="0"/>
    <x v="4"/>
    <n v="13.99"/>
    <x v="1"/>
    <x v="0"/>
    <n v="3"/>
    <n v="0.3"/>
    <x v="0"/>
  </r>
  <r>
    <s v="99700d41-55b7-4d78-acd3-86a1060d880c"/>
    <n v="53"/>
    <x v="3"/>
    <x v="0"/>
    <x v="2"/>
    <n v="0.19"/>
    <n v="25"/>
    <x v="4"/>
    <x v="1"/>
    <n v="8.99"/>
    <x v="1"/>
    <x v="3"/>
    <n v="4"/>
    <n v="0.01"/>
    <x v="4"/>
  </r>
  <r>
    <s v="99ac905d-c892-41e1-b9dc-619aace2175a"/>
    <n v="51"/>
    <x v="3"/>
    <x v="0"/>
    <x v="0"/>
    <n v="1.91"/>
    <n v="8"/>
    <x v="1"/>
    <x v="1"/>
    <n v="13.99"/>
    <x v="1"/>
    <x v="3"/>
    <n v="3"/>
    <n v="0.21"/>
    <x v="1"/>
  </r>
  <r>
    <s v="71c014eb-50d0-488e-9f41-b4db638f20be"/>
    <n v="54"/>
    <x v="3"/>
    <x v="1"/>
    <x v="0"/>
    <n v="4.6900000000000004"/>
    <n v="6"/>
    <x v="2"/>
    <x v="1"/>
    <n v="13.99"/>
    <x v="0"/>
    <x v="4"/>
    <n v="5"/>
    <n v="0.67"/>
    <x v="5"/>
  </r>
  <r>
    <s v="eaafa153-5c55-4d3b-897c-ef6198ece521"/>
    <n v="52"/>
    <x v="3"/>
    <x v="0"/>
    <x v="1"/>
    <n v="2.0499999999999998"/>
    <n v="24"/>
    <x v="3"/>
    <x v="2"/>
    <n v="17.989999999999998"/>
    <x v="1"/>
    <x v="4"/>
    <n v="2"/>
    <n v="0.08"/>
    <x v="4"/>
  </r>
  <r>
    <s v="8c15047a-4ddf-4b9b-9f42-5e616af49dc1"/>
    <n v="50"/>
    <x v="3"/>
    <x v="1"/>
    <x v="0"/>
    <n v="6.11"/>
    <n v="12"/>
    <x v="3"/>
    <x v="0"/>
    <n v="13.99"/>
    <x v="0"/>
    <x v="1"/>
    <n v="2"/>
    <n v="0.47"/>
    <x v="5"/>
  </r>
  <r>
    <s v="8790e02e-d917-4c2b-bcae-249e1597109c"/>
    <n v="51"/>
    <x v="3"/>
    <x v="1"/>
    <x v="2"/>
    <n v="2.42"/>
    <n v="9"/>
    <x v="1"/>
    <x v="4"/>
    <n v="8.99"/>
    <x v="1"/>
    <x v="0"/>
    <n v="5"/>
    <n v="0.24"/>
    <x v="5"/>
  </r>
  <r>
    <s v="6a427566-52a2-4932-9486-979c1bc514d8"/>
    <n v="51"/>
    <x v="3"/>
    <x v="1"/>
    <x v="1"/>
    <n v="7.64"/>
    <n v="13"/>
    <x v="3"/>
    <x v="1"/>
    <n v="17.989999999999998"/>
    <x v="0"/>
    <x v="4"/>
    <n v="2"/>
    <n v="0.55000000000000004"/>
    <x v="4"/>
  </r>
  <r>
    <s v="5fd7658b-f5bb-462e-b9e4-86a4485b0fb0"/>
    <n v="53"/>
    <x v="3"/>
    <x v="1"/>
    <x v="1"/>
    <n v="21.9"/>
    <n v="28"/>
    <x v="3"/>
    <x v="3"/>
    <n v="17.989999999999998"/>
    <x v="0"/>
    <x v="2"/>
    <n v="2"/>
    <n v="0.76"/>
    <x v="5"/>
  </r>
  <r>
    <s v="444b694b-d1b2-476b-98d7-f05298e37b91"/>
    <n v="47"/>
    <x v="3"/>
    <x v="1"/>
    <x v="1"/>
    <n v="15.18"/>
    <n v="30"/>
    <x v="0"/>
    <x v="3"/>
    <n v="17.989999999999998"/>
    <x v="0"/>
    <x v="0"/>
    <n v="4"/>
    <n v="0.49"/>
    <x v="2"/>
  </r>
  <r>
    <s v="e5fa0aa5-41a0-4c47-8547-4d9600229701"/>
    <n v="51"/>
    <x v="3"/>
    <x v="0"/>
    <x v="2"/>
    <n v="13.92"/>
    <n v="29"/>
    <x v="2"/>
    <x v="3"/>
    <n v="8.99"/>
    <x v="1"/>
    <x v="4"/>
    <n v="1"/>
    <n v="0.46"/>
    <x v="0"/>
  </r>
  <r>
    <s v="f4fc7c39-6b78-4437-ab00-8ab2957f73f7"/>
    <n v="52"/>
    <x v="3"/>
    <x v="1"/>
    <x v="2"/>
    <n v="13.94"/>
    <n v="56"/>
    <x v="0"/>
    <x v="3"/>
    <n v="8.99"/>
    <x v="1"/>
    <x v="3"/>
    <n v="3"/>
    <n v="0.24"/>
    <x v="5"/>
  </r>
  <r>
    <s v="489dcbd1-474e-42b6-878e-f62c181860f6"/>
    <n v="53"/>
    <x v="3"/>
    <x v="1"/>
    <x v="0"/>
    <n v="39.33"/>
    <n v="16"/>
    <x v="5"/>
    <x v="1"/>
    <n v="13.99"/>
    <x v="0"/>
    <x v="1"/>
    <n v="4"/>
    <n v="2.31"/>
    <x v="5"/>
  </r>
  <r>
    <s v="95c88693-4388-4ab9-bd37-c917bc4c8d1d"/>
    <n v="50"/>
    <x v="3"/>
    <x v="2"/>
    <x v="1"/>
    <n v="22.44"/>
    <n v="29"/>
    <x v="1"/>
    <x v="4"/>
    <n v="17.989999999999998"/>
    <x v="0"/>
    <x v="2"/>
    <n v="2"/>
    <n v="0.75"/>
    <x v="3"/>
  </r>
  <r>
    <s v="e16e6ae0-8e67-4b63-80a5-a0f7e8801ed7"/>
    <n v="49"/>
    <x v="3"/>
    <x v="0"/>
    <x v="2"/>
    <n v="6.56"/>
    <n v="10"/>
    <x v="3"/>
    <x v="0"/>
    <n v="8.99"/>
    <x v="0"/>
    <x v="1"/>
    <n v="5"/>
    <n v="0.6"/>
    <x v="1"/>
  </r>
  <r>
    <s v="697ba97e-0ab7-465c-8c43-87a7e484dfac"/>
    <n v="53"/>
    <x v="3"/>
    <x v="1"/>
    <x v="2"/>
    <n v="14.1"/>
    <n v="42"/>
    <x v="4"/>
    <x v="1"/>
    <n v="8.99"/>
    <x v="1"/>
    <x v="3"/>
    <n v="5"/>
    <n v="0.33"/>
    <x v="2"/>
  </r>
  <r>
    <s v="30add045-ab3e-4753-abfa-c317ec02730a"/>
    <n v="51"/>
    <x v="3"/>
    <x v="2"/>
    <x v="0"/>
    <n v="12.91"/>
    <n v="42"/>
    <x v="4"/>
    <x v="4"/>
    <n v="13.99"/>
    <x v="1"/>
    <x v="1"/>
    <n v="1"/>
    <n v="0.3"/>
    <x v="1"/>
  </r>
  <r>
    <s v="1b829a44-ed16-4913-aac5-28506c92e0a9"/>
    <n v="53"/>
    <x v="3"/>
    <x v="1"/>
    <x v="1"/>
    <n v="1.64"/>
    <n v="5"/>
    <x v="4"/>
    <x v="1"/>
    <n v="17.989999999999998"/>
    <x v="1"/>
    <x v="0"/>
    <n v="1"/>
    <n v="0.27"/>
    <x v="2"/>
  </r>
  <r>
    <s v="55aa7135-3268-48a1-a965-0fac4eddb7b8"/>
    <n v="47"/>
    <x v="3"/>
    <x v="1"/>
    <x v="2"/>
    <n v="5.53"/>
    <n v="17"/>
    <x v="4"/>
    <x v="1"/>
    <n v="8.99"/>
    <x v="0"/>
    <x v="1"/>
    <n v="2"/>
    <n v="0.31"/>
    <x v="4"/>
  </r>
  <r>
    <s v="bcae9b58-6081-44e3-8dec-26406f6835e7"/>
    <n v="49"/>
    <x v="3"/>
    <x v="2"/>
    <x v="2"/>
    <n v="18.97"/>
    <n v="60"/>
    <x v="5"/>
    <x v="2"/>
    <n v="8.99"/>
    <x v="1"/>
    <x v="4"/>
    <n v="3"/>
    <n v="0.31"/>
    <x v="3"/>
  </r>
  <r>
    <s v="036b4a5f-d26d-40e3-ba14-669a725bdb1f"/>
    <n v="53"/>
    <x v="3"/>
    <x v="2"/>
    <x v="0"/>
    <n v="13.02"/>
    <n v="41"/>
    <x v="3"/>
    <x v="0"/>
    <n v="13.99"/>
    <x v="1"/>
    <x v="4"/>
    <n v="3"/>
    <n v="0.31"/>
    <x v="4"/>
  </r>
  <r>
    <s v="5ed9091c-6b7e-4351-b526-d57df230b26d"/>
    <n v="49"/>
    <x v="3"/>
    <x v="2"/>
    <x v="0"/>
    <n v="35.69"/>
    <n v="42"/>
    <x v="4"/>
    <x v="0"/>
    <n v="13.99"/>
    <x v="0"/>
    <x v="2"/>
    <n v="2"/>
    <n v="0.83"/>
    <x v="0"/>
  </r>
  <r>
    <s v="fbf7eced-0008-448b-a601-d051971b1764"/>
    <n v="54"/>
    <x v="3"/>
    <x v="1"/>
    <x v="0"/>
    <n v="27.56"/>
    <n v="28"/>
    <x v="0"/>
    <x v="1"/>
    <n v="13.99"/>
    <x v="0"/>
    <x v="3"/>
    <n v="5"/>
    <n v="0.95"/>
    <x v="2"/>
  </r>
  <r>
    <s v="750a6638-3b93-407c-80b6-074f7b7e9673"/>
    <n v="45"/>
    <x v="3"/>
    <x v="1"/>
    <x v="1"/>
    <n v="19.18"/>
    <n v="49"/>
    <x v="4"/>
    <x v="2"/>
    <n v="17.989999999999998"/>
    <x v="1"/>
    <x v="4"/>
    <n v="5"/>
    <n v="0.38"/>
    <x v="5"/>
  </r>
  <r>
    <s v="c414e639-5ea4-4481-b760-4c16636863fb"/>
    <n v="47"/>
    <x v="3"/>
    <x v="1"/>
    <x v="2"/>
    <n v="14.58"/>
    <n v="56"/>
    <x v="0"/>
    <x v="3"/>
    <n v="8.99"/>
    <x v="1"/>
    <x v="2"/>
    <n v="3"/>
    <n v="0.26"/>
    <x v="5"/>
  </r>
  <r>
    <s v="7f00af18-e9a7-464e-a6b5-b9b10a54b27d"/>
    <n v="52"/>
    <x v="3"/>
    <x v="0"/>
    <x v="1"/>
    <n v="2.69"/>
    <n v="54"/>
    <x v="2"/>
    <x v="2"/>
    <n v="17.989999999999998"/>
    <x v="1"/>
    <x v="0"/>
    <n v="3"/>
    <n v="0.05"/>
    <x v="6"/>
  </r>
  <r>
    <s v="8c2d6f55-ade2-477e-b273-53e50b0a40b7"/>
    <n v="52"/>
    <x v="3"/>
    <x v="1"/>
    <x v="2"/>
    <n v="33.99"/>
    <n v="30"/>
    <x v="0"/>
    <x v="1"/>
    <n v="8.99"/>
    <x v="0"/>
    <x v="2"/>
    <n v="2"/>
    <n v="1.1000000000000001"/>
    <x v="0"/>
  </r>
  <r>
    <s v="e1ba461d-21c7-4a8a-9629-d916d9b5cff7"/>
    <n v="53"/>
    <x v="3"/>
    <x v="2"/>
    <x v="2"/>
    <n v="25.23"/>
    <n v="5"/>
    <x v="1"/>
    <x v="3"/>
    <n v="8.99"/>
    <x v="0"/>
    <x v="2"/>
    <n v="1"/>
    <n v="4.21"/>
    <x v="5"/>
  </r>
  <r>
    <s v="17d1f30d-33be-4bc4-ba78-8a57cdc8ef8d"/>
    <n v="46"/>
    <x v="3"/>
    <x v="2"/>
    <x v="1"/>
    <n v="4.4000000000000004"/>
    <n v="24"/>
    <x v="2"/>
    <x v="4"/>
    <n v="17.989999999999998"/>
    <x v="0"/>
    <x v="3"/>
    <n v="4"/>
    <n v="0.18"/>
    <x v="5"/>
  </r>
  <r>
    <s v="b585c7c3-46df-4c32-95eb-12551b1bb2d8"/>
    <n v="53"/>
    <x v="3"/>
    <x v="2"/>
    <x v="2"/>
    <n v="15.01"/>
    <n v="25"/>
    <x v="0"/>
    <x v="4"/>
    <n v="8.99"/>
    <x v="0"/>
    <x v="1"/>
    <n v="2"/>
    <n v="0.57999999999999996"/>
    <x v="4"/>
  </r>
  <r>
    <s v="91cf940b-4be6-4692-b46e-53cc59c3bc36"/>
    <n v="53"/>
    <x v="3"/>
    <x v="1"/>
    <x v="2"/>
    <n v="16.649999999999999"/>
    <n v="0"/>
    <x v="1"/>
    <x v="3"/>
    <n v="8.99"/>
    <x v="0"/>
    <x v="1"/>
    <n v="4"/>
    <n v="16.649999999999999"/>
    <x v="6"/>
  </r>
  <r>
    <s v="dcece5b0-43e4-466c-9511-3fbae0a3b624"/>
    <n v="48"/>
    <x v="3"/>
    <x v="2"/>
    <x v="2"/>
    <n v="15.91"/>
    <n v="21"/>
    <x v="1"/>
    <x v="0"/>
    <n v="8.99"/>
    <x v="0"/>
    <x v="4"/>
    <n v="2"/>
    <n v="0.72"/>
    <x v="5"/>
  </r>
  <r>
    <s v="d6fde866-8dab-414d-93a6-44293e26c97b"/>
    <n v="51"/>
    <x v="3"/>
    <x v="1"/>
    <x v="1"/>
    <n v="20.55"/>
    <n v="20"/>
    <x v="2"/>
    <x v="0"/>
    <n v="17.989999999999998"/>
    <x v="0"/>
    <x v="2"/>
    <n v="5"/>
    <n v="0.98"/>
    <x v="6"/>
  </r>
  <r>
    <s v="89c5d399-6c86-4310-b981-2bd58fc37e57"/>
    <n v="50"/>
    <x v="3"/>
    <x v="2"/>
    <x v="1"/>
    <n v="8.48"/>
    <n v="13"/>
    <x v="0"/>
    <x v="4"/>
    <n v="17.989999999999998"/>
    <x v="0"/>
    <x v="3"/>
    <n v="3"/>
    <n v="0.61"/>
    <x v="6"/>
  </r>
  <r>
    <s v="165348b6-2c90-4d08-88c4-9c3a76076b85"/>
    <n v="52"/>
    <x v="3"/>
    <x v="2"/>
    <x v="2"/>
    <n v="6.78"/>
    <n v="2"/>
    <x v="0"/>
    <x v="2"/>
    <n v="8.99"/>
    <x v="0"/>
    <x v="4"/>
    <n v="1"/>
    <n v="2.2599999999999998"/>
    <x v="4"/>
  </r>
  <r>
    <s v="1715c4e4-7c56-4bcf-845a-4c366c39e8fc"/>
    <n v="53"/>
    <x v="3"/>
    <x v="0"/>
    <x v="2"/>
    <n v="0.01"/>
    <n v="55"/>
    <x v="3"/>
    <x v="2"/>
    <n v="8.99"/>
    <x v="1"/>
    <x v="3"/>
    <n v="3"/>
    <n v="0"/>
    <x v="5"/>
  </r>
  <r>
    <s v="1986a40f-eb95-42f1-866c-0aa905972aa5"/>
    <n v="46"/>
    <x v="3"/>
    <x v="0"/>
    <x v="2"/>
    <n v="4.1500000000000004"/>
    <n v="50"/>
    <x v="4"/>
    <x v="0"/>
    <n v="8.99"/>
    <x v="1"/>
    <x v="1"/>
    <n v="2"/>
    <n v="0.08"/>
    <x v="5"/>
  </r>
  <r>
    <s v="23d09f18-697f-4233-b1a5-6fe4513aab29"/>
    <n v="52"/>
    <x v="3"/>
    <x v="2"/>
    <x v="1"/>
    <n v="27.41"/>
    <n v="1"/>
    <x v="3"/>
    <x v="1"/>
    <n v="17.989999999999998"/>
    <x v="0"/>
    <x v="0"/>
    <n v="2"/>
    <n v="13.71"/>
    <x v="3"/>
  </r>
  <r>
    <s v="cd974314-1954-4de9-9813-63cb988be716"/>
    <n v="48"/>
    <x v="3"/>
    <x v="2"/>
    <x v="1"/>
    <n v="1.64"/>
    <n v="11"/>
    <x v="4"/>
    <x v="2"/>
    <n v="17.989999999999998"/>
    <x v="1"/>
    <x v="4"/>
    <n v="1"/>
    <n v="0.14000000000000001"/>
    <x v="0"/>
  </r>
  <r>
    <s v="7f3ea46a-0d94-46df-a668-471a6e468f64"/>
    <n v="54"/>
    <x v="3"/>
    <x v="1"/>
    <x v="0"/>
    <n v="8.5500000000000007"/>
    <n v="57"/>
    <x v="5"/>
    <x v="2"/>
    <n v="13.99"/>
    <x v="1"/>
    <x v="3"/>
    <n v="1"/>
    <n v="0.15"/>
    <x v="2"/>
  </r>
  <r>
    <s v="2986b2af-cafa-4e8e-84ef-935c90683c79"/>
    <n v="45"/>
    <x v="3"/>
    <x v="2"/>
    <x v="0"/>
    <n v="8.7100000000000009"/>
    <n v="23"/>
    <x v="2"/>
    <x v="4"/>
    <n v="13.99"/>
    <x v="0"/>
    <x v="2"/>
    <n v="5"/>
    <n v="0.36"/>
    <x v="1"/>
  </r>
  <r>
    <s v="23a6a866-d1a1-4929-9b5d-97c99ed39c80"/>
    <n v="48"/>
    <x v="3"/>
    <x v="1"/>
    <x v="0"/>
    <n v="4.6500000000000004"/>
    <n v="19"/>
    <x v="5"/>
    <x v="1"/>
    <n v="13.99"/>
    <x v="0"/>
    <x v="1"/>
    <n v="4"/>
    <n v="0.23"/>
    <x v="4"/>
  </r>
  <r>
    <s v="93ddd2c6-7761-44e5-a8b5-a43863575f33"/>
    <n v="47"/>
    <x v="3"/>
    <x v="0"/>
    <x v="0"/>
    <n v="13.28"/>
    <n v="20"/>
    <x v="1"/>
    <x v="2"/>
    <n v="13.99"/>
    <x v="0"/>
    <x v="3"/>
    <n v="3"/>
    <n v="0.63"/>
    <x v="5"/>
  </r>
  <r>
    <s v="3c43176b-3672-4722-87a6-74a88692c573"/>
    <n v="46"/>
    <x v="3"/>
    <x v="2"/>
    <x v="1"/>
    <n v="4.67"/>
    <n v="58"/>
    <x v="0"/>
    <x v="0"/>
    <n v="17.989999999999998"/>
    <x v="1"/>
    <x v="3"/>
    <n v="1"/>
    <n v="0.08"/>
    <x v="5"/>
  </r>
  <r>
    <s v="e33f6670-abe6-4931-8c94-3c94e8a9ce49"/>
    <n v="49"/>
    <x v="3"/>
    <x v="2"/>
    <x v="0"/>
    <n v="9.39"/>
    <n v="22"/>
    <x v="1"/>
    <x v="1"/>
    <n v="13.99"/>
    <x v="0"/>
    <x v="4"/>
    <n v="1"/>
    <n v="0.41"/>
    <x v="3"/>
  </r>
  <r>
    <s v="2094b063-9307-43b4-93e2-c886a4267f3e"/>
    <n v="51"/>
    <x v="3"/>
    <x v="2"/>
    <x v="1"/>
    <n v="10.86"/>
    <n v="46"/>
    <x v="1"/>
    <x v="2"/>
    <n v="17.989999999999998"/>
    <x v="0"/>
    <x v="2"/>
    <n v="4"/>
    <n v="0.23"/>
    <x v="6"/>
  </r>
  <r>
    <s v="2f3049d1-4d2c-4843-a9c2-8fc9120b4c94"/>
    <n v="49"/>
    <x v="3"/>
    <x v="0"/>
    <x v="2"/>
    <n v="13.93"/>
    <n v="34"/>
    <x v="4"/>
    <x v="1"/>
    <n v="8.99"/>
    <x v="1"/>
    <x v="2"/>
    <n v="2"/>
    <n v="0.4"/>
    <x v="1"/>
  </r>
  <r>
    <s v="373a5341-9fae-4e0f-b0cb-940c4142c903"/>
    <n v="49"/>
    <x v="3"/>
    <x v="1"/>
    <x v="2"/>
    <n v="16.82"/>
    <n v="5"/>
    <x v="0"/>
    <x v="0"/>
    <n v="8.99"/>
    <x v="0"/>
    <x v="4"/>
    <n v="5"/>
    <n v="2.8"/>
    <x v="4"/>
  </r>
  <r>
    <s v="aac9ebfd-3df9-483c-8fa5-ff1d45671696"/>
    <n v="48"/>
    <x v="3"/>
    <x v="2"/>
    <x v="1"/>
    <n v="28.14"/>
    <n v="60"/>
    <x v="3"/>
    <x v="2"/>
    <n v="17.989999999999998"/>
    <x v="0"/>
    <x v="2"/>
    <n v="2"/>
    <n v="0.46"/>
    <x v="1"/>
  </r>
  <r>
    <s v="44dbc1a9-eb73-4769-bb12-4664aaac9fd5"/>
    <n v="45"/>
    <x v="3"/>
    <x v="2"/>
    <x v="1"/>
    <n v="8.2799999999999994"/>
    <n v="16"/>
    <x v="2"/>
    <x v="3"/>
    <n v="17.989999999999998"/>
    <x v="0"/>
    <x v="1"/>
    <n v="5"/>
    <n v="0.49"/>
    <x v="2"/>
  </r>
  <r>
    <s v="e7ef30c9-36eb-4033-ba19-2baf2f0563c8"/>
    <n v="54"/>
    <x v="3"/>
    <x v="0"/>
    <x v="2"/>
    <n v="27.8"/>
    <n v="9"/>
    <x v="4"/>
    <x v="0"/>
    <n v="8.99"/>
    <x v="0"/>
    <x v="4"/>
    <n v="4"/>
    <n v="2.78"/>
    <x v="2"/>
  </r>
  <r>
    <s v="027c06c0-4dec-43d4-91eb-d2a5a70f92e0"/>
    <n v="49"/>
    <x v="3"/>
    <x v="0"/>
    <x v="1"/>
    <n v="0.48"/>
    <n v="35"/>
    <x v="4"/>
    <x v="1"/>
    <n v="17.989999999999998"/>
    <x v="1"/>
    <x v="3"/>
    <n v="3"/>
    <n v="0.01"/>
    <x v="6"/>
  </r>
  <r>
    <s v="504c17d7-19fd-456d-a80e-b60c45ce6e7f"/>
    <n v="46"/>
    <x v="3"/>
    <x v="2"/>
    <x v="1"/>
    <n v="13.66"/>
    <n v="31"/>
    <x v="2"/>
    <x v="2"/>
    <n v="17.989999999999998"/>
    <x v="1"/>
    <x v="3"/>
    <n v="1"/>
    <n v="0.43"/>
    <x v="1"/>
  </r>
  <r>
    <s v="6c63319f-2d29-4cd8-ae08-7d646783282a"/>
    <n v="54"/>
    <x v="3"/>
    <x v="1"/>
    <x v="0"/>
    <n v="6.59"/>
    <n v="40"/>
    <x v="4"/>
    <x v="3"/>
    <n v="13.99"/>
    <x v="1"/>
    <x v="0"/>
    <n v="4"/>
    <n v="0.16"/>
    <x v="2"/>
  </r>
  <r>
    <s v="25790560-f785-425f-a426-fd3545fc21ad"/>
    <n v="47"/>
    <x v="3"/>
    <x v="0"/>
    <x v="2"/>
    <n v="6.28"/>
    <n v="3"/>
    <x v="5"/>
    <x v="4"/>
    <n v="8.99"/>
    <x v="0"/>
    <x v="1"/>
    <n v="2"/>
    <n v="1.57"/>
    <x v="5"/>
  </r>
  <r>
    <s v="7d0a7427-093b-4583-9b8e-13162463ad6a"/>
    <n v="52"/>
    <x v="3"/>
    <x v="1"/>
    <x v="0"/>
    <n v="13.22"/>
    <n v="37"/>
    <x v="1"/>
    <x v="2"/>
    <n v="13.99"/>
    <x v="1"/>
    <x v="0"/>
    <n v="2"/>
    <n v="0.35"/>
    <x v="0"/>
  </r>
  <r>
    <s v="acb5b541-437d-4150-9562-2639a38159db"/>
    <n v="52"/>
    <x v="3"/>
    <x v="2"/>
    <x v="1"/>
    <n v="7.03"/>
    <n v="19"/>
    <x v="3"/>
    <x v="4"/>
    <n v="17.989999999999998"/>
    <x v="0"/>
    <x v="2"/>
    <n v="2"/>
    <n v="0.35"/>
    <x v="5"/>
  </r>
  <r>
    <s v="96845736-2edd-450d-8678-2d935b5b3f09"/>
    <n v="52"/>
    <x v="3"/>
    <x v="2"/>
    <x v="1"/>
    <n v="3.11"/>
    <n v="50"/>
    <x v="4"/>
    <x v="2"/>
    <n v="17.989999999999998"/>
    <x v="1"/>
    <x v="2"/>
    <n v="4"/>
    <n v="0.06"/>
    <x v="1"/>
  </r>
  <r>
    <s v="42fb7dc0-56cd-426e-8c8e-19808925ea59"/>
    <n v="48"/>
    <x v="3"/>
    <x v="0"/>
    <x v="2"/>
    <n v="0.28999999999999998"/>
    <n v="33"/>
    <x v="4"/>
    <x v="4"/>
    <n v="8.99"/>
    <x v="1"/>
    <x v="1"/>
    <n v="1"/>
    <n v="0.01"/>
    <x v="2"/>
  </r>
  <r>
    <s v="2024bd7e-e873-48c0-9e44-5c66143e14a2"/>
    <n v="52"/>
    <x v="3"/>
    <x v="0"/>
    <x v="0"/>
    <n v="1.69"/>
    <n v="54"/>
    <x v="2"/>
    <x v="1"/>
    <n v="13.99"/>
    <x v="1"/>
    <x v="1"/>
    <n v="3"/>
    <n v="0.03"/>
    <x v="5"/>
  </r>
  <r>
    <s v="28e30bf4-e7c0-4579-9c38-0aee5d5ea3f2"/>
    <n v="50"/>
    <x v="3"/>
    <x v="1"/>
    <x v="2"/>
    <n v="0.61"/>
    <n v="16"/>
    <x v="0"/>
    <x v="0"/>
    <n v="8.99"/>
    <x v="1"/>
    <x v="4"/>
    <n v="2"/>
    <n v="0.04"/>
    <x v="0"/>
  </r>
  <r>
    <s v="3fd47b85-cf5a-414e-9929-7ed51be738ab"/>
    <n v="45"/>
    <x v="3"/>
    <x v="1"/>
    <x v="1"/>
    <n v="3.2"/>
    <n v="57"/>
    <x v="5"/>
    <x v="0"/>
    <n v="17.989999999999998"/>
    <x v="1"/>
    <x v="2"/>
    <n v="1"/>
    <n v="0.06"/>
    <x v="6"/>
  </r>
  <r>
    <s v="4f3c78e6-9e90-4601-bece-377f38567cef"/>
    <n v="51"/>
    <x v="3"/>
    <x v="2"/>
    <x v="0"/>
    <n v="7.01"/>
    <n v="38"/>
    <x v="0"/>
    <x v="4"/>
    <n v="13.99"/>
    <x v="1"/>
    <x v="4"/>
    <n v="2"/>
    <n v="0.18"/>
    <x v="6"/>
  </r>
  <r>
    <s v="5e0f5d5f-f7b8-4ad4-a56f-22b2bb3c43e4"/>
    <n v="48"/>
    <x v="3"/>
    <x v="1"/>
    <x v="2"/>
    <n v="0.75"/>
    <n v="55"/>
    <x v="4"/>
    <x v="1"/>
    <n v="8.99"/>
    <x v="1"/>
    <x v="3"/>
    <n v="5"/>
    <n v="0.01"/>
    <x v="3"/>
  </r>
  <r>
    <s v="abd4eaa5-969c-4035-bd81-b98533442ae0"/>
    <n v="51"/>
    <x v="3"/>
    <x v="1"/>
    <x v="2"/>
    <n v="25.77"/>
    <n v="38"/>
    <x v="2"/>
    <x v="2"/>
    <n v="8.99"/>
    <x v="0"/>
    <x v="3"/>
    <n v="4"/>
    <n v="0.66"/>
    <x v="3"/>
  </r>
  <r>
    <s v="ffd7a77d-7608-4dbc-82d1-c2d4d1d5d132"/>
    <n v="49"/>
    <x v="3"/>
    <x v="1"/>
    <x v="1"/>
    <n v="19.3"/>
    <n v="19"/>
    <x v="5"/>
    <x v="2"/>
    <n v="17.989999999999998"/>
    <x v="0"/>
    <x v="3"/>
    <n v="5"/>
    <n v="0.97"/>
    <x v="2"/>
  </r>
  <r>
    <s v="1f796607-be06-4e6a-a102-2efc78b1ca16"/>
    <n v="49"/>
    <x v="3"/>
    <x v="2"/>
    <x v="1"/>
    <n v="1"/>
    <n v="40"/>
    <x v="0"/>
    <x v="4"/>
    <n v="17.989999999999998"/>
    <x v="1"/>
    <x v="4"/>
    <n v="4"/>
    <n v="0.02"/>
    <x v="5"/>
  </r>
  <r>
    <s v="7b0d81cd-c249-4d2d-9cdc-6ee9d85ed283"/>
    <n v="47"/>
    <x v="3"/>
    <x v="0"/>
    <x v="2"/>
    <n v="3.84"/>
    <n v="2"/>
    <x v="1"/>
    <x v="2"/>
    <n v="8.99"/>
    <x v="0"/>
    <x v="2"/>
    <n v="2"/>
    <n v="1.28"/>
    <x v="3"/>
  </r>
  <r>
    <s v="b034d781-e4ca-4cfc-b645-e9531ef2d347"/>
    <n v="50"/>
    <x v="3"/>
    <x v="1"/>
    <x v="1"/>
    <n v="1.05"/>
    <n v="42"/>
    <x v="0"/>
    <x v="1"/>
    <n v="17.989999999999998"/>
    <x v="1"/>
    <x v="2"/>
    <n v="2"/>
    <n v="0.02"/>
    <x v="3"/>
  </r>
  <r>
    <s v="6032d0f5-e5c0-49d2-971d-079db6c358df"/>
    <n v="51"/>
    <x v="3"/>
    <x v="1"/>
    <x v="0"/>
    <n v="1.96"/>
    <n v="26"/>
    <x v="1"/>
    <x v="4"/>
    <n v="13.99"/>
    <x v="0"/>
    <x v="1"/>
    <n v="4"/>
    <n v="7.0000000000000007E-2"/>
    <x v="5"/>
  </r>
  <r>
    <s v="1ba18211-9c5f-498f-b188-b5b5f58ff198"/>
    <n v="48"/>
    <x v="3"/>
    <x v="2"/>
    <x v="0"/>
    <n v="7.38"/>
    <n v="4"/>
    <x v="2"/>
    <x v="3"/>
    <n v="13.99"/>
    <x v="0"/>
    <x v="2"/>
    <n v="4"/>
    <n v="1.48"/>
    <x v="2"/>
  </r>
  <r>
    <s v="161da9aa-5e4f-427e-a647-bc015a469252"/>
    <n v="54"/>
    <x v="3"/>
    <x v="2"/>
    <x v="2"/>
    <n v="4.8499999999999996"/>
    <n v="37"/>
    <x v="3"/>
    <x v="4"/>
    <n v="8.99"/>
    <x v="1"/>
    <x v="2"/>
    <n v="4"/>
    <n v="0.13"/>
    <x v="1"/>
  </r>
  <r>
    <s v="4e3cbc2a-8c21-4845-932b-bd5bbb02e10b"/>
    <n v="53"/>
    <x v="3"/>
    <x v="0"/>
    <x v="0"/>
    <n v="26.91"/>
    <n v="19"/>
    <x v="4"/>
    <x v="4"/>
    <n v="13.99"/>
    <x v="0"/>
    <x v="1"/>
    <n v="2"/>
    <n v="1.35"/>
    <x v="3"/>
  </r>
  <r>
    <s v="f71aec52-ab1e-4dcf-a184-69646fe45f56"/>
    <n v="50"/>
    <x v="3"/>
    <x v="1"/>
    <x v="2"/>
    <n v="1.1100000000000001"/>
    <n v="44"/>
    <x v="4"/>
    <x v="1"/>
    <n v="8.99"/>
    <x v="1"/>
    <x v="3"/>
    <n v="5"/>
    <n v="0.02"/>
    <x v="4"/>
  </r>
  <r>
    <s v="f3c0fef7-e0e2-4559-9541-63d4d6c943ce"/>
    <n v="46"/>
    <x v="3"/>
    <x v="0"/>
    <x v="0"/>
    <n v="13.81"/>
    <n v="13"/>
    <x v="5"/>
    <x v="0"/>
    <n v="13.99"/>
    <x v="0"/>
    <x v="2"/>
    <n v="1"/>
    <n v="0.99"/>
    <x v="3"/>
  </r>
  <r>
    <s v="ae61debd-11d7-4e74-90b0-5058e273c518"/>
    <n v="49"/>
    <x v="3"/>
    <x v="1"/>
    <x v="1"/>
    <n v="8.48"/>
    <n v="10"/>
    <x v="4"/>
    <x v="1"/>
    <n v="17.989999999999998"/>
    <x v="0"/>
    <x v="3"/>
    <n v="1"/>
    <n v="0.77"/>
    <x v="2"/>
  </r>
  <r>
    <s v="b51e3fd6-b485-4fb4-8f4d-7308e8f8637f"/>
    <n v="46"/>
    <x v="3"/>
    <x v="2"/>
    <x v="1"/>
    <n v="0.48"/>
    <n v="36"/>
    <x v="0"/>
    <x v="0"/>
    <n v="17.989999999999998"/>
    <x v="1"/>
    <x v="4"/>
    <n v="5"/>
    <n v="0.01"/>
    <x v="4"/>
  </r>
  <r>
    <s v="43f062ac-2abc-4849-b273-eee6c1d03926"/>
    <n v="46"/>
    <x v="3"/>
    <x v="0"/>
    <x v="2"/>
    <n v="12.12"/>
    <n v="41"/>
    <x v="2"/>
    <x v="4"/>
    <n v="8.99"/>
    <x v="1"/>
    <x v="1"/>
    <n v="2"/>
    <n v="0.28999999999999998"/>
    <x v="0"/>
  </r>
  <r>
    <s v="31a4140a-c4fb-42c7-8854-4c24c438d18e"/>
    <n v="48"/>
    <x v="3"/>
    <x v="1"/>
    <x v="1"/>
    <n v="17.239999999999998"/>
    <n v="53"/>
    <x v="5"/>
    <x v="2"/>
    <n v="17.989999999999998"/>
    <x v="0"/>
    <x v="1"/>
    <n v="5"/>
    <n v="0.32"/>
    <x v="5"/>
  </r>
  <r>
    <s v="7ae87f0b-ec48-4a45-9947-aadbd421a2d8"/>
    <n v="51"/>
    <x v="3"/>
    <x v="2"/>
    <x v="0"/>
    <n v="8.43"/>
    <n v="37"/>
    <x v="2"/>
    <x v="2"/>
    <n v="13.99"/>
    <x v="1"/>
    <x v="1"/>
    <n v="1"/>
    <n v="0.22"/>
    <x v="5"/>
  </r>
  <r>
    <s v="d074446a-701b-4b52-8a63-790ae3d922b0"/>
    <n v="54"/>
    <x v="3"/>
    <x v="1"/>
    <x v="0"/>
    <n v="3.36"/>
    <n v="50"/>
    <x v="3"/>
    <x v="1"/>
    <n v="13.99"/>
    <x v="1"/>
    <x v="4"/>
    <n v="5"/>
    <n v="7.0000000000000007E-2"/>
    <x v="4"/>
  </r>
  <r>
    <s v="663438b8-2e83-49b7-8ca1-f4e8d89fa67f"/>
    <n v="54"/>
    <x v="3"/>
    <x v="0"/>
    <x v="1"/>
    <n v="2.08"/>
    <n v="12"/>
    <x v="3"/>
    <x v="2"/>
    <n v="17.989999999999998"/>
    <x v="0"/>
    <x v="1"/>
    <n v="5"/>
    <n v="0.16"/>
    <x v="3"/>
  </r>
  <r>
    <s v="4fc4e447-3b9a-4414-aed8-894d34103034"/>
    <n v="45"/>
    <x v="3"/>
    <x v="0"/>
    <x v="0"/>
    <n v="1.77"/>
    <n v="11"/>
    <x v="3"/>
    <x v="2"/>
    <n v="13.99"/>
    <x v="1"/>
    <x v="3"/>
    <n v="3"/>
    <n v="0.15"/>
    <x v="4"/>
  </r>
  <r>
    <s v="9ac104ea-5967-4a62-8f82-3a14e82ecde0"/>
    <n v="54"/>
    <x v="3"/>
    <x v="1"/>
    <x v="2"/>
    <n v="0.51"/>
    <n v="11"/>
    <x v="2"/>
    <x v="4"/>
    <n v="8.99"/>
    <x v="1"/>
    <x v="3"/>
    <n v="5"/>
    <n v="0.04"/>
    <x v="5"/>
  </r>
  <r>
    <s v="886ecf0d-e049-42b3-bb10-c2e7993a5682"/>
    <n v="53"/>
    <x v="3"/>
    <x v="2"/>
    <x v="2"/>
    <n v="6.45"/>
    <n v="6"/>
    <x v="2"/>
    <x v="2"/>
    <n v="8.99"/>
    <x v="0"/>
    <x v="2"/>
    <n v="5"/>
    <n v="0.92"/>
    <x v="5"/>
  </r>
  <r>
    <s v="0be77627-7c87-403b-9aa1-35591b045fba"/>
    <n v="50"/>
    <x v="3"/>
    <x v="1"/>
    <x v="1"/>
    <n v="27.56"/>
    <n v="44"/>
    <x v="3"/>
    <x v="0"/>
    <n v="17.989999999999998"/>
    <x v="0"/>
    <x v="4"/>
    <n v="4"/>
    <n v="0.61"/>
    <x v="1"/>
  </r>
  <r>
    <s v="44c26f24-daef-4b15-bed0-ec68547f0413"/>
    <n v="50"/>
    <x v="3"/>
    <x v="1"/>
    <x v="1"/>
    <n v="1.04"/>
    <n v="51"/>
    <x v="3"/>
    <x v="4"/>
    <n v="17.989999999999998"/>
    <x v="1"/>
    <x v="2"/>
    <n v="1"/>
    <n v="0.02"/>
    <x v="5"/>
  </r>
  <r>
    <s v="22f875b0-1894-46a3-b73c-e077fa665873"/>
    <n v="48"/>
    <x v="3"/>
    <x v="2"/>
    <x v="0"/>
    <n v="6.52"/>
    <n v="25"/>
    <x v="0"/>
    <x v="2"/>
    <n v="13.99"/>
    <x v="0"/>
    <x v="4"/>
    <n v="2"/>
    <n v="0.25"/>
    <x v="6"/>
  </r>
  <r>
    <s v="c69e8c4a-8081-46ab-9482-0147501a5603"/>
    <n v="51"/>
    <x v="3"/>
    <x v="2"/>
    <x v="1"/>
    <n v="9.77"/>
    <n v="29"/>
    <x v="0"/>
    <x v="0"/>
    <n v="17.989999999999998"/>
    <x v="0"/>
    <x v="0"/>
    <n v="3"/>
    <n v="0.33"/>
    <x v="0"/>
  </r>
  <r>
    <s v="b9616946-7d01-4c68-ac7d-b7dcd62fb6ad"/>
    <n v="48"/>
    <x v="3"/>
    <x v="1"/>
    <x v="2"/>
    <n v="22.19"/>
    <n v="34"/>
    <x v="2"/>
    <x v="2"/>
    <n v="8.99"/>
    <x v="0"/>
    <x v="2"/>
    <n v="2"/>
    <n v="0.63"/>
    <x v="4"/>
  </r>
  <r>
    <s v="7bb73ff8-9bb9-4f6d-866f-240f38cc21ee"/>
    <n v="52"/>
    <x v="3"/>
    <x v="0"/>
    <x v="0"/>
    <n v="31.15"/>
    <n v="57"/>
    <x v="1"/>
    <x v="0"/>
    <n v="13.99"/>
    <x v="0"/>
    <x v="3"/>
    <n v="5"/>
    <n v="0.54"/>
    <x v="2"/>
  </r>
  <r>
    <s v="3117ae22-8768-4682-b37c-f6788ee60ace"/>
    <n v="47"/>
    <x v="3"/>
    <x v="2"/>
    <x v="1"/>
    <n v="7.02"/>
    <n v="44"/>
    <x v="4"/>
    <x v="3"/>
    <n v="17.989999999999998"/>
    <x v="1"/>
    <x v="4"/>
    <n v="5"/>
    <n v="0.16"/>
    <x v="3"/>
  </r>
  <r>
    <s v="8ca4333b-e984-423e-8c3b-359064e08c95"/>
    <n v="46"/>
    <x v="3"/>
    <x v="1"/>
    <x v="0"/>
    <n v="38.53"/>
    <n v="49"/>
    <x v="1"/>
    <x v="1"/>
    <n v="13.99"/>
    <x v="0"/>
    <x v="0"/>
    <n v="2"/>
    <n v="0.77"/>
    <x v="6"/>
  </r>
  <r>
    <s v="bfa1ea14-554f-4ea6-bdde-025e9f3797f5"/>
    <n v="46"/>
    <x v="3"/>
    <x v="1"/>
    <x v="2"/>
    <n v="6.69"/>
    <n v="13"/>
    <x v="5"/>
    <x v="3"/>
    <n v="8.99"/>
    <x v="1"/>
    <x v="0"/>
    <n v="1"/>
    <n v="0.48"/>
    <x v="4"/>
  </r>
  <r>
    <s v="2026cff5-8c58-4355-8d63-cd1bd67114a1"/>
    <n v="45"/>
    <x v="3"/>
    <x v="1"/>
    <x v="0"/>
    <n v="82.63"/>
    <n v="44"/>
    <x v="5"/>
    <x v="4"/>
    <n v="13.99"/>
    <x v="0"/>
    <x v="3"/>
    <n v="4"/>
    <n v="1.84"/>
    <x v="3"/>
  </r>
  <r>
    <s v="2fcd7184-dbcc-40ba-9107-01eb946cd492"/>
    <n v="45"/>
    <x v="3"/>
    <x v="0"/>
    <x v="1"/>
    <n v="30.42"/>
    <n v="14"/>
    <x v="0"/>
    <x v="2"/>
    <n v="17.989999999999998"/>
    <x v="0"/>
    <x v="1"/>
    <n v="3"/>
    <n v="2.0299999999999998"/>
    <x v="4"/>
  </r>
  <r>
    <s v="24920cb3-62f7-4d92-85b5-ad23f9c29103"/>
    <n v="48"/>
    <x v="3"/>
    <x v="2"/>
    <x v="1"/>
    <n v="12.66"/>
    <n v="45"/>
    <x v="5"/>
    <x v="0"/>
    <n v="17.989999999999998"/>
    <x v="1"/>
    <x v="3"/>
    <n v="1"/>
    <n v="0.28000000000000003"/>
    <x v="5"/>
  </r>
  <r>
    <s v="595dbdea-9fbb-419c-9e52-4bf9e64d802e"/>
    <n v="54"/>
    <x v="3"/>
    <x v="2"/>
    <x v="1"/>
    <n v="4.93"/>
    <n v="3"/>
    <x v="0"/>
    <x v="0"/>
    <n v="17.989999999999998"/>
    <x v="0"/>
    <x v="0"/>
    <n v="1"/>
    <n v="1.23"/>
    <x v="5"/>
  </r>
  <r>
    <s v="ae174d75-414d-4847-b752-44d73211df8e"/>
    <n v="48"/>
    <x v="3"/>
    <x v="0"/>
    <x v="1"/>
    <n v="17.579999999999998"/>
    <n v="33"/>
    <x v="1"/>
    <x v="1"/>
    <n v="17.989999999999998"/>
    <x v="0"/>
    <x v="0"/>
    <n v="2"/>
    <n v="0.52"/>
    <x v="6"/>
  </r>
  <r>
    <s v="8a61f494-bab5-4e82-a508-a7120e973db8"/>
    <n v="49"/>
    <x v="3"/>
    <x v="0"/>
    <x v="2"/>
    <n v="18.37"/>
    <n v="1"/>
    <x v="4"/>
    <x v="1"/>
    <n v="8.99"/>
    <x v="0"/>
    <x v="3"/>
    <n v="2"/>
    <n v="9.19"/>
    <x v="0"/>
  </r>
  <r>
    <s v="47a75ee0-4752-4838-9962-891abdb5c0ea"/>
    <n v="47"/>
    <x v="3"/>
    <x v="1"/>
    <x v="2"/>
    <n v="1.71"/>
    <n v="56"/>
    <x v="5"/>
    <x v="0"/>
    <n v="8.99"/>
    <x v="1"/>
    <x v="0"/>
    <n v="3"/>
    <n v="0.03"/>
    <x v="1"/>
  </r>
  <r>
    <s v="a41dd9ef-0764-4f95-9101-e9d5bb30c03a"/>
    <n v="54"/>
    <x v="3"/>
    <x v="0"/>
    <x v="0"/>
    <n v="4.28"/>
    <n v="36"/>
    <x v="1"/>
    <x v="1"/>
    <n v="13.99"/>
    <x v="1"/>
    <x v="3"/>
    <n v="4"/>
    <n v="0.12"/>
    <x v="4"/>
  </r>
  <r>
    <s v="66cd6ce6-43f8-4f9b-920c-03fe32f6b3c1"/>
    <n v="49"/>
    <x v="3"/>
    <x v="1"/>
    <x v="1"/>
    <n v="27.9"/>
    <n v="38"/>
    <x v="3"/>
    <x v="1"/>
    <n v="17.989999999999998"/>
    <x v="0"/>
    <x v="1"/>
    <n v="1"/>
    <n v="0.72"/>
    <x v="5"/>
  </r>
  <r>
    <s v="adbfc678-4fe5-4b2e-b071-f72b8bdf9aa1"/>
    <n v="47"/>
    <x v="3"/>
    <x v="1"/>
    <x v="2"/>
    <n v="5.91"/>
    <n v="53"/>
    <x v="4"/>
    <x v="3"/>
    <n v="8.99"/>
    <x v="1"/>
    <x v="2"/>
    <n v="2"/>
    <n v="0.11"/>
    <x v="6"/>
  </r>
  <r>
    <s v="ed668da3-d99b-4026-92a3-300a114142e7"/>
    <n v="46"/>
    <x v="3"/>
    <x v="1"/>
    <x v="0"/>
    <n v="0.96"/>
    <n v="46"/>
    <x v="5"/>
    <x v="3"/>
    <n v="13.99"/>
    <x v="1"/>
    <x v="3"/>
    <n v="4"/>
    <n v="0.02"/>
    <x v="6"/>
  </r>
  <r>
    <s v="30ce7dcc-c41f-48e9-8e16-b6cfb0e9d1a3"/>
    <n v="45"/>
    <x v="3"/>
    <x v="1"/>
    <x v="2"/>
    <n v="0.7"/>
    <n v="25"/>
    <x v="3"/>
    <x v="3"/>
    <n v="8.99"/>
    <x v="1"/>
    <x v="0"/>
    <n v="5"/>
    <n v="0.03"/>
    <x v="3"/>
  </r>
  <r>
    <s v="d8a6954a-bf7f-45fa-bde0-90266d3195fb"/>
    <n v="54"/>
    <x v="3"/>
    <x v="0"/>
    <x v="0"/>
    <n v="12.34"/>
    <n v="32"/>
    <x v="0"/>
    <x v="3"/>
    <n v="13.99"/>
    <x v="1"/>
    <x v="4"/>
    <n v="3"/>
    <n v="0.37"/>
    <x v="6"/>
  </r>
  <r>
    <s v="a065e7e1-f8a6-429b-90be-e5b35e78f22a"/>
    <n v="48"/>
    <x v="3"/>
    <x v="1"/>
    <x v="2"/>
    <n v="39.47"/>
    <n v="32"/>
    <x v="1"/>
    <x v="3"/>
    <n v="8.99"/>
    <x v="0"/>
    <x v="0"/>
    <n v="4"/>
    <n v="1.2"/>
    <x v="3"/>
  </r>
  <r>
    <s v="73a4b76c-1e0c-4d55-9ef4-cfce29a688ba"/>
    <n v="45"/>
    <x v="3"/>
    <x v="2"/>
    <x v="1"/>
    <n v="17.850000000000001"/>
    <n v="57"/>
    <x v="1"/>
    <x v="3"/>
    <n v="17.989999999999998"/>
    <x v="1"/>
    <x v="0"/>
    <n v="3"/>
    <n v="0.31"/>
    <x v="6"/>
  </r>
  <r>
    <s v="f8520665-cd2a-42c9-ba24-3da9505579a9"/>
    <n v="46"/>
    <x v="3"/>
    <x v="2"/>
    <x v="0"/>
    <n v="0.86"/>
    <n v="23"/>
    <x v="0"/>
    <x v="4"/>
    <n v="13.99"/>
    <x v="0"/>
    <x v="1"/>
    <n v="4"/>
    <n v="0.04"/>
    <x v="2"/>
  </r>
  <r>
    <s v="7e06975c-0bf7-4fe1-b884-8e7de13b702d"/>
    <n v="45"/>
    <x v="3"/>
    <x v="0"/>
    <x v="2"/>
    <n v="15.8"/>
    <n v="57"/>
    <x v="5"/>
    <x v="2"/>
    <n v="8.99"/>
    <x v="1"/>
    <x v="2"/>
    <n v="1"/>
    <n v="0.27"/>
    <x v="5"/>
  </r>
  <r>
    <s v="20eb5fec-6d12-4d6a-b791-c984c662cd33"/>
    <n v="46"/>
    <x v="3"/>
    <x v="1"/>
    <x v="2"/>
    <n v="0.04"/>
    <n v="2"/>
    <x v="2"/>
    <x v="4"/>
    <n v="8.99"/>
    <x v="1"/>
    <x v="2"/>
    <n v="4"/>
    <n v="0.01"/>
    <x v="3"/>
  </r>
  <r>
    <s v="ecf5d19d-4bb9-4dd4-9b1f-1e34cf7b03cf"/>
    <n v="49"/>
    <x v="3"/>
    <x v="2"/>
    <x v="2"/>
    <n v="11.25"/>
    <n v="9"/>
    <x v="2"/>
    <x v="2"/>
    <n v="8.99"/>
    <x v="0"/>
    <x v="1"/>
    <n v="1"/>
    <n v="1.1200000000000001"/>
    <x v="3"/>
  </r>
  <r>
    <s v="b4c1296b-4b42-4988-8541-0e5e848c4488"/>
    <n v="53"/>
    <x v="3"/>
    <x v="1"/>
    <x v="0"/>
    <n v="52.23"/>
    <n v="7"/>
    <x v="5"/>
    <x v="3"/>
    <n v="13.99"/>
    <x v="0"/>
    <x v="3"/>
    <n v="3"/>
    <n v="6.53"/>
    <x v="0"/>
  </r>
  <r>
    <s v="8966b795-f82f-4c5d-a80c-5244a1016339"/>
    <n v="53"/>
    <x v="3"/>
    <x v="0"/>
    <x v="1"/>
    <n v="1.62"/>
    <n v="60"/>
    <x v="3"/>
    <x v="0"/>
    <n v="17.989999999999998"/>
    <x v="1"/>
    <x v="1"/>
    <n v="3"/>
    <n v="0.03"/>
    <x v="0"/>
  </r>
  <r>
    <s v="eeca7e99-fc70-4609-aeb1-5ba88fd7daef"/>
    <n v="53"/>
    <x v="3"/>
    <x v="2"/>
    <x v="1"/>
    <n v="6.61"/>
    <n v="54"/>
    <x v="1"/>
    <x v="1"/>
    <n v="17.989999999999998"/>
    <x v="1"/>
    <x v="3"/>
    <n v="2"/>
    <n v="0.12"/>
    <x v="1"/>
  </r>
  <r>
    <s v="8632438c-1adb-4a0f-9d3b-9eed17db3536"/>
    <n v="51"/>
    <x v="3"/>
    <x v="0"/>
    <x v="1"/>
    <n v="35.22"/>
    <n v="53"/>
    <x v="0"/>
    <x v="1"/>
    <n v="17.989999999999998"/>
    <x v="0"/>
    <x v="3"/>
    <n v="5"/>
    <n v="0.65"/>
    <x v="5"/>
  </r>
  <r>
    <s v="d0c512fc-8212-4d61-9ad2-dce10af1dbf7"/>
    <n v="52"/>
    <x v="3"/>
    <x v="0"/>
    <x v="2"/>
    <n v="3.59"/>
    <n v="42"/>
    <x v="3"/>
    <x v="0"/>
    <n v="8.99"/>
    <x v="1"/>
    <x v="4"/>
    <n v="4"/>
    <n v="0.08"/>
    <x v="6"/>
  </r>
  <r>
    <s v="0769f070-5b48-4e47-9507-35259b4dfc71"/>
    <n v="50"/>
    <x v="3"/>
    <x v="1"/>
    <x v="1"/>
    <n v="7.44"/>
    <n v="32"/>
    <x v="2"/>
    <x v="4"/>
    <n v="17.989999999999998"/>
    <x v="0"/>
    <x v="2"/>
    <n v="4"/>
    <n v="0.23"/>
    <x v="1"/>
  </r>
  <r>
    <s v="c42c5dc0-22f1-464b-9aa8-9ff0661a54c3"/>
    <n v="50"/>
    <x v="3"/>
    <x v="2"/>
    <x v="1"/>
    <n v="5.93"/>
    <n v="51"/>
    <x v="0"/>
    <x v="3"/>
    <n v="17.989999999999998"/>
    <x v="1"/>
    <x v="0"/>
    <n v="1"/>
    <n v="0.11"/>
    <x v="2"/>
  </r>
  <r>
    <s v="cade9688-a34c-4bf1-a49a-962d5d8fb7c4"/>
    <n v="49"/>
    <x v="3"/>
    <x v="0"/>
    <x v="0"/>
    <n v="17.61"/>
    <n v="60"/>
    <x v="2"/>
    <x v="1"/>
    <n v="13.99"/>
    <x v="1"/>
    <x v="3"/>
    <n v="1"/>
    <n v="0.28999999999999998"/>
    <x v="6"/>
  </r>
  <r>
    <s v="92ea3113-82a0-40c9-8d98-142d22f0799b"/>
    <n v="54"/>
    <x v="3"/>
    <x v="0"/>
    <x v="1"/>
    <n v="14.52"/>
    <n v="24"/>
    <x v="3"/>
    <x v="0"/>
    <n v="17.989999999999998"/>
    <x v="0"/>
    <x v="1"/>
    <n v="2"/>
    <n v="0.57999999999999996"/>
    <x v="6"/>
  </r>
  <r>
    <s v="4f6ec262-da69-45ec-914c-026309454e98"/>
    <n v="47"/>
    <x v="3"/>
    <x v="2"/>
    <x v="1"/>
    <n v="1.75"/>
    <n v="12"/>
    <x v="1"/>
    <x v="3"/>
    <n v="17.989999999999998"/>
    <x v="0"/>
    <x v="2"/>
    <n v="5"/>
    <n v="0.13"/>
    <x v="0"/>
  </r>
  <r>
    <s v="72913cf5-928b-4c70-9fdf-23f320b7387e"/>
    <n v="48"/>
    <x v="3"/>
    <x v="2"/>
    <x v="2"/>
    <n v="13.29"/>
    <n v="45"/>
    <x v="5"/>
    <x v="4"/>
    <n v="8.99"/>
    <x v="1"/>
    <x v="1"/>
    <n v="2"/>
    <n v="0.28999999999999998"/>
    <x v="4"/>
  </r>
  <r>
    <s v="e9ecd068-dda1-43b9-a4fb-c17b3e2c9455"/>
    <n v="48"/>
    <x v="3"/>
    <x v="0"/>
    <x v="2"/>
    <n v="19.86"/>
    <n v="26"/>
    <x v="1"/>
    <x v="3"/>
    <n v="8.99"/>
    <x v="0"/>
    <x v="1"/>
    <n v="5"/>
    <n v="0.74"/>
    <x v="6"/>
  </r>
  <r>
    <s v="2c4ab875-d3c3-429d-9dad-fdf4c0f850d7"/>
    <n v="48"/>
    <x v="3"/>
    <x v="0"/>
    <x v="1"/>
    <n v="1.84"/>
    <n v="9"/>
    <x v="4"/>
    <x v="1"/>
    <n v="17.989999999999998"/>
    <x v="1"/>
    <x v="0"/>
    <n v="2"/>
    <n v="0.18"/>
    <x v="1"/>
  </r>
  <r>
    <s v="dba01592-6410-4be2-b930-10d122fabfef"/>
    <n v="50"/>
    <x v="3"/>
    <x v="1"/>
    <x v="0"/>
    <n v="4.3600000000000003"/>
    <n v="9"/>
    <x v="0"/>
    <x v="4"/>
    <n v="13.99"/>
    <x v="1"/>
    <x v="3"/>
    <n v="2"/>
    <n v="0.44"/>
    <x v="3"/>
  </r>
  <r>
    <s v="63d9d93c-1c27-4123-951c-81f49f5bcc38"/>
    <n v="46"/>
    <x v="3"/>
    <x v="2"/>
    <x v="1"/>
    <n v="10.11"/>
    <n v="52"/>
    <x v="2"/>
    <x v="4"/>
    <n v="17.989999999999998"/>
    <x v="1"/>
    <x v="2"/>
    <n v="1"/>
    <n v="0.19"/>
    <x v="5"/>
  </r>
  <r>
    <s v="9c5b8ee6-d18b-4614-8c23-4a4fcac04d80"/>
    <n v="48"/>
    <x v="3"/>
    <x v="2"/>
    <x v="1"/>
    <n v="2.84"/>
    <n v="35"/>
    <x v="4"/>
    <x v="3"/>
    <n v="17.989999999999998"/>
    <x v="1"/>
    <x v="1"/>
    <n v="2"/>
    <n v="0.08"/>
    <x v="3"/>
  </r>
  <r>
    <s v="73c16c1b-0b24-47d3-b7c8-41a1fac54b48"/>
    <n v="48"/>
    <x v="3"/>
    <x v="0"/>
    <x v="0"/>
    <n v="49.33"/>
    <n v="37"/>
    <x v="1"/>
    <x v="2"/>
    <n v="13.99"/>
    <x v="0"/>
    <x v="2"/>
    <n v="3"/>
    <n v="1.3"/>
    <x v="3"/>
  </r>
  <r>
    <s v="98850d40-9bb7-46e5-bf51-9c36ff13ccf1"/>
    <n v="54"/>
    <x v="3"/>
    <x v="0"/>
    <x v="0"/>
    <n v="6.61"/>
    <n v="26"/>
    <x v="5"/>
    <x v="4"/>
    <n v="13.99"/>
    <x v="0"/>
    <x v="4"/>
    <n v="3"/>
    <n v="0.24"/>
    <x v="3"/>
  </r>
  <r>
    <s v="e40b9738-ff59-46b5-a2bb-3dc95a2a429c"/>
    <n v="51"/>
    <x v="3"/>
    <x v="0"/>
    <x v="1"/>
    <n v="4.9000000000000004"/>
    <n v="23"/>
    <x v="5"/>
    <x v="3"/>
    <n v="17.989999999999998"/>
    <x v="1"/>
    <x v="4"/>
    <n v="5"/>
    <n v="0.2"/>
    <x v="1"/>
  </r>
  <r>
    <s v="5843bccd-c8a2-4294-b541-85481a633beb"/>
    <n v="54"/>
    <x v="3"/>
    <x v="2"/>
    <x v="1"/>
    <n v="2.2799999999999998"/>
    <n v="47"/>
    <x v="0"/>
    <x v="4"/>
    <n v="17.989999999999998"/>
    <x v="1"/>
    <x v="0"/>
    <n v="3"/>
    <n v="0.05"/>
    <x v="0"/>
  </r>
  <r>
    <s v="b512a9aa-3832-4ec2-bfc0-65cec94afd68"/>
    <n v="51"/>
    <x v="3"/>
    <x v="0"/>
    <x v="2"/>
    <n v="6.21"/>
    <n v="40"/>
    <x v="2"/>
    <x v="0"/>
    <n v="8.99"/>
    <x v="1"/>
    <x v="1"/>
    <n v="5"/>
    <n v="0.15"/>
    <x v="6"/>
  </r>
  <r>
    <s v="43c345f1-1534-4f02-afed-866b3515059b"/>
    <n v="46"/>
    <x v="3"/>
    <x v="0"/>
    <x v="2"/>
    <n v="6.75"/>
    <n v="37"/>
    <x v="2"/>
    <x v="3"/>
    <n v="8.99"/>
    <x v="1"/>
    <x v="4"/>
    <n v="2"/>
    <n v="0.18"/>
    <x v="1"/>
  </r>
  <r>
    <s v="575e8cef-5ce2-4bbc-80a0-bdf68bd29505"/>
    <n v="54"/>
    <x v="3"/>
    <x v="2"/>
    <x v="2"/>
    <n v="25.24"/>
    <n v="43"/>
    <x v="2"/>
    <x v="0"/>
    <n v="8.99"/>
    <x v="0"/>
    <x v="1"/>
    <n v="5"/>
    <n v="0.56999999999999995"/>
    <x v="1"/>
  </r>
  <r>
    <s v="17bd8bda-c161-413a-bb7d-8453978c974b"/>
    <n v="46"/>
    <x v="3"/>
    <x v="2"/>
    <x v="1"/>
    <n v="1.48"/>
    <n v="10"/>
    <x v="0"/>
    <x v="4"/>
    <n v="17.989999999999998"/>
    <x v="0"/>
    <x v="2"/>
    <n v="4"/>
    <n v="0.13"/>
    <x v="4"/>
  </r>
  <r>
    <s v="efa05e12-91f5-4de0-886d-7efe2b13e3df"/>
    <n v="47"/>
    <x v="3"/>
    <x v="0"/>
    <x v="1"/>
    <n v="2.2000000000000002"/>
    <n v="39"/>
    <x v="5"/>
    <x v="0"/>
    <n v="17.989999999999998"/>
    <x v="1"/>
    <x v="1"/>
    <n v="2"/>
    <n v="0.06"/>
    <x v="1"/>
  </r>
  <r>
    <s v="1a222df2-070f-4549-b164-a9baa2bbdafe"/>
    <n v="52"/>
    <x v="3"/>
    <x v="1"/>
    <x v="2"/>
    <n v="5.56"/>
    <n v="48"/>
    <x v="3"/>
    <x v="3"/>
    <n v="8.99"/>
    <x v="1"/>
    <x v="3"/>
    <n v="1"/>
    <n v="0.11"/>
    <x v="4"/>
  </r>
  <r>
    <s v="452e1227-fdcd-4f2a-b51d-93c972870576"/>
    <n v="54"/>
    <x v="3"/>
    <x v="2"/>
    <x v="2"/>
    <n v="20"/>
    <n v="45"/>
    <x v="1"/>
    <x v="3"/>
    <n v="8.99"/>
    <x v="1"/>
    <x v="2"/>
    <n v="2"/>
    <n v="0.43"/>
    <x v="4"/>
  </r>
  <r>
    <s v="83913311-e86f-4750-98dc-e9d4bf78e544"/>
    <n v="47"/>
    <x v="3"/>
    <x v="1"/>
    <x v="0"/>
    <n v="19.899999999999999"/>
    <n v="31"/>
    <x v="2"/>
    <x v="4"/>
    <n v="13.99"/>
    <x v="0"/>
    <x v="3"/>
    <n v="2"/>
    <n v="0.62"/>
    <x v="4"/>
  </r>
  <r>
    <s v="1d0e9016-5635-4615-b5aa-defaadffcc7f"/>
    <n v="49"/>
    <x v="3"/>
    <x v="2"/>
    <x v="0"/>
    <n v="15.37"/>
    <n v="34"/>
    <x v="1"/>
    <x v="1"/>
    <n v="13.99"/>
    <x v="0"/>
    <x v="3"/>
    <n v="5"/>
    <n v="0.44"/>
    <x v="3"/>
  </r>
  <r>
    <s v="f8bef0a9-79f7-4d01-9699-f7d9ca36129b"/>
    <n v="49"/>
    <x v="3"/>
    <x v="0"/>
    <x v="0"/>
    <n v="30.07"/>
    <n v="34"/>
    <x v="0"/>
    <x v="0"/>
    <n v="13.99"/>
    <x v="0"/>
    <x v="1"/>
    <n v="4"/>
    <n v="0.86"/>
    <x v="6"/>
  </r>
  <r>
    <s v="5f426a25-b218-474f-8d86-484cb97d3a29"/>
    <n v="53"/>
    <x v="3"/>
    <x v="1"/>
    <x v="0"/>
    <n v="1.55"/>
    <n v="30"/>
    <x v="0"/>
    <x v="1"/>
    <n v="13.99"/>
    <x v="1"/>
    <x v="2"/>
    <n v="3"/>
    <n v="0.05"/>
    <x v="5"/>
  </r>
  <r>
    <s v="a7e66b70-b8a9-466c-83c2-28f7ee12b1f5"/>
    <n v="50"/>
    <x v="3"/>
    <x v="0"/>
    <x v="0"/>
    <n v="23.31"/>
    <n v="5"/>
    <x v="2"/>
    <x v="4"/>
    <n v="13.99"/>
    <x v="0"/>
    <x v="2"/>
    <n v="1"/>
    <n v="3.88"/>
    <x v="3"/>
  </r>
  <r>
    <s v="127c0924-f08c-4b58-826e-eaba5d7e5684"/>
    <n v="46"/>
    <x v="3"/>
    <x v="2"/>
    <x v="0"/>
    <n v="18.14"/>
    <n v="45"/>
    <x v="1"/>
    <x v="3"/>
    <n v="13.99"/>
    <x v="1"/>
    <x v="2"/>
    <n v="2"/>
    <n v="0.39"/>
    <x v="6"/>
  </r>
  <r>
    <s v="bc7703f4-a5d9-4d99-955e-158eb11751ef"/>
    <n v="51"/>
    <x v="3"/>
    <x v="0"/>
    <x v="1"/>
    <n v="3.89"/>
    <n v="1"/>
    <x v="1"/>
    <x v="4"/>
    <n v="17.989999999999998"/>
    <x v="0"/>
    <x v="2"/>
    <n v="2"/>
    <n v="1.95"/>
    <x v="0"/>
  </r>
  <r>
    <s v="9ab55bb5-1957-46a6-8472-d26b2fda624a"/>
    <n v="47"/>
    <x v="3"/>
    <x v="1"/>
    <x v="2"/>
    <n v="13.22"/>
    <n v="8"/>
    <x v="4"/>
    <x v="2"/>
    <n v="8.99"/>
    <x v="0"/>
    <x v="0"/>
    <n v="4"/>
    <n v="1.47"/>
    <x v="3"/>
  </r>
  <r>
    <s v="d9ea07b7-ffa7-4165-8d37-04fdfe0fd5fa"/>
    <n v="52"/>
    <x v="3"/>
    <x v="0"/>
    <x v="0"/>
    <n v="8.4499999999999993"/>
    <n v="28"/>
    <x v="4"/>
    <x v="1"/>
    <n v="13.99"/>
    <x v="0"/>
    <x v="4"/>
    <n v="2"/>
    <n v="0.28999999999999998"/>
    <x v="3"/>
  </r>
  <r>
    <s v="9fa65636-ca49-40ef-bd85-85dac00a0612"/>
    <n v="46"/>
    <x v="3"/>
    <x v="1"/>
    <x v="0"/>
    <n v="40.93"/>
    <n v="39"/>
    <x v="4"/>
    <x v="4"/>
    <n v="13.99"/>
    <x v="0"/>
    <x v="0"/>
    <n v="4"/>
    <n v="1.02"/>
    <x v="2"/>
  </r>
  <r>
    <s v="245a68d0-ff48-4300-8fd9-94cc361e02c9"/>
    <n v="53"/>
    <x v="3"/>
    <x v="0"/>
    <x v="0"/>
    <n v="6.2"/>
    <n v="5"/>
    <x v="5"/>
    <x v="3"/>
    <n v="13.99"/>
    <x v="0"/>
    <x v="4"/>
    <n v="4"/>
    <n v="1.03"/>
    <x v="5"/>
  </r>
  <r>
    <s v="a12e71fd-b9d2-4a9f-aa23-ec9901dd1fc3"/>
    <n v="51"/>
    <x v="3"/>
    <x v="1"/>
    <x v="0"/>
    <n v="10.19"/>
    <n v="22"/>
    <x v="1"/>
    <x v="0"/>
    <n v="13.99"/>
    <x v="0"/>
    <x v="3"/>
    <n v="3"/>
    <n v="0.44"/>
    <x v="2"/>
  </r>
  <r>
    <s v="38d1c68c-e901-4446-a303-9ea123048b89"/>
    <n v="52"/>
    <x v="3"/>
    <x v="2"/>
    <x v="1"/>
    <n v="33.130000000000003"/>
    <n v="27"/>
    <x v="4"/>
    <x v="0"/>
    <n v="17.989999999999998"/>
    <x v="0"/>
    <x v="0"/>
    <n v="4"/>
    <n v="1.18"/>
    <x v="6"/>
  </r>
  <r>
    <s v="7c517774-77b3-4c4c-acb6-8d338fcb3a6f"/>
    <n v="48"/>
    <x v="3"/>
    <x v="1"/>
    <x v="2"/>
    <n v="21.91"/>
    <n v="52"/>
    <x v="4"/>
    <x v="3"/>
    <n v="8.99"/>
    <x v="1"/>
    <x v="4"/>
    <n v="5"/>
    <n v="0.41"/>
    <x v="1"/>
  </r>
  <r>
    <s v="4b02c88c-a29d-46c6-aa87-2dae9f140e4e"/>
    <n v="52"/>
    <x v="3"/>
    <x v="2"/>
    <x v="0"/>
    <n v="0.33"/>
    <n v="14"/>
    <x v="5"/>
    <x v="3"/>
    <n v="13.99"/>
    <x v="1"/>
    <x v="4"/>
    <n v="2"/>
    <n v="0.02"/>
    <x v="1"/>
  </r>
  <r>
    <s v="1ee12cc7-48c9-452c-83d0-aaf89ee786ff"/>
    <n v="50"/>
    <x v="3"/>
    <x v="2"/>
    <x v="0"/>
    <n v="15.65"/>
    <n v="27"/>
    <x v="4"/>
    <x v="0"/>
    <n v="13.99"/>
    <x v="0"/>
    <x v="4"/>
    <n v="2"/>
    <n v="0.56000000000000005"/>
    <x v="0"/>
  </r>
  <r>
    <s v="2fb99e15-5e31-4f4e-acaa-78dc5da4b8bf"/>
    <n v="49"/>
    <x v="3"/>
    <x v="0"/>
    <x v="0"/>
    <n v="5.21"/>
    <n v="33"/>
    <x v="0"/>
    <x v="3"/>
    <n v="13.99"/>
    <x v="1"/>
    <x v="0"/>
    <n v="4"/>
    <n v="0.15"/>
    <x v="5"/>
  </r>
  <r>
    <s v="2d7ebb9d-93bb-495c-80de-4346c8a4cbee"/>
    <n v="47"/>
    <x v="3"/>
    <x v="2"/>
    <x v="2"/>
    <n v="1.25"/>
    <n v="44"/>
    <x v="2"/>
    <x v="2"/>
    <n v="8.99"/>
    <x v="1"/>
    <x v="2"/>
    <n v="1"/>
    <n v="0.03"/>
    <x v="6"/>
  </r>
  <r>
    <s v="9e87210e-05ee-4e33-9e89-9cd544cf9a4e"/>
    <n v="51"/>
    <x v="3"/>
    <x v="0"/>
    <x v="1"/>
    <n v="3.82"/>
    <n v="34"/>
    <x v="0"/>
    <x v="0"/>
    <n v="17.989999999999998"/>
    <x v="1"/>
    <x v="4"/>
    <n v="1"/>
    <n v="0.11"/>
    <x v="2"/>
  </r>
  <r>
    <s v="053a53a2-0627-432e-b93b-ae6465d32095"/>
    <n v="51"/>
    <x v="3"/>
    <x v="1"/>
    <x v="0"/>
    <n v="1.23"/>
    <n v="4"/>
    <x v="2"/>
    <x v="1"/>
    <n v="13.99"/>
    <x v="0"/>
    <x v="2"/>
    <n v="5"/>
    <n v="0.25"/>
    <x v="4"/>
  </r>
  <r>
    <s v="6be63f37-9c93-4781-b9d3-ee6e4170a2c5"/>
    <n v="50"/>
    <x v="3"/>
    <x v="0"/>
    <x v="2"/>
    <n v="6.01"/>
    <n v="43"/>
    <x v="0"/>
    <x v="3"/>
    <n v="8.99"/>
    <x v="1"/>
    <x v="0"/>
    <n v="1"/>
    <n v="0.14000000000000001"/>
    <x v="6"/>
  </r>
  <r>
    <s v="d4a3ccb8-d383-49aa-8b56-259c70e96ec1"/>
    <n v="50"/>
    <x v="3"/>
    <x v="0"/>
    <x v="0"/>
    <n v="8.2100000000000009"/>
    <n v="22"/>
    <x v="5"/>
    <x v="2"/>
    <n v="13.99"/>
    <x v="0"/>
    <x v="3"/>
    <n v="5"/>
    <n v="0.36"/>
    <x v="3"/>
  </r>
  <r>
    <s v="1b5e5fe1-2e6d-44d7-9a7c-e5bccbfe2c6d"/>
    <n v="53"/>
    <x v="3"/>
    <x v="1"/>
    <x v="2"/>
    <n v="11.01"/>
    <n v="44"/>
    <x v="1"/>
    <x v="3"/>
    <n v="8.99"/>
    <x v="1"/>
    <x v="2"/>
    <n v="1"/>
    <n v="0.24"/>
    <x v="6"/>
  </r>
  <r>
    <s v="759ff976-7636-4958-8a91-acb48aa80dfe"/>
    <n v="49"/>
    <x v="3"/>
    <x v="0"/>
    <x v="2"/>
    <n v="9.81"/>
    <n v="39"/>
    <x v="5"/>
    <x v="0"/>
    <n v="8.99"/>
    <x v="1"/>
    <x v="3"/>
    <n v="5"/>
    <n v="0.25"/>
    <x v="6"/>
  </r>
  <r>
    <s v="9aaa979e-72ef-477c-b2ea-e1e373a1533e"/>
    <n v="51"/>
    <x v="3"/>
    <x v="2"/>
    <x v="1"/>
    <n v="3.79"/>
    <n v="2"/>
    <x v="0"/>
    <x v="1"/>
    <n v="17.989999999999998"/>
    <x v="0"/>
    <x v="2"/>
    <n v="3"/>
    <n v="1.26"/>
    <x v="6"/>
  </r>
  <r>
    <s v="8798f187-18cb-42aa-a3bf-698dfd72a880"/>
    <n v="45"/>
    <x v="3"/>
    <x v="0"/>
    <x v="1"/>
    <n v="3.45"/>
    <n v="3"/>
    <x v="3"/>
    <x v="3"/>
    <n v="17.989999999999998"/>
    <x v="0"/>
    <x v="0"/>
    <n v="3"/>
    <n v="0.86"/>
    <x v="2"/>
  </r>
  <r>
    <s v="c7d5fd94-65a7-44d0-9950-cbd4a81baefc"/>
    <n v="49"/>
    <x v="3"/>
    <x v="2"/>
    <x v="0"/>
    <n v="24.88"/>
    <n v="36"/>
    <x v="4"/>
    <x v="2"/>
    <n v="13.99"/>
    <x v="0"/>
    <x v="4"/>
    <n v="3"/>
    <n v="0.67"/>
    <x v="1"/>
  </r>
  <r>
    <s v="1d278ed7-0ab6-4012-8ab9-58513b6242e1"/>
    <n v="46"/>
    <x v="3"/>
    <x v="1"/>
    <x v="1"/>
    <n v="2.98"/>
    <n v="12"/>
    <x v="1"/>
    <x v="1"/>
    <n v="17.989999999999998"/>
    <x v="1"/>
    <x v="1"/>
    <n v="2"/>
    <n v="0.23"/>
    <x v="3"/>
  </r>
  <r>
    <s v="175442f3-3430-402e-8032-bd875f2163c2"/>
    <n v="47"/>
    <x v="3"/>
    <x v="2"/>
    <x v="0"/>
    <n v="3.71"/>
    <n v="54"/>
    <x v="2"/>
    <x v="3"/>
    <n v="13.99"/>
    <x v="1"/>
    <x v="0"/>
    <n v="5"/>
    <n v="7.0000000000000007E-2"/>
    <x v="3"/>
  </r>
  <r>
    <s v="74c58c56-4bbd-4e7c-8ff9-1853e03f0e7b"/>
    <n v="51"/>
    <x v="3"/>
    <x v="1"/>
    <x v="2"/>
    <n v="8.34"/>
    <n v="33"/>
    <x v="1"/>
    <x v="0"/>
    <n v="8.99"/>
    <x v="1"/>
    <x v="2"/>
    <n v="1"/>
    <n v="0.25"/>
    <x v="5"/>
  </r>
  <r>
    <s v="c6a8e5fa-5432-47ce-b361-ae6096451a27"/>
    <n v="49"/>
    <x v="3"/>
    <x v="1"/>
    <x v="2"/>
    <n v="76.16"/>
    <n v="13"/>
    <x v="4"/>
    <x v="0"/>
    <n v="8.99"/>
    <x v="0"/>
    <x v="3"/>
    <n v="5"/>
    <n v="5.44"/>
    <x v="1"/>
  </r>
  <r>
    <s v="578a0a90-3fed-4c72-ba24-bb08903f1d4e"/>
    <n v="48"/>
    <x v="3"/>
    <x v="2"/>
    <x v="1"/>
    <n v="19.559999999999999"/>
    <n v="58"/>
    <x v="1"/>
    <x v="2"/>
    <n v="17.989999999999998"/>
    <x v="1"/>
    <x v="2"/>
    <n v="1"/>
    <n v="0.33"/>
    <x v="3"/>
  </r>
  <r>
    <s v="c3f7aa56-f0bd-416c-8351-b4a71bb9cc03"/>
    <n v="49"/>
    <x v="3"/>
    <x v="2"/>
    <x v="1"/>
    <n v="8.49"/>
    <n v="7"/>
    <x v="2"/>
    <x v="1"/>
    <n v="17.989999999999998"/>
    <x v="0"/>
    <x v="0"/>
    <n v="1"/>
    <n v="1.06"/>
    <x v="6"/>
  </r>
  <r>
    <s v="b21933f8-6d51-47a5-8cc3-800b518ebd77"/>
    <n v="46"/>
    <x v="3"/>
    <x v="2"/>
    <x v="0"/>
    <n v="14.29"/>
    <n v="35"/>
    <x v="2"/>
    <x v="3"/>
    <n v="13.99"/>
    <x v="0"/>
    <x v="1"/>
    <n v="5"/>
    <n v="0.4"/>
    <x v="6"/>
  </r>
  <r>
    <s v="9df42ee9-00e2-45dc-90a7-f5111edb1dd4"/>
    <n v="45"/>
    <x v="3"/>
    <x v="0"/>
    <x v="1"/>
    <n v="17.829999999999998"/>
    <n v="45"/>
    <x v="1"/>
    <x v="0"/>
    <n v="17.989999999999998"/>
    <x v="1"/>
    <x v="1"/>
    <n v="1"/>
    <n v="0.39"/>
    <x v="0"/>
  </r>
  <r>
    <s v="28da7e28-603e-4b58-90d9-084ffdc09314"/>
    <n v="53"/>
    <x v="3"/>
    <x v="0"/>
    <x v="2"/>
    <n v="0.33"/>
    <n v="35"/>
    <x v="5"/>
    <x v="2"/>
    <n v="8.99"/>
    <x v="1"/>
    <x v="2"/>
    <n v="1"/>
    <n v="0.01"/>
    <x v="3"/>
  </r>
  <r>
    <s v="3e7541bd-bfd7-4c88-a7f6-bcdb0c97507a"/>
    <n v="54"/>
    <x v="3"/>
    <x v="1"/>
    <x v="1"/>
    <n v="4.79"/>
    <n v="49"/>
    <x v="3"/>
    <x v="0"/>
    <n v="17.989999999999998"/>
    <x v="1"/>
    <x v="4"/>
    <n v="4"/>
    <n v="0.1"/>
    <x v="3"/>
  </r>
  <r>
    <s v="2adb38da-c9e8-43dc-b500-4ebdfc5187e1"/>
    <n v="45"/>
    <x v="3"/>
    <x v="2"/>
    <x v="2"/>
    <n v="1.98"/>
    <n v="53"/>
    <x v="1"/>
    <x v="1"/>
    <n v="8.99"/>
    <x v="1"/>
    <x v="0"/>
    <n v="5"/>
    <n v="0.04"/>
    <x v="5"/>
  </r>
  <r>
    <s v="aa019cbc-24d5-4898-93ee-5b2f4b89ef68"/>
    <n v="47"/>
    <x v="3"/>
    <x v="1"/>
    <x v="0"/>
    <n v="2.11"/>
    <n v="24"/>
    <x v="3"/>
    <x v="2"/>
    <n v="13.99"/>
    <x v="1"/>
    <x v="0"/>
    <n v="4"/>
    <n v="0.08"/>
    <x v="1"/>
  </r>
  <r>
    <s v="9677ed5d-0bf2-4ccc-92ca-c176e3ed5ab2"/>
    <n v="49"/>
    <x v="3"/>
    <x v="2"/>
    <x v="2"/>
    <n v="1.64"/>
    <n v="32"/>
    <x v="1"/>
    <x v="1"/>
    <n v="8.99"/>
    <x v="1"/>
    <x v="3"/>
    <n v="5"/>
    <n v="0.05"/>
    <x v="0"/>
  </r>
  <r>
    <s v="2a7592d1-a98b-47f9-9b78-1da8608e4ba2"/>
    <n v="49"/>
    <x v="3"/>
    <x v="1"/>
    <x v="0"/>
    <n v="9.91"/>
    <n v="14"/>
    <x v="1"/>
    <x v="1"/>
    <n v="13.99"/>
    <x v="0"/>
    <x v="2"/>
    <n v="3"/>
    <n v="0.66"/>
    <x v="5"/>
  </r>
  <r>
    <s v="35ccb42a-5b8f-4a56-b979-56ef4df94413"/>
    <n v="47"/>
    <x v="3"/>
    <x v="2"/>
    <x v="0"/>
    <n v="0.18"/>
    <n v="50"/>
    <x v="3"/>
    <x v="3"/>
    <n v="13.99"/>
    <x v="1"/>
    <x v="3"/>
    <n v="4"/>
    <n v="0"/>
    <x v="2"/>
  </r>
  <r>
    <s v="985405ca-0c9a-41bb-b747-4c142f3e339a"/>
    <n v="46"/>
    <x v="3"/>
    <x v="0"/>
    <x v="2"/>
    <n v="35.85"/>
    <n v="39"/>
    <x v="0"/>
    <x v="4"/>
    <n v="8.99"/>
    <x v="0"/>
    <x v="2"/>
    <n v="1"/>
    <n v="0.9"/>
    <x v="6"/>
  </r>
  <r>
    <s v="1bbee03c-aa9a-43ba-a760-10d789b2bb68"/>
    <n v="47"/>
    <x v="3"/>
    <x v="0"/>
    <x v="1"/>
    <n v="2.25"/>
    <n v="53"/>
    <x v="1"/>
    <x v="2"/>
    <n v="17.989999999999998"/>
    <x v="1"/>
    <x v="4"/>
    <n v="2"/>
    <n v="0.04"/>
    <x v="4"/>
  </r>
  <r>
    <s v="b4aebd19-20bf-4d4e-a458-45038b95a910"/>
    <n v="54"/>
    <x v="3"/>
    <x v="1"/>
    <x v="0"/>
    <n v="13.19"/>
    <n v="10"/>
    <x v="4"/>
    <x v="4"/>
    <n v="13.99"/>
    <x v="0"/>
    <x v="4"/>
    <n v="2"/>
    <n v="1.2"/>
    <x v="3"/>
  </r>
  <r>
    <s v="0bf9c06d-e909-461d-9505-147648fc9e80"/>
    <n v="46"/>
    <x v="3"/>
    <x v="2"/>
    <x v="1"/>
    <n v="3.84"/>
    <n v="15"/>
    <x v="3"/>
    <x v="2"/>
    <n v="17.989999999999998"/>
    <x v="0"/>
    <x v="3"/>
    <n v="4"/>
    <n v="0.24"/>
    <x v="5"/>
  </r>
  <r>
    <s v="95f04ac9-d1ae-4d72-874a-8e2927626532"/>
    <n v="50"/>
    <x v="3"/>
    <x v="2"/>
    <x v="2"/>
    <n v="2.0499999999999998"/>
    <n v="59"/>
    <x v="4"/>
    <x v="0"/>
    <n v="8.99"/>
    <x v="1"/>
    <x v="1"/>
    <n v="5"/>
    <n v="0.03"/>
    <x v="3"/>
  </r>
  <r>
    <s v="e6a7df09-1068-494e-86b1-382393fc5ee9"/>
    <n v="54"/>
    <x v="3"/>
    <x v="1"/>
    <x v="0"/>
    <n v="5.07"/>
    <n v="20"/>
    <x v="0"/>
    <x v="4"/>
    <n v="13.99"/>
    <x v="0"/>
    <x v="2"/>
    <n v="5"/>
    <n v="0.24"/>
    <x v="5"/>
  </r>
  <r>
    <s v="9747ed12-6f16-46af-8c59-c54fcd947b73"/>
    <n v="49"/>
    <x v="3"/>
    <x v="1"/>
    <x v="1"/>
    <n v="18.55"/>
    <n v="50"/>
    <x v="4"/>
    <x v="0"/>
    <n v="17.989999999999998"/>
    <x v="1"/>
    <x v="0"/>
    <n v="3"/>
    <n v="0.36"/>
    <x v="6"/>
  </r>
  <r>
    <s v="08dbcf43-5ce6-4326-a997-8da4cf6f731f"/>
    <n v="47"/>
    <x v="3"/>
    <x v="0"/>
    <x v="0"/>
    <n v="13.27"/>
    <n v="26"/>
    <x v="5"/>
    <x v="1"/>
    <n v="13.99"/>
    <x v="0"/>
    <x v="2"/>
    <n v="3"/>
    <n v="0.49"/>
    <x v="5"/>
  </r>
  <r>
    <s v="aa3d931e-f2c1-4a87-ac26-f4feed539178"/>
    <n v="47"/>
    <x v="3"/>
    <x v="2"/>
    <x v="1"/>
    <n v="37.49"/>
    <n v="56"/>
    <x v="2"/>
    <x v="4"/>
    <n v="17.989999999999998"/>
    <x v="0"/>
    <x v="0"/>
    <n v="5"/>
    <n v="0.66"/>
    <x v="6"/>
  </r>
  <r>
    <s v="3c748cc8-fab5-41d0-971e-eba32b247a66"/>
    <n v="50"/>
    <x v="3"/>
    <x v="1"/>
    <x v="0"/>
    <n v="26.57"/>
    <n v="34"/>
    <x v="3"/>
    <x v="2"/>
    <n v="13.99"/>
    <x v="0"/>
    <x v="2"/>
    <n v="5"/>
    <n v="0.76"/>
    <x v="5"/>
  </r>
  <r>
    <s v="46942525-7197-40ab-a5d1-79e46f5e09f4"/>
    <n v="50"/>
    <x v="3"/>
    <x v="2"/>
    <x v="0"/>
    <n v="8.9"/>
    <n v="42"/>
    <x v="5"/>
    <x v="3"/>
    <n v="13.99"/>
    <x v="1"/>
    <x v="4"/>
    <n v="3"/>
    <n v="0.21"/>
    <x v="2"/>
  </r>
  <r>
    <s v="17f77859-2514-41c7-95be-cd3570d0025c"/>
    <n v="46"/>
    <x v="3"/>
    <x v="0"/>
    <x v="0"/>
    <n v="4.38"/>
    <n v="37"/>
    <x v="4"/>
    <x v="4"/>
    <n v="13.99"/>
    <x v="1"/>
    <x v="0"/>
    <n v="4"/>
    <n v="0.12"/>
    <x v="4"/>
  </r>
  <r>
    <s v="e0795841-bcb5-499e-86e6-cb0f87f9870f"/>
    <n v="51"/>
    <x v="3"/>
    <x v="0"/>
    <x v="2"/>
    <n v="12.08"/>
    <n v="41"/>
    <x v="4"/>
    <x v="2"/>
    <n v="8.99"/>
    <x v="1"/>
    <x v="1"/>
    <n v="5"/>
    <n v="0.28999999999999998"/>
    <x v="2"/>
  </r>
  <r>
    <s v="5fa5ca82-b81d-40df-a054-96e09acb28ea"/>
    <n v="47"/>
    <x v="3"/>
    <x v="1"/>
    <x v="0"/>
    <n v="8.01"/>
    <n v="11"/>
    <x v="1"/>
    <x v="2"/>
    <n v="13.99"/>
    <x v="0"/>
    <x v="4"/>
    <n v="4"/>
    <n v="0.67"/>
    <x v="2"/>
  </r>
  <r>
    <s v="ce71d08b-80b9-4b6a-a055-d07ad964b74e"/>
    <n v="48"/>
    <x v="3"/>
    <x v="1"/>
    <x v="1"/>
    <n v="6.53"/>
    <n v="55"/>
    <x v="0"/>
    <x v="2"/>
    <n v="17.989999999999998"/>
    <x v="1"/>
    <x v="4"/>
    <n v="2"/>
    <n v="0.12"/>
    <x v="5"/>
  </r>
  <r>
    <s v="a1fa1e89-c730-4c7f-b615-5fc51f92abfc"/>
    <n v="54"/>
    <x v="3"/>
    <x v="2"/>
    <x v="0"/>
    <n v="3.6"/>
    <n v="39"/>
    <x v="4"/>
    <x v="2"/>
    <n v="13.99"/>
    <x v="1"/>
    <x v="2"/>
    <n v="3"/>
    <n v="0.09"/>
    <x v="0"/>
  </r>
  <r>
    <s v="dfb72a40-99ce-419c-8bb8-a7e6d80f8d0f"/>
    <n v="45"/>
    <x v="3"/>
    <x v="0"/>
    <x v="2"/>
    <n v="42.32"/>
    <n v="30"/>
    <x v="0"/>
    <x v="0"/>
    <n v="8.99"/>
    <x v="0"/>
    <x v="0"/>
    <n v="4"/>
    <n v="1.37"/>
    <x v="5"/>
  </r>
  <r>
    <s v="9ae4fd75-7402-4539-8d0d-a5d7d1ac9596"/>
    <n v="51"/>
    <x v="3"/>
    <x v="1"/>
    <x v="1"/>
    <n v="9.5299999999999994"/>
    <n v="23"/>
    <x v="5"/>
    <x v="1"/>
    <n v="17.989999999999998"/>
    <x v="0"/>
    <x v="2"/>
    <n v="2"/>
    <n v="0.4"/>
    <x v="1"/>
  </r>
  <r>
    <s v="2fa9fc55-ecbd-428f-a0e6-7ce6f60e8975"/>
    <n v="54"/>
    <x v="3"/>
    <x v="0"/>
    <x v="1"/>
    <n v="22.73"/>
    <n v="39"/>
    <x v="1"/>
    <x v="0"/>
    <n v="17.989999999999998"/>
    <x v="0"/>
    <x v="3"/>
    <n v="5"/>
    <n v="0.56999999999999995"/>
    <x v="6"/>
  </r>
  <r>
    <s v="274599c6-5a23-4d2e-a471-22fa0e76e24e"/>
    <n v="51"/>
    <x v="3"/>
    <x v="2"/>
    <x v="2"/>
    <n v="89.83"/>
    <n v="53"/>
    <x v="2"/>
    <x v="1"/>
    <n v="8.99"/>
    <x v="0"/>
    <x v="4"/>
    <n v="5"/>
    <n v="1.66"/>
    <x v="0"/>
  </r>
  <r>
    <s v="c1660018-6e78-4bd4-88f0-3a1faa017c4c"/>
    <n v="47"/>
    <x v="3"/>
    <x v="0"/>
    <x v="2"/>
    <n v="2.57"/>
    <n v="10"/>
    <x v="2"/>
    <x v="4"/>
    <n v="8.99"/>
    <x v="1"/>
    <x v="4"/>
    <n v="5"/>
    <n v="0.23"/>
    <x v="6"/>
  </r>
  <r>
    <s v="99b365a9-075d-4ed6-b3a4-539d4245cd22"/>
    <n v="54"/>
    <x v="3"/>
    <x v="1"/>
    <x v="0"/>
    <n v="2.91"/>
    <n v="26"/>
    <x v="1"/>
    <x v="1"/>
    <n v="13.99"/>
    <x v="1"/>
    <x v="4"/>
    <n v="5"/>
    <n v="0.11"/>
    <x v="5"/>
  </r>
  <r>
    <s v="ac8576dd-8167-485c-9452-c8fc0e559ed8"/>
    <n v="45"/>
    <x v="3"/>
    <x v="0"/>
    <x v="2"/>
    <n v="9.77"/>
    <n v="16"/>
    <x v="0"/>
    <x v="1"/>
    <n v="8.99"/>
    <x v="0"/>
    <x v="4"/>
    <n v="2"/>
    <n v="0.56999999999999995"/>
    <x v="4"/>
  </r>
  <r>
    <s v="5d0fd4a3-dc03-4a99-8cb0-087424513a52"/>
    <n v="51"/>
    <x v="3"/>
    <x v="1"/>
    <x v="1"/>
    <n v="4.43"/>
    <n v="9"/>
    <x v="2"/>
    <x v="1"/>
    <n v="17.989999999999998"/>
    <x v="1"/>
    <x v="4"/>
    <n v="3"/>
    <n v="0.44"/>
    <x v="2"/>
  </r>
  <r>
    <s v="609e1a47-614a-4c12-b0c7-50c6a27c83bb"/>
    <n v="48"/>
    <x v="3"/>
    <x v="1"/>
    <x v="2"/>
    <n v="3.04"/>
    <n v="20"/>
    <x v="1"/>
    <x v="2"/>
    <n v="8.99"/>
    <x v="1"/>
    <x v="1"/>
    <n v="2"/>
    <n v="0.14000000000000001"/>
    <x v="3"/>
  </r>
  <r>
    <s v="1c904da9-0232-449d-a20e-43a3c0e409b7"/>
    <n v="51"/>
    <x v="3"/>
    <x v="2"/>
    <x v="2"/>
    <n v="6.65"/>
    <n v="2"/>
    <x v="4"/>
    <x v="0"/>
    <n v="8.99"/>
    <x v="0"/>
    <x v="3"/>
    <n v="4"/>
    <n v="2.2200000000000002"/>
    <x v="2"/>
  </r>
  <r>
    <s v="dbaf9169-5442-4b8c-b41d-b9f87f96e404"/>
    <n v="47"/>
    <x v="3"/>
    <x v="1"/>
    <x v="1"/>
    <n v="7.74"/>
    <n v="25"/>
    <x v="3"/>
    <x v="3"/>
    <n v="17.989999999999998"/>
    <x v="0"/>
    <x v="1"/>
    <n v="1"/>
    <n v="0.3"/>
    <x v="5"/>
  </r>
  <r>
    <s v="003e8ce2-25ac-44b6-91db-fc2784528c36"/>
    <n v="48"/>
    <x v="3"/>
    <x v="0"/>
    <x v="0"/>
    <n v="3.84"/>
    <n v="23"/>
    <x v="2"/>
    <x v="4"/>
    <n v="13.99"/>
    <x v="1"/>
    <x v="0"/>
    <n v="1"/>
    <n v="0.16"/>
    <x v="4"/>
  </r>
  <r>
    <s v="8a3af76b-7153-48c0-a775-3534fd49fe16"/>
    <n v="47"/>
    <x v="3"/>
    <x v="0"/>
    <x v="2"/>
    <n v="10.89"/>
    <n v="48"/>
    <x v="5"/>
    <x v="2"/>
    <n v="8.99"/>
    <x v="1"/>
    <x v="1"/>
    <n v="5"/>
    <n v="0.22"/>
    <x v="1"/>
  </r>
  <r>
    <s v="8661f083-bf8b-497e-80af-74b5442aa691"/>
    <n v="48"/>
    <x v="3"/>
    <x v="0"/>
    <x v="0"/>
    <n v="21.16"/>
    <n v="28"/>
    <x v="2"/>
    <x v="2"/>
    <n v="13.99"/>
    <x v="0"/>
    <x v="3"/>
    <n v="5"/>
    <n v="0.73"/>
    <x v="1"/>
  </r>
  <r>
    <s v="095b2666-34f3-42ba-aaa6-f9512b8d30cc"/>
    <n v="49"/>
    <x v="3"/>
    <x v="0"/>
    <x v="2"/>
    <n v="7.69"/>
    <n v="2"/>
    <x v="3"/>
    <x v="2"/>
    <n v="8.99"/>
    <x v="0"/>
    <x v="4"/>
    <n v="1"/>
    <n v="2.56"/>
    <x v="1"/>
  </r>
  <r>
    <s v="17183448-1fc2-4e97-a5f2-36d1d5a9ca1e"/>
    <n v="54"/>
    <x v="3"/>
    <x v="2"/>
    <x v="1"/>
    <n v="10.36"/>
    <n v="50"/>
    <x v="1"/>
    <x v="0"/>
    <n v="17.989999999999998"/>
    <x v="0"/>
    <x v="2"/>
    <n v="5"/>
    <n v="0.2"/>
    <x v="6"/>
  </r>
  <r>
    <s v="2d6081cb-4964-472e-ad69-86ebf0dd7c1c"/>
    <n v="47"/>
    <x v="3"/>
    <x v="2"/>
    <x v="0"/>
    <n v="4.22"/>
    <n v="12"/>
    <x v="2"/>
    <x v="2"/>
    <n v="13.99"/>
    <x v="1"/>
    <x v="1"/>
    <n v="3"/>
    <n v="0.32"/>
    <x v="0"/>
  </r>
  <r>
    <s v="b945055d-449d-47e8-9f14-574ea7cea9a1"/>
    <n v="54"/>
    <x v="3"/>
    <x v="1"/>
    <x v="0"/>
    <n v="3.47"/>
    <n v="31"/>
    <x v="3"/>
    <x v="1"/>
    <n v="13.99"/>
    <x v="1"/>
    <x v="3"/>
    <n v="5"/>
    <n v="0.11"/>
    <x v="5"/>
  </r>
  <r>
    <s v="f044c71b-3fed-4121-9cd6-b3a3d0be4cf6"/>
    <n v="53"/>
    <x v="3"/>
    <x v="2"/>
    <x v="0"/>
    <n v="3.74"/>
    <n v="21"/>
    <x v="3"/>
    <x v="1"/>
    <n v="13.99"/>
    <x v="1"/>
    <x v="1"/>
    <n v="3"/>
    <n v="0.17"/>
    <x v="4"/>
  </r>
  <r>
    <s v="77a6c968-3ec1-4c82-ae01-a2e5b4db0931"/>
    <n v="51"/>
    <x v="3"/>
    <x v="0"/>
    <x v="1"/>
    <n v="0.46"/>
    <n v="7"/>
    <x v="3"/>
    <x v="0"/>
    <n v="17.989999999999998"/>
    <x v="1"/>
    <x v="3"/>
    <n v="2"/>
    <n v="0.06"/>
    <x v="0"/>
  </r>
  <r>
    <s v="43316923-630e-4b9d-97af-cc263e0b56e3"/>
    <n v="45"/>
    <x v="3"/>
    <x v="0"/>
    <x v="1"/>
    <n v="9.2799999999999994"/>
    <n v="34"/>
    <x v="1"/>
    <x v="1"/>
    <n v="17.989999999999998"/>
    <x v="1"/>
    <x v="2"/>
    <n v="2"/>
    <n v="0.27"/>
    <x v="2"/>
  </r>
  <r>
    <s v="14ef7d6f-0c7f-448e-8bb2-a718401cd8a9"/>
    <n v="47"/>
    <x v="3"/>
    <x v="1"/>
    <x v="1"/>
    <n v="12.6"/>
    <n v="52"/>
    <x v="3"/>
    <x v="0"/>
    <n v="17.989999999999998"/>
    <x v="1"/>
    <x v="0"/>
    <n v="5"/>
    <n v="0.24"/>
    <x v="6"/>
  </r>
  <r>
    <s v="4f25b8c4-d5c9-4131-af78-55e3ffeed2dd"/>
    <n v="48"/>
    <x v="3"/>
    <x v="0"/>
    <x v="2"/>
    <n v="4.59"/>
    <n v="55"/>
    <x v="2"/>
    <x v="4"/>
    <n v="8.99"/>
    <x v="1"/>
    <x v="1"/>
    <n v="1"/>
    <n v="0.08"/>
    <x v="0"/>
  </r>
  <r>
    <s v="5d26a7bf-3240-4197-a94c-369861b65c37"/>
    <n v="50"/>
    <x v="3"/>
    <x v="2"/>
    <x v="1"/>
    <n v="7.96"/>
    <n v="51"/>
    <x v="5"/>
    <x v="4"/>
    <n v="17.989999999999998"/>
    <x v="1"/>
    <x v="4"/>
    <n v="5"/>
    <n v="0.15"/>
    <x v="2"/>
  </r>
  <r>
    <s v="b392aeef-57c0-4bfd-95a8-0d91d61a7493"/>
    <n v="48"/>
    <x v="3"/>
    <x v="2"/>
    <x v="2"/>
    <n v="6.44"/>
    <n v="40"/>
    <x v="0"/>
    <x v="3"/>
    <n v="8.99"/>
    <x v="1"/>
    <x v="0"/>
    <n v="5"/>
    <n v="0.16"/>
    <x v="5"/>
  </r>
  <r>
    <s v="2b853bf7-98c9-4980-8425-80cf8a0b472b"/>
    <n v="50"/>
    <x v="3"/>
    <x v="1"/>
    <x v="2"/>
    <n v="3.37"/>
    <n v="3"/>
    <x v="2"/>
    <x v="2"/>
    <n v="8.99"/>
    <x v="0"/>
    <x v="2"/>
    <n v="3"/>
    <n v="0.84"/>
    <x v="5"/>
  </r>
  <r>
    <s v="927b4844-c0e6-41ba-bb80-76019beb67c8"/>
    <n v="47"/>
    <x v="3"/>
    <x v="1"/>
    <x v="1"/>
    <n v="33.79"/>
    <n v="52"/>
    <x v="0"/>
    <x v="4"/>
    <n v="17.989999999999998"/>
    <x v="0"/>
    <x v="1"/>
    <n v="3"/>
    <n v="0.64"/>
    <x v="0"/>
  </r>
  <r>
    <s v="72adca9f-6269-4e59-a56b-cb03c699549c"/>
    <n v="47"/>
    <x v="3"/>
    <x v="2"/>
    <x v="1"/>
    <n v="22.31"/>
    <n v="6"/>
    <x v="3"/>
    <x v="0"/>
    <n v="17.989999999999998"/>
    <x v="0"/>
    <x v="4"/>
    <n v="3"/>
    <n v="3.19"/>
    <x v="1"/>
  </r>
  <r>
    <s v="fce4863c-99e6-4058-ab31-561b8607bbe4"/>
    <n v="50"/>
    <x v="3"/>
    <x v="0"/>
    <x v="2"/>
    <n v="7.45"/>
    <n v="2"/>
    <x v="1"/>
    <x v="1"/>
    <n v="8.99"/>
    <x v="0"/>
    <x v="4"/>
    <n v="3"/>
    <n v="2.48"/>
    <x v="6"/>
  </r>
  <r>
    <s v="c448fef8-33e2-4067-b717-ae7f77695a51"/>
    <n v="51"/>
    <x v="3"/>
    <x v="2"/>
    <x v="1"/>
    <n v="0.19"/>
    <n v="20"/>
    <x v="3"/>
    <x v="0"/>
    <n v="17.989999999999998"/>
    <x v="0"/>
    <x v="1"/>
    <n v="4"/>
    <n v="0.01"/>
    <x v="4"/>
  </r>
  <r>
    <s v="aed594ac-9218-427f-8d52-d137f7604c5f"/>
    <n v="50"/>
    <x v="3"/>
    <x v="2"/>
    <x v="1"/>
    <n v="13.05"/>
    <n v="31"/>
    <x v="0"/>
    <x v="4"/>
    <n v="17.989999999999998"/>
    <x v="0"/>
    <x v="1"/>
    <n v="4"/>
    <n v="0.41"/>
    <x v="2"/>
  </r>
  <r>
    <s v="60d0282f-3849-479f-a487-9a3b59e0c727"/>
    <n v="53"/>
    <x v="3"/>
    <x v="2"/>
    <x v="1"/>
    <n v="1.83"/>
    <n v="15"/>
    <x v="4"/>
    <x v="4"/>
    <n v="17.989999999999998"/>
    <x v="1"/>
    <x v="3"/>
    <n v="3"/>
    <n v="0.11"/>
    <x v="0"/>
  </r>
  <r>
    <s v="3127338f-47d9-4aa7-b9f6-79107e057b80"/>
    <n v="46"/>
    <x v="3"/>
    <x v="1"/>
    <x v="2"/>
    <n v="8.48"/>
    <n v="34"/>
    <x v="2"/>
    <x v="0"/>
    <n v="8.99"/>
    <x v="1"/>
    <x v="1"/>
    <n v="5"/>
    <n v="0.24"/>
    <x v="1"/>
  </r>
  <r>
    <s v="c08952b5-9e61-464b-8118-851535b2f0a0"/>
    <n v="52"/>
    <x v="3"/>
    <x v="0"/>
    <x v="2"/>
    <n v="41.33"/>
    <n v="41"/>
    <x v="4"/>
    <x v="1"/>
    <n v="8.99"/>
    <x v="1"/>
    <x v="4"/>
    <n v="1"/>
    <n v="0.98"/>
    <x v="6"/>
  </r>
  <r>
    <s v="e183f03b-e7ec-425a-b5be-b5c7ee8010b2"/>
    <n v="50"/>
    <x v="3"/>
    <x v="2"/>
    <x v="1"/>
    <n v="25.98"/>
    <n v="37"/>
    <x v="5"/>
    <x v="4"/>
    <n v="17.989999999999998"/>
    <x v="0"/>
    <x v="3"/>
    <n v="5"/>
    <n v="0.68"/>
    <x v="0"/>
  </r>
  <r>
    <s v="ed914a01-62e5-4b18-b4ad-1e9a28c3a68c"/>
    <n v="50"/>
    <x v="3"/>
    <x v="1"/>
    <x v="2"/>
    <n v="2.85"/>
    <n v="22"/>
    <x v="1"/>
    <x v="3"/>
    <n v="8.99"/>
    <x v="1"/>
    <x v="1"/>
    <n v="1"/>
    <n v="0.12"/>
    <x v="0"/>
  </r>
  <r>
    <s v="4c80103d-ac0a-4e95-a494-7ba0f6388867"/>
    <n v="49"/>
    <x v="3"/>
    <x v="0"/>
    <x v="2"/>
    <n v="1.58"/>
    <n v="29"/>
    <x v="4"/>
    <x v="4"/>
    <n v="8.99"/>
    <x v="1"/>
    <x v="2"/>
    <n v="4"/>
    <n v="0.05"/>
    <x v="1"/>
  </r>
  <r>
    <s v="ae7ea312-9fa1-40ef-a563-25d4efa57399"/>
    <n v="49"/>
    <x v="3"/>
    <x v="1"/>
    <x v="0"/>
    <n v="2.76"/>
    <n v="20"/>
    <x v="1"/>
    <x v="2"/>
    <n v="13.99"/>
    <x v="0"/>
    <x v="1"/>
    <n v="4"/>
    <n v="0.13"/>
    <x v="3"/>
  </r>
  <r>
    <s v="bc0deac4-46d4-46a3-aa7f-7e4f7d0cd88c"/>
    <n v="53"/>
    <x v="3"/>
    <x v="0"/>
    <x v="0"/>
    <n v="3.47"/>
    <n v="38"/>
    <x v="0"/>
    <x v="2"/>
    <n v="13.99"/>
    <x v="1"/>
    <x v="0"/>
    <n v="1"/>
    <n v="0.09"/>
    <x v="2"/>
  </r>
  <r>
    <s v="0d5125bb-9a77-46fd-a008-e12965c68f6e"/>
    <n v="46"/>
    <x v="3"/>
    <x v="1"/>
    <x v="2"/>
    <n v="19.72"/>
    <n v="47"/>
    <x v="5"/>
    <x v="3"/>
    <n v="8.99"/>
    <x v="1"/>
    <x v="2"/>
    <n v="1"/>
    <n v="0.41"/>
    <x v="2"/>
  </r>
  <r>
    <s v="934908b3-41b9-4415-bbad-0f3032a18506"/>
    <n v="52"/>
    <x v="3"/>
    <x v="1"/>
    <x v="2"/>
    <n v="2.11"/>
    <n v="46"/>
    <x v="0"/>
    <x v="2"/>
    <n v="8.99"/>
    <x v="1"/>
    <x v="3"/>
    <n v="5"/>
    <n v="0.04"/>
    <x v="3"/>
  </r>
  <r>
    <s v="c52a8297-84ec-4e1f-8193-4ee88a0fc34e"/>
    <n v="46"/>
    <x v="3"/>
    <x v="2"/>
    <x v="1"/>
    <n v="21.11"/>
    <n v="48"/>
    <x v="3"/>
    <x v="4"/>
    <n v="17.989999999999998"/>
    <x v="0"/>
    <x v="4"/>
    <n v="4"/>
    <n v="0.43"/>
    <x v="2"/>
  </r>
  <r>
    <s v="0a762b77-7701-436c-a5e6-2b4a2cff7d03"/>
    <n v="53"/>
    <x v="3"/>
    <x v="2"/>
    <x v="1"/>
    <n v="2.27"/>
    <n v="38"/>
    <x v="4"/>
    <x v="4"/>
    <n v="17.989999999999998"/>
    <x v="1"/>
    <x v="0"/>
    <n v="4"/>
    <n v="0.06"/>
    <x v="0"/>
  </r>
  <r>
    <s v="0a7127ae-3d90-4b6d-8249-484df4905aec"/>
    <n v="51"/>
    <x v="3"/>
    <x v="2"/>
    <x v="0"/>
    <n v="11.48"/>
    <n v="15"/>
    <x v="0"/>
    <x v="1"/>
    <n v="13.99"/>
    <x v="0"/>
    <x v="0"/>
    <n v="2"/>
    <n v="0.72"/>
    <x v="4"/>
  </r>
  <r>
    <s v="4834dd77-26eb-49c2-9684-2ca5183ca4f0"/>
    <n v="47"/>
    <x v="3"/>
    <x v="0"/>
    <x v="0"/>
    <n v="20.83"/>
    <n v="58"/>
    <x v="0"/>
    <x v="0"/>
    <n v="13.99"/>
    <x v="0"/>
    <x v="1"/>
    <n v="3"/>
    <n v="0.35"/>
    <x v="2"/>
  </r>
  <r>
    <s v="a7a9bf50-f432-4336-b5ce-f5fc967c388d"/>
    <n v="45"/>
    <x v="3"/>
    <x v="0"/>
    <x v="2"/>
    <n v="31.15"/>
    <n v="22"/>
    <x v="0"/>
    <x v="4"/>
    <n v="8.99"/>
    <x v="0"/>
    <x v="2"/>
    <n v="5"/>
    <n v="1.35"/>
    <x v="0"/>
  </r>
  <r>
    <s v="c3892ced-e6d1-4218-aa88-6ed1d835de10"/>
    <n v="46"/>
    <x v="3"/>
    <x v="2"/>
    <x v="2"/>
    <n v="5.07"/>
    <n v="0"/>
    <x v="3"/>
    <x v="3"/>
    <n v="8.99"/>
    <x v="0"/>
    <x v="1"/>
    <n v="1"/>
    <n v="5.07"/>
    <x v="1"/>
  </r>
  <r>
    <s v="0ac9f17d-3658-4d74-9054-0f96a5460c54"/>
    <n v="51"/>
    <x v="3"/>
    <x v="2"/>
    <x v="1"/>
    <n v="3.41"/>
    <n v="46"/>
    <x v="0"/>
    <x v="3"/>
    <n v="17.989999999999998"/>
    <x v="1"/>
    <x v="4"/>
    <n v="2"/>
    <n v="7.0000000000000007E-2"/>
    <x v="1"/>
  </r>
  <r>
    <s v="32c2a5bc-7e17-4fe3-85f0-b00105dde7dc"/>
    <n v="47"/>
    <x v="3"/>
    <x v="2"/>
    <x v="1"/>
    <n v="7.42"/>
    <n v="47"/>
    <x v="3"/>
    <x v="4"/>
    <n v="17.989999999999998"/>
    <x v="1"/>
    <x v="0"/>
    <n v="4"/>
    <n v="0.15"/>
    <x v="2"/>
  </r>
  <r>
    <s v="c8117a2e-0ad2-4702-98d4-a91b9e29247c"/>
    <n v="46"/>
    <x v="3"/>
    <x v="1"/>
    <x v="2"/>
    <n v="6.46"/>
    <n v="35"/>
    <x v="1"/>
    <x v="3"/>
    <n v="8.99"/>
    <x v="1"/>
    <x v="4"/>
    <n v="4"/>
    <n v="0.18"/>
    <x v="6"/>
  </r>
  <r>
    <s v="e408ee62-5313-4e04-bcec-e23b5202a7ab"/>
    <n v="49"/>
    <x v="3"/>
    <x v="2"/>
    <x v="2"/>
    <n v="9.67"/>
    <n v="57"/>
    <x v="1"/>
    <x v="2"/>
    <n v="8.99"/>
    <x v="1"/>
    <x v="2"/>
    <n v="1"/>
    <n v="0.17"/>
    <x v="2"/>
  </r>
  <r>
    <s v="b0204082-d07f-4b31-858a-7ece1b76fb30"/>
    <n v="46"/>
    <x v="3"/>
    <x v="1"/>
    <x v="0"/>
    <n v="28.66"/>
    <n v="37"/>
    <x v="3"/>
    <x v="1"/>
    <n v="13.99"/>
    <x v="0"/>
    <x v="3"/>
    <n v="1"/>
    <n v="0.75"/>
    <x v="1"/>
  </r>
  <r>
    <s v="f10c6464-abf4-4120-a49d-2b80657f5324"/>
    <n v="45"/>
    <x v="3"/>
    <x v="2"/>
    <x v="1"/>
    <n v="18.07"/>
    <n v="4"/>
    <x v="0"/>
    <x v="4"/>
    <n v="17.989999999999998"/>
    <x v="0"/>
    <x v="4"/>
    <n v="1"/>
    <n v="3.61"/>
    <x v="4"/>
  </r>
  <r>
    <s v="a88f8e6a-cf81-47eb-b982-5f73f413cf84"/>
    <n v="45"/>
    <x v="3"/>
    <x v="1"/>
    <x v="1"/>
    <n v="8.9499999999999993"/>
    <n v="16"/>
    <x v="1"/>
    <x v="1"/>
    <n v="17.989999999999998"/>
    <x v="0"/>
    <x v="2"/>
    <n v="3"/>
    <n v="0.53"/>
    <x v="6"/>
  </r>
  <r>
    <s v="c38f1921-4fc2-4350-a1e1-c0aaeedf1654"/>
    <n v="45"/>
    <x v="3"/>
    <x v="2"/>
    <x v="2"/>
    <n v="0.28999999999999998"/>
    <n v="45"/>
    <x v="5"/>
    <x v="4"/>
    <n v="8.99"/>
    <x v="1"/>
    <x v="1"/>
    <n v="2"/>
    <n v="0.01"/>
    <x v="5"/>
  </r>
  <r>
    <s v="12ddaf98-d735-4343-954a-5269936b4d85"/>
    <n v="49"/>
    <x v="3"/>
    <x v="1"/>
    <x v="2"/>
    <n v="1.17"/>
    <n v="46"/>
    <x v="2"/>
    <x v="1"/>
    <n v="8.99"/>
    <x v="1"/>
    <x v="1"/>
    <n v="1"/>
    <n v="0.02"/>
    <x v="4"/>
  </r>
  <r>
    <s v="76ee5c7f-f3c8-49ae-b448-a2510b0bd954"/>
    <n v="53"/>
    <x v="3"/>
    <x v="2"/>
    <x v="1"/>
    <n v="11.18"/>
    <n v="19"/>
    <x v="2"/>
    <x v="4"/>
    <n v="17.989999999999998"/>
    <x v="0"/>
    <x v="3"/>
    <n v="4"/>
    <n v="0.56000000000000005"/>
    <x v="1"/>
  </r>
  <r>
    <s v="ce97c787-6a6c-4162-aeda-19b2f014d2ff"/>
    <n v="48"/>
    <x v="3"/>
    <x v="1"/>
    <x v="2"/>
    <n v="10.9"/>
    <n v="26"/>
    <x v="5"/>
    <x v="2"/>
    <n v="8.99"/>
    <x v="1"/>
    <x v="0"/>
    <n v="2"/>
    <n v="0.4"/>
    <x v="2"/>
  </r>
  <r>
    <s v="87badf81-7a2d-4bbe-a869-321a3ca58275"/>
    <n v="48"/>
    <x v="3"/>
    <x v="0"/>
    <x v="0"/>
    <n v="17.03"/>
    <n v="57"/>
    <x v="1"/>
    <x v="0"/>
    <n v="13.99"/>
    <x v="0"/>
    <x v="1"/>
    <n v="5"/>
    <n v="0.28999999999999998"/>
    <x v="3"/>
  </r>
  <r>
    <s v="7c1dfa22-78a1-4be1-a9c9-929801f14b1c"/>
    <n v="47"/>
    <x v="3"/>
    <x v="1"/>
    <x v="0"/>
    <n v="1.59"/>
    <n v="34"/>
    <x v="5"/>
    <x v="2"/>
    <n v="13.99"/>
    <x v="1"/>
    <x v="4"/>
    <n v="1"/>
    <n v="0.05"/>
    <x v="1"/>
  </r>
  <r>
    <s v="958219d9-6c45-4863-ae79-e0580f7936a0"/>
    <n v="52"/>
    <x v="3"/>
    <x v="1"/>
    <x v="1"/>
    <n v="1.42"/>
    <n v="45"/>
    <x v="4"/>
    <x v="4"/>
    <n v="17.989999999999998"/>
    <x v="1"/>
    <x v="3"/>
    <n v="5"/>
    <n v="0.03"/>
    <x v="2"/>
  </r>
  <r>
    <s v="cdcea36d-e4be-42ff-8df1-f792147643fc"/>
    <n v="53"/>
    <x v="3"/>
    <x v="1"/>
    <x v="0"/>
    <n v="3.68"/>
    <n v="55"/>
    <x v="5"/>
    <x v="4"/>
    <n v="13.99"/>
    <x v="1"/>
    <x v="3"/>
    <n v="1"/>
    <n v="7.0000000000000007E-2"/>
    <x v="5"/>
  </r>
  <r>
    <s v="f10cd6c5-f3ec-43e7-a296-ccfa7f15942e"/>
    <n v="46"/>
    <x v="3"/>
    <x v="2"/>
    <x v="2"/>
    <n v="1.6"/>
    <n v="31"/>
    <x v="4"/>
    <x v="3"/>
    <n v="8.99"/>
    <x v="1"/>
    <x v="0"/>
    <n v="3"/>
    <n v="0.05"/>
    <x v="0"/>
  </r>
  <r>
    <s v="5816a80b-d30e-4f74-b896-66982b245ac2"/>
    <n v="51"/>
    <x v="3"/>
    <x v="1"/>
    <x v="0"/>
    <n v="1.23"/>
    <n v="4"/>
    <x v="1"/>
    <x v="4"/>
    <n v="13.99"/>
    <x v="0"/>
    <x v="2"/>
    <n v="4"/>
    <n v="0.25"/>
    <x v="1"/>
  </r>
  <r>
    <s v="399c1cff-c016-45b4-b2b0-984443300064"/>
    <n v="54"/>
    <x v="3"/>
    <x v="2"/>
    <x v="2"/>
    <n v="30"/>
    <n v="9"/>
    <x v="0"/>
    <x v="4"/>
    <n v="8.99"/>
    <x v="0"/>
    <x v="2"/>
    <n v="4"/>
    <n v="3"/>
    <x v="0"/>
  </r>
  <r>
    <s v="728cb69b-4920-4d86-83ce-8c89da725583"/>
    <n v="45"/>
    <x v="3"/>
    <x v="2"/>
    <x v="1"/>
    <n v="17.57"/>
    <n v="37"/>
    <x v="3"/>
    <x v="0"/>
    <n v="17.989999999999998"/>
    <x v="0"/>
    <x v="3"/>
    <n v="4"/>
    <n v="0.46"/>
    <x v="2"/>
  </r>
  <r>
    <s v="6f60718e-5a94-4ed6-9350-982f44c4166c"/>
    <n v="48"/>
    <x v="3"/>
    <x v="0"/>
    <x v="1"/>
    <n v="10.54"/>
    <n v="19"/>
    <x v="1"/>
    <x v="2"/>
    <n v="17.989999999999998"/>
    <x v="0"/>
    <x v="2"/>
    <n v="1"/>
    <n v="0.53"/>
    <x v="6"/>
  </r>
  <r>
    <s v="0601af52-dab0-4113-9231-3a750db99347"/>
    <n v="49"/>
    <x v="3"/>
    <x v="1"/>
    <x v="2"/>
    <n v="10.47"/>
    <n v="43"/>
    <x v="3"/>
    <x v="1"/>
    <n v="8.99"/>
    <x v="1"/>
    <x v="1"/>
    <n v="5"/>
    <n v="0.24"/>
    <x v="5"/>
  </r>
  <r>
    <s v="28e352ce-75b6-4fe3-8f57-ea1b0757ae28"/>
    <n v="54"/>
    <x v="3"/>
    <x v="0"/>
    <x v="2"/>
    <n v="6.76"/>
    <n v="52"/>
    <x v="0"/>
    <x v="4"/>
    <n v="8.99"/>
    <x v="1"/>
    <x v="3"/>
    <n v="5"/>
    <n v="0.13"/>
    <x v="0"/>
  </r>
  <r>
    <s v="ca30626a-76d6-4200-a884-9883377bfbc5"/>
    <n v="45"/>
    <x v="3"/>
    <x v="0"/>
    <x v="1"/>
    <n v="1.85"/>
    <n v="23"/>
    <x v="0"/>
    <x v="0"/>
    <n v="17.989999999999998"/>
    <x v="1"/>
    <x v="0"/>
    <n v="5"/>
    <n v="0.08"/>
    <x v="6"/>
  </r>
  <r>
    <s v="f6cbd08c-12fa-4eba-b860-da3b6c21eb39"/>
    <n v="52"/>
    <x v="3"/>
    <x v="1"/>
    <x v="1"/>
    <n v="3.1"/>
    <n v="6"/>
    <x v="1"/>
    <x v="4"/>
    <n v="17.989999999999998"/>
    <x v="0"/>
    <x v="2"/>
    <n v="3"/>
    <n v="0.44"/>
    <x v="5"/>
  </r>
  <r>
    <s v="d2a932ab-697b-4647-8f2c-dbc66caef165"/>
    <n v="53"/>
    <x v="3"/>
    <x v="2"/>
    <x v="0"/>
    <n v="16.059999999999999"/>
    <n v="57"/>
    <x v="4"/>
    <x v="4"/>
    <n v="13.99"/>
    <x v="1"/>
    <x v="4"/>
    <n v="4"/>
    <n v="0.28000000000000003"/>
    <x v="3"/>
  </r>
  <r>
    <s v="7a5a1c2d-4ddf-4ced-8b06-9fe87d4e0d77"/>
    <n v="46"/>
    <x v="3"/>
    <x v="0"/>
    <x v="0"/>
    <n v="4.76"/>
    <n v="43"/>
    <x v="1"/>
    <x v="3"/>
    <n v="13.99"/>
    <x v="1"/>
    <x v="3"/>
    <n v="5"/>
    <n v="0.11"/>
    <x v="4"/>
  </r>
  <r>
    <s v="47610273-6edd-4a7b-a38e-8299b453981e"/>
    <n v="53"/>
    <x v="3"/>
    <x v="0"/>
    <x v="0"/>
    <n v="2.34"/>
    <n v="46"/>
    <x v="0"/>
    <x v="3"/>
    <n v="13.99"/>
    <x v="1"/>
    <x v="3"/>
    <n v="1"/>
    <n v="0.05"/>
    <x v="4"/>
  </r>
  <r>
    <s v="e473c69f-6859-4428-844e-93814aaf0186"/>
    <n v="49"/>
    <x v="3"/>
    <x v="0"/>
    <x v="1"/>
    <n v="15.64"/>
    <n v="1"/>
    <x v="3"/>
    <x v="4"/>
    <n v="17.989999999999998"/>
    <x v="0"/>
    <x v="3"/>
    <n v="4"/>
    <n v="7.82"/>
    <x v="2"/>
  </r>
  <r>
    <s v="5ee0ae54-f871-4dd1-9614-e4ca9f74659f"/>
    <n v="46"/>
    <x v="3"/>
    <x v="2"/>
    <x v="0"/>
    <n v="8.7200000000000006"/>
    <n v="8"/>
    <x v="1"/>
    <x v="3"/>
    <n v="13.99"/>
    <x v="0"/>
    <x v="1"/>
    <n v="5"/>
    <n v="0.97"/>
    <x v="5"/>
  </r>
  <r>
    <s v="da9c8b84-7d45-457f-9038-dfe4a87751a1"/>
    <n v="54"/>
    <x v="3"/>
    <x v="2"/>
    <x v="2"/>
    <n v="1.29"/>
    <n v="49"/>
    <x v="1"/>
    <x v="1"/>
    <n v="8.99"/>
    <x v="1"/>
    <x v="2"/>
    <n v="4"/>
    <n v="0.03"/>
    <x v="6"/>
  </r>
  <r>
    <s v="023674fd-9b81-45e5-8f9d-f8733d7d65d8"/>
    <n v="47"/>
    <x v="3"/>
    <x v="1"/>
    <x v="0"/>
    <n v="2.92"/>
    <n v="56"/>
    <x v="2"/>
    <x v="2"/>
    <n v="13.99"/>
    <x v="1"/>
    <x v="1"/>
    <n v="5"/>
    <n v="0.05"/>
    <x v="0"/>
  </r>
  <r>
    <s v="454fec46-8e0d-4393-8447-cd6a9e571728"/>
    <n v="51"/>
    <x v="3"/>
    <x v="2"/>
    <x v="0"/>
    <n v="18"/>
    <n v="60"/>
    <x v="2"/>
    <x v="3"/>
    <n v="13.99"/>
    <x v="0"/>
    <x v="1"/>
    <n v="4"/>
    <n v="0.3"/>
    <x v="4"/>
  </r>
  <r>
    <s v="f4c54bfe-7854-4c8c-ad84-b9710932a4af"/>
    <n v="49"/>
    <x v="3"/>
    <x v="0"/>
    <x v="2"/>
    <n v="9.65"/>
    <n v="8"/>
    <x v="0"/>
    <x v="1"/>
    <n v="8.99"/>
    <x v="0"/>
    <x v="0"/>
    <n v="3"/>
    <n v="1.07"/>
    <x v="4"/>
  </r>
  <r>
    <s v="c31a20bb-1b05-4448-801c-a8193f1b4f74"/>
    <n v="47"/>
    <x v="3"/>
    <x v="1"/>
    <x v="1"/>
    <n v="12.5"/>
    <n v="18"/>
    <x v="3"/>
    <x v="2"/>
    <n v="17.989999999999998"/>
    <x v="0"/>
    <x v="2"/>
    <n v="1"/>
    <n v="0.66"/>
    <x v="0"/>
  </r>
  <r>
    <s v="cbdd092b-08f0-4234-8418-feceb1f990d9"/>
    <n v="54"/>
    <x v="3"/>
    <x v="1"/>
    <x v="1"/>
    <n v="5.37"/>
    <n v="35"/>
    <x v="5"/>
    <x v="3"/>
    <n v="17.989999999999998"/>
    <x v="1"/>
    <x v="0"/>
    <n v="4"/>
    <n v="0.15"/>
    <x v="4"/>
  </r>
  <r>
    <s v="c3614ddf-ee73-496a-b1ea-3e27f6a5288a"/>
    <n v="50"/>
    <x v="3"/>
    <x v="1"/>
    <x v="1"/>
    <n v="12.5"/>
    <n v="56"/>
    <x v="0"/>
    <x v="4"/>
    <n v="17.989999999999998"/>
    <x v="0"/>
    <x v="2"/>
    <n v="5"/>
    <n v="0.22"/>
    <x v="3"/>
  </r>
  <r>
    <s v="6004fb8d-885f-4bdc-bcef-d671742ba6f6"/>
    <n v="51"/>
    <x v="3"/>
    <x v="0"/>
    <x v="2"/>
    <n v="17.62"/>
    <n v="55"/>
    <x v="0"/>
    <x v="1"/>
    <n v="8.99"/>
    <x v="1"/>
    <x v="1"/>
    <n v="4"/>
    <n v="0.31"/>
    <x v="1"/>
  </r>
  <r>
    <s v="e2bcc0cf-556c-4c71-93b4-f4e99a0e9520"/>
    <n v="51"/>
    <x v="3"/>
    <x v="1"/>
    <x v="1"/>
    <n v="12.41"/>
    <n v="53"/>
    <x v="0"/>
    <x v="1"/>
    <n v="17.989999999999998"/>
    <x v="1"/>
    <x v="4"/>
    <n v="3"/>
    <n v="0.23"/>
    <x v="4"/>
  </r>
  <r>
    <s v="693dbaee-4cc2-4978-ab24-f5588acfe591"/>
    <n v="52"/>
    <x v="3"/>
    <x v="1"/>
    <x v="2"/>
    <n v="28.04"/>
    <n v="11"/>
    <x v="1"/>
    <x v="1"/>
    <n v="8.99"/>
    <x v="0"/>
    <x v="1"/>
    <n v="2"/>
    <n v="2.34"/>
    <x v="3"/>
  </r>
  <r>
    <s v="cc439399-1ef2-4143-8924-b9e36668bdea"/>
    <n v="51"/>
    <x v="3"/>
    <x v="2"/>
    <x v="0"/>
    <n v="5.05"/>
    <n v="24"/>
    <x v="4"/>
    <x v="4"/>
    <n v="13.99"/>
    <x v="0"/>
    <x v="4"/>
    <n v="3"/>
    <n v="0.2"/>
    <x v="3"/>
  </r>
  <r>
    <s v="d1be299e-4ffd-47bf-9976-93a9c9456ba0"/>
    <n v="46"/>
    <x v="3"/>
    <x v="1"/>
    <x v="2"/>
    <n v="2.04"/>
    <n v="26"/>
    <x v="4"/>
    <x v="2"/>
    <n v="8.99"/>
    <x v="1"/>
    <x v="4"/>
    <n v="4"/>
    <n v="0.08"/>
    <x v="3"/>
  </r>
  <r>
    <s v="9d3b9aa9-6ef6-40c3-990a-0b71d4e1cd32"/>
    <n v="54"/>
    <x v="3"/>
    <x v="1"/>
    <x v="2"/>
    <n v="29.19"/>
    <n v="28"/>
    <x v="0"/>
    <x v="4"/>
    <n v="8.99"/>
    <x v="0"/>
    <x v="4"/>
    <n v="2"/>
    <n v="1.01"/>
    <x v="4"/>
  </r>
  <r>
    <s v="0ea4c14c-52be-4987-a6b8-396c00b47ee1"/>
    <n v="47"/>
    <x v="3"/>
    <x v="1"/>
    <x v="1"/>
    <n v="5.41"/>
    <n v="10"/>
    <x v="5"/>
    <x v="4"/>
    <n v="17.989999999999998"/>
    <x v="0"/>
    <x v="1"/>
    <n v="3"/>
    <n v="0.49"/>
    <x v="2"/>
  </r>
  <r>
    <s v="d736a739-cc2b-4884-ae4b-72c68825f391"/>
    <n v="45"/>
    <x v="3"/>
    <x v="1"/>
    <x v="0"/>
    <n v="4.13"/>
    <n v="4"/>
    <x v="2"/>
    <x v="4"/>
    <n v="13.99"/>
    <x v="0"/>
    <x v="1"/>
    <n v="2"/>
    <n v="0.83"/>
    <x v="1"/>
  </r>
  <r>
    <s v="ca46ce36-fc9e-44f2-8389-482a3140e392"/>
    <n v="47"/>
    <x v="3"/>
    <x v="1"/>
    <x v="0"/>
    <n v="3.3"/>
    <n v="51"/>
    <x v="1"/>
    <x v="4"/>
    <n v="13.99"/>
    <x v="1"/>
    <x v="1"/>
    <n v="5"/>
    <n v="0.06"/>
    <x v="2"/>
  </r>
  <r>
    <s v="0d95ff72-e987-4197-b250-afc7e62d2dee"/>
    <n v="52"/>
    <x v="3"/>
    <x v="1"/>
    <x v="0"/>
    <n v="12.96"/>
    <n v="40"/>
    <x v="2"/>
    <x v="2"/>
    <n v="13.99"/>
    <x v="1"/>
    <x v="4"/>
    <n v="4"/>
    <n v="0.32"/>
    <x v="1"/>
  </r>
  <r>
    <s v="266c6b86-79e8-4fa9-a41c-be3d23ef2475"/>
    <n v="51"/>
    <x v="3"/>
    <x v="2"/>
    <x v="0"/>
    <n v="20.53"/>
    <n v="1"/>
    <x v="1"/>
    <x v="1"/>
    <n v="13.99"/>
    <x v="0"/>
    <x v="1"/>
    <n v="4"/>
    <n v="10.27"/>
    <x v="1"/>
  </r>
  <r>
    <s v="5381612f-764a-40ee-9b78-d63104e51f5f"/>
    <n v="47"/>
    <x v="3"/>
    <x v="1"/>
    <x v="1"/>
    <n v="3.3"/>
    <n v="24"/>
    <x v="4"/>
    <x v="3"/>
    <n v="17.989999999999998"/>
    <x v="1"/>
    <x v="0"/>
    <n v="4"/>
    <n v="0.13"/>
    <x v="3"/>
  </r>
  <r>
    <s v="b0494b53-2f3c-46cc-b907-265ed1f3d345"/>
    <n v="45"/>
    <x v="3"/>
    <x v="2"/>
    <x v="0"/>
    <n v="43.5"/>
    <n v="7"/>
    <x v="4"/>
    <x v="3"/>
    <n v="13.99"/>
    <x v="0"/>
    <x v="4"/>
    <n v="5"/>
    <n v="5.44"/>
    <x v="0"/>
  </r>
  <r>
    <s v="8d1288c4-b29c-4cba-8c59-4bbf0db22487"/>
    <n v="50"/>
    <x v="3"/>
    <x v="1"/>
    <x v="1"/>
    <n v="13.02"/>
    <n v="51"/>
    <x v="2"/>
    <x v="3"/>
    <n v="17.989999999999998"/>
    <x v="1"/>
    <x v="0"/>
    <n v="2"/>
    <n v="0.25"/>
    <x v="4"/>
  </r>
  <r>
    <s v="1d8fdb2f-7a27-4d1f-9dcf-fc324a029558"/>
    <n v="45"/>
    <x v="3"/>
    <x v="1"/>
    <x v="2"/>
    <n v="11.67"/>
    <n v="16"/>
    <x v="4"/>
    <x v="4"/>
    <n v="8.99"/>
    <x v="0"/>
    <x v="3"/>
    <n v="1"/>
    <n v="0.69"/>
    <x v="6"/>
  </r>
  <r>
    <s v="32fb3202-3001-457c-b218-60b3e3bfe26b"/>
    <n v="54"/>
    <x v="3"/>
    <x v="2"/>
    <x v="2"/>
    <n v="14.95"/>
    <n v="44"/>
    <x v="1"/>
    <x v="3"/>
    <n v="8.99"/>
    <x v="1"/>
    <x v="1"/>
    <n v="1"/>
    <n v="0.33"/>
    <x v="2"/>
  </r>
  <r>
    <s v="622065af-078b-407b-ac57-754272d9b7df"/>
    <n v="47"/>
    <x v="3"/>
    <x v="0"/>
    <x v="0"/>
    <n v="1.23"/>
    <n v="54"/>
    <x v="0"/>
    <x v="0"/>
    <n v="13.99"/>
    <x v="1"/>
    <x v="0"/>
    <n v="1"/>
    <n v="0.02"/>
    <x v="5"/>
  </r>
  <r>
    <s v="d9ac3ade-6c21-4bae-89bd-c2ad880d31f0"/>
    <n v="54"/>
    <x v="3"/>
    <x v="1"/>
    <x v="0"/>
    <n v="25.32"/>
    <n v="57"/>
    <x v="0"/>
    <x v="2"/>
    <n v="13.99"/>
    <x v="0"/>
    <x v="2"/>
    <n v="3"/>
    <n v="0.44"/>
    <x v="0"/>
  </r>
  <r>
    <s v="feff7dcc-8b4d-4121-9638-e39edad5c67f"/>
    <n v="52"/>
    <x v="3"/>
    <x v="1"/>
    <x v="1"/>
    <n v="34.96"/>
    <n v="50"/>
    <x v="4"/>
    <x v="3"/>
    <n v="17.989999999999998"/>
    <x v="0"/>
    <x v="2"/>
    <n v="3"/>
    <n v="0.69"/>
    <x v="2"/>
  </r>
  <r>
    <s v="dc9be9a8-e518-4f3c-a023-bdbaeeb17b3c"/>
    <n v="53"/>
    <x v="3"/>
    <x v="1"/>
    <x v="0"/>
    <n v="0.51"/>
    <n v="30"/>
    <x v="2"/>
    <x v="2"/>
    <n v="13.99"/>
    <x v="0"/>
    <x v="1"/>
    <n v="5"/>
    <n v="0.02"/>
    <x v="2"/>
  </r>
  <r>
    <s v="a34e8ef9-faa1-42a4-8db2-d0402e6f09ee"/>
    <n v="46"/>
    <x v="3"/>
    <x v="2"/>
    <x v="1"/>
    <n v="36.229999999999997"/>
    <n v="16"/>
    <x v="2"/>
    <x v="3"/>
    <n v="17.989999999999998"/>
    <x v="0"/>
    <x v="2"/>
    <n v="4"/>
    <n v="2.13"/>
    <x v="6"/>
  </r>
  <r>
    <s v="13d9a2c4-6246-4b31-9c92-2dd0a8ab193b"/>
    <n v="53"/>
    <x v="3"/>
    <x v="0"/>
    <x v="0"/>
    <n v="21.38"/>
    <n v="53"/>
    <x v="5"/>
    <x v="4"/>
    <n v="13.99"/>
    <x v="0"/>
    <x v="2"/>
    <n v="5"/>
    <n v="0.4"/>
    <x v="5"/>
  </r>
  <r>
    <s v="3305c5ff-0c1d-4454-a4d1-dea0e3978975"/>
    <n v="50"/>
    <x v="3"/>
    <x v="0"/>
    <x v="1"/>
    <n v="18.62"/>
    <n v="25"/>
    <x v="3"/>
    <x v="4"/>
    <n v="17.989999999999998"/>
    <x v="0"/>
    <x v="4"/>
    <n v="5"/>
    <n v="0.72"/>
    <x v="5"/>
  </r>
  <r>
    <s v="45b3fb12-d487-41cf-a511-6bb224c2848d"/>
    <n v="53"/>
    <x v="3"/>
    <x v="1"/>
    <x v="2"/>
    <n v="5.96"/>
    <n v="46"/>
    <x v="2"/>
    <x v="4"/>
    <n v="8.99"/>
    <x v="1"/>
    <x v="2"/>
    <n v="1"/>
    <n v="0.13"/>
    <x v="0"/>
  </r>
  <r>
    <s v="a885f06b-975d-4dc1-b097-fbeeb8a5ae05"/>
    <n v="47"/>
    <x v="3"/>
    <x v="2"/>
    <x v="2"/>
    <n v="3.92"/>
    <n v="40"/>
    <x v="5"/>
    <x v="4"/>
    <n v="8.99"/>
    <x v="1"/>
    <x v="3"/>
    <n v="5"/>
    <n v="0.1"/>
    <x v="0"/>
  </r>
  <r>
    <s v="fe446b20-d84d-4ee7-9de6-6bf726b339b4"/>
    <n v="54"/>
    <x v="3"/>
    <x v="1"/>
    <x v="1"/>
    <n v="9.8000000000000007"/>
    <n v="56"/>
    <x v="4"/>
    <x v="4"/>
    <n v="17.989999999999998"/>
    <x v="1"/>
    <x v="0"/>
    <n v="4"/>
    <n v="0.17"/>
    <x v="4"/>
  </r>
  <r>
    <s v="727a2bec-50ec-47ee-9905-3caf8cb2a987"/>
    <n v="52"/>
    <x v="3"/>
    <x v="2"/>
    <x v="1"/>
    <n v="3.12"/>
    <n v="9"/>
    <x v="2"/>
    <x v="0"/>
    <n v="17.989999999999998"/>
    <x v="1"/>
    <x v="3"/>
    <n v="1"/>
    <n v="0.31"/>
    <x v="1"/>
  </r>
  <r>
    <s v="1d5bbdf1-b8eb-49c8-8502-6925c92285d6"/>
    <n v="49"/>
    <x v="3"/>
    <x v="0"/>
    <x v="0"/>
    <n v="8.43"/>
    <n v="2"/>
    <x v="5"/>
    <x v="0"/>
    <n v="13.99"/>
    <x v="0"/>
    <x v="4"/>
    <n v="1"/>
    <n v="2.81"/>
    <x v="1"/>
  </r>
  <r>
    <s v="ee8faa7f-a7e8-4a8b-8441-695a894635ec"/>
    <n v="49"/>
    <x v="3"/>
    <x v="0"/>
    <x v="2"/>
    <n v="7.02"/>
    <n v="55"/>
    <x v="2"/>
    <x v="2"/>
    <n v="8.99"/>
    <x v="1"/>
    <x v="4"/>
    <n v="3"/>
    <n v="0.13"/>
    <x v="0"/>
  </r>
  <r>
    <s v="7e2e2ab8-ef15-4a1d-ab31-70439070dcb2"/>
    <n v="45"/>
    <x v="3"/>
    <x v="0"/>
    <x v="1"/>
    <n v="0.12"/>
    <n v="14"/>
    <x v="1"/>
    <x v="0"/>
    <n v="17.989999999999998"/>
    <x v="0"/>
    <x v="1"/>
    <n v="5"/>
    <n v="0.01"/>
    <x v="5"/>
  </r>
  <r>
    <s v="ac363bfb-8031-4077-a271-465e28b18e97"/>
    <n v="47"/>
    <x v="3"/>
    <x v="2"/>
    <x v="1"/>
    <n v="0.64"/>
    <n v="43"/>
    <x v="3"/>
    <x v="3"/>
    <n v="17.989999999999998"/>
    <x v="1"/>
    <x v="0"/>
    <n v="2"/>
    <n v="0.01"/>
    <x v="4"/>
  </r>
  <r>
    <s v="b281af12-1392-4e70-9dc8-b394fe8de6a8"/>
    <n v="52"/>
    <x v="3"/>
    <x v="0"/>
    <x v="0"/>
    <n v="8.93"/>
    <n v="38"/>
    <x v="3"/>
    <x v="3"/>
    <n v="13.99"/>
    <x v="1"/>
    <x v="0"/>
    <n v="1"/>
    <n v="0.23"/>
    <x v="2"/>
  </r>
  <r>
    <s v="aac86e6a-dd8e-4a52-9ab0-b6f14fd2911f"/>
    <n v="52"/>
    <x v="3"/>
    <x v="1"/>
    <x v="2"/>
    <n v="0.4"/>
    <n v="54"/>
    <x v="1"/>
    <x v="3"/>
    <n v="8.99"/>
    <x v="1"/>
    <x v="1"/>
    <n v="1"/>
    <n v="0.01"/>
    <x v="4"/>
  </r>
  <r>
    <s v="adc7f84c-3aab-48f5-af7e-27358f82ac21"/>
    <n v="45"/>
    <x v="3"/>
    <x v="0"/>
    <x v="2"/>
    <n v="25.86"/>
    <n v="36"/>
    <x v="4"/>
    <x v="4"/>
    <n v="8.99"/>
    <x v="0"/>
    <x v="3"/>
    <n v="3"/>
    <n v="0.7"/>
    <x v="1"/>
  </r>
  <r>
    <s v="048c60bd-5233-445a-83d5-f33e8e5ad0f1"/>
    <n v="49"/>
    <x v="3"/>
    <x v="1"/>
    <x v="2"/>
    <n v="15.49"/>
    <n v="18"/>
    <x v="4"/>
    <x v="4"/>
    <n v="8.99"/>
    <x v="0"/>
    <x v="2"/>
    <n v="3"/>
    <n v="0.82"/>
    <x v="5"/>
  </r>
  <r>
    <s v="acbfff21-46ea-4d22-9320-980af367bdc2"/>
    <n v="46"/>
    <x v="3"/>
    <x v="2"/>
    <x v="0"/>
    <n v="12.26"/>
    <n v="45"/>
    <x v="3"/>
    <x v="4"/>
    <n v="13.99"/>
    <x v="1"/>
    <x v="3"/>
    <n v="3"/>
    <n v="0.27"/>
    <x v="5"/>
  </r>
  <r>
    <s v="f8d78376-febd-4540-8d6a-81bbab8f3b57"/>
    <n v="45"/>
    <x v="3"/>
    <x v="1"/>
    <x v="2"/>
    <n v="39.96"/>
    <n v="41"/>
    <x v="5"/>
    <x v="1"/>
    <n v="8.99"/>
    <x v="0"/>
    <x v="3"/>
    <n v="5"/>
    <n v="0.95"/>
    <x v="4"/>
  </r>
  <r>
    <s v="3396e8c6-d124-466a-976a-2282eb070659"/>
    <n v="51"/>
    <x v="3"/>
    <x v="0"/>
    <x v="1"/>
    <n v="8.68"/>
    <n v="8"/>
    <x v="3"/>
    <x v="0"/>
    <n v="17.989999999999998"/>
    <x v="0"/>
    <x v="3"/>
    <n v="4"/>
    <n v="0.96"/>
    <x v="5"/>
  </r>
  <r>
    <s v="11b11026-73bb-42af-8a0f-092fac0012ee"/>
    <n v="49"/>
    <x v="3"/>
    <x v="2"/>
    <x v="0"/>
    <n v="10.66"/>
    <n v="38"/>
    <x v="0"/>
    <x v="0"/>
    <n v="13.99"/>
    <x v="1"/>
    <x v="3"/>
    <n v="3"/>
    <n v="0.27"/>
    <x v="0"/>
  </r>
  <r>
    <s v="ab2a775f-9e55-4246-a6f8-6f9b9b933da5"/>
    <n v="47"/>
    <x v="3"/>
    <x v="2"/>
    <x v="1"/>
    <n v="20.61"/>
    <n v="56"/>
    <x v="5"/>
    <x v="3"/>
    <n v="17.989999999999998"/>
    <x v="0"/>
    <x v="2"/>
    <n v="1"/>
    <n v="0.36"/>
    <x v="4"/>
  </r>
  <r>
    <s v="f621bd06-0cdf-4010-b39e-3ad5d697ba92"/>
    <n v="51"/>
    <x v="3"/>
    <x v="2"/>
    <x v="0"/>
    <n v="24.3"/>
    <n v="38"/>
    <x v="2"/>
    <x v="3"/>
    <n v="13.99"/>
    <x v="0"/>
    <x v="1"/>
    <n v="2"/>
    <n v="0.62"/>
    <x v="2"/>
  </r>
  <r>
    <s v="dfd041ff-d855-4c8e-81c1-57155d28c48f"/>
    <n v="54"/>
    <x v="3"/>
    <x v="2"/>
    <x v="1"/>
    <n v="2.1"/>
    <n v="50"/>
    <x v="5"/>
    <x v="4"/>
    <n v="17.989999999999998"/>
    <x v="1"/>
    <x v="4"/>
    <n v="1"/>
    <n v="0.04"/>
    <x v="2"/>
  </r>
  <r>
    <s v="de0bbcd6-c19d-4e30-9cf2-b66bf2dc5ceb"/>
    <n v="49"/>
    <x v="3"/>
    <x v="0"/>
    <x v="0"/>
    <n v="10.34"/>
    <n v="20"/>
    <x v="1"/>
    <x v="2"/>
    <n v="13.99"/>
    <x v="0"/>
    <x v="4"/>
    <n v="3"/>
    <n v="0.49"/>
    <x v="6"/>
  </r>
  <r>
    <s v="a8df1927-7706-42ec-9dd9-99d18857cb02"/>
    <n v="53"/>
    <x v="3"/>
    <x v="0"/>
    <x v="1"/>
    <n v="4.37"/>
    <n v="48"/>
    <x v="1"/>
    <x v="4"/>
    <n v="17.989999999999998"/>
    <x v="1"/>
    <x v="3"/>
    <n v="3"/>
    <n v="0.09"/>
    <x v="1"/>
  </r>
  <r>
    <s v="b72187e9-7572-4cc6-b79c-5b07cea9e128"/>
    <n v="52"/>
    <x v="3"/>
    <x v="0"/>
    <x v="2"/>
    <n v="5.2"/>
    <n v="20"/>
    <x v="2"/>
    <x v="0"/>
    <n v="8.99"/>
    <x v="0"/>
    <x v="3"/>
    <n v="3"/>
    <n v="0.25"/>
    <x v="2"/>
  </r>
  <r>
    <s v="2b231ddf-e204-4577-ae91-f0da4cb5f261"/>
    <n v="52"/>
    <x v="3"/>
    <x v="0"/>
    <x v="2"/>
    <n v="4.47"/>
    <n v="7"/>
    <x v="4"/>
    <x v="4"/>
    <n v="8.99"/>
    <x v="1"/>
    <x v="1"/>
    <n v="3"/>
    <n v="0.56000000000000005"/>
    <x v="3"/>
  </r>
  <r>
    <s v="dfa1b990-66dd-4237-afee-721ed2e9aab6"/>
    <n v="49"/>
    <x v="3"/>
    <x v="1"/>
    <x v="0"/>
    <n v="9.01"/>
    <n v="31"/>
    <x v="1"/>
    <x v="1"/>
    <n v="13.99"/>
    <x v="1"/>
    <x v="3"/>
    <n v="3"/>
    <n v="0.28000000000000003"/>
    <x v="3"/>
  </r>
  <r>
    <s v="b3fe4f32-1641-4053-b26c-b5000c1d2a58"/>
    <n v="54"/>
    <x v="3"/>
    <x v="2"/>
    <x v="2"/>
    <n v="8.4600000000000009"/>
    <n v="41"/>
    <x v="5"/>
    <x v="1"/>
    <n v="8.99"/>
    <x v="1"/>
    <x v="3"/>
    <n v="2"/>
    <n v="0.2"/>
    <x v="4"/>
  </r>
  <r>
    <s v="44a3736f-eb54-4b27-afb8-6f07d6c9c25b"/>
    <n v="47"/>
    <x v="3"/>
    <x v="1"/>
    <x v="2"/>
    <n v="0.28999999999999998"/>
    <n v="10"/>
    <x v="3"/>
    <x v="2"/>
    <n v="8.99"/>
    <x v="1"/>
    <x v="1"/>
    <n v="4"/>
    <n v="0.03"/>
    <x v="2"/>
  </r>
  <r>
    <s v="945a5f93-9c3b-4b1e-893a-bb486805d851"/>
    <n v="50"/>
    <x v="3"/>
    <x v="0"/>
    <x v="2"/>
    <n v="18.3"/>
    <n v="25"/>
    <x v="4"/>
    <x v="2"/>
    <n v="8.99"/>
    <x v="0"/>
    <x v="4"/>
    <n v="1"/>
    <n v="0.7"/>
    <x v="6"/>
  </r>
  <r>
    <s v="3bc53390-2e23-40a3-9ebd-f4eeb7367575"/>
    <n v="52"/>
    <x v="3"/>
    <x v="2"/>
    <x v="2"/>
    <n v="2.61"/>
    <n v="51"/>
    <x v="4"/>
    <x v="3"/>
    <n v="8.99"/>
    <x v="1"/>
    <x v="0"/>
    <n v="5"/>
    <n v="0.05"/>
    <x v="2"/>
  </r>
  <r>
    <s v="439b60cc-9888-424f-98f0-d2ed345b5dd5"/>
    <n v="54"/>
    <x v="3"/>
    <x v="1"/>
    <x v="2"/>
    <n v="11.19"/>
    <n v="27"/>
    <x v="2"/>
    <x v="0"/>
    <n v="8.99"/>
    <x v="1"/>
    <x v="4"/>
    <n v="1"/>
    <n v="0.4"/>
    <x v="1"/>
  </r>
  <r>
    <s v="886da80b-6c19-47ba-b070-c7630c5b4241"/>
    <n v="53"/>
    <x v="3"/>
    <x v="2"/>
    <x v="1"/>
    <n v="27.97"/>
    <n v="35"/>
    <x v="3"/>
    <x v="3"/>
    <n v="17.989999999999998"/>
    <x v="0"/>
    <x v="0"/>
    <n v="1"/>
    <n v="0.78"/>
    <x v="5"/>
  </r>
  <r>
    <s v="12a181f8-58ca-45ab-968b-af28ef28b37b"/>
    <n v="45"/>
    <x v="3"/>
    <x v="2"/>
    <x v="1"/>
    <n v="0.45"/>
    <n v="44"/>
    <x v="0"/>
    <x v="2"/>
    <n v="17.989999999999998"/>
    <x v="1"/>
    <x v="1"/>
    <n v="3"/>
    <n v="0.01"/>
    <x v="1"/>
  </r>
  <r>
    <s v="0d13d747-9091-4ad1-af2f-752b753b78d5"/>
    <n v="54"/>
    <x v="3"/>
    <x v="0"/>
    <x v="2"/>
    <n v="11.9"/>
    <n v="49"/>
    <x v="2"/>
    <x v="3"/>
    <n v="8.99"/>
    <x v="1"/>
    <x v="3"/>
    <n v="5"/>
    <n v="0.24"/>
    <x v="2"/>
  </r>
  <r>
    <s v="ee8b1fc7-9123-4e95-9df9-8bcb4c58bbb8"/>
    <n v="53"/>
    <x v="3"/>
    <x v="0"/>
    <x v="1"/>
    <n v="3.41"/>
    <n v="50"/>
    <x v="5"/>
    <x v="1"/>
    <n v="17.989999999999998"/>
    <x v="1"/>
    <x v="1"/>
    <n v="1"/>
    <n v="7.0000000000000007E-2"/>
    <x v="4"/>
  </r>
  <r>
    <s v="e0f75dc5-79d3-466c-af2c-6cddc2518204"/>
    <n v="51"/>
    <x v="3"/>
    <x v="1"/>
    <x v="0"/>
    <n v="0.73"/>
    <n v="46"/>
    <x v="4"/>
    <x v="1"/>
    <n v="13.99"/>
    <x v="1"/>
    <x v="0"/>
    <n v="5"/>
    <n v="0.02"/>
    <x v="5"/>
  </r>
  <r>
    <s v="467d07a0-cee3-437e-99c0-24ad8b68fb34"/>
    <n v="54"/>
    <x v="3"/>
    <x v="0"/>
    <x v="0"/>
    <n v="4.41"/>
    <n v="9"/>
    <x v="4"/>
    <x v="1"/>
    <n v="13.99"/>
    <x v="1"/>
    <x v="4"/>
    <n v="2"/>
    <n v="0.44"/>
    <x v="6"/>
  </r>
  <r>
    <s v="bc17d830-baf7-4d14-b51e-b18ee693e4b9"/>
    <n v="46"/>
    <x v="3"/>
    <x v="2"/>
    <x v="2"/>
    <n v="14.86"/>
    <n v="47"/>
    <x v="2"/>
    <x v="0"/>
    <n v="8.99"/>
    <x v="1"/>
    <x v="3"/>
    <n v="4"/>
    <n v="0.31"/>
    <x v="4"/>
  </r>
  <r>
    <s v="055a3dec-4f91-4b6d-b8ac-cbfdce142525"/>
    <n v="50"/>
    <x v="3"/>
    <x v="1"/>
    <x v="2"/>
    <n v="9.5399999999999991"/>
    <n v="38"/>
    <x v="1"/>
    <x v="1"/>
    <n v="8.99"/>
    <x v="1"/>
    <x v="3"/>
    <n v="3"/>
    <n v="0.24"/>
    <x v="3"/>
  </r>
  <r>
    <s v="d00e3438-46da-4754-bb0d-637232738b44"/>
    <n v="54"/>
    <x v="3"/>
    <x v="2"/>
    <x v="2"/>
    <n v="14.18"/>
    <n v="45"/>
    <x v="3"/>
    <x v="2"/>
    <n v="8.99"/>
    <x v="1"/>
    <x v="3"/>
    <n v="5"/>
    <n v="0.31"/>
    <x v="5"/>
  </r>
  <r>
    <s v="c8e2f96a-60f2-42b0-86f4-b7f16868f196"/>
    <n v="51"/>
    <x v="3"/>
    <x v="1"/>
    <x v="2"/>
    <n v="2.29"/>
    <n v="51"/>
    <x v="4"/>
    <x v="1"/>
    <n v="8.99"/>
    <x v="1"/>
    <x v="2"/>
    <n v="3"/>
    <n v="0.04"/>
    <x v="6"/>
  </r>
  <r>
    <s v="df15018a-f407-4f1b-8be5-8cfb76e94670"/>
    <n v="54"/>
    <x v="3"/>
    <x v="0"/>
    <x v="2"/>
    <n v="6.72"/>
    <n v="47"/>
    <x v="1"/>
    <x v="1"/>
    <n v="8.99"/>
    <x v="1"/>
    <x v="1"/>
    <n v="4"/>
    <n v="0.14000000000000001"/>
    <x v="0"/>
  </r>
  <r>
    <s v="d32c1ecf-9553-4e07-b563-9e800c42efe4"/>
    <n v="51"/>
    <x v="3"/>
    <x v="1"/>
    <x v="0"/>
    <n v="3.38"/>
    <n v="40"/>
    <x v="0"/>
    <x v="3"/>
    <n v="13.99"/>
    <x v="1"/>
    <x v="4"/>
    <n v="3"/>
    <n v="0.08"/>
    <x v="6"/>
  </r>
  <r>
    <s v="04d2b903-4529-4255-8f4a-b4b688fcad51"/>
    <n v="52"/>
    <x v="3"/>
    <x v="0"/>
    <x v="1"/>
    <n v="4.12"/>
    <n v="1"/>
    <x v="2"/>
    <x v="1"/>
    <n v="17.989999999999998"/>
    <x v="0"/>
    <x v="0"/>
    <n v="4"/>
    <n v="2.06"/>
    <x v="6"/>
  </r>
  <r>
    <s v="2200c15c-d6fe-4aa0-879c-9e929c7aeb08"/>
    <n v="47"/>
    <x v="3"/>
    <x v="2"/>
    <x v="1"/>
    <n v="3.78"/>
    <n v="56"/>
    <x v="5"/>
    <x v="1"/>
    <n v="17.989999999999998"/>
    <x v="1"/>
    <x v="1"/>
    <n v="3"/>
    <n v="7.0000000000000007E-2"/>
    <x v="5"/>
  </r>
  <r>
    <s v="155fbfe6-62e7-4937-aecd-8b8c14595c20"/>
    <n v="48"/>
    <x v="3"/>
    <x v="2"/>
    <x v="2"/>
    <n v="0.91"/>
    <n v="38"/>
    <x v="2"/>
    <x v="4"/>
    <n v="8.99"/>
    <x v="1"/>
    <x v="1"/>
    <n v="4"/>
    <n v="0.02"/>
    <x v="4"/>
  </r>
  <r>
    <s v="f858d7a7-d4bb-4aeb-af27-6560bac0725f"/>
    <n v="46"/>
    <x v="3"/>
    <x v="0"/>
    <x v="0"/>
    <n v="7.78"/>
    <n v="37"/>
    <x v="3"/>
    <x v="0"/>
    <n v="13.99"/>
    <x v="1"/>
    <x v="4"/>
    <n v="4"/>
    <n v="0.2"/>
    <x v="5"/>
  </r>
  <r>
    <s v="d37ec561-1768-4a93-be30-15a7c820e307"/>
    <n v="48"/>
    <x v="3"/>
    <x v="2"/>
    <x v="1"/>
    <n v="23.03"/>
    <n v="54"/>
    <x v="4"/>
    <x v="3"/>
    <n v="17.989999999999998"/>
    <x v="0"/>
    <x v="2"/>
    <n v="4"/>
    <n v="0.42"/>
    <x v="5"/>
  </r>
  <r>
    <s v="f859113a-2fe6-48da-9ef1-8e7c7b0291ed"/>
    <n v="50"/>
    <x v="3"/>
    <x v="1"/>
    <x v="2"/>
    <n v="6.59"/>
    <n v="6"/>
    <x v="0"/>
    <x v="4"/>
    <n v="8.99"/>
    <x v="0"/>
    <x v="2"/>
    <n v="2"/>
    <n v="0.94"/>
    <x v="2"/>
  </r>
  <r>
    <s v="d58ddc1e-1bdf-440a-8c6b-309077fc3f17"/>
    <n v="51"/>
    <x v="3"/>
    <x v="2"/>
    <x v="2"/>
    <n v="1.56"/>
    <n v="55"/>
    <x v="4"/>
    <x v="2"/>
    <n v="8.99"/>
    <x v="1"/>
    <x v="0"/>
    <n v="3"/>
    <n v="0.03"/>
    <x v="3"/>
  </r>
  <r>
    <s v="52322a98-a709-4dcd-8cc6-e84f8461e005"/>
    <n v="50"/>
    <x v="3"/>
    <x v="2"/>
    <x v="0"/>
    <n v="20.95"/>
    <n v="18"/>
    <x v="0"/>
    <x v="4"/>
    <n v="13.99"/>
    <x v="0"/>
    <x v="4"/>
    <n v="4"/>
    <n v="1.1000000000000001"/>
    <x v="0"/>
  </r>
  <r>
    <s v="3e4d0c22-74cd-4be3-b03c-2342026e82bb"/>
    <n v="46"/>
    <x v="3"/>
    <x v="0"/>
    <x v="0"/>
    <n v="4.5599999999999996"/>
    <n v="14"/>
    <x v="2"/>
    <x v="1"/>
    <n v="13.99"/>
    <x v="1"/>
    <x v="4"/>
    <n v="2"/>
    <n v="0.3"/>
    <x v="2"/>
  </r>
  <r>
    <s v="cbeb85c5-9480-4ea2-b6ab-8518eece6961"/>
    <n v="54"/>
    <x v="3"/>
    <x v="1"/>
    <x v="1"/>
    <n v="0.48"/>
    <n v="59"/>
    <x v="0"/>
    <x v="3"/>
    <n v="17.989999999999998"/>
    <x v="1"/>
    <x v="0"/>
    <n v="4"/>
    <n v="0.01"/>
    <x v="4"/>
  </r>
  <r>
    <s v="e257dba6-fb3d-41cf-99a2-0700e8f8a568"/>
    <n v="53"/>
    <x v="3"/>
    <x v="0"/>
    <x v="2"/>
    <n v="40.81"/>
    <n v="17"/>
    <x v="3"/>
    <x v="2"/>
    <n v="8.99"/>
    <x v="0"/>
    <x v="4"/>
    <n v="1"/>
    <n v="2.27"/>
    <x v="1"/>
  </r>
  <r>
    <s v="46bbc44d-525c-498c-bee4-71c73afbc13c"/>
    <n v="50"/>
    <x v="3"/>
    <x v="1"/>
    <x v="0"/>
    <n v="9.9"/>
    <n v="10"/>
    <x v="4"/>
    <x v="3"/>
    <n v="13.99"/>
    <x v="0"/>
    <x v="1"/>
    <n v="2"/>
    <n v="0.9"/>
    <x v="0"/>
  </r>
  <r>
    <s v="b5e00f1f-9d09-4429-889f-ade90e1b3cee"/>
    <n v="51"/>
    <x v="3"/>
    <x v="1"/>
    <x v="1"/>
    <n v="1.67"/>
    <n v="28"/>
    <x v="3"/>
    <x v="4"/>
    <n v="17.989999999999998"/>
    <x v="1"/>
    <x v="0"/>
    <n v="4"/>
    <n v="0.06"/>
    <x v="3"/>
  </r>
  <r>
    <s v="a7723da8-3f8e-49df-b973-d9959d8bf844"/>
    <n v="50"/>
    <x v="3"/>
    <x v="1"/>
    <x v="1"/>
    <n v="0.73"/>
    <n v="24"/>
    <x v="4"/>
    <x v="4"/>
    <n v="17.989999999999998"/>
    <x v="1"/>
    <x v="0"/>
    <n v="2"/>
    <n v="0.03"/>
    <x v="3"/>
  </r>
  <r>
    <s v="0afc4baf-0aa5-44c3-b6be-949008d9c2da"/>
    <n v="47"/>
    <x v="3"/>
    <x v="1"/>
    <x v="0"/>
    <n v="13.83"/>
    <n v="54"/>
    <x v="3"/>
    <x v="2"/>
    <n v="13.99"/>
    <x v="1"/>
    <x v="4"/>
    <n v="3"/>
    <n v="0.25"/>
    <x v="5"/>
  </r>
  <r>
    <s v="ebaa15ec-5b85-4b6c-8b99-d9ce1cba8577"/>
    <n v="52"/>
    <x v="3"/>
    <x v="1"/>
    <x v="1"/>
    <n v="6.62"/>
    <n v="56"/>
    <x v="0"/>
    <x v="3"/>
    <n v="17.989999999999998"/>
    <x v="1"/>
    <x v="4"/>
    <n v="1"/>
    <n v="0.12"/>
    <x v="1"/>
  </r>
  <r>
    <s v="7732d3d5-ded6-4927-86ff-71aa998186f9"/>
    <n v="52"/>
    <x v="3"/>
    <x v="0"/>
    <x v="2"/>
    <n v="17.09"/>
    <n v="42"/>
    <x v="2"/>
    <x v="0"/>
    <n v="8.99"/>
    <x v="1"/>
    <x v="0"/>
    <n v="2"/>
    <n v="0.4"/>
    <x v="3"/>
  </r>
  <r>
    <s v="0b05e78a-8c4b-4097-8bc1-72f52ff1e5d9"/>
    <n v="50"/>
    <x v="3"/>
    <x v="2"/>
    <x v="1"/>
    <n v="12.33"/>
    <n v="16"/>
    <x v="2"/>
    <x v="2"/>
    <n v="17.989999999999998"/>
    <x v="0"/>
    <x v="3"/>
    <n v="5"/>
    <n v="0.73"/>
    <x v="1"/>
  </r>
  <r>
    <s v="16bcce49-e615-4ebb-80e6-bcad0eb613c9"/>
    <n v="51"/>
    <x v="3"/>
    <x v="1"/>
    <x v="0"/>
    <n v="1.1000000000000001"/>
    <n v="29"/>
    <x v="2"/>
    <x v="4"/>
    <n v="13.99"/>
    <x v="1"/>
    <x v="4"/>
    <n v="3"/>
    <n v="0.04"/>
    <x v="5"/>
  </r>
  <r>
    <s v="d95789b7-7e89-4e4c-aa62-f881fff47dd1"/>
    <n v="49"/>
    <x v="3"/>
    <x v="0"/>
    <x v="1"/>
    <n v="3.03"/>
    <n v="39"/>
    <x v="3"/>
    <x v="0"/>
    <n v="17.989999999999998"/>
    <x v="1"/>
    <x v="1"/>
    <n v="2"/>
    <n v="0.08"/>
    <x v="2"/>
  </r>
  <r>
    <s v="1e696e35-8de8-4004-9518-cb7281926da8"/>
    <n v="49"/>
    <x v="3"/>
    <x v="2"/>
    <x v="2"/>
    <n v="9.68"/>
    <n v="10"/>
    <x v="4"/>
    <x v="2"/>
    <n v="8.99"/>
    <x v="0"/>
    <x v="3"/>
    <n v="2"/>
    <n v="0.88"/>
    <x v="2"/>
  </r>
  <r>
    <s v="cce5be2a-9112-4447-93af-db8dd2263ed1"/>
    <n v="50"/>
    <x v="3"/>
    <x v="2"/>
    <x v="2"/>
    <n v="0.3"/>
    <n v="43"/>
    <x v="3"/>
    <x v="1"/>
    <n v="8.99"/>
    <x v="1"/>
    <x v="4"/>
    <n v="3"/>
    <n v="0.01"/>
    <x v="6"/>
  </r>
  <r>
    <s v="1a57587b-d48d-45d1-8315-92cac73d6e3d"/>
    <n v="53"/>
    <x v="3"/>
    <x v="0"/>
    <x v="1"/>
    <n v="19.37"/>
    <n v="40"/>
    <x v="1"/>
    <x v="4"/>
    <n v="17.989999999999998"/>
    <x v="1"/>
    <x v="0"/>
    <n v="4"/>
    <n v="0.47"/>
    <x v="6"/>
  </r>
  <r>
    <s v="137afd34-0646-4d13-ab57-0adf696ce9af"/>
    <n v="53"/>
    <x v="3"/>
    <x v="2"/>
    <x v="0"/>
    <n v="28.91"/>
    <n v="27"/>
    <x v="3"/>
    <x v="2"/>
    <n v="13.99"/>
    <x v="0"/>
    <x v="1"/>
    <n v="3"/>
    <n v="1.03"/>
    <x v="4"/>
  </r>
  <r>
    <s v="e2099718-98c9-4ab1-8b20-cdc7184feacf"/>
    <n v="50"/>
    <x v="3"/>
    <x v="1"/>
    <x v="2"/>
    <n v="25.08"/>
    <n v="53"/>
    <x v="2"/>
    <x v="3"/>
    <n v="8.99"/>
    <x v="0"/>
    <x v="2"/>
    <n v="5"/>
    <n v="0.46"/>
    <x v="0"/>
  </r>
  <r>
    <s v="a7678a7a-b501-41b5-b5d3-abf39e61644e"/>
    <n v="54"/>
    <x v="3"/>
    <x v="1"/>
    <x v="1"/>
    <n v="19.95"/>
    <n v="59"/>
    <x v="0"/>
    <x v="2"/>
    <n v="17.989999999999998"/>
    <x v="1"/>
    <x v="3"/>
    <n v="1"/>
    <n v="0.33"/>
    <x v="2"/>
  </r>
  <r>
    <s v="aba3a59d-6ff0-4069-bdaf-6847d1148489"/>
    <n v="45"/>
    <x v="3"/>
    <x v="0"/>
    <x v="1"/>
    <n v="15.41"/>
    <n v="6"/>
    <x v="3"/>
    <x v="1"/>
    <n v="17.989999999999998"/>
    <x v="0"/>
    <x v="2"/>
    <n v="3"/>
    <n v="2.2000000000000002"/>
    <x v="6"/>
  </r>
  <r>
    <s v="6b6918bb-7f5d-4d77-a829-0b5a803100bd"/>
    <n v="53"/>
    <x v="3"/>
    <x v="0"/>
    <x v="1"/>
    <n v="17.989999999999998"/>
    <n v="0"/>
    <x v="1"/>
    <x v="2"/>
    <n v="17.989999999999998"/>
    <x v="0"/>
    <x v="0"/>
    <n v="3"/>
    <n v="17.989999999999998"/>
    <x v="2"/>
  </r>
  <r>
    <s v="4b19503c-673b-4073-bdc1-f672de41d568"/>
    <n v="48"/>
    <x v="3"/>
    <x v="1"/>
    <x v="1"/>
    <n v="1.54"/>
    <n v="22"/>
    <x v="0"/>
    <x v="1"/>
    <n v="17.989999999999998"/>
    <x v="1"/>
    <x v="0"/>
    <n v="5"/>
    <n v="7.0000000000000007E-2"/>
    <x v="6"/>
  </r>
  <r>
    <s v="2ea80c34-962f-4983-a53a-f5781331d132"/>
    <n v="46"/>
    <x v="3"/>
    <x v="1"/>
    <x v="2"/>
    <n v="4.1100000000000003"/>
    <n v="16"/>
    <x v="2"/>
    <x v="4"/>
    <n v="8.99"/>
    <x v="1"/>
    <x v="2"/>
    <n v="4"/>
    <n v="0.24"/>
    <x v="3"/>
  </r>
  <r>
    <s v="e35b86c8-465a-4945-8f2d-a6c42b61f6d8"/>
    <n v="49"/>
    <x v="3"/>
    <x v="2"/>
    <x v="0"/>
    <n v="19.77"/>
    <n v="54"/>
    <x v="4"/>
    <x v="0"/>
    <n v="13.99"/>
    <x v="0"/>
    <x v="1"/>
    <n v="4"/>
    <n v="0.36"/>
    <x v="3"/>
  </r>
  <r>
    <s v="c46cced1-d263-4237-ac16-4248956204f5"/>
    <n v="48"/>
    <x v="3"/>
    <x v="2"/>
    <x v="1"/>
    <n v="2.98"/>
    <n v="6"/>
    <x v="2"/>
    <x v="0"/>
    <n v="17.989999999999998"/>
    <x v="0"/>
    <x v="1"/>
    <n v="2"/>
    <n v="0.43"/>
    <x v="1"/>
  </r>
  <r>
    <s v="292beacd-895e-4d60-bdc4-69faec93ce66"/>
    <n v="49"/>
    <x v="3"/>
    <x v="2"/>
    <x v="2"/>
    <n v="10.85"/>
    <n v="27"/>
    <x v="0"/>
    <x v="1"/>
    <n v="8.99"/>
    <x v="0"/>
    <x v="3"/>
    <n v="4"/>
    <n v="0.39"/>
    <x v="4"/>
  </r>
  <r>
    <s v="1112b137-d4fe-448d-9188-af48334fbc53"/>
    <n v="48"/>
    <x v="3"/>
    <x v="0"/>
    <x v="2"/>
    <n v="6.94"/>
    <n v="52"/>
    <x v="0"/>
    <x v="3"/>
    <n v="8.99"/>
    <x v="1"/>
    <x v="1"/>
    <n v="1"/>
    <n v="0.13"/>
    <x v="3"/>
  </r>
  <r>
    <s v="bb04c7d9-f77a-4793-b984-e9d20d7cecb2"/>
    <n v="51"/>
    <x v="3"/>
    <x v="2"/>
    <x v="0"/>
    <n v="38.31"/>
    <n v="4"/>
    <x v="3"/>
    <x v="0"/>
    <n v="13.99"/>
    <x v="0"/>
    <x v="0"/>
    <n v="5"/>
    <n v="7.66"/>
    <x v="3"/>
  </r>
  <r>
    <s v="1e5a70bf-83da-4c7b-b76c-606333bfa7aa"/>
    <n v="49"/>
    <x v="3"/>
    <x v="2"/>
    <x v="1"/>
    <n v="29.41"/>
    <n v="14"/>
    <x v="5"/>
    <x v="3"/>
    <n v="17.989999999999998"/>
    <x v="0"/>
    <x v="4"/>
    <n v="1"/>
    <n v="1.96"/>
    <x v="1"/>
  </r>
  <r>
    <s v="28652897-1058-46fd-a152-0acea9e9284f"/>
    <n v="47"/>
    <x v="3"/>
    <x v="0"/>
    <x v="2"/>
    <n v="6.39"/>
    <n v="54"/>
    <x v="0"/>
    <x v="0"/>
    <n v="8.99"/>
    <x v="1"/>
    <x v="0"/>
    <n v="4"/>
    <n v="0.12"/>
    <x v="5"/>
  </r>
  <r>
    <s v="ef6d974d-c79d-4fe6-b2e8-a3d375ea37c8"/>
    <n v="54"/>
    <x v="3"/>
    <x v="0"/>
    <x v="2"/>
    <n v="13.25"/>
    <n v="49"/>
    <x v="1"/>
    <x v="2"/>
    <n v="8.99"/>
    <x v="1"/>
    <x v="1"/>
    <n v="3"/>
    <n v="0.27"/>
    <x v="3"/>
  </r>
  <r>
    <s v="938fec83-206c-4bb3-8ae6-7aa0bd8e7683"/>
    <n v="45"/>
    <x v="3"/>
    <x v="1"/>
    <x v="1"/>
    <n v="2.59"/>
    <n v="56"/>
    <x v="1"/>
    <x v="4"/>
    <n v="17.989999999999998"/>
    <x v="1"/>
    <x v="3"/>
    <n v="3"/>
    <n v="0.05"/>
    <x v="0"/>
  </r>
  <r>
    <s v="ece05305-60ed-4148-b003-3d3fde5ac23b"/>
    <n v="46"/>
    <x v="3"/>
    <x v="1"/>
    <x v="0"/>
    <n v="1.22"/>
    <n v="59"/>
    <x v="4"/>
    <x v="3"/>
    <n v="13.99"/>
    <x v="1"/>
    <x v="1"/>
    <n v="3"/>
    <n v="0.02"/>
    <x v="2"/>
  </r>
  <r>
    <s v="7dae5dd3-9815-4ae0-a868-c1d08eb7ec3f"/>
    <n v="50"/>
    <x v="3"/>
    <x v="2"/>
    <x v="2"/>
    <n v="4.3"/>
    <n v="54"/>
    <x v="4"/>
    <x v="4"/>
    <n v="8.99"/>
    <x v="1"/>
    <x v="3"/>
    <n v="5"/>
    <n v="0.08"/>
    <x v="3"/>
  </r>
  <r>
    <s v="e74a58dd-5c33-41a4-a2f5-ba8f634216dc"/>
    <n v="45"/>
    <x v="3"/>
    <x v="2"/>
    <x v="1"/>
    <n v="27.2"/>
    <n v="8"/>
    <x v="1"/>
    <x v="1"/>
    <n v="17.989999999999998"/>
    <x v="0"/>
    <x v="1"/>
    <n v="5"/>
    <n v="3.02"/>
    <x v="6"/>
  </r>
  <r>
    <s v="44e5fbde-b513-4d69-accb-f083a5863d89"/>
    <n v="46"/>
    <x v="3"/>
    <x v="0"/>
    <x v="2"/>
    <n v="4.84"/>
    <n v="27"/>
    <x v="3"/>
    <x v="3"/>
    <n v="8.99"/>
    <x v="1"/>
    <x v="3"/>
    <n v="2"/>
    <n v="0.17"/>
    <x v="4"/>
  </r>
  <r>
    <s v="090d46ba-d78e-4f49-a4c6-9bf211df3f91"/>
    <n v="54"/>
    <x v="3"/>
    <x v="2"/>
    <x v="1"/>
    <n v="6.65"/>
    <n v="23"/>
    <x v="0"/>
    <x v="2"/>
    <n v="17.989999999999998"/>
    <x v="0"/>
    <x v="3"/>
    <n v="4"/>
    <n v="0.28000000000000003"/>
    <x v="1"/>
  </r>
  <r>
    <s v="fb137217-22e7-4472-9f24-c3e1982c0bbd"/>
    <n v="46"/>
    <x v="3"/>
    <x v="2"/>
    <x v="0"/>
    <n v="2.98"/>
    <n v="51"/>
    <x v="2"/>
    <x v="1"/>
    <n v="13.99"/>
    <x v="1"/>
    <x v="2"/>
    <n v="1"/>
    <n v="0.06"/>
    <x v="3"/>
  </r>
  <r>
    <s v="cee2b2d5-7bd7-46de-8d55-36b262b78b70"/>
    <n v="53"/>
    <x v="3"/>
    <x v="2"/>
    <x v="2"/>
    <n v="2.42"/>
    <n v="11"/>
    <x v="3"/>
    <x v="3"/>
    <n v="8.99"/>
    <x v="1"/>
    <x v="4"/>
    <n v="5"/>
    <n v="0.2"/>
    <x v="3"/>
  </r>
  <r>
    <s v="16a200cb-3249-413a-977d-6ad61271b74f"/>
    <n v="50"/>
    <x v="3"/>
    <x v="0"/>
    <x v="2"/>
    <n v="2.84"/>
    <n v="36"/>
    <x v="0"/>
    <x v="3"/>
    <n v="8.99"/>
    <x v="1"/>
    <x v="4"/>
    <n v="3"/>
    <n v="0.08"/>
    <x v="1"/>
  </r>
  <r>
    <s v="c7bd6a1e-dd9b-4ae0-8640-b800f73384ae"/>
    <n v="51"/>
    <x v="3"/>
    <x v="2"/>
    <x v="1"/>
    <n v="14.64"/>
    <n v="23"/>
    <x v="3"/>
    <x v="4"/>
    <n v="17.989999999999998"/>
    <x v="0"/>
    <x v="2"/>
    <n v="4"/>
    <n v="0.61"/>
    <x v="5"/>
  </r>
  <r>
    <s v="b47239a1-8e93-4c1a-87b5-3ba3b6d46a77"/>
    <n v="47"/>
    <x v="3"/>
    <x v="0"/>
    <x v="1"/>
    <n v="34.18"/>
    <n v="50"/>
    <x v="1"/>
    <x v="3"/>
    <n v="17.989999999999998"/>
    <x v="0"/>
    <x v="0"/>
    <n v="4"/>
    <n v="0.67"/>
    <x v="0"/>
  </r>
  <r>
    <s v="e4cedabe-2ad7-4c28-ad24-34ad6ac0a7db"/>
    <n v="46"/>
    <x v="3"/>
    <x v="2"/>
    <x v="0"/>
    <n v="0.89"/>
    <n v="35"/>
    <x v="5"/>
    <x v="4"/>
    <n v="13.99"/>
    <x v="1"/>
    <x v="4"/>
    <n v="1"/>
    <n v="0.02"/>
    <x v="0"/>
  </r>
  <r>
    <s v="6d0baae0-e0c5-4a4e-8e3b-97bf14be6147"/>
    <n v="54"/>
    <x v="3"/>
    <x v="2"/>
    <x v="1"/>
    <n v="18.07"/>
    <n v="14"/>
    <x v="0"/>
    <x v="0"/>
    <n v="17.989999999999998"/>
    <x v="0"/>
    <x v="1"/>
    <n v="2"/>
    <n v="1.2"/>
    <x v="6"/>
  </r>
  <r>
    <s v="71f2e2cc-c590-4263-a857-9d41079aeca5"/>
    <n v="51"/>
    <x v="3"/>
    <x v="0"/>
    <x v="2"/>
    <n v="7.4"/>
    <n v="49"/>
    <x v="5"/>
    <x v="2"/>
    <n v="8.99"/>
    <x v="1"/>
    <x v="3"/>
    <n v="4"/>
    <n v="0.15"/>
    <x v="5"/>
  </r>
  <r>
    <s v="a5c9b131-7db9-49dc-bbf0-ab2cc975db2e"/>
    <n v="50"/>
    <x v="3"/>
    <x v="2"/>
    <x v="2"/>
    <n v="34.909999999999997"/>
    <n v="55"/>
    <x v="2"/>
    <x v="4"/>
    <n v="8.99"/>
    <x v="0"/>
    <x v="3"/>
    <n v="1"/>
    <n v="0.62"/>
    <x v="0"/>
  </r>
  <r>
    <s v="f34c660c-8130-46ea-b9eb-2b94983e70f0"/>
    <n v="52"/>
    <x v="3"/>
    <x v="0"/>
    <x v="1"/>
    <n v="19.84"/>
    <n v="51"/>
    <x v="2"/>
    <x v="4"/>
    <n v="17.989999999999998"/>
    <x v="0"/>
    <x v="3"/>
    <n v="4"/>
    <n v="0.38"/>
    <x v="0"/>
  </r>
  <r>
    <s v="78f2bf62-fba1-46a6-833c-110010ab98ad"/>
    <n v="45"/>
    <x v="3"/>
    <x v="0"/>
    <x v="0"/>
    <n v="16.100000000000001"/>
    <n v="13"/>
    <x v="2"/>
    <x v="4"/>
    <n v="13.99"/>
    <x v="0"/>
    <x v="1"/>
    <n v="3"/>
    <n v="1.1499999999999999"/>
    <x v="6"/>
  </r>
  <r>
    <s v="602855b3-cd60-4b34-9201-1dfb89a22d88"/>
    <n v="49"/>
    <x v="3"/>
    <x v="1"/>
    <x v="2"/>
    <n v="3.16"/>
    <n v="31"/>
    <x v="0"/>
    <x v="3"/>
    <n v="8.99"/>
    <x v="1"/>
    <x v="4"/>
    <n v="5"/>
    <n v="0.1"/>
    <x v="3"/>
  </r>
  <r>
    <s v="0687c494-6a02-4c35-9ed5-4932776b9162"/>
    <n v="49"/>
    <x v="3"/>
    <x v="1"/>
    <x v="1"/>
    <n v="0.21"/>
    <n v="26"/>
    <x v="5"/>
    <x v="0"/>
    <n v="17.989999999999998"/>
    <x v="1"/>
    <x v="1"/>
    <n v="3"/>
    <n v="0.01"/>
    <x v="5"/>
  </r>
  <r>
    <s v="f96cf079-d1d5-42bb-9878-4865d631dd13"/>
    <n v="46"/>
    <x v="3"/>
    <x v="2"/>
    <x v="2"/>
    <n v="13.5"/>
    <n v="44"/>
    <x v="4"/>
    <x v="1"/>
    <n v="8.99"/>
    <x v="1"/>
    <x v="1"/>
    <n v="1"/>
    <n v="0.3"/>
    <x v="0"/>
  </r>
  <r>
    <s v="79b9c555-5d7f-401d-8ac8-a13fb0c5c1cf"/>
    <n v="51"/>
    <x v="3"/>
    <x v="0"/>
    <x v="0"/>
    <n v="4.3499999999999996"/>
    <n v="44"/>
    <x v="5"/>
    <x v="1"/>
    <n v="13.99"/>
    <x v="1"/>
    <x v="4"/>
    <n v="1"/>
    <n v="0.1"/>
    <x v="6"/>
  </r>
  <r>
    <s v="1d3013fb-2d20-4f30-b937-1df99dafb903"/>
    <n v="49"/>
    <x v="3"/>
    <x v="1"/>
    <x v="2"/>
    <n v="0.59"/>
    <n v="45"/>
    <x v="1"/>
    <x v="0"/>
    <n v="8.99"/>
    <x v="1"/>
    <x v="4"/>
    <n v="2"/>
    <n v="0.01"/>
    <x v="6"/>
  </r>
  <r>
    <s v="fc43da7e-fdb4-4950-924d-1dea2738ae4c"/>
    <n v="47"/>
    <x v="3"/>
    <x v="0"/>
    <x v="0"/>
    <n v="7.04"/>
    <n v="34"/>
    <x v="5"/>
    <x v="1"/>
    <n v="13.99"/>
    <x v="1"/>
    <x v="3"/>
    <n v="2"/>
    <n v="0.2"/>
    <x v="3"/>
  </r>
  <r>
    <s v="bad0e971-e8d5-4e75-979b-1663960b5f7f"/>
    <n v="46"/>
    <x v="3"/>
    <x v="0"/>
    <x v="1"/>
    <n v="34.32"/>
    <n v="34"/>
    <x v="2"/>
    <x v="3"/>
    <n v="17.989999999999998"/>
    <x v="0"/>
    <x v="2"/>
    <n v="5"/>
    <n v="0.98"/>
    <x v="3"/>
  </r>
  <r>
    <s v="d670c278-b9ea-43fc-b638-8a136c66a9d0"/>
    <n v="47"/>
    <x v="3"/>
    <x v="1"/>
    <x v="0"/>
    <n v="42.79"/>
    <n v="2"/>
    <x v="1"/>
    <x v="0"/>
    <n v="13.99"/>
    <x v="0"/>
    <x v="1"/>
    <n v="1"/>
    <n v="14.26"/>
    <x v="0"/>
  </r>
  <r>
    <s v="079d4971-f869-4eb4-9d75-a43a98c3df95"/>
    <n v="48"/>
    <x v="3"/>
    <x v="2"/>
    <x v="0"/>
    <n v="6.71"/>
    <n v="46"/>
    <x v="4"/>
    <x v="4"/>
    <n v="13.99"/>
    <x v="1"/>
    <x v="3"/>
    <n v="2"/>
    <n v="0.14000000000000001"/>
    <x v="0"/>
  </r>
  <r>
    <s v="9c9bcf2e-647a-4b9f-a950-dbec36feafd2"/>
    <n v="50"/>
    <x v="3"/>
    <x v="2"/>
    <x v="2"/>
    <n v="20.96"/>
    <n v="40"/>
    <x v="2"/>
    <x v="0"/>
    <n v="8.99"/>
    <x v="0"/>
    <x v="0"/>
    <n v="2"/>
    <n v="0.51"/>
    <x v="6"/>
  </r>
  <r>
    <s v="0d2a0b24-a292-4470-b7b3-ef99948c12ed"/>
    <n v="46"/>
    <x v="3"/>
    <x v="1"/>
    <x v="1"/>
    <n v="10.37"/>
    <n v="34"/>
    <x v="1"/>
    <x v="0"/>
    <n v="17.989999999999998"/>
    <x v="1"/>
    <x v="1"/>
    <n v="1"/>
    <n v="0.3"/>
    <x v="0"/>
  </r>
  <r>
    <s v="7dc4b049-4b46-484c-8424-bdcc319c961a"/>
    <n v="54"/>
    <x v="3"/>
    <x v="2"/>
    <x v="2"/>
    <n v="2.41"/>
    <n v="18"/>
    <x v="0"/>
    <x v="3"/>
    <n v="8.99"/>
    <x v="1"/>
    <x v="2"/>
    <n v="2"/>
    <n v="0.13"/>
    <x v="3"/>
  </r>
  <r>
    <s v="778255d3-5584-4006-8e97-c9256d319ebe"/>
    <n v="50"/>
    <x v="3"/>
    <x v="1"/>
    <x v="0"/>
    <n v="4.03"/>
    <n v="1"/>
    <x v="2"/>
    <x v="1"/>
    <n v="13.99"/>
    <x v="0"/>
    <x v="4"/>
    <n v="1"/>
    <n v="2.02"/>
    <x v="2"/>
  </r>
  <r>
    <s v="c2228620-0aeb-4528-9afb-6c5acf3a4584"/>
    <n v="50"/>
    <x v="3"/>
    <x v="0"/>
    <x v="1"/>
    <n v="19.010000000000002"/>
    <n v="6"/>
    <x v="0"/>
    <x v="0"/>
    <n v="17.989999999999998"/>
    <x v="0"/>
    <x v="3"/>
    <n v="1"/>
    <n v="2.72"/>
    <x v="3"/>
  </r>
  <r>
    <s v="c9fe7a97-ae87-4846-99cc-dffc804d029e"/>
    <n v="49"/>
    <x v="3"/>
    <x v="1"/>
    <x v="0"/>
    <n v="2.33"/>
    <n v="41"/>
    <x v="5"/>
    <x v="3"/>
    <n v="13.99"/>
    <x v="1"/>
    <x v="0"/>
    <n v="4"/>
    <n v="0.06"/>
    <x v="3"/>
  </r>
  <r>
    <s v="702ab0a5-683f-47fa-b391-95acd2d54a89"/>
    <n v="51"/>
    <x v="3"/>
    <x v="1"/>
    <x v="2"/>
    <n v="0.3"/>
    <n v="58"/>
    <x v="0"/>
    <x v="0"/>
    <n v="8.99"/>
    <x v="1"/>
    <x v="0"/>
    <n v="2"/>
    <n v="0.01"/>
    <x v="2"/>
  </r>
  <r>
    <s v="f05696ed-c46f-44f2-9356-17a9b6de2f88"/>
    <n v="53"/>
    <x v="3"/>
    <x v="1"/>
    <x v="1"/>
    <n v="7.79"/>
    <n v="1"/>
    <x v="3"/>
    <x v="0"/>
    <n v="17.989999999999998"/>
    <x v="0"/>
    <x v="4"/>
    <n v="1"/>
    <n v="3.9"/>
    <x v="6"/>
  </r>
  <r>
    <s v="ebcedfc0-ae7b-4860-ad1e-3546b9425f43"/>
    <n v="47"/>
    <x v="3"/>
    <x v="1"/>
    <x v="2"/>
    <n v="39.78"/>
    <n v="16"/>
    <x v="2"/>
    <x v="2"/>
    <n v="8.99"/>
    <x v="0"/>
    <x v="3"/>
    <n v="2"/>
    <n v="2.34"/>
    <x v="1"/>
  </r>
  <r>
    <s v="535accfb-6771-4dc9-98aa-94a627c9d53a"/>
    <n v="50"/>
    <x v="3"/>
    <x v="2"/>
    <x v="2"/>
    <n v="4.46"/>
    <n v="31"/>
    <x v="2"/>
    <x v="1"/>
    <n v="8.99"/>
    <x v="1"/>
    <x v="0"/>
    <n v="5"/>
    <n v="0.14000000000000001"/>
    <x v="5"/>
  </r>
  <r>
    <s v="10fb9dda-dcb6-4f56-a21a-48efd69b6947"/>
    <n v="52"/>
    <x v="3"/>
    <x v="0"/>
    <x v="0"/>
    <n v="13.19"/>
    <n v="18"/>
    <x v="0"/>
    <x v="3"/>
    <n v="13.99"/>
    <x v="0"/>
    <x v="2"/>
    <n v="5"/>
    <n v="0.69"/>
    <x v="1"/>
  </r>
  <r>
    <s v="8196b73c-db52-4aed-b976-cbaa245c008b"/>
    <n v="51"/>
    <x v="3"/>
    <x v="1"/>
    <x v="2"/>
    <n v="10.44"/>
    <n v="40"/>
    <x v="0"/>
    <x v="0"/>
    <n v="8.99"/>
    <x v="1"/>
    <x v="2"/>
    <n v="2"/>
    <n v="0.25"/>
    <x v="0"/>
  </r>
  <r>
    <s v="c97606a8-478f-4114-aca0-fa17084ef4b3"/>
    <n v="51"/>
    <x v="3"/>
    <x v="0"/>
    <x v="1"/>
    <n v="2.62"/>
    <n v="37"/>
    <x v="4"/>
    <x v="0"/>
    <n v="17.989999999999998"/>
    <x v="1"/>
    <x v="0"/>
    <n v="2"/>
    <n v="7.0000000000000007E-2"/>
    <x v="2"/>
  </r>
  <r>
    <s v="19e36af2-7843-4b27-9fd1-32169a2da1fa"/>
    <n v="48"/>
    <x v="3"/>
    <x v="2"/>
    <x v="0"/>
    <n v="1.1399999999999999"/>
    <n v="11"/>
    <x v="1"/>
    <x v="4"/>
    <n v="13.99"/>
    <x v="0"/>
    <x v="3"/>
    <n v="4"/>
    <n v="0.09"/>
    <x v="4"/>
  </r>
  <r>
    <s v="1d9e1a86-6cb4-4b0e-8c0b-8e4aad38184f"/>
    <n v="50"/>
    <x v="3"/>
    <x v="2"/>
    <x v="1"/>
    <n v="20.04"/>
    <n v="37"/>
    <x v="4"/>
    <x v="3"/>
    <n v="17.989999999999998"/>
    <x v="0"/>
    <x v="2"/>
    <n v="2"/>
    <n v="0.53"/>
    <x v="5"/>
  </r>
  <r>
    <s v="e4c81362-e709-4351-aab3-69e8a590ef40"/>
    <n v="48"/>
    <x v="3"/>
    <x v="2"/>
    <x v="2"/>
    <n v="34.770000000000003"/>
    <n v="23"/>
    <x v="2"/>
    <x v="1"/>
    <n v="8.99"/>
    <x v="0"/>
    <x v="4"/>
    <n v="5"/>
    <n v="1.45"/>
    <x v="6"/>
  </r>
  <r>
    <s v="b62a8e36-a7a1-434b-bc18-f55f6d0569c5"/>
    <n v="45"/>
    <x v="3"/>
    <x v="1"/>
    <x v="2"/>
    <n v="8.8699999999999992"/>
    <n v="5"/>
    <x v="3"/>
    <x v="1"/>
    <n v="8.99"/>
    <x v="0"/>
    <x v="3"/>
    <n v="1"/>
    <n v="1.48"/>
    <x v="1"/>
  </r>
  <r>
    <s v="0ec75c65-a599-4e39-8878-3455437f38d3"/>
    <n v="49"/>
    <x v="3"/>
    <x v="0"/>
    <x v="0"/>
    <n v="18.79"/>
    <n v="11"/>
    <x v="5"/>
    <x v="0"/>
    <n v="13.99"/>
    <x v="0"/>
    <x v="4"/>
    <n v="1"/>
    <n v="1.57"/>
    <x v="2"/>
  </r>
  <r>
    <s v="4f9ba8fb-4fe1-4c92-996a-313e16e6a939"/>
    <n v="54"/>
    <x v="3"/>
    <x v="1"/>
    <x v="0"/>
    <n v="0.72"/>
    <n v="0"/>
    <x v="1"/>
    <x v="1"/>
    <n v="13.99"/>
    <x v="0"/>
    <x v="4"/>
    <n v="5"/>
    <n v="0.72"/>
    <x v="2"/>
  </r>
  <r>
    <s v="ad1f7c5d-8ae0-47c9-b206-7c8815ae90c8"/>
    <n v="48"/>
    <x v="3"/>
    <x v="0"/>
    <x v="0"/>
    <n v="5.49"/>
    <n v="33"/>
    <x v="2"/>
    <x v="4"/>
    <n v="13.99"/>
    <x v="1"/>
    <x v="2"/>
    <n v="1"/>
    <n v="0.16"/>
    <x v="3"/>
  </r>
  <r>
    <s v="d2e9c9a4-1ffa-4197-a19a-bfc1ba75e82e"/>
    <n v="45"/>
    <x v="3"/>
    <x v="0"/>
    <x v="0"/>
    <n v="0.26"/>
    <n v="5"/>
    <x v="5"/>
    <x v="3"/>
    <n v="13.99"/>
    <x v="1"/>
    <x v="0"/>
    <n v="1"/>
    <n v="0.04"/>
    <x v="1"/>
  </r>
  <r>
    <s v="4cadb250-9598-41b1-9aa5-b69f7c146ac3"/>
    <n v="54"/>
    <x v="3"/>
    <x v="2"/>
    <x v="1"/>
    <n v="5.47"/>
    <n v="19"/>
    <x v="3"/>
    <x v="4"/>
    <n v="17.989999999999998"/>
    <x v="0"/>
    <x v="0"/>
    <n v="3"/>
    <n v="0.27"/>
    <x v="3"/>
  </r>
  <r>
    <s v="85c2635d-3904-4955-b4fe-1467211e58d9"/>
    <n v="48"/>
    <x v="3"/>
    <x v="0"/>
    <x v="1"/>
    <n v="55.75"/>
    <n v="22"/>
    <x v="5"/>
    <x v="3"/>
    <n v="17.989999999999998"/>
    <x v="0"/>
    <x v="1"/>
    <n v="1"/>
    <n v="2.42"/>
    <x v="1"/>
  </r>
  <r>
    <s v="5f236990-4ea0-4f3d-bad9-81da221f49ab"/>
    <n v="50"/>
    <x v="3"/>
    <x v="1"/>
    <x v="1"/>
    <n v="10.01"/>
    <n v="48"/>
    <x v="0"/>
    <x v="3"/>
    <n v="17.989999999999998"/>
    <x v="1"/>
    <x v="1"/>
    <n v="1"/>
    <n v="0.2"/>
    <x v="2"/>
  </r>
  <r>
    <s v="30918cb9-5f0f-453f-a5ce-88069390debc"/>
    <n v="52"/>
    <x v="3"/>
    <x v="1"/>
    <x v="2"/>
    <n v="19.21"/>
    <n v="30"/>
    <x v="5"/>
    <x v="3"/>
    <n v="8.99"/>
    <x v="0"/>
    <x v="4"/>
    <n v="5"/>
    <n v="0.62"/>
    <x v="6"/>
  </r>
  <r>
    <s v="c2d3c910-2a29-4ae5-9f49-238b32cd2b34"/>
    <n v="46"/>
    <x v="3"/>
    <x v="2"/>
    <x v="1"/>
    <n v="27.63"/>
    <n v="28"/>
    <x v="2"/>
    <x v="4"/>
    <n v="17.989999999999998"/>
    <x v="0"/>
    <x v="0"/>
    <n v="5"/>
    <n v="0.95"/>
    <x v="2"/>
  </r>
  <r>
    <s v="f67de85d-948d-472f-ac82-35eeddb732b1"/>
    <n v="46"/>
    <x v="3"/>
    <x v="0"/>
    <x v="1"/>
    <n v="4.6500000000000004"/>
    <n v="11"/>
    <x v="3"/>
    <x v="1"/>
    <n v="17.989999999999998"/>
    <x v="1"/>
    <x v="1"/>
    <n v="2"/>
    <n v="0.39"/>
    <x v="2"/>
  </r>
  <r>
    <s v="e6883a9e-8210-4351-9acd-cd814c82f075"/>
    <n v="53"/>
    <x v="3"/>
    <x v="0"/>
    <x v="2"/>
    <n v="33.71"/>
    <n v="42"/>
    <x v="3"/>
    <x v="4"/>
    <n v="8.99"/>
    <x v="0"/>
    <x v="1"/>
    <n v="4"/>
    <n v="0.78"/>
    <x v="5"/>
  </r>
  <r>
    <s v="2f4ba72c-20a1-4e4c-be17-4cdcb85aed84"/>
    <n v="54"/>
    <x v="3"/>
    <x v="2"/>
    <x v="2"/>
    <n v="8.09"/>
    <n v="19"/>
    <x v="1"/>
    <x v="2"/>
    <n v="8.99"/>
    <x v="0"/>
    <x v="2"/>
    <n v="2"/>
    <n v="0.4"/>
    <x v="3"/>
  </r>
  <r>
    <s v="7f42c766-a854-4c9c-890e-fe4aa2e468d8"/>
    <n v="54"/>
    <x v="3"/>
    <x v="1"/>
    <x v="1"/>
    <n v="7.4"/>
    <n v="52"/>
    <x v="2"/>
    <x v="4"/>
    <n v="17.989999999999998"/>
    <x v="1"/>
    <x v="1"/>
    <n v="1"/>
    <n v="0.14000000000000001"/>
    <x v="5"/>
  </r>
  <r>
    <s v="302a7a07-2d07-4d15-aa7c-e8000c97f321"/>
    <n v="49"/>
    <x v="3"/>
    <x v="1"/>
    <x v="2"/>
    <n v="53.75"/>
    <n v="55"/>
    <x v="4"/>
    <x v="2"/>
    <n v="8.99"/>
    <x v="0"/>
    <x v="2"/>
    <n v="3"/>
    <n v="0.96"/>
    <x v="6"/>
  </r>
  <r>
    <s v="1ac33b59-9ffa-45ea-bce9-95b004d48235"/>
    <n v="53"/>
    <x v="3"/>
    <x v="2"/>
    <x v="1"/>
    <n v="4.6900000000000004"/>
    <n v="8"/>
    <x v="0"/>
    <x v="2"/>
    <n v="17.989999999999998"/>
    <x v="0"/>
    <x v="0"/>
    <n v="5"/>
    <n v="0.52"/>
    <x v="2"/>
  </r>
  <r>
    <s v="54f85781-8e1c-4902-864e-01c6f423bb3c"/>
    <n v="49"/>
    <x v="3"/>
    <x v="0"/>
    <x v="2"/>
    <n v="1.73"/>
    <n v="28"/>
    <x v="4"/>
    <x v="2"/>
    <n v="8.99"/>
    <x v="1"/>
    <x v="2"/>
    <n v="4"/>
    <n v="0.06"/>
    <x v="0"/>
  </r>
  <r>
    <s v="8965ad72-c8b5-478a-879e-8136cdd2b134"/>
    <n v="46"/>
    <x v="3"/>
    <x v="1"/>
    <x v="1"/>
    <n v="4.1399999999999997"/>
    <n v="42"/>
    <x v="2"/>
    <x v="3"/>
    <n v="17.989999999999998"/>
    <x v="1"/>
    <x v="2"/>
    <n v="5"/>
    <n v="0.1"/>
    <x v="0"/>
  </r>
  <r>
    <s v="dbe93e6b-0841-4e21-8651-6e8ecac62efc"/>
    <n v="46"/>
    <x v="3"/>
    <x v="2"/>
    <x v="0"/>
    <n v="8.7899999999999991"/>
    <n v="54"/>
    <x v="2"/>
    <x v="2"/>
    <n v="13.99"/>
    <x v="1"/>
    <x v="3"/>
    <n v="1"/>
    <n v="0.16"/>
    <x v="4"/>
  </r>
  <r>
    <s v="4a6f3042-0fd3-47d6-ba34-bac14e81e872"/>
    <n v="53"/>
    <x v="3"/>
    <x v="2"/>
    <x v="0"/>
    <n v="7.31"/>
    <n v="17"/>
    <x v="5"/>
    <x v="1"/>
    <n v="13.99"/>
    <x v="0"/>
    <x v="1"/>
    <n v="4"/>
    <n v="0.41"/>
    <x v="3"/>
  </r>
  <r>
    <s v="e495cf16-e38d-4e9f-900c-2f4a9d00a0bb"/>
    <n v="49"/>
    <x v="3"/>
    <x v="1"/>
    <x v="1"/>
    <n v="7.69"/>
    <n v="4"/>
    <x v="0"/>
    <x v="4"/>
    <n v="17.989999999999998"/>
    <x v="0"/>
    <x v="4"/>
    <n v="4"/>
    <n v="1.54"/>
    <x v="6"/>
  </r>
  <r>
    <s v="4e265c34-103a-4dbb-9553-76c9aa47e946"/>
    <n v="56"/>
    <x v="4"/>
    <x v="1"/>
    <x v="0"/>
    <n v="1.89"/>
    <n v="13"/>
    <x v="3"/>
    <x v="2"/>
    <n v="13.99"/>
    <x v="1"/>
    <x v="0"/>
    <n v="2"/>
    <n v="0.13"/>
    <x v="3"/>
  </r>
  <r>
    <s v="d8079475-5be7-47e9-8782-ceb7ff61395e"/>
    <n v="58"/>
    <x v="4"/>
    <x v="0"/>
    <x v="0"/>
    <n v="13.8"/>
    <n v="26"/>
    <x v="5"/>
    <x v="2"/>
    <n v="13.99"/>
    <x v="0"/>
    <x v="1"/>
    <n v="3"/>
    <n v="0.51"/>
    <x v="3"/>
  </r>
  <r>
    <s v="e2f28860-44e4-4fc2-a445-014332e7fb11"/>
    <n v="68"/>
    <x v="4"/>
    <x v="0"/>
    <x v="1"/>
    <n v="7.67"/>
    <n v="40"/>
    <x v="5"/>
    <x v="4"/>
    <n v="17.989999999999998"/>
    <x v="0"/>
    <x v="3"/>
    <n v="4"/>
    <n v="0.19"/>
    <x v="4"/>
  </r>
  <r>
    <s v="109cc416-0a22-4c41-93e9-2c7dd24ddd3f"/>
    <n v="60"/>
    <x v="4"/>
    <x v="2"/>
    <x v="2"/>
    <n v="31.9"/>
    <n v="4"/>
    <x v="5"/>
    <x v="4"/>
    <n v="8.99"/>
    <x v="0"/>
    <x v="0"/>
    <n v="2"/>
    <n v="6.38"/>
    <x v="1"/>
  </r>
  <r>
    <s v="a8c8dcff-92d3-4a79-849d-42c6e6bbc7bc"/>
    <n v="70"/>
    <x v="4"/>
    <x v="1"/>
    <x v="1"/>
    <n v="7.97"/>
    <n v="57"/>
    <x v="1"/>
    <x v="1"/>
    <n v="17.989999999999998"/>
    <x v="1"/>
    <x v="4"/>
    <n v="5"/>
    <n v="0.14000000000000001"/>
    <x v="0"/>
  </r>
  <r>
    <s v="18be905c-203f-4de2-8e78-ef10061fc57f"/>
    <n v="55"/>
    <x v="4"/>
    <x v="1"/>
    <x v="2"/>
    <n v="24.58"/>
    <n v="18"/>
    <x v="0"/>
    <x v="3"/>
    <n v="8.99"/>
    <x v="0"/>
    <x v="1"/>
    <n v="1"/>
    <n v="1.29"/>
    <x v="5"/>
  </r>
  <r>
    <s v="afcc5c55-a3d8-4e2f-ab95-3d34f5e0390d"/>
    <n v="69"/>
    <x v="4"/>
    <x v="0"/>
    <x v="2"/>
    <n v="24.56"/>
    <n v="53"/>
    <x v="5"/>
    <x v="1"/>
    <n v="8.99"/>
    <x v="1"/>
    <x v="4"/>
    <n v="1"/>
    <n v="0.45"/>
    <x v="3"/>
  </r>
  <r>
    <s v="c39a5943-fe7c-46ec-8d3c-2a24ab46733b"/>
    <n v="67"/>
    <x v="4"/>
    <x v="2"/>
    <x v="0"/>
    <n v="3.05"/>
    <n v="29"/>
    <x v="5"/>
    <x v="4"/>
    <n v="13.99"/>
    <x v="1"/>
    <x v="3"/>
    <n v="1"/>
    <n v="0.1"/>
    <x v="0"/>
  </r>
  <r>
    <s v="7a89d8b6-28ec-4b0c-9d3b-88e0a5119e3b"/>
    <n v="67"/>
    <x v="4"/>
    <x v="2"/>
    <x v="2"/>
    <n v="1.56"/>
    <n v="0"/>
    <x v="5"/>
    <x v="3"/>
    <n v="8.99"/>
    <x v="0"/>
    <x v="0"/>
    <n v="5"/>
    <n v="1.56"/>
    <x v="5"/>
  </r>
  <r>
    <s v="c8648f0f-0b92-4445-a3a7-5c48711cbc07"/>
    <n v="57"/>
    <x v="4"/>
    <x v="2"/>
    <x v="1"/>
    <n v="0.97"/>
    <n v="32"/>
    <x v="2"/>
    <x v="2"/>
    <n v="17.989999999999998"/>
    <x v="1"/>
    <x v="4"/>
    <n v="2"/>
    <n v="0.03"/>
    <x v="1"/>
  </r>
  <r>
    <s v="ebe928a7-de65-4567-b349-06056b35e6a6"/>
    <n v="55"/>
    <x v="4"/>
    <x v="1"/>
    <x v="0"/>
    <n v="21.58"/>
    <n v="48"/>
    <x v="4"/>
    <x v="2"/>
    <n v="13.99"/>
    <x v="0"/>
    <x v="2"/>
    <n v="5"/>
    <n v="0.44"/>
    <x v="4"/>
  </r>
  <r>
    <s v="20529e32-d3e7-4cfc-8210-b6468cdbe2a4"/>
    <n v="55"/>
    <x v="4"/>
    <x v="1"/>
    <x v="1"/>
    <n v="3.86"/>
    <n v="25"/>
    <x v="1"/>
    <x v="4"/>
    <n v="17.989999999999998"/>
    <x v="1"/>
    <x v="3"/>
    <n v="3"/>
    <n v="0.15"/>
    <x v="3"/>
  </r>
  <r>
    <s v="1a0f21b6-454a-4a22-88a8-5045b9d00fa4"/>
    <n v="58"/>
    <x v="4"/>
    <x v="2"/>
    <x v="0"/>
    <n v="14.57"/>
    <n v="22"/>
    <x v="4"/>
    <x v="2"/>
    <n v="13.99"/>
    <x v="0"/>
    <x v="1"/>
    <n v="2"/>
    <n v="0.63"/>
    <x v="4"/>
  </r>
  <r>
    <s v="616199ed-33c4-4ff5-9450-251fc608d3a1"/>
    <n v="63"/>
    <x v="4"/>
    <x v="1"/>
    <x v="0"/>
    <n v="25.73"/>
    <n v="11"/>
    <x v="3"/>
    <x v="0"/>
    <n v="13.99"/>
    <x v="0"/>
    <x v="3"/>
    <n v="1"/>
    <n v="2.14"/>
    <x v="1"/>
  </r>
  <r>
    <s v="d1593b1d-ef59-4d4a-a169-5ff338b8baef"/>
    <n v="60"/>
    <x v="4"/>
    <x v="2"/>
    <x v="0"/>
    <n v="3.01"/>
    <n v="30"/>
    <x v="0"/>
    <x v="3"/>
    <n v="13.99"/>
    <x v="1"/>
    <x v="4"/>
    <n v="3"/>
    <n v="0.1"/>
    <x v="5"/>
  </r>
  <r>
    <s v="749b69f5-8a24-428a-880c-86057af2a485"/>
    <n v="66"/>
    <x v="4"/>
    <x v="2"/>
    <x v="2"/>
    <n v="12.05"/>
    <n v="33"/>
    <x v="2"/>
    <x v="4"/>
    <n v="8.99"/>
    <x v="1"/>
    <x v="3"/>
    <n v="3"/>
    <n v="0.35"/>
    <x v="0"/>
  </r>
  <r>
    <s v="b313f39d-0675-4bef-9b10-573146872adf"/>
    <n v="63"/>
    <x v="4"/>
    <x v="2"/>
    <x v="1"/>
    <n v="5.84"/>
    <n v="20"/>
    <x v="5"/>
    <x v="2"/>
    <n v="17.989999999999998"/>
    <x v="0"/>
    <x v="2"/>
    <n v="1"/>
    <n v="0.28000000000000003"/>
    <x v="5"/>
  </r>
  <r>
    <s v="af9b0f0d-9532-48f2-ad24-bf41faa164a6"/>
    <n v="55"/>
    <x v="4"/>
    <x v="1"/>
    <x v="0"/>
    <n v="2.89"/>
    <n v="37"/>
    <x v="4"/>
    <x v="3"/>
    <n v="13.99"/>
    <x v="1"/>
    <x v="1"/>
    <n v="4"/>
    <n v="0.08"/>
    <x v="3"/>
  </r>
  <r>
    <s v="8c78b61b-0d41-4470-ade0-3ed2e2b36c28"/>
    <n v="65"/>
    <x v="4"/>
    <x v="1"/>
    <x v="0"/>
    <n v="19.329999999999998"/>
    <n v="31"/>
    <x v="4"/>
    <x v="3"/>
    <n v="13.99"/>
    <x v="0"/>
    <x v="2"/>
    <n v="1"/>
    <n v="0.6"/>
    <x v="1"/>
  </r>
  <r>
    <s v="361aff57-8a5f-4229-b4f5-f52544178dc7"/>
    <n v="63"/>
    <x v="4"/>
    <x v="2"/>
    <x v="1"/>
    <n v="6.97"/>
    <n v="31"/>
    <x v="4"/>
    <x v="4"/>
    <n v="17.989999999999998"/>
    <x v="1"/>
    <x v="0"/>
    <n v="1"/>
    <n v="0.22"/>
    <x v="4"/>
  </r>
  <r>
    <s v="900034d1-e7de-4e99-914e-4ad863061834"/>
    <n v="64"/>
    <x v="4"/>
    <x v="0"/>
    <x v="0"/>
    <n v="3.66"/>
    <n v="6"/>
    <x v="3"/>
    <x v="2"/>
    <n v="13.99"/>
    <x v="0"/>
    <x v="3"/>
    <n v="1"/>
    <n v="0.52"/>
    <x v="4"/>
  </r>
  <r>
    <s v="6082e011-4f6d-4acb-93f2-3bfefd532880"/>
    <n v="58"/>
    <x v="4"/>
    <x v="0"/>
    <x v="2"/>
    <n v="30.85"/>
    <n v="46"/>
    <x v="4"/>
    <x v="2"/>
    <n v="8.99"/>
    <x v="0"/>
    <x v="1"/>
    <n v="5"/>
    <n v="0.66"/>
    <x v="3"/>
  </r>
  <r>
    <s v="33146637-8d6b-4a63-b0be-65c67a894825"/>
    <n v="62"/>
    <x v="4"/>
    <x v="1"/>
    <x v="0"/>
    <n v="16.649999999999999"/>
    <n v="41"/>
    <x v="4"/>
    <x v="4"/>
    <n v="13.99"/>
    <x v="1"/>
    <x v="1"/>
    <n v="3"/>
    <n v="0.4"/>
    <x v="4"/>
  </r>
  <r>
    <s v="05e8a643-0a5c-4413-ae75-a4dcdccf9c62"/>
    <n v="65"/>
    <x v="4"/>
    <x v="1"/>
    <x v="1"/>
    <n v="37.82"/>
    <n v="31"/>
    <x v="5"/>
    <x v="4"/>
    <n v="17.989999999999998"/>
    <x v="0"/>
    <x v="4"/>
    <n v="3"/>
    <n v="1.18"/>
    <x v="6"/>
  </r>
  <r>
    <s v="85b74247-a98b-47b1-91ba-8b7db3c3662c"/>
    <n v="68"/>
    <x v="4"/>
    <x v="2"/>
    <x v="0"/>
    <n v="28.44"/>
    <n v="55"/>
    <x v="1"/>
    <x v="1"/>
    <n v="13.99"/>
    <x v="0"/>
    <x v="0"/>
    <n v="3"/>
    <n v="0.51"/>
    <x v="4"/>
  </r>
  <r>
    <s v="62d2ca00-38a2-4f3b-a517-e212fb24e26e"/>
    <n v="62"/>
    <x v="4"/>
    <x v="0"/>
    <x v="0"/>
    <n v="14.8"/>
    <n v="40"/>
    <x v="2"/>
    <x v="2"/>
    <n v="13.99"/>
    <x v="1"/>
    <x v="0"/>
    <n v="5"/>
    <n v="0.36"/>
    <x v="0"/>
  </r>
  <r>
    <s v="005b6afc-cff9-432f-ae0e-265d9acb5a59"/>
    <n v="63"/>
    <x v="4"/>
    <x v="1"/>
    <x v="1"/>
    <n v="3.39"/>
    <n v="57"/>
    <x v="2"/>
    <x v="2"/>
    <n v="17.989999999999998"/>
    <x v="1"/>
    <x v="3"/>
    <n v="4"/>
    <n v="0.06"/>
    <x v="6"/>
  </r>
  <r>
    <s v="4dbbc3f7-6ede-48ad-bf36-84c7e9188e3c"/>
    <n v="62"/>
    <x v="4"/>
    <x v="0"/>
    <x v="1"/>
    <n v="13.15"/>
    <n v="11"/>
    <x v="5"/>
    <x v="3"/>
    <n v="17.989999999999998"/>
    <x v="0"/>
    <x v="1"/>
    <n v="1"/>
    <n v="1.1000000000000001"/>
    <x v="1"/>
  </r>
  <r>
    <s v="73772dd0-a793-479a-a5fa-51423747291a"/>
    <n v="60"/>
    <x v="4"/>
    <x v="0"/>
    <x v="2"/>
    <n v="9.1300000000000008"/>
    <n v="43"/>
    <x v="4"/>
    <x v="1"/>
    <n v="8.99"/>
    <x v="1"/>
    <x v="1"/>
    <n v="1"/>
    <n v="0.21"/>
    <x v="5"/>
  </r>
  <r>
    <s v="52aa9ac1-8625-4421-8d2c-3ed00cf83389"/>
    <n v="60"/>
    <x v="4"/>
    <x v="2"/>
    <x v="1"/>
    <n v="3.29"/>
    <n v="20"/>
    <x v="0"/>
    <x v="2"/>
    <n v="17.989999999999998"/>
    <x v="1"/>
    <x v="1"/>
    <n v="2"/>
    <n v="0.16"/>
    <x v="0"/>
  </r>
  <r>
    <s v="72452f35-f1ef-4881-a0f6-df6de0351844"/>
    <n v="58"/>
    <x v="4"/>
    <x v="0"/>
    <x v="0"/>
    <n v="9.52"/>
    <n v="51"/>
    <x v="1"/>
    <x v="1"/>
    <n v="13.99"/>
    <x v="1"/>
    <x v="3"/>
    <n v="1"/>
    <n v="0.18"/>
    <x v="6"/>
  </r>
  <r>
    <s v="134e6a09-9723-4652-9213-fbfecaa84377"/>
    <n v="62"/>
    <x v="4"/>
    <x v="0"/>
    <x v="1"/>
    <n v="0.45"/>
    <n v="20"/>
    <x v="1"/>
    <x v="4"/>
    <n v="17.989999999999998"/>
    <x v="0"/>
    <x v="1"/>
    <n v="5"/>
    <n v="0.02"/>
    <x v="6"/>
  </r>
  <r>
    <s v="ce40f5f8-42ee-44e2-b754-bd3a626cf48d"/>
    <n v="61"/>
    <x v="4"/>
    <x v="0"/>
    <x v="0"/>
    <n v="4.5199999999999996"/>
    <n v="21"/>
    <x v="1"/>
    <x v="4"/>
    <n v="13.99"/>
    <x v="1"/>
    <x v="0"/>
    <n v="2"/>
    <n v="0.21"/>
    <x v="0"/>
  </r>
  <r>
    <s v="f1e8f248-727d-47f5-92da-d6f7610cfc5b"/>
    <n v="55"/>
    <x v="4"/>
    <x v="0"/>
    <x v="1"/>
    <n v="1.66"/>
    <n v="54"/>
    <x v="5"/>
    <x v="0"/>
    <n v="17.989999999999998"/>
    <x v="1"/>
    <x v="3"/>
    <n v="4"/>
    <n v="0.03"/>
    <x v="0"/>
  </r>
  <r>
    <s v="1cb5c1a8-8724-4edc-8255-06b1152f5dea"/>
    <n v="64"/>
    <x v="4"/>
    <x v="0"/>
    <x v="1"/>
    <n v="4.42"/>
    <n v="17"/>
    <x v="2"/>
    <x v="1"/>
    <n v="17.989999999999998"/>
    <x v="1"/>
    <x v="0"/>
    <n v="3"/>
    <n v="0.25"/>
    <x v="2"/>
  </r>
  <r>
    <s v="40e78b9f-b88b-4eb9-b6dd-f288901b072d"/>
    <n v="67"/>
    <x v="4"/>
    <x v="0"/>
    <x v="1"/>
    <n v="9.8699999999999992"/>
    <n v="6"/>
    <x v="1"/>
    <x v="0"/>
    <n v="17.989999999999998"/>
    <x v="0"/>
    <x v="3"/>
    <n v="3"/>
    <n v="1.41"/>
    <x v="3"/>
  </r>
  <r>
    <s v="79f6a459-5e71-40e9-831a-8657ed6f160b"/>
    <n v="61"/>
    <x v="4"/>
    <x v="1"/>
    <x v="0"/>
    <n v="5.98"/>
    <n v="1"/>
    <x v="4"/>
    <x v="4"/>
    <n v="13.99"/>
    <x v="0"/>
    <x v="4"/>
    <n v="5"/>
    <n v="2.99"/>
    <x v="4"/>
  </r>
  <r>
    <s v="fd3c898e-3bfd-453b-b00e-839eaf2dd443"/>
    <n v="59"/>
    <x v="4"/>
    <x v="1"/>
    <x v="1"/>
    <n v="24.59"/>
    <n v="49"/>
    <x v="4"/>
    <x v="3"/>
    <n v="17.989999999999998"/>
    <x v="0"/>
    <x v="0"/>
    <n v="3"/>
    <n v="0.49"/>
    <x v="4"/>
  </r>
  <r>
    <s v="123f622f-26f1-431d-bc19-2219c6e7fc86"/>
    <n v="65"/>
    <x v="4"/>
    <x v="0"/>
    <x v="1"/>
    <n v="4.8899999999999997"/>
    <n v="6"/>
    <x v="0"/>
    <x v="0"/>
    <n v="17.989999999999998"/>
    <x v="0"/>
    <x v="4"/>
    <n v="1"/>
    <n v="0.7"/>
    <x v="5"/>
  </r>
  <r>
    <s v="4b9d865e-50f1-447e-8e49-89d2c6acd3b3"/>
    <n v="59"/>
    <x v="4"/>
    <x v="1"/>
    <x v="0"/>
    <n v="6.77"/>
    <n v="22"/>
    <x v="5"/>
    <x v="4"/>
    <n v="13.99"/>
    <x v="0"/>
    <x v="1"/>
    <n v="1"/>
    <n v="0.28999999999999998"/>
    <x v="6"/>
  </r>
  <r>
    <s v="4891e3c6-f53b-45af-ad62-12572f687302"/>
    <n v="70"/>
    <x v="4"/>
    <x v="1"/>
    <x v="2"/>
    <n v="1.28"/>
    <n v="52"/>
    <x v="0"/>
    <x v="2"/>
    <n v="8.99"/>
    <x v="1"/>
    <x v="2"/>
    <n v="5"/>
    <n v="0.02"/>
    <x v="3"/>
  </r>
  <r>
    <s v="2e3a45b3-b511-42dd-b3e3-e9ce9d182b7a"/>
    <n v="63"/>
    <x v="4"/>
    <x v="2"/>
    <x v="1"/>
    <n v="8.5399999999999991"/>
    <n v="51"/>
    <x v="4"/>
    <x v="4"/>
    <n v="17.989999999999998"/>
    <x v="0"/>
    <x v="2"/>
    <n v="5"/>
    <n v="0.16"/>
    <x v="5"/>
  </r>
  <r>
    <s v="45291e8c-5116-4068-9168-545eecfaf691"/>
    <n v="67"/>
    <x v="4"/>
    <x v="0"/>
    <x v="0"/>
    <n v="1.02"/>
    <n v="20"/>
    <x v="1"/>
    <x v="1"/>
    <n v="13.99"/>
    <x v="1"/>
    <x v="4"/>
    <n v="1"/>
    <n v="0.05"/>
    <x v="6"/>
  </r>
  <r>
    <s v="3b237337-1044-4e5d-a612-e1a9e5f6eb36"/>
    <n v="56"/>
    <x v="4"/>
    <x v="1"/>
    <x v="1"/>
    <n v="1.43"/>
    <n v="16"/>
    <x v="1"/>
    <x v="1"/>
    <n v="17.989999999999998"/>
    <x v="1"/>
    <x v="1"/>
    <n v="2"/>
    <n v="0.08"/>
    <x v="3"/>
  </r>
  <r>
    <s v="e8fda88a-2847-4cb4-b5a0-b7f0c3454405"/>
    <n v="67"/>
    <x v="4"/>
    <x v="1"/>
    <x v="0"/>
    <n v="3.29"/>
    <n v="25"/>
    <x v="4"/>
    <x v="4"/>
    <n v="13.99"/>
    <x v="1"/>
    <x v="0"/>
    <n v="1"/>
    <n v="0.13"/>
    <x v="5"/>
  </r>
  <r>
    <s v="e19a5270-f0e0-4586-8893-ca3fabdc2fc8"/>
    <n v="59"/>
    <x v="4"/>
    <x v="0"/>
    <x v="2"/>
    <n v="20.11"/>
    <n v="40"/>
    <x v="2"/>
    <x v="3"/>
    <n v="8.99"/>
    <x v="1"/>
    <x v="3"/>
    <n v="2"/>
    <n v="0.49"/>
    <x v="6"/>
  </r>
  <r>
    <s v="46fe1eb8-c6f9-4bd4-8a9a-d91919ed031a"/>
    <n v="60"/>
    <x v="4"/>
    <x v="0"/>
    <x v="0"/>
    <n v="19.36"/>
    <n v="45"/>
    <x v="2"/>
    <x v="3"/>
    <n v="13.99"/>
    <x v="1"/>
    <x v="1"/>
    <n v="2"/>
    <n v="0.42"/>
    <x v="0"/>
  </r>
  <r>
    <s v="1ce9139b-2013-4a00-b77f-fbab1b020a00"/>
    <n v="69"/>
    <x v="4"/>
    <x v="2"/>
    <x v="0"/>
    <n v="7.85"/>
    <n v="43"/>
    <x v="1"/>
    <x v="0"/>
    <n v="13.99"/>
    <x v="1"/>
    <x v="4"/>
    <n v="5"/>
    <n v="0.18"/>
    <x v="3"/>
  </r>
  <r>
    <s v="9fbdd1e9-64e2-41a4-8753-fb3412bea228"/>
    <n v="70"/>
    <x v="4"/>
    <x v="0"/>
    <x v="2"/>
    <n v="6.8"/>
    <n v="6"/>
    <x v="4"/>
    <x v="2"/>
    <n v="8.99"/>
    <x v="0"/>
    <x v="1"/>
    <n v="4"/>
    <n v="0.97"/>
    <x v="3"/>
  </r>
  <r>
    <s v="3d2a67b3-9cdb-4e45-9066-27e51d45cb66"/>
    <n v="68"/>
    <x v="4"/>
    <x v="0"/>
    <x v="2"/>
    <n v="9.07"/>
    <n v="32"/>
    <x v="3"/>
    <x v="0"/>
    <n v="8.99"/>
    <x v="1"/>
    <x v="0"/>
    <n v="3"/>
    <n v="0.27"/>
    <x v="4"/>
  </r>
  <r>
    <s v="a8582720-4d1c-4377-8be1-a414bc51938d"/>
    <n v="70"/>
    <x v="4"/>
    <x v="1"/>
    <x v="2"/>
    <n v="2.2400000000000002"/>
    <n v="50"/>
    <x v="1"/>
    <x v="1"/>
    <n v="8.99"/>
    <x v="1"/>
    <x v="3"/>
    <n v="5"/>
    <n v="0.04"/>
    <x v="5"/>
  </r>
  <r>
    <s v="c96e98a2-6211-4466-9096-6c389ef0143a"/>
    <n v="68"/>
    <x v="4"/>
    <x v="2"/>
    <x v="2"/>
    <n v="1.83"/>
    <n v="0"/>
    <x v="3"/>
    <x v="2"/>
    <n v="8.99"/>
    <x v="0"/>
    <x v="1"/>
    <n v="5"/>
    <n v="1.83"/>
    <x v="2"/>
  </r>
  <r>
    <s v="e3e9c377-2cb7-4ec4-a85a-f59b9e6f298d"/>
    <n v="62"/>
    <x v="4"/>
    <x v="0"/>
    <x v="2"/>
    <n v="1.55"/>
    <n v="17"/>
    <x v="2"/>
    <x v="4"/>
    <n v="8.99"/>
    <x v="1"/>
    <x v="1"/>
    <n v="2"/>
    <n v="0.09"/>
    <x v="3"/>
  </r>
  <r>
    <s v="66ee8b3e-54d4-47b0-9bdf-a9830a3be6f0"/>
    <n v="62"/>
    <x v="4"/>
    <x v="0"/>
    <x v="2"/>
    <n v="6.67"/>
    <n v="47"/>
    <x v="4"/>
    <x v="0"/>
    <n v="8.99"/>
    <x v="1"/>
    <x v="4"/>
    <n v="2"/>
    <n v="0.14000000000000001"/>
    <x v="5"/>
  </r>
  <r>
    <s v="37bf780f-45c1-471c-8158-9f211fbf9e0a"/>
    <n v="60"/>
    <x v="4"/>
    <x v="0"/>
    <x v="0"/>
    <n v="1.03"/>
    <n v="2"/>
    <x v="0"/>
    <x v="4"/>
    <n v="13.99"/>
    <x v="0"/>
    <x v="3"/>
    <n v="5"/>
    <n v="0.34"/>
    <x v="5"/>
  </r>
  <r>
    <s v="ea197301-ecc0-4b24-b3f2-f9c7aa3efccf"/>
    <n v="57"/>
    <x v="4"/>
    <x v="2"/>
    <x v="0"/>
    <n v="12.95"/>
    <n v="27"/>
    <x v="4"/>
    <x v="0"/>
    <n v="13.99"/>
    <x v="0"/>
    <x v="4"/>
    <n v="4"/>
    <n v="0.46"/>
    <x v="2"/>
  </r>
  <r>
    <s v="d9706e06-14bf-475c-aeb6-1eaaf5a3dd1b"/>
    <n v="68"/>
    <x v="4"/>
    <x v="0"/>
    <x v="1"/>
    <n v="10.27"/>
    <n v="55"/>
    <x v="4"/>
    <x v="4"/>
    <n v="17.989999999999998"/>
    <x v="0"/>
    <x v="3"/>
    <n v="4"/>
    <n v="0.18"/>
    <x v="2"/>
  </r>
  <r>
    <s v="db2af8cb-89e8-4d68-b1b4-6620a2d5d041"/>
    <n v="68"/>
    <x v="4"/>
    <x v="2"/>
    <x v="1"/>
    <n v="52.22"/>
    <n v="4"/>
    <x v="4"/>
    <x v="1"/>
    <n v="17.989999999999998"/>
    <x v="0"/>
    <x v="4"/>
    <n v="1"/>
    <n v="10.44"/>
    <x v="4"/>
  </r>
  <r>
    <s v="b84c61be-3dbf-4706-9ac0-bf2c77b54dde"/>
    <n v="55"/>
    <x v="4"/>
    <x v="1"/>
    <x v="0"/>
    <n v="7.61"/>
    <n v="37"/>
    <x v="4"/>
    <x v="2"/>
    <n v="13.99"/>
    <x v="1"/>
    <x v="3"/>
    <n v="1"/>
    <n v="0.2"/>
    <x v="1"/>
  </r>
  <r>
    <s v="65967ad4-dae6-45d3-9af8-3897eed4bdfb"/>
    <n v="56"/>
    <x v="4"/>
    <x v="0"/>
    <x v="1"/>
    <n v="2.39"/>
    <n v="21"/>
    <x v="2"/>
    <x v="4"/>
    <n v="17.989999999999998"/>
    <x v="1"/>
    <x v="1"/>
    <n v="2"/>
    <n v="0.11"/>
    <x v="1"/>
  </r>
  <r>
    <s v="f1c3c48d-f3d2-4d85-a8c3-f1a96eaacad9"/>
    <n v="64"/>
    <x v="4"/>
    <x v="2"/>
    <x v="0"/>
    <n v="13.86"/>
    <n v="7"/>
    <x v="3"/>
    <x v="1"/>
    <n v="13.99"/>
    <x v="0"/>
    <x v="2"/>
    <n v="3"/>
    <n v="1.73"/>
    <x v="1"/>
  </r>
  <r>
    <s v="bf84e8d8-05ec-42a0-acea-ef18118399c7"/>
    <n v="56"/>
    <x v="4"/>
    <x v="2"/>
    <x v="2"/>
    <n v="8.7100000000000009"/>
    <n v="2"/>
    <x v="0"/>
    <x v="1"/>
    <n v="8.99"/>
    <x v="0"/>
    <x v="1"/>
    <n v="3"/>
    <n v="2.9"/>
    <x v="0"/>
  </r>
  <r>
    <s v="56406333-657b-4c54-8abd-6493fcfb3683"/>
    <n v="65"/>
    <x v="4"/>
    <x v="1"/>
    <x v="1"/>
    <n v="20.05"/>
    <n v="21"/>
    <x v="0"/>
    <x v="4"/>
    <n v="17.989999999999998"/>
    <x v="0"/>
    <x v="0"/>
    <n v="5"/>
    <n v="0.91"/>
    <x v="5"/>
  </r>
  <r>
    <s v="5af996e6-33fe-477d-a99e-1c10776fda79"/>
    <n v="56"/>
    <x v="4"/>
    <x v="1"/>
    <x v="0"/>
    <n v="1.95"/>
    <n v="28"/>
    <x v="4"/>
    <x v="2"/>
    <n v="13.99"/>
    <x v="1"/>
    <x v="0"/>
    <n v="4"/>
    <n v="7.0000000000000007E-2"/>
    <x v="4"/>
  </r>
  <r>
    <s v="9be09f8c-f7dc-49dd-8c6b-25c8f448d92f"/>
    <n v="70"/>
    <x v="4"/>
    <x v="1"/>
    <x v="0"/>
    <n v="8.6999999999999993"/>
    <n v="46"/>
    <x v="0"/>
    <x v="2"/>
    <n v="13.99"/>
    <x v="1"/>
    <x v="2"/>
    <n v="3"/>
    <n v="0.19"/>
    <x v="3"/>
  </r>
  <r>
    <s v="6354bb8b-9f9d-440d-bcaf-fb281e48866e"/>
    <n v="57"/>
    <x v="4"/>
    <x v="0"/>
    <x v="2"/>
    <n v="15.75"/>
    <n v="1"/>
    <x v="1"/>
    <x v="3"/>
    <n v="8.99"/>
    <x v="0"/>
    <x v="0"/>
    <n v="3"/>
    <n v="7.88"/>
    <x v="2"/>
  </r>
  <r>
    <s v="73b4ab33-132d-4c64-b52d-c9aa2e2f85d6"/>
    <n v="67"/>
    <x v="4"/>
    <x v="1"/>
    <x v="0"/>
    <n v="14.58"/>
    <n v="18"/>
    <x v="1"/>
    <x v="3"/>
    <n v="13.99"/>
    <x v="0"/>
    <x v="2"/>
    <n v="2"/>
    <n v="0.77"/>
    <x v="6"/>
  </r>
  <r>
    <s v="a03703b4-96da-4fc9-ab23-dc087a013b7d"/>
    <n v="66"/>
    <x v="4"/>
    <x v="1"/>
    <x v="0"/>
    <n v="1.42"/>
    <n v="57"/>
    <x v="1"/>
    <x v="1"/>
    <n v="13.99"/>
    <x v="1"/>
    <x v="4"/>
    <n v="3"/>
    <n v="0.02"/>
    <x v="0"/>
  </r>
  <r>
    <s v="feb1f73a-8cc1-44c9-a58e-83bc8d1fd127"/>
    <n v="66"/>
    <x v="4"/>
    <x v="0"/>
    <x v="2"/>
    <n v="6.93"/>
    <n v="47"/>
    <x v="2"/>
    <x v="4"/>
    <n v="8.99"/>
    <x v="1"/>
    <x v="3"/>
    <n v="3"/>
    <n v="0.14000000000000001"/>
    <x v="6"/>
  </r>
  <r>
    <s v="59b1d940-2563-4884-9944-87129d5a5399"/>
    <n v="65"/>
    <x v="4"/>
    <x v="1"/>
    <x v="0"/>
    <n v="1.83"/>
    <n v="37"/>
    <x v="3"/>
    <x v="3"/>
    <n v="13.99"/>
    <x v="1"/>
    <x v="2"/>
    <n v="1"/>
    <n v="0.05"/>
    <x v="1"/>
  </r>
  <r>
    <s v="ecd9a401-3be9-4ff9-8b82-7491e8de3376"/>
    <n v="61"/>
    <x v="4"/>
    <x v="1"/>
    <x v="1"/>
    <n v="0.85"/>
    <n v="6"/>
    <x v="1"/>
    <x v="0"/>
    <n v="17.989999999999998"/>
    <x v="1"/>
    <x v="0"/>
    <n v="1"/>
    <n v="0.12"/>
    <x v="2"/>
  </r>
  <r>
    <s v="8874bf6b-73ab-4361-9955-e6d678400a2f"/>
    <n v="56"/>
    <x v="4"/>
    <x v="1"/>
    <x v="1"/>
    <n v="19.809999999999999"/>
    <n v="25"/>
    <x v="0"/>
    <x v="4"/>
    <n v="17.989999999999998"/>
    <x v="0"/>
    <x v="2"/>
    <n v="4"/>
    <n v="0.76"/>
    <x v="6"/>
  </r>
  <r>
    <s v="5b14b084-6bd2-4df4-b9c5-8839f9e9680a"/>
    <n v="68"/>
    <x v="4"/>
    <x v="0"/>
    <x v="0"/>
    <n v="2.7"/>
    <n v="35"/>
    <x v="0"/>
    <x v="0"/>
    <n v="13.99"/>
    <x v="1"/>
    <x v="1"/>
    <n v="1"/>
    <n v="0.08"/>
    <x v="5"/>
  </r>
  <r>
    <s v="a59003ca-fc14-4078-9ed4-d9dbf9d91826"/>
    <n v="61"/>
    <x v="4"/>
    <x v="2"/>
    <x v="1"/>
    <n v="19.190000000000001"/>
    <n v="27"/>
    <x v="2"/>
    <x v="2"/>
    <n v="17.989999999999998"/>
    <x v="0"/>
    <x v="3"/>
    <n v="2"/>
    <n v="0.69"/>
    <x v="2"/>
  </r>
  <r>
    <s v="c562cd9e-2437-4343-afd8-740938a1b59b"/>
    <n v="62"/>
    <x v="4"/>
    <x v="2"/>
    <x v="2"/>
    <n v="7.85"/>
    <n v="53"/>
    <x v="1"/>
    <x v="2"/>
    <n v="8.99"/>
    <x v="1"/>
    <x v="3"/>
    <n v="2"/>
    <n v="0.15"/>
    <x v="4"/>
  </r>
  <r>
    <s v="e85f81f9-f1c6-4db6-91b8-a68d9a225b14"/>
    <n v="70"/>
    <x v="4"/>
    <x v="1"/>
    <x v="1"/>
    <n v="42.5"/>
    <n v="46"/>
    <x v="1"/>
    <x v="1"/>
    <n v="17.989999999999998"/>
    <x v="0"/>
    <x v="2"/>
    <n v="2"/>
    <n v="0.9"/>
    <x v="0"/>
  </r>
  <r>
    <s v="258fb686-a114-48c9-b4d9-45d0e773064f"/>
    <n v="67"/>
    <x v="4"/>
    <x v="0"/>
    <x v="2"/>
    <n v="2.5499999999999998"/>
    <n v="48"/>
    <x v="5"/>
    <x v="1"/>
    <n v="8.99"/>
    <x v="1"/>
    <x v="4"/>
    <n v="2"/>
    <n v="0.05"/>
    <x v="6"/>
  </r>
  <r>
    <s v="af94b7ff-2542-4364-b5fb-a71e0250ef2d"/>
    <n v="67"/>
    <x v="4"/>
    <x v="2"/>
    <x v="1"/>
    <n v="1.04"/>
    <n v="17"/>
    <x v="1"/>
    <x v="2"/>
    <n v="17.989999999999998"/>
    <x v="1"/>
    <x v="4"/>
    <n v="2"/>
    <n v="0.06"/>
    <x v="4"/>
  </r>
  <r>
    <s v="8c0e6937-e5a5-4e4b-80e6-734497960ec4"/>
    <n v="61"/>
    <x v="4"/>
    <x v="0"/>
    <x v="2"/>
    <n v="1.21"/>
    <n v="31"/>
    <x v="1"/>
    <x v="4"/>
    <n v="8.99"/>
    <x v="1"/>
    <x v="0"/>
    <n v="3"/>
    <n v="0.04"/>
    <x v="0"/>
  </r>
  <r>
    <s v="d8da3b68-dfd2-48bb-8717-352605346780"/>
    <n v="61"/>
    <x v="4"/>
    <x v="0"/>
    <x v="2"/>
    <n v="12.93"/>
    <n v="55"/>
    <x v="5"/>
    <x v="4"/>
    <n v="8.99"/>
    <x v="1"/>
    <x v="1"/>
    <n v="4"/>
    <n v="0.23"/>
    <x v="6"/>
  </r>
  <r>
    <s v="8ad4594c-beba-471b-abe6-8071694e4294"/>
    <n v="60"/>
    <x v="4"/>
    <x v="2"/>
    <x v="2"/>
    <n v="4.6100000000000003"/>
    <n v="8"/>
    <x v="4"/>
    <x v="2"/>
    <n v="8.99"/>
    <x v="1"/>
    <x v="3"/>
    <n v="3"/>
    <n v="0.51"/>
    <x v="6"/>
  </r>
  <r>
    <s v="86ca5953-8687-4fd4-ad11-0d5d680458a8"/>
    <n v="63"/>
    <x v="4"/>
    <x v="1"/>
    <x v="1"/>
    <n v="0.3"/>
    <n v="12"/>
    <x v="0"/>
    <x v="1"/>
    <n v="17.989999999999998"/>
    <x v="1"/>
    <x v="2"/>
    <n v="2"/>
    <n v="0.02"/>
    <x v="0"/>
  </r>
  <r>
    <s v="860a5a69-185b-4aef-8746-502864830574"/>
    <n v="63"/>
    <x v="4"/>
    <x v="2"/>
    <x v="2"/>
    <n v="1.03"/>
    <n v="3"/>
    <x v="4"/>
    <x v="4"/>
    <n v="8.99"/>
    <x v="1"/>
    <x v="2"/>
    <n v="5"/>
    <n v="0.26"/>
    <x v="5"/>
  </r>
  <r>
    <s v="d3d8842a-961b-4951-ad19-f2ce40f0bd6c"/>
    <n v="59"/>
    <x v="4"/>
    <x v="0"/>
    <x v="0"/>
    <n v="2.2799999999999998"/>
    <n v="38"/>
    <x v="3"/>
    <x v="3"/>
    <n v="13.99"/>
    <x v="1"/>
    <x v="3"/>
    <n v="3"/>
    <n v="0.06"/>
    <x v="0"/>
  </r>
  <r>
    <s v="505fa98f-6743-4996-abac-4dfadbf39cef"/>
    <n v="59"/>
    <x v="4"/>
    <x v="0"/>
    <x v="2"/>
    <n v="4.16"/>
    <n v="25"/>
    <x v="1"/>
    <x v="4"/>
    <n v="8.99"/>
    <x v="1"/>
    <x v="0"/>
    <n v="2"/>
    <n v="0.16"/>
    <x v="2"/>
  </r>
  <r>
    <s v="10424d23-f638-4f9b-b107-3a3fc714ebdb"/>
    <n v="58"/>
    <x v="4"/>
    <x v="1"/>
    <x v="1"/>
    <n v="4.04"/>
    <n v="19"/>
    <x v="0"/>
    <x v="2"/>
    <n v="17.989999999999998"/>
    <x v="0"/>
    <x v="2"/>
    <n v="4"/>
    <n v="0.2"/>
    <x v="4"/>
  </r>
  <r>
    <s v="40c040fc-9b95-4b3b-871a-21ff700d0f77"/>
    <n v="68"/>
    <x v="4"/>
    <x v="2"/>
    <x v="1"/>
    <n v="17.559999999999999"/>
    <n v="29"/>
    <x v="0"/>
    <x v="1"/>
    <n v="17.989999999999998"/>
    <x v="0"/>
    <x v="1"/>
    <n v="4"/>
    <n v="0.59"/>
    <x v="6"/>
  </r>
  <r>
    <s v="fa3df7a7-031b-4bc3-ad1c-12c10ebc05f7"/>
    <n v="56"/>
    <x v="4"/>
    <x v="1"/>
    <x v="2"/>
    <n v="16.89"/>
    <n v="38"/>
    <x v="1"/>
    <x v="0"/>
    <n v="8.99"/>
    <x v="1"/>
    <x v="1"/>
    <n v="2"/>
    <n v="0.43"/>
    <x v="2"/>
  </r>
  <r>
    <s v="503bb6a2-47c8-4dee-b381-3b5415ad89c9"/>
    <n v="60"/>
    <x v="4"/>
    <x v="1"/>
    <x v="2"/>
    <n v="7.79"/>
    <n v="25"/>
    <x v="4"/>
    <x v="0"/>
    <n v="8.99"/>
    <x v="0"/>
    <x v="1"/>
    <n v="2"/>
    <n v="0.3"/>
    <x v="0"/>
  </r>
  <r>
    <s v="97b76db8-4504-438b-b561-4b8c8976c938"/>
    <n v="70"/>
    <x v="4"/>
    <x v="0"/>
    <x v="1"/>
    <n v="1.04"/>
    <n v="37"/>
    <x v="2"/>
    <x v="4"/>
    <n v="17.989999999999998"/>
    <x v="1"/>
    <x v="3"/>
    <n v="2"/>
    <n v="0.03"/>
    <x v="2"/>
  </r>
  <r>
    <s v="071580bb-2081-42f1-82d9-55d269964fed"/>
    <n v="70"/>
    <x v="4"/>
    <x v="0"/>
    <x v="2"/>
    <n v="3.99"/>
    <n v="24"/>
    <x v="3"/>
    <x v="1"/>
    <n v="8.99"/>
    <x v="1"/>
    <x v="4"/>
    <n v="1"/>
    <n v="0.16"/>
    <x v="2"/>
  </r>
  <r>
    <s v="49460bf3-2d1f-48a8-abca-b6af133f2803"/>
    <n v="68"/>
    <x v="4"/>
    <x v="2"/>
    <x v="2"/>
    <n v="17.260000000000002"/>
    <n v="10"/>
    <x v="2"/>
    <x v="3"/>
    <n v="8.99"/>
    <x v="0"/>
    <x v="2"/>
    <n v="3"/>
    <n v="1.57"/>
    <x v="5"/>
  </r>
  <r>
    <s v="2e7f0f39-fa6e-4eb0-92de-1ec80999427b"/>
    <n v="57"/>
    <x v="4"/>
    <x v="0"/>
    <x v="1"/>
    <n v="0.26"/>
    <n v="28"/>
    <x v="1"/>
    <x v="4"/>
    <n v="17.989999999999998"/>
    <x v="1"/>
    <x v="2"/>
    <n v="2"/>
    <n v="0.01"/>
    <x v="3"/>
  </r>
  <r>
    <s v="7325ea2c-d50b-4cd1-aad0-245a0602f7ce"/>
    <n v="55"/>
    <x v="4"/>
    <x v="0"/>
    <x v="1"/>
    <n v="41.03"/>
    <n v="45"/>
    <x v="3"/>
    <x v="1"/>
    <n v="17.989999999999998"/>
    <x v="0"/>
    <x v="1"/>
    <n v="3"/>
    <n v="0.89"/>
    <x v="5"/>
  </r>
  <r>
    <s v="d5092d9c-c22a-462c-ab30-88227da4a8bd"/>
    <n v="66"/>
    <x v="4"/>
    <x v="0"/>
    <x v="1"/>
    <n v="5.8"/>
    <n v="41"/>
    <x v="5"/>
    <x v="0"/>
    <n v="17.989999999999998"/>
    <x v="1"/>
    <x v="3"/>
    <n v="2"/>
    <n v="0.14000000000000001"/>
    <x v="5"/>
  </r>
  <r>
    <s v="cae4eb59-460f-4819-82ee-b5ac5de9a5bc"/>
    <n v="58"/>
    <x v="4"/>
    <x v="1"/>
    <x v="0"/>
    <n v="24.34"/>
    <n v="31"/>
    <x v="0"/>
    <x v="1"/>
    <n v="13.99"/>
    <x v="0"/>
    <x v="0"/>
    <n v="1"/>
    <n v="0.76"/>
    <x v="1"/>
  </r>
  <r>
    <s v="fbf6539b-a9e0-4443-8cd2-46cc1f1c7f81"/>
    <n v="56"/>
    <x v="4"/>
    <x v="1"/>
    <x v="1"/>
    <n v="1.65"/>
    <n v="30"/>
    <x v="3"/>
    <x v="2"/>
    <n v="17.989999999999998"/>
    <x v="1"/>
    <x v="4"/>
    <n v="4"/>
    <n v="0.05"/>
    <x v="3"/>
  </r>
  <r>
    <s v="9d59350b-6bf3-48ad-aa59-d0fc92f66475"/>
    <n v="66"/>
    <x v="4"/>
    <x v="1"/>
    <x v="1"/>
    <n v="92.07"/>
    <n v="58"/>
    <x v="4"/>
    <x v="2"/>
    <n v="17.989999999999998"/>
    <x v="0"/>
    <x v="3"/>
    <n v="3"/>
    <n v="1.56"/>
    <x v="1"/>
  </r>
  <r>
    <s v="dba7977d-3e9b-444f-9130-e3cf2f18c821"/>
    <n v="65"/>
    <x v="4"/>
    <x v="1"/>
    <x v="0"/>
    <n v="0.4"/>
    <n v="48"/>
    <x v="1"/>
    <x v="0"/>
    <n v="13.99"/>
    <x v="1"/>
    <x v="4"/>
    <n v="5"/>
    <n v="0.01"/>
    <x v="1"/>
  </r>
  <r>
    <s v="57c2ede7-538e-4e16-88a3-fdbea0addc45"/>
    <n v="64"/>
    <x v="4"/>
    <x v="1"/>
    <x v="2"/>
    <n v="11.05"/>
    <n v="12"/>
    <x v="3"/>
    <x v="1"/>
    <n v="8.99"/>
    <x v="0"/>
    <x v="0"/>
    <n v="5"/>
    <n v="0.85"/>
    <x v="3"/>
  </r>
  <r>
    <s v="d6cca673-966d-4c20-b758-19c3510c4219"/>
    <n v="61"/>
    <x v="4"/>
    <x v="2"/>
    <x v="1"/>
    <n v="25.26"/>
    <n v="7"/>
    <x v="4"/>
    <x v="4"/>
    <n v="17.989999999999998"/>
    <x v="0"/>
    <x v="1"/>
    <n v="5"/>
    <n v="3.16"/>
    <x v="2"/>
  </r>
  <r>
    <s v="7aeed096-1bb8-48ca-9bbc-8961abcf5628"/>
    <n v="56"/>
    <x v="4"/>
    <x v="1"/>
    <x v="0"/>
    <n v="10.6"/>
    <n v="55"/>
    <x v="5"/>
    <x v="1"/>
    <n v="13.99"/>
    <x v="1"/>
    <x v="2"/>
    <n v="1"/>
    <n v="0.19"/>
    <x v="6"/>
  </r>
  <r>
    <s v="066c1a91-ea7d-44ec-8d8a-0a7e16d61fad"/>
    <n v="70"/>
    <x v="4"/>
    <x v="0"/>
    <x v="0"/>
    <n v="2.4"/>
    <n v="12"/>
    <x v="0"/>
    <x v="3"/>
    <n v="13.99"/>
    <x v="0"/>
    <x v="3"/>
    <n v="5"/>
    <n v="0.18"/>
    <x v="1"/>
  </r>
  <r>
    <s v="0bd9e2e0-5f3a-43af-a33e-9b91f849e3df"/>
    <n v="63"/>
    <x v="4"/>
    <x v="2"/>
    <x v="0"/>
    <n v="31.54"/>
    <n v="44"/>
    <x v="4"/>
    <x v="0"/>
    <n v="13.99"/>
    <x v="0"/>
    <x v="0"/>
    <n v="5"/>
    <n v="0.7"/>
    <x v="0"/>
  </r>
  <r>
    <s v="f98dfba7-4659-4486-af51-c26bb5812dd7"/>
    <n v="56"/>
    <x v="4"/>
    <x v="1"/>
    <x v="0"/>
    <n v="17.440000000000001"/>
    <n v="11"/>
    <x v="5"/>
    <x v="0"/>
    <n v="13.99"/>
    <x v="0"/>
    <x v="0"/>
    <n v="1"/>
    <n v="1.45"/>
    <x v="5"/>
  </r>
  <r>
    <s v="136dea6e-2ef8-4543-8646-3a53ecf58c37"/>
    <n v="64"/>
    <x v="4"/>
    <x v="2"/>
    <x v="2"/>
    <n v="4.74"/>
    <n v="39"/>
    <x v="1"/>
    <x v="2"/>
    <n v="8.99"/>
    <x v="1"/>
    <x v="0"/>
    <n v="3"/>
    <n v="0.12"/>
    <x v="3"/>
  </r>
  <r>
    <s v="dacb6f05-14d5-4f84-891e-c6498f9a27f2"/>
    <n v="60"/>
    <x v="4"/>
    <x v="2"/>
    <x v="0"/>
    <n v="7.61"/>
    <n v="8"/>
    <x v="1"/>
    <x v="1"/>
    <n v="13.99"/>
    <x v="0"/>
    <x v="0"/>
    <n v="5"/>
    <n v="0.85"/>
    <x v="2"/>
  </r>
  <r>
    <s v="54ac9d64-1c06-4c41-af42-cbde0c8b1fb4"/>
    <n v="64"/>
    <x v="4"/>
    <x v="0"/>
    <x v="0"/>
    <n v="10.78"/>
    <n v="10"/>
    <x v="5"/>
    <x v="2"/>
    <n v="13.99"/>
    <x v="0"/>
    <x v="3"/>
    <n v="3"/>
    <n v="0.98"/>
    <x v="0"/>
  </r>
  <r>
    <s v="32fefe2e-b543-4afe-ad6e-c9a54d4b9a47"/>
    <n v="59"/>
    <x v="4"/>
    <x v="1"/>
    <x v="2"/>
    <n v="0.27"/>
    <n v="44"/>
    <x v="4"/>
    <x v="1"/>
    <n v="8.99"/>
    <x v="1"/>
    <x v="3"/>
    <n v="5"/>
    <n v="0.01"/>
    <x v="0"/>
  </r>
  <r>
    <s v="8a8873b4-5397-44ca-a433-9a870d6876bc"/>
    <n v="68"/>
    <x v="4"/>
    <x v="2"/>
    <x v="0"/>
    <n v="44.63"/>
    <n v="53"/>
    <x v="5"/>
    <x v="2"/>
    <n v="13.99"/>
    <x v="0"/>
    <x v="2"/>
    <n v="5"/>
    <n v="0.83"/>
    <x v="6"/>
  </r>
  <r>
    <s v="3fa39771-d81f-4b62-a45d-d864399ac4be"/>
    <n v="57"/>
    <x v="4"/>
    <x v="2"/>
    <x v="0"/>
    <n v="2.31"/>
    <n v="29"/>
    <x v="1"/>
    <x v="4"/>
    <n v="13.99"/>
    <x v="1"/>
    <x v="0"/>
    <n v="1"/>
    <n v="0.08"/>
    <x v="6"/>
  </r>
  <r>
    <s v="b8ca4f83-91e4-4913-bb2a-7af18b9df8a5"/>
    <n v="57"/>
    <x v="4"/>
    <x v="1"/>
    <x v="2"/>
    <n v="9.8800000000000008"/>
    <n v="44"/>
    <x v="1"/>
    <x v="2"/>
    <n v="8.99"/>
    <x v="1"/>
    <x v="1"/>
    <n v="3"/>
    <n v="0.22"/>
    <x v="3"/>
  </r>
  <r>
    <s v="09746f94-c065-41ac-aa70-2c6bd5645554"/>
    <n v="70"/>
    <x v="4"/>
    <x v="1"/>
    <x v="0"/>
    <n v="21.33"/>
    <n v="47"/>
    <x v="1"/>
    <x v="4"/>
    <n v="13.99"/>
    <x v="0"/>
    <x v="1"/>
    <n v="1"/>
    <n v="0.44"/>
    <x v="6"/>
  </r>
  <r>
    <s v="efa03a02-4c30-4ef2-a7ea-5d5f76104688"/>
    <n v="65"/>
    <x v="4"/>
    <x v="2"/>
    <x v="2"/>
    <n v="4.2"/>
    <n v="54"/>
    <x v="4"/>
    <x v="2"/>
    <n v="8.99"/>
    <x v="1"/>
    <x v="0"/>
    <n v="4"/>
    <n v="0.08"/>
    <x v="5"/>
  </r>
  <r>
    <s v="0a12e979-14a5-4cd3-bb0f-28768f6a1163"/>
    <n v="70"/>
    <x v="4"/>
    <x v="1"/>
    <x v="1"/>
    <n v="13.24"/>
    <n v="1"/>
    <x v="3"/>
    <x v="0"/>
    <n v="17.989999999999998"/>
    <x v="0"/>
    <x v="4"/>
    <n v="5"/>
    <n v="6.62"/>
    <x v="0"/>
  </r>
  <r>
    <s v="f27eb411-b0c4-4cad-8568-c071b05101d1"/>
    <n v="55"/>
    <x v="4"/>
    <x v="2"/>
    <x v="0"/>
    <n v="7.78"/>
    <n v="7"/>
    <x v="0"/>
    <x v="2"/>
    <n v="13.99"/>
    <x v="0"/>
    <x v="3"/>
    <n v="3"/>
    <n v="0.97"/>
    <x v="0"/>
  </r>
  <r>
    <s v="06a94eb2-a132-4bd9-8737-99c282f2fcc5"/>
    <n v="68"/>
    <x v="4"/>
    <x v="1"/>
    <x v="1"/>
    <n v="4.12"/>
    <n v="31"/>
    <x v="1"/>
    <x v="0"/>
    <n v="17.989999999999998"/>
    <x v="1"/>
    <x v="2"/>
    <n v="5"/>
    <n v="0.13"/>
    <x v="0"/>
  </r>
  <r>
    <s v="00499449-d818-4965-b170-d6a300fca0fd"/>
    <n v="65"/>
    <x v="4"/>
    <x v="0"/>
    <x v="1"/>
    <n v="14.47"/>
    <n v="31"/>
    <x v="2"/>
    <x v="0"/>
    <n v="17.989999999999998"/>
    <x v="0"/>
    <x v="1"/>
    <n v="5"/>
    <n v="0.45"/>
    <x v="0"/>
  </r>
  <r>
    <s v="dddfa932-69d3-48e0-81df-8c797829701a"/>
    <n v="70"/>
    <x v="4"/>
    <x v="1"/>
    <x v="0"/>
    <n v="4.6900000000000004"/>
    <n v="32"/>
    <x v="0"/>
    <x v="0"/>
    <n v="13.99"/>
    <x v="1"/>
    <x v="1"/>
    <n v="3"/>
    <n v="0.14000000000000001"/>
    <x v="5"/>
  </r>
  <r>
    <s v="6af6fe1b-f71f-4488-b5a0-749e5ffd0add"/>
    <n v="67"/>
    <x v="4"/>
    <x v="2"/>
    <x v="0"/>
    <n v="19.48"/>
    <n v="25"/>
    <x v="4"/>
    <x v="2"/>
    <n v="13.99"/>
    <x v="0"/>
    <x v="1"/>
    <n v="2"/>
    <n v="0.75"/>
    <x v="0"/>
  </r>
  <r>
    <s v="b563fad3-459d-424f-b754-d7e38a922faa"/>
    <n v="66"/>
    <x v="4"/>
    <x v="0"/>
    <x v="1"/>
    <n v="16.22"/>
    <n v="0"/>
    <x v="1"/>
    <x v="0"/>
    <n v="17.989999999999998"/>
    <x v="0"/>
    <x v="4"/>
    <n v="2"/>
    <n v="16.22"/>
    <x v="0"/>
  </r>
  <r>
    <s v="fbd31429-1b1e-4a66-bcb3-1c571dfe6cd3"/>
    <n v="58"/>
    <x v="4"/>
    <x v="0"/>
    <x v="0"/>
    <n v="4.3899999999999997"/>
    <n v="11"/>
    <x v="2"/>
    <x v="2"/>
    <n v="13.99"/>
    <x v="0"/>
    <x v="1"/>
    <n v="5"/>
    <n v="0.37"/>
    <x v="4"/>
  </r>
  <r>
    <s v="0e66bbc5-6d6d-400d-971e-7604323c6e5a"/>
    <n v="65"/>
    <x v="4"/>
    <x v="1"/>
    <x v="2"/>
    <n v="3.9"/>
    <n v="14"/>
    <x v="1"/>
    <x v="2"/>
    <n v="8.99"/>
    <x v="1"/>
    <x v="1"/>
    <n v="4"/>
    <n v="0.26"/>
    <x v="6"/>
  </r>
  <r>
    <s v="f0f6032f-1fbc-4115-822e-f85a80af44ba"/>
    <n v="61"/>
    <x v="4"/>
    <x v="2"/>
    <x v="1"/>
    <n v="0.42"/>
    <n v="51"/>
    <x v="1"/>
    <x v="0"/>
    <n v="17.989999999999998"/>
    <x v="1"/>
    <x v="4"/>
    <n v="3"/>
    <n v="0.01"/>
    <x v="0"/>
  </r>
  <r>
    <s v="48892130-c90f-4efa-80dd-b26c5de70e6b"/>
    <n v="69"/>
    <x v="4"/>
    <x v="1"/>
    <x v="1"/>
    <n v="38.020000000000003"/>
    <n v="30"/>
    <x v="1"/>
    <x v="4"/>
    <n v="17.989999999999998"/>
    <x v="0"/>
    <x v="1"/>
    <n v="3"/>
    <n v="1.23"/>
    <x v="1"/>
  </r>
  <r>
    <s v="d9268020-9d9f-4b1a-a284-87ee535bee3f"/>
    <n v="65"/>
    <x v="4"/>
    <x v="0"/>
    <x v="1"/>
    <n v="52.33"/>
    <n v="24"/>
    <x v="1"/>
    <x v="4"/>
    <n v="17.989999999999998"/>
    <x v="0"/>
    <x v="4"/>
    <n v="5"/>
    <n v="2.09"/>
    <x v="3"/>
  </r>
  <r>
    <s v="e17a955b-011b-402a-9ee1-58470d595818"/>
    <n v="58"/>
    <x v="4"/>
    <x v="0"/>
    <x v="2"/>
    <n v="0.51"/>
    <n v="12"/>
    <x v="0"/>
    <x v="4"/>
    <n v="8.99"/>
    <x v="1"/>
    <x v="3"/>
    <n v="1"/>
    <n v="0.04"/>
    <x v="3"/>
  </r>
  <r>
    <s v="326aa08e-4b87-4552-ba4b-c12e33b9aadd"/>
    <n v="56"/>
    <x v="4"/>
    <x v="0"/>
    <x v="2"/>
    <n v="8.5399999999999991"/>
    <n v="16"/>
    <x v="5"/>
    <x v="4"/>
    <n v="8.99"/>
    <x v="0"/>
    <x v="0"/>
    <n v="5"/>
    <n v="0.5"/>
    <x v="3"/>
  </r>
  <r>
    <s v="0fa0e024-38a5-4cdf-9595-628ca4218902"/>
    <n v="68"/>
    <x v="4"/>
    <x v="0"/>
    <x v="1"/>
    <n v="9.66"/>
    <n v="27"/>
    <x v="3"/>
    <x v="0"/>
    <n v="17.989999999999998"/>
    <x v="0"/>
    <x v="2"/>
    <n v="5"/>
    <n v="0.35"/>
    <x v="6"/>
  </r>
  <r>
    <s v="1972b144-6f74-4774-87db-a6e90f56b0a3"/>
    <n v="70"/>
    <x v="4"/>
    <x v="0"/>
    <x v="1"/>
    <n v="0.36"/>
    <n v="15"/>
    <x v="5"/>
    <x v="0"/>
    <n v="17.989999999999998"/>
    <x v="1"/>
    <x v="4"/>
    <n v="5"/>
    <n v="0.02"/>
    <x v="6"/>
  </r>
  <r>
    <s v="9bbc806a-c4c0-4de9-8e5e-4f8b28bfa209"/>
    <n v="68"/>
    <x v="4"/>
    <x v="2"/>
    <x v="2"/>
    <n v="7.63"/>
    <n v="23"/>
    <x v="4"/>
    <x v="4"/>
    <n v="8.99"/>
    <x v="0"/>
    <x v="1"/>
    <n v="4"/>
    <n v="0.32"/>
    <x v="0"/>
  </r>
  <r>
    <s v="307992d3-bd88-4d61-8c0f-8131659b3076"/>
    <n v="58"/>
    <x v="4"/>
    <x v="1"/>
    <x v="1"/>
    <n v="26.32"/>
    <n v="18"/>
    <x v="0"/>
    <x v="2"/>
    <n v="17.989999999999998"/>
    <x v="0"/>
    <x v="3"/>
    <n v="4"/>
    <n v="1.39"/>
    <x v="5"/>
  </r>
  <r>
    <s v="8db6b22f-a49a-49a2-a991-901b21d61905"/>
    <n v="65"/>
    <x v="4"/>
    <x v="1"/>
    <x v="2"/>
    <n v="1.05"/>
    <n v="51"/>
    <x v="3"/>
    <x v="2"/>
    <n v="8.99"/>
    <x v="1"/>
    <x v="4"/>
    <n v="2"/>
    <n v="0.02"/>
    <x v="6"/>
  </r>
  <r>
    <s v="eac73a53-f46d-4c9a-ab1e-def6c81b670e"/>
    <n v="66"/>
    <x v="4"/>
    <x v="2"/>
    <x v="0"/>
    <n v="27.5"/>
    <n v="32"/>
    <x v="3"/>
    <x v="2"/>
    <n v="13.99"/>
    <x v="0"/>
    <x v="4"/>
    <n v="3"/>
    <n v="0.83"/>
    <x v="4"/>
  </r>
  <r>
    <s v="f81b3026-7189-46a6-8987-bca6172794b3"/>
    <n v="66"/>
    <x v="4"/>
    <x v="0"/>
    <x v="1"/>
    <n v="5.22"/>
    <n v="28"/>
    <x v="0"/>
    <x v="3"/>
    <n v="17.989999999999998"/>
    <x v="0"/>
    <x v="0"/>
    <n v="5"/>
    <n v="0.18"/>
    <x v="3"/>
  </r>
  <r>
    <s v="b48359e4-842d-4aeb-8bd5-9775186a9250"/>
    <n v="67"/>
    <x v="4"/>
    <x v="0"/>
    <x v="1"/>
    <n v="15.45"/>
    <n v="46"/>
    <x v="3"/>
    <x v="3"/>
    <n v="17.989999999999998"/>
    <x v="1"/>
    <x v="4"/>
    <n v="5"/>
    <n v="0.33"/>
    <x v="1"/>
  </r>
  <r>
    <s v="6bb3b410-ec41-4958-a6eb-a1109b526c2e"/>
    <n v="63"/>
    <x v="4"/>
    <x v="2"/>
    <x v="2"/>
    <n v="1.44"/>
    <n v="26"/>
    <x v="1"/>
    <x v="2"/>
    <n v="8.99"/>
    <x v="1"/>
    <x v="1"/>
    <n v="1"/>
    <n v="0.05"/>
    <x v="5"/>
  </r>
  <r>
    <s v="980d0f2a-52e1-4525-94a6-0f04c19414cc"/>
    <n v="68"/>
    <x v="4"/>
    <x v="0"/>
    <x v="0"/>
    <n v="15.06"/>
    <n v="20"/>
    <x v="4"/>
    <x v="2"/>
    <n v="13.99"/>
    <x v="0"/>
    <x v="4"/>
    <n v="1"/>
    <n v="0.72"/>
    <x v="4"/>
  </r>
  <r>
    <s v="52a46829-efc4-48f2-adbf-6a7da898af49"/>
    <n v="57"/>
    <x v="4"/>
    <x v="2"/>
    <x v="0"/>
    <n v="3.51"/>
    <n v="50"/>
    <x v="5"/>
    <x v="1"/>
    <n v="13.99"/>
    <x v="1"/>
    <x v="2"/>
    <n v="1"/>
    <n v="7.0000000000000007E-2"/>
    <x v="5"/>
  </r>
  <r>
    <s v="47e821d7-8960-4158-a530-812f1e4649a9"/>
    <n v="63"/>
    <x v="4"/>
    <x v="2"/>
    <x v="2"/>
    <n v="2.5099999999999998"/>
    <n v="31"/>
    <x v="1"/>
    <x v="1"/>
    <n v="8.99"/>
    <x v="1"/>
    <x v="1"/>
    <n v="3"/>
    <n v="0.08"/>
    <x v="1"/>
  </r>
  <r>
    <s v="943a4f59-f7b3-406d-90c3-4dfff002c6cc"/>
    <n v="70"/>
    <x v="4"/>
    <x v="2"/>
    <x v="0"/>
    <n v="28.32"/>
    <n v="3"/>
    <x v="0"/>
    <x v="4"/>
    <n v="13.99"/>
    <x v="0"/>
    <x v="1"/>
    <n v="3"/>
    <n v="7.08"/>
    <x v="3"/>
  </r>
  <r>
    <s v="eab381c2-b6d8-434b-bc0d-a8631c8c5dbe"/>
    <n v="66"/>
    <x v="4"/>
    <x v="1"/>
    <x v="0"/>
    <n v="0.76"/>
    <n v="44"/>
    <x v="1"/>
    <x v="4"/>
    <n v="13.99"/>
    <x v="1"/>
    <x v="4"/>
    <n v="2"/>
    <n v="0.02"/>
    <x v="3"/>
  </r>
  <r>
    <s v="4ef7aca8-5f78-47ac-a29f-e5aba589a6f8"/>
    <n v="67"/>
    <x v="4"/>
    <x v="0"/>
    <x v="1"/>
    <n v="27.79"/>
    <n v="28"/>
    <x v="5"/>
    <x v="0"/>
    <n v="17.989999999999998"/>
    <x v="0"/>
    <x v="0"/>
    <n v="4"/>
    <n v="0.96"/>
    <x v="3"/>
  </r>
  <r>
    <s v="5629ff24-b786-4812-b0fd-bc82d7af1f45"/>
    <n v="61"/>
    <x v="4"/>
    <x v="0"/>
    <x v="1"/>
    <n v="16.13"/>
    <n v="21"/>
    <x v="1"/>
    <x v="4"/>
    <n v="17.989999999999998"/>
    <x v="0"/>
    <x v="0"/>
    <n v="3"/>
    <n v="0.73"/>
    <x v="5"/>
  </r>
  <r>
    <s v="6298bd59-6893-401d-94e5-a69aa8b48d25"/>
    <n v="68"/>
    <x v="4"/>
    <x v="0"/>
    <x v="0"/>
    <n v="18.489999999999998"/>
    <n v="11"/>
    <x v="2"/>
    <x v="2"/>
    <n v="13.99"/>
    <x v="0"/>
    <x v="4"/>
    <n v="1"/>
    <n v="1.54"/>
    <x v="0"/>
  </r>
  <r>
    <s v="f807418c-659b-40b0-9741-5045480e70d4"/>
    <n v="61"/>
    <x v="4"/>
    <x v="0"/>
    <x v="1"/>
    <n v="26.79"/>
    <n v="34"/>
    <x v="3"/>
    <x v="0"/>
    <n v="17.989999999999998"/>
    <x v="0"/>
    <x v="2"/>
    <n v="4"/>
    <n v="0.77"/>
    <x v="6"/>
  </r>
  <r>
    <s v="35634eef-1966-4d15-992c-7486e67a53c4"/>
    <n v="56"/>
    <x v="4"/>
    <x v="0"/>
    <x v="2"/>
    <n v="0.97"/>
    <n v="33"/>
    <x v="0"/>
    <x v="2"/>
    <n v="8.99"/>
    <x v="1"/>
    <x v="1"/>
    <n v="4"/>
    <n v="0.03"/>
    <x v="2"/>
  </r>
  <r>
    <s v="da7b0235-ccf2-4fc3-8244-cfd2258370ec"/>
    <n v="61"/>
    <x v="4"/>
    <x v="1"/>
    <x v="1"/>
    <n v="0.25"/>
    <n v="1"/>
    <x v="4"/>
    <x v="3"/>
    <n v="17.989999999999998"/>
    <x v="0"/>
    <x v="3"/>
    <n v="2"/>
    <n v="0.12"/>
    <x v="6"/>
  </r>
  <r>
    <s v="a34a0408-ee59-4b6d-ac53-33dd131ba1f2"/>
    <n v="58"/>
    <x v="4"/>
    <x v="0"/>
    <x v="2"/>
    <n v="16.809999999999999"/>
    <n v="1"/>
    <x v="1"/>
    <x v="0"/>
    <n v="8.99"/>
    <x v="0"/>
    <x v="4"/>
    <n v="2"/>
    <n v="8.4"/>
    <x v="2"/>
  </r>
  <r>
    <s v="d38a661a-9fbe-4961-90d8-0e8100b13965"/>
    <n v="59"/>
    <x v="4"/>
    <x v="1"/>
    <x v="1"/>
    <n v="28.38"/>
    <n v="52"/>
    <x v="3"/>
    <x v="4"/>
    <n v="17.989999999999998"/>
    <x v="0"/>
    <x v="3"/>
    <n v="4"/>
    <n v="0.54"/>
    <x v="0"/>
  </r>
  <r>
    <s v="c08bf813-a733-48df-9388-00b25842fe2b"/>
    <n v="56"/>
    <x v="4"/>
    <x v="1"/>
    <x v="1"/>
    <n v="1.28"/>
    <n v="22"/>
    <x v="3"/>
    <x v="3"/>
    <n v="17.989999999999998"/>
    <x v="0"/>
    <x v="3"/>
    <n v="5"/>
    <n v="0.06"/>
    <x v="3"/>
  </r>
  <r>
    <s v="ece38646-24dc-4bb9-9aa4-c5f22592d6ad"/>
    <n v="66"/>
    <x v="4"/>
    <x v="2"/>
    <x v="1"/>
    <n v="22.68"/>
    <n v="50"/>
    <x v="1"/>
    <x v="1"/>
    <n v="17.989999999999998"/>
    <x v="0"/>
    <x v="3"/>
    <n v="4"/>
    <n v="0.44"/>
    <x v="5"/>
  </r>
  <r>
    <s v="aaaf0816-0f3c-4a93-8bbc-ace15d6cf5db"/>
    <n v="61"/>
    <x v="4"/>
    <x v="2"/>
    <x v="0"/>
    <n v="21.36"/>
    <n v="39"/>
    <x v="0"/>
    <x v="4"/>
    <n v="13.99"/>
    <x v="0"/>
    <x v="1"/>
    <n v="3"/>
    <n v="0.53"/>
    <x v="1"/>
  </r>
  <r>
    <s v="3a6e044f-361e-4c4a-be44-67ce2b5fddd5"/>
    <n v="55"/>
    <x v="4"/>
    <x v="0"/>
    <x v="0"/>
    <n v="8.26"/>
    <n v="32"/>
    <x v="3"/>
    <x v="1"/>
    <n v="13.99"/>
    <x v="0"/>
    <x v="3"/>
    <n v="4"/>
    <n v="0.25"/>
    <x v="0"/>
  </r>
  <r>
    <s v="3a5bfad8-d098-4418-bdbb-d15c889a2389"/>
    <n v="63"/>
    <x v="4"/>
    <x v="0"/>
    <x v="0"/>
    <n v="1.33"/>
    <n v="29"/>
    <x v="0"/>
    <x v="1"/>
    <n v="13.99"/>
    <x v="1"/>
    <x v="2"/>
    <n v="3"/>
    <n v="0.04"/>
    <x v="2"/>
  </r>
  <r>
    <s v="e76c1166-9bcf-4959-a627-863f1c621434"/>
    <n v="61"/>
    <x v="4"/>
    <x v="1"/>
    <x v="0"/>
    <n v="4.08"/>
    <n v="35"/>
    <x v="5"/>
    <x v="2"/>
    <n v="13.99"/>
    <x v="1"/>
    <x v="4"/>
    <n v="3"/>
    <n v="0.11"/>
    <x v="6"/>
  </r>
  <r>
    <s v="3ed28f9d-f5ec-4a13-afb8-d65fe7f58ab3"/>
    <n v="62"/>
    <x v="4"/>
    <x v="1"/>
    <x v="1"/>
    <n v="4.3099999999999996"/>
    <n v="47"/>
    <x v="0"/>
    <x v="2"/>
    <n v="17.989999999999998"/>
    <x v="1"/>
    <x v="1"/>
    <n v="5"/>
    <n v="0.09"/>
    <x v="3"/>
  </r>
  <r>
    <s v="fed18198-3eef-444c-825e-068b5729aac9"/>
    <n v="70"/>
    <x v="4"/>
    <x v="1"/>
    <x v="1"/>
    <n v="22.22"/>
    <n v="5"/>
    <x v="1"/>
    <x v="0"/>
    <n v="17.989999999999998"/>
    <x v="0"/>
    <x v="2"/>
    <n v="2"/>
    <n v="3.7"/>
    <x v="4"/>
  </r>
  <r>
    <s v="a91bb5e4-a577-4365-8bc6-3a306dcc8dd0"/>
    <n v="61"/>
    <x v="4"/>
    <x v="1"/>
    <x v="2"/>
    <n v="0.65"/>
    <n v="24"/>
    <x v="5"/>
    <x v="4"/>
    <n v="8.99"/>
    <x v="1"/>
    <x v="1"/>
    <n v="5"/>
    <n v="0.03"/>
    <x v="2"/>
  </r>
  <r>
    <s v="04c8618d-f34e-4885-b587-6d6b324603b7"/>
    <n v="61"/>
    <x v="4"/>
    <x v="0"/>
    <x v="1"/>
    <n v="7.11"/>
    <n v="33"/>
    <x v="5"/>
    <x v="0"/>
    <n v="17.989999999999998"/>
    <x v="1"/>
    <x v="3"/>
    <n v="3"/>
    <n v="0.21"/>
    <x v="2"/>
  </r>
  <r>
    <s v="1c45723e-c679-4557-874e-17971854aea4"/>
    <n v="59"/>
    <x v="4"/>
    <x v="1"/>
    <x v="0"/>
    <n v="25.47"/>
    <n v="32"/>
    <x v="4"/>
    <x v="3"/>
    <n v="13.99"/>
    <x v="0"/>
    <x v="1"/>
    <n v="4"/>
    <n v="0.77"/>
    <x v="6"/>
  </r>
  <r>
    <s v="23800c7b-cb6d-46c8-b966-bbb20f9b0ca5"/>
    <n v="61"/>
    <x v="4"/>
    <x v="0"/>
    <x v="0"/>
    <n v="0.76"/>
    <n v="22"/>
    <x v="3"/>
    <x v="0"/>
    <n v="13.99"/>
    <x v="0"/>
    <x v="1"/>
    <n v="5"/>
    <n v="0.03"/>
    <x v="0"/>
  </r>
  <r>
    <s v="458036e4-1c6f-42b8-819f-e453f97ba7b1"/>
    <n v="62"/>
    <x v="4"/>
    <x v="2"/>
    <x v="2"/>
    <n v="6.84"/>
    <n v="3"/>
    <x v="3"/>
    <x v="3"/>
    <n v="8.99"/>
    <x v="0"/>
    <x v="0"/>
    <n v="2"/>
    <n v="1.71"/>
    <x v="1"/>
  </r>
  <r>
    <s v="fe65b1ac-55dc-4d8e-a802-5867af17f8ea"/>
    <n v="56"/>
    <x v="4"/>
    <x v="1"/>
    <x v="2"/>
    <n v="1.72"/>
    <n v="10"/>
    <x v="4"/>
    <x v="2"/>
    <n v="8.99"/>
    <x v="1"/>
    <x v="1"/>
    <n v="2"/>
    <n v="0.16"/>
    <x v="2"/>
  </r>
  <r>
    <s v="00139d09-c969-4136-987c-6e7d30f41cc0"/>
    <n v="59"/>
    <x v="4"/>
    <x v="0"/>
    <x v="0"/>
    <n v="19.34"/>
    <n v="25"/>
    <x v="4"/>
    <x v="0"/>
    <n v="13.99"/>
    <x v="0"/>
    <x v="0"/>
    <n v="3"/>
    <n v="0.74"/>
    <x v="6"/>
  </r>
  <r>
    <s v="44fec6f1-73e6-4d9c-93d3-ec91313a4eb8"/>
    <n v="66"/>
    <x v="4"/>
    <x v="0"/>
    <x v="0"/>
    <n v="4.63"/>
    <n v="26"/>
    <x v="1"/>
    <x v="4"/>
    <n v="13.99"/>
    <x v="0"/>
    <x v="3"/>
    <n v="5"/>
    <n v="0.17"/>
    <x v="3"/>
  </r>
  <r>
    <s v="157af3fa-dccb-4aba-a47f-a1d91c5426fe"/>
    <n v="64"/>
    <x v="4"/>
    <x v="0"/>
    <x v="1"/>
    <n v="18.21"/>
    <n v="21"/>
    <x v="1"/>
    <x v="3"/>
    <n v="17.989999999999998"/>
    <x v="0"/>
    <x v="3"/>
    <n v="4"/>
    <n v="0.83"/>
    <x v="0"/>
  </r>
  <r>
    <s v="04549d24-8090-4c9f-bfd2-d5f77c7dba5e"/>
    <n v="60"/>
    <x v="4"/>
    <x v="0"/>
    <x v="1"/>
    <n v="5.68"/>
    <n v="30"/>
    <x v="5"/>
    <x v="1"/>
    <n v="17.989999999999998"/>
    <x v="0"/>
    <x v="1"/>
    <n v="3"/>
    <n v="0.18"/>
    <x v="4"/>
  </r>
  <r>
    <s v="afa62629-6f9b-48a2-956f-68fdd66e2982"/>
    <n v="69"/>
    <x v="4"/>
    <x v="1"/>
    <x v="2"/>
    <n v="21.91"/>
    <n v="24"/>
    <x v="0"/>
    <x v="3"/>
    <n v="8.99"/>
    <x v="0"/>
    <x v="1"/>
    <n v="5"/>
    <n v="0.88"/>
    <x v="3"/>
  </r>
  <r>
    <s v="d85bd9b4-0564-435a-bd8c-7599b9076257"/>
    <n v="67"/>
    <x v="4"/>
    <x v="2"/>
    <x v="0"/>
    <n v="9.57"/>
    <n v="5"/>
    <x v="1"/>
    <x v="2"/>
    <n v="13.99"/>
    <x v="0"/>
    <x v="0"/>
    <n v="5"/>
    <n v="1.59"/>
    <x v="3"/>
  </r>
  <r>
    <s v="d0483b77-f8ff-4535-9c53-9ee919409583"/>
    <n v="57"/>
    <x v="4"/>
    <x v="0"/>
    <x v="1"/>
    <n v="21.15"/>
    <n v="43"/>
    <x v="2"/>
    <x v="1"/>
    <n v="17.989999999999998"/>
    <x v="0"/>
    <x v="2"/>
    <n v="2"/>
    <n v="0.48"/>
    <x v="1"/>
  </r>
  <r>
    <s v="a525393b-868f-4f37-a301-565e5472a982"/>
    <n v="59"/>
    <x v="4"/>
    <x v="0"/>
    <x v="0"/>
    <n v="9.77"/>
    <n v="5"/>
    <x v="3"/>
    <x v="0"/>
    <n v="13.99"/>
    <x v="0"/>
    <x v="0"/>
    <n v="4"/>
    <n v="1.63"/>
    <x v="1"/>
  </r>
  <r>
    <s v="766eaa1d-56f8-441e-a9f0-e8626a5f4d40"/>
    <n v="58"/>
    <x v="4"/>
    <x v="1"/>
    <x v="1"/>
    <n v="1.05"/>
    <n v="58"/>
    <x v="2"/>
    <x v="1"/>
    <n v="17.989999999999998"/>
    <x v="1"/>
    <x v="0"/>
    <n v="1"/>
    <n v="0.02"/>
    <x v="1"/>
  </r>
  <r>
    <s v="f7add970-dc85-4c29-90e7-cdb047f52746"/>
    <n v="62"/>
    <x v="4"/>
    <x v="2"/>
    <x v="2"/>
    <n v="12.66"/>
    <n v="42"/>
    <x v="0"/>
    <x v="0"/>
    <n v="8.99"/>
    <x v="1"/>
    <x v="1"/>
    <n v="2"/>
    <n v="0.28999999999999998"/>
    <x v="3"/>
  </r>
  <r>
    <s v="51edbf12-a8ef-4848-9be8-b5baeb8adab7"/>
    <n v="67"/>
    <x v="4"/>
    <x v="2"/>
    <x v="0"/>
    <n v="12.02"/>
    <n v="20"/>
    <x v="0"/>
    <x v="0"/>
    <n v="13.99"/>
    <x v="0"/>
    <x v="2"/>
    <n v="1"/>
    <n v="0.56999999999999995"/>
    <x v="6"/>
  </r>
  <r>
    <s v="b15d15eb-0dda-409b-90c8-211757521f5d"/>
    <n v="58"/>
    <x v="4"/>
    <x v="2"/>
    <x v="0"/>
    <n v="7.36"/>
    <n v="18"/>
    <x v="5"/>
    <x v="1"/>
    <n v="13.99"/>
    <x v="0"/>
    <x v="4"/>
    <n v="4"/>
    <n v="0.39"/>
    <x v="4"/>
  </r>
  <r>
    <s v="ab429cc1-b1b1-4a7c-9a14-38212b83747d"/>
    <n v="69"/>
    <x v="4"/>
    <x v="0"/>
    <x v="1"/>
    <n v="3.94"/>
    <n v="38"/>
    <x v="5"/>
    <x v="1"/>
    <n v="17.989999999999998"/>
    <x v="1"/>
    <x v="3"/>
    <n v="2"/>
    <n v="0.1"/>
    <x v="6"/>
  </r>
  <r>
    <s v="cf74b30a-3f9e-4db8-afbd-cb920c58390e"/>
    <n v="70"/>
    <x v="4"/>
    <x v="1"/>
    <x v="0"/>
    <n v="9.1"/>
    <n v="16"/>
    <x v="1"/>
    <x v="4"/>
    <n v="13.99"/>
    <x v="0"/>
    <x v="4"/>
    <n v="2"/>
    <n v="0.54"/>
    <x v="6"/>
  </r>
  <r>
    <s v="de93cbf9-0851-4c5b-826f-939b565c632e"/>
    <n v="66"/>
    <x v="4"/>
    <x v="2"/>
    <x v="1"/>
    <n v="9.17"/>
    <n v="28"/>
    <x v="0"/>
    <x v="1"/>
    <n v="17.989999999999998"/>
    <x v="0"/>
    <x v="1"/>
    <n v="2"/>
    <n v="0.32"/>
    <x v="2"/>
  </r>
  <r>
    <s v="72fa5202-e5c7-4ac9-9974-05157876aa57"/>
    <n v="59"/>
    <x v="4"/>
    <x v="0"/>
    <x v="0"/>
    <n v="26.45"/>
    <n v="55"/>
    <x v="5"/>
    <x v="1"/>
    <n v="13.99"/>
    <x v="0"/>
    <x v="3"/>
    <n v="4"/>
    <n v="0.47"/>
    <x v="1"/>
  </r>
  <r>
    <s v="68d59730-6ec5-4fe3-8c1a-8f3b7e60c047"/>
    <n v="62"/>
    <x v="4"/>
    <x v="1"/>
    <x v="1"/>
    <n v="7.16"/>
    <n v="5"/>
    <x v="4"/>
    <x v="3"/>
    <n v="17.989999999999998"/>
    <x v="0"/>
    <x v="4"/>
    <n v="5"/>
    <n v="1.19"/>
    <x v="4"/>
  </r>
  <r>
    <s v="6ee480c7-c4c3-4dcd-abbc-d46b49f0b6dd"/>
    <n v="62"/>
    <x v="4"/>
    <x v="1"/>
    <x v="0"/>
    <n v="23.97"/>
    <n v="60"/>
    <x v="3"/>
    <x v="3"/>
    <n v="13.99"/>
    <x v="1"/>
    <x v="0"/>
    <n v="1"/>
    <n v="0.39"/>
    <x v="2"/>
  </r>
  <r>
    <s v="997c57f8-f1c1-4b92-a9ff-717d6df18df6"/>
    <n v="57"/>
    <x v="4"/>
    <x v="0"/>
    <x v="2"/>
    <n v="6.14"/>
    <n v="29"/>
    <x v="2"/>
    <x v="3"/>
    <n v="8.99"/>
    <x v="0"/>
    <x v="3"/>
    <n v="2"/>
    <n v="0.2"/>
    <x v="5"/>
  </r>
  <r>
    <s v="4a42dedb-08aa-4609-84cf-5b06eae21153"/>
    <n v="56"/>
    <x v="4"/>
    <x v="1"/>
    <x v="1"/>
    <n v="13.15"/>
    <n v="6"/>
    <x v="3"/>
    <x v="2"/>
    <n v="17.989999999999998"/>
    <x v="0"/>
    <x v="2"/>
    <n v="2"/>
    <n v="1.88"/>
    <x v="2"/>
  </r>
  <r>
    <s v="101e7c6b-4f18-42d0-9626-5f5fd3bbd2e7"/>
    <n v="62"/>
    <x v="4"/>
    <x v="0"/>
    <x v="1"/>
    <n v="4.34"/>
    <n v="45"/>
    <x v="3"/>
    <x v="3"/>
    <n v="17.989999999999998"/>
    <x v="1"/>
    <x v="4"/>
    <n v="3"/>
    <n v="0.09"/>
    <x v="0"/>
  </r>
  <r>
    <s v="0dc3af4d-e69a-4efc-ab80-757bf616d4b7"/>
    <n v="55"/>
    <x v="4"/>
    <x v="1"/>
    <x v="0"/>
    <n v="11.62"/>
    <n v="51"/>
    <x v="2"/>
    <x v="3"/>
    <n v="13.99"/>
    <x v="0"/>
    <x v="3"/>
    <n v="4"/>
    <n v="0.22"/>
    <x v="5"/>
  </r>
  <r>
    <s v="ef94ff72-ab34-4be0-9fdb-525daa2c114c"/>
    <n v="60"/>
    <x v="4"/>
    <x v="2"/>
    <x v="2"/>
    <n v="20.83"/>
    <n v="43"/>
    <x v="1"/>
    <x v="2"/>
    <n v="8.99"/>
    <x v="1"/>
    <x v="4"/>
    <n v="5"/>
    <n v="0.47"/>
    <x v="5"/>
  </r>
  <r>
    <s v="6c5c94d3-ceba-42ba-8361-235b50a755d9"/>
    <n v="66"/>
    <x v="4"/>
    <x v="1"/>
    <x v="2"/>
    <n v="21.29"/>
    <n v="7"/>
    <x v="3"/>
    <x v="4"/>
    <n v="8.99"/>
    <x v="0"/>
    <x v="0"/>
    <n v="5"/>
    <n v="2.66"/>
    <x v="4"/>
  </r>
  <r>
    <s v="0e3bcd74-c73f-4979-a929-487d0ee88e20"/>
    <n v="63"/>
    <x v="4"/>
    <x v="0"/>
    <x v="0"/>
    <n v="41.15"/>
    <n v="9"/>
    <x v="2"/>
    <x v="1"/>
    <n v="13.99"/>
    <x v="0"/>
    <x v="3"/>
    <n v="2"/>
    <n v="4.12"/>
    <x v="4"/>
  </r>
  <r>
    <s v="5db9fb65-b73d-48b1-b112-619d9ff3cbac"/>
    <n v="62"/>
    <x v="4"/>
    <x v="1"/>
    <x v="0"/>
    <n v="11.96"/>
    <n v="48"/>
    <x v="5"/>
    <x v="4"/>
    <n v="13.99"/>
    <x v="1"/>
    <x v="4"/>
    <n v="3"/>
    <n v="0.24"/>
    <x v="0"/>
  </r>
  <r>
    <s v="5db1bdfc-a507-4f07-baad-908aeb6de81a"/>
    <n v="57"/>
    <x v="4"/>
    <x v="1"/>
    <x v="1"/>
    <n v="0.97"/>
    <n v="52"/>
    <x v="3"/>
    <x v="3"/>
    <n v="17.989999999999998"/>
    <x v="1"/>
    <x v="2"/>
    <n v="1"/>
    <n v="0.02"/>
    <x v="0"/>
  </r>
  <r>
    <s v="ff81933a-fb48-42d3-9358-c1aba9255e95"/>
    <n v="68"/>
    <x v="4"/>
    <x v="0"/>
    <x v="0"/>
    <n v="0.34"/>
    <n v="41"/>
    <x v="4"/>
    <x v="2"/>
    <n v="13.99"/>
    <x v="1"/>
    <x v="3"/>
    <n v="4"/>
    <n v="0.01"/>
    <x v="3"/>
  </r>
  <r>
    <s v="901270ae-4cad-4cb8-b501-fa015ea5c5f3"/>
    <n v="61"/>
    <x v="4"/>
    <x v="2"/>
    <x v="2"/>
    <n v="47.74"/>
    <n v="56"/>
    <x v="1"/>
    <x v="2"/>
    <n v="8.99"/>
    <x v="0"/>
    <x v="0"/>
    <n v="2"/>
    <n v="0.84"/>
    <x v="5"/>
  </r>
  <r>
    <s v="cd276040-08db-4333-90c5-7b14e4af20ae"/>
    <n v="69"/>
    <x v="4"/>
    <x v="1"/>
    <x v="1"/>
    <n v="0.74"/>
    <n v="48"/>
    <x v="5"/>
    <x v="4"/>
    <n v="17.989999999999998"/>
    <x v="1"/>
    <x v="3"/>
    <n v="3"/>
    <n v="0.02"/>
    <x v="5"/>
  </r>
  <r>
    <s v="d012e665-05a5-454d-bc1c-4eb7f132dc77"/>
    <n v="64"/>
    <x v="4"/>
    <x v="2"/>
    <x v="2"/>
    <n v="1.02"/>
    <n v="16"/>
    <x v="4"/>
    <x v="0"/>
    <n v="8.99"/>
    <x v="1"/>
    <x v="4"/>
    <n v="4"/>
    <n v="0.06"/>
    <x v="6"/>
  </r>
  <r>
    <s v="5b39d054-a85a-472a-9c6b-6ca36f9c6f4c"/>
    <n v="64"/>
    <x v="4"/>
    <x v="0"/>
    <x v="1"/>
    <n v="6.71"/>
    <n v="42"/>
    <x v="4"/>
    <x v="0"/>
    <n v="17.989999999999998"/>
    <x v="0"/>
    <x v="3"/>
    <n v="5"/>
    <n v="0.16"/>
    <x v="5"/>
  </r>
  <r>
    <s v="eac45018-321f-4108-b08c-70f09651748c"/>
    <n v="62"/>
    <x v="4"/>
    <x v="0"/>
    <x v="1"/>
    <n v="4.75"/>
    <n v="0"/>
    <x v="2"/>
    <x v="2"/>
    <n v="17.989999999999998"/>
    <x v="0"/>
    <x v="4"/>
    <n v="2"/>
    <n v="4.75"/>
    <x v="1"/>
  </r>
  <r>
    <s v="c8065254-8741-4265-84d7-b72ddf02f2f5"/>
    <n v="61"/>
    <x v="4"/>
    <x v="0"/>
    <x v="0"/>
    <n v="6.53"/>
    <n v="14"/>
    <x v="0"/>
    <x v="0"/>
    <n v="13.99"/>
    <x v="0"/>
    <x v="2"/>
    <n v="3"/>
    <n v="0.44"/>
    <x v="6"/>
  </r>
  <r>
    <s v="6dc6596e-60e8-414b-a3b5-c2bca64bb68f"/>
    <n v="63"/>
    <x v="4"/>
    <x v="0"/>
    <x v="0"/>
    <n v="16.91"/>
    <n v="20"/>
    <x v="4"/>
    <x v="3"/>
    <n v="13.99"/>
    <x v="0"/>
    <x v="4"/>
    <n v="1"/>
    <n v="0.81"/>
    <x v="2"/>
  </r>
  <r>
    <s v="7ad15795-15cf-443a-9272-439388f8af25"/>
    <n v="56"/>
    <x v="4"/>
    <x v="0"/>
    <x v="1"/>
    <n v="24.68"/>
    <n v="9"/>
    <x v="1"/>
    <x v="2"/>
    <n v="17.989999999999998"/>
    <x v="0"/>
    <x v="2"/>
    <n v="1"/>
    <n v="2.4700000000000002"/>
    <x v="0"/>
  </r>
  <r>
    <s v="57d8b5cf-f8ef-4b53-9b81-ce894a52f74e"/>
    <n v="59"/>
    <x v="4"/>
    <x v="0"/>
    <x v="1"/>
    <n v="16.39"/>
    <n v="40"/>
    <x v="0"/>
    <x v="1"/>
    <n v="17.989999999999998"/>
    <x v="0"/>
    <x v="1"/>
    <n v="5"/>
    <n v="0.4"/>
    <x v="2"/>
  </r>
  <r>
    <s v="4c77f75f-2b1e-4d25-b652-6047d04741d4"/>
    <n v="70"/>
    <x v="4"/>
    <x v="2"/>
    <x v="2"/>
    <n v="15.81"/>
    <n v="44"/>
    <x v="3"/>
    <x v="4"/>
    <n v="8.99"/>
    <x v="1"/>
    <x v="0"/>
    <n v="1"/>
    <n v="0.35"/>
    <x v="5"/>
  </r>
  <r>
    <s v="58b46654-4b27-4247-ba09-49536ac95586"/>
    <n v="64"/>
    <x v="4"/>
    <x v="2"/>
    <x v="0"/>
    <n v="30.64"/>
    <n v="50"/>
    <x v="2"/>
    <x v="1"/>
    <n v="13.99"/>
    <x v="0"/>
    <x v="3"/>
    <n v="3"/>
    <n v="0.6"/>
    <x v="1"/>
  </r>
  <r>
    <s v="39bad655-5f49-40ce-addd-c69cc6742a25"/>
    <n v="66"/>
    <x v="4"/>
    <x v="1"/>
    <x v="2"/>
    <n v="8.0299999999999994"/>
    <n v="7"/>
    <x v="3"/>
    <x v="2"/>
    <n v="8.99"/>
    <x v="0"/>
    <x v="0"/>
    <n v="4"/>
    <n v="1"/>
    <x v="2"/>
  </r>
  <r>
    <s v="4b8b75ad-626f-4201-aaa3-6b1c4935f342"/>
    <n v="63"/>
    <x v="4"/>
    <x v="1"/>
    <x v="1"/>
    <n v="15.63"/>
    <n v="22"/>
    <x v="2"/>
    <x v="3"/>
    <n v="17.989999999999998"/>
    <x v="0"/>
    <x v="0"/>
    <n v="2"/>
    <n v="0.68"/>
    <x v="5"/>
  </r>
  <r>
    <s v="fdd237ec-8cfb-4dc9-94a8-e378c84e1c09"/>
    <n v="57"/>
    <x v="4"/>
    <x v="2"/>
    <x v="2"/>
    <n v="12.33"/>
    <n v="4"/>
    <x v="2"/>
    <x v="3"/>
    <n v="8.99"/>
    <x v="0"/>
    <x v="0"/>
    <n v="2"/>
    <n v="2.4700000000000002"/>
    <x v="0"/>
  </r>
  <r>
    <s v="e0f60ffb-2b43-4da0-a550-7567557da37e"/>
    <n v="55"/>
    <x v="4"/>
    <x v="0"/>
    <x v="1"/>
    <n v="16.829999999999998"/>
    <n v="16"/>
    <x v="3"/>
    <x v="2"/>
    <n v="17.989999999999998"/>
    <x v="0"/>
    <x v="3"/>
    <n v="4"/>
    <n v="0.99"/>
    <x v="5"/>
  </r>
  <r>
    <s v="0a7b5a2a-3292-409a-a758-5c93b920813c"/>
    <n v="65"/>
    <x v="4"/>
    <x v="2"/>
    <x v="1"/>
    <n v="20.18"/>
    <n v="4"/>
    <x v="5"/>
    <x v="2"/>
    <n v="17.989999999999998"/>
    <x v="0"/>
    <x v="0"/>
    <n v="4"/>
    <n v="4.04"/>
    <x v="0"/>
  </r>
  <r>
    <s v="210b00a5-c07d-401b-8396-3eaba615e20f"/>
    <n v="56"/>
    <x v="4"/>
    <x v="0"/>
    <x v="1"/>
    <n v="2.98"/>
    <n v="39"/>
    <x v="1"/>
    <x v="1"/>
    <n v="17.989999999999998"/>
    <x v="1"/>
    <x v="3"/>
    <n v="3"/>
    <n v="7.0000000000000007E-2"/>
    <x v="1"/>
  </r>
  <r>
    <s v="1ad47f3a-f860-4c98-81a5-8616344abafe"/>
    <n v="62"/>
    <x v="4"/>
    <x v="2"/>
    <x v="1"/>
    <n v="29.21"/>
    <n v="1"/>
    <x v="2"/>
    <x v="2"/>
    <n v="17.989999999999998"/>
    <x v="0"/>
    <x v="4"/>
    <n v="1"/>
    <n v="14.61"/>
    <x v="5"/>
  </r>
  <r>
    <s v="5e4d2986-6750-4833-84d7-bf79f53e92ae"/>
    <n v="62"/>
    <x v="4"/>
    <x v="1"/>
    <x v="0"/>
    <n v="5.63"/>
    <n v="26"/>
    <x v="0"/>
    <x v="0"/>
    <n v="13.99"/>
    <x v="0"/>
    <x v="2"/>
    <n v="3"/>
    <n v="0.21"/>
    <x v="4"/>
  </r>
  <r>
    <s v="054bfc20-e65d-4fd8-a9d4-5cf77eefe836"/>
    <n v="58"/>
    <x v="4"/>
    <x v="2"/>
    <x v="0"/>
    <n v="2.11"/>
    <n v="5"/>
    <x v="4"/>
    <x v="0"/>
    <n v="13.99"/>
    <x v="1"/>
    <x v="2"/>
    <n v="1"/>
    <n v="0.35"/>
    <x v="3"/>
  </r>
  <r>
    <s v="9d45d604-6975-4a0c-9de6-0c1fb839c3e3"/>
    <n v="62"/>
    <x v="4"/>
    <x v="1"/>
    <x v="2"/>
    <n v="1.1599999999999999"/>
    <n v="2"/>
    <x v="2"/>
    <x v="0"/>
    <n v="8.99"/>
    <x v="1"/>
    <x v="3"/>
    <n v="2"/>
    <n v="0.39"/>
    <x v="2"/>
  </r>
  <r>
    <s v="a02d6ab0-2fda-47eb-8656-158beb0200a4"/>
    <n v="70"/>
    <x v="4"/>
    <x v="0"/>
    <x v="1"/>
    <n v="11.06"/>
    <n v="38"/>
    <x v="5"/>
    <x v="1"/>
    <n v="17.989999999999998"/>
    <x v="1"/>
    <x v="4"/>
    <n v="1"/>
    <n v="0.28000000000000003"/>
    <x v="0"/>
  </r>
  <r>
    <s v="cfd014c4-3952-4b99-b2f1-76ed56da8964"/>
    <n v="70"/>
    <x v="4"/>
    <x v="1"/>
    <x v="1"/>
    <n v="7.15"/>
    <n v="27"/>
    <x v="0"/>
    <x v="3"/>
    <n v="17.989999999999998"/>
    <x v="0"/>
    <x v="2"/>
    <n v="3"/>
    <n v="0.26"/>
    <x v="6"/>
  </r>
  <r>
    <s v="93460e1b-34b6-4586-8289-48a6f91e18fb"/>
    <n v="55"/>
    <x v="4"/>
    <x v="1"/>
    <x v="0"/>
    <n v="2.59"/>
    <n v="54"/>
    <x v="1"/>
    <x v="3"/>
    <n v="13.99"/>
    <x v="1"/>
    <x v="4"/>
    <n v="3"/>
    <n v="0.05"/>
    <x v="6"/>
  </r>
  <r>
    <s v="22cb4dd5-d158-4dd6-a49d-e8723fadc557"/>
    <n v="69"/>
    <x v="4"/>
    <x v="2"/>
    <x v="1"/>
    <n v="0.52"/>
    <n v="42"/>
    <x v="2"/>
    <x v="3"/>
    <n v="17.989999999999998"/>
    <x v="1"/>
    <x v="4"/>
    <n v="3"/>
    <n v="0.01"/>
    <x v="3"/>
  </r>
  <r>
    <s v="06b5b5a3-f995-47a2-af2f-86b9cfbb42ef"/>
    <n v="66"/>
    <x v="4"/>
    <x v="2"/>
    <x v="2"/>
    <n v="25.03"/>
    <n v="16"/>
    <x v="4"/>
    <x v="0"/>
    <n v="8.99"/>
    <x v="0"/>
    <x v="2"/>
    <n v="3"/>
    <n v="1.47"/>
    <x v="3"/>
  </r>
  <r>
    <s v="e6e1e9a3-8bb0-4ebc-a469-fc1581b6d59d"/>
    <n v="66"/>
    <x v="4"/>
    <x v="1"/>
    <x v="1"/>
    <n v="6.11"/>
    <n v="9"/>
    <x v="1"/>
    <x v="4"/>
    <n v="17.989999999999998"/>
    <x v="0"/>
    <x v="0"/>
    <n v="4"/>
    <n v="0.61"/>
    <x v="0"/>
  </r>
  <r>
    <s v="f779a2cd-cb9d-445f-b0f7-2af6c1a514c0"/>
    <n v="56"/>
    <x v="4"/>
    <x v="2"/>
    <x v="2"/>
    <n v="5.03"/>
    <n v="22"/>
    <x v="0"/>
    <x v="3"/>
    <n v="8.99"/>
    <x v="0"/>
    <x v="1"/>
    <n v="4"/>
    <n v="0.22"/>
    <x v="2"/>
  </r>
  <r>
    <s v="3406522e-fd20-4c37-aeab-1690d6b7cb51"/>
    <n v="58"/>
    <x v="4"/>
    <x v="0"/>
    <x v="0"/>
    <n v="23.39"/>
    <n v="52"/>
    <x v="0"/>
    <x v="4"/>
    <n v="13.99"/>
    <x v="0"/>
    <x v="2"/>
    <n v="1"/>
    <n v="0.44"/>
    <x v="1"/>
  </r>
  <r>
    <s v="dd3b38cd-3856-47f9-8f69-4bdf268983eb"/>
    <n v="63"/>
    <x v="4"/>
    <x v="0"/>
    <x v="1"/>
    <n v="7.04"/>
    <n v="46"/>
    <x v="1"/>
    <x v="2"/>
    <n v="17.989999999999998"/>
    <x v="1"/>
    <x v="4"/>
    <n v="4"/>
    <n v="0.15"/>
    <x v="4"/>
  </r>
  <r>
    <s v="746cb060-c9f1-432e-91cc-cb1b57ddb1c0"/>
    <n v="66"/>
    <x v="4"/>
    <x v="2"/>
    <x v="1"/>
    <n v="32.06"/>
    <n v="51"/>
    <x v="0"/>
    <x v="3"/>
    <n v="17.989999999999998"/>
    <x v="0"/>
    <x v="1"/>
    <n v="4"/>
    <n v="0.62"/>
    <x v="0"/>
  </r>
  <r>
    <s v="a756e8d5-a9c2-4520-8f06-1e13159bd0c0"/>
    <n v="66"/>
    <x v="4"/>
    <x v="1"/>
    <x v="0"/>
    <n v="0.77"/>
    <n v="36"/>
    <x v="3"/>
    <x v="0"/>
    <n v="13.99"/>
    <x v="1"/>
    <x v="0"/>
    <n v="4"/>
    <n v="0.02"/>
    <x v="0"/>
  </r>
  <r>
    <s v="7514941b-007c-44ea-90ee-4ae0690f013d"/>
    <n v="56"/>
    <x v="4"/>
    <x v="2"/>
    <x v="0"/>
    <n v="2.95"/>
    <n v="52"/>
    <x v="1"/>
    <x v="4"/>
    <n v="13.99"/>
    <x v="1"/>
    <x v="4"/>
    <n v="1"/>
    <n v="0.06"/>
    <x v="0"/>
  </r>
  <r>
    <s v="c16c6ac0-11d2-496c-b9a3-2117f5d8e0db"/>
    <n v="62"/>
    <x v="4"/>
    <x v="2"/>
    <x v="0"/>
    <n v="3.02"/>
    <n v="16"/>
    <x v="1"/>
    <x v="0"/>
    <n v="13.99"/>
    <x v="1"/>
    <x v="1"/>
    <n v="2"/>
    <n v="0.18"/>
    <x v="0"/>
  </r>
  <r>
    <s v="34e13cb5-2657-4148-ac24-be078c809d92"/>
    <n v="67"/>
    <x v="4"/>
    <x v="0"/>
    <x v="1"/>
    <n v="2.02"/>
    <n v="52"/>
    <x v="5"/>
    <x v="2"/>
    <n v="17.989999999999998"/>
    <x v="1"/>
    <x v="3"/>
    <n v="2"/>
    <n v="0.04"/>
    <x v="3"/>
  </r>
  <r>
    <s v="d89f54d3-882d-4cfc-96c5-b5f0ddbb9915"/>
    <n v="57"/>
    <x v="4"/>
    <x v="0"/>
    <x v="1"/>
    <n v="4.3899999999999997"/>
    <n v="60"/>
    <x v="4"/>
    <x v="0"/>
    <n v="17.989999999999998"/>
    <x v="1"/>
    <x v="0"/>
    <n v="3"/>
    <n v="7.0000000000000007E-2"/>
    <x v="2"/>
  </r>
  <r>
    <s v="ed93decf-e627-4873-a2f9-8b6bf0d7dce3"/>
    <n v="60"/>
    <x v="4"/>
    <x v="0"/>
    <x v="2"/>
    <n v="1.07"/>
    <n v="3"/>
    <x v="5"/>
    <x v="4"/>
    <n v="8.99"/>
    <x v="1"/>
    <x v="2"/>
    <n v="3"/>
    <n v="0.27"/>
    <x v="4"/>
  </r>
  <r>
    <s v="bd27bcd3-feaa-4a06-a98f-c4f3d61de505"/>
    <n v="66"/>
    <x v="4"/>
    <x v="1"/>
    <x v="1"/>
    <n v="1.85"/>
    <n v="57"/>
    <x v="2"/>
    <x v="4"/>
    <n v="17.989999999999998"/>
    <x v="1"/>
    <x v="1"/>
    <n v="3"/>
    <n v="0.03"/>
    <x v="3"/>
  </r>
  <r>
    <s v="ab1d244f-8750-47b1-8a61-cf8bce66c0fb"/>
    <n v="58"/>
    <x v="4"/>
    <x v="0"/>
    <x v="0"/>
    <n v="2.4"/>
    <n v="11"/>
    <x v="4"/>
    <x v="2"/>
    <n v="13.99"/>
    <x v="0"/>
    <x v="3"/>
    <n v="5"/>
    <n v="0.2"/>
    <x v="5"/>
  </r>
  <r>
    <s v="31e1a27e-d7f3-48a6-b560-60963b7ae366"/>
    <n v="60"/>
    <x v="4"/>
    <x v="2"/>
    <x v="1"/>
    <n v="8.42"/>
    <n v="59"/>
    <x v="4"/>
    <x v="2"/>
    <n v="17.989999999999998"/>
    <x v="1"/>
    <x v="1"/>
    <n v="2"/>
    <n v="0.14000000000000001"/>
    <x v="6"/>
  </r>
  <r>
    <s v="bb3dc1e7-e1f4-4010-b227-3af57309c626"/>
    <n v="65"/>
    <x v="4"/>
    <x v="0"/>
    <x v="0"/>
    <n v="2.75"/>
    <n v="36"/>
    <x v="1"/>
    <x v="1"/>
    <n v="13.99"/>
    <x v="1"/>
    <x v="3"/>
    <n v="2"/>
    <n v="7.0000000000000007E-2"/>
    <x v="4"/>
  </r>
  <r>
    <s v="6c369c84-7138-451a-98d8-8dd3d2d2b4f2"/>
    <n v="58"/>
    <x v="4"/>
    <x v="0"/>
    <x v="1"/>
    <n v="13.35"/>
    <n v="18"/>
    <x v="2"/>
    <x v="0"/>
    <n v="17.989999999999998"/>
    <x v="0"/>
    <x v="2"/>
    <n v="5"/>
    <n v="0.7"/>
    <x v="6"/>
  </r>
  <r>
    <s v="38d00f7e-c7ba-4cd5-b1fd-fd704cb0502d"/>
    <n v="56"/>
    <x v="4"/>
    <x v="0"/>
    <x v="0"/>
    <n v="23.82"/>
    <n v="55"/>
    <x v="2"/>
    <x v="1"/>
    <n v="13.99"/>
    <x v="0"/>
    <x v="1"/>
    <n v="5"/>
    <n v="0.43"/>
    <x v="5"/>
  </r>
  <r>
    <s v="18e0afd1-09c2-4c33-8069-4f2aff4d1f3d"/>
    <n v="70"/>
    <x v="4"/>
    <x v="1"/>
    <x v="1"/>
    <n v="13.11"/>
    <n v="59"/>
    <x v="3"/>
    <x v="1"/>
    <n v="17.989999999999998"/>
    <x v="1"/>
    <x v="4"/>
    <n v="2"/>
    <n v="0.22"/>
    <x v="0"/>
  </r>
  <r>
    <s v="1059ec7d-1182-4b81-98fc-3fa73374a98f"/>
    <n v="70"/>
    <x v="4"/>
    <x v="1"/>
    <x v="2"/>
    <n v="4.88"/>
    <n v="9"/>
    <x v="1"/>
    <x v="0"/>
    <n v="8.99"/>
    <x v="1"/>
    <x v="3"/>
    <n v="1"/>
    <n v="0.49"/>
    <x v="0"/>
  </r>
  <r>
    <s v="eb0cd898-3b91-46fc-9d23-8bb53d4297c4"/>
    <n v="56"/>
    <x v="4"/>
    <x v="2"/>
    <x v="1"/>
    <n v="8.1999999999999993"/>
    <n v="19"/>
    <x v="1"/>
    <x v="0"/>
    <n v="17.989999999999998"/>
    <x v="0"/>
    <x v="3"/>
    <n v="2"/>
    <n v="0.41"/>
    <x v="1"/>
  </r>
  <r>
    <s v="021af9d9-2fff-4a33-b2c4-710ad6f3f85c"/>
    <n v="64"/>
    <x v="4"/>
    <x v="1"/>
    <x v="2"/>
    <n v="4.8"/>
    <n v="46"/>
    <x v="5"/>
    <x v="1"/>
    <n v="8.99"/>
    <x v="1"/>
    <x v="2"/>
    <n v="1"/>
    <n v="0.1"/>
    <x v="4"/>
  </r>
  <r>
    <s v="70b0ba0c-2333-4ae5-9860-ec22b91ffc93"/>
    <n v="61"/>
    <x v="4"/>
    <x v="1"/>
    <x v="0"/>
    <n v="3.49"/>
    <n v="23"/>
    <x v="4"/>
    <x v="1"/>
    <n v="13.99"/>
    <x v="1"/>
    <x v="1"/>
    <n v="1"/>
    <n v="0.15"/>
    <x v="4"/>
  </r>
  <r>
    <s v="53ce20da-acf5-45f6-bb0c-958c360dbad6"/>
    <n v="70"/>
    <x v="4"/>
    <x v="1"/>
    <x v="1"/>
    <n v="9.1300000000000008"/>
    <n v="50"/>
    <x v="2"/>
    <x v="1"/>
    <n v="17.989999999999998"/>
    <x v="1"/>
    <x v="1"/>
    <n v="3"/>
    <n v="0.18"/>
    <x v="2"/>
  </r>
  <r>
    <s v="193ffca7-6d19-4f3c-85e5-9e8b9f7e160e"/>
    <n v="62"/>
    <x v="4"/>
    <x v="2"/>
    <x v="1"/>
    <n v="0.28000000000000003"/>
    <n v="21"/>
    <x v="5"/>
    <x v="4"/>
    <n v="17.989999999999998"/>
    <x v="0"/>
    <x v="3"/>
    <n v="5"/>
    <n v="0.01"/>
    <x v="3"/>
  </r>
  <r>
    <s v="fbbbb16f-2d7f-4b68-b601-13da986cdcef"/>
    <n v="63"/>
    <x v="4"/>
    <x v="2"/>
    <x v="1"/>
    <n v="32.75"/>
    <n v="30"/>
    <x v="2"/>
    <x v="3"/>
    <n v="17.989999999999998"/>
    <x v="0"/>
    <x v="2"/>
    <n v="1"/>
    <n v="1.06"/>
    <x v="2"/>
  </r>
  <r>
    <s v="16359306-8225-4f9c-a0f6-446f18067c00"/>
    <n v="62"/>
    <x v="4"/>
    <x v="0"/>
    <x v="1"/>
    <n v="1.1200000000000001"/>
    <n v="43"/>
    <x v="0"/>
    <x v="0"/>
    <n v="17.989999999999998"/>
    <x v="1"/>
    <x v="4"/>
    <n v="4"/>
    <n v="0.03"/>
    <x v="1"/>
  </r>
  <r>
    <s v="46e95e2c-14c7-45ef-a0a8-b5f76f9e5d75"/>
    <n v="58"/>
    <x v="4"/>
    <x v="0"/>
    <x v="2"/>
    <n v="3.57"/>
    <n v="20"/>
    <x v="4"/>
    <x v="1"/>
    <n v="8.99"/>
    <x v="1"/>
    <x v="4"/>
    <n v="2"/>
    <n v="0.17"/>
    <x v="5"/>
  </r>
  <r>
    <s v="2d1ea53f-d9bb-453f-b8be-88dfc36df0a3"/>
    <n v="59"/>
    <x v="4"/>
    <x v="2"/>
    <x v="0"/>
    <n v="7.52"/>
    <n v="0"/>
    <x v="1"/>
    <x v="0"/>
    <n v="13.99"/>
    <x v="0"/>
    <x v="3"/>
    <n v="4"/>
    <n v="7.52"/>
    <x v="3"/>
  </r>
  <r>
    <s v="a5ecf5f2-452b-4dcd-873b-342c6094c012"/>
    <n v="59"/>
    <x v="4"/>
    <x v="1"/>
    <x v="2"/>
    <n v="20.13"/>
    <n v="6"/>
    <x v="3"/>
    <x v="2"/>
    <n v="8.99"/>
    <x v="0"/>
    <x v="2"/>
    <n v="1"/>
    <n v="2.88"/>
    <x v="0"/>
  </r>
  <r>
    <s v="b88b733e-5ac8-46f5-9137-05b8f9e59898"/>
    <n v="57"/>
    <x v="4"/>
    <x v="2"/>
    <x v="0"/>
    <n v="0.15"/>
    <n v="39"/>
    <x v="3"/>
    <x v="4"/>
    <n v="13.99"/>
    <x v="1"/>
    <x v="1"/>
    <n v="3"/>
    <n v="0"/>
    <x v="1"/>
  </r>
  <r>
    <s v="57e7b754-6ed5-43f6-804d-140bef82a2d7"/>
    <n v="66"/>
    <x v="4"/>
    <x v="0"/>
    <x v="2"/>
    <n v="0.27"/>
    <n v="40"/>
    <x v="3"/>
    <x v="1"/>
    <n v="8.99"/>
    <x v="1"/>
    <x v="2"/>
    <n v="1"/>
    <n v="0.01"/>
    <x v="6"/>
  </r>
  <r>
    <s v="276c1104-d5fd-4930-8d5d-35956891c4fb"/>
    <n v="68"/>
    <x v="4"/>
    <x v="0"/>
    <x v="2"/>
    <n v="0.27"/>
    <n v="4"/>
    <x v="5"/>
    <x v="4"/>
    <n v="8.99"/>
    <x v="1"/>
    <x v="0"/>
    <n v="2"/>
    <n v="0.05"/>
    <x v="2"/>
  </r>
  <r>
    <s v="b985d6de-295a-4ecd-9353-4e9357c6c9dc"/>
    <n v="68"/>
    <x v="4"/>
    <x v="1"/>
    <x v="1"/>
    <n v="1.66"/>
    <n v="42"/>
    <x v="4"/>
    <x v="2"/>
    <n v="17.989999999999998"/>
    <x v="1"/>
    <x v="4"/>
    <n v="4"/>
    <n v="0.04"/>
    <x v="5"/>
  </r>
  <r>
    <s v="cb415cf6-759a-40bc-873b-1abec0c9b5ec"/>
    <n v="62"/>
    <x v="4"/>
    <x v="1"/>
    <x v="2"/>
    <n v="15.54"/>
    <n v="51"/>
    <x v="0"/>
    <x v="2"/>
    <n v="8.99"/>
    <x v="1"/>
    <x v="3"/>
    <n v="4"/>
    <n v="0.3"/>
    <x v="6"/>
  </r>
  <r>
    <s v="7f047317-dfff-44b6-b4fc-4d3b7493da6b"/>
    <n v="66"/>
    <x v="4"/>
    <x v="1"/>
    <x v="2"/>
    <n v="5.33"/>
    <n v="36"/>
    <x v="3"/>
    <x v="2"/>
    <n v="8.99"/>
    <x v="1"/>
    <x v="2"/>
    <n v="2"/>
    <n v="0.14000000000000001"/>
    <x v="4"/>
  </r>
  <r>
    <s v="6f47f4c7-63e3-49c7-8e37-bbb0af66e9eb"/>
    <n v="60"/>
    <x v="4"/>
    <x v="2"/>
    <x v="0"/>
    <n v="36.159999999999997"/>
    <n v="42"/>
    <x v="4"/>
    <x v="0"/>
    <n v="13.99"/>
    <x v="0"/>
    <x v="4"/>
    <n v="5"/>
    <n v="0.84"/>
    <x v="0"/>
  </r>
  <r>
    <s v="f18bb534-3003-4858-95d7-fdf908fc7432"/>
    <n v="64"/>
    <x v="4"/>
    <x v="2"/>
    <x v="2"/>
    <n v="0.27"/>
    <n v="49"/>
    <x v="2"/>
    <x v="2"/>
    <n v="8.99"/>
    <x v="1"/>
    <x v="0"/>
    <n v="4"/>
    <n v="0.01"/>
    <x v="2"/>
  </r>
  <r>
    <s v="8f74fb47-9bcc-4ec6-a9d8-5e795ef2235d"/>
    <n v="60"/>
    <x v="4"/>
    <x v="0"/>
    <x v="1"/>
    <n v="12.6"/>
    <n v="33"/>
    <x v="1"/>
    <x v="3"/>
    <n v="17.989999999999998"/>
    <x v="1"/>
    <x v="4"/>
    <n v="2"/>
    <n v="0.37"/>
    <x v="6"/>
  </r>
  <r>
    <s v="60fbb4af-309d-4a37-93b2-20c05286ac2f"/>
    <n v="60"/>
    <x v="4"/>
    <x v="1"/>
    <x v="0"/>
    <n v="0.62"/>
    <n v="48"/>
    <x v="3"/>
    <x v="0"/>
    <n v="13.99"/>
    <x v="1"/>
    <x v="0"/>
    <n v="4"/>
    <n v="0.01"/>
    <x v="5"/>
  </r>
  <r>
    <s v="658cf3cd-4370-4794-8745-77395b791c00"/>
    <n v="58"/>
    <x v="4"/>
    <x v="0"/>
    <x v="0"/>
    <n v="5.63"/>
    <n v="4"/>
    <x v="3"/>
    <x v="0"/>
    <n v="13.99"/>
    <x v="0"/>
    <x v="4"/>
    <n v="5"/>
    <n v="1.1299999999999999"/>
    <x v="5"/>
  </r>
  <r>
    <s v="609e52d2-62e8-428d-b9fa-f2fb77dd62cb"/>
    <n v="65"/>
    <x v="4"/>
    <x v="0"/>
    <x v="0"/>
    <n v="34.39"/>
    <n v="19"/>
    <x v="0"/>
    <x v="0"/>
    <n v="13.99"/>
    <x v="0"/>
    <x v="2"/>
    <n v="3"/>
    <n v="1.72"/>
    <x v="4"/>
  </r>
  <r>
    <s v="aaa3844f-e33c-4ea6-b92d-35a5ceec248a"/>
    <n v="67"/>
    <x v="4"/>
    <x v="2"/>
    <x v="2"/>
    <n v="1.74"/>
    <n v="4"/>
    <x v="1"/>
    <x v="2"/>
    <n v="8.99"/>
    <x v="1"/>
    <x v="4"/>
    <n v="2"/>
    <n v="0.35"/>
    <x v="3"/>
  </r>
  <r>
    <s v="3cdce0fe-8109-4092-9d06-4746c152516c"/>
    <n v="68"/>
    <x v="4"/>
    <x v="0"/>
    <x v="1"/>
    <n v="13.41"/>
    <n v="35"/>
    <x v="4"/>
    <x v="2"/>
    <n v="17.989999999999998"/>
    <x v="1"/>
    <x v="0"/>
    <n v="1"/>
    <n v="0.37"/>
    <x v="3"/>
  </r>
  <r>
    <s v="e07c609b-0ad2-4f99-bc35-b91288003b2e"/>
    <n v="61"/>
    <x v="4"/>
    <x v="0"/>
    <x v="1"/>
    <n v="54.86"/>
    <n v="27"/>
    <x v="3"/>
    <x v="2"/>
    <n v="17.989999999999998"/>
    <x v="0"/>
    <x v="4"/>
    <n v="2"/>
    <n v="1.96"/>
    <x v="5"/>
  </r>
  <r>
    <s v="6928de64-4465-4a01-9208-9597cdf58bf8"/>
    <n v="56"/>
    <x v="4"/>
    <x v="2"/>
    <x v="2"/>
    <n v="3.29"/>
    <n v="58"/>
    <x v="1"/>
    <x v="2"/>
    <n v="8.99"/>
    <x v="1"/>
    <x v="1"/>
    <n v="1"/>
    <n v="0.06"/>
    <x v="3"/>
  </r>
  <r>
    <s v="d1bae981-3ea1-432e-b791-65c33a5310cc"/>
    <n v="68"/>
    <x v="4"/>
    <x v="1"/>
    <x v="2"/>
    <n v="2.2799999999999998"/>
    <n v="60"/>
    <x v="4"/>
    <x v="4"/>
    <n v="8.99"/>
    <x v="1"/>
    <x v="1"/>
    <n v="2"/>
    <n v="0.04"/>
    <x v="5"/>
  </r>
  <r>
    <s v="01c5033b-b19f-4074-a2c2-a1ece7235af7"/>
    <n v="59"/>
    <x v="4"/>
    <x v="0"/>
    <x v="0"/>
    <n v="5.26"/>
    <n v="5"/>
    <x v="3"/>
    <x v="1"/>
    <n v="13.99"/>
    <x v="0"/>
    <x v="0"/>
    <n v="1"/>
    <n v="0.88"/>
    <x v="5"/>
  </r>
  <r>
    <s v="1f9510bb-4838-49ae-83dd-4331a0f59f22"/>
    <n v="66"/>
    <x v="4"/>
    <x v="1"/>
    <x v="0"/>
    <n v="29.93"/>
    <n v="46"/>
    <x v="3"/>
    <x v="2"/>
    <n v="13.99"/>
    <x v="0"/>
    <x v="2"/>
    <n v="5"/>
    <n v="0.64"/>
    <x v="6"/>
  </r>
  <r>
    <s v="acee18e9-c039-434c-9c7b-8a2bb81bf19f"/>
    <n v="58"/>
    <x v="4"/>
    <x v="0"/>
    <x v="1"/>
    <n v="4.41"/>
    <n v="39"/>
    <x v="5"/>
    <x v="1"/>
    <n v="17.989999999999998"/>
    <x v="1"/>
    <x v="3"/>
    <n v="5"/>
    <n v="0.11"/>
    <x v="5"/>
  </r>
  <r>
    <s v="786dbd2b-3739-4c1b-946b-6c101f827832"/>
    <n v="61"/>
    <x v="4"/>
    <x v="0"/>
    <x v="2"/>
    <n v="6.52"/>
    <n v="26"/>
    <x v="3"/>
    <x v="0"/>
    <n v="8.99"/>
    <x v="0"/>
    <x v="2"/>
    <n v="4"/>
    <n v="0.24"/>
    <x v="2"/>
  </r>
  <r>
    <s v="a300bc71-2231-406c-953c-92a9a5ecbd89"/>
    <n v="57"/>
    <x v="4"/>
    <x v="2"/>
    <x v="1"/>
    <n v="4.08"/>
    <n v="27"/>
    <x v="1"/>
    <x v="0"/>
    <n v="17.989999999999998"/>
    <x v="1"/>
    <x v="2"/>
    <n v="1"/>
    <n v="0.15"/>
    <x v="2"/>
  </r>
  <r>
    <s v="d66b7151-9251-4e63-8bac-8784764de25b"/>
    <n v="64"/>
    <x v="4"/>
    <x v="1"/>
    <x v="2"/>
    <n v="3.84"/>
    <n v="38"/>
    <x v="3"/>
    <x v="4"/>
    <n v="8.99"/>
    <x v="1"/>
    <x v="2"/>
    <n v="1"/>
    <n v="0.1"/>
    <x v="5"/>
  </r>
  <r>
    <s v="e2acf824-f42f-4e3b-b767-2d1a38910ce4"/>
    <n v="61"/>
    <x v="4"/>
    <x v="2"/>
    <x v="0"/>
    <n v="6.79"/>
    <n v="16"/>
    <x v="0"/>
    <x v="3"/>
    <n v="13.99"/>
    <x v="0"/>
    <x v="4"/>
    <n v="5"/>
    <n v="0.4"/>
    <x v="1"/>
  </r>
  <r>
    <s v="c9a4793a-ad86-4111-9021-3b66af99fbfb"/>
    <n v="68"/>
    <x v="4"/>
    <x v="1"/>
    <x v="2"/>
    <n v="2.48"/>
    <n v="0"/>
    <x v="0"/>
    <x v="4"/>
    <n v="8.99"/>
    <x v="0"/>
    <x v="2"/>
    <n v="3"/>
    <n v="2.48"/>
    <x v="2"/>
  </r>
  <r>
    <s v="704af732-4f2c-47bd-8005-51eaee71c3bb"/>
    <n v="59"/>
    <x v="4"/>
    <x v="1"/>
    <x v="1"/>
    <n v="1.1200000000000001"/>
    <n v="13"/>
    <x v="4"/>
    <x v="4"/>
    <n v="17.989999999999998"/>
    <x v="1"/>
    <x v="0"/>
    <n v="2"/>
    <n v="0.08"/>
    <x v="0"/>
  </r>
  <r>
    <s v="02629028-5476-4dad-b44b-0c284f757874"/>
    <n v="56"/>
    <x v="4"/>
    <x v="0"/>
    <x v="2"/>
    <n v="2.23"/>
    <n v="26"/>
    <x v="3"/>
    <x v="4"/>
    <n v="8.99"/>
    <x v="1"/>
    <x v="2"/>
    <n v="5"/>
    <n v="0.08"/>
    <x v="5"/>
  </r>
  <r>
    <s v="beba695f-a5c0-4418-a080-59fc806ea0c6"/>
    <n v="58"/>
    <x v="4"/>
    <x v="1"/>
    <x v="2"/>
    <n v="6.01"/>
    <n v="12"/>
    <x v="4"/>
    <x v="3"/>
    <n v="8.99"/>
    <x v="0"/>
    <x v="1"/>
    <n v="2"/>
    <n v="0.46"/>
    <x v="1"/>
  </r>
  <r>
    <s v="722ad842-9f84-4f22-ba03-ec58ac6c23da"/>
    <n v="65"/>
    <x v="4"/>
    <x v="1"/>
    <x v="1"/>
    <n v="2.42"/>
    <n v="48"/>
    <x v="3"/>
    <x v="3"/>
    <n v="17.989999999999998"/>
    <x v="1"/>
    <x v="4"/>
    <n v="2"/>
    <n v="0.05"/>
    <x v="1"/>
  </r>
  <r>
    <s v="2d92d684-bf9c-4dbf-a3ee-f28d0a610007"/>
    <n v="57"/>
    <x v="4"/>
    <x v="1"/>
    <x v="1"/>
    <n v="10.029999999999999"/>
    <n v="21"/>
    <x v="3"/>
    <x v="4"/>
    <n v="17.989999999999998"/>
    <x v="0"/>
    <x v="2"/>
    <n v="2"/>
    <n v="0.46"/>
    <x v="2"/>
  </r>
  <r>
    <s v="32f4e267-4894-4705-9abb-d834e5c51501"/>
    <n v="65"/>
    <x v="4"/>
    <x v="1"/>
    <x v="1"/>
    <n v="0.47"/>
    <n v="25"/>
    <x v="0"/>
    <x v="0"/>
    <n v="17.989999999999998"/>
    <x v="1"/>
    <x v="1"/>
    <n v="3"/>
    <n v="0.02"/>
    <x v="0"/>
  </r>
  <r>
    <s v="ad8ed552-77c0-494b-a820-0ff9eb72124d"/>
    <n v="60"/>
    <x v="4"/>
    <x v="1"/>
    <x v="2"/>
    <n v="9.7100000000000009"/>
    <n v="46"/>
    <x v="4"/>
    <x v="4"/>
    <n v="8.99"/>
    <x v="1"/>
    <x v="1"/>
    <n v="5"/>
    <n v="0.21"/>
    <x v="3"/>
  </r>
  <r>
    <s v="cc89e609-6ccc-496f-b4ae-de53496d3706"/>
    <n v="57"/>
    <x v="4"/>
    <x v="1"/>
    <x v="0"/>
    <n v="31.69"/>
    <n v="18"/>
    <x v="1"/>
    <x v="2"/>
    <n v="13.99"/>
    <x v="0"/>
    <x v="3"/>
    <n v="4"/>
    <n v="1.67"/>
    <x v="6"/>
  </r>
  <r>
    <s v="b86bed59-f60a-4ad4-ad4d-1011bda4d143"/>
    <n v="62"/>
    <x v="4"/>
    <x v="0"/>
    <x v="1"/>
    <n v="5.32"/>
    <n v="6"/>
    <x v="0"/>
    <x v="1"/>
    <n v="17.989999999999998"/>
    <x v="0"/>
    <x v="1"/>
    <n v="5"/>
    <n v="0.76"/>
    <x v="0"/>
  </r>
  <r>
    <s v="f0f2e301-21e8-4b5c-9b1a-69e650630e83"/>
    <n v="55"/>
    <x v="4"/>
    <x v="0"/>
    <x v="1"/>
    <n v="12.82"/>
    <n v="47"/>
    <x v="2"/>
    <x v="2"/>
    <n v="17.989999999999998"/>
    <x v="1"/>
    <x v="4"/>
    <n v="3"/>
    <n v="0.27"/>
    <x v="2"/>
  </r>
  <r>
    <s v="2d60c768-c50a-462f-bcbf-e0d5a7715a9c"/>
    <n v="70"/>
    <x v="4"/>
    <x v="0"/>
    <x v="2"/>
    <n v="12.97"/>
    <n v="34"/>
    <x v="2"/>
    <x v="1"/>
    <n v="8.99"/>
    <x v="1"/>
    <x v="4"/>
    <n v="5"/>
    <n v="0.37"/>
    <x v="3"/>
  </r>
  <r>
    <s v="29f0d261-6fb7-4413-9e1b-e93d45e073bc"/>
    <n v="59"/>
    <x v="4"/>
    <x v="2"/>
    <x v="0"/>
    <n v="22.89"/>
    <n v="38"/>
    <x v="3"/>
    <x v="0"/>
    <n v="13.99"/>
    <x v="0"/>
    <x v="3"/>
    <n v="4"/>
    <n v="0.59"/>
    <x v="3"/>
  </r>
  <r>
    <s v="91b43c76-8109-4310-9b77-70ff596e5237"/>
    <n v="70"/>
    <x v="4"/>
    <x v="0"/>
    <x v="2"/>
    <n v="20.64"/>
    <n v="34"/>
    <x v="3"/>
    <x v="2"/>
    <n v="8.99"/>
    <x v="1"/>
    <x v="0"/>
    <n v="1"/>
    <n v="0.59"/>
    <x v="6"/>
  </r>
  <r>
    <s v="f7ef1fac-89a3-46ec-856c-daadc20d6e44"/>
    <n v="66"/>
    <x v="4"/>
    <x v="2"/>
    <x v="0"/>
    <n v="3.11"/>
    <n v="3"/>
    <x v="3"/>
    <x v="0"/>
    <n v="13.99"/>
    <x v="0"/>
    <x v="3"/>
    <n v="3"/>
    <n v="0.78"/>
    <x v="1"/>
  </r>
  <r>
    <s v="9b063e64-9ae5-4e10-8b25-04d7859ac28c"/>
    <n v="68"/>
    <x v="4"/>
    <x v="2"/>
    <x v="2"/>
    <n v="5.37"/>
    <n v="49"/>
    <x v="1"/>
    <x v="3"/>
    <n v="8.99"/>
    <x v="1"/>
    <x v="1"/>
    <n v="3"/>
    <n v="0.11"/>
    <x v="5"/>
  </r>
  <r>
    <s v="88316c46-ce49-4f56-bed6-ac68ea711acf"/>
    <n v="58"/>
    <x v="4"/>
    <x v="1"/>
    <x v="1"/>
    <n v="2.75"/>
    <n v="8"/>
    <x v="2"/>
    <x v="1"/>
    <n v="17.989999999999998"/>
    <x v="0"/>
    <x v="3"/>
    <n v="4"/>
    <n v="0.31"/>
    <x v="5"/>
  </r>
  <r>
    <s v="301cb0ea-848e-4782-926b-70a7042cd3b8"/>
    <n v="58"/>
    <x v="4"/>
    <x v="2"/>
    <x v="1"/>
    <n v="6.28"/>
    <n v="4"/>
    <x v="1"/>
    <x v="4"/>
    <n v="17.989999999999998"/>
    <x v="0"/>
    <x v="1"/>
    <n v="4"/>
    <n v="1.26"/>
    <x v="0"/>
  </r>
  <r>
    <s v="1aa2e994-3eb1-4bd3-88e9-1aa4c4aab306"/>
    <n v="70"/>
    <x v="4"/>
    <x v="2"/>
    <x v="2"/>
    <n v="1.24"/>
    <n v="29"/>
    <x v="5"/>
    <x v="1"/>
    <n v="8.99"/>
    <x v="1"/>
    <x v="3"/>
    <n v="1"/>
    <n v="0.04"/>
    <x v="2"/>
  </r>
  <r>
    <s v="24e4bd86-3468-4e68-befb-bd4b6a6676a9"/>
    <n v="58"/>
    <x v="4"/>
    <x v="1"/>
    <x v="2"/>
    <n v="14.3"/>
    <n v="43"/>
    <x v="2"/>
    <x v="0"/>
    <n v="8.99"/>
    <x v="1"/>
    <x v="2"/>
    <n v="2"/>
    <n v="0.33"/>
    <x v="0"/>
  </r>
  <r>
    <s v="9eca028c-ffdd-4958-9e30-b04a4d3b93bf"/>
    <n v="56"/>
    <x v="4"/>
    <x v="1"/>
    <x v="2"/>
    <n v="9.1300000000000008"/>
    <n v="11"/>
    <x v="0"/>
    <x v="3"/>
    <n v="8.99"/>
    <x v="0"/>
    <x v="1"/>
    <n v="2"/>
    <n v="0.76"/>
    <x v="4"/>
  </r>
  <r>
    <s v="054f20d6-02b1-4e8b-845e-85daac125a5a"/>
    <n v="70"/>
    <x v="4"/>
    <x v="1"/>
    <x v="0"/>
    <n v="6.17"/>
    <n v="25"/>
    <x v="5"/>
    <x v="2"/>
    <n v="13.99"/>
    <x v="0"/>
    <x v="2"/>
    <n v="2"/>
    <n v="0.24"/>
    <x v="0"/>
  </r>
  <r>
    <s v="965f3ea1-7c9b-4640-bd10-d27c42163c65"/>
    <n v="61"/>
    <x v="4"/>
    <x v="1"/>
    <x v="1"/>
    <n v="19.93"/>
    <n v="59"/>
    <x v="4"/>
    <x v="1"/>
    <n v="17.989999999999998"/>
    <x v="1"/>
    <x v="2"/>
    <n v="1"/>
    <n v="0.33"/>
    <x v="3"/>
  </r>
  <r>
    <s v="6bc3b8c6-8beb-4c8d-b43e-6f17e0280063"/>
    <n v="58"/>
    <x v="4"/>
    <x v="0"/>
    <x v="0"/>
    <n v="17.989999999999998"/>
    <n v="8"/>
    <x v="2"/>
    <x v="0"/>
    <n v="13.99"/>
    <x v="0"/>
    <x v="1"/>
    <n v="1"/>
    <n v="2"/>
    <x v="0"/>
  </r>
  <r>
    <s v="108167e5-098a-4268-834b-c154d0500827"/>
    <n v="67"/>
    <x v="4"/>
    <x v="1"/>
    <x v="0"/>
    <n v="15.34"/>
    <n v="39"/>
    <x v="4"/>
    <x v="1"/>
    <n v="13.99"/>
    <x v="1"/>
    <x v="2"/>
    <n v="2"/>
    <n v="0.38"/>
    <x v="2"/>
  </r>
  <r>
    <s v="b305a860-7ad9-4d15-b67d-a8c5f7d04158"/>
    <n v="59"/>
    <x v="4"/>
    <x v="0"/>
    <x v="0"/>
    <n v="20.89"/>
    <n v="27"/>
    <x v="3"/>
    <x v="1"/>
    <n v="13.99"/>
    <x v="0"/>
    <x v="1"/>
    <n v="2"/>
    <n v="0.75"/>
    <x v="2"/>
  </r>
  <r>
    <s v="d9ab0b45-1fd7-42b4-8cac-954c506f4b0b"/>
    <n v="68"/>
    <x v="4"/>
    <x v="1"/>
    <x v="1"/>
    <n v="38.25"/>
    <n v="16"/>
    <x v="2"/>
    <x v="3"/>
    <n v="17.989999999999998"/>
    <x v="0"/>
    <x v="2"/>
    <n v="3"/>
    <n v="2.25"/>
    <x v="6"/>
  </r>
  <r>
    <s v="1e9b1aeb-5474-4b08-8588-d736f184d8fe"/>
    <n v="60"/>
    <x v="4"/>
    <x v="2"/>
    <x v="0"/>
    <n v="14.57"/>
    <n v="40"/>
    <x v="3"/>
    <x v="0"/>
    <n v="13.99"/>
    <x v="1"/>
    <x v="4"/>
    <n v="4"/>
    <n v="0.36"/>
    <x v="4"/>
  </r>
  <r>
    <s v="3b6f4e0f-3b8f-43a4-b7cb-806e26bf35d5"/>
    <n v="70"/>
    <x v="4"/>
    <x v="2"/>
    <x v="2"/>
    <n v="5.45"/>
    <n v="42"/>
    <x v="2"/>
    <x v="2"/>
    <n v="8.99"/>
    <x v="1"/>
    <x v="4"/>
    <n v="5"/>
    <n v="0.13"/>
    <x v="0"/>
  </r>
  <r>
    <s v="60edeb0f-1d93-4636-ad6d-7aafabfe9220"/>
    <n v="60"/>
    <x v="4"/>
    <x v="0"/>
    <x v="0"/>
    <n v="9.16"/>
    <n v="37"/>
    <x v="4"/>
    <x v="4"/>
    <n v="13.99"/>
    <x v="1"/>
    <x v="4"/>
    <n v="5"/>
    <n v="0.24"/>
    <x v="4"/>
  </r>
  <r>
    <s v="1d13d8f1-ee57-45e2-981a-5ec74bc67f1d"/>
    <n v="58"/>
    <x v="4"/>
    <x v="2"/>
    <x v="1"/>
    <n v="11.98"/>
    <n v="41"/>
    <x v="2"/>
    <x v="4"/>
    <n v="17.989999999999998"/>
    <x v="1"/>
    <x v="0"/>
    <n v="4"/>
    <n v="0.28999999999999998"/>
    <x v="4"/>
  </r>
  <r>
    <s v="132eb3c0-beb0-4236-8684-bb3e2fc8cec9"/>
    <n v="55"/>
    <x v="4"/>
    <x v="0"/>
    <x v="0"/>
    <n v="14.39"/>
    <n v="54"/>
    <x v="5"/>
    <x v="0"/>
    <n v="13.99"/>
    <x v="1"/>
    <x v="2"/>
    <n v="3"/>
    <n v="0.26"/>
    <x v="4"/>
  </r>
  <r>
    <s v="cc7b109f-a26d-466b-aee5-eea0b7709004"/>
    <n v="60"/>
    <x v="4"/>
    <x v="2"/>
    <x v="1"/>
    <n v="9.15"/>
    <n v="18"/>
    <x v="5"/>
    <x v="3"/>
    <n v="17.989999999999998"/>
    <x v="0"/>
    <x v="1"/>
    <n v="1"/>
    <n v="0.48"/>
    <x v="0"/>
  </r>
  <r>
    <s v="72227fe7-9cb6-4220-8596-0bcad0d4d3e4"/>
    <n v="63"/>
    <x v="4"/>
    <x v="1"/>
    <x v="2"/>
    <n v="18.77"/>
    <n v="56"/>
    <x v="2"/>
    <x v="2"/>
    <n v="8.99"/>
    <x v="1"/>
    <x v="0"/>
    <n v="2"/>
    <n v="0.33"/>
    <x v="6"/>
  </r>
  <r>
    <s v="a20e1296-2ca8-4935-9877-ced081fdedd6"/>
    <n v="63"/>
    <x v="4"/>
    <x v="2"/>
    <x v="0"/>
    <n v="0.4"/>
    <n v="0"/>
    <x v="4"/>
    <x v="0"/>
    <n v="13.99"/>
    <x v="0"/>
    <x v="3"/>
    <n v="4"/>
    <n v="0.4"/>
    <x v="1"/>
  </r>
  <r>
    <s v="ed9ece99-238c-42cb-9dec-fd9333218f1a"/>
    <n v="63"/>
    <x v="4"/>
    <x v="1"/>
    <x v="2"/>
    <n v="59.23"/>
    <n v="27"/>
    <x v="5"/>
    <x v="3"/>
    <n v="8.99"/>
    <x v="0"/>
    <x v="1"/>
    <n v="2"/>
    <n v="2.12"/>
    <x v="1"/>
  </r>
  <r>
    <s v="6c6bdb2d-b94f-40dd-9427-be74fdbb7d3b"/>
    <n v="69"/>
    <x v="4"/>
    <x v="0"/>
    <x v="2"/>
    <n v="33.340000000000003"/>
    <n v="42"/>
    <x v="0"/>
    <x v="1"/>
    <n v="8.99"/>
    <x v="0"/>
    <x v="4"/>
    <n v="3"/>
    <n v="0.78"/>
    <x v="4"/>
  </r>
  <r>
    <s v="e8f2664c-402d-4227-975c-6b6f3960336f"/>
    <n v="61"/>
    <x v="4"/>
    <x v="1"/>
    <x v="0"/>
    <n v="4.6900000000000004"/>
    <n v="45"/>
    <x v="0"/>
    <x v="2"/>
    <n v="13.99"/>
    <x v="1"/>
    <x v="0"/>
    <n v="3"/>
    <n v="0.1"/>
    <x v="2"/>
  </r>
  <r>
    <s v="86f4f231-f362-43d5-91ca-d0045caa2ba6"/>
    <n v="66"/>
    <x v="4"/>
    <x v="2"/>
    <x v="2"/>
    <n v="56.24"/>
    <n v="2"/>
    <x v="4"/>
    <x v="1"/>
    <n v="8.99"/>
    <x v="0"/>
    <x v="2"/>
    <n v="4"/>
    <n v="18.75"/>
    <x v="4"/>
  </r>
  <r>
    <s v="e0cdb351-f217-4c9b-8462-56cd11d35000"/>
    <n v="62"/>
    <x v="4"/>
    <x v="0"/>
    <x v="2"/>
    <n v="9.41"/>
    <n v="31"/>
    <x v="0"/>
    <x v="0"/>
    <n v="8.99"/>
    <x v="1"/>
    <x v="2"/>
    <n v="1"/>
    <n v="0.28999999999999998"/>
    <x v="0"/>
  </r>
  <r>
    <s v="c39feafb-2760-416e-98e6-ec7ba55a88bb"/>
    <n v="61"/>
    <x v="4"/>
    <x v="0"/>
    <x v="0"/>
    <n v="39.090000000000003"/>
    <n v="5"/>
    <x v="1"/>
    <x v="4"/>
    <n v="13.99"/>
    <x v="0"/>
    <x v="3"/>
    <n v="1"/>
    <n v="6.52"/>
    <x v="5"/>
  </r>
  <r>
    <s v="f0998eae-9a45-4ed5-95e4-0b6a02db0630"/>
    <n v="56"/>
    <x v="4"/>
    <x v="1"/>
    <x v="2"/>
    <n v="1.22"/>
    <n v="23"/>
    <x v="4"/>
    <x v="0"/>
    <n v="8.99"/>
    <x v="1"/>
    <x v="3"/>
    <n v="5"/>
    <n v="0.05"/>
    <x v="2"/>
  </r>
  <r>
    <s v="c24bf17b-a0f9-429c-9b41-a7b00dcfa39b"/>
    <n v="62"/>
    <x v="4"/>
    <x v="1"/>
    <x v="1"/>
    <n v="10.02"/>
    <n v="33"/>
    <x v="3"/>
    <x v="0"/>
    <n v="17.989999999999998"/>
    <x v="1"/>
    <x v="3"/>
    <n v="2"/>
    <n v="0.28999999999999998"/>
    <x v="1"/>
  </r>
  <r>
    <s v="ef33bc45-1eef-4924-970e-4fe1e0a2ad6b"/>
    <n v="62"/>
    <x v="4"/>
    <x v="0"/>
    <x v="2"/>
    <n v="12"/>
    <n v="27"/>
    <x v="0"/>
    <x v="0"/>
    <n v="8.99"/>
    <x v="1"/>
    <x v="0"/>
    <n v="2"/>
    <n v="0.43"/>
    <x v="0"/>
  </r>
  <r>
    <s v="6f0b25fb-c81b-4416-ad28-7ae1b7f73dfc"/>
    <n v="68"/>
    <x v="4"/>
    <x v="0"/>
    <x v="2"/>
    <n v="1.91"/>
    <n v="57"/>
    <x v="3"/>
    <x v="3"/>
    <n v="8.99"/>
    <x v="1"/>
    <x v="1"/>
    <n v="3"/>
    <n v="0.03"/>
    <x v="6"/>
  </r>
  <r>
    <s v="7e0c2384-0d8b-4ba9-9ff0-698bbd61512d"/>
    <n v="64"/>
    <x v="4"/>
    <x v="2"/>
    <x v="0"/>
    <n v="46.62"/>
    <n v="48"/>
    <x v="0"/>
    <x v="1"/>
    <n v="13.99"/>
    <x v="0"/>
    <x v="3"/>
    <n v="3"/>
    <n v="0.95"/>
    <x v="2"/>
  </r>
  <r>
    <s v="abfeba54-42ea-43d9-a800-a069d5b0dbda"/>
    <n v="66"/>
    <x v="4"/>
    <x v="1"/>
    <x v="2"/>
    <n v="0.83"/>
    <n v="30"/>
    <x v="1"/>
    <x v="1"/>
    <n v="8.99"/>
    <x v="1"/>
    <x v="3"/>
    <n v="5"/>
    <n v="0.03"/>
    <x v="1"/>
  </r>
  <r>
    <s v="fac6f604-ca17-4e60-9c5a-50a7bd80f2bb"/>
    <n v="59"/>
    <x v="4"/>
    <x v="0"/>
    <x v="1"/>
    <n v="4.67"/>
    <n v="13"/>
    <x v="5"/>
    <x v="2"/>
    <n v="17.989999999999998"/>
    <x v="0"/>
    <x v="3"/>
    <n v="5"/>
    <n v="0.33"/>
    <x v="3"/>
  </r>
  <r>
    <s v="c1297aad-0eff-4128-a815-3d35e932b23c"/>
    <n v="55"/>
    <x v="4"/>
    <x v="2"/>
    <x v="2"/>
    <n v="3.76"/>
    <n v="22"/>
    <x v="0"/>
    <x v="3"/>
    <n v="8.99"/>
    <x v="1"/>
    <x v="0"/>
    <n v="4"/>
    <n v="0.16"/>
    <x v="4"/>
  </r>
  <r>
    <s v="305425be-706a-499b-992f-7c0c74027cba"/>
    <n v="63"/>
    <x v="4"/>
    <x v="0"/>
    <x v="1"/>
    <n v="15.93"/>
    <n v="31"/>
    <x v="5"/>
    <x v="2"/>
    <n v="17.989999999999998"/>
    <x v="0"/>
    <x v="3"/>
    <n v="3"/>
    <n v="0.5"/>
    <x v="5"/>
  </r>
  <r>
    <s v="d63982f2-ea11-489e-9092-559a4f2190ec"/>
    <n v="60"/>
    <x v="4"/>
    <x v="0"/>
    <x v="0"/>
    <n v="0.76"/>
    <n v="59"/>
    <x v="4"/>
    <x v="3"/>
    <n v="13.99"/>
    <x v="1"/>
    <x v="2"/>
    <n v="2"/>
    <n v="0.01"/>
    <x v="4"/>
  </r>
  <r>
    <s v="c2f0dedf-b5be-49d7-a724-7ace524e3cbf"/>
    <n v="67"/>
    <x v="4"/>
    <x v="0"/>
    <x v="1"/>
    <n v="5.4"/>
    <n v="3"/>
    <x v="0"/>
    <x v="2"/>
    <n v="17.989999999999998"/>
    <x v="0"/>
    <x v="3"/>
    <n v="2"/>
    <n v="1.35"/>
    <x v="6"/>
  </r>
  <r>
    <s v="e983ae1e-8a1b-4d99-b9fe-35b35f4e5a18"/>
    <n v="64"/>
    <x v="4"/>
    <x v="1"/>
    <x v="1"/>
    <n v="15"/>
    <n v="24"/>
    <x v="0"/>
    <x v="3"/>
    <n v="17.989999999999998"/>
    <x v="0"/>
    <x v="0"/>
    <n v="2"/>
    <n v="0.6"/>
    <x v="5"/>
  </r>
  <r>
    <s v="abac424e-372a-41ae-83ad-49cb2c194231"/>
    <n v="64"/>
    <x v="4"/>
    <x v="2"/>
    <x v="0"/>
    <n v="8.35"/>
    <n v="32"/>
    <x v="3"/>
    <x v="0"/>
    <n v="13.99"/>
    <x v="1"/>
    <x v="2"/>
    <n v="2"/>
    <n v="0.25"/>
    <x v="3"/>
  </r>
  <r>
    <s v="c9fa7288-917d-4b7c-8538-dcc9d103ab8b"/>
    <n v="66"/>
    <x v="4"/>
    <x v="2"/>
    <x v="0"/>
    <n v="0.24"/>
    <n v="13"/>
    <x v="5"/>
    <x v="4"/>
    <n v="13.99"/>
    <x v="1"/>
    <x v="0"/>
    <n v="5"/>
    <n v="0.02"/>
    <x v="3"/>
  </r>
  <r>
    <s v="d71984cf-9d1d-4192-95df-020aed82e1af"/>
    <n v="57"/>
    <x v="4"/>
    <x v="2"/>
    <x v="1"/>
    <n v="20"/>
    <n v="41"/>
    <x v="2"/>
    <x v="1"/>
    <n v="17.989999999999998"/>
    <x v="1"/>
    <x v="1"/>
    <n v="2"/>
    <n v="0.48"/>
    <x v="0"/>
  </r>
  <r>
    <s v="ec879c8c-9cc0-41a3-b625-69979bbc565f"/>
    <n v="67"/>
    <x v="4"/>
    <x v="0"/>
    <x v="1"/>
    <n v="3.33"/>
    <n v="11"/>
    <x v="1"/>
    <x v="2"/>
    <n v="17.989999999999998"/>
    <x v="1"/>
    <x v="0"/>
    <n v="3"/>
    <n v="0.28000000000000003"/>
    <x v="3"/>
  </r>
  <r>
    <s v="ee23b820-b023-455c-a164-7a6f029cb8c8"/>
    <n v="55"/>
    <x v="4"/>
    <x v="0"/>
    <x v="1"/>
    <n v="3.27"/>
    <n v="21"/>
    <x v="2"/>
    <x v="0"/>
    <n v="17.989999999999998"/>
    <x v="1"/>
    <x v="3"/>
    <n v="1"/>
    <n v="0.15"/>
    <x v="3"/>
  </r>
  <r>
    <s v="1c47a376-99f8-413d-80a8-1b409b29a493"/>
    <n v="59"/>
    <x v="4"/>
    <x v="0"/>
    <x v="1"/>
    <n v="8.86"/>
    <n v="35"/>
    <x v="3"/>
    <x v="1"/>
    <n v="17.989999999999998"/>
    <x v="0"/>
    <x v="1"/>
    <n v="5"/>
    <n v="0.25"/>
    <x v="0"/>
  </r>
  <r>
    <s v="fef2b49b-0991-4aa2-8614-d01832721049"/>
    <n v="58"/>
    <x v="4"/>
    <x v="0"/>
    <x v="1"/>
    <n v="8.74"/>
    <n v="49"/>
    <x v="3"/>
    <x v="1"/>
    <n v="17.989999999999998"/>
    <x v="1"/>
    <x v="1"/>
    <n v="1"/>
    <n v="0.17"/>
    <x v="4"/>
  </r>
  <r>
    <s v="e0a74f0e-ad6f-485f-b40b-a100315bb68d"/>
    <n v="62"/>
    <x v="4"/>
    <x v="2"/>
    <x v="2"/>
    <n v="7.12"/>
    <n v="10"/>
    <x v="4"/>
    <x v="3"/>
    <n v="8.99"/>
    <x v="0"/>
    <x v="4"/>
    <n v="1"/>
    <n v="0.65"/>
    <x v="0"/>
  </r>
  <r>
    <s v="b40a2be6-d491-4cb7-820e-5d185505bbb6"/>
    <n v="69"/>
    <x v="4"/>
    <x v="1"/>
    <x v="1"/>
    <n v="20.85"/>
    <n v="57"/>
    <x v="4"/>
    <x v="1"/>
    <n v="17.989999999999998"/>
    <x v="0"/>
    <x v="4"/>
    <n v="4"/>
    <n v="0.36"/>
    <x v="0"/>
  </r>
  <r>
    <s v="91ec5e63-ded9-4939-9069-d62188a03aef"/>
    <n v="55"/>
    <x v="4"/>
    <x v="1"/>
    <x v="1"/>
    <n v="14.3"/>
    <n v="32"/>
    <x v="3"/>
    <x v="0"/>
    <n v="17.989999999999998"/>
    <x v="1"/>
    <x v="4"/>
    <n v="5"/>
    <n v="0.43"/>
    <x v="0"/>
  </r>
  <r>
    <s v="fef9c533-b570-4ab6-8bbc-8bc6bbec40fd"/>
    <n v="60"/>
    <x v="4"/>
    <x v="2"/>
    <x v="1"/>
    <n v="2.52"/>
    <n v="32"/>
    <x v="0"/>
    <x v="4"/>
    <n v="17.989999999999998"/>
    <x v="1"/>
    <x v="3"/>
    <n v="4"/>
    <n v="0.08"/>
    <x v="0"/>
  </r>
  <r>
    <s v="87bb868a-f169-41ac-ab78-94021cf19a0f"/>
    <n v="68"/>
    <x v="4"/>
    <x v="2"/>
    <x v="0"/>
    <n v="1.68"/>
    <n v="33"/>
    <x v="3"/>
    <x v="3"/>
    <n v="13.99"/>
    <x v="1"/>
    <x v="2"/>
    <n v="3"/>
    <n v="0.05"/>
    <x v="0"/>
  </r>
  <r>
    <s v="732d67f8-5996-46fe-9b35-695e2c344cee"/>
    <n v="65"/>
    <x v="4"/>
    <x v="0"/>
    <x v="2"/>
    <n v="3.46"/>
    <n v="48"/>
    <x v="5"/>
    <x v="4"/>
    <n v="8.99"/>
    <x v="1"/>
    <x v="2"/>
    <n v="4"/>
    <n v="7.0000000000000007E-2"/>
    <x v="0"/>
  </r>
  <r>
    <s v="c1036f42-7ebe-4737-aa18-7019022de901"/>
    <n v="61"/>
    <x v="4"/>
    <x v="1"/>
    <x v="1"/>
    <n v="2.2200000000000002"/>
    <n v="43"/>
    <x v="0"/>
    <x v="0"/>
    <n v="17.989999999999998"/>
    <x v="1"/>
    <x v="4"/>
    <n v="4"/>
    <n v="0.05"/>
    <x v="5"/>
  </r>
  <r>
    <s v="d7e8c0ad-3178-481a-855e-5fd5fe3ffa43"/>
    <n v="68"/>
    <x v="4"/>
    <x v="0"/>
    <x v="1"/>
    <n v="27.23"/>
    <n v="53"/>
    <x v="4"/>
    <x v="3"/>
    <n v="17.989999999999998"/>
    <x v="0"/>
    <x v="4"/>
    <n v="3"/>
    <n v="0.5"/>
    <x v="5"/>
  </r>
  <r>
    <s v="5497a74d-e048-4392-9025-2000dfceb952"/>
    <n v="63"/>
    <x v="4"/>
    <x v="0"/>
    <x v="2"/>
    <n v="3.65"/>
    <n v="55"/>
    <x v="2"/>
    <x v="3"/>
    <n v="8.99"/>
    <x v="1"/>
    <x v="0"/>
    <n v="5"/>
    <n v="7.0000000000000007E-2"/>
    <x v="1"/>
  </r>
  <r>
    <s v="decb540e-6381-40d1-8c00-29e7277a279d"/>
    <n v="59"/>
    <x v="4"/>
    <x v="1"/>
    <x v="2"/>
    <n v="10.87"/>
    <n v="31"/>
    <x v="2"/>
    <x v="1"/>
    <n v="8.99"/>
    <x v="1"/>
    <x v="1"/>
    <n v="4"/>
    <n v="0.34"/>
    <x v="1"/>
  </r>
  <r>
    <s v="13d60860-ba76-458b-b4a2-a2b57814f3a5"/>
    <n v="62"/>
    <x v="4"/>
    <x v="2"/>
    <x v="1"/>
    <n v="2.68"/>
    <n v="55"/>
    <x v="3"/>
    <x v="0"/>
    <n v="17.989999999999998"/>
    <x v="1"/>
    <x v="4"/>
    <n v="1"/>
    <n v="0.05"/>
    <x v="3"/>
  </r>
  <r>
    <s v="e3eea8bc-2806-4c16-9034-bf7a50dd7acd"/>
    <n v="64"/>
    <x v="4"/>
    <x v="2"/>
    <x v="0"/>
    <n v="22.72"/>
    <n v="32"/>
    <x v="4"/>
    <x v="1"/>
    <n v="13.99"/>
    <x v="0"/>
    <x v="3"/>
    <n v="1"/>
    <n v="0.69"/>
    <x v="4"/>
  </r>
  <r>
    <s v="b93f548e-af61-48f2-9b3e-b3ac52460c91"/>
    <n v="60"/>
    <x v="4"/>
    <x v="0"/>
    <x v="0"/>
    <n v="17.420000000000002"/>
    <n v="27"/>
    <x v="0"/>
    <x v="3"/>
    <n v="13.99"/>
    <x v="0"/>
    <x v="2"/>
    <n v="5"/>
    <n v="0.62"/>
    <x v="3"/>
  </r>
  <r>
    <s v="17c2628d-07f1-47e3-9684-dedb7aa86b6c"/>
    <n v="56"/>
    <x v="4"/>
    <x v="0"/>
    <x v="1"/>
    <n v="10.220000000000001"/>
    <n v="56"/>
    <x v="3"/>
    <x v="0"/>
    <n v="17.989999999999998"/>
    <x v="0"/>
    <x v="1"/>
    <n v="5"/>
    <n v="0.18"/>
    <x v="0"/>
  </r>
  <r>
    <s v="71459779-5507-4c55-9b99-c6daee4273f0"/>
    <n v="57"/>
    <x v="4"/>
    <x v="0"/>
    <x v="1"/>
    <n v="19.3"/>
    <n v="42"/>
    <x v="1"/>
    <x v="3"/>
    <n v="17.989999999999998"/>
    <x v="1"/>
    <x v="4"/>
    <n v="4"/>
    <n v="0.45"/>
    <x v="4"/>
  </r>
  <r>
    <s v="23f251da-e126-4afc-88a9-12165a683cde"/>
    <n v="61"/>
    <x v="4"/>
    <x v="2"/>
    <x v="1"/>
    <n v="34.86"/>
    <n v="23"/>
    <x v="5"/>
    <x v="2"/>
    <n v="17.989999999999998"/>
    <x v="0"/>
    <x v="0"/>
    <n v="3"/>
    <n v="1.45"/>
    <x v="5"/>
  </r>
  <r>
    <s v="68f57553-4bf4-455c-ad2e-ce88ba80449d"/>
    <n v="68"/>
    <x v="4"/>
    <x v="0"/>
    <x v="0"/>
    <n v="81.069999999999993"/>
    <n v="42"/>
    <x v="4"/>
    <x v="1"/>
    <n v="13.99"/>
    <x v="0"/>
    <x v="1"/>
    <n v="1"/>
    <n v="1.89"/>
    <x v="5"/>
  </r>
  <r>
    <s v="1ff10a52-1dd7-49be-a93f-16d96d69cfe8"/>
    <n v="59"/>
    <x v="4"/>
    <x v="1"/>
    <x v="2"/>
    <n v="14.32"/>
    <n v="47"/>
    <x v="2"/>
    <x v="1"/>
    <n v="8.99"/>
    <x v="1"/>
    <x v="2"/>
    <n v="1"/>
    <n v="0.3"/>
    <x v="2"/>
  </r>
  <r>
    <s v="28750512-060a-4199-bbb4-ffa43bac55b5"/>
    <n v="59"/>
    <x v="4"/>
    <x v="1"/>
    <x v="2"/>
    <n v="0.09"/>
    <n v="25"/>
    <x v="1"/>
    <x v="1"/>
    <n v="8.99"/>
    <x v="1"/>
    <x v="0"/>
    <n v="2"/>
    <n v="0"/>
    <x v="6"/>
  </r>
  <r>
    <s v="8063a1cf-5f45-417e-ac5b-3660ce54cbb3"/>
    <n v="64"/>
    <x v="4"/>
    <x v="2"/>
    <x v="1"/>
    <n v="3.51"/>
    <n v="30"/>
    <x v="1"/>
    <x v="4"/>
    <n v="17.989999999999998"/>
    <x v="0"/>
    <x v="3"/>
    <n v="5"/>
    <n v="0.11"/>
    <x v="3"/>
  </r>
  <r>
    <s v="abd53402-72af-47cc-812b-9baa61d4d769"/>
    <n v="59"/>
    <x v="4"/>
    <x v="0"/>
    <x v="2"/>
    <n v="6.96"/>
    <n v="4"/>
    <x v="0"/>
    <x v="0"/>
    <n v="8.99"/>
    <x v="0"/>
    <x v="3"/>
    <n v="2"/>
    <n v="1.39"/>
    <x v="2"/>
  </r>
  <r>
    <s v="c3b7f8f2-8065-47c1-b595-aae94c1e9346"/>
    <n v="64"/>
    <x v="4"/>
    <x v="2"/>
    <x v="1"/>
    <n v="15.22"/>
    <n v="4"/>
    <x v="4"/>
    <x v="1"/>
    <n v="17.989999999999998"/>
    <x v="0"/>
    <x v="4"/>
    <n v="1"/>
    <n v="3.04"/>
    <x v="5"/>
  </r>
  <r>
    <s v="ba0197bb-b5f5-478a-adda-7fc9c9963ae2"/>
    <n v="62"/>
    <x v="4"/>
    <x v="1"/>
    <x v="1"/>
    <n v="4.99"/>
    <n v="10"/>
    <x v="4"/>
    <x v="0"/>
    <n v="17.989999999999998"/>
    <x v="1"/>
    <x v="1"/>
    <n v="2"/>
    <n v="0.45"/>
    <x v="1"/>
  </r>
  <r>
    <s v="dc7b6e36-883c-4d1b-8258-c057e80305e4"/>
    <n v="57"/>
    <x v="4"/>
    <x v="2"/>
    <x v="0"/>
    <n v="3.73"/>
    <n v="5"/>
    <x v="1"/>
    <x v="1"/>
    <n v="13.99"/>
    <x v="0"/>
    <x v="3"/>
    <n v="2"/>
    <n v="0.62"/>
    <x v="1"/>
  </r>
  <r>
    <s v="bc638748-782d-4220-8fc7-ed7e6747c894"/>
    <n v="69"/>
    <x v="4"/>
    <x v="0"/>
    <x v="2"/>
    <n v="4.8099999999999996"/>
    <n v="22"/>
    <x v="2"/>
    <x v="0"/>
    <n v="8.99"/>
    <x v="1"/>
    <x v="4"/>
    <n v="2"/>
    <n v="0.21"/>
    <x v="3"/>
  </r>
  <r>
    <s v="fea19557-12f5-44ac-a0af-198d9808d92b"/>
    <n v="56"/>
    <x v="4"/>
    <x v="1"/>
    <x v="0"/>
    <n v="16.86"/>
    <n v="34"/>
    <x v="2"/>
    <x v="0"/>
    <n v="13.99"/>
    <x v="1"/>
    <x v="2"/>
    <n v="2"/>
    <n v="0.48"/>
    <x v="3"/>
  </r>
  <r>
    <s v="47f99416-fe67-4680-89a7-d3fb3aad0529"/>
    <n v="60"/>
    <x v="4"/>
    <x v="2"/>
    <x v="2"/>
    <n v="21.16"/>
    <n v="23"/>
    <x v="1"/>
    <x v="0"/>
    <n v="8.99"/>
    <x v="0"/>
    <x v="2"/>
    <n v="5"/>
    <n v="0.88"/>
    <x v="4"/>
  </r>
  <r>
    <s v="df48d25d-a147-43c2-a6f4-7995ad062c66"/>
    <n v="63"/>
    <x v="4"/>
    <x v="0"/>
    <x v="0"/>
    <n v="45.57"/>
    <n v="53"/>
    <x v="1"/>
    <x v="3"/>
    <n v="13.99"/>
    <x v="0"/>
    <x v="1"/>
    <n v="4"/>
    <n v="0.84"/>
    <x v="4"/>
  </r>
  <r>
    <s v="ff06eb31-09ff-48f4-821a-632b3d504124"/>
    <n v="55"/>
    <x v="4"/>
    <x v="2"/>
    <x v="1"/>
    <n v="0.87"/>
    <n v="48"/>
    <x v="0"/>
    <x v="4"/>
    <n v="17.989999999999998"/>
    <x v="1"/>
    <x v="1"/>
    <n v="4"/>
    <n v="0.02"/>
    <x v="3"/>
  </r>
  <r>
    <s v="cb4906d4-6473-4dff-a7a6-9188bad17eb7"/>
    <n v="67"/>
    <x v="4"/>
    <x v="0"/>
    <x v="1"/>
    <n v="15.71"/>
    <n v="20"/>
    <x v="4"/>
    <x v="2"/>
    <n v="17.989999999999998"/>
    <x v="0"/>
    <x v="2"/>
    <n v="5"/>
    <n v="0.75"/>
    <x v="6"/>
  </r>
  <r>
    <s v="0fb2c3f5-d063-4477-baba-bffd25a2a799"/>
    <n v="55"/>
    <x v="4"/>
    <x v="2"/>
    <x v="0"/>
    <n v="55.93"/>
    <n v="43"/>
    <x v="0"/>
    <x v="0"/>
    <n v="13.99"/>
    <x v="0"/>
    <x v="4"/>
    <n v="1"/>
    <n v="1.27"/>
    <x v="3"/>
  </r>
  <r>
    <s v="414c16e4-7496-4596-b55d-41d8ed0219fe"/>
    <n v="65"/>
    <x v="4"/>
    <x v="2"/>
    <x v="1"/>
    <n v="11.56"/>
    <n v="18"/>
    <x v="2"/>
    <x v="3"/>
    <n v="17.989999999999998"/>
    <x v="0"/>
    <x v="0"/>
    <n v="1"/>
    <n v="0.61"/>
    <x v="6"/>
  </r>
  <r>
    <s v="7136ba96-f288-4279-a5ea-f9e2305f5387"/>
    <n v="58"/>
    <x v="4"/>
    <x v="0"/>
    <x v="0"/>
    <n v="23.72"/>
    <n v="34"/>
    <x v="4"/>
    <x v="4"/>
    <n v="13.99"/>
    <x v="0"/>
    <x v="3"/>
    <n v="4"/>
    <n v="0.68"/>
    <x v="1"/>
  </r>
  <r>
    <s v="3d5df00c-915c-489c-8b43-5066e165ee26"/>
    <n v="65"/>
    <x v="4"/>
    <x v="0"/>
    <x v="0"/>
    <n v="0.53"/>
    <n v="1"/>
    <x v="1"/>
    <x v="1"/>
    <n v="13.99"/>
    <x v="0"/>
    <x v="2"/>
    <n v="5"/>
    <n v="0.27"/>
    <x v="6"/>
  </r>
  <r>
    <s v="373bbb0c-fe39-494c-a615-e5066a1a2b6d"/>
    <n v="65"/>
    <x v="4"/>
    <x v="1"/>
    <x v="1"/>
    <n v="27.63"/>
    <n v="8"/>
    <x v="0"/>
    <x v="0"/>
    <n v="17.989999999999998"/>
    <x v="0"/>
    <x v="0"/>
    <n v="5"/>
    <n v="3.07"/>
    <x v="4"/>
  </r>
  <r>
    <s v="3a5d46fd-0ca3-44a1-a8be-d7e35a75218e"/>
    <n v="57"/>
    <x v="4"/>
    <x v="2"/>
    <x v="2"/>
    <n v="3.09"/>
    <n v="43"/>
    <x v="2"/>
    <x v="2"/>
    <n v="8.99"/>
    <x v="1"/>
    <x v="1"/>
    <n v="5"/>
    <n v="7.0000000000000007E-2"/>
    <x v="2"/>
  </r>
  <r>
    <s v="6b8c4ccd-8bee-4022-94e8-b5f5a0d5bb5f"/>
    <n v="64"/>
    <x v="4"/>
    <x v="1"/>
    <x v="0"/>
    <n v="1.0900000000000001"/>
    <n v="37"/>
    <x v="2"/>
    <x v="1"/>
    <n v="13.99"/>
    <x v="1"/>
    <x v="2"/>
    <n v="5"/>
    <n v="0.03"/>
    <x v="5"/>
  </r>
  <r>
    <s v="99a0c45f-205b-4979-b1da-1410233ab47f"/>
    <n v="66"/>
    <x v="4"/>
    <x v="1"/>
    <x v="0"/>
    <n v="10.25"/>
    <n v="28"/>
    <x v="4"/>
    <x v="3"/>
    <n v="13.99"/>
    <x v="0"/>
    <x v="1"/>
    <n v="4"/>
    <n v="0.35"/>
    <x v="1"/>
  </r>
  <r>
    <s v="0686a45f-68cd-4b98-94f5-3af6be2adc23"/>
    <n v="66"/>
    <x v="4"/>
    <x v="2"/>
    <x v="1"/>
    <n v="32.92"/>
    <n v="33"/>
    <x v="0"/>
    <x v="2"/>
    <n v="17.989999999999998"/>
    <x v="0"/>
    <x v="1"/>
    <n v="4"/>
    <n v="0.97"/>
    <x v="0"/>
  </r>
  <r>
    <s v="c701bb39-0cd8-4e31-9b40-944dcc679fcb"/>
    <n v="66"/>
    <x v="4"/>
    <x v="1"/>
    <x v="1"/>
    <n v="14.44"/>
    <n v="48"/>
    <x v="3"/>
    <x v="0"/>
    <n v="17.989999999999998"/>
    <x v="1"/>
    <x v="0"/>
    <n v="3"/>
    <n v="0.28999999999999998"/>
    <x v="1"/>
  </r>
  <r>
    <s v="69a8fdc5-cf5b-43c9-bd8d-3fb8299eac10"/>
    <n v="61"/>
    <x v="4"/>
    <x v="1"/>
    <x v="0"/>
    <n v="8.1199999999999992"/>
    <n v="56"/>
    <x v="3"/>
    <x v="0"/>
    <n v="13.99"/>
    <x v="0"/>
    <x v="2"/>
    <n v="4"/>
    <n v="0.14000000000000001"/>
    <x v="2"/>
  </r>
  <r>
    <s v="179e0f5d-799d-4691-accc-09755ff50aac"/>
    <n v="67"/>
    <x v="4"/>
    <x v="0"/>
    <x v="2"/>
    <n v="23.72"/>
    <n v="49"/>
    <x v="5"/>
    <x v="3"/>
    <n v="8.99"/>
    <x v="1"/>
    <x v="4"/>
    <n v="5"/>
    <n v="0.47"/>
    <x v="5"/>
  </r>
  <r>
    <s v="8224eaf1-c683-4c85-a1f9-8bb9c2ef21ec"/>
    <n v="67"/>
    <x v="4"/>
    <x v="0"/>
    <x v="0"/>
    <n v="8.1199999999999992"/>
    <n v="26"/>
    <x v="2"/>
    <x v="0"/>
    <n v="13.99"/>
    <x v="0"/>
    <x v="2"/>
    <n v="3"/>
    <n v="0.3"/>
    <x v="0"/>
  </r>
  <r>
    <s v="ec49d8e7-535d-4732-8fd2-f99e64a19a5f"/>
    <n v="62"/>
    <x v="4"/>
    <x v="0"/>
    <x v="0"/>
    <n v="5.47"/>
    <n v="31"/>
    <x v="2"/>
    <x v="0"/>
    <n v="13.99"/>
    <x v="1"/>
    <x v="1"/>
    <n v="1"/>
    <n v="0.17"/>
    <x v="6"/>
  </r>
  <r>
    <s v="ffb75258-7e17-4433-86eb-cca51e35b5de"/>
    <n v="65"/>
    <x v="4"/>
    <x v="0"/>
    <x v="1"/>
    <n v="22.68"/>
    <n v="40"/>
    <x v="1"/>
    <x v="4"/>
    <n v="17.989999999999998"/>
    <x v="0"/>
    <x v="0"/>
    <n v="2"/>
    <n v="0.55000000000000004"/>
    <x v="2"/>
  </r>
  <r>
    <s v="a539900a-d75e-4437-865c-59d6ba1df7f5"/>
    <n v="56"/>
    <x v="4"/>
    <x v="1"/>
    <x v="2"/>
    <n v="11.81"/>
    <n v="14"/>
    <x v="0"/>
    <x v="1"/>
    <n v="8.99"/>
    <x v="0"/>
    <x v="3"/>
    <n v="2"/>
    <n v="0.79"/>
    <x v="0"/>
  </r>
  <r>
    <s v="38af7deb-8836-4d80-a9fb-01540432a8b3"/>
    <n v="56"/>
    <x v="4"/>
    <x v="1"/>
    <x v="1"/>
    <n v="3.67"/>
    <n v="19"/>
    <x v="0"/>
    <x v="0"/>
    <n v="17.989999999999998"/>
    <x v="0"/>
    <x v="1"/>
    <n v="5"/>
    <n v="0.18"/>
    <x v="3"/>
  </r>
  <r>
    <s v="5826ee1b-74c4-4180-bfd3-f486446f0023"/>
    <n v="57"/>
    <x v="4"/>
    <x v="0"/>
    <x v="0"/>
    <n v="16.97"/>
    <n v="55"/>
    <x v="0"/>
    <x v="0"/>
    <n v="13.99"/>
    <x v="1"/>
    <x v="4"/>
    <n v="4"/>
    <n v="0.3"/>
    <x v="1"/>
  </r>
  <r>
    <s v="90e5aae2-d9c9-4271-afb7-5e4b799ddaa6"/>
    <n v="70"/>
    <x v="4"/>
    <x v="0"/>
    <x v="2"/>
    <n v="13.01"/>
    <n v="32"/>
    <x v="0"/>
    <x v="0"/>
    <n v="8.99"/>
    <x v="1"/>
    <x v="0"/>
    <n v="2"/>
    <n v="0.39"/>
    <x v="1"/>
  </r>
  <r>
    <s v="43359fac-cb1f-4e7e-ae5c-990d96bd2200"/>
    <n v="63"/>
    <x v="4"/>
    <x v="0"/>
    <x v="2"/>
    <n v="8.83"/>
    <n v="13"/>
    <x v="0"/>
    <x v="1"/>
    <n v="8.99"/>
    <x v="0"/>
    <x v="0"/>
    <n v="4"/>
    <n v="0.63"/>
    <x v="6"/>
  </r>
  <r>
    <s v="83404a73-33c4-4297-a97c-8a146155e477"/>
    <n v="67"/>
    <x v="4"/>
    <x v="0"/>
    <x v="1"/>
    <n v="31.33"/>
    <n v="29"/>
    <x v="4"/>
    <x v="2"/>
    <n v="17.989999999999998"/>
    <x v="0"/>
    <x v="4"/>
    <n v="2"/>
    <n v="1.04"/>
    <x v="2"/>
  </r>
  <r>
    <s v="9797381e-3100-410c-8d84-6145bc723595"/>
    <n v="59"/>
    <x v="4"/>
    <x v="2"/>
    <x v="1"/>
    <n v="8.39"/>
    <n v="59"/>
    <x v="3"/>
    <x v="2"/>
    <n v="17.989999999999998"/>
    <x v="1"/>
    <x v="1"/>
    <n v="3"/>
    <n v="0.14000000000000001"/>
    <x v="2"/>
  </r>
  <r>
    <s v="25fd1786-ff5a-45fc-bb97-0ab5ba25bbd4"/>
    <n v="69"/>
    <x v="4"/>
    <x v="0"/>
    <x v="2"/>
    <n v="0.64"/>
    <n v="21"/>
    <x v="2"/>
    <x v="2"/>
    <n v="8.99"/>
    <x v="1"/>
    <x v="3"/>
    <n v="1"/>
    <n v="0.03"/>
    <x v="0"/>
  </r>
  <r>
    <s v="73afe00b-3f93-4cd4-b71f-161f6da7d9a8"/>
    <n v="64"/>
    <x v="4"/>
    <x v="1"/>
    <x v="2"/>
    <n v="4.8600000000000003"/>
    <n v="33"/>
    <x v="2"/>
    <x v="0"/>
    <n v="8.99"/>
    <x v="1"/>
    <x v="1"/>
    <n v="5"/>
    <n v="0.14000000000000001"/>
    <x v="5"/>
  </r>
  <r>
    <s v="9f5ad18c-d0a8-4ba0-b642-fa94801265f6"/>
    <n v="57"/>
    <x v="4"/>
    <x v="0"/>
    <x v="1"/>
    <n v="28.21"/>
    <n v="1"/>
    <x v="0"/>
    <x v="3"/>
    <n v="17.989999999999998"/>
    <x v="0"/>
    <x v="0"/>
    <n v="5"/>
    <n v="14.11"/>
    <x v="5"/>
  </r>
  <r>
    <s v="ac7b5aa4-5c89-4616-926f-1b8919909d63"/>
    <n v="63"/>
    <x v="4"/>
    <x v="0"/>
    <x v="0"/>
    <n v="6.37"/>
    <n v="48"/>
    <x v="0"/>
    <x v="2"/>
    <n v="13.99"/>
    <x v="0"/>
    <x v="2"/>
    <n v="5"/>
    <n v="0.13"/>
    <x v="4"/>
  </r>
  <r>
    <s v="45ea1095-e06b-4a1c-a0b7-c3671c9f006a"/>
    <n v="57"/>
    <x v="4"/>
    <x v="1"/>
    <x v="2"/>
    <n v="52.8"/>
    <n v="0"/>
    <x v="1"/>
    <x v="4"/>
    <n v="8.99"/>
    <x v="0"/>
    <x v="3"/>
    <n v="2"/>
    <n v="52.8"/>
    <x v="6"/>
  </r>
  <r>
    <s v="2e46a8d4-de1a-4340-9c8f-215dc059df43"/>
    <n v="63"/>
    <x v="4"/>
    <x v="1"/>
    <x v="2"/>
    <n v="15.77"/>
    <n v="2"/>
    <x v="1"/>
    <x v="4"/>
    <n v="8.99"/>
    <x v="0"/>
    <x v="3"/>
    <n v="4"/>
    <n v="5.26"/>
    <x v="0"/>
  </r>
  <r>
    <s v="a1fceb9a-0b93-4ab1-8cc5-987d5ec80234"/>
    <n v="69"/>
    <x v="4"/>
    <x v="1"/>
    <x v="2"/>
    <n v="13.94"/>
    <n v="32"/>
    <x v="4"/>
    <x v="0"/>
    <n v="8.99"/>
    <x v="1"/>
    <x v="3"/>
    <n v="1"/>
    <n v="0.42"/>
    <x v="3"/>
  </r>
  <r>
    <s v="054b7510-54c8-48f4-bd06-8e2ba58cbd51"/>
    <n v="64"/>
    <x v="4"/>
    <x v="0"/>
    <x v="0"/>
    <n v="2.56"/>
    <n v="3"/>
    <x v="4"/>
    <x v="1"/>
    <n v="13.99"/>
    <x v="0"/>
    <x v="1"/>
    <n v="4"/>
    <n v="0.64"/>
    <x v="5"/>
  </r>
  <r>
    <s v="4a349095-f180-4dbf-981e-94a275412847"/>
    <n v="65"/>
    <x v="4"/>
    <x v="2"/>
    <x v="0"/>
    <n v="1.55"/>
    <n v="1"/>
    <x v="0"/>
    <x v="1"/>
    <n v="13.99"/>
    <x v="0"/>
    <x v="1"/>
    <n v="2"/>
    <n v="0.78"/>
    <x v="2"/>
  </r>
  <r>
    <s v="2a0fdbe4-588b-40fe-ba75-19cebe31bea8"/>
    <n v="69"/>
    <x v="4"/>
    <x v="1"/>
    <x v="1"/>
    <n v="1.85"/>
    <n v="33"/>
    <x v="5"/>
    <x v="1"/>
    <n v="17.989999999999998"/>
    <x v="1"/>
    <x v="1"/>
    <n v="2"/>
    <n v="0.05"/>
    <x v="0"/>
  </r>
  <r>
    <s v="9e80b9c8-a0b6-48bf-a0c6-44a0bb9a2fd4"/>
    <n v="66"/>
    <x v="4"/>
    <x v="2"/>
    <x v="0"/>
    <n v="12.19"/>
    <n v="24"/>
    <x v="5"/>
    <x v="4"/>
    <n v="13.99"/>
    <x v="0"/>
    <x v="1"/>
    <n v="1"/>
    <n v="0.49"/>
    <x v="3"/>
  </r>
  <r>
    <s v="8c6cf0c3-b47d-4935-8973-e2a6de582b1c"/>
    <n v="60"/>
    <x v="4"/>
    <x v="2"/>
    <x v="2"/>
    <n v="17.3"/>
    <n v="36"/>
    <x v="1"/>
    <x v="4"/>
    <n v="8.99"/>
    <x v="1"/>
    <x v="4"/>
    <n v="3"/>
    <n v="0.47"/>
    <x v="0"/>
  </r>
  <r>
    <s v="b622cc96-c02c-4990-bba5-d27f32558b77"/>
    <n v="69"/>
    <x v="4"/>
    <x v="2"/>
    <x v="2"/>
    <n v="6.06"/>
    <n v="30"/>
    <x v="1"/>
    <x v="0"/>
    <n v="8.99"/>
    <x v="0"/>
    <x v="2"/>
    <n v="4"/>
    <n v="0.2"/>
    <x v="4"/>
  </r>
  <r>
    <s v="6e13c94b-65dd-4b6b-b353-aa5382a88546"/>
    <n v="55"/>
    <x v="4"/>
    <x v="0"/>
    <x v="2"/>
    <n v="24.21"/>
    <n v="35"/>
    <x v="5"/>
    <x v="1"/>
    <n v="8.99"/>
    <x v="0"/>
    <x v="3"/>
    <n v="1"/>
    <n v="0.67"/>
    <x v="0"/>
  </r>
  <r>
    <s v="9e99bc5e-ff55-4cae-8611-2ce51687be6a"/>
    <n v="58"/>
    <x v="4"/>
    <x v="1"/>
    <x v="2"/>
    <n v="6.1"/>
    <n v="26"/>
    <x v="5"/>
    <x v="4"/>
    <n v="8.99"/>
    <x v="0"/>
    <x v="2"/>
    <n v="2"/>
    <n v="0.23"/>
    <x v="1"/>
  </r>
  <r>
    <s v="2a1b3474-38d6-4ca0-8c57-b10eaae5e250"/>
    <n v="60"/>
    <x v="4"/>
    <x v="1"/>
    <x v="0"/>
    <n v="4.57"/>
    <n v="60"/>
    <x v="5"/>
    <x v="0"/>
    <n v="13.99"/>
    <x v="1"/>
    <x v="4"/>
    <n v="3"/>
    <n v="7.0000000000000007E-2"/>
    <x v="4"/>
  </r>
  <r>
    <s v="38d2d2ab-e9ce-43d7-97bc-c6a2a3d37276"/>
    <n v="55"/>
    <x v="4"/>
    <x v="2"/>
    <x v="0"/>
    <n v="43.73"/>
    <n v="28"/>
    <x v="4"/>
    <x v="1"/>
    <n v="13.99"/>
    <x v="0"/>
    <x v="3"/>
    <n v="4"/>
    <n v="1.51"/>
    <x v="2"/>
  </r>
  <r>
    <s v="c9f95e61-e079-477f-99b1-1136a2495e2f"/>
    <n v="66"/>
    <x v="4"/>
    <x v="0"/>
    <x v="0"/>
    <n v="18.96"/>
    <n v="6"/>
    <x v="2"/>
    <x v="1"/>
    <n v="13.99"/>
    <x v="0"/>
    <x v="4"/>
    <n v="3"/>
    <n v="2.71"/>
    <x v="3"/>
  </r>
  <r>
    <s v="3bea04a9-f8bc-4696-b3bb-60ebd979b047"/>
    <n v="65"/>
    <x v="4"/>
    <x v="1"/>
    <x v="2"/>
    <n v="15.79"/>
    <n v="22"/>
    <x v="2"/>
    <x v="2"/>
    <n v="8.99"/>
    <x v="0"/>
    <x v="1"/>
    <n v="5"/>
    <n v="0.69"/>
    <x v="6"/>
  </r>
  <r>
    <s v="23a70fc2-9249-43b1-bef3-ea3121bcc6d4"/>
    <n v="64"/>
    <x v="4"/>
    <x v="1"/>
    <x v="2"/>
    <n v="15.26"/>
    <n v="48"/>
    <x v="0"/>
    <x v="2"/>
    <n v="8.99"/>
    <x v="1"/>
    <x v="2"/>
    <n v="1"/>
    <n v="0.31"/>
    <x v="1"/>
  </r>
  <r>
    <s v="f426cb2e-e7cc-4571-bedf-ab5972f5ec5e"/>
    <n v="55"/>
    <x v="4"/>
    <x v="0"/>
    <x v="1"/>
    <n v="20.71"/>
    <n v="7"/>
    <x v="4"/>
    <x v="2"/>
    <n v="17.989999999999998"/>
    <x v="0"/>
    <x v="1"/>
    <n v="5"/>
    <n v="2.59"/>
    <x v="6"/>
  </r>
  <r>
    <s v="0017c041-a14b-4780-9d9a-7a99558a0768"/>
    <n v="62"/>
    <x v="4"/>
    <x v="2"/>
    <x v="2"/>
    <n v="11.99"/>
    <n v="7"/>
    <x v="1"/>
    <x v="0"/>
    <n v="8.99"/>
    <x v="0"/>
    <x v="3"/>
    <n v="2"/>
    <n v="1.5"/>
    <x v="4"/>
  </r>
  <r>
    <s v="702a602e-e109-4038-b50b-e599b4d7b76f"/>
    <n v="59"/>
    <x v="4"/>
    <x v="0"/>
    <x v="2"/>
    <n v="0.75"/>
    <n v="6"/>
    <x v="5"/>
    <x v="0"/>
    <n v="8.99"/>
    <x v="1"/>
    <x v="1"/>
    <n v="3"/>
    <n v="0.11"/>
    <x v="4"/>
  </r>
  <r>
    <s v="8bbf6861-d17e-4548-bf18-f7f295ce59dd"/>
    <n v="55"/>
    <x v="4"/>
    <x v="1"/>
    <x v="0"/>
    <n v="3.19"/>
    <n v="45"/>
    <x v="2"/>
    <x v="2"/>
    <n v="13.99"/>
    <x v="1"/>
    <x v="4"/>
    <n v="2"/>
    <n v="7.0000000000000007E-2"/>
    <x v="1"/>
  </r>
  <r>
    <s v="d694ed01-7f0c-40af-8749-f22aa8dd2ffa"/>
    <n v="55"/>
    <x v="4"/>
    <x v="1"/>
    <x v="1"/>
    <n v="1.98"/>
    <n v="25"/>
    <x v="2"/>
    <x v="2"/>
    <n v="17.989999999999998"/>
    <x v="1"/>
    <x v="4"/>
    <n v="2"/>
    <n v="0.08"/>
    <x v="4"/>
  </r>
  <r>
    <s v="33624a15-18f7-4ffc-9315-f18f25909579"/>
    <n v="67"/>
    <x v="4"/>
    <x v="0"/>
    <x v="2"/>
    <n v="5.74"/>
    <n v="1"/>
    <x v="3"/>
    <x v="1"/>
    <n v="8.99"/>
    <x v="0"/>
    <x v="2"/>
    <n v="5"/>
    <n v="2.87"/>
    <x v="0"/>
  </r>
  <r>
    <s v="c76f1318-9857-4514-8548-3cd20a91f650"/>
    <n v="62"/>
    <x v="4"/>
    <x v="0"/>
    <x v="2"/>
    <n v="1.04"/>
    <n v="16"/>
    <x v="4"/>
    <x v="2"/>
    <n v="8.99"/>
    <x v="1"/>
    <x v="2"/>
    <n v="5"/>
    <n v="0.06"/>
    <x v="1"/>
  </r>
  <r>
    <s v="68afcc40-9bb4-4903-a7ce-3c64492794f6"/>
    <n v="69"/>
    <x v="4"/>
    <x v="0"/>
    <x v="0"/>
    <n v="3.47"/>
    <n v="58"/>
    <x v="2"/>
    <x v="1"/>
    <n v="13.99"/>
    <x v="1"/>
    <x v="4"/>
    <n v="3"/>
    <n v="0.06"/>
    <x v="1"/>
  </r>
  <r>
    <s v="11d62c4f-c1a0-4356-80eb-394f38d17efe"/>
    <n v="60"/>
    <x v="4"/>
    <x v="2"/>
    <x v="1"/>
    <n v="10.71"/>
    <n v="53"/>
    <x v="2"/>
    <x v="3"/>
    <n v="17.989999999999998"/>
    <x v="1"/>
    <x v="2"/>
    <n v="1"/>
    <n v="0.2"/>
    <x v="5"/>
  </r>
  <r>
    <s v="b41e00a2-10d7-46ae-a151-2cc315df1c34"/>
    <n v="56"/>
    <x v="4"/>
    <x v="1"/>
    <x v="2"/>
    <n v="4.78"/>
    <n v="51"/>
    <x v="5"/>
    <x v="3"/>
    <n v="8.99"/>
    <x v="1"/>
    <x v="4"/>
    <n v="1"/>
    <n v="0.09"/>
    <x v="4"/>
  </r>
  <r>
    <s v="2f6ecf7c-ed0c-4011-8d13-90edf44b305d"/>
    <n v="65"/>
    <x v="4"/>
    <x v="1"/>
    <x v="1"/>
    <n v="4.1100000000000003"/>
    <n v="41"/>
    <x v="0"/>
    <x v="2"/>
    <n v="17.989999999999998"/>
    <x v="1"/>
    <x v="4"/>
    <n v="2"/>
    <n v="0.1"/>
    <x v="0"/>
  </r>
  <r>
    <s v="f83a42d7-d5e6-4e72-ad56-651f51927aca"/>
    <n v="67"/>
    <x v="4"/>
    <x v="2"/>
    <x v="2"/>
    <n v="6.47"/>
    <n v="47"/>
    <x v="1"/>
    <x v="0"/>
    <n v="8.99"/>
    <x v="1"/>
    <x v="3"/>
    <n v="2"/>
    <n v="0.13"/>
    <x v="6"/>
  </r>
  <r>
    <s v="8ff31276-200d-4aec-b2e0-6a25c12c51e1"/>
    <n v="58"/>
    <x v="4"/>
    <x v="1"/>
    <x v="2"/>
    <n v="10.29"/>
    <n v="26"/>
    <x v="2"/>
    <x v="2"/>
    <n v="8.99"/>
    <x v="1"/>
    <x v="3"/>
    <n v="1"/>
    <n v="0.38"/>
    <x v="4"/>
  </r>
  <r>
    <s v="2649f2e5-179f-4ae9-8280-0dd4aadb0676"/>
    <n v="65"/>
    <x v="4"/>
    <x v="0"/>
    <x v="2"/>
    <n v="10.17"/>
    <n v="19"/>
    <x v="0"/>
    <x v="2"/>
    <n v="8.99"/>
    <x v="0"/>
    <x v="1"/>
    <n v="5"/>
    <n v="0.51"/>
    <x v="5"/>
  </r>
  <r>
    <s v="dea362ed-393f-43b1-aaff-5195d91b0716"/>
    <n v="63"/>
    <x v="4"/>
    <x v="0"/>
    <x v="2"/>
    <n v="22.9"/>
    <n v="11"/>
    <x v="1"/>
    <x v="0"/>
    <n v="8.99"/>
    <x v="0"/>
    <x v="2"/>
    <n v="1"/>
    <n v="1.91"/>
    <x v="4"/>
  </r>
  <r>
    <s v="fc8a1ff7-4c98-4ebd-a0cc-0fd7bb0bf243"/>
    <n v="62"/>
    <x v="4"/>
    <x v="2"/>
    <x v="2"/>
    <n v="14.73"/>
    <n v="23"/>
    <x v="3"/>
    <x v="3"/>
    <n v="8.99"/>
    <x v="0"/>
    <x v="0"/>
    <n v="1"/>
    <n v="0.61"/>
    <x v="4"/>
  </r>
  <r>
    <s v="78d39da7-c35a-4a24-a6a2-dcf5627f84f1"/>
    <n v="57"/>
    <x v="4"/>
    <x v="2"/>
    <x v="1"/>
    <n v="16.850000000000001"/>
    <n v="33"/>
    <x v="5"/>
    <x v="1"/>
    <n v="17.989999999999998"/>
    <x v="1"/>
    <x v="4"/>
    <n v="1"/>
    <n v="0.5"/>
    <x v="2"/>
  </r>
  <r>
    <s v="a893ce7f-c8bc-427a-b89d-206a94d5a33a"/>
    <n v="63"/>
    <x v="4"/>
    <x v="0"/>
    <x v="2"/>
    <n v="2.95"/>
    <n v="41"/>
    <x v="2"/>
    <x v="1"/>
    <n v="8.99"/>
    <x v="1"/>
    <x v="3"/>
    <n v="2"/>
    <n v="7.0000000000000007E-2"/>
    <x v="4"/>
  </r>
  <r>
    <s v="23b6e829-8591-490b-b518-20b451b14bb1"/>
    <n v="61"/>
    <x v="4"/>
    <x v="1"/>
    <x v="2"/>
    <n v="30.44"/>
    <n v="60"/>
    <x v="5"/>
    <x v="4"/>
    <n v="8.99"/>
    <x v="0"/>
    <x v="4"/>
    <n v="2"/>
    <n v="0.5"/>
    <x v="2"/>
  </r>
  <r>
    <s v="d16ade89-0f8a-447e-b492-db632a54e02b"/>
    <n v="67"/>
    <x v="4"/>
    <x v="2"/>
    <x v="1"/>
    <n v="4.7699999999999996"/>
    <n v="30"/>
    <x v="4"/>
    <x v="3"/>
    <n v="17.989999999999998"/>
    <x v="1"/>
    <x v="1"/>
    <n v="1"/>
    <n v="0.15"/>
    <x v="3"/>
  </r>
  <r>
    <s v="9f79dcf6-1ff7-4605-b82c-36cd49b06dd2"/>
    <n v="60"/>
    <x v="4"/>
    <x v="1"/>
    <x v="0"/>
    <n v="12.66"/>
    <n v="12"/>
    <x v="0"/>
    <x v="3"/>
    <n v="13.99"/>
    <x v="0"/>
    <x v="1"/>
    <n v="1"/>
    <n v="0.97"/>
    <x v="4"/>
  </r>
  <r>
    <s v="e13622fa-d0b3-44c6-b157-38f7a6933d87"/>
    <n v="58"/>
    <x v="4"/>
    <x v="0"/>
    <x v="2"/>
    <n v="11.16"/>
    <n v="31"/>
    <x v="0"/>
    <x v="1"/>
    <n v="8.99"/>
    <x v="1"/>
    <x v="4"/>
    <n v="1"/>
    <n v="0.35"/>
    <x v="5"/>
  </r>
  <r>
    <s v="92b89aae-d3d2-4715-b669-4634124a6444"/>
    <n v="62"/>
    <x v="4"/>
    <x v="2"/>
    <x v="2"/>
    <n v="9.89"/>
    <n v="7"/>
    <x v="1"/>
    <x v="4"/>
    <n v="8.99"/>
    <x v="0"/>
    <x v="4"/>
    <n v="2"/>
    <n v="1.24"/>
    <x v="2"/>
  </r>
  <r>
    <s v="062c9b99-d361-4c0e-b1dd-507fdd20b1e7"/>
    <n v="55"/>
    <x v="4"/>
    <x v="2"/>
    <x v="2"/>
    <n v="3.83"/>
    <n v="28"/>
    <x v="1"/>
    <x v="3"/>
    <n v="8.99"/>
    <x v="1"/>
    <x v="2"/>
    <n v="4"/>
    <n v="0.13"/>
    <x v="6"/>
  </r>
  <r>
    <s v="8ea1e41b-df4c-4d34-bb14-d0b5eff7b1e9"/>
    <n v="56"/>
    <x v="4"/>
    <x v="1"/>
    <x v="0"/>
    <n v="19.59"/>
    <n v="23"/>
    <x v="4"/>
    <x v="2"/>
    <n v="13.99"/>
    <x v="0"/>
    <x v="1"/>
    <n v="1"/>
    <n v="0.82"/>
    <x v="1"/>
  </r>
  <r>
    <s v="4d3b2dc9-926d-4822-bb9d-93eb38181f03"/>
    <n v="58"/>
    <x v="4"/>
    <x v="0"/>
    <x v="2"/>
    <n v="17.27"/>
    <n v="6"/>
    <x v="0"/>
    <x v="0"/>
    <n v="8.99"/>
    <x v="0"/>
    <x v="1"/>
    <n v="3"/>
    <n v="2.4700000000000002"/>
    <x v="4"/>
  </r>
  <r>
    <s v="f86bf906-2201-4800-8413-fba4e4e8ae50"/>
    <n v="59"/>
    <x v="4"/>
    <x v="2"/>
    <x v="2"/>
    <n v="0.5"/>
    <n v="60"/>
    <x v="4"/>
    <x v="4"/>
    <n v="8.99"/>
    <x v="1"/>
    <x v="2"/>
    <n v="2"/>
    <n v="0.01"/>
    <x v="6"/>
  </r>
  <r>
    <s v="59ddcb4d-d232-4415-a32e-7c13d1b268f5"/>
    <n v="62"/>
    <x v="4"/>
    <x v="0"/>
    <x v="1"/>
    <n v="33.770000000000003"/>
    <n v="31"/>
    <x v="0"/>
    <x v="4"/>
    <n v="17.989999999999998"/>
    <x v="0"/>
    <x v="3"/>
    <n v="4"/>
    <n v="1.06"/>
    <x v="3"/>
  </r>
  <r>
    <s v="a6d3a561-5aff-4eb2-b18a-60064af4a2c4"/>
    <n v="60"/>
    <x v="4"/>
    <x v="1"/>
    <x v="0"/>
    <n v="3.29"/>
    <n v="50"/>
    <x v="2"/>
    <x v="0"/>
    <n v="13.99"/>
    <x v="1"/>
    <x v="0"/>
    <n v="3"/>
    <n v="0.06"/>
    <x v="2"/>
  </r>
  <r>
    <s v="2995e5e8-b8e9-40d6-b211-a261528128d7"/>
    <n v="61"/>
    <x v="4"/>
    <x v="2"/>
    <x v="1"/>
    <n v="5.31"/>
    <n v="25"/>
    <x v="1"/>
    <x v="1"/>
    <n v="17.989999999999998"/>
    <x v="0"/>
    <x v="4"/>
    <n v="3"/>
    <n v="0.2"/>
    <x v="6"/>
  </r>
  <r>
    <s v="a1b7828b-5601-4a18-b19c-fe7268dd5a15"/>
    <n v="68"/>
    <x v="4"/>
    <x v="0"/>
    <x v="1"/>
    <n v="41.2"/>
    <n v="30"/>
    <x v="5"/>
    <x v="4"/>
    <n v="17.989999999999998"/>
    <x v="0"/>
    <x v="4"/>
    <n v="5"/>
    <n v="1.33"/>
    <x v="1"/>
  </r>
  <r>
    <s v="fc1176e6-bf27-4f67-989e-2bb32af87eb5"/>
    <n v="60"/>
    <x v="4"/>
    <x v="1"/>
    <x v="2"/>
    <n v="0.27"/>
    <n v="35"/>
    <x v="1"/>
    <x v="2"/>
    <n v="8.99"/>
    <x v="1"/>
    <x v="2"/>
    <n v="2"/>
    <n v="0.01"/>
    <x v="0"/>
  </r>
  <r>
    <s v="05e3ec87-8fbd-43ef-aa33-05e871060939"/>
    <n v="66"/>
    <x v="4"/>
    <x v="1"/>
    <x v="1"/>
    <n v="35.880000000000003"/>
    <n v="18"/>
    <x v="4"/>
    <x v="4"/>
    <n v="17.989999999999998"/>
    <x v="0"/>
    <x v="2"/>
    <n v="5"/>
    <n v="1.89"/>
    <x v="0"/>
  </r>
  <r>
    <s v="e9ea338a-e635-4d42-ab37-96de2f5656ad"/>
    <n v="66"/>
    <x v="4"/>
    <x v="2"/>
    <x v="1"/>
    <n v="30.91"/>
    <n v="51"/>
    <x v="4"/>
    <x v="0"/>
    <n v="17.989999999999998"/>
    <x v="0"/>
    <x v="3"/>
    <n v="1"/>
    <n v="0.59"/>
    <x v="0"/>
  </r>
  <r>
    <s v="daa75c56-1674-4ac3-a470-64524a70d5b5"/>
    <n v="69"/>
    <x v="4"/>
    <x v="0"/>
    <x v="0"/>
    <n v="5.93"/>
    <n v="39"/>
    <x v="4"/>
    <x v="3"/>
    <n v="13.99"/>
    <x v="1"/>
    <x v="4"/>
    <n v="5"/>
    <n v="0.15"/>
    <x v="6"/>
  </r>
  <r>
    <s v="aaf5f091-7785-48d1-84e9-fa47bf7525e5"/>
    <n v="70"/>
    <x v="4"/>
    <x v="0"/>
    <x v="2"/>
    <n v="2.46"/>
    <n v="53"/>
    <x v="2"/>
    <x v="1"/>
    <n v="8.99"/>
    <x v="1"/>
    <x v="0"/>
    <n v="1"/>
    <n v="0.05"/>
    <x v="0"/>
  </r>
  <r>
    <s v="843f9e04-265c-4f69-8cd8-27f093ec3e0f"/>
    <n v="62"/>
    <x v="4"/>
    <x v="2"/>
    <x v="2"/>
    <n v="22.77"/>
    <n v="47"/>
    <x v="2"/>
    <x v="2"/>
    <n v="8.99"/>
    <x v="1"/>
    <x v="0"/>
    <n v="5"/>
    <n v="0.47"/>
    <x v="5"/>
  </r>
  <r>
    <s v="bbe915c1-0aba-4b41-befd-ddb68cdd7b58"/>
    <n v="63"/>
    <x v="4"/>
    <x v="1"/>
    <x v="1"/>
    <n v="15.02"/>
    <n v="11"/>
    <x v="4"/>
    <x v="0"/>
    <n v="17.989999999999998"/>
    <x v="0"/>
    <x v="3"/>
    <n v="2"/>
    <n v="1.25"/>
    <x v="1"/>
  </r>
  <r>
    <s v="e45d6c09-50d4-44ae-b8f3-408bcd74cada"/>
    <n v="55"/>
    <x v="4"/>
    <x v="2"/>
    <x v="0"/>
    <n v="7.28"/>
    <n v="12"/>
    <x v="2"/>
    <x v="4"/>
    <n v="13.99"/>
    <x v="0"/>
    <x v="2"/>
    <n v="1"/>
    <n v="0.56000000000000005"/>
    <x v="1"/>
  </r>
  <r>
    <s v="dfc2c37e-28ec-47db-bfd9-87dce42a6384"/>
    <n v="62"/>
    <x v="4"/>
    <x v="0"/>
    <x v="0"/>
    <n v="1.62"/>
    <n v="37"/>
    <x v="4"/>
    <x v="0"/>
    <n v="13.99"/>
    <x v="1"/>
    <x v="0"/>
    <n v="3"/>
    <n v="0.04"/>
    <x v="2"/>
  </r>
  <r>
    <s v="fdf173e9-3cc2-4211-ad97-6a89ab4c992d"/>
    <n v="60"/>
    <x v="4"/>
    <x v="0"/>
    <x v="2"/>
    <n v="1.76"/>
    <n v="48"/>
    <x v="4"/>
    <x v="0"/>
    <n v="8.99"/>
    <x v="1"/>
    <x v="1"/>
    <n v="2"/>
    <n v="0.04"/>
    <x v="6"/>
  </r>
  <r>
    <s v="0a450e9c-d685-4b05-bd36-cb4aab6a21ed"/>
    <n v="63"/>
    <x v="4"/>
    <x v="2"/>
    <x v="2"/>
    <n v="0.75"/>
    <n v="46"/>
    <x v="0"/>
    <x v="4"/>
    <n v="8.99"/>
    <x v="1"/>
    <x v="4"/>
    <n v="3"/>
    <n v="0.02"/>
    <x v="2"/>
  </r>
  <r>
    <s v="ba93d319-ddd9-4d3e-991a-fdcba85570c3"/>
    <n v="63"/>
    <x v="4"/>
    <x v="1"/>
    <x v="0"/>
    <n v="6.72"/>
    <n v="18"/>
    <x v="1"/>
    <x v="4"/>
    <n v="13.99"/>
    <x v="0"/>
    <x v="2"/>
    <n v="4"/>
    <n v="0.35"/>
    <x v="5"/>
  </r>
  <r>
    <s v="422b2b02-7b3c-4fbf-b594-6e2914e469c5"/>
    <n v="70"/>
    <x v="4"/>
    <x v="1"/>
    <x v="0"/>
    <n v="32.619999999999997"/>
    <n v="26"/>
    <x v="3"/>
    <x v="0"/>
    <n v="13.99"/>
    <x v="0"/>
    <x v="0"/>
    <n v="1"/>
    <n v="1.21"/>
    <x v="6"/>
  </r>
  <r>
    <s v="fd7293ff-a104-4081-b219-8a71ad708cb5"/>
    <n v="68"/>
    <x v="4"/>
    <x v="2"/>
    <x v="1"/>
    <n v="2.34"/>
    <n v="44"/>
    <x v="5"/>
    <x v="1"/>
    <n v="17.989999999999998"/>
    <x v="1"/>
    <x v="4"/>
    <n v="5"/>
    <n v="0.05"/>
    <x v="0"/>
  </r>
  <r>
    <s v="278c548d-ee93-44b9-aeab-dacd67b66291"/>
    <n v="65"/>
    <x v="4"/>
    <x v="1"/>
    <x v="2"/>
    <n v="16.100000000000001"/>
    <n v="10"/>
    <x v="4"/>
    <x v="4"/>
    <n v="8.99"/>
    <x v="0"/>
    <x v="0"/>
    <n v="3"/>
    <n v="1.46"/>
    <x v="6"/>
  </r>
  <r>
    <s v="19f96bab-f769-4ade-9add-63dd0769e499"/>
    <n v="55"/>
    <x v="4"/>
    <x v="2"/>
    <x v="2"/>
    <n v="0.12"/>
    <n v="22"/>
    <x v="2"/>
    <x v="4"/>
    <n v="8.99"/>
    <x v="1"/>
    <x v="1"/>
    <n v="4"/>
    <n v="0.01"/>
    <x v="1"/>
  </r>
  <r>
    <s v="c4eb2f57-2a9b-405b-b686-e34aa4c1ba65"/>
    <n v="70"/>
    <x v="4"/>
    <x v="1"/>
    <x v="1"/>
    <n v="8.6"/>
    <n v="37"/>
    <x v="3"/>
    <x v="3"/>
    <n v="17.989999999999998"/>
    <x v="1"/>
    <x v="0"/>
    <n v="3"/>
    <n v="0.23"/>
    <x v="5"/>
  </r>
  <r>
    <s v="65cb8d99-164b-4e42-badf-dae7fb16d388"/>
    <n v="63"/>
    <x v="4"/>
    <x v="1"/>
    <x v="0"/>
    <n v="30.83"/>
    <n v="10"/>
    <x v="1"/>
    <x v="1"/>
    <n v="13.99"/>
    <x v="0"/>
    <x v="0"/>
    <n v="2"/>
    <n v="2.8"/>
    <x v="6"/>
  </r>
  <r>
    <s v="a1cacec9-db50-426d-b7e5-6ec5ccfbc39e"/>
    <n v="59"/>
    <x v="4"/>
    <x v="0"/>
    <x v="2"/>
    <n v="77.09"/>
    <n v="36"/>
    <x v="4"/>
    <x v="3"/>
    <n v="8.99"/>
    <x v="0"/>
    <x v="3"/>
    <n v="3"/>
    <n v="2.08"/>
    <x v="4"/>
  </r>
  <r>
    <s v="84bb4a72-f675-48ba-a3d6-aa4b8c828fe6"/>
    <n v="58"/>
    <x v="4"/>
    <x v="2"/>
    <x v="1"/>
    <n v="2.11"/>
    <n v="23"/>
    <x v="3"/>
    <x v="0"/>
    <n v="17.989999999999998"/>
    <x v="1"/>
    <x v="1"/>
    <n v="3"/>
    <n v="0.09"/>
    <x v="5"/>
  </r>
  <r>
    <s v="fe26c901-86af-42bf-a9cf-ec1bc66f6a46"/>
    <n v="69"/>
    <x v="4"/>
    <x v="2"/>
    <x v="2"/>
    <n v="2.74"/>
    <n v="52"/>
    <x v="5"/>
    <x v="2"/>
    <n v="8.99"/>
    <x v="1"/>
    <x v="1"/>
    <n v="4"/>
    <n v="0.05"/>
    <x v="3"/>
  </r>
  <r>
    <s v="bc14c635-9c82-42e0-9ea1-fb4cba7aacb5"/>
    <n v="63"/>
    <x v="4"/>
    <x v="0"/>
    <x v="2"/>
    <n v="30.88"/>
    <n v="15"/>
    <x v="4"/>
    <x v="0"/>
    <n v="8.99"/>
    <x v="0"/>
    <x v="4"/>
    <n v="4"/>
    <n v="1.93"/>
    <x v="1"/>
  </r>
  <r>
    <s v="b187ac76-4367-49b1-8c71-afb04eadbc52"/>
    <n v="57"/>
    <x v="4"/>
    <x v="2"/>
    <x v="1"/>
    <n v="0.55000000000000004"/>
    <n v="40"/>
    <x v="5"/>
    <x v="3"/>
    <n v="17.989999999999998"/>
    <x v="1"/>
    <x v="2"/>
    <n v="5"/>
    <n v="0.01"/>
    <x v="6"/>
  </r>
  <r>
    <s v="2779629f-a22b-448b-afe0-e9dedee50eff"/>
    <n v="68"/>
    <x v="4"/>
    <x v="0"/>
    <x v="2"/>
    <n v="9.8800000000000008"/>
    <n v="18"/>
    <x v="3"/>
    <x v="3"/>
    <n v="8.99"/>
    <x v="0"/>
    <x v="4"/>
    <n v="3"/>
    <n v="0.52"/>
    <x v="3"/>
  </r>
  <r>
    <s v="a4e333cf-cc94-4387-ad6a-c182ab9a943a"/>
    <n v="69"/>
    <x v="4"/>
    <x v="2"/>
    <x v="2"/>
    <n v="6.46"/>
    <n v="49"/>
    <x v="1"/>
    <x v="2"/>
    <n v="8.99"/>
    <x v="1"/>
    <x v="1"/>
    <n v="3"/>
    <n v="0.13"/>
    <x v="5"/>
  </r>
  <r>
    <s v="9e12b8bd-a9c9-4bfe-a09d-7df603c13f52"/>
    <n v="67"/>
    <x v="4"/>
    <x v="1"/>
    <x v="2"/>
    <n v="15.16"/>
    <n v="2"/>
    <x v="0"/>
    <x v="3"/>
    <n v="8.99"/>
    <x v="0"/>
    <x v="1"/>
    <n v="5"/>
    <n v="5.05"/>
    <x v="4"/>
  </r>
  <r>
    <s v="5fd18efb-f1b5-4ecb-a506-7884ac990fcc"/>
    <n v="69"/>
    <x v="4"/>
    <x v="1"/>
    <x v="1"/>
    <n v="25.85"/>
    <n v="15"/>
    <x v="3"/>
    <x v="0"/>
    <n v="17.989999999999998"/>
    <x v="0"/>
    <x v="1"/>
    <n v="3"/>
    <n v="1.62"/>
    <x v="1"/>
  </r>
  <r>
    <s v="d2ca8f35-33de-41f7-900d-d56232be43e2"/>
    <n v="65"/>
    <x v="4"/>
    <x v="1"/>
    <x v="0"/>
    <n v="4.68"/>
    <n v="4"/>
    <x v="0"/>
    <x v="0"/>
    <n v="13.99"/>
    <x v="0"/>
    <x v="4"/>
    <n v="1"/>
    <n v="0.94"/>
    <x v="0"/>
  </r>
  <r>
    <s v="316b13ff-974f-46ee-a535-0eb0d54dbf08"/>
    <n v="69"/>
    <x v="4"/>
    <x v="1"/>
    <x v="0"/>
    <n v="6.46"/>
    <n v="16"/>
    <x v="5"/>
    <x v="0"/>
    <n v="13.99"/>
    <x v="0"/>
    <x v="1"/>
    <n v="2"/>
    <n v="0.38"/>
    <x v="0"/>
  </r>
  <r>
    <s v="99d26b54-a532-497d-891a-457988b8a000"/>
    <n v="66"/>
    <x v="4"/>
    <x v="1"/>
    <x v="1"/>
    <n v="0.27"/>
    <n v="59"/>
    <x v="4"/>
    <x v="4"/>
    <n v="17.989999999999998"/>
    <x v="1"/>
    <x v="4"/>
    <n v="2"/>
    <n v="0"/>
    <x v="5"/>
  </r>
  <r>
    <s v="b75b9ecb-d8bf-486e-a896-153a2039cc85"/>
    <n v="64"/>
    <x v="4"/>
    <x v="0"/>
    <x v="1"/>
    <n v="22.59"/>
    <n v="24"/>
    <x v="2"/>
    <x v="0"/>
    <n v="17.989999999999998"/>
    <x v="0"/>
    <x v="2"/>
    <n v="4"/>
    <n v="0.9"/>
    <x v="4"/>
  </r>
  <r>
    <s v="c6aa9949-ba46-4793-8045-c6c9f528801d"/>
    <n v="69"/>
    <x v="4"/>
    <x v="1"/>
    <x v="1"/>
    <n v="13.4"/>
    <n v="11"/>
    <x v="4"/>
    <x v="1"/>
    <n v="17.989999999999998"/>
    <x v="0"/>
    <x v="1"/>
    <n v="3"/>
    <n v="1.1200000000000001"/>
    <x v="1"/>
  </r>
  <r>
    <s v="26028d11-a0cb-4305-89a4-f481f1dcc51e"/>
    <n v="70"/>
    <x v="4"/>
    <x v="2"/>
    <x v="0"/>
    <n v="4.17"/>
    <n v="38"/>
    <x v="2"/>
    <x v="4"/>
    <n v="13.99"/>
    <x v="1"/>
    <x v="3"/>
    <n v="1"/>
    <n v="0.11"/>
    <x v="6"/>
  </r>
  <r>
    <s v="d20f17d4-829d-452f-8b9c-28b86a17ba70"/>
    <n v="67"/>
    <x v="4"/>
    <x v="0"/>
    <x v="0"/>
    <n v="1.63"/>
    <n v="58"/>
    <x v="4"/>
    <x v="2"/>
    <n v="13.99"/>
    <x v="1"/>
    <x v="4"/>
    <n v="3"/>
    <n v="0.03"/>
    <x v="5"/>
  </r>
  <r>
    <s v="d28c2ac2-60ec-4630-b868-74ac7e722cf0"/>
    <n v="66"/>
    <x v="4"/>
    <x v="1"/>
    <x v="0"/>
    <n v="20.65"/>
    <n v="58"/>
    <x v="4"/>
    <x v="3"/>
    <n v="13.99"/>
    <x v="0"/>
    <x v="3"/>
    <n v="4"/>
    <n v="0.35"/>
    <x v="5"/>
  </r>
  <r>
    <s v="51159c3c-65bd-4e2f-be01-7b65fec7cc64"/>
    <n v="57"/>
    <x v="4"/>
    <x v="2"/>
    <x v="1"/>
    <n v="11.09"/>
    <n v="9"/>
    <x v="5"/>
    <x v="2"/>
    <n v="17.989999999999998"/>
    <x v="0"/>
    <x v="4"/>
    <n v="3"/>
    <n v="1.1100000000000001"/>
    <x v="4"/>
  </r>
  <r>
    <s v="ac609128-c66e-4721-84fe-5bc8669abe15"/>
    <n v="67"/>
    <x v="4"/>
    <x v="2"/>
    <x v="2"/>
    <n v="17.440000000000001"/>
    <n v="3"/>
    <x v="2"/>
    <x v="1"/>
    <n v="8.99"/>
    <x v="0"/>
    <x v="2"/>
    <n v="3"/>
    <n v="4.3600000000000003"/>
    <x v="4"/>
  </r>
  <r>
    <s v="c9178b03-a423-4479-8770-a7799b9f3714"/>
    <n v="63"/>
    <x v="4"/>
    <x v="0"/>
    <x v="0"/>
    <n v="1.66"/>
    <n v="0"/>
    <x v="1"/>
    <x v="3"/>
    <n v="13.99"/>
    <x v="0"/>
    <x v="0"/>
    <n v="1"/>
    <n v="1.66"/>
    <x v="1"/>
  </r>
  <r>
    <s v="3f98db89-eb95-4beb-9376-cb7e68d988cc"/>
    <n v="69"/>
    <x v="4"/>
    <x v="2"/>
    <x v="1"/>
    <n v="27.12"/>
    <n v="3"/>
    <x v="0"/>
    <x v="0"/>
    <n v="17.989999999999998"/>
    <x v="0"/>
    <x v="2"/>
    <n v="5"/>
    <n v="6.78"/>
    <x v="0"/>
  </r>
  <r>
    <s v="44e5ebf4-9957-4c99-addf-0966df3b2db4"/>
    <n v="58"/>
    <x v="4"/>
    <x v="0"/>
    <x v="2"/>
    <n v="5.87"/>
    <n v="37"/>
    <x v="1"/>
    <x v="0"/>
    <n v="8.99"/>
    <x v="1"/>
    <x v="3"/>
    <n v="5"/>
    <n v="0.15"/>
    <x v="6"/>
  </r>
  <r>
    <s v="8b113aca-3087-4316-b980-6925a693dc6e"/>
    <n v="60"/>
    <x v="4"/>
    <x v="2"/>
    <x v="0"/>
    <n v="1.38"/>
    <n v="41"/>
    <x v="3"/>
    <x v="1"/>
    <n v="13.99"/>
    <x v="1"/>
    <x v="1"/>
    <n v="3"/>
    <n v="0.03"/>
    <x v="0"/>
  </r>
  <r>
    <s v="0566c602-68e3-47c4-baab-f9dd4db9dbea"/>
    <n v="70"/>
    <x v="4"/>
    <x v="1"/>
    <x v="0"/>
    <n v="6.76"/>
    <n v="41"/>
    <x v="0"/>
    <x v="4"/>
    <n v="13.99"/>
    <x v="1"/>
    <x v="0"/>
    <n v="2"/>
    <n v="0.16"/>
    <x v="2"/>
  </r>
  <r>
    <s v="22d0434e-3d72-42d0-a21d-0815d6fed80d"/>
    <n v="60"/>
    <x v="4"/>
    <x v="1"/>
    <x v="2"/>
    <n v="8.89"/>
    <n v="23"/>
    <x v="1"/>
    <x v="0"/>
    <n v="8.99"/>
    <x v="1"/>
    <x v="0"/>
    <n v="3"/>
    <n v="0.37"/>
    <x v="4"/>
  </r>
  <r>
    <s v="5cbe23ea-3cac-44b7-b6cb-e6ccd8e6224c"/>
    <n v="66"/>
    <x v="4"/>
    <x v="2"/>
    <x v="1"/>
    <n v="18.23"/>
    <n v="38"/>
    <x v="2"/>
    <x v="0"/>
    <n v="17.989999999999998"/>
    <x v="1"/>
    <x v="3"/>
    <n v="2"/>
    <n v="0.47"/>
    <x v="3"/>
  </r>
  <r>
    <s v="57e4fad4-7fad-49ec-aa15-9e560b0fffae"/>
    <n v="57"/>
    <x v="4"/>
    <x v="0"/>
    <x v="1"/>
    <n v="0.69"/>
    <n v="24"/>
    <x v="1"/>
    <x v="2"/>
    <n v="17.989999999999998"/>
    <x v="1"/>
    <x v="0"/>
    <n v="5"/>
    <n v="0.03"/>
    <x v="6"/>
  </r>
  <r>
    <s v="a9ffad05-0e54-445d-ad0d-a8a8da93f6c1"/>
    <n v="64"/>
    <x v="4"/>
    <x v="1"/>
    <x v="1"/>
    <n v="6.26"/>
    <n v="16"/>
    <x v="4"/>
    <x v="2"/>
    <n v="17.989999999999998"/>
    <x v="0"/>
    <x v="1"/>
    <n v="5"/>
    <n v="0.37"/>
    <x v="0"/>
  </r>
  <r>
    <s v="dcea56c8-d72f-4f30-9afb-5b064d171f83"/>
    <n v="65"/>
    <x v="4"/>
    <x v="2"/>
    <x v="1"/>
    <n v="6.14"/>
    <n v="58"/>
    <x v="0"/>
    <x v="3"/>
    <n v="17.989999999999998"/>
    <x v="0"/>
    <x v="1"/>
    <n v="4"/>
    <n v="0.1"/>
    <x v="1"/>
  </r>
  <r>
    <s v="b91f25f0-5c8f-44e4-80ff-f3f3ed4eb2aa"/>
    <n v="66"/>
    <x v="4"/>
    <x v="2"/>
    <x v="0"/>
    <n v="3.86"/>
    <n v="28"/>
    <x v="3"/>
    <x v="1"/>
    <n v="13.99"/>
    <x v="1"/>
    <x v="3"/>
    <n v="3"/>
    <n v="0.13"/>
    <x v="6"/>
  </r>
  <r>
    <s v="8c571858-a16e-42d9-b4f0-71986f50d67e"/>
    <n v="65"/>
    <x v="4"/>
    <x v="0"/>
    <x v="0"/>
    <n v="18.34"/>
    <n v="48"/>
    <x v="1"/>
    <x v="2"/>
    <n v="13.99"/>
    <x v="1"/>
    <x v="1"/>
    <n v="1"/>
    <n v="0.37"/>
    <x v="3"/>
  </r>
  <r>
    <s v="f979c22f-3961-4834-9f65-00418173b159"/>
    <n v="59"/>
    <x v="4"/>
    <x v="0"/>
    <x v="2"/>
    <n v="4.0599999999999996"/>
    <n v="9"/>
    <x v="3"/>
    <x v="1"/>
    <n v="8.99"/>
    <x v="1"/>
    <x v="4"/>
    <n v="5"/>
    <n v="0.41"/>
    <x v="6"/>
  </r>
  <r>
    <s v="2df5009f-ba10-43b8-a428-572544188b0a"/>
    <n v="68"/>
    <x v="4"/>
    <x v="1"/>
    <x v="0"/>
    <n v="0.68"/>
    <n v="20"/>
    <x v="1"/>
    <x v="0"/>
    <n v="13.99"/>
    <x v="0"/>
    <x v="3"/>
    <n v="5"/>
    <n v="0.03"/>
    <x v="1"/>
  </r>
  <r>
    <s v="d3be3978-5f44-44c2-ba5c-5efda55c0788"/>
    <n v="68"/>
    <x v="4"/>
    <x v="1"/>
    <x v="1"/>
    <n v="1.89"/>
    <n v="4"/>
    <x v="2"/>
    <x v="1"/>
    <n v="17.989999999999998"/>
    <x v="0"/>
    <x v="2"/>
    <n v="4"/>
    <n v="0.38"/>
    <x v="5"/>
  </r>
  <r>
    <s v="915eb940-938f-4970-8bbf-9030603ae745"/>
    <n v="60"/>
    <x v="4"/>
    <x v="1"/>
    <x v="1"/>
    <n v="2.79"/>
    <n v="9"/>
    <x v="3"/>
    <x v="3"/>
    <n v="17.989999999999998"/>
    <x v="0"/>
    <x v="3"/>
    <n v="5"/>
    <n v="0.28000000000000003"/>
    <x v="2"/>
  </r>
  <r>
    <s v="76d82511-a6f4-4f45-ba69-2717608c288f"/>
    <n v="65"/>
    <x v="4"/>
    <x v="2"/>
    <x v="0"/>
    <n v="1"/>
    <n v="47"/>
    <x v="0"/>
    <x v="2"/>
    <n v="13.99"/>
    <x v="1"/>
    <x v="2"/>
    <n v="4"/>
    <n v="0.02"/>
    <x v="6"/>
  </r>
  <r>
    <s v="980bdfc4-9915-4faf-807d-013d3b374fcd"/>
    <n v="64"/>
    <x v="4"/>
    <x v="0"/>
    <x v="0"/>
    <n v="12.3"/>
    <n v="16"/>
    <x v="1"/>
    <x v="4"/>
    <n v="13.99"/>
    <x v="0"/>
    <x v="3"/>
    <n v="3"/>
    <n v="0.72"/>
    <x v="1"/>
  </r>
  <r>
    <s v="3ed1e81a-004f-4f9a-9c08-516cd36f8f79"/>
    <n v="57"/>
    <x v="4"/>
    <x v="2"/>
    <x v="0"/>
    <n v="17.87"/>
    <n v="36"/>
    <x v="3"/>
    <x v="4"/>
    <n v="13.99"/>
    <x v="0"/>
    <x v="3"/>
    <n v="4"/>
    <n v="0.48"/>
    <x v="3"/>
  </r>
  <r>
    <s v="4e1d4840-8dd1-44ec-8965-b46c39a19d9d"/>
    <n v="66"/>
    <x v="4"/>
    <x v="0"/>
    <x v="0"/>
    <n v="3.01"/>
    <n v="4"/>
    <x v="3"/>
    <x v="4"/>
    <n v="13.99"/>
    <x v="0"/>
    <x v="2"/>
    <n v="2"/>
    <n v="0.6"/>
    <x v="1"/>
  </r>
  <r>
    <s v="a4d2a10a-b24e-4b17-8dc3-095c6a1a2b87"/>
    <n v="70"/>
    <x v="4"/>
    <x v="2"/>
    <x v="2"/>
    <n v="1.35"/>
    <n v="46"/>
    <x v="5"/>
    <x v="2"/>
    <n v="8.99"/>
    <x v="1"/>
    <x v="4"/>
    <n v="5"/>
    <n v="0.03"/>
    <x v="1"/>
  </r>
  <r>
    <s v="89f9379b-bb79-4b69-bdc7-b09d9a1fa20c"/>
    <n v="56"/>
    <x v="4"/>
    <x v="1"/>
    <x v="1"/>
    <n v="3.39"/>
    <n v="45"/>
    <x v="5"/>
    <x v="4"/>
    <n v="17.989999999999998"/>
    <x v="1"/>
    <x v="1"/>
    <n v="3"/>
    <n v="7.0000000000000007E-2"/>
    <x v="0"/>
  </r>
  <r>
    <s v="3eaad6f4-7f15-4c49-87d7-e05105c2eea3"/>
    <n v="63"/>
    <x v="4"/>
    <x v="2"/>
    <x v="1"/>
    <n v="0.81"/>
    <n v="13"/>
    <x v="0"/>
    <x v="2"/>
    <n v="17.989999999999998"/>
    <x v="0"/>
    <x v="2"/>
    <n v="5"/>
    <n v="0.06"/>
    <x v="4"/>
  </r>
  <r>
    <s v="2a81ec64-9b95-44ac-9bbd-3e77e004436e"/>
    <n v="59"/>
    <x v="4"/>
    <x v="2"/>
    <x v="2"/>
    <n v="7.32"/>
    <n v="52"/>
    <x v="1"/>
    <x v="1"/>
    <n v="8.99"/>
    <x v="1"/>
    <x v="3"/>
    <n v="3"/>
    <n v="0.14000000000000001"/>
    <x v="4"/>
  </r>
  <r>
    <s v="7a65b354-9f0c-44fa-a680-0e9d3c87c73e"/>
    <n v="59"/>
    <x v="4"/>
    <x v="0"/>
    <x v="1"/>
    <n v="1.7"/>
    <n v="54"/>
    <x v="5"/>
    <x v="0"/>
    <n v="17.989999999999998"/>
    <x v="1"/>
    <x v="0"/>
    <n v="3"/>
    <n v="0.03"/>
    <x v="4"/>
  </r>
  <r>
    <s v="88bacbc1-bb05-43ac-a090-35f31e6074d8"/>
    <n v="70"/>
    <x v="4"/>
    <x v="2"/>
    <x v="0"/>
    <n v="29.3"/>
    <n v="53"/>
    <x v="0"/>
    <x v="1"/>
    <n v="13.99"/>
    <x v="0"/>
    <x v="3"/>
    <n v="3"/>
    <n v="0.54"/>
    <x v="0"/>
  </r>
  <r>
    <s v="86765856-af6d-4291-8299-8ef70972a583"/>
    <n v="68"/>
    <x v="4"/>
    <x v="1"/>
    <x v="2"/>
    <n v="6.53"/>
    <n v="6"/>
    <x v="1"/>
    <x v="1"/>
    <n v="8.99"/>
    <x v="0"/>
    <x v="3"/>
    <n v="4"/>
    <n v="0.93"/>
    <x v="5"/>
  </r>
  <r>
    <s v="2a290e33-1f4c-4b59-88d5-bb9fb03129ea"/>
    <n v="70"/>
    <x v="4"/>
    <x v="1"/>
    <x v="2"/>
    <n v="23.08"/>
    <n v="25"/>
    <x v="2"/>
    <x v="0"/>
    <n v="8.99"/>
    <x v="0"/>
    <x v="1"/>
    <n v="3"/>
    <n v="0.89"/>
    <x v="1"/>
  </r>
  <r>
    <s v="a338aff4-ae1a-45ce-bea5-bce572efe8c1"/>
    <n v="68"/>
    <x v="4"/>
    <x v="0"/>
    <x v="1"/>
    <n v="0.2"/>
    <n v="32"/>
    <x v="4"/>
    <x v="1"/>
    <n v="17.989999999999998"/>
    <x v="1"/>
    <x v="0"/>
    <n v="1"/>
    <n v="0.01"/>
    <x v="2"/>
  </r>
  <r>
    <s v="087f0011-86fb-4327-a18a-536a08edfb5d"/>
    <n v="68"/>
    <x v="4"/>
    <x v="1"/>
    <x v="1"/>
    <n v="1.67"/>
    <n v="18"/>
    <x v="3"/>
    <x v="2"/>
    <n v="17.989999999999998"/>
    <x v="1"/>
    <x v="3"/>
    <n v="3"/>
    <n v="0.09"/>
    <x v="4"/>
  </r>
  <r>
    <s v="785e0652-1283-4c68-a635-e96f3140cbcc"/>
    <n v="62"/>
    <x v="4"/>
    <x v="2"/>
    <x v="1"/>
    <n v="4.25"/>
    <n v="40"/>
    <x v="0"/>
    <x v="2"/>
    <n v="17.989999999999998"/>
    <x v="1"/>
    <x v="2"/>
    <n v="2"/>
    <n v="0.1"/>
    <x v="1"/>
  </r>
  <r>
    <s v="b4147601-494d-43c8-8ff2-1320cc1d525f"/>
    <n v="60"/>
    <x v="4"/>
    <x v="0"/>
    <x v="1"/>
    <n v="11.15"/>
    <n v="49"/>
    <x v="2"/>
    <x v="3"/>
    <n v="17.989999999999998"/>
    <x v="1"/>
    <x v="0"/>
    <n v="5"/>
    <n v="0.22"/>
    <x v="4"/>
  </r>
  <r>
    <s v="4a8b2fa1-8c5e-47f2-9801-c168aa84121d"/>
    <n v="70"/>
    <x v="4"/>
    <x v="2"/>
    <x v="1"/>
    <n v="3.19"/>
    <n v="24"/>
    <x v="0"/>
    <x v="3"/>
    <n v="17.989999999999998"/>
    <x v="1"/>
    <x v="0"/>
    <n v="2"/>
    <n v="0.13"/>
    <x v="6"/>
  </r>
  <r>
    <s v="b4c3ab7d-546b-4666-9e31-79d34941b0ae"/>
    <n v="57"/>
    <x v="4"/>
    <x v="2"/>
    <x v="1"/>
    <n v="24.49"/>
    <n v="46"/>
    <x v="5"/>
    <x v="0"/>
    <n v="17.989999999999998"/>
    <x v="0"/>
    <x v="4"/>
    <n v="4"/>
    <n v="0.52"/>
    <x v="3"/>
  </r>
  <r>
    <s v="01b3b3ce-2c57-42d6-aca9-497b62a1c66b"/>
    <n v="69"/>
    <x v="4"/>
    <x v="0"/>
    <x v="0"/>
    <n v="3.35"/>
    <n v="5"/>
    <x v="1"/>
    <x v="1"/>
    <n v="13.99"/>
    <x v="0"/>
    <x v="4"/>
    <n v="4"/>
    <n v="0.56000000000000005"/>
    <x v="3"/>
  </r>
  <r>
    <s v="485931a6-ccb3-4436-9554-430fbc8d189a"/>
    <n v="55"/>
    <x v="4"/>
    <x v="2"/>
    <x v="1"/>
    <n v="1.2"/>
    <n v="32"/>
    <x v="1"/>
    <x v="3"/>
    <n v="17.989999999999998"/>
    <x v="1"/>
    <x v="2"/>
    <n v="4"/>
    <n v="0.04"/>
    <x v="0"/>
  </r>
  <r>
    <s v="4c0287b1-cf45-4107-a454-cd7c56d26948"/>
    <n v="61"/>
    <x v="4"/>
    <x v="1"/>
    <x v="1"/>
    <n v="4.58"/>
    <n v="33"/>
    <x v="1"/>
    <x v="2"/>
    <n v="17.989999999999998"/>
    <x v="1"/>
    <x v="4"/>
    <n v="4"/>
    <n v="0.13"/>
    <x v="1"/>
  </r>
  <r>
    <s v="f6ab90b9-5e01-429e-aac6-b858b434b20c"/>
    <n v="63"/>
    <x v="4"/>
    <x v="1"/>
    <x v="1"/>
    <n v="3.98"/>
    <n v="43"/>
    <x v="0"/>
    <x v="1"/>
    <n v="17.989999999999998"/>
    <x v="1"/>
    <x v="3"/>
    <n v="2"/>
    <n v="0.09"/>
    <x v="2"/>
  </r>
  <r>
    <s v="b9ae2a97-9bb7-42f3-b6a9-4c90f221ce64"/>
    <n v="66"/>
    <x v="4"/>
    <x v="2"/>
    <x v="2"/>
    <n v="8.68"/>
    <n v="50"/>
    <x v="5"/>
    <x v="2"/>
    <n v="8.99"/>
    <x v="1"/>
    <x v="3"/>
    <n v="3"/>
    <n v="0.17"/>
    <x v="6"/>
  </r>
  <r>
    <s v="c20324f1-17e6-4484-b4bc-8671f89e607e"/>
    <n v="65"/>
    <x v="4"/>
    <x v="0"/>
    <x v="1"/>
    <n v="10.55"/>
    <n v="25"/>
    <x v="3"/>
    <x v="1"/>
    <n v="17.989999999999998"/>
    <x v="0"/>
    <x v="4"/>
    <n v="5"/>
    <n v="0.41"/>
    <x v="0"/>
  </r>
  <r>
    <s v="93b8f61c-4375-49bc-a30d-54b4c319f266"/>
    <n v="68"/>
    <x v="4"/>
    <x v="0"/>
    <x v="2"/>
    <n v="3.07"/>
    <n v="49"/>
    <x v="2"/>
    <x v="1"/>
    <n v="8.99"/>
    <x v="1"/>
    <x v="2"/>
    <n v="3"/>
    <n v="0.06"/>
    <x v="4"/>
  </r>
  <r>
    <s v="b28cfde3-38e8-4dac-943d-c148414757b1"/>
    <n v="70"/>
    <x v="4"/>
    <x v="1"/>
    <x v="0"/>
    <n v="25.23"/>
    <n v="7"/>
    <x v="5"/>
    <x v="1"/>
    <n v="13.99"/>
    <x v="0"/>
    <x v="4"/>
    <n v="3"/>
    <n v="3.15"/>
    <x v="1"/>
  </r>
  <r>
    <s v="dda37d3a-c038-448e-894d-630954f9fd3f"/>
    <n v="66"/>
    <x v="4"/>
    <x v="2"/>
    <x v="1"/>
    <n v="5.17"/>
    <n v="18"/>
    <x v="4"/>
    <x v="1"/>
    <n v="17.989999999999998"/>
    <x v="0"/>
    <x v="4"/>
    <n v="3"/>
    <n v="0.27"/>
    <x v="0"/>
  </r>
  <r>
    <s v="eb14315f-33e7-4020-b9f6-f94f2b357828"/>
    <n v="68"/>
    <x v="4"/>
    <x v="0"/>
    <x v="0"/>
    <n v="18.07"/>
    <n v="1"/>
    <x v="0"/>
    <x v="0"/>
    <n v="13.99"/>
    <x v="0"/>
    <x v="0"/>
    <n v="3"/>
    <n v="9.0399999999999991"/>
    <x v="2"/>
  </r>
  <r>
    <s v="21a8aaa5-6af5-4756-be7d-57b226f5c7f3"/>
    <n v="67"/>
    <x v="4"/>
    <x v="1"/>
    <x v="2"/>
    <n v="10.82"/>
    <n v="53"/>
    <x v="2"/>
    <x v="0"/>
    <n v="8.99"/>
    <x v="1"/>
    <x v="4"/>
    <n v="5"/>
    <n v="0.2"/>
    <x v="6"/>
  </r>
  <r>
    <s v="16a3e295-eada-4912-a842-8a4ed842d77b"/>
    <n v="61"/>
    <x v="4"/>
    <x v="0"/>
    <x v="0"/>
    <n v="2.27"/>
    <n v="27"/>
    <x v="5"/>
    <x v="3"/>
    <n v="13.99"/>
    <x v="1"/>
    <x v="2"/>
    <n v="3"/>
    <n v="0.08"/>
    <x v="5"/>
  </r>
  <r>
    <s v="4d1caeb4-9ec4-4179-bb9b-ff2fd6206951"/>
    <n v="70"/>
    <x v="4"/>
    <x v="1"/>
    <x v="1"/>
    <n v="18.73"/>
    <n v="41"/>
    <x v="0"/>
    <x v="1"/>
    <n v="17.989999999999998"/>
    <x v="1"/>
    <x v="0"/>
    <n v="4"/>
    <n v="0.45"/>
    <x v="4"/>
  </r>
  <r>
    <s v="9b551d02-4450-4882-abca-6fc87f625427"/>
    <n v="61"/>
    <x v="4"/>
    <x v="2"/>
    <x v="2"/>
    <n v="16.100000000000001"/>
    <n v="0"/>
    <x v="5"/>
    <x v="0"/>
    <n v="8.99"/>
    <x v="0"/>
    <x v="1"/>
    <n v="1"/>
    <n v="16.100000000000001"/>
    <x v="3"/>
  </r>
  <r>
    <s v="95b2428f-6c41-4839-99d9-9e87a3ae603e"/>
    <n v="65"/>
    <x v="4"/>
    <x v="2"/>
    <x v="0"/>
    <n v="5.46"/>
    <n v="55"/>
    <x v="2"/>
    <x v="4"/>
    <n v="13.99"/>
    <x v="1"/>
    <x v="3"/>
    <n v="2"/>
    <n v="0.1"/>
    <x v="6"/>
  </r>
  <r>
    <s v="1bf23e82-0b9d-4e22-92aa-4b8017e43f61"/>
    <n v="67"/>
    <x v="4"/>
    <x v="0"/>
    <x v="1"/>
    <n v="4.2"/>
    <n v="3"/>
    <x v="2"/>
    <x v="3"/>
    <n v="17.989999999999998"/>
    <x v="0"/>
    <x v="0"/>
    <n v="5"/>
    <n v="1.05"/>
    <x v="3"/>
  </r>
  <r>
    <s v="64d4e2f0-b796-4477-a2b9-dcb8d011e50f"/>
    <n v="59"/>
    <x v="4"/>
    <x v="1"/>
    <x v="2"/>
    <n v="7.97"/>
    <n v="11"/>
    <x v="0"/>
    <x v="0"/>
    <n v="8.99"/>
    <x v="0"/>
    <x v="0"/>
    <n v="1"/>
    <n v="0.66"/>
    <x v="3"/>
  </r>
  <r>
    <s v="496b3ef6-6a0a-4f3b-a4e2-5369a458408a"/>
    <n v="69"/>
    <x v="4"/>
    <x v="2"/>
    <x v="1"/>
    <n v="20.29"/>
    <n v="37"/>
    <x v="4"/>
    <x v="0"/>
    <n v="17.989999999999998"/>
    <x v="0"/>
    <x v="1"/>
    <n v="5"/>
    <n v="0.53"/>
    <x v="2"/>
  </r>
  <r>
    <s v="5c9b9dd1-47d9-4f4f-9e25-d4e7aaaa27a5"/>
    <n v="58"/>
    <x v="4"/>
    <x v="1"/>
    <x v="0"/>
    <n v="13.23"/>
    <n v="18"/>
    <x v="0"/>
    <x v="1"/>
    <n v="13.99"/>
    <x v="0"/>
    <x v="1"/>
    <n v="5"/>
    <n v="0.7"/>
    <x v="1"/>
  </r>
  <r>
    <s v="93226922-b654-47d2-bee2-6801bd2f8ced"/>
    <n v="66"/>
    <x v="4"/>
    <x v="1"/>
    <x v="1"/>
    <n v="14.15"/>
    <n v="14"/>
    <x v="2"/>
    <x v="2"/>
    <n v="17.989999999999998"/>
    <x v="0"/>
    <x v="3"/>
    <n v="1"/>
    <n v="0.94"/>
    <x v="3"/>
  </r>
  <r>
    <s v="6232c7ae-f01e-4ac3-845c-0f5a3f151e40"/>
    <n v="61"/>
    <x v="4"/>
    <x v="2"/>
    <x v="0"/>
    <n v="4.1399999999999997"/>
    <n v="30"/>
    <x v="0"/>
    <x v="1"/>
    <n v="13.99"/>
    <x v="1"/>
    <x v="2"/>
    <n v="2"/>
    <n v="0.13"/>
    <x v="0"/>
  </r>
  <r>
    <s v="309b7813-e5ae-4120-aeae-303993c0136a"/>
    <n v="60"/>
    <x v="4"/>
    <x v="2"/>
    <x v="0"/>
    <n v="6.23"/>
    <n v="19"/>
    <x v="2"/>
    <x v="3"/>
    <n v="13.99"/>
    <x v="0"/>
    <x v="3"/>
    <n v="5"/>
    <n v="0.31"/>
    <x v="5"/>
  </r>
  <r>
    <s v="c5922e16-8d07-4107-bf11-7a7d14353f44"/>
    <n v="57"/>
    <x v="4"/>
    <x v="2"/>
    <x v="1"/>
    <n v="7.79"/>
    <n v="46"/>
    <x v="1"/>
    <x v="0"/>
    <n v="17.989999999999998"/>
    <x v="1"/>
    <x v="0"/>
    <n v="5"/>
    <n v="0.17"/>
    <x v="5"/>
  </r>
  <r>
    <s v="0c40bdbb-d30b-489e-ac36-91ab09dfdeab"/>
    <n v="57"/>
    <x v="4"/>
    <x v="2"/>
    <x v="2"/>
    <n v="3.31"/>
    <n v="57"/>
    <x v="1"/>
    <x v="2"/>
    <n v="8.99"/>
    <x v="1"/>
    <x v="4"/>
    <n v="2"/>
    <n v="0.06"/>
    <x v="0"/>
  </r>
  <r>
    <s v="dd0f0abf-7da7-451d-8303-5c9d4e6c7686"/>
    <n v="68"/>
    <x v="4"/>
    <x v="0"/>
    <x v="1"/>
    <n v="23.8"/>
    <n v="4"/>
    <x v="5"/>
    <x v="4"/>
    <n v="17.989999999999998"/>
    <x v="0"/>
    <x v="0"/>
    <n v="2"/>
    <n v="4.76"/>
    <x v="6"/>
  </r>
  <r>
    <s v="40bdcfc1-aa37-4245-8b1a-5457ee4c3329"/>
    <n v="66"/>
    <x v="4"/>
    <x v="0"/>
    <x v="1"/>
    <n v="7.68"/>
    <n v="15"/>
    <x v="2"/>
    <x v="4"/>
    <n v="17.989999999999998"/>
    <x v="0"/>
    <x v="0"/>
    <n v="4"/>
    <n v="0.48"/>
    <x v="0"/>
  </r>
  <r>
    <s v="b4c0a5b3-9910-4d8d-a34b-c7ac6672e6c3"/>
    <n v="55"/>
    <x v="4"/>
    <x v="1"/>
    <x v="1"/>
    <n v="4.3600000000000003"/>
    <n v="52"/>
    <x v="5"/>
    <x v="3"/>
    <n v="17.989999999999998"/>
    <x v="1"/>
    <x v="0"/>
    <n v="2"/>
    <n v="0.08"/>
    <x v="1"/>
  </r>
  <r>
    <s v="18d21cf8-fa88-4759-9ae3-81e1d3fc58fd"/>
    <n v="63"/>
    <x v="4"/>
    <x v="0"/>
    <x v="0"/>
    <n v="18.489999999999998"/>
    <n v="13"/>
    <x v="1"/>
    <x v="0"/>
    <n v="13.99"/>
    <x v="0"/>
    <x v="3"/>
    <n v="1"/>
    <n v="1.32"/>
    <x v="0"/>
  </r>
  <r>
    <s v="1afd1afc-9a16-4a59-9391-b5165327d402"/>
    <n v="69"/>
    <x v="4"/>
    <x v="2"/>
    <x v="2"/>
    <n v="21.53"/>
    <n v="7"/>
    <x v="4"/>
    <x v="1"/>
    <n v="8.99"/>
    <x v="0"/>
    <x v="0"/>
    <n v="3"/>
    <n v="2.69"/>
    <x v="1"/>
  </r>
  <r>
    <s v="ce42525a-3f98-4e08-96d5-22881f3069cb"/>
    <n v="69"/>
    <x v="4"/>
    <x v="0"/>
    <x v="1"/>
    <n v="6.95"/>
    <n v="54"/>
    <x v="1"/>
    <x v="3"/>
    <n v="17.989999999999998"/>
    <x v="0"/>
    <x v="1"/>
    <n v="5"/>
    <n v="0.13"/>
    <x v="3"/>
  </r>
  <r>
    <s v="72b7cdc5-7d03-4550-8bc6-28db784dc8ca"/>
    <n v="56"/>
    <x v="4"/>
    <x v="1"/>
    <x v="1"/>
    <n v="0.12"/>
    <n v="10"/>
    <x v="5"/>
    <x v="1"/>
    <n v="17.989999999999998"/>
    <x v="1"/>
    <x v="0"/>
    <n v="4"/>
    <n v="0.01"/>
    <x v="2"/>
  </r>
  <r>
    <s v="11c276ad-6bf4-4e1e-bd5c-ae39ed4bad89"/>
    <n v="66"/>
    <x v="4"/>
    <x v="2"/>
    <x v="1"/>
    <n v="5.73"/>
    <n v="58"/>
    <x v="1"/>
    <x v="3"/>
    <n v="17.989999999999998"/>
    <x v="1"/>
    <x v="3"/>
    <n v="1"/>
    <n v="0.1"/>
    <x v="3"/>
  </r>
  <r>
    <s v="3f02596b-e0e2-4a15-8142-60d5d4ea59cb"/>
    <n v="55"/>
    <x v="4"/>
    <x v="2"/>
    <x v="2"/>
    <n v="10.19"/>
    <n v="5"/>
    <x v="1"/>
    <x v="3"/>
    <n v="8.99"/>
    <x v="0"/>
    <x v="3"/>
    <n v="3"/>
    <n v="1.7"/>
    <x v="3"/>
  </r>
  <r>
    <s v="31ff060b-e65e-4ff9-b663-dc0431f70c17"/>
    <n v="63"/>
    <x v="4"/>
    <x v="2"/>
    <x v="2"/>
    <n v="6.81"/>
    <n v="18"/>
    <x v="1"/>
    <x v="0"/>
    <n v="8.99"/>
    <x v="0"/>
    <x v="4"/>
    <n v="4"/>
    <n v="0.36"/>
    <x v="1"/>
  </r>
  <r>
    <s v="47bac1f0-d7bf-4c0b-8489-888e89950661"/>
    <n v="62"/>
    <x v="4"/>
    <x v="2"/>
    <x v="2"/>
    <n v="0.9"/>
    <n v="22"/>
    <x v="2"/>
    <x v="4"/>
    <n v="8.99"/>
    <x v="1"/>
    <x v="1"/>
    <n v="4"/>
    <n v="0.04"/>
    <x v="4"/>
  </r>
  <r>
    <s v="f51adae7-ef23-404a-a35b-af069595bfc3"/>
    <n v="62"/>
    <x v="4"/>
    <x v="0"/>
    <x v="2"/>
    <n v="79.180000000000007"/>
    <n v="18"/>
    <x v="1"/>
    <x v="0"/>
    <n v="8.99"/>
    <x v="0"/>
    <x v="2"/>
    <n v="3"/>
    <n v="4.17"/>
    <x v="5"/>
  </r>
  <r>
    <s v="2c38e8ff-cf40-454e-b3b0-740af2a79dc4"/>
    <n v="58"/>
    <x v="4"/>
    <x v="0"/>
    <x v="0"/>
    <n v="2.5299999999999998"/>
    <n v="54"/>
    <x v="1"/>
    <x v="3"/>
    <n v="13.99"/>
    <x v="1"/>
    <x v="4"/>
    <n v="5"/>
    <n v="0.05"/>
    <x v="6"/>
  </r>
  <r>
    <s v="c6ef4026-e73c-488a-ad6f-9928108317be"/>
    <n v="62"/>
    <x v="4"/>
    <x v="1"/>
    <x v="0"/>
    <n v="7.36"/>
    <n v="45"/>
    <x v="3"/>
    <x v="1"/>
    <n v="13.99"/>
    <x v="1"/>
    <x v="3"/>
    <n v="2"/>
    <n v="0.16"/>
    <x v="2"/>
  </r>
  <r>
    <s v="ed940bf8-aee8-4084-aea0-c94146d3a17c"/>
    <n v="59"/>
    <x v="4"/>
    <x v="2"/>
    <x v="0"/>
    <n v="1.86"/>
    <n v="40"/>
    <x v="2"/>
    <x v="1"/>
    <n v="13.99"/>
    <x v="1"/>
    <x v="0"/>
    <n v="5"/>
    <n v="0.05"/>
    <x v="0"/>
  </r>
  <r>
    <s v="9dff2733-4de0-4a36-9c8c-0e7dac7e36da"/>
    <n v="67"/>
    <x v="4"/>
    <x v="2"/>
    <x v="1"/>
    <n v="7.94"/>
    <n v="52"/>
    <x v="2"/>
    <x v="4"/>
    <n v="17.989999999999998"/>
    <x v="1"/>
    <x v="0"/>
    <n v="1"/>
    <n v="0.15"/>
    <x v="2"/>
  </r>
  <r>
    <s v="f33fab0f-cdc4-4f27-927b-71b8540f1645"/>
    <n v="63"/>
    <x v="4"/>
    <x v="0"/>
    <x v="2"/>
    <n v="1.84"/>
    <n v="15"/>
    <x v="2"/>
    <x v="3"/>
    <n v="8.99"/>
    <x v="1"/>
    <x v="1"/>
    <n v="3"/>
    <n v="0.12"/>
    <x v="3"/>
  </r>
  <r>
    <s v="eb856ff3-00f3-44e5-be5b-0d895c9226e5"/>
    <n v="68"/>
    <x v="4"/>
    <x v="2"/>
    <x v="2"/>
    <n v="24.34"/>
    <n v="16"/>
    <x v="5"/>
    <x v="3"/>
    <n v="8.99"/>
    <x v="0"/>
    <x v="2"/>
    <n v="5"/>
    <n v="1.43"/>
    <x v="5"/>
  </r>
  <r>
    <s v="59851cb6-1f00-424c-88b2-e1a5a3320650"/>
    <n v="61"/>
    <x v="4"/>
    <x v="0"/>
    <x v="1"/>
    <n v="6.27"/>
    <n v="42"/>
    <x v="2"/>
    <x v="0"/>
    <n v="17.989999999999998"/>
    <x v="1"/>
    <x v="0"/>
    <n v="1"/>
    <n v="0.15"/>
    <x v="3"/>
  </r>
  <r>
    <s v="deb7873d-1def-45fa-afd9-1cd7a6c3b199"/>
    <n v="64"/>
    <x v="4"/>
    <x v="2"/>
    <x v="2"/>
    <n v="15.97"/>
    <n v="6"/>
    <x v="5"/>
    <x v="2"/>
    <n v="8.99"/>
    <x v="0"/>
    <x v="2"/>
    <n v="1"/>
    <n v="2.2799999999999998"/>
    <x v="4"/>
  </r>
  <r>
    <s v="0567aa10-7398-4fb5-9ad7-05bc221ccf7b"/>
    <n v="70"/>
    <x v="4"/>
    <x v="0"/>
    <x v="2"/>
    <n v="12.25"/>
    <n v="8"/>
    <x v="3"/>
    <x v="3"/>
    <n v="8.99"/>
    <x v="0"/>
    <x v="0"/>
    <n v="3"/>
    <n v="1.36"/>
    <x v="2"/>
  </r>
  <r>
    <s v="153f211f-8482-4da2-89b4-44848fa3ee76"/>
    <n v="55"/>
    <x v="4"/>
    <x v="0"/>
    <x v="0"/>
    <n v="50.26"/>
    <n v="53"/>
    <x v="0"/>
    <x v="4"/>
    <n v="13.99"/>
    <x v="0"/>
    <x v="2"/>
    <n v="3"/>
    <n v="0.93"/>
    <x v="1"/>
  </r>
  <r>
    <s v="275285d4-3473-42ef-9539-36f58642ca2d"/>
    <n v="62"/>
    <x v="4"/>
    <x v="2"/>
    <x v="1"/>
    <n v="5.94"/>
    <n v="16"/>
    <x v="1"/>
    <x v="0"/>
    <n v="17.989999999999998"/>
    <x v="0"/>
    <x v="2"/>
    <n v="4"/>
    <n v="0.35"/>
    <x v="5"/>
  </r>
  <r>
    <s v="bb595ca1-75a4-4ff2-b2d5-7bc616908485"/>
    <n v="57"/>
    <x v="4"/>
    <x v="1"/>
    <x v="2"/>
    <n v="21.42"/>
    <n v="51"/>
    <x v="2"/>
    <x v="3"/>
    <n v="8.99"/>
    <x v="1"/>
    <x v="4"/>
    <n v="4"/>
    <n v="0.41"/>
    <x v="4"/>
  </r>
  <r>
    <s v="6733fa88-2c22-4289-8f9d-2738f2f223f2"/>
    <n v="67"/>
    <x v="4"/>
    <x v="0"/>
    <x v="2"/>
    <n v="0.34"/>
    <n v="16"/>
    <x v="1"/>
    <x v="2"/>
    <n v="8.99"/>
    <x v="1"/>
    <x v="4"/>
    <n v="4"/>
    <n v="0.02"/>
    <x v="2"/>
  </r>
  <r>
    <s v="d60d6724-ba88-43d6-b084-1098266795e3"/>
    <n v="63"/>
    <x v="4"/>
    <x v="1"/>
    <x v="1"/>
    <n v="13.82"/>
    <n v="38"/>
    <x v="4"/>
    <x v="3"/>
    <n v="17.989999999999998"/>
    <x v="1"/>
    <x v="0"/>
    <n v="2"/>
    <n v="0.35"/>
    <x v="6"/>
  </r>
  <r>
    <s v="b599a0ed-bf0a-45bb-aeb6-0722f73a50fa"/>
    <n v="67"/>
    <x v="4"/>
    <x v="2"/>
    <x v="0"/>
    <n v="1.71"/>
    <n v="47"/>
    <x v="0"/>
    <x v="4"/>
    <n v="13.99"/>
    <x v="1"/>
    <x v="0"/>
    <n v="2"/>
    <n v="0.04"/>
    <x v="4"/>
  </r>
  <r>
    <s v="a4493643-2e07-47da-a9aa-2cfd8b95ee3c"/>
    <n v="63"/>
    <x v="4"/>
    <x v="2"/>
    <x v="1"/>
    <n v="13.66"/>
    <n v="4"/>
    <x v="0"/>
    <x v="2"/>
    <n v="17.989999999999998"/>
    <x v="0"/>
    <x v="3"/>
    <n v="2"/>
    <n v="2.73"/>
    <x v="6"/>
  </r>
  <r>
    <s v="d2175c8d-2b9d-4e57-8156-d60a6337269d"/>
    <n v="56"/>
    <x v="4"/>
    <x v="1"/>
    <x v="0"/>
    <n v="11"/>
    <n v="21"/>
    <x v="5"/>
    <x v="0"/>
    <n v="13.99"/>
    <x v="0"/>
    <x v="1"/>
    <n v="2"/>
    <n v="0.5"/>
    <x v="0"/>
  </r>
  <r>
    <s v="6c1223e7-81e1-4917-85e5-1a4c20152121"/>
    <n v="65"/>
    <x v="4"/>
    <x v="1"/>
    <x v="2"/>
    <n v="4.92"/>
    <n v="44"/>
    <x v="5"/>
    <x v="4"/>
    <n v="8.99"/>
    <x v="1"/>
    <x v="0"/>
    <n v="5"/>
    <n v="0.11"/>
    <x v="1"/>
  </r>
  <r>
    <s v="fcb2d78a-d7e2-4f45-bf6f-5c9d5be316a1"/>
    <n v="60"/>
    <x v="4"/>
    <x v="2"/>
    <x v="1"/>
    <n v="17.14"/>
    <n v="28"/>
    <x v="5"/>
    <x v="3"/>
    <n v="17.989999999999998"/>
    <x v="0"/>
    <x v="4"/>
    <n v="5"/>
    <n v="0.59"/>
    <x v="6"/>
  </r>
  <r>
    <s v="14fd0c3d-7c20-4f74-b705-fc894aafc0e6"/>
    <n v="69"/>
    <x v="4"/>
    <x v="1"/>
    <x v="0"/>
    <n v="1.33"/>
    <n v="22"/>
    <x v="3"/>
    <x v="1"/>
    <n v="13.99"/>
    <x v="1"/>
    <x v="4"/>
    <n v="3"/>
    <n v="0.06"/>
    <x v="2"/>
  </r>
  <r>
    <s v="c4e791eb-6ab3-4845-a181-b678fa7fa97a"/>
    <n v="69"/>
    <x v="4"/>
    <x v="1"/>
    <x v="0"/>
    <n v="77.650000000000006"/>
    <n v="52"/>
    <x v="5"/>
    <x v="0"/>
    <n v="13.99"/>
    <x v="0"/>
    <x v="3"/>
    <n v="2"/>
    <n v="1.47"/>
    <x v="2"/>
  </r>
  <r>
    <s v="ffd64028-3f77-4c63-8a5c-42c17cf277db"/>
    <n v="67"/>
    <x v="4"/>
    <x v="2"/>
    <x v="0"/>
    <n v="5.35"/>
    <n v="46"/>
    <x v="3"/>
    <x v="0"/>
    <n v="13.99"/>
    <x v="1"/>
    <x v="0"/>
    <n v="1"/>
    <n v="0.11"/>
    <x v="6"/>
  </r>
  <r>
    <s v="e873479a-1eee-40eb-b0ff-a77512efc64e"/>
    <n v="66"/>
    <x v="4"/>
    <x v="0"/>
    <x v="0"/>
    <n v="21.15"/>
    <n v="51"/>
    <x v="4"/>
    <x v="4"/>
    <n v="13.99"/>
    <x v="0"/>
    <x v="3"/>
    <n v="5"/>
    <n v="0.41"/>
    <x v="6"/>
  </r>
  <r>
    <s v="ab3d3213-c9c4-4843-abef-94fedd12b6b9"/>
    <n v="60"/>
    <x v="4"/>
    <x v="1"/>
    <x v="0"/>
    <n v="2.38"/>
    <n v="10"/>
    <x v="0"/>
    <x v="1"/>
    <n v="13.99"/>
    <x v="0"/>
    <x v="1"/>
    <n v="5"/>
    <n v="0.22"/>
    <x v="3"/>
  </r>
  <r>
    <s v="5f50140b-1f81-4e05-bf0d-e2efdf9d83d0"/>
    <n v="69"/>
    <x v="4"/>
    <x v="2"/>
    <x v="0"/>
    <n v="0.36"/>
    <n v="50"/>
    <x v="1"/>
    <x v="3"/>
    <n v="13.99"/>
    <x v="1"/>
    <x v="2"/>
    <n v="2"/>
    <n v="0.01"/>
    <x v="5"/>
  </r>
  <r>
    <s v="8ca24125-559b-4d91-b405-46de7915f685"/>
    <n v="65"/>
    <x v="4"/>
    <x v="0"/>
    <x v="0"/>
    <n v="7.4"/>
    <n v="34"/>
    <x v="2"/>
    <x v="0"/>
    <n v="13.99"/>
    <x v="1"/>
    <x v="0"/>
    <n v="3"/>
    <n v="0.21"/>
    <x v="6"/>
  </r>
  <r>
    <s v="d2a0854f-8b84-470a-8f81-ce7c2949e216"/>
    <n v="63"/>
    <x v="4"/>
    <x v="2"/>
    <x v="2"/>
    <n v="4.09"/>
    <n v="55"/>
    <x v="2"/>
    <x v="3"/>
    <n v="8.99"/>
    <x v="1"/>
    <x v="2"/>
    <n v="1"/>
    <n v="7.0000000000000007E-2"/>
    <x v="4"/>
  </r>
  <r>
    <s v="aa7a6ff6-6acb-4fa2-80ac-c9df590d99b5"/>
    <n v="55"/>
    <x v="4"/>
    <x v="0"/>
    <x v="1"/>
    <n v="14.29"/>
    <n v="30"/>
    <x v="2"/>
    <x v="1"/>
    <n v="17.989999999999998"/>
    <x v="0"/>
    <x v="0"/>
    <n v="5"/>
    <n v="0.46"/>
    <x v="3"/>
  </r>
  <r>
    <s v="d7f4bf21-ac26-45bf-91f0-06e1fcfe9bd7"/>
    <n v="65"/>
    <x v="4"/>
    <x v="1"/>
    <x v="2"/>
    <n v="25.81"/>
    <n v="41"/>
    <x v="3"/>
    <x v="0"/>
    <n v="8.99"/>
    <x v="0"/>
    <x v="2"/>
    <n v="1"/>
    <n v="0.61"/>
    <x v="6"/>
  </r>
  <r>
    <s v="b54bde1d-fa6b-4376-8f85-5daf9af3baf0"/>
    <n v="65"/>
    <x v="4"/>
    <x v="0"/>
    <x v="2"/>
    <n v="10.94"/>
    <n v="18"/>
    <x v="0"/>
    <x v="1"/>
    <n v="8.99"/>
    <x v="0"/>
    <x v="0"/>
    <n v="3"/>
    <n v="0.57999999999999996"/>
    <x v="6"/>
  </r>
  <r>
    <s v="fa32fedc-ac88-4f28-b1a5-911aa754bb54"/>
    <n v="61"/>
    <x v="4"/>
    <x v="1"/>
    <x v="1"/>
    <n v="24.63"/>
    <n v="19"/>
    <x v="3"/>
    <x v="4"/>
    <n v="17.989999999999998"/>
    <x v="0"/>
    <x v="0"/>
    <n v="1"/>
    <n v="1.23"/>
    <x v="0"/>
  </r>
  <r>
    <s v="4acf70a4-4601-4a7b-ba60-ec429e02ed93"/>
    <n v="57"/>
    <x v="4"/>
    <x v="1"/>
    <x v="0"/>
    <n v="45.93"/>
    <n v="53"/>
    <x v="4"/>
    <x v="3"/>
    <n v="13.99"/>
    <x v="0"/>
    <x v="2"/>
    <n v="2"/>
    <n v="0.85"/>
    <x v="0"/>
  </r>
  <r>
    <s v="ce76d2eb-7452-44f4-bfe8-8f14ea2d179f"/>
    <n v="56"/>
    <x v="4"/>
    <x v="1"/>
    <x v="2"/>
    <n v="1.62"/>
    <n v="8"/>
    <x v="5"/>
    <x v="4"/>
    <n v="8.99"/>
    <x v="1"/>
    <x v="2"/>
    <n v="1"/>
    <n v="0.18"/>
    <x v="6"/>
  </r>
  <r>
    <s v="8cba73af-fdd2-40c5-a047-ad5892347414"/>
    <n v="68"/>
    <x v="4"/>
    <x v="2"/>
    <x v="1"/>
    <n v="18.66"/>
    <n v="57"/>
    <x v="3"/>
    <x v="3"/>
    <n v="17.989999999999998"/>
    <x v="1"/>
    <x v="2"/>
    <n v="1"/>
    <n v="0.32"/>
    <x v="0"/>
  </r>
  <r>
    <s v="0c62aef7-ef41-42aa-8500-89a6c481df76"/>
    <n v="63"/>
    <x v="4"/>
    <x v="1"/>
    <x v="1"/>
    <n v="16.38"/>
    <n v="27"/>
    <x v="2"/>
    <x v="2"/>
    <n v="17.989999999999998"/>
    <x v="0"/>
    <x v="3"/>
    <n v="3"/>
    <n v="0.57999999999999996"/>
    <x v="5"/>
  </r>
  <r>
    <s v="48b9de50-6724-44ad-a0d2-d78beb2554c4"/>
    <n v="55"/>
    <x v="4"/>
    <x v="0"/>
    <x v="0"/>
    <n v="13.62"/>
    <n v="47"/>
    <x v="0"/>
    <x v="1"/>
    <n v="13.99"/>
    <x v="1"/>
    <x v="0"/>
    <n v="4"/>
    <n v="0.28000000000000003"/>
    <x v="4"/>
  </r>
  <r>
    <s v="0c872601-857c-425d-813a-07043f66be87"/>
    <n v="62"/>
    <x v="4"/>
    <x v="1"/>
    <x v="2"/>
    <n v="4.1399999999999997"/>
    <n v="38"/>
    <x v="4"/>
    <x v="2"/>
    <n v="8.99"/>
    <x v="1"/>
    <x v="3"/>
    <n v="1"/>
    <n v="0.11"/>
    <x v="1"/>
  </r>
  <r>
    <s v="3a184b71-300b-4893-b4aa-92cff705b7c7"/>
    <n v="60"/>
    <x v="4"/>
    <x v="2"/>
    <x v="0"/>
    <n v="8.17"/>
    <n v="12"/>
    <x v="3"/>
    <x v="4"/>
    <n v="13.99"/>
    <x v="0"/>
    <x v="2"/>
    <n v="3"/>
    <n v="0.63"/>
    <x v="4"/>
  </r>
  <r>
    <s v="e256a69a-08fe-4384-91d9-c1bc7bb74c96"/>
    <n v="69"/>
    <x v="4"/>
    <x v="1"/>
    <x v="2"/>
    <n v="1.9"/>
    <n v="7"/>
    <x v="1"/>
    <x v="3"/>
    <n v="8.99"/>
    <x v="1"/>
    <x v="2"/>
    <n v="5"/>
    <n v="0.24"/>
    <x v="5"/>
  </r>
  <r>
    <s v="f3763f9d-ced2-4983-9cfa-203770b1f23d"/>
    <n v="60"/>
    <x v="4"/>
    <x v="2"/>
    <x v="2"/>
    <n v="3.09"/>
    <n v="35"/>
    <x v="2"/>
    <x v="4"/>
    <n v="8.99"/>
    <x v="1"/>
    <x v="4"/>
    <n v="2"/>
    <n v="0.09"/>
    <x v="4"/>
  </r>
  <r>
    <s v="23701bff-2f61-4efb-8367-a2b937e0a8c4"/>
    <n v="58"/>
    <x v="4"/>
    <x v="0"/>
    <x v="0"/>
    <n v="17.899999999999999"/>
    <n v="52"/>
    <x v="5"/>
    <x v="3"/>
    <n v="13.99"/>
    <x v="1"/>
    <x v="0"/>
    <n v="4"/>
    <n v="0.34"/>
    <x v="5"/>
  </r>
  <r>
    <s v="38c98f6f-3535-415c-bfba-78244c1ba199"/>
    <n v="61"/>
    <x v="4"/>
    <x v="2"/>
    <x v="0"/>
    <n v="7.28"/>
    <n v="11"/>
    <x v="4"/>
    <x v="1"/>
    <n v="13.99"/>
    <x v="0"/>
    <x v="3"/>
    <n v="2"/>
    <n v="0.61"/>
    <x v="4"/>
  </r>
  <r>
    <s v="7af0ed2d-08ed-400c-a8e7-b764ab1e1b78"/>
    <n v="68"/>
    <x v="4"/>
    <x v="1"/>
    <x v="1"/>
    <n v="7.65"/>
    <n v="50"/>
    <x v="4"/>
    <x v="2"/>
    <n v="17.989999999999998"/>
    <x v="0"/>
    <x v="2"/>
    <n v="4"/>
    <n v="0.15"/>
    <x v="0"/>
  </r>
  <r>
    <s v="44cc0ae8-cb94-4b3f-9d0d-0c24c1a57267"/>
    <n v="63"/>
    <x v="4"/>
    <x v="0"/>
    <x v="0"/>
    <n v="9.75"/>
    <n v="21"/>
    <x v="3"/>
    <x v="4"/>
    <n v="13.99"/>
    <x v="0"/>
    <x v="1"/>
    <n v="1"/>
    <n v="0.44"/>
    <x v="2"/>
  </r>
  <r>
    <s v="ecd05571-5133-452b-a15c-58b1d6fcf55b"/>
    <n v="70"/>
    <x v="4"/>
    <x v="0"/>
    <x v="0"/>
    <n v="2.21"/>
    <n v="56"/>
    <x v="1"/>
    <x v="4"/>
    <n v="13.99"/>
    <x v="1"/>
    <x v="4"/>
    <n v="5"/>
    <n v="0.04"/>
    <x v="5"/>
  </r>
  <r>
    <s v="0dbd65af-cebd-466e-8dae-0faefae015d0"/>
    <n v="59"/>
    <x v="4"/>
    <x v="2"/>
    <x v="1"/>
    <n v="2.83"/>
    <n v="12"/>
    <x v="3"/>
    <x v="1"/>
    <n v="17.989999999999998"/>
    <x v="0"/>
    <x v="2"/>
    <n v="5"/>
    <n v="0.22"/>
    <x v="1"/>
  </r>
  <r>
    <s v="8792f856-e6dc-4e01-9e66-5da330500bb1"/>
    <n v="70"/>
    <x v="4"/>
    <x v="1"/>
    <x v="2"/>
    <n v="26.98"/>
    <n v="57"/>
    <x v="4"/>
    <x v="0"/>
    <n v="8.99"/>
    <x v="1"/>
    <x v="0"/>
    <n v="4"/>
    <n v="0.47"/>
    <x v="2"/>
  </r>
  <r>
    <s v="9ee323d9-03fd-4243-b725-0799969eebe5"/>
    <n v="56"/>
    <x v="4"/>
    <x v="2"/>
    <x v="0"/>
    <n v="0.93"/>
    <n v="2"/>
    <x v="5"/>
    <x v="4"/>
    <n v="13.99"/>
    <x v="0"/>
    <x v="2"/>
    <n v="5"/>
    <n v="0.31"/>
    <x v="2"/>
  </r>
  <r>
    <s v="5fd52a5c-0e8a-4c1f-bce7-fb565f654413"/>
    <n v="58"/>
    <x v="4"/>
    <x v="1"/>
    <x v="2"/>
    <n v="5.36"/>
    <n v="59"/>
    <x v="5"/>
    <x v="0"/>
    <n v="8.99"/>
    <x v="1"/>
    <x v="0"/>
    <n v="1"/>
    <n v="0.09"/>
    <x v="1"/>
  </r>
  <r>
    <s v="efe7aef5-61d4-4046-b949-8ebb253ea4df"/>
    <n v="62"/>
    <x v="4"/>
    <x v="2"/>
    <x v="0"/>
    <n v="3.58"/>
    <n v="15"/>
    <x v="5"/>
    <x v="4"/>
    <n v="13.99"/>
    <x v="0"/>
    <x v="2"/>
    <n v="5"/>
    <n v="0.22"/>
    <x v="2"/>
  </r>
  <r>
    <s v="80fa0811-9079-4a4e-bee3-27d5d809118c"/>
    <n v="55"/>
    <x v="4"/>
    <x v="1"/>
    <x v="2"/>
    <n v="1.38"/>
    <n v="52"/>
    <x v="2"/>
    <x v="4"/>
    <n v="8.99"/>
    <x v="1"/>
    <x v="4"/>
    <n v="5"/>
    <n v="0.03"/>
    <x v="5"/>
  </r>
  <r>
    <s v="e0ed8133-983b-499f-aaa2-d55fed500c39"/>
    <n v="62"/>
    <x v="4"/>
    <x v="2"/>
    <x v="0"/>
    <n v="18.07"/>
    <n v="20"/>
    <x v="3"/>
    <x v="3"/>
    <n v="13.99"/>
    <x v="0"/>
    <x v="3"/>
    <n v="2"/>
    <n v="0.86"/>
    <x v="4"/>
  </r>
  <r>
    <s v="0742f86e-5f2d-44ef-99e9-17701ba583e9"/>
    <n v="64"/>
    <x v="4"/>
    <x v="0"/>
    <x v="1"/>
    <n v="6.41"/>
    <n v="54"/>
    <x v="1"/>
    <x v="2"/>
    <n v="17.989999999999998"/>
    <x v="1"/>
    <x v="4"/>
    <n v="1"/>
    <n v="0.12"/>
    <x v="4"/>
  </r>
  <r>
    <s v="38e8f595-7ae2-478a-ad6b-449334d7fc96"/>
    <n v="65"/>
    <x v="4"/>
    <x v="1"/>
    <x v="0"/>
    <n v="28.86"/>
    <n v="13"/>
    <x v="0"/>
    <x v="1"/>
    <n v="13.99"/>
    <x v="0"/>
    <x v="4"/>
    <n v="4"/>
    <n v="2.06"/>
    <x v="2"/>
  </r>
  <r>
    <s v="5cde086f-eb25-4291-b2ee-0c6d1c6b5459"/>
    <n v="67"/>
    <x v="4"/>
    <x v="0"/>
    <x v="2"/>
    <n v="11.06"/>
    <n v="16"/>
    <x v="4"/>
    <x v="3"/>
    <n v="8.99"/>
    <x v="0"/>
    <x v="2"/>
    <n v="4"/>
    <n v="0.65"/>
    <x v="6"/>
  </r>
  <r>
    <s v="1dfb56be-d12c-4739-aab0-0f6cd8c3031c"/>
    <n v="70"/>
    <x v="4"/>
    <x v="2"/>
    <x v="2"/>
    <n v="6.66"/>
    <n v="55"/>
    <x v="5"/>
    <x v="3"/>
    <n v="8.99"/>
    <x v="1"/>
    <x v="4"/>
    <n v="4"/>
    <n v="0.12"/>
    <x v="4"/>
  </r>
  <r>
    <s v="d8653e82-a487-4adf-9ac9-64f6664ed08c"/>
    <n v="67"/>
    <x v="4"/>
    <x v="2"/>
    <x v="2"/>
    <n v="9.5399999999999991"/>
    <n v="40"/>
    <x v="4"/>
    <x v="1"/>
    <n v="8.99"/>
    <x v="1"/>
    <x v="0"/>
    <n v="2"/>
    <n v="0.23"/>
    <x v="1"/>
  </r>
  <r>
    <s v="4419096c-eab3-4723-920e-eac48bdbf287"/>
    <n v="56"/>
    <x v="4"/>
    <x v="0"/>
    <x v="2"/>
    <n v="15.59"/>
    <n v="3"/>
    <x v="2"/>
    <x v="3"/>
    <n v="8.99"/>
    <x v="0"/>
    <x v="4"/>
    <n v="3"/>
    <n v="3.9"/>
    <x v="3"/>
  </r>
  <r>
    <s v="3a412682-0c12-4379-8613-f752dadfc41d"/>
    <n v="67"/>
    <x v="4"/>
    <x v="2"/>
    <x v="0"/>
    <n v="17.3"/>
    <n v="30"/>
    <x v="4"/>
    <x v="3"/>
    <n v="13.99"/>
    <x v="0"/>
    <x v="4"/>
    <n v="4"/>
    <n v="0.56000000000000005"/>
    <x v="3"/>
  </r>
  <r>
    <s v="963809c1-1498-4951-b893-a42cd0b8038a"/>
    <n v="69"/>
    <x v="4"/>
    <x v="2"/>
    <x v="1"/>
    <n v="9.07"/>
    <n v="47"/>
    <x v="3"/>
    <x v="3"/>
    <n v="17.989999999999998"/>
    <x v="0"/>
    <x v="3"/>
    <n v="5"/>
    <n v="0.19"/>
    <x v="1"/>
  </r>
  <r>
    <s v="952c3b4f-7921-4f45-bb74-2b229a8312d4"/>
    <n v="64"/>
    <x v="4"/>
    <x v="2"/>
    <x v="2"/>
    <n v="26.45"/>
    <n v="41"/>
    <x v="3"/>
    <x v="1"/>
    <n v="8.99"/>
    <x v="0"/>
    <x v="1"/>
    <n v="1"/>
    <n v="0.63"/>
    <x v="4"/>
  </r>
  <r>
    <s v="b8fdc9d1-5b33-44ff-8112-c60df62d6f32"/>
    <n v="60"/>
    <x v="4"/>
    <x v="2"/>
    <x v="0"/>
    <n v="5.77"/>
    <n v="0"/>
    <x v="1"/>
    <x v="4"/>
    <n v="13.99"/>
    <x v="0"/>
    <x v="1"/>
    <n v="5"/>
    <n v="5.77"/>
    <x v="1"/>
  </r>
  <r>
    <s v="e975682c-48c9-49b9-8381-1fe0f4943c3b"/>
    <n v="67"/>
    <x v="4"/>
    <x v="2"/>
    <x v="0"/>
    <n v="26.05"/>
    <n v="21"/>
    <x v="1"/>
    <x v="0"/>
    <n v="13.99"/>
    <x v="0"/>
    <x v="3"/>
    <n v="4"/>
    <n v="1.18"/>
    <x v="0"/>
  </r>
  <r>
    <s v="f7e212bf-14ed-4017-ad80-dacd5d6b7be5"/>
    <n v="57"/>
    <x v="4"/>
    <x v="0"/>
    <x v="2"/>
    <n v="14.31"/>
    <n v="0"/>
    <x v="5"/>
    <x v="2"/>
    <n v="8.99"/>
    <x v="0"/>
    <x v="3"/>
    <n v="5"/>
    <n v="14.31"/>
    <x v="4"/>
  </r>
  <r>
    <s v="d96d507e-5f27-43fc-b25e-c80f3e52f49d"/>
    <n v="59"/>
    <x v="4"/>
    <x v="0"/>
    <x v="0"/>
    <n v="23.07"/>
    <n v="56"/>
    <x v="4"/>
    <x v="0"/>
    <n v="13.99"/>
    <x v="0"/>
    <x v="2"/>
    <n v="2"/>
    <n v="0.4"/>
    <x v="4"/>
  </r>
  <r>
    <s v="eeafbbe8-c130-4215-98cb-2c50590d4c36"/>
    <n v="64"/>
    <x v="4"/>
    <x v="0"/>
    <x v="2"/>
    <n v="3.25"/>
    <n v="44"/>
    <x v="0"/>
    <x v="1"/>
    <n v="8.99"/>
    <x v="1"/>
    <x v="2"/>
    <n v="1"/>
    <n v="7.0000000000000007E-2"/>
    <x v="0"/>
  </r>
  <r>
    <s v="b6c7f41f-f9fd-4915-a4b5-eb9eddfcca2f"/>
    <n v="69"/>
    <x v="4"/>
    <x v="0"/>
    <x v="2"/>
    <n v="4.8099999999999996"/>
    <n v="46"/>
    <x v="4"/>
    <x v="1"/>
    <n v="8.99"/>
    <x v="1"/>
    <x v="1"/>
    <n v="3"/>
    <n v="0.1"/>
    <x v="3"/>
  </r>
  <r>
    <s v="a70da997-2a45-4bb6-bb24-e40964941eff"/>
    <n v="55"/>
    <x v="4"/>
    <x v="0"/>
    <x v="0"/>
    <n v="3.68"/>
    <n v="35"/>
    <x v="4"/>
    <x v="1"/>
    <n v="13.99"/>
    <x v="1"/>
    <x v="0"/>
    <n v="5"/>
    <n v="0.1"/>
    <x v="2"/>
  </r>
  <r>
    <s v="f898a1fd-293e-40b3-9a40-e21de4828852"/>
    <n v="62"/>
    <x v="4"/>
    <x v="0"/>
    <x v="1"/>
    <n v="25.53"/>
    <n v="51"/>
    <x v="5"/>
    <x v="1"/>
    <n v="17.989999999999998"/>
    <x v="0"/>
    <x v="3"/>
    <n v="3"/>
    <n v="0.49"/>
    <x v="3"/>
  </r>
  <r>
    <s v="4ca18b96-1fce-4bcc-9b1e-85c0f699523e"/>
    <n v="64"/>
    <x v="4"/>
    <x v="0"/>
    <x v="1"/>
    <n v="8.24"/>
    <n v="29"/>
    <x v="5"/>
    <x v="2"/>
    <n v="17.989999999999998"/>
    <x v="0"/>
    <x v="4"/>
    <n v="5"/>
    <n v="0.27"/>
    <x v="3"/>
  </r>
  <r>
    <s v="d263f088-0d09-494b-83b1-268d497cbcd0"/>
    <n v="55"/>
    <x v="4"/>
    <x v="1"/>
    <x v="1"/>
    <n v="10.130000000000001"/>
    <n v="13"/>
    <x v="5"/>
    <x v="1"/>
    <n v="17.989999999999998"/>
    <x v="0"/>
    <x v="3"/>
    <n v="3"/>
    <n v="0.72"/>
    <x v="4"/>
  </r>
  <r>
    <s v="3cffe3c7-6583-4e5a-b615-1fdf922642f9"/>
    <n v="63"/>
    <x v="4"/>
    <x v="1"/>
    <x v="0"/>
    <n v="11.43"/>
    <n v="49"/>
    <x v="1"/>
    <x v="0"/>
    <n v="13.99"/>
    <x v="1"/>
    <x v="1"/>
    <n v="1"/>
    <n v="0.23"/>
    <x v="2"/>
  </r>
  <r>
    <s v="6f5a2958-cb64-47b5-af53-1d70ba016494"/>
    <n v="63"/>
    <x v="4"/>
    <x v="2"/>
    <x v="0"/>
    <n v="26.63"/>
    <n v="31"/>
    <x v="0"/>
    <x v="0"/>
    <n v="13.99"/>
    <x v="0"/>
    <x v="0"/>
    <n v="2"/>
    <n v="0.83"/>
    <x v="2"/>
  </r>
  <r>
    <s v="887de878-c150-46f7-9bf5-58c7ef8ce74e"/>
    <n v="55"/>
    <x v="4"/>
    <x v="2"/>
    <x v="2"/>
    <n v="3.66"/>
    <n v="11"/>
    <x v="0"/>
    <x v="0"/>
    <n v="8.99"/>
    <x v="1"/>
    <x v="2"/>
    <n v="4"/>
    <n v="0.3"/>
    <x v="6"/>
  </r>
  <r>
    <s v="291d76b3-d8c3-406e-803f-c9e04fb283de"/>
    <n v="55"/>
    <x v="4"/>
    <x v="1"/>
    <x v="2"/>
    <n v="0.67"/>
    <n v="24"/>
    <x v="1"/>
    <x v="3"/>
    <n v="8.99"/>
    <x v="1"/>
    <x v="3"/>
    <n v="3"/>
    <n v="0.03"/>
    <x v="2"/>
  </r>
  <r>
    <s v="46b5db3d-c2b2-4188-9424-4f7172f15112"/>
    <n v="61"/>
    <x v="4"/>
    <x v="2"/>
    <x v="0"/>
    <n v="14.57"/>
    <n v="16"/>
    <x v="5"/>
    <x v="2"/>
    <n v="13.99"/>
    <x v="0"/>
    <x v="4"/>
    <n v="1"/>
    <n v="0.86"/>
    <x v="2"/>
  </r>
  <r>
    <s v="43c97b11-0e8d-4947-9bdb-12af35174f31"/>
    <n v="62"/>
    <x v="4"/>
    <x v="1"/>
    <x v="2"/>
    <n v="21.41"/>
    <n v="22"/>
    <x v="1"/>
    <x v="0"/>
    <n v="8.99"/>
    <x v="0"/>
    <x v="3"/>
    <n v="3"/>
    <n v="0.93"/>
    <x v="6"/>
  </r>
  <r>
    <s v="565b0478-0a6f-4900-b6b6-285e6656bb91"/>
    <n v="66"/>
    <x v="4"/>
    <x v="1"/>
    <x v="2"/>
    <n v="1.89"/>
    <n v="22"/>
    <x v="3"/>
    <x v="3"/>
    <n v="8.99"/>
    <x v="1"/>
    <x v="3"/>
    <n v="2"/>
    <n v="0.08"/>
    <x v="3"/>
  </r>
  <r>
    <s v="2240c2c4-f736-4caa-bc9f-6500eb1501ba"/>
    <n v="63"/>
    <x v="4"/>
    <x v="2"/>
    <x v="2"/>
    <n v="14.4"/>
    <n v="3"/>
    <x v="1"/>
    <x v="3"/>
    <n v="8.99"/>
    <x v="0"/>
    <x v="1"/>
    <n v="3"/>
    <n v="3.6"/>
    <x v="5"/>
  </r>
  <r>
    <s v="501823e6-8ea5-433b-b0f6-d8c5f53c8907"/>
    <n v="56"/>
    <x v="4"/>
    <x v="2"/>
    <x v="0"/>
    <n v="5.83"/>
    <n v="59"/>
    <x v="1"/>
    <x v="2"/>
    <n v="13.99"/>
    <x v="0"/>
    <x v="3"/>
    <n v="5"/>
    <n v="0.1"/>
    <x v="3"/>
  </r>
  <r>
    <s v="3d394651-d7f9-455c-b308-058cb52f8df8"/>
    <n v="65"/>
    <x v="4"/>
    <x v="1"/>
    <x v="1"/>
    <n v="13.71"/>
    <n v="4"/>
    <x v="2"/>
    <x v="3"/>
    <n v="17.989999999999998"/>
    <x v="0"/>
    <x v="0"/>
    <n v="3"/>
    <n v="2.74"/>
    <x v="6"/>
  </r>
  <r>
    <s v="356a678e-8341-481b-b1dd-c3bf8085cdf3"/>
    <n v="70"/>
    <x v="4"/>
    <x v="0"/>
    <x v="2"/>
    <n v="4.04"/>
    <n v="52"/>
    <x v="0"/>
    <x v="2"/>
    <n v="8.99"/>
    <x v="1"/>
    <x v="0"/>
    <n v="3"/>
    <n v="0.08"/>
    <x v="0"/>
  </r>
  <r>
    <s v="1227b01e-1600-46ac-b14f-3991a895796a"/>
    <n v="56"/>
    <x v="4"/>
    <x v="2"/>
    <x v="2"/>
    <n v="2.02"/>
    <n v="23"/>
    <x v="4"/>
    <x v="0"/>
    <n v="8.99"/>
    <x v="1"/>
    <x v="2"/>
    <n v="5"/>
    <n v="0.08"/>
    <x v="5"/>
  </r>
  <r>
    <s v="d20c3cd3-e949-4026-a0af-1b9392f4d466"/>
    <n v="56"/>
    <x v="4"/>
    <x v="0"/>
    <x v="2"/>
    <n v="0.8"/>
    <n v="18"/>
    <x v="4"/>
    <x v="3"/>
    <n v="8.99"/>
    <x v="1"/>
    <x v="3"/>
    <n v="3"/>
    <n v="0.04"/>
    <x v="4"/>
  </r>
  <r>
    <s v="8b811175-e9c7-4a47-9e23-1b92a6a498aa"/>
    <n v="58"/>
    <x v="4"/>
    <x v="2"/>
    <x v="1"/>
    <n v="3.2"/>
    <n v="53"/>
    <x v="3"/>
    <x v="3"/>
    <n v="17.989999999999998"/>
    <x v="1"/>
    <x v="0"/>
    <n v="1"/>
    <n v="0.06"/>
    <x v="6"/>
  </r>
  <r>
    <s v="e724e4f3-9542-43f8-ab8f-e817d88999a3"/>
    <n v="58"/>
    <x v="4"/>
    <x v="1"/>
    <x v="2"/>
    <n v="6.47"/>
    <n v="46"/>
    <x v="3"/>
    <x v="4"/>
    <n v="8.99"/>
    <x v="1"/>
    <x v="0"/>
    <n v="1"/>
    <n v="0.14000000000000001"/>
    <x v="2"/>
  </r>
  <r>
    <s v="45c7566b-3b5b-4112-8ed2-89a4d20a3eae"/>
    <n v="58"/>
    <x v="4"/>
    <x v="2"/>
    <x v="0"/>
    <n v="19.25"/>
    <n v="2"/>
    <x v="1"/>
    <x v="2"/>
    <n v="13.99"/>
    <x v="0"/>
    <x v="2"/>
    <n v="2"/>
    <n v="6.42"/>
    <x v="0"/>
  </r>
  <r>
    <s v="65fcb9c7-6e5a-4058-86ee-93af0d7bd2fb"/>
    <n v="56"/>
    <x v="4"/>
    <x v="2"/>
    <x v="2"/>
    <n v="5.08"/>
    <n v="60"/>
    <x v="2"/>
    <x v="4"/>
    <n v="8.99"/>
    <x v="1"/>
    <x v="2"/>
    <n v="4"/>
    <n v="0.08"/>
    <x v="4"/>
  </r>
  <r>
    <s v="d2f0f6e0-fa3c-4b50-97fd-a84f8b4707fe"/>
    <n v="69"/>
    <x v="4"/>
    <x v="1"/>
    <x v="1"/>
    <n v="8.09"/>
    <n v="54"/>
    <x v="0"/>
    <x v="3"/>
    <n v="17.989999999999998"/>
    <x v="1"/>
    <x v="3"/>
    <n v="2"/>
    <n v="0.15"/>
    <x v="4"/>
  </r>
  <r>
    <s v="ddb275d9-4e72-4fa7-8ce6-d3d458a81cf3"/>
    <n v="67"/>
    <x v="4"/>
    <x v="0"/>
    <x v="0"/>
    <n v="0.28000000000000003"/>
    <n v="51"/>
    <x v="0"/>
    <x v="1"/>
    <n v="13.99"/>
    <x v="1"/>
    <x v="4"/>
    <n v="1"/>
    <n v="0.01"/>
    <x v="0"/>
  </r>
  <r>
    <s v="606adbe6-dd8a-4eb8-8ddf-baf3d62da553"/>
    <n v="63"/>
    <x v="4"/>
    <x v="1"/>
    <x v="2"/>
    <n v="19.68"/>
    <n v="7"/>
    <x v="5"/>
    <x v="0"/>
    <n v="8.99"/>
    <x v="0"/>
    <x v="2"/>
    <n v="3"/>
    <n v="2.46"/>
    <x v="5"/>
  </r>
  <r>
    <s v="e4e34065-9917-4bec-9673-b0f75e992985"/>
    <n v="61"/>
    <x v="4"/>
    <x v="0"/>
    <x v="1"/>
    <n v="41.68"/>
    <n v="54"/>
    <x v="3"/>
    <x v="1"/>
    <n v="17.989999999999998"/>
    <x v="0"/>
    <x v="0"/>
    <n v="3"/>
    <n v="0.76"/>
    <x v="3"/>
  </r>
  <r>
    <s v="1257021f-5cd1-4213-821c-e0a323d6e2ee"/>
    <n v="60"/>
    <x v="4"/>
    <x v="2"/>
    <x v="1"/>
    <n v="6.21"/>
    <n v="15"/>
    <x v="0"/>
    <x v="2"/>
    <n v="17.989999999999998"/>
    <x v="0"/>
    <x v="1"/>
    <n v="3"/>
    <n v="0.39"/>
    <x v="2"/>
  </r>
  <r>
    <s v="47366ae4-467f-4bec-b49d-a7f22b794f59"/>
    <n v="62"/>
    <x v="4"/>
    <x v="1"/>
    <x v="1"/>
    <n v="5.98"/>
    <n v="48"/>
    <x v="4"/>
    <x v="4"/>
    <n v="17.989999999999998"/>
    <x v="1"/>
    <x v="0"/>
    <n v="5"/>
    <n v="0.12"/>
    <x v="5"/>
  </r>
  <r>
    <s v="fc9cfb2b-7e44-456d-ad56-cb91f2b276fb"/>
    <n v="67"/>
    <x v="4"/>
    <x v="2"/>
    <x v="2"/>
    <n v="15.98"/>
    <n v="9"/>
    <x v="2"/>
    <x v="0"/>
    <n v="8.99"/>
    <x v="0"/>
    <x v="2"/>
    <n v="4"/>
    <n v="1.6"/>
    <x v="6"/>
  </r>
  <r>
    <s v="1c1ef7b5-72cc-4aa6-95d8-7b26897e9a21"/>
    <n v="60"/>
    <x v="4"/>
    <x v="2"/>
    <x v="0"/>
    <n v="1.24"/>
    <n v="4"/>
    <x v="4"/>
    <x v="3"/>
    <n v="13.99"/>
    <x v="0"/>
    <x v="3"/>
    <n v="2"/>
    <n v="0.25"/>
    <x v="0"/>
  </r>
  <r>
    <s v="baa40e1d-e279-4770-b5fa-1da71e3ab2e2"/>
    <n v="67"/>
    <x v="4"/>
    <x v="0"/>
    <x v="2"/>
    <n v="9.91"/>
    <n v="18"/>
    <x v="4"/>
    <x v="3"/>
    <n v="8.99"/>
    <x v="0"/>
    <x v="4"/>
    <n v="5"/>
    <n v="0.52"/>
    <x v="1"/>
  </r>
  <r>
    <s v="0fa1ce67-73cf-4d9b-a171-81ef2ba271fd"/>
    <n v="70"/>
    <x v="4"/>
    <x v="2"/>
    <x v="0"/>
    <n v="9.5399999999999991"/>
    <n v="60"/>
    <x v="1"/>
    <x v="0"/>
    <n v="13.99"/>
    <x v="0"/>
    <x v="3"/>
    <n v="5"/>
    <n v="0.16"/>
    <x v="6"/>
  </r>
  <r>
    <s v="7ec26427-23a6-4cc3-a188-ac08968e6f3e"/>
    <n v="63"/>
    <x v="4"/>
    <x v="2"/>
    <x v="1"/>
    <n v="7.82"/>
    <n v="57"/>
    <x v="2"/>
    <x v="0"/>
    <n v="17.989999999999998"/>
    <x v="0"/>
    <x v="1"/>
    <n v="5"/>
    <n v="0.13"/>
    <x v="4"/>
  </r>
  <r>
    <s v="e012b536-8421-45de-a8ca-caab61d9b1e4"/>
    <n v="58"/>
    <x v="4"/>
    <x v="0"/>
    <x v="2"/>
    <n v="7.31"/>
    <n v="49"/>
    <x v="4"/>
    <x v="1"/>
    <n v="8.99"/>
    <x v="1"/>
    <x v="4"/>
    <n v="2"/>
    <n v="0.15"/>
    <x v="4"/>
  </r>
  <r>
    <s v="1dcf08f8-357b-4740-98c1-bb768f842126"/>
    <n v="67"/>
    <x v="4"/>
    <x v="1"/>
    <x v="1"/>
    <n v="22.63"/>
    <n v="33"/>
    <x v="3"/>
    <x v="1"/>
    <n v="17.989999999999998"/>
    <x v="0"/>
    <x v="4"/>
    <n v="2"/>
    <n v="0.67"/>
    <x v="5"/>
  </r>
  <r>
    <s v="bfbe5804-1dc1-452b-b92b-a483c5eeb76b"/>
    <n v="67"/>
    <x v="4"/>
    <x v="1"/>
    <x v="1"/>
    <n v="2.5099999999999998"/>
    <n v="25"/>
    <x v="3"/>
    <x v="4"/>
    <n v="17.989999999999998"/>
    <x v="1"/>
    <x v="2"/>
    <n v="3"/>
    <n v="0.1"/>
    <x v="4"/>
  </r>
  <r>
    <s v="7bf23b3d-ab59-48e0-a558-db5c48b1a206"/>
    <n v="64"/>
    <x v="4"/>
    <x v="1"/>
    <x v="0"/>
    <n v="8.08"/>
    <n v="12"/>
    <x v="1"/>
    <x v="2"/>
    <n v="13.99"/>
    <x v="0"/>
    <x v="3"/>
    <n v="4"/>
    <n v="0.62"/>
    <x v="4"/>
  </r>
  <r>
    <s v="05f5d068-70f9-45f7-a440-2eca2e0af6df"/>
    <n v="57"/>
    <x v="4"/>
    <x v="1"/>
    <x v="0"/>
    <n v="7.92"/>
    <n v="19"/>
    <x v="5"/>
    <x v="2"/>
    <n v="13.99"/>
    <x v="0"/>
    <x v="4"/>
    <n v="2"/>
    <n v="0.4"/>
    <x v="2"/>
  </r>
  <r>
    <s v="792136ad-a56c-4505-abf3-22d4b8fe35d9"/>
    <n v="57"/>
    <x v="4"/>
    <x v="1"/>
    <x v="0"/>
    <n v="1.1000000000000001"/>
    <n v="26"/>
    <x v="1"/>
    <x v="3"/>
    <n v="13.99"/>
    <x v="0"/>
    <x v="2"/>
    <n v="5"/>
    <n v="0.04"/>
    <x v="6"/>
  </r>
  <r>
    <s v="b3b8b32a-3b18-4ef3-86ff-424d50eef43f"/>
    <n v="68"/>
    <x v="4"/>
    <x v="0"/>
    <x v="0"/>
    <n v="3.06"/>
    <n v="59"/>
    <x v="1"/>
    <x v="3"/>
    <n v="13.99"/>
    <x v="1"/>
    <x v="4"/>
    <n v="5"/>
    <n v="0.05"/>
    <x v="5"/>
  </r>
  <r>
    <s v="6236413f-44f4-4429-85ba-6ba5dbf37e89"/>
    <n v="61"/>
    <x v="4"/>
    <x v="2"/>
    <x v="1"/>
    <n v="9.7100000000000009"/>
    <n v="36"/>
    <x v="0"/>
    <x v="1"/>
    <n v="17.989999999999998"/>
    <x v="1"/>
    <x v="1"/>
    <n v="1"/>
    <n v="0.26"/>
    <x v="0"/>
  </r>
  <r>
    <s v="fd0ebde2-f8c0-4963-a1af-402dd9fe9fb6"/>
    <n v="62"/>
    <x v="4"/>
    <x v="2"/>
    <x v="0"/>
    <n v="8.25"/>
    <n v="37"/>
    <x v="2"/>
    <x v="3"/>
    <n v="13.99"/>
    <x v="0"/>
    <x v="3"/>
    <n v="5"/>
    <n v="0.22"/>
    <x v="1"/>
  </r>
  <r>
    <s v="60d8375e-e90b-4db1-827d-29f59ee209a7"/>
    <n v="66"/>
    <x v="4"/>
    <x v="0"/>
    <x v="1"/>
    <n v="12.91"/>
    <n v="34"/>
    <x v="0"/>
    <x v="0"/>
    <n v="17.989999999999998"/>
    <x v="1"/>
    <x v="0"/>
    <n v="5"/>
    <n v="0.37"/>
    <x v="6"/>
  </r>
  <r>
    <s v="54089806-c774-4d4b-b323-e5f2d42fbb5c"/>
    <n v="68"/>
    <x v="4"/>
    <x v="1"/>
    <x v="1"/>
    <n v="21.72"/>
    <n v="28"/>
    <x v="1"/>
    <x v="3"/>
    <n v="17.989999999999998"/>
    <x v="0"/>
    <x v="0"/>
    <n v="3"/>
    <n v="0.75"/>
    <x v="6"/>
  </r>
  <r>
    <s v="c0b4153b-d0b1-4974-90f4-28dbb8c88ff8"/>
    <n v="57"/>
    <x v="4"/>
    <x v="2"/>
    <x v="2"/>
    <n v="5.09"/>
    <n v="53"/>
    <x v="1"/>
    <x v="3"/>
    <n v="8.99"/>
    <x v="1"/>
    <x v="0"/>
    <n v="2"/>
    <n v="0.09"/>
    <x v="6"/>
  </r>
  <r>
    <s v="aeff1496-6b97-4258-870d-670cd28f4ada"/>
    <n v="55"/>
    <x v="4"/>
    <x v="0"/>
    <x v="0"/>
    <n v="25.31"/>
    <n v="51"/>
    <x v="1"/>
    <x v="0"/>
    <n v="13.99"/>
    <x v="0"/>
    <x v="4"/>
    <n v="4"/>
    <n v="0.49"/>
    <x v="2"/>
  </r>
  <r>
    <s v="c71e9898-65ce-47bd-918c-3ebdd3ffcac9"/>
    <n v="63"/>
    <x v="4"/>
    <x v="2"/>
    <x v="1"/>
    <n v="13.77"/>
    <n v="51"/>
    <x v="3"/>
    <x v="2"/>
    <n v="17.989999999999998"/>
    <x v="1"/>
    <x v="4"/>
    <n v="5"/>
    <n v="0.26"/>
    <x v="4"/>
  </r>
  <r>
    <s v="560576d9-5dd5-4ce5-9c25-319ce946f39e"/>
    <n v="68"/>
    <x v="4"/>
    <x v="1"/>
    <x v="2"/>
    <n v="20.54"/>
    <n v="14"/>
    <x v="3"/>
    <x v="0"/>
    <n v="8.99"/>
    <x v="0"/>
    <x v="3"/>
    <n v="5"/>
    <n v="1.37"/>
    <x v="6"/>
  </r>
  <r>
    <s v="58d12b76-d7ee-481e-b9f8-6d8513ea063d"/>
    <n v="57"/>
    <x v="4"/>
    <x v="0"/>
    <x v="0"/>
    <n v="4.91"/>
    <n v="6"/>
    <x v="4"/>
    <x v="3"/>
    <n v="13.99"/>
    <x v="0"/>
    <x v="3"/>
    <n v="1"/>
    <n v="0.7"/>
    <x v="6"/>
  </r>
  <r>
    <s v="08141b17-2f86-464f-ac79-eac660142aab"/>
    <n v="58"/>
    <x v="4"/>
    <x v="2"/>
    <x v="0"/>
    <n v="4.83"/>
    <n v="49"/>
    <x v="0"/>
    <x v="0"/>
    <n v="13.99"/>
    <x v="1"/>
    <x v="3"/>
    <n v="4"/>
    <n v="0.1"/>
    <x v="5"/>
  </r>
  <r>
    <s v="1560ad96-084e-4aee-9acd-5e46ee8105e4"/>
    <n v="65"/>
    <x v="4"/>
    <x v="0"/>
    <x v="2"/>
    <n v="4.09"/>
    <n v="18"/>
    <x v="1"/>
    <x v="2"/>
    <n v="8.99"/>
    <x v="1"/>
    <x v="2"/>
    <n v="2"/>
    <n v="0.22"/>
    <x v="0"/>
  </r>
  <r>
    <s v="84080a5b-af89-4c17-b1f8-6859842d4e5b"/>
    <n v="68"/>
    <x v="4"/>
    <x v="0"/>
    <x v="2"/>
    <n v="15.85"/>
    <n v="38"/>
    <x v="2"/>
    <x v="0"/>
    <n v="8.99"/>
    <x v="1"/>
    <x v="0"/>
    <n v="2"/>
    <n v="0.41"/>
    <x v="2"/>
  </r>
  <r>
    <s v="c0d31bac-2ab7-4f02-a3b0-d9b5a0e1c03d"/>
    <n v="68"/>
    <x v="4"/>
    <x v="2"/>
    <x v="2"/>
    <n v="3.01"/>
    <n v="27"/>
    <x v="3"/>
    <x v="4"/>
    <n v="8.99"/>
    <x v="1"/>
    <x v="0"/>
    <n v="3"/>
    <n v="0.11"/>
    <x v="0"/>
  </r>
  <r>
    <s v="26b2ed27-68f5-4d21-a1f2-1cd87d048e06"/>
    <n v="68"/>
    <x v="4"/>
    <x v="0"/>
    <x v="1"/>
    <n v="5.99"/>
    <n v="19"/>
    <x v="4"/>
    <x v="4"/>
    <n v="17.989999999999998"/>
    <x v="0"/>
    <x v="4"/>
    <n v="4"/>
    <n v="0.3"/>
    <x v="4"/>
  </r>
  <r>
    <s v="1524b909-0e45-44be-8e93-1855b614339c"/>
    <n v="56"/>
    <x v="4"/>
    <x v="0"/>
    <x v="1"/>
    <n v="19.03"/>
    <n v="37"/>
    <x v="2"/>
    <x v="4"/>
    <n v="17.989999999999998"/>
    <x v="0"/>
    <x v="2"/>
    <n v="1"/>
    <n v="0.5"/>
    <x v="4"/>
  </r>
  <r>
    <s v="c31b9740-ad76-4178-9256-2c00a1c7290a"/>
    <n v="57"/>
    <x v="4"/>
    <x v="1"/>
    <x v="2"/>
    <n v="27.17"/>
    <n v="38"/>
    <x v="2"/>
    <x v="0"/>
    <n v="8.99"/>
    <x v="0"/>
    <x v="3"/>
    <n v="5"/>
    <n v="0.7"/>
    <x v="1"/>
  </r>
  <r>
    <s v="4a212db8-6b5d-4f86-96c6-027c1d4c5a60"/>
    <n v="66"/>
    <x v="4"/>
    <x v="1"/>
    <x v="1"/>
    <n v="10.48"/>
    <n v="29"/>
    <x v="1"/>
    <x v="2"/>
    <n v="17.989999999999998"/>
    <x v="0"/>
    <x v="3"/>
    <n v="3"/>
    <n v="0.35"/>
    <x v="2"/>
  </r>
  <r>
    <s v="80545107-3bf0-4bad-8c8e-98950b1e8738"/>
    <n v="69"/>
    <x v="4"/>
    <x v="2"/>
    <x v="1"/>
    <n v="9.8000000000000007"/>
    <n v="56"/>
    <x v="5"/>
    <x v="0"/>
    <n v="17.989999999999998"/>
    <x v="1"/>
    <x v="4"/>
    <n v="2"/>
    <n v="0.17"/>
    <x v="5"/>
  </r>
  <r>
    <s v="19646dbb-a0c8-44c8-a262-169801a59f2f"/>
    <n v="58"/>
    <x v="4"/>
    <x v="2"/>
    <x v="1"/>
    <n v="27.98"/>
    <n v="8"/>
    <x v="4"/>
    <x v="2"/>
    <n v="17.989999999999998"/>
    <x v="0"/>
    <x v="0"/>
    <n v="1"/>
    <n v="3.11"/>
    <x v="4"/>
  </r>
  <r>
    <s v="910ccab4-1c1a-4591-94c7-8399939f3480"/>
    <n v="58"/>
    <x v="4"/>
    <x v="0"/>
    <x v="1"/>
    <n v="3.44"/>
    <n v="17"/>
    <x v="1"/>
    <x v="1"/>
    <n v="17.989999999999998"/>
    <x v="1"/>
    <x v="0"/>
    <n v="3"/>
    <n v="0.19"/>
    <x v="1"/>
  </r>
  <r>
    <s v="cb2b7b7c-60aa-4222-a711-cb109e2aa2b8"/>
    <n v="64"/>
    <x v="4"/>
    <x v="0"/>
    <x v="2"/>
    <n v="12.14"/>
    <n v="50"/>
    <x v="1"/>
    <x v="3"/>
    <n v="8.99"/>
    <x v="1"/>
    <x v="3"/>
    <n v="3"/>
    <n v="0.24"/>
    <x v="2"/>
  </r>
  <r>
    <s v="6e99dfd5-3046-4724-8933-41ed69d81932"/>
    <n v="57"/>
    <x v="4"/>
    <x v="2"/>
    <x v="2"/>
    <n v="0.06"/>
    <n v="39"/>
    <x v="4"/>
    <x v="0"/>
    <n v="8.99"/>
    <x v="1"/>
    <x v="0"/>
    <n v="4"/>
    <n v="0"/>
    <x v="6"/>
  </r>
  <r>
    <s v="8eb5037d-cf60-465e-a7b6-fc940311b87b"/>
    <n v="63"/>
    <x v="4"/>
    <x v="1"/>
    <x v="0"/>
    <n v="0.83"/>
    <n v="41"/>
    <x v="0"/>
    <x v="2"/>
    <n v="13.99"/>
    <x v="1"/>
    <x v="4"/>
    <n v="2"/>
    <n v="0.02"/>
    <x v="1"/>
  </r>
  <r>
    <s v="a9aa274f-d581-457a-ad8e-94d886058ed8"/>
    <n v="59"/>
    <x v="4"/>
    <x v="0"/>
    <x v="2"/>
    <n v="12.13"/>
    <n v="23"/>
    <x v="0"/>
    <x v="0"/>
    <n v="8.99"/>
    <x v="0"/>
    <x v="1"/>
    <n v="5"/>
    <n v="0.51"/>
    <x v="0"/>
  </r>
  <r>
    <s v="92ba884c-d467-4b97-aba0-7032878c1e03"/>
    <n v="65"/>
    <x v="4"/>
    <x v="0"/>
    <x v="2"/>
    <n v="11.25"/>
    <n v="22"/>
    <x v="5"/>
    <x v="3"/>
    <n v="8.99"/>
    <x v="1"/>
    <x v="0"/>
    <n v="3"/>
    <n v="0.49"/>
    <x v="0"/>
  </r>
  <r>
    <s v="298435d0-1f7a-4dd4-b065-7801de7e23fd"/>
    <n v="59"/>
    <x v="4"/>
    <x v="0"/>
    <x v="2"/>
    <n v="17.34"/>
    <n v="40"/>
    <x v="1"/>
    <x v="2"/>
    <n v="8.99"/>
    <x v="1"/>
    <x v="1"/>
    <n v="3"/>
    <n v="0.42"/>
    <x v="1"/>
  </r>
  <r>
    <s v="2af3f4c7-9797-4e72-b0e8-7005376ce267"/>
    <n v="58"/>
    <x v="4"/>
    <x v="2"/>
    <x v="0"/>
    <n v="10.77"/>
    <n v="44"/>
    <x v="5"/>
    <x v="0"/>
    <n v="13.99"/>
    <x v="1"/>
    <x v="3"/>
    <n v="1"/>
    <n v="0.24"/>
    <x v="4"/>
  </r>
  <r>
    <s v="246e7b39-0755-4a0a-9d9b-dfe34ab133cb"/>
    <n v="66"/>
    <x v="4"/>
    <x v="0"/>
    <x v="1"/>
    <n v="13.36"/>
    <n v="15"/>
    <x v="3"/>
    <x v="3"/>
    <n v="17.989999999999998"/>
    <x v="0"/>
    <x v="4"/>
    <n v="5"/>
    <n v="0.83"/>
    <x v="6"/>
  </r>
  <r>
    <s v="df1f5e40-48f8-4501-b220-53ba2a1001d3"/>
    <n v="60"/>
    <x v="4"/>
    <x v="1"/>
    <x v="2"/>
    <n v="14.45"/>
    <n v="52"/>
    <x v="5"/>
    <x v="0"/>
    <n v="8.99"/>
    <x v="1"/>
    <x v="3"/>
    <n v="5"/>
    <n v="0.27"/>
    <x v="0"/>
  </r>
  <r>
    <s v="c43449fd-4ad5-429d-89c4-74d268dcb6bc"/>
    <n v="67"/>
    <x v="4"/>
    <x v="0"/>
    <x v="2"/>
    <n v="19.579999999999998"/>
    <n v="44"/>
    <x v="1"/>
    <x v="4"/>
    <n v="8.99"/>
    <x v="1"/>
    <x v="1"/>
    <n v="3"/>
    <n v="0.44"/>
    <x v="4"/>
  </r>
  <r>
    <s v="639cda74-2249-449f-a7f2-64228302647b"/>
    <n v="55"/>
    <x v="4"/>
    <x v="1"/>
    <x v="1"/>
    <n v="18.02"/>
    <n v="36"/>
    <x v="4"/>
    <x v="2"/>
    <n v="17.989999999999998"/>
    <x v="0"/>
    <x v="2"/>
    <n v="4"/>
    <n v="0.49"/>
    <x v="4"/>
  </r>
  <r>
    <s v="9f1d9e64-d5eb-4014-a291-033be9ad6031"/>
    <n v="68"/>
    <x v="4"/>
    <x v="0"/>
    <x v="0"/>
    <n v="20.239999999999998"/>
    <n v="16"/>
    <x v="0"/>
    <x v="3"/>
    <n v="13.99"/>
    <x v="0"/>
    <x v="3"/>
    <n v="3"/>
    <n v="1.19"/>
    <x v="1"/>
  </r>
  <r>
    <s v="b7da6db6-172a-4970-b38a-4a375cfa375b"/>
    <n v="64"/>
    <x v="4"/>
    <x v="1"/>
    <x v="1"/>
    <n v="23.36"/>
    <n v="52"/>
    <x v="4"/>
    <x v="2"/>
    <n v="17.989999999999998"/>
    <x v="0"/>
    <x v="1"/>
    <n v="4"/>
    <n v="0.44"/>
    <x v="0"/>
  </r>
  <r>
    <s v="a9876912-824c-4e5a-846e-819e55d8269f"/>
    <n v="58"/>
    <x v="4"/>
    <x v="1"/>
    <x v="1"/>
    <n v="15.12"/>
    <n v="59"/>
    <x v="3"/>
    <x v="4"/>
    <n v="17.989999999999998"/>
    <x v="0"/>
    <x v="1"/>
    <n v="5"/>
    <n v="0.25"/>
    <x v="3"/>
  </r>
  <r>
    <s v="5675244b-3663-4d14-9b6b-b076128889a5"/>
    <n v="57"/>
    <x v="4"/>
    <x v="0"/>
    <x v="2"/>
    <n v="0.95"/>
    <n v="58"/>
    <x v="0"/>
    <x v="0"/>
    <n v="8.99"/>
    <x v="1"/>
    <x v="2"/>
    <n v="5"/>
    <n v="0.02"/>
    <x v="1"/>
  </r>
  <r>
    <s v="d3911e59-4ea8-4fa9-aeef-5bfb155c103b"/>
    <n v="63"/>
    <x v="4"/>
    <x v="2"/>
    <x v="1"/>
    <n v="0.3"/>
    <n v="56"/>
    <x v="5"/>
    <x v="2"/>
    <n v="17.989999999999998"/>
    <x v="1"/>
    <x v="0"/>
    <n v="3"/>
    <n v="0.01"/>
    <x v="2"/>
  </r>
  <r>
    <s v="8c796d6a-ee93-4640-b9a9-7556b5a1a07d"/>
    <n v="57"/>
    <x v="4"/>
    <x v="0"/>
    <x v="1"/>
    <n v="0.66"/>
    <n v="59"/>
    <x v="5"/>
    <x v="4"/>
    <n v="17.989999999999998"/>
    <x v="1"/>
    <x v="3"/>
    <n v="5"/>
    <n v="0.01"/>
    <x v="1"/>
  </r>
  <r>
    <s v="1241fd90-c3c5-4a10-a69b-708ba8b4633e"/>
    <n v="56"/>
    <x v="4"/>
    <x v="2"/>
    <x v="1"/>
    <n v="8.36"/>
    <n v="58"/>
    <x v="4"/>
    <x v="2"/>
    <n v="17.989999999999998"/>
    <x v="1"/>
    <x v="4"/>
    <n v="2"/>
    <n v="0.14000000000000001"/>
    <x v="2"/>
  </r>
  <r>
    <s v="5acce646-5752-40e2-bc51-1c308240464e"/>
    <n v="63"/>
    <x v="4"/>
    <x v="0"/>
    <x v="0"/>
    <n v="15.97"/>
    <n v="38"/>
    <x v="2"/>
    <x v="4"/>
    <n v="13.99"/>
    <x v="1"/>
    <x v="4"/>
    <n v="3"/>
    <n v="0.41"/>
    <x v="0"/>
  </r>
  <r>
    <s v="b76c3506-251d-4836-a3f7-f3bb62d02ad1"/>
    <n v="62"/>
    <x v="4"/>
    <x v="0"/>
    <x v="2"/>
    <n v="4.82"/>
    <n v="10"/>
    <x v="1"/>
    <x v="1"/>
    <n v="8.99"/>
    <x v="1"/>
    <x v="1"/>
    <n v="5"/>
    <n v="0.44"/>
    <x v="6"/>
  </r>
  <r>
    <s v="bbcb20f1-75b4-4393-95dd-6e2b65d5ff4f"/>
    <n v="63"/>
    <x v="4"/>
    <x v="1"/>
    <x v="1"/>
    <n v="21.62"/>
    <n v="50"/>
    <x v="5"/>
    <x v="3"/>
    <n v="17.989999999999998"/>
    <x v="0"/>
    <x v="4"/>
    <n v="4"/>
    <n v="0.42"/>
    <x v="4"/>
  </r>
  <r>
    <s v="aad6f51a-1c6f-46b7-aa7b-768352ed8d1c"/>
    <n v="57"/>
    <x v="4"/>
    <x v="1"/>
    <x v="2"/>
    <n v="2.08"/>
    <n v="14"/>
    <x v="4"/>
    <x v="2"/>
    <n v="8.99"/>
    <x v="1"/>
    <x v="2"/>
    <n v="5"/>
    <n v="0.14000000000000001"/>
    <x v="3"/>
  </r>
  <r>
    <s v="7984e2c6-c353-4a41-b094-e1dafb4edf8b"/>
    <n v="62"/>
    <x v="4"/>
    <x v="0"/>
    <x v="2"/>
    <n v="16.100000000000001"/>
    <n v="54"/>
    <x v="3"/>
    <x v="0"/>
    <n v="8.99"/>
    <x v="1"/>
    <x v="3"/>
    <n v="2"/>
    <n v="0.28999999999999998"/>
    <x v="5"/>
  </r>
  <r>
    <s v="07dbcfe6-abc1-4d18-8461-eb3989c5462b"/>
    <n v="57"/>
    <x v="4"/>
    <x v="0"/>
    <x v="0"/>
    <n v="15.02"/>
    <n v="5"/>
    <x v="2"/>
    <x v="4"/>
    <n v="13.99"/>
    <x v="0"/>
    <x v="2"/>
    <n v="2"/>
    <n v="2.5"/>
    <x v="0"/>
  </r>
  <r>
    <s v="09f04fe7-9954-4df3-9431-cd35713dbc1a"/>
    <n v="68"/>
    <x v="4"/>
    <x v="2"/>
    <x v="2"/>
    <n v="19.16"/>
    <n v="24"/>
    <x v="4"/>
    <x v="0"/>
    <n v="8.99"/>
    <x v="0"/>
    <x v="1"/>
    <n v="4"/>
    <n v="0.77"/>
    <x v="1"/>
  </r>
  <r>
    <s v="cd0e79d8-3857-4dfb-b7f9-8d7106aa1fce"/>
    <n v="59"/>
    <x v="4"/>
    <x v="2"/>
    <x v="2"/>
    <n v="14.96"/>
    <n v="8"/>
    <x v="0"/>
    <x v="1"/>
    <n v="8.99"/>
    <x v="0"/>
    <x v="2"/>
    <n v="2"/>
    <n v="1.66"/>
    <x v="4"/>
  </r>
  <r>
    <s v="a4c72480-839c-4b10-9139-e602b10215b8"/>
    <n v="65"/>
    <x v="4"/>
    <x v="2"/>
    <x v="1"/>
    <n v="13.83"/>
    <n v="9"/>
    <x v="2"/>
    <x v="4"/>
    <n v="17.989999999999998"/>
    <x v="0"/>
    <x v="2"/>
    <n v="3"/>
    <n v="1.38"/>
    <x v="5"/>
  </r>
  <r>
    <s v="d553a8df-d604-4a85-b7cc-c11980bd7ce2"/>
    <n v="69"/>
    <x v="4"/>
    <x v="0"/>
    <x v="2"/>
    <n v="6.16"/>
    <n v="1"/>
    <x v="2"/>
    <x v="4"/>
    <n v="8.99"/>
    <x v="0"/>
    <x v="0"/>
    <n v="1"/>
    <n v="3.08"/>
    <x v="2"/>
  </r>
  <r>
    <s v="30d8cd44-a1a8-4ab7-87f1-99111c75cb6f"/>
    <n v="57"/>
    <x v="4"/>
    <x v="2"/>
    <x v="1"/>
    <n v="6.13"/>
    <n v="3"/>
    <x v="0"/>
    <x v="3"/>
    <n v="17.989999999999998"/>
    <x v="0"/>
    <x v="3"/>
    <n v="3"/>
    <n v="1.53"/>
    <x v="6"/>
  </r>
  <r>
    <s v="074974ed-7713-4edf-abcc-5e200bc8537d"/>
    <n v="57"/>
    <x v="4"/>
    <x v="0"/>
    <x v="1"/>
    <n v="6.49"/>
    <n v="23"/>
    <x v="5"/>
    <x v="1"/>
    <n v="17.989999999999998"/>
    <x v="0"/>
    <x v="4"/>
    <n v="1"/>
    <n v="0.27"/>
    <x v="4"/>
  </r>
  <r>
    <s v="03473cbb-116f-4f83-86c0-50d5889eff11"/>
    <n v="62"/>
    <x v="4"/>
    <x v="0"/>
    <x v="2"/>
    <n v="3.62"/>
    <n v="34"/>
    <x v="3"/>
    <x v="2"/>
    <n v="8.99"/>
    <x v="1"/>
    <x v="3"/>
    <n v="3"/>
    <n v="0.1"/>
    <x v="0"/>
  </r>
  <r>
    <s v="1cec8e1a-078f-4340-ba27-a583a615df39"/>
    <n v="56"/>
    <x v="4"/>
    <x v="0"/>
    <x v="2"/>
    <n v="2.54"/>
    <n v="39"/>
    <x v="4"/>
    <x v="3"/>
    <n v="8.99"/>
    <x v="1"/>
    <x v="3"/>
    <n v="5"/>
    <n v="0.06"/>
    <x v="6"/>
  </r>
  <r>
    <s v="08a14bb8-ab48-4170-bccf-ef04ab15c43a"/>
    <n v="65"/>
    <x v="4"/>
    <x v="2"/>
    <x v="2"/>
    <n v="46.29"/>
    <n v="39"/>
    <x v="4"/>
    <x v="4"/>
    <n v="8.99"/>
    <x v="0"/>
    <x v="3"/>
    <n v="5"/>
    <n v="1.1599999999999999"/>
    <x v="0"/>
  </r>
  <r>
    <s v="05eaae1b-e321-499c-be9b-b6599ad1a880"/>
    <n v="58"/>
    <x v="4"/>
    <x v="0"/>
    <x v="1"/>
    <n v="59.99"/>
    <n v="11"/>
    <x v="4"/>
    <x v="3"/>
    <n v="17.989999999999998"/>
    <x v="0"/>
    <x v="2"/>
    <n v="2"/>
    <n v="5"/>
    <x v="1"/>
  </r>
  <r>
    <s v="ead812db-d371-4bc2-abb4-ca8c8471ca77"/>
    <n v="70"/>
    <x v="4"/>
    <x v="1"/>
    <x v="2"/>
    <n v="8.26"/>
    <n v="2"/>
    <x v="0"/>
    <x v="0"/>
    <n v="8.99"/>
    <x v="0"/>
    <x v="1"/>
    <n v="4"/>
    <n v="2.75"/>
    <x v="1"/>
  </r>
  <r>
    <s v="cadbece8-fd1a-4fcf-a4f5-3dd2e6bdd969"/>
    <n v="57"/>
    <x v="4"/>
    <x v="1"/>
    <x v="1"/>
    <n v="27.17"/>
    <n v="41"/>
    <x v="2"/>
    <x v="0"/>
    <n v="17.989999999999998"/>
    <x v="0"/>
    <x v="3"/>
    <n v="4"/>
    <n v="0.65"/>
    <x v="6"/>
  </r>
  <r>
    <s v="59512720-e88a-468c-adda-27695b946960"/>
    <n v="63"/>
    <x v="4"/>
    <x v="0"/>
    <x v="1"/>
    <n v="21.06"/>
    <n v="17"/>
    <x v="3"/>
    <x v="3"/>
    <n v="17.989999999999998"/>
    <x v="0"/>
    <x v="0"/>
    <n v="1"/>
    <n v="1.17"/>
    <x v="1"/>
  </r>
  <r>
    <s v="7b7aa94d-7978-405d-874b-593805447b56"/>
    <n v="64"/>
    <x v="4"/>
    <x v="0"/>
    <x v="2"/>
    <n v="11.77"/>
    <n v="9"/>
    <x v="3"/>
    <x v="2"/>
    <n v="8.99"/>
    <x v="0"/>
    <x v="0"/>
    <n v="2"/>
    <n v="1.18"/>
    <x v="3"/>
  </r>
  <r>
    <s v="4e273869-ee28-46a6-b32d-41c1b291af1e"/>
    <n v="65"/>
    <x v="4"/>
    <x v="0"/>
    <x v="0"/>
    <n v="15.97"/>
    <n v="2"/>
    <x v="3"/>
    <x v="0"/>
    <n v="13.99"/>
    <x v="0"/>
    <x v="0"/>
    <n v="1"/>
    <n v="5.32"/>
    <x v="0"/>
  </r>
  <r>
    <s v="2c7ccf0f-852f-4359-a5bf-1e15605d2411"/>
    <n v="55"/>
    <x v="4"/>
    <x v="0"/>
    <x v="2"/>
    <n v="18.98"/>
    <n v="34"/>
    <x v="2"/>
    <x v="3"/>
    <n v="8.99"/>
    <x v="0"/>
    <x v="3"/>
    <n v="5"/>
    <n v="0.54"/>
    <x v="5"/>
  </r>
  <r>
    <s v="e0203e9a-2724-4032-b679-6c33795c4d13"/>
    <n v="63"/>
    <x v="4"/>
    <x v="2"/>
    <x v="1"/>
    <n v="2.96"/>
    <n v="25"/>
    <x v="4"/>
    <x v="3"/>
    <n v="17.989999999999998"/>
    <x v="0"/>
    <x v="1"/>
    <n v="4"/>
    <n v="0.11"/>
    <x v="3"/>
  </r>
  <r>
    <s v="b2976ddf-b2bb-4870-8fcf-2377c119d2cd"/>
    <n v="66"/>
    <x v="4"/>
    <x v="1"/>
    <x v="1"/>
    <n v="1.4"/>
    <n v="23"/>
    <x v="0"/>
    <x v="1"/>
    <n v="17.989999999999998"/>
    <x v="1"/>
    <x v="4"/>
    <n v="2"/>
    <n v="0.06"/>
    <x v="5"/>
  </r>
  <r>
    <s v="b010be93-76b2-4b4d-bdbc-a420fc96aeaf"/>
    <n v="64"/>
    <x v="4"/>
    <x v="1"/>
    <x v="1"/>
    <n v="8.4600000000000009"/>
    <n v="20"/>
    <x v="0"/>
    <x v="1"/>
    <n v="17.989999999999998"/>
    <x v="0"/>
    <x v="1"/>
    <n v="4"/>
    <n v="0.4"/>
    <x v="4"/>
  </r>
  <r>
    <s v="7e4e462c-f211-4671-b964-ee732464853e"/>
    <n v="67"/>
    <x v="4"/>
    <x v="0"/>
    <x v="2"/>
    <n v="3.68"/>
    <n v="34"/>
    <x v="4"/>
    <x v="4"/>
    <n v="8.99"/>
    <x v="1"/>
    <x v="3"/>
    <n v="1"/>
    <n v="0.11"/>
    <x v="6"/>
  </r>
  <r>
    <s v="1df5b1e8-8112-471d-80aa-74af1982324f"/>
    <n v="57"/>
    <x v="4"/>
    <x v="0"/>
    <x v="2"/>
    <n v="1.24"/>
    <n v="52"/>
    <x v="1"/>
    <x v="3"/>
    <n v="8.99"/>
    <x v="1"/>
    <x v="2"/>
    <n v="4"/>
    <n v="0.02"/>
    <x v="6"/>
  </r>
  <r>
    <s v="d6b8270f-7185-40df-9965-535dc995fafb"/>
    <n v="69"/>
    <x v="4"/>
    <x v="1"/>
    <x v="1"/>
    <n v="3.66"/>
    <n v="53"/>
    <x v="5"/>
    <x v="0"/>
    <n v="17.989999999999998"/>
    <x v="1"/>
    <x v="0"/>
    <n v="4"/>
    <n v="7.0000000000000007E-2"/>
    <x v="6"/>
  </r>
  <r>
    <s v="5f8bdd64-2a4f-404d-9cdc-a1ada06cafe8"/>
    <n v="55"/>
    <x v="4"/>
    <x v="2"/>
    <x v="2"/>
    <n v="9.2799999999999994"/>
    <n v="42"/>
    <x v="0"/>
    <x v="1"/>
    <n v="8.99"/>
    <x v="1"/>
    <x v="3"/>
    <n v="2"/>
    <n v="0.22"/>
    <x v="2"/>
  </r>
  <r>
    <s v="31cd336c-f793-4bec-bc4c-039d941c2490"/>
    <n v="60"/>
    <x v="4"/>
    <x v="0"/>
    <x v="1"/>
    <n v="9.31"/>
    <n v="2"/>
    <x v="1"/>
    <x v="3"/>
    <n v="17.989999999999998"/>
    <x v="0"/>
    <x v="3"/>
    <n v="5"/>
    <n v="3.1"/>
    <x v="2"/>
  </r>
  <r>
    <s v="06465985-0b74-4942-bae3-5d65186df92b"/>
    <n v="60"/>
    <x v="4"/>
    <x v="1"/>
    <x v="2"/>
    <n v="12.11"/>
    <n v="33"/>
    <x v="5"/>
    <x v="3"/>
    <n v="8.99"/>
    <x v="1"/>
    <x v="0"/>
    <n v="4"/>
    <n v="0.36"/>
    <x v="1"/>
  </r>
  <r>
    <s v="ca45e25e-8bdd-4799-8c0c-2eccdcb6bbf2"/>
    <n v="68"/>
    <x v="4"/>
    <x v="0"/>
    <x v="0"/>
    <n v="2.58"/>
    <n v="37"/>
    <x v="2"/>
    <x v="4"/>
    <n v="13.99"/>
    <x v="1"/>
    <x v="1"/>
    <n v="3"/>
    <n v="7.0000000000000007E-2"/>
    <x v="6"/>
  </r>
  <r>
    <s v="9181fa02-7760-4f1e-a008-1a54d063fb9b"/>
    <n v="64"/>
    <x v="4"/>
    <x v="2"/>
    <x v="0"/>
    <n v="10.46"/>
    <n v="51"/>
    <x v="2"/>
    <x v="1"/>
    <n v="13.99"/>
    <x v="1"/>
    <x v="2"/>
    <n v="2"/>
    <n v="0.2"/>
    <x v="1"/>
  </r>
  <r>
    <s v="bb097e87-3e4e-40ad-b791-cd342f7ad67b"/>
    <n v="56"/>
    <x v="4"/>
    <x v="0"/>
    <x v="2"/>
    <n v="2.15"/>
    <n v="12"/>
    <x v="2"/>
    <x v="1"/>
    <n v="8.99"/>
    <x v="1"/>
    <x v="3"/>
    <n v="5"/>
    <n v="0.17"/>
    <x v="0"/>
  </r>
  <r>
    <s v="1c813952-7e02-4264-a834-416e29ccb810"/>
    <n v="56"/>
    <x v="4"/>
    <x v="1"/>
    <x v="1"/>
    <n v="19.25"/>
    <n v="28"/>
    <x v="4"/>
    <x v="1"/>
    <n v="17.989999999999998"/>
    <x v="0"/>
    <x v="2"/>
    <n v="5"/>
    <n v="0.66"/>
    <x v="3"/>
  </r>
  <r>
    <s v="f4d7fadf-5c3b-41d9-b4fb-f6df2bfaaa2d"/>
    <n v="57"/>
    <x v="4"/>
    <x v="1"/>
    <x v="1"/>
    <n v="8.6199999999999992"/>
    <n v="40"/>
    <x v="3"/>
    <x v="3"/>
    <n v="17.989999999999998"/>
    <x v="1"/>
    <x v="3"/>
    <n v="2"/>
    <n v="0.21"/>
    <x v="4"/>
  </r>
  <r>
    <s v="516e93d4-bbed-4673-9afd-e3e853754100"/>
    <n v="58"/>
    <x v="4"/>
    <x v="1"/>
    <x v="0"/>
    <n v="6.62"/>
    <n v="25"/>
    <x v="3"/>
    <x v="0"/>
    <n v="13.99"/>
    <x v="0"/>
    <x v="1"/>
    <n v="2"/>
    <n v="0.25"/>
    <x v="0"/>
  </r>
  <r>
    <s v="6dde2c86-7593-4d49-aee0-38ae33b01060"/>
    <n v="69"/>
    <x v="4"/>
    <x v="2"/>
    <x v="0"/>
    <n v="4.8600000000000003"/>
    <n v="27"/>
    <x v="4"/>
    <x v="3"/>
    <n v="13.99"/>
    <x v="1"/>
    <x v="4"/>
    <n v="3"/>
    <n v="0.17"/>
    <x v="2"/>
  </r>
  <r>
    <s v="1b82995d-cc3f-4f27-a87f-2dd1b6c9fc2e"/>
    <n v="59"/>
    <x v="4"/>
    <x v="1"/>
    <x v="1"/>
    <n v="18.05"/>
    <n v="19"/>
    <x v="0"/>
    <x v="0"/>
    <n v="17.989999999999998"/>
    <x v="0"/>
    <x v="3"/>
    <n v="3"/>
    <n v="0.9"/>
    <x v="5"/>
  </r>
  <r>
    <s v="eb0149c4-6c4f-4467-92f1-32a3745766f7"/>
    <n v="69"/>
    <x v="4"/>
    <x v="1"/>
    <x v="2"/>
    <n v="3.12"/>
    <n v="47"/>
    <x v="2"/>
    <x v="2"/>
    <n v="8.99"/>
    <x v="1"/>
    <x v="0"/>
    <n v="3"/>
    <n v="7.0000000000000007E-2"/>
    <x v="5"/>
  </r>
  <r>
    <s v="181aa143-101d-4965-9ab4-80edcaedd194"/>
    <n v="62"/>
    <x v="4"/>
    <x v="1"/>
    <x v="0"/>
    <n v="36.03"/>
    <n v="46"/>
    <x v="4"/>
    <x v="2"/>
    <n v="13.99"/>
    <x v="0"/>
    <x v="4"/>
    <n v="2"/>
    <n v="0.77"/>
    <x v="5"/>
  </r>
  <r>
    <s v="0066a45e-d10f-4519-9e4a-15e32388ad00"/>
    <n v="60"/>
    <x v="4"/>
    <x v="0"/>
    <x v="0"/>
    <n v="1.85"/>
    <n v="28"/>
    <x v="3"/>
    <x v="2"/>
    <n v="13.99"/>
    <x v="1"/>
    <x v="3"/>
    <n v="3"/>
    <n v="0.06"/>
    <x v="1"/>
  </r>
  <r>
    <s v="b69ffd1c-443e-47a7-ac67-b304ee8ece03"/>
    <n v="62"/>
    <x v="4"/>
    <x v="1"/>
    <x v="1"/>
    <n v="9.58"/>
    <n v="25"/>
    <x v="0"/>
    <x v="4"/>
    <n v="17.989999999999998"/>
    <x v="0"/>
    <x v="2"/>
    <n v="2"/>
    <n v="0.37"/>
    <x v="1"/>
  </r>
  <r>
    <s v="cff04a7a-b133-49e2-9a12-16c9c89c1a7a"/>
    <n v="56"/>
    <x v="4"/>
    <x v="2"/>
    <x v="1"/>
    <n v="6.24"/>
    <n v="2"/>
    <x v="5"/>
    <x v="4"/>
    <n v="17.989999999999998"/>
    <x v="0"/>
    <x v="0"/>
    <n v="4"/>
    <n v="2.08"/>
    <x v="6"/>
  </r>
  <r>
    <s v="ce4be12e-c15f-46e0-8026-f3e4935d04b4"/>
    <n v="60"/>
    <x v="4"/>
    <x v="2"/>
    <x v="1"/>
    <n v="7.25"/>
    <n v="35"/>
    <x v="0"/>
    <x v="0"/>
    <n v="17.989999999999998"/>
    <x v="0"/>
    <x v="1"/>
    <n v="5"/>
    <n v="0.2"/>
    <x v="6"/>
  </r>
  <r>
    <s v="1c8ec967-8010-404b-b7d6-767a09e543bc"/>
    <n v="64"/>
    <x v="4"/>
    <x v="2"/>
    <x v="2"/>
    <n v="6.68"/>
    <n v="24"/>
    <x v="0"/>
    <x v="1"/>
    <n v="8.99"/>
    <x v="1"/>
    <x v="0"/>
    <n v="2"/>
    <n v="0.27"/>
    <x v="2"/>
  </r>
  <r>
    <s v="f1bbc7ec-707d-4d01-b7fc-ceb06bd4de36"/>
    <n v="61"/>
    <x v="4"/>
    <x v="2"/>
    <x v="0"/>
    <n v="26.05"/>
    <n v="21"/>
    <x v="4"/>
    <x v="4"/>
    <n v="13.99"/>
    <x v="0"/>
    <x v="1"/>
    <n v="1"/>
    <n v="1.18"/>
    <x v="5"/>
  </r>
  <r>
    <s v="4b488ecd-4021-414b-9e79-052a51e982e6"/>
    <n v="65"/>
    <x v="4"/>
    <x v="1"/>
    <x v="1"/>
    <n v="16.68"/>
    <n v="9"/>
    <x v="0"/>
    <x v="2"/>
    <n v="17.989999999999998"/>
    <x v="0"/>
    <x v="1"/>
    <n v="2"/>
    <n v="1.67"/>
    <x v="4"/>
  </r>
  <r>
    <s v="03e076ee-865e-440a-bf29-41053d4f0b3b"/>
    <n v="59"/>
    <x v="4"/>
    <x v="2"/>
    <x v="1"/>
    <n v="4.9000000000000004"/>
    <n v="56"/>
    <x v="5"/>
    <x v="1"/>
    <n v="17.989999999999998"/>
    <x v="1"/>
    <x v="0"/>
    <n v="4"/>
    <n v="0.09"/>
    <x v="5"/>
  </r>
  <r>
    <s v="37cfcd56-9185-4c3d-8049-8ac6b15e6cbb"/>
    <n v="64"/>
    <x v="4"/>
    <x v="0"/>
    <x v="2"/>
    <n v="3.98"/>
    <n v="58"/>
    <x v="5"/>
    <x v="1"/>
    <n v="8.99"/>
    <x v="1"/>
    <x v="3"/>
    <n v="5"/>
    <n v="7.0000000000000007E-2"/>
    <x v="6"/>
  </r>
  <r>
    <s v="78881b37-93a3-40e3-af3f-0ed648260308"/>
    <n v="65"/>
    <x v="4"/>
    <x v="2"/>
    <x v="1"/>
    <n v="23.31"/>
    <n v="25"/>
    <x v="2"/>
    <x v="4"/>
    <n v="17.989999999999998"/>
    <x v="0"/>
    <x v="1"/>
    <n v="2"/>
    <n v="0.9"/>
    <x v="3"/>
  </r>
  <r>
    <s v="1ef03e82-e34c-4c29-b256-b321b3a5ce99"/>
    <n v="62"/>
    <x v="4"/>
    <x v="2"/>
    <x v="1"/>
    <n v="0.99"/>
    <n v="43"/>
    <x v="0"/>
    <x v="2"/>
    <n v="17.989999999999998"/>
    <x v="1"/>
    <x v="1"/>
    <n v="5"/>
    <n v="0.02"/>
    <x v="5"/>
  </r>
  <r>
    <s v="09054f5f-12f8-4050-a4a3-0200272daaa0"/>
    <n v="60"/>
    <x v="4"/>
    <x v="1"/>
    <x v="2"/>
    <n v="36.07"/>
    <n v="38"/>
    <x v="5"/>
    <x v="0"/>
    <n v="8.99"/>
    <x v="0"/>
    <x v="1"/>
    <n v="5"/>
    <n v="0.92"/>
    <x v="4"/>
  </r>
  <r>
    <s v="900d8e75-3067-4dfb-8193-9f2a21e0678e"/>
    <n v="57"/>
    <x v="4"/>
    <x v="0"/>
    <x v="2"/>
    <n v="2.86"/>
    <n v="49"/>
    <x v="1"/>
    <x v="3"/>
    <n v="8.99"/>
    <x v="1"/>
    <x v="1"/>
    <n v="2"/>
    <n v="0.06"/>
    <x v="5"/>
  </r>
  <r>
    <s v="83f21fb5-7cfa-45e9-875e-819c773032fb"/>
    <n v="62"/>
    <x v="4"/>
    <x v="1"/>
    <x v="2"/>
    <n v="16.62"/>
    <n v="21"/>
    <x v="2"/>
    <x v="3"/>
    <n v="8.99"/>
    <x v="0"/>
    <x v="4"/>
    <n v="3"/>
    <n v="0.76"/>
    <x v="3"/>
  </r>
  <r>
    <s v="2053f03c-0aff-41b0-be01-b4b81f0b1c6b"/>
    <n v="59"/>
    <x v="4"/>
    <x v="2"/>
    <x v="0"/>
    <n v="10.64"/>
    <n v="36"/>
    <x v="5"/>
    <x v="3"/>
    <n v="13.99"/>
    <x v="1"/>
    <x v="4"/>
    <n v="2"/>
    <n v="0.28999999999999998"/>
    <x v="0"/>
  </r>
  <r>
    <s v="77b85c42-c67d-4876-b26b-6ab89ed8bbaf"/>
    <n v="66"/>
    <x v="4"/>
    <x v="2"/>
    <x v="2"/>
    <n v="8.01"/>
    <n v="53"/>
    <x v="1"/>
    <x v="4"/>
    <n v="8.99"/>
    <x v="1"/>
    <x v="2"/>
    <n v="1"/>
    <n v="0.15"/>
    <x v="1"/>
  </r>
  <r>
    <s v="d7fbf7d7-9302-402c-a84e-d8303dedc8cd"/>
    <n v="58"/>
    <x v="4"/>
    <x v="1"/>
    <x v="1"/>
    <n v="14.44"/>
    <n v="43"/>
    <x v="4"/>
    <x v="4"/>
    <n v="17.989999999999998"/>
    <x v="1"/>
    <x v="4"/>
    <n v="3"/>
    <n v="0.33"/>
    <x v="2"/>
  </r>
  <r>
    <s v="84e37d64-6055-4386-ba92-21d96a511b3b"/>
    <n v="62"/>
    <x v="4"/>
    <x v="1"/>
    <x v="0"/>
    <n v="4.16"/>
    <n v="29"/>
    <x v="1"/>
    <x v="3"/>
    <n v="13.99"/>
    <x v="1"/>
    <x v="3"/>
    <n v="3"/>
    <n v="0.14000000000000001"/>
    <x v="6"/>
  </r>
  <r>
    <s v="b16c9135-2798-4e1d-a48a-1d9c64d459f2"/>
    <n v="62"/>
    <x v="4"/>
    <x v="1"/>
    <x v="2"/>
    <n v="21.86"/>
    <n v="22"/>
    <x v="5"/>
    <x v="0"/>
    <n v="8.99"/>
    <x v="0"/>
    <x v="0"/>
    <n v="5"/>
    <n v="0.95"/>
    <x v="6"/>
  </r>
  <r>
    <s v="029e94b4-bc1c-4602-a8ef-7fe92c78f4c2"/>
    <n v="58"/>
    <x v="4"/>
    <x v="0"/>
    <x v="2"/>
    <n v="8.4"/>
    <n v="44"/>
    <x v="3"/>
    <x v="1"/>
    <n v="8.99"/>
    <x v="1"/>
    <x v="4"/>
    <n v="2"/>
    <n v="0.19"/>
    <x v="5"/>
  </r>
  <r>
    <s v="e8e2671b-ef4f-4d9b-a1b3-0b642a8eff25"/>
    <n v="60"/>
    <x v="4"/>
    <x v="1"/>
    <x v="1"/>
    <n v="7.61"/>
    <n v="20"/>
    <x v="1"/>
    <x v="1"/>
    <n v="17.989999999999998"/>
    <x v="0"/>
    <x v="3"/>
    <n v="1"/>
    <n v="0.36"/>
    <x v="3"/>
  </r>
  <r>
    <s v="4d29e9ee-d620-4826-934a-0ad009294493"/>
    <n v="55"/>
    <x v="4"/>
    <x v="0"/>
    <x v="0"/>
    <n v="14.71"/>
    <n v="20"/>
    <x v="2"/>
    <x v="3"/>
    <n v="13.99"/>
    <x v="0"/>
    <x v="2"/>
    <n v="2"/>
    <n v="0.7"/>
    <x v="2"/>
  </r>
  <r>
    <s v="69f107ad-0d39-475d-850e-6d718d486ae4"/>
    <n v="63"/>
    <x v="4"/>
    <x v="2"/>
    <x v="1"/>
    <n v="20.68"/>
    <n v="26"/>
    <x v="0"/>
    <x v="4"/>
    <n v="17.989999999999998"/>
    <x v="0"/>
    <x v="0"/>
    <n v="5"/>
    <n v="0.77"/>
    <x v="2"/>
  </r>
  <r>
    <s v="981b303b-c6cd-438a-9e2a-d360db261b75"/>
    <n v="63"/>
    <x v="4"/>
    <x v="2"/>
    <x v="2"/>
    <n v="39.549999999999997"/>
    <n v="42"/>
    <x v="4"/>
    <x v="4"/>
    <n v="8.99"/>
    <x v="1"/>
    <x v="4"/>
    <n v="1"/>
    <n v="0.92"/>
    <x v="6"/>
  </r>
  <r>
    <s v="2b8e4729-3d02-40e1-86ba-7cb9241b7f80"/>
    <n v="68"/>
    <x v="4"/>
    <x v="1"/>
    <x v="0"/>
    <n v="5.33"/>
    <n v="26"/>
    <x v="4"/>
    <x v="1"/>
    <n v="13.99"/>
    <x v="0"/>
    <x v="0"/>
    <n v="5"/>
    <n v="0.2"/>
    <x v="0"/>
  </r>
  <r>
    <s v="8f256cb4-eb43-4eaf-a0f9-ee1436424b70"/>
    <n v="68"/>
    <x v="4"/>
    <x v="0"/>
    <x v="0"/>
    <n v="14.65"/>
    <n v="11"/>
    <x v="5"/>
    <x v="4"/>
    <n v="13.99"/>
    <x v="0"/>
    <x v="1"/>
    <n v="5"/>
    <n v="1.22"/>
    <x v="6"/>
  </r>
  <r>
    <s v="47787f39-8e7e-44fb-b179-442e3735f82f"/>
    <n v="58"/>
    <x v="4"/>
    <x v="1"/>
    <x v="0"/>
    <n v="0.37"/>
    <n v="60"/>
    <x v="1"/>
    <x v="4"/>
    <n v="13.99"/>
    <x v="1"/>
    <x v="1"/>
    <n v="5"/>
    <n v="0.01"/>
    <x v="5"/>
  </r>
  <r>
    <s v="225a3fb2-e273-4726-a0f3-0fea1aa6f0c9"/>
    <n v="59"/>
    <x v="4"/>
    <x v="2"/>
    <x v="2"/>
    <n v="25"/>
    <n v="44"/>
    <x v="0"/>
    <x v="4"/>
    <n v="8.99"/>
    <x v="0"/>
    <x v="0"/>
    <n v="4"/>
    <n v="0.56000000000000005"/>
    <x v="1"/>
  </r>
  <r>
    <s v="6a2c245c-1c2b-4aab-8133-182c39000b3a"/>
    <n v="56"/>
    <x v="4"/>
    <x v="2"/>
    <x v="2"/>
    <n v="14.36"/>
    <n v="21"/>
    <x v="2"/>
    <x v="4"/>
    <n v="8.99"/>
    <x v="0"/>
    <x v="0"/>
    <n v="1"/>
    <n v="0.65"/>
    <x v="4"/>
  </r>
  <r>
    <s v="435ccceb-38f8-40a8-86eb-7629bd3d9c54"/>
    <n v="56"/>
    <x v="4"/>
    <x v="2"/>
    <x v="2"/>
    <n v="3.26"/>
    <n v="20"/>
    <x v="4"/>
    <x v="1"/>
    <n v="8.99"/>
    <x v="1"/>
    <x v="3"/>
    <n v="3"/>
    <n v="0.16"/>
    <x v="1"/>
  </r>
  <r>
    <s v="437ee4e8-fc39-4e80-99a5-3e8aa461522a"/>
    <n v="68"/>
    <x v="4"/>
    <x v="2"/>
    <x v="0"/>
    <n v="24.08"/>
    <n v="58"/>
    <x v="2"/>
    <x v="1"/>
    <n v="13.99"/>
    <x v="0"/>
    <x v="4"/>
    <n v="2"/>
    <n v="0.41"/>
    <x v="1"/>
  </r>
  <r>
    <s v="3a541439-f431-4fbc-9f60-8434d47eaae8"/>
    <n v="62"/>
    <x v="4"/>
    <x v="1"/>
    <x v="1"/>
    <n v="7.68"/>
    <n v="56"/>
    <x v="1"/>
    <x v="1"/>
    <n v="17.989999999999998"/>
    <x v="1"/>
    <x v="3"/>
    <n v="2"/>
    <n v="0.13"/>
    <x v="2"/>
  </r>
  <r>
    <s v="5387eb2d-2e8e-47aa-a12f-9202951e5f69"/>
    <n v="69"/>
    <x v="4"/>
    <x v="2"/>
    <x v="2"/>
    <n v="1.1299999999999999"/>
    <n v="24"/>
    <x v="3"/>
    <x v="4"/>
    <n v="8.99"/>
    <x v="1"/>
    <x v="2"/>
    <n v="3"/>
    <n v="0.05"/>
    <x v="4"/>
  </r>
  <r>
    <s v="67cf164d-d961-4310-8646-8b5792f20876"/>
    <n v="70"/>
    <x v="4"/>
    <x v="1"/>
    <x v="1"/>
    <n v="8.68"/>
    <n v="41"/>
    <x v="2"/>
    <x v="3"/>
    <n v="17.989999999999998"/>
    <x v="1"/>
    <x v="3"/>
    <n v="1"/>
    <n v="0.21"/>
    <x v="2"/>
  </r>
  <r>
    <s v="5c55ebb6-04ac-4d5d-9d7c-32ea910c88ba"/>
    <n v="70"/>
    <x v="4"/>
    <x v="1"/>
    <x v="0"/>
    <n v="20.329999999999998"/>
    <n v="42"/>
    <x v="1"/>
    <x v="2"/>
    <n v="13.99"/>
    <x v="0"/>
    <x v="0"/>
    <n v="4"/>
    <n v="0.47"/>
    <x v="5"/>
  </r>
  <r>
    <s v="de02cddd-08a6-42fe-99bc-06cc033f2bd5"/>
    <n v="68"/>
    <x v="4"/>
    <x v="2"/>
    <x v="1"/>
    <n v="19.91"/>
    <n v="54"/>
    <x v="1"/>
    <x v="2"/>
    <n v="17.989999999999998"/>
    <x v="1"/>
    <x v="4"/>
    <n v="3"/>
    <n v="0.36"/>
    <x v="2"/>
  </r>
  <r>
    <s v="5952e659-bab6-482a-96c4-f44b828be07a"/>
    <n v="59"/>
    <x v="4"/>
    <x v="0"/>
    <x v="1"/>
    <n v="23.31"/>
    <n v="50"/>
    <x v="2"/>
    <x v="0"/>
    <n v="17.989999999999998"/>
    <x v="0"/>
    <x v="4"/>
    <n v="3"/>
    <n v="0.46"/>
    <x v="1"/>
  </r>
  <r>
    <s v="4be265b7-f86a-4d63-913d-f15259bbc9ad"/>
    <n v="61"/>
    <x v="4"/>
    <x v="1"/>
    <x v="0"/>
    <n v="19.489999999999998"/>
    <n v="9"/>
    <x v="0"/>
    <x v="0"/>
    <n v="13.99"/>
    <x v="0"/>
    <x v="3"/>
    <n v="1"/>
    <n v="1.95"/>
    <x v="0"/>
  </r>
  <r>
    <s v="5cd4bc7f-42fe-4ca5-8903-f154b5473974"/>
    <n v="65"/>
    <x v="4"/>
    <x v="1"/>
    <x v="2"/>
    <n v="0.39"/>
    <n v="3"/>
    <x v="5"/>
    <x v="3"/>
    <n v="8.99"/>
    <x v="1"/>
    <x v="3"/>
    <n v="2"/>
    <n v="0.1"/>
    <x v="3"/>
  </r>
  <r>
    <s v="c2edf117-ec72-4ee9-bf3c-bb67ea3ce636"/>
    <n v="67"/>
    <x v="4"/>
    <x v="0"/>
    <x v="2"/>
    <n v="8.0299999999999994"/>
    <n v="34"/>
    <x v="0"/>
    <x v="3"/>
    <n v="8.99"/>
    <x v="1"/>
    <x v="0"/>
    <n v="1"/>
    <n v="0.23"/>
    <x v="4"/>
  </r>
  <r>
    <s v="724af657-0df2-4775-8850-9e3cd124f620"/>
    <n v="61"/>
    <x v="4"/>
    <x v="0"/>
    <x v="2"/>
    <n v="14.55"/>
    <n v="37"/>
    <x v="2"/>
    <x v="1"/>
    <n v="8.99"/>
    <x v="1"/>
    <x v="4"/>
    <n v="2"/>
    <n v="0.38"/>
    <x v="5"/>
  </r>
  <r>
    <s v="a4cfac30-906c-46c6-9613-799375ab5c8a"/>
    <n v="69"/>
    <x v="4"/>
    <x v="1"/>
    <x v="1"/>
    <n v="15.94"/>
    <n v="36"/>
    <x v="2"/>
    <x v="1"/>
    <n v="17.989999999999998"/>
    <x v="1"/>
    <x v="1"/>
    <n v="2"/>
    <n v="0.43"/>
    <x v="0"/>
  </r>
  <r>
    <s v="4accb3d6-cb3e-4912-955e-5c7ab5b2f60a"/>
    <n v="57"/>
    <x v="4"/>
    <x v="0"/>
    <x v="2"/>
    <n v="0.71"/>
    <n v="42"/>
    <x v="4"/>
    <x v="0"/>
    <n v="8.99"/>
    <x v="1"/>
    <x v="1"/>
    <n v="4"/>
    <n v="0.02"/>
    <x v="6"/>
  </r>
  <r>
    <s v="d3b41960-c2b4-4bf5-92cb-243fd3dd3839"/>
    <n v="66"/>
    <x v="4"/>
    <x v="0"/>
    <x v="2"/>
    <n v="37.6"/>
    <n v="35"/>
    <x v="2"/>
    <x v="2"/>
    <n v="8.99"/>
    <x v="0"/>
    <x v="4"/>
    <n v="3"/>
    <n v="1.04"/>
    <x v="1"/>
  </r>
  <r>
    <s v="bbc959b5-3e2d-486d-afe6-f5604ccd8353"/>
    <n v="66"/>
    <x v="4"/>
    <x v="2"/>
    <x v="2"/>
    <n v="5.07"/>
    <n v="38"/>
    <x v="4"/>
    <x v="2"/>
    <n v="8.99"/>
    <x v="1"/>
    <x v="3"/>
    <n v="5"/>
    <n v="0.13"/>
    <x v="6"/>
  </r>
  <r>
    <s v="0048f001-a72c-4307-8f2d-3820bdf4ed80"/>
    <n v="63"/>
    <x v="4"/>
    <x v="0"/>
    <x v="1"/>
    <n v="9.84"/>
    <n v="46"/>
    <x v="2"/>
    <x v="2"/>
    <n v="17.989999999999998"/>
    <x v="1"/>
    <x v="3"/>
    <n v="2"/>
    <n v="0.21"/>
    <x v="4"/>
  </r>
  <r>
    <s v="81264692-e2fd-4344-9f2b-0826d6bb7edf"/>
    <n v="62"/>
    <x v="4"/>
    <x v="2"/>
    <x v="0"/>
    <n v="9.15"/>
    <n v="55"/>
    <x v="4"/>
    <x v="4"/>
    <n v="13.99"/>
    <x v="1"/>
    <x v="4"/>
    <n v="5"/>
    <n v="0.16"/>
    <x v="6"/>
  </r>
  <r>
    <s v="0b23f53c-b88a-4f84-9ad7-a5c6c58468c1"/>
    <n v="63"/>
    <x v="4"/>
    <x v="0"/>
    <x v="0"/>
    <n v="3.86"/>
    <n v="14"/>
    <x v="1"/>
    <x v="2"/>
    <n v="13.99"/>
    <x v="1"/>
    <x v="0"/>
    <n v="5"/>
    <n v="0.26"/>
    <x v="5"/>
  </r>
  <r>
    <s v="07b6de05-0028-418a-9e1c-09a345bd813c"/>
    <n v="68"/>
    <x v="4"/>
    <x v="0"/>
    <x v="0"/>
    <n v="6.49"/>
    <n v="6"/>
    <x v="2"/>
    <x v="3"/>
    <n v="13.99"/>
    <x v="0"/>
    <x v="2"/>
    <n v="1"/>
    <n v="0.93"/>
    <x v="0"/>
  </r>
  <r>
    <s v="49d28e48-9b37-4e3d-b921-06b3c1ff01f3"/>
    <n v="62"/>
    <x v="4"/>
    <x v="1"/>
    <x v="2"/>
    <n v="18.420000000000002"/>
    <n v="45"/>
    <x v="4"/>
    <x v="3"/>
    <n v="8.99"/>
    <x v="1"/>
    <x v="1"/>
    <n v="3"/>
    <n v="0.4"/>
    <x v="5"/>
  </r>
  <r>
    <s v="119a8e37-6e68-4055-b5bb-012e97bc9ffb"/>
    <n v="66"/>
    <x v="4"/>
    <x v="1"/>
    <x v="1"/>
    <n v="8.07"/>
    <n v="20"/>
    <x v="3"/>
    <x v="3"/>
    <n v="17.989999999999998"/>
    <x v="0"/>
    <x v="4"/>
    <n v="5"/>
    <n v="0.38"/>
    <x v="4"/>
  </r>
  <r>
    <s v="7b4e29be-baa8-42c4-a7e8-3a707d8ef336"/>
    <n v="69"/>
    <x v="4"/>
    <x v="0"/>
    <x v="2"/>
    <n v="40.159999999999997"/>
    <n v="16"/>
    <x v="0"/>
    <x v="0"/>
    <n v="8.99"/>
    <x v="0"/>
    <x v="1"/>
    <n v="4"/>
    <n v="2.36"/>
    <x v="0"/>
  </r>
  <r>
    <s v="00e9f683-9379-4296-a5a6-76bc2c9dd117"/>
    <n v="58"/>
    <x v="4"/>
    <x v="0"/>
    <x v="1"/>
    <n v="0.45"/>
    <n v="7"/>
    <x v="5"/>
    <x v="0"/>
    <n v="17.989999999999998"/>
    <x v="1"/>
    <x v="0"/>
    <n v="1"/>
    <n v="0.06"/>
    <x v="6"/>
  </r>
  <r>
    <s v="3c9f262f-a793-4935-8967-c74dbadf9938"/>
    <n v="65"/>
    <x v="4"/>
    <x v="0"/>
    <x v="0"/>
    <n v="45.1"/>
    <n v="58"/>
    <x v="3"/>
    <x v="4"/>
    <n v="13.99"/>
    <x v="0"/>
    <x v="2"/>
    <n v="3"/>
    <n v="0.76"/>
    <x v="4"/>
  </r>
  <r>
    <s v="fb35081c-372b-46f2-afb1-a239c1ca535b"/>
    <n v="65"/>
    <x v="4"/>
    <x v="1"/>
    <x v="0"/>
    <n v="1.64"/>
    <n v="15"/>
    <x v="2"/>
    <x v="4"/>
    <n v="13.99"/>
    <x v="1"/>
    <x v="0"/>
    <n v="2"/>
    <n v="0.1"/>
    <x v="2"/>
  </r>
  <r>
    <s v="174b96de-7b2d-4934-a5a0-35ba2d435c5a"/>
    <n v="63"/>
    <x v="4"/>
    <x v="0"/>
    <x v="1"/>
    <n v="2.81"/>
    <n v="0"/>
    <x v="2"/>
    <x v="4"/>
    <n v="17.989999999999998"/>
    <x v="0"/>
    <x v="4"/>
    <n v="5"/>
    <n v="2.81"/>
    <x v="0"/>
  </r>
  <r>
    <s v="0bd8dee5-47a9-4349-9d55-e109f81d4394"/>
    <n v="62"/>
    <x v="4"/>
    <x v="2"/>
    <x v="0"/>
    <n v="27.16"/>
    <n v="45"/>
    <x v="1"/>
    <x v="3"/>
    <n v="13.99"/>
    <x v="0"/>
    <x v="2"/>
    <n v="2"/>
    <n v="0.59"/>
    <x v="1"/>
  </r>
  <r>
    <s v="3fa23200-518c-4593-983c-1114bf8ee2e7"/>
    <n v="63"/>
    <x v="4"/>
    <x v="1"/>
    <x v="0"/>
    <n v="3.13"/>
    <n v="45"/>
    <x v="4"/>
    <x v="1"/>
    <n v="13.99"/>
    <x v="1"/>
    <x v="4"/>
    <n v="2"/>
    <n v="7.0000000000000007E-2"/>
    <x v="6"/>
  </r>
  <r>
    <s v="75994c2a-9f9a-4701-b51d-ad8b7e3787cb"/>
    <n v="65"/>
    <x v="4"/>
    <x v="2"/>
    <x v="0"/>
    <n v="15.33"/>
    <n v="17"/>
    <x v="4"/>
    <x v="3"/>
    <n v="13.99"/>
    <x v="0"/>
    <x v="4"/>
    <n v="1"/>
    <n v="0.85"/>
    <x v="6"/>
  </r>
  <r>
    <s v="14032ec1-bd28-4b6e-8baf-e87a673489b1"/>
    <n v="60"/>
    <x v="4"/>
    <x v="2"/>
    <x v="2"/>
    <n v="4.37"/>
    <n v="59"/>
    <x v="4"/>
    <x v="1"/>
    <n v="8.99"/>
    <x v="1"/>
    <x v="0"/>
    <n v="2"/>
    <n v="7.0000000000000007E-2"/>
    <x v="6"/>
  </r>
  <r>
    <s v="bb31bd8f-7d63-4280-ada1-f1e832fcfdd6"/>
    <n v="61"/>
    <x v="4"/>
    <x v="2"/>
    <x v="0"/>
    <n v="2.15"/>
    <n v="33"/>
    <x v="2"/>
    <x v="2"/>
    <n v="13.99"/>
    <x v="1"/>
    <x v="0"/>
    <n v="1"/>
    <n v="0.06"/>
    <x v="6"/>
  </r>
  <r>
    <s v="93a74dd5-ab90-4ce9-a0b9-8eb45b50e030"/>
    <n v="64"/>
    <x v="4"/>
    <x v="2"/>
    <x v="0"/>
    <n v="8.4"/>
    <n v="47"/>
    <x v="2"/>
    <x v="0"/>
    <n v="13.99"/>
    <x v="1"/>
    <x v="0"/>
    <n v="4"/>
    <n v="0.18"/>
    <x v="5"/>
  </r>
  <r>
    <s v="b4866929-b3fb-47af-a191-0afaf68d14c8"/>
    <n v="68"/>
    <x v="4"/>
    <x v="0"/>
    <x v="2"/>
    <n v="10.14"/>
    <n v="9"/>
    <x v="1"/>
    <x v="0"/>
    <n v="8.99"/>
    <x v="0"/>
    <x v="4"/>
    <n v="1"/>
    <n v="1.01"/>
    <x v="6"/>
  </r>
  <r>
    <s v="919cd49b-f1e4-4deb-82e8-ed7db297d9b8"/>
    <n v="61"/>
    <x v="4"/>
    <x v="0"/>
    <x v="2"/>
    <n v="4.18"/>
    <n v="47"/>
    <x v="2"/>
    <x v="1"/>
    <n v="8.99"/>
    <x v="1"/>
    <x v="1"/>
    <n v="2"/>
    <n v="0.09"/>
    <x v="0"/>
  </r>
  <r>
    <s v="11ff4157-7112-460a-b2f0-b74ee12ee607"/>
    <n v="56"/>
    <x v="4"/>
    <x v="0"/>
    <x v="1"/>
    <n v="17.25"/>
    <n v="52"/>
    <x v="5"/>
    <x v="1"/>
    <n v="17.989999999999998"/>
    <x v="0"/>
    <x v="3"/>
    <n v="5"/>
    <n v="0.33"/>
    <x v="6"/>
  </r>
  <r>
    <s v="61ad71a3-40b3-487a-9f6d-38a74144f87b"/>
    <n v="58"/>
    <x v="4"/>
    <x v="2"/>
    <x v="1"/>
    <n v="21.56"/>
    <n v="39"/>
    <x v="1"/>
    <x v="0"/>
    <n v="17.989999999999998"/>
    <x v="0"/>
    <x v="0"/>
    <n v="4"/>
    <n v="0.54"/>
    <x v="0"/>
  </r>
  <r>
    <s v="70b1a663-57dc-4d65-8665-808f618abbba"/>
    <n v="61"/>
    <x v="4"/>
    <x v="1"/>
    <x v="1"/>
    <n v="5.87"/>
    <n v="8"/>
    <x v="3"/>
    <x v="1"/>
    <n v="17.989999999999998"/>
    <x v="0"/>
    <x v="0"/>
    <n v="5"/>
    <n v="0.65"/>
    <x v="2"/>
  </r>
  <r>
    <s v="904460bb-b5a1-4450-bc0f-5fec7fd21583"/>
    <n v="56"/>
    <x v="4"/>
    <x v="1"/>
    <x v="1"/>
    <n v="1.54"/>
    <n v="10"/>
    <x v="3"/>
    <x v="4"/>
    <n v="17.989999999999998"/>
    <x v="1"/>
    <x v="2"/>
    <n v="3"/>
    <n v="0.14000000000000001"/>
    <x v="4"/>
  </r>
  <r>
    <s v="1934ae7e-6f01-40d2-a15c-ee3db2650f99"/>
    <n v="64"/>
    <x v="4"/>
    <x v="0"/>
    <x v="2"/>
    <n v="0.65"/>
    <n v="43"/>
    <x v="0"/>
    <x v="1"/>
    <n v="8.99"/>
    <x v="1"/>
    <x v="3"/>
    <n v="3"/>
    <n v="0.01"/>
    <x v="0"/>
  </r>
  <r>
    <s v="511d9a10-669b-4283-bc6d-40c10a595b43"/>
    <n v="58"/>
    <x v="4"/>
    <x v="0"/>
    <x v="2"/>
    <n v="34.53"/>
    <n v="0"/>
    <x v="0"/>
    <x v="0"/>
    <n v="8.99"/>
    <x v="0"/>
    <x v="4"/>
    <n v="4"/>
    <n v="34.53"/>
    <x v="4"/>
  </r>
  <r>
    <s v="92bd3cd1-3724-4b30-a56c-4929277c2461"/>
    <n v="68"/>
    <x v="4"/>
    <x v="1"/>
    <x v="2"/>
    <n v="2.2799999999999998"/>
    <n v="6"/>
    <x v="0"/>
    <x v="3"/>
    <n v="8.99"/>
    <x v="1"/>
    <x v="2"/>
    <n v="3"/>
    <n v="0.33"/>
    <x v="4"/>
  </r>
  <r>
    <s v="bfe8f1a3-00d5-436f-b79a-553651c553f7"/>
    <n v="57"/>
    <x v="4"/>
    <x v="2"/>
    <x v="0"/>
    <n v="14.87"/>
    <n v="46"/>
    <x v="4"/>
    <x v="4"/>
    <n v="13.99"/>
    <x v="0"/>
    <x v="1"/>
    <n v="4"/>
    <n v="0.32"/>
    <x v="4"/>
  </r>
  <r>
    <s v="7d7ec060-ca0f-4371-a86a-69bf262b94bb"/>
    <n v="70"/>
    <x v="4"/>
    <x v="0"/>
    <x v="1"/>
    <n v="10.54"/>
    <n v="0"/>
    <x v="1"/>
    <x v="3"/>
    <n v="17.989999999999998"/>
    <x v="0"/>
    <x v="0"/>
    <n v="4"/>
    <n v="10.54"/>
    <x v="5"/>
  </r>
  <r>
    <s v="bce13731-9d24-4bbe-9b0f-97221e952048"/>
    <n v="68"/>
    <x v="4"/>
    <x v="0"/>
    <x v="0"/>
    <n v="56.43"/>
    <n v="18"/>
    <x v="0"/>
    <x v="4"/>
    <n v="13.99"/>
    <x v="0"/>
    <x v="3"/>
    <n v="2"/>
    <n v="2.97"/>
    <x v="4"/>
  </r>
  <r>
    <s v="e5ba5dd3-a246-4526-9616-662dd7188e7c"/>
    <n v="68"/>
    <x v="4"/>
    <x v="0"/>
    <x v="0"/>
    <n v="0.22"/>
    <n v="51"/>
    <x v="0"/>
    <x v="3"/>
    <n v="13.99"/>
    <x v="1"/>
    <x v="2"/>
    <n v="1"/>
    <n v="0"/>
    <x v="6"/>
  </r>
  <r>
    <s v="b4aae09c-528f-445d-afb3-68ab027b8d48"/>
    <n v="64"/>
    <x v="4"/>
    <x v="0"/>
    <x v="0"/>
    <n v="3.92"/>
    <n v="17"/>
    <x v="5"/>
    <x v="3"/>
    <n v="13.99"/>
    <x v="0"/>
    <x v="2"/>
    <n v="5"/>
    <n v="0.22"/>
    <x v="2"/>
  </r>
  <r>
    <s v="0210bc7e-5a01-4a6b-b3c1-8c1a332ab7f6"/>
    <n v="65"/>
    <x v="4"/>
    <x v="0"/>
    <x v="0"/>
    <n v="2.2599999999999998"/>
    <n v="60"/>
    <x v="2"/>
    <x v="2"/>
    <n v="13.99"/>
    <x v="1"/>
    <x v="2"/>
    <n v="2"/>
    <n v="0.04"/>
    <x v="2"/>
  </r>
  <r>
    <s v="3e87afc6-292d-4a8b-8399-1a8fe6aad089"/>
    <n v="59"/>
    <x v="4"/>
    <x v="0"/>
    <x v="0"/>
    <n v="23.59"/>
    <n v="43"/>
    <x v="4"/>
    <x v="3"/>
    <n v="13.99"/>
    <x v="0"/>
    <x v="1"/>
    <n v="1"/>
    <n v="0.54"/>
    <x v="4"/>
  </r>
  <r>
    <s v="521382de-978e-48ad-b161-5d8ab6b7234e"/>
    <n v="55"/>
    <x v="4"/>
    <x v="2"/>
    <x v="0"/>
    <n v="10.1"/>
    <n v="4"/>
    <x v="0"/>
    <x v="3"/>
    <n v="13.99"/>
    <x v="0"/>
    <x v="1"/>
    <n v="4"/>
    <n v="2.02"/>
    <x v="6"/>
  </r>
  <r>
    <s v="5548db44-9939-45ea-8cde-6dd44b0d8036"/>
    <n v="70"/>
    <x v="4"/>
    <x v="0"/>
    <x v="0"/>
    <n v="8.27"/>
    <n v="60"/>
    <x v="1"/>
    <x v="4"/>
    <n v="13.99"/>
    <x v="1"/>
    <x v="4"/>
    <n v="3"/>
    <n v="0.14000000000000001"/>
    <x v="1"/>
  </r>
  <r>
    <s v="6c7026ab-704b-4d7d-b658-66432e78fbf8"/>
    <n v="63"/>
    <x v="4"/>
    <x v="0"/>
    <x v="2"/>
    <n v="0.52"/>
    <n v="1"/>
    <x v="3"/>
    <x v="4"/>
    <n v="8.99"/>
    <x v="1"/>
    <x v="3"/>
    <n v="4"/>
    <n v="0.26"/>
    <x v="1"/>
  </r>
  <r>
    <s v="aeb6a179-a31d-4430-9d79-388dbd8b552f"/>
    <n v="66"/>
    <x v="4"/>
    <x v="2"/>
    <x v="2"/>
    <n v="2.1800000000000002"/>
    <n v="15"/>
    <x v="2"/>
    <x v="1"/>
    <n v="8.99"/>
    <x v="1"/>
    <x v="1"/>
    <n v="5"/>
    <n v="0.14000000000000001"/>
    <x v="2"/>
  </r>
  <r>
    <s v="60334592-83df-4b11-a2e1-da7ded2535aa"/>
    <n v="57"/>
    <x v="4"/>
    <x v="1"/>
    <x v="1"/>
    <n v="29.23"/>
    <n v="3"/>
    <x v="2"/>
    <x v="1"/>
    <n v="17.989999999999998"/>
    <x v="0"/>
    <x v="2"/>
    <n v="1"/>
    <n v="7.31"/>
    <x v="4"/>
  </r>
  <r>
    <s v="2d25d85a-6085-4ad8-ae08-1a4d21b7c05b"/>
    <n v="67"/>
    <x v="4"/>
    <x v="0"/>
    <x v="0"/>
    <n v="43.24"/>
    <n v="34"/>
    <x v="3"/>
    <x v="4"/>
    <n v="13.99"/>
    <x v="0"/>
    <x v="2"/>
    <n v="3"/>
    <n v="1.24"/>
    <x v="6"/>
  </r>
  <r>
    <s v="feca176b-1ae3-47f9-82d6-ebee151dcd65"/>
    <n v="70"/>
    <x v="4"/>
    <x v="0"/>
    <x v="2"/>
    <n v="7.47"/>
    <n v="58"/>
    <x v="4"/>
    <x v="3"/>
    <n v="8.99"/>
    <x v="1"/>
    <x v="4"/>
    <n v="2"/>
    <n v="0.13"/>
    <x v="4"/>
  </r>
  <r>
    <s v="287ec5fe-48e9-4538-b9c9-71bf23aa8781"/>
    <n v="57"/>
    <x v="4"/>
    <x v="2"/>
    <x v="0"/>
    <n v="12.67"/>
    <n v="50"/>
    <x v="4"/>
    <x v="0"/>
    <n v="13.99"/>
    <x v="1"/>
    <x v="0"/>
    <n v="2"/>
    <n v="0.25"/>
    <x v="5"/>
  </r>
  <r>
    <s v="0691d9e7-92de-4dc5-ae11-64824edbf9e0"/>
    <n v="67"/>
    <x v="4"/>
    <x v="1"/>
    <x v="1"/>
    <n v="53.67"/>
    <n v="47"/>
    <x v="3"/>
    <x v="1"/>
    <n v="17.989999999999998"/>
    <x v="0"/>
    <x v="3"/>
    <n v="2"/>
    <n v="1.1200000000000001"/>
    <x v="4"/>
  </r>
  <r>
    <s v="099473b4-b27c-4cf8-9bb1-862c639701f3"/>
    <n v="66"/>
    <x v="4"/>
    <x v="2"/>
    <x v="1"/>
    <n v="11.94"/>
    <n v="43"/>
    <x v="0"/>
    <x v="4"/>
    <n v="17.989999999999998"/>
    <x v="0"/>
    <x v="2"/>
    <n v="4"/>
    <n v="0.27"/>
    <x v="5"/>
  </r>
  <r>
    <s v="8050afa7-ecbe-4ad4-a793-50f42ab423d3"/>
    <n v="58"/>
    <x v="4"/>
    <x v="2"/>
    <x v="0"/>
    <n v="12.42"/>
    <n v="20"/>
    <x v="5"/>
    <x v="4"/>
    <n v="13.99"/>
    <x v="0"/>
    <x v="2"/>
    <n v="5"/>
    <n v="0.59"/>
    <x v="4"/>
  </r>
  <r>
    <s v="81a2a8c7-3f1b-47be-b787-9730e6874b3b"/>
    <n v="57"/>
    <x v="4"/>
    <x v="0"/>
    <x v="1"/>
    <n v="23.63"/>
    <n v="34"/>
    <x v="3"/>
    <x v="1"/>
    <n v="17.989999999999998"/>
    <x v="0"/>
    <x v="2"/>
    <n v="5"/>
    <n v="0.68"/>
    <x v="0"/>
  </r>
  <r>
    <s v="b1b17c62-0907-4594-8477-b6d9a1de203c"/>
    <n v="61"/>
    <x v="4"/>
    <x v="0"/>
    <x v="2"/>
    <n v="4.4800000000000004"/>
    <n v="28"/>
    <x v="4"/>
    <x v="1"/>
    <n v="8.99"/>
    <x v="1"/>
    <x v="4"/>
    <n v="5"/>
    <n v="0.15"/>
    <x v="3"/>
  </r>
  <r>
    <s v="7987069d-efaa-4d6b-bf85-de78408157c5"/>
    <n v="67"/>
    <x v="4"/>
    <x v="1"/>
    <x v="2"/>
    <n v="4.3099999999999996"/>
    <n v="37"/>
    <x v="3"/>
    <x v="1"/>
    <n v="8.99"/>
    <x v="1"/>
    <x v="1"/>
    <n v="5"/>
    <n v="0.11"/>
    <x v="6"/>
  </r>
  <r>
    <s v="f6790d45-e49b-478e-9535-ee8ce7ef1cdf"/>
    <n v="64"/>
    <x v="4"/>
    <x v="0"/>
    <x v="1"/>
    <n v="6.41"/>
    <n v="4"/>
    <x v="4"/>
    <x v="4"/>
    <n v="17.989999999999998"/>
    <x v="0"/>
    <x v="2"/>
    <n v="1"/>
    <n v="1.28"/>
    <x v="6"/>
  </r>
  <r>
    <s v="3a705431-53dc-4ec6-a4e5-2960228a1ad8"/>
    <n v="68"/>
    <x v="4"/>
    <x v="0"/>
    <x v="2"/>
    <n v="9.48"/>
    <n v="4"/>
    <x v="5"/>
    <x v="4"/>
    <n v="8.99"/>
    <x v="0"/>
    <x v="2"/>
    <n v="2"/>
    <n v="1.9"/>
    <x v="0"/>
  </r>
  <r>
    <s v="e938d06e-fcc5-4768-86d8-6aaf73f4fa35"/>
    <n v="60"/>
    <x v="4"/>
    <x v="2"/>
    <x v="0"/>
    <n v="12.22"/>
    <n v="17"/>
    <x v="3"/>
    <x v="0"/>
    <n v="13.99"/>
    <x v="0"/>
    <x v="1"/>
    <n v="2"/>
    <n v="0.68"/>
    <x v="0"/>
  </r>
  <r>
    <s v="f500aa1d-d760-42ea-8cd1-725d5aa13413"/>
    <n v="69"/>
    <x v="4"/>
    <x v="2"/>
    <x v="0"/>
    <n v="32.200000000000003"/>
    <n v="13"/>
    <x v="0"/>
    <x v="2"/>
    <n v="13.99"/>
    <x v="0"/>
    <x v="1"/>
    <n v="1"/>
    <n v="2.2999999999999998"/>
    <x v="5"/>
  </r>
  <r>
    <s v="6eaa7000-e450-4dbd-9eea-6abe53a3ccea"/>
    <n v="60"/>
    <x v="4"/>
    <x v="0"/>
    <x v="1"/>
    <n v="16.05"/>
    <n v="56"/>
    <x v="4"/>
    <x v="1"/>
    <n v="17.989999999999998"/>
    <x v="0"/>
    <x v="3"/>
    <n v="4"/>
    <n v="0.28000000000000003"/>
    <x v="5"/>
  </r>
  <r>
    <s v="5ff64e1b-5ffa-4f13-827c-62773ab1ab6f"/>
    <n v="57"/>
    <x v="4"/>
    <x v="0"/>
    <x v="2"/>
    <n v="3.81"/>
    <n v="1"/>
    <x v="3"/>
    <x v="3"/>
    <n v="8.99"/>
    <x v="1"/>
    <x v="4"/>
    <n v="2"/>
    <n v="1.91"/>
    <x v="0"/>
  </r>
  <r>
    <s v="24405e27-b8b8-4ef8-9cb0-c7974bd0dcd7"/>
    <n v="59"/>
    <x v="4"/>
    <x v="2"/>
    <x v="2"/>
    <n v="14.13"/>
    <n v="4"/>
    <x v="0"/>
    <x v="2"/>
    <n v="8.99"/>
    <x v="0"/>
    <x v="3"/>
    <n v="2"/>
    <n v="2.83"/>
    <x v="2"/>
  </r>
  <r>
    <s v="f7b0c51e-0031-4647-900a-115a166b40b5"/>
    <n v="58"/>
    <x v="4"/>
    <x v="2"/>
    <x v="1"/>
    <n v="23.87"/>
    <n v="47"/>
    <x v="5"/>
    <x v="3"/>
    <n v="17.989999999999998"/>
    <x v="0"/>
    <x v="0"/>
    <n v="2"/>
    <n v="0.5"/>
    <x v="0"/>
  </r>
  <r>
    <s v="9216565f-576a-44ed-9d7a-a8aab306d7fb"/>
    <n v="59"/>
    <x v="4"/>
    <x v="2"/>
    <x v="0"/>
    <n v="6.99"/>
    <n v="28"/>
    <x v="0"/>
    <x v="2"/>
    <n v="13.99"/>
    <x v="0"/>
    <x v="2"/>
    <n v="3"/>
    <n v="0.24"/>
    <x v="4"/>
  </r>
  <r>
    <s v="931bee39-98db-4b72-9e52-f40e09e00738"/>
    <n v="61"/>
    <x v="4"/>
    <x v="0"/>
    <x v="0"/>
    <n v="38.549999999999997"/>
    <n v="11"/>
    <x v="1"/>
    <x v="3"/>
    <n v="13.99"/>
    <x v="0"/>
    <x v="1"/>
    <n v="4"/>
    <n v="3.21"/>
    <x v="1"/>
  </r>
  <r>
    <s v="cf036ddf-1a7e-4a72-b1ea-55b11a87b482"/>
    <n v="67"/>
    <x v="4"/>
    <x v="1"/>
    <x v="1"/>
    <n v="1.54"/>
    <n v="27"/>
    <x v="0"/>
    <x v="3"/>
    <n v="17.989999999999998"/>
    <x v="1"/>
    <x v="0"/>
    <n v="2"/>
    <n v="0.06"/>
    <x v="2"/>
  </r>
  <r>
    <s v="cf0e854c-0608-40f6-b631-6b4d5f7a0ce9"/>
    <n v="62"/>
    <x v="4"/>
    <x v="0"/>
    <x v="2"/>
    <n v="26.62"/>
    <n v="55"/>
    <x v="1"/>
    <x v="0"/>
    <n v="8.99"/>
    <x v="0"/>
    <x v="1"/>
    <n v="4"/>
    <n v="0.48"/>
    <x v="3"/>
  </r>
  <r>
    <s v="2c906f73-b731-418e-8097-95c0f874c3eb"/>
    <n v="62"/>
    <x v="4"/>
    <x v="0"/>
    <x v="1"/>
    <n v="1.26"/>
    <n v="34"/>
    <x v="3"/>
    <x v="0"/>
    <n v="17.989999999999998"/>
    <x v="1"/>
    <x v="2"/>
    <n v="2"/>
    <n v="0.04"/>
    <x v="5"/>
  </r>
  <r>
    <s v="da959d35-24c6-46e5-b52b-a2908e645ed7"/>
    <n v="68"/>
    <x v="4"/>
    <x v="1"/>
    <x v="2"/>
    <n v="0.12"/>
    <n v="26"/>
    <x v="2"/>
    <x v="0"/>
    <n v="8.99"/>
    <x v="1"/>
    <x v="0"/>
    <n v="2"/>
    <n v="0"/>
    <x v="5"/>
  </r>
  <r>
    <s v="b9d07746-6aa5-48e1-9033-e37b45cefb34"/>
    <n v="61"/>
    <x v="4"/>
    <x v="2"/>
    <x v="0"/>
    <n v="27.06"/>
    <n v="32"/>
    <x v="3"/>
    <x v="1"/>
    <n v="13.99"/>
    <x v="0"/>
    <x v="1"/>
    <n v="3"/>
    <n v="0.82"/>
    <x v="0"/>
  </r>
  <r>
    <s v="ccada82d-8cc9-47a7-bc93-ac1b8fa07b8e"/>
    <n v="55"/>
    <x v="4"/>
    <x v="2"/>
    <x v="1"/>
    <n v="2.4700000000000002"/>
    <n v="7"/>
    <x v="3"/>
    <x v="3"/>
    <n v="17.989999999999998"/>
    <x v="0"/>
    <x v="1"/>
    <n v="4"/>
    <n v="0.31"/>
    <x v="4"/>
  </r>
  <r>
    <s v="086a7a3f-9a89-42cd-8b47-ac858b72722a"/>
    <n v="59"/>
    <x v="4"/>
    <x v="1"/>
    <x v="2"/>
    <n v="20.49"/>
    <n v="26"/>
    <x v="0"/>
    <x v="4"/>
    <n v="8.99"/>
    <x v="0"/>
    <x v="1"/>
    <n v="1"/>
    <n v="0.76"/>
    <x v="2"/>
  </r>
  <r>
    <s v="6e160b44-363a-4d57-bab6-5b22e979e887"/>
    <n v="56"/>
    <x v="4"/>
    <x v="0"/>
    <x v="2"/>
    <n v="0.4"/>
    <n v="38"/>
    <x v="5"/>
    <x v="2"/>
    <n v="8.99"/>
    <x v="1"/>
    <x v="1"/>
    <n v="5"/>
    <n v="0.01"/>
    <x v="3"/>
  </r>
  <r>
    <s v="f0e8e312-3315-46d4-9475-d376bb231524"/>
    <n v="66"/>
    <x v="4"/>
    <x v="2"/>
    <x v="0"/>
    <n v="1.97"/>
    <n v="2"/>
    <x v="1"/>
    <x v="1"/>
    <n v="13.99"/>
    <x v="0"/>
    <x v="2"/>
    <n v="4"/>
    <n v="0.66"/>
    <x v="6"/>
  </r>
  <r>
    <s v="efd974fa-1dce-41ff-9d11-0d2f181559a0"/>
    <n v="66"/>
    <x v="4"/>
    <x v="2"/>
    <x v="0"/>
    <n v="0.8"/>
    <n v="32"/>
    <x v="5"/>
    <x v="0"/>
    <n v="13.99"/>
    <x v="1"/>
    <x v="1"/>
    <n v="1"/>
    <n v="0.02"/>
    <x v="0"/>
  </r>
  <r>
    <s v="e49a8c45-d0f3-40a4-bbdf-08134e2c2a91"/>
    <n v="63"/>
    <x v="4"/>
    <x v="2"/>
    <x v="1"/>
    <n v="9.84"/>
    <n v="3"/>
    <x v="4"/>
    <x v="1"/>
    <n v="17.989999999999998"/>
    <x v="0"/>
    <x v="3"/>
    <n v="4"/>
    <n v="2.46"/>
    <x v="1"/>
  </r>
  <r>
    <s v="47f88627-cafa-48f1-be88-630ac9399313"/>
    <n v="69"/>
    <x v="4"/>
    <x v="1"/>
    <x v="0"/>
    <n v="31.16"/>
    <n v="47"/>
    <x v="0"/>
    <x v="2"/>
    <n v="13.99"/>
    <x v="0"/>
    <x v="1"/>
    <n v="5"/>
    <n v="0.65"/>
    <x v="5"/>
  </r>
  <r>
    <s v="25d38511-efff-416e-a92e-af59e71aedae"/>
    <n v="62"/>
    <x v="4"/>
    <x v="0"/>
    <x v="1"/>
    <n v="6.48"/>
    <n v="25"/>
    <x v="1"/>
    <x v="3"/>
    <n v="17.989999999999998"/>
    <x v="0"/>
    <x v="0"/>
    <n v="4"/>
    <n v="0.25"/>
    <x v="5"/>
  </r>
  <r>
    <s v="37df711b-35ee-4ed8-83d2-922c80ffa1a1"/>
    <n v="64"/>
    <x v="4"/>
    <x v="2"/>
    <x v="0"/>
    <n v="1.42"/>
    <n v="42"/>
    <x v="5"/>
    <x v="1"/>
    <n v="13.99"/>
    <x v="1"/>
    <x v="3"/>
    <n v="3"/>
    <n v="0.03"/>
    <x v="2"/>
  </r>
  <r>
    <s v="94db0386-f234-4ee7-8aa0-dcc0ff457278"/>
    <n v="69"/>
    <x v="4"/>
    <x v="0"/>
    <x v="2"/>
    <n v="10.1"/>
    <n v="24"/>
    <x v="3"/>
    <x v="0"/>
    <n v="8.99"/>
    <x v="0"/>
    <x v="2"/>
    <n v="2"/>
    <n v="0.4"/>
    <x v="6"/>
  </r>
  <r>
    <s v="e19f60cc-7e74-458f-9e37-12511d3a3506"/>
    <n v="67"/>
    <x v="4"/>
    <x v="0"/>
    <x v="1"/>
    <n v="0.61"/>
    <n v="12"/>
    <x v="5"/>
    <x v="4"/>
    <n v="17.989999999999998"/>
    <x v="1"/>
    <x v="0"/>
    <n v="3"/>
    <n v="0.05"/>
    <x v="5"/>
  </r>
  <r>
    <s v="f1506978-d456-462e-a6c7-85a160c9b82e"/>
    <n v="56"/>
    <x v="4"/>
    <x v="2"/>
    <x v="2"/>
    <n v="27.15"/>
    <n v="15"/>
    <x v="1"/>
    <x v="0"/>
    <n v="8.99"/>
    <x v="0"/>
    <x v="2"/>
    <n v="1"/>
    <n v="1.7"/>
    <x v="3"/>
  </r>
  <r>
    <s v="146bc219-473c-4813-9d27-f584962bdb44"/>
    <n v="62"/>
    <x v="4"/>
    <x v="2"/>
    <x v="1"/>
    <n v="0.62"/>
    <n v="8"/>
    <x v="0"/>
    <x v="2"/>
    <n v="17.989999999999998"/>
    <x v="1"/>
    <x v="3"/>
    <n v="1"/>
    <n v="7.0000000000000007E-2"/>
    <x v="2"/>
  </r>
  <r>
    <s v="eb982e0d-4adc-47a3-98e8-4e86a3befe48"/>
    <n v="65"/>
    <x v="4"/>
    <x v="0"/>
    <x v="0"/>
    <n v="16.100000000000001"/>
    <n v="9"/>
    <x v="3"/>
    <x v="0"/>
    <n v="13.99"/>
    <x v="0"/>
    <x v="3"/>
    <n v="4"/>
    <n v="1.61"/>
    <x v="5"/>
  </r>
  <r>
    <s v="c53745c7-448f-4527-be6b-734d02c8548e"/>
    <n v="62"/>
    <x v="4"/>
    <x v="0"/>
    <x v="1"/>
    <n v="10.68"/>
    <n v="46"/>
    <x v="2"/>
    <x v="4"/>
    <n v="17.989999999999998"/>
    <x v="1"/>
    <x v="0"/>
    <n v="1"/>
    <n v="0.23"/>
    <x v="5"/>
  </r>
  <r>
    <s v="dd2569d2-b6cc-474b-be8b-bc3dc7a5cb4a"/>
    <n v="55"/>
    <x v="4"/>
    <x v="1"/>
    <x v="1"/>
    <n v="38.31"/>
    <n v="32"/>
    <x v="0"/>
    <x v="2"/>
    <n v="17.989999999999998"/>
    <x v="0"/>
    <x v="0"/>
    <n v="1"/>
    <n v="1.1599999999999999"/>
    <x v="6"/>
  </r>
  <r>
    <s v="0908b54f-538e-4a4b-bc5e-e93d4b529d8d"/>
    <n v="59"/>
    <x v="4"/>
    <x v="1"/>
    <x v="1"/>
    <n v="4.8"/>
    <n v="1"/>
    <x v="3"/>
    <x v="3"/>
    <n v="17.989999999999998"/>
    <x v="0"/>
    <x v="3"/>
    <n v="1"/>
    <n v="2.4"/>
    <x v="0"/>
  </r>
  <r>
    <s v="77f8d2da-3f34-4a02-8780-fcaab801b7fb"/>
    <n v="62"/>
    <x v="4"/>
    <x v="1"/>
    <x v="2"/>
    <n v="1.31"/>
    <n v="46"/>
    <x v="0"/>
    <x v="3"/>
    <n v="8.99"/>
    <x v="1"/>
    <x v="0"/>
    <n v="2"/>
    <n v="0.03"/>
    <x v="6"/>
  </r>
  <r>
    <s v="dcf62189-400f-4b2a-afc7-9b673182c229"/>
    <n v="59"/>
    <x v="4"/>
    <x v="0"/>
    <x v="2"/>
    <n v="10.220000000000001"/>
    <n v="53"/>
    <x v="5"/>
    <x v="2"/>
    <n v="8.99"/>
    <x v="1"/>
    <x v="2"/>
    <n v="4"/>
    <n v="0.19"/>
    <x v="6"/>
  </r>
  <r>
    <s v="0301dc2e-b1d8-46ad-a291-0f056e28896a"/>
    <n v="66"/>
    <x v="4"/>
    <x v="2"/>
    <x v="2"/>
    <n v="1.92"/>
    <n v="27"/>
    <x v="2"/>
    <x v="1"/>
    <n v="8.99"/>
    <x v="1"/>
    <x v="4"/>
    <n v="5"/>
    <n v="7.0000000000000007E-2"/>
    <x v="2"/>
  </r>
  <r>
    <s v="ad445a45-e3da-485d-9d7c-d174bd6cb9fd"/>
    <n v="66"/>
    <x v="4"/>
    <x v="0"/>
    <x v="0"/>
    <n v="7.74"/>
    <n v="6"/>
    <x v="2"/>
    <x v="1"/>
    <n v="13.99"/>
    <x v="0"/>
    <x v="2"/>
    <n v="4"/>
    <n v="1.1100000000000001"/>
    <x v="2"/>
  </r>
  <r>
    <s v="9fc308fa-66ba-46c2-ab5d-96a0592bfdb6"/>
    <n v="65"/>
    <x v="4"/>
    <x v="2"/>
    <x v="0"/>
    <n v="4.3"/>
    <n v="46"/>
    <x v="3"/>
    <x v="2"/>
    <n v="13.99"/>
    <x v="1"/>
    <x v="3"/>
    <n v="3"/>
    <n v="0.09"/>
    <x v="1"/>
  </r>
  <r>
    <s v="99ad0075-1330-459a-80ee-c657f8d65788"/>
    <n v="59"/>
    <x v="4"/>
    <x v="1"/>
    <x v="1"/>
    <n v="0.95"/>
    <n v="55"/>
    <x v="2"/>
    <x v="3"/>
    <n v="17.989999999999998"/>
    <x v="1"/>
    <x v="0"/>
    <n v="4"/>
    <n v="0.02"/>
    <x v="1"/>
  </r>
  <r>
    <s v="d1beab45-e3a2-4cbd-84d3-15d4409cfab0"/>
    <n v="62"/>
    <x v="4"/>
    <x v="1"/>
    <x v="1"/>
    <n v="12.37"/>
    <n v="30"/>
    <x v="1"/>
    <x v="0"/>
    <n v="17.989999999999998"/>
    <x v="0"/>
    <x v="2"/>
    <n v="2"/>
    <n v="0.4"/>
    <x v="3"/>
  </r>
  <r>
    <s v="421eaae8-990a-4421-be7e-b58f45b36d28"/>
    <n v="55"/>
    <x v="4"/>
    <x v="1"/>
    <x v="2"/>
    <n v="17.87"/>
    <n v="4"/>
    <x v="2"/>
    <x v="4"/>
    <n v="8.99"/>
    <x v="0"/>
    <x v="2"/>
    <n v="1"/>
    <n v="3.57"/>
    <x v="4"/>
  </r>
  <r>
    <s v="d9e6a910-4984-4cba-bacc-406df78a9267"/>
    <n v="63"/>
    <x v="4"/>
    <x v="1"/>
    <x v="2"/>
    <n v="0.85"/>
    <n v="36"/>
    <x v="4"/>
    <x v="2"/>
    <n v="8.99"/>
    <x v="1"/>
    <x v="2"/>
    <n v="3"/>
    <n v="0.02"/>
    <x v="6"/>
  </r>
  <r>
    <s v="07aaee5a-c849-49f0-bc95-4ec089ebd3fd"/>
    <n v="63"/>
    <x v="4"/>
    <x v="2"/>
    <x v="2"/>
    <n v="3.01"/>
    <n v="60"/>
    <x v="2"/>
    <x v="0"/>
    <n v="8.99"/>
    <x v="1"/>
    <x v="1"/>
    <n v="5"/>
    <n v="0.05"/>
    <x v="0"/>
  </r>
  <r>
    <s v="7344e8a9-c160-4f84-9215-54be55f8b369"/>
    <n v="69"/>
    <x v="4"/>
    <x v="0"/>
    <x v="1"/>
    <n v="1.35"/>
    <n v="8"/>
    <x v="4"/>
    <x v="2"/>
    <n v="17.989999999999998"/>
    <x v="1"/>
    <x v="1"/>
    <n v="3"/>
    <n v="0.15"/>
    <x v="0"/>
  </r>
  <r>
    <s v="91f3fee3-3140-4e9a-a53e-b7cd3160bbb8"/>
    <n v="58"/>
    <x v="4"/>
    <x v="1"/>
    <x v="2"/>
    <n v="0.76"/>
    <n v="44"/>
    <x v="1"/>
    <x v="4"/>
    <n v="8.99"/>
    <x v="1"/>
    <x v="4"/>
    <n v="4"/>
    <n v="0.02"/>
    <x v="6"/>
  </r>
  <r>
    <s v="ac468cbb-0f55-48fd-978f-33519d3c4e8f"/>
    <n v="67"/>
    <x v="4"/>
    <x v="0"/>
    <x v="1"/>
    <n v="3.36"/>
    <n v="23"/>
    <x v="4"/>
    <x v="4"/>
    <n v="17.989999999999998"/>
    <x v="1"/>
    <x v="2"/>
    <n v="3"/>
    <n v="0.14000000000000001"/>
    <x v="4"/>
  </r>
  <r>
    <s v="f2cd737b-75dc-4064-bd5c-de2ee6af51c9"/>
    <n v="63"/>
    <x v="4"/>
    <x v="2"/>
    <x v="0"/>
    <n v="0.88"/>
    <n v="21"/>
    <x v="5"/>
    <x v="2"/>
    <n v="13.99"/>
    <x v="1"/>
    <x v="0"/>
    <n v="1"/>
    <n v="0.04"/>
    <x v="3"/>
  </r>
  <r>
    <s v="ef8a5d14-205a-47a3-a595-acef403bffa7"/>
    <n v="57"/>
    <x v="4"/>
    <x v="2"/>
    <x v="2"/>
    <n v="4.1500000000000004"/>
    <n v="17"/>
    <x v="3"/>
    <x v="3"/>
    <n v="8.99"/>
    <x v="1"/>
    <x v="1"/>
    <n v="5"/>
    <n v="0.23"/>
    <x v="0"/>
  </r>
  <r>
    <s v="af35351d-11cc-4c32-8b3c-6d477cb05b19"/>
    <n v="55"/>
    <x v="4"/>
    <x v="2"/>
    <x v="1"/>
    <n v="0.42"/>
    <n v="29"/>
    <x v="5"/>
    <x v="4"/>
    <n v="17.989999999999998"/>
    <x v="1"/>
    <x v="3"/>
    <n v="2"/>
    <n v="0.01"/>
    <x v="5"/>
  </r>
  <r>
    <s v="e093d405-4d3f-489f-969f-6c14fcac2a33"/>
    <n v="61"/>
    <x v="4"/>
    <x v="0"/>
    <x v="2"/>
    <n v="17.59"/>
    <n v="58"/>
    <x v="4"/>
    <x v="1"/>
    <n v="8.99"/>
    <x v="1"/>
    <x v="1"/>
    <n v="2"/>
    <n v="0.3"/>
    <x v="2"/>
  </r>
  <r>
    <s v="4b1c7681-3221-44aa-82c7-02aebdd20434"/>
    <n v="62"/>
    <x v="4"/>
    <x v="2"/>
    <x v="0"/>
    <n v="25.88"/>
    <n v="49"/>
    <x v="1"/>
    <x v="3"/>
    <n v="13.99"/>
    <x v="0"/>
    <x v="3"/>
    <n v="2"/>
    <n v="0.52"/>
    <x v="2"/>
  </r>
  <r>
    <s v="faddd042-b338-4999-ab4a-21667a8aff99"/>
    <n v="68"/>
    <x v="4"/>
    <x v="0"/>
    <x v="1"/>
    <n v="7.11"/>
    <n v="43"/>
    <x v="2"/>
    <x v="0"/>
    <n v="17.989999999999998"/>
    <x v="0"/>
    <x v="2"/>
    <n v="5"/>
    <n v="0.16"/>
    <x v="2"/>
  </r>
  <r>
    <s v="f0e9091e-2431-4ab8-8bb9-444c5c39c800"/>
    <n v="58"/>
    <x v="4"/>
    <x v="2"/>
    <x v="2"/>
    <n v="0.36"/>
    <n v="39"/>
    <x v="3"/>
    <x v="1"/>
    <n v="8.99"/>
    <x v="1"/>
    <x v="3"/>
    <n v="3"/>
    <n v="0.01"/>
    <x v="0"/>
  </r>
  <r>
    <s v="4c9eda19-2bb3-43e7-8e1c-0a0ff9357bd4"/>
    <n v="56"/>
    <x v="4"/>
    <x v="2"/>
    <x v="2"/>
    <n v="8.25"/>
    <n v="27"/>
    <x v="0"/>
    <x v="0"/>
    <n v="8.99"/>
    <x v="0"/>
    <x v="1"/>
    <n v="3"/>
    <n v="0.28999999999999998"/>
    <x v="1"/>
  </r>
  <r>
    <s v="910c5164-93ec-4e31-88ad-549868476466"/>
    <n v="59"/>
    <x v="4"/>
    <x v="2"/>
    <x v="0"/>
    <n v="3.06"/>
    <n v="17"/>
    <x v="1"/>
    <x v="4"/>
    <n v="13.99"/>
    <x v="1"/>
    <x v="3"/>
    <n v="2"/>
    <n v="0.17"/>
    <x v="5"/>
  </r>
  <r>
    <s v="f3246e5b-ec85-446b-bcf2-30b15de58d9d"/>
    <n v="64"/>
    <x v="4"/>
    <x v="0"/>
    <x v="1"/>
    <n v="22.92"/>
    <n v="7"/>
    <x v="3"/>
    <x v="3"/>
    <n v="17.989999999999998"/>
    <x v="0"/>
    <x v="1"/>
    <n v="1"/>
    <n v="2.87"/>
    <x v="3"/>
  </r>
  <r>
    <s v="346ab0c2-f11d-4a08-a0ef-7694363f3ae0"/>
    <n v="61"/>
    <x v="4"/>
    <x v="2"/>
    <x v="2"/>
    <n v="3.99"/>
    <n v="33"/>
    <x v="2"/>
    <x v="2"/>
    <n v="8.99"/>
    <x v="1"/>
    <x v="3"/>
    <n v="5"/>
    <n v="0.12"/>
    <x v="4"/>
  </r>
  <r>
    <s v="a48287db-3d2e-40a0-a0b8-8675d4589388"/>
    <n v="58"/>
    <x v="4"/>
    <x v="0"/>
    <x v="2"/>
    <n v="3.59"/>
    <n v="29"/>
    <x v="0"/>
    <x v="0"/>
    <n v="8.99"/>
    <x v="1"/>
    <x v="3"/>
    <n v="3"/>
    <n v="0.12"/>
    <x v="2"/>
  </r>
  <r>
    <s v="28b8c898-187c-49cb-b827-d91fd93bec70"/>
    <n v="62"/>
    <x v="4"/>
    <x v="2"/>
    <x v="1"/>
    <n v="20.63"/>
    <n v="11"/>
    <x v="3"/>
    <x v="0"/>
    <n v="17.989999999999998"/>
    <x v="0"/>
    <x v="3"/>
    <n v="3"/>
    <n v="1.72"/>
    <x v="1"/>
  </r>
  <r>
    <s v="049ec9ab-b09f-461c-b774-5810bc5789c9"/>
    <n v="66"/>
    <x v="4"/>
    <x v="0"/>
    <x v="0"/>
    <n v="6.54"/>
    <n v="7"/>
    <x v="3"/>
    <x v="4"/>
    <n v="13.99"/>
    <x v="0"/>
    <x v="3"/>
    <n v="2"/>
    <n v="0.82"/>
    <x v="1"/>
  </r>
  <r>
    <s v="1303b7b6-6ec5-4e7a-af22-ea429515357d"/>
    <n v="64"/>
    <x v="4"/>
    <x v="0"/>
    <x v="1"/>
    <n v="0.19"/>
    <n v="18"/>
    <x v="3"/>
    <x v="1"/>
    <n v="17.989999999999998"/>
    <x v="0"/>
    <x v="1"/>
    <n v="5"/>
    <n v="0.01"/>
    <x v="3"/>
  </r>
  <r>
    <s v="301e8131-5946-4245-ba48-2dc3fd552cb8"/>
    <n v="58"/>
    <x v="4"/>
    <x v="2"/>
    <x v="0"/>
    <n v="6.88"/>
    <n v="22"/>
    <x v="0"/>
    <x v="3"/>
    <n v="13.99"/>
    <x v="0"/>
    <x v="0"/>
    <n v="3"/>
    <n v="0.3"/>
    <x v="4"/>
  </r>
  <r>
    <s v="bfa02557-5441-4042-8137-793c43a422e8"/>
    <n v="61"/>
    <x v="4"/>
    <x v="1"/>
    <x v="1"/>
    <n v="28.65"/>
    <n v="36"/>
    <x v="1"/>
    <x v="1"/>
    <n v="17.989999999999998"/>
    <x v="0"/>
    <x v="3"/>
    <n v="5"/>
    <n v="0.77"/>
    <x v="0"/>
  </r>
  <r>
    <s v="1679b3fc-718f-4000-8f69-3b9366299e49"/>
    <n v="65"/>
    <x v="4"/>
    <x v="2"/>
    <x v="2"/>
    <n v="6.36"/>
    <n v="31"/>
    <x v="1"/>
    <x v="4"/>
    <n v="8.99"/>
    <x v="1"/>
    <x v="2"/>
    <n v="4"/>
    <n v="0.2"/>
    <x v="6"/>
  </r>
  <r>
    <s v="d88c20b8-c0af-41e5-8d59-65a345133fb3"/>
    <n v="57"/>
    <x v="4"/>
    <x v="2"/>
    <x v="2"/>
    <n v="12.3"/>
    <n v="26"/>
    <x v="0"/>
    <x v="4"/>
    <n v="8.99"/>
    <x v="0"/>
    <x v="1"/>
    <n v="4"/>
    <n v="0.46"/>
    <x v="6"/>
  </r>
  <r>
    <s v="916d87c9-3f88-4f0e-98ee-0f27d8e62b0a"/>
    <n v="58"/>
    <x v="4"/>
    <x v="2"/>
    <x v="1"/>
    <n v="15.91"/>
    <n v="49"/>
    <x v="2"/>
    <x v="2"/>
    <n v="17.989999999999998"/>
    <x v="1"/>
    <x v="4"/>
    <n v="1"/>
    <n v="0.32"/>
    <x v="0"/>
  </r>
  <r>
    <s v="14b956af-aa78-468c-a20d-daabae23108d"/>
    <n v="64"/>
    <x v="4"/>
    <x v="0"/>
    <x v="1"/>
    <n v="1.22"/>
    <n v="56"/>
    <x v="0"/>
    <x v="3"/>
    <n v="17.989999999999998"/>
    <x v="1"/>
    <x v="0"/>
    <n v="1"/>
    <n v="0.02"/>
    <x v="1"/>
  </r>
  <r>
    <s v="d59ba34e-6680-40f2-ae1a-14f2d2c88e91"/>
    <n v="56"/>
    <x v="4"/>
    <x v="0"/>
    <x v="2"/>
    <n v="8.3000000000000007"/>
    <n v="55"/>
    <x v="0"/>
    <x v="0"/>
    <n v="8.99"/>
    <x v="1"/>
    <x v="3"/>
    <n v="3"/>
    <n v="0.15"/>
    <x v="1"/>
  </r>
  <r>
    <s v="fcf17ea1-2e26-45b6-8c64-052a0c84e1a4"/>
    <n v="69"/>
    <x v="4"/>
    <x v="1"/>
    <x v="1"/>
    <n v="3.84"/>
    <n v="30"/>
    <x v="0"/>
    <x v="3"/>
    <n v="17.989999999999998"/>
    <x v="1"/>
    <x v="0"/>
    <n v="5"/>
    <n v="0.12"/>
    <x v="5"/>
  </r>
  <r>
    <s v="8329b08a-22c9-41c9-b4a2-ede2a1407ca9"/>
    <n v="65"/>
    <x v="4"/>
    <x v="0"/>
    <x v="0"/>
    <n v="8.23"/>
    <n v="57"/>
    <x v="0"/>
    <x v="0"/>
    <n v="13.99"/>
    <x v="1"/>
    <x v="0"/>
    <n v="1"/>
    <n v="0.14000000000000001"/>
    <x v="1"/>
  </r>
  <r>
    <s v="e96f9dcb-1d39-48ea-8c76-83d4526b1d5f"/>
    <n v="62"/>
    <x v="4"/>
    <x v="2"/>
    <x v="1"/>
    <n v="10.76"/>
    <n v="31"/>
    <x v="3"/>
    <x v="3"/>
    <n v="17.989999999999998"/>
    <x v="1"/>
    <x v="3"/>
    <n v="1"/>
    <n v="0.34"/>
    <x v="2"/>
  </r>
  <r>
    <s v="d5494de3-5422-4437-a937-9e9fc1673b23"/>
    <n v="58"/>
    <x v="4"/>
    <x v="2"/>
    <x v="1"/>
    <n v="26.15"/>
    <n v="53"/>
    <x v="2"/>
    <x v="3"/>
    <n v="17.989999999999998"/>
    <x v="0"/>
    <x v="2"/>
    <n v="1"/>
    <n v="0.48"/>
    <x v="4"/>
  </r>
  <r>
    <s v="1a417fbf-866c-4ff1-af44-13e90cbbb9db"/>
    <n v="57"/>
    <x v="4"/>
    <x v="0"/>
    <x v="2"/>
    <n v="1.76"/>
    <n v="10"/>
    <x v="4"/>
    <x v="4"/>
    <n v="8.99"/>
    <x v="1"/>
    <x v="2"/>
    <n v="4"/>
    <n v="0.16"/>
    <x v="1"/>
  </r>
  <r>
    <s v="29495870-356f-4676-9bf8-f8ba49204d46"/>
    <n v="58"/>
    <x v="4"/>
    <x v="2"/>
    <x v="1"/>
    <n v="8.43"/>
    <n v="49"/>
    <x v="1"/>
    <x v="4"/>
    <n v="17.989999999999998"/>
    <x v="1"/>
    <x v="0"/>
    <n v="1"/>
    <n v="0.17"/>
    <x v="4"/>
  </r>
  <r>
    <s v="065fa014-3a3e-4d9a-a54f-60f91fae5820"/>
    <n v="61"/>
    <x v="4"/>
    <x v="2"/>
    <x v="1"/>
    <n v="4.67"/>
    <n v="43"/>
    <x v="2"/>
    <x v="0"/>
    <n v="17.989999999999998"/>
    <x v="1"/>
    <x v="0"/>
    <n v="4"/>
    <n v="0.11"/>
    <x v="4"/>
  </r>
  <r>
    <s v="e433a731-5370-4d70-8852-a81c478d4483"/>
    <n v="67"/>
    <x v="4"/>
    <x v="0"/>
    <x v="2"/>
    <n v="8.2799999999999994"/>
    <n v="51"/>
    <x v="3"/>
    <x v="1"/>
    <n v="8.99"/>
    <x v="1"/>
    <x v="4"/>
    <n v="2"/>
    <n v="0.16"/>
    <x v="1"/>
  </r>
  <r>
    <s v="3d0ef301-6769-46fc-b331-ce295cd74e80"/>
    <n v="59"/>
    <x v="4"/>
    <x v="1"/>
    <x v="2"/>
    <n v="4.96"/>
    <n v="51"/>
    <x v="2"/>
    <x v="2"/>
    <n v="8.99"/>
    <x v="1"/>
    <x v="3"/>
    <n v="1"/>
    <n v="0.1"/>
    <x v="1"/>
  </r>
  <r>
    <s v="412c7e89-3176-4918-9264-dd82be8010f5"/>
    <n v="65"/>
    <x v="4"/>
    <x v="0"/>
    <x v="2"/>
    <n v="1.85"/>
    <n v="34"/>
    <x v="0"/>
    <x v="0"/>
    <n v="8.99"/>
    <x v="1"/>
    <x v="3"/>
    <n v="2"/>
    <n v="0.05"/>
    <x v="4"/>
  </r>
  <r>
    <s v="1a681a1b-25e5-4de8-837d-0cf7d69b7a21"/>
    <n v="70"/>
    <x v="4"/>
    <x v="2"/>
    <x v="1"/>
    <n v="8.2899999999999991"/>
    <n v="13"/>
    <x v="4"/>
    <x v="2"/>
    <n v="17.989999999999998"/>
    <x v="0"/>
    <x v="4"/>
    <n v="1"/>
    <n v="0.59"/>
    <x v="1"/>
  </r>
  <r>
    <s v="8bd100a3-8559-404b-bdd6-ddaa029b6c70"/>
    <n v="59"/>
    <x v="4"/>
    <x v="1"/>
    <x v="0"/>
    <n v="3.7"/>
    <n v="22"/>
    <x v="1"/>
    <x v="4"/>
    <n v="13.99"/>
    <x v="1"/>
    <x v="4"/>
    <n v="3"/>
    <n v="0.16"/>
    <x v="1"/>
  </r>
  <r>
    <s v="e4b24812-efbd-4593-9d9c-00b531d763c4"/>
    <n v="58"/>
    <x v="4"/>
    <x v="0"/>
    <x v="2"/>
    <n v="5.08"/>
    <n v="48"/>
    <x v="0"/>
    <x v="0"/>
    <n v="8.99"/>
    <x v="1"/>
    <x v="3"/>
    <n v="5"/>
    <n v="0.1"/>
    <x v="5"/>
  </r>
  <r>
    <s v="803da581-3136-49b8-8fcc-7a3b32964c21"/>
    <n v="56"/>
    <x v="4"/>
    <x v="0"/>
    <x v="2"/>
    <n v="23.72"/>
    <n v="13"/>
    <x v="2"/>
    <x v="2"/>
    <n v="8.99"/>
    <x v="0"/>
    <x v="1"/>
    <n v="1"/>
    <n v="1.69"/>
    <x v="1"/>
  </r>
  <r>
    <s v="9b84c381-8a4e-425e-82d6-e4574ce7eaef"/>
    <n v="63"/>
    <x v="4"/>
    <x v="0"/>
    <x v="1"/>
    <n v="26.19"/>
    <n v="34"/>
    <x v="3"/>
    <x v="1"/>
    <n v="17.989999999999998"/>
    <x v="0"/>
    <x v="0"/>
    <n v="1"/>
    <n v="0.75"/>
    <x v="6"/>
  </r>
  <r>
    <s v="027d0683-397f-4764-b23b-26c0baa7dd31"/>
    <n v="56"/>
    <x v="4"/>
    <x v="2"/>
    <x v="1"/>
    <n v="14.15"/>
    <n v="44"/>
    <x v="3"/>
    <x v="2"/>
    <n v="17.989999999999998"/>
    <x v="1"/>
    <x v="0"/>
    <n v="3"/>
    <n v="0.31"/>
    <x v="2"/>
  </r>
  <r>
    <s v="69fce7d7-873c-4a8c-9e16-31b51f8a5b89"/>
    <n v="55"/>
    <x v="4"/>
    <x v="0"/>
    <x v="1"/>
    <n v="2.0099999999999998"/>
    <n v="24"/>
    <x v="4"/>
    <x v="4"/>
    <n v="17.989999999999998"/>
    <x v="1"/>
    <x v="1"/>
    <n v="3"/>
    <n v="0.08"/>
    <x v="6"/>
  </r>
  <r>
    <s v="9eee1bd0-7e98-411b-8970-2fe112d7ebec"/>
    <n v="62"/>
    <x v="4"/>
    <x v="2"/>
    <x v="1"/>
    <n v="10.33"/>
    <n v="3"/>
    <x v="3"/>
    <x v="3"/>
    <n v="17.989999999999998"/>
    <x v="0"/>
    <x v="0"/>
    <n v="2"/>
    <n v="2.58"/>
    <x v="5"/>
  </r>
  <r>
    <s v="ae401f97-f477-4b59-835c-80aba1166e34"/>
    <n v="61"/>
    <x v="4"/>
    <x v="0"/>
    <x v="1"/>
    <n v="55.13"/>
    <n v="59"/>
    <x v="0"/>
    <x v="4"/>
    <n v="17.989999999999998"/>
    <x v="0"/>
    <x v="1"/>
    <n v="1"/>
    <n v="0.92"/>
    <x v="2"/>
  </r>
  <r>
    <s v="b7738cff-10aa-4e6f-9fef-e9fcf917d1c4"/>
    <n v="57"/>
    <x v="4"/>
    <x v="0"/>
    <x v="0"/>
    <n v="3.05"/>
    <n v="26"/>
    <x v="4"/>
    <x v="0"/>
    <n v="13.99"/>
    <x v="1"/>
    <x v="3"/>
    <n v="2"/>
    <n v="0.11"/>
    <x v="6"/>
  </r>
  <r>
    <s v="13480445-fc86-4991-89e5-ab251055352d"/>
    <n v="56"/>
    <x v="4"/>
    <x v="2"/>
    <x v="0"/>
    <n v="12.06"/>
    <n v="26"/>
    <x v="2"/>
    <x v="1"/>
    <n v="13.99"/>
    <x v="0"/>
    <x v="1"/>
    <n v="1"/>
    <n v="0.45"/>
    <x v="2"/>
  </r>
  <r>
    <s v="d0a6eca4-bb35-4ab4-a281-9a5427cd35af"/>
    <n v="57"/>
    <x v="4"/>
    <x v="0"/>
    <x v="0"/>
    <n v="28.5"/>
    <n v="23"/>
    <x v="2"/>
    <x v="3"/>
    <n v="13.99"/>
    <x v="0"/>
    <x v="4"/>
    <n v="3"/>
    <n v="1.19"/>
    <x v="5"/>
  </r>
  <r>
    <s v="3ba1272d-37f8-45eb-89d8-9a1dfbc113dc"/>
    <n v="62"/>
    <x v="4"/>
    <x v="2"/>
    <x v="2"/>
    <n v="12.33"/>
    <n v="47"/>
    <x v="2"/>
    <x v="3"/>
    <n v="8.99"/>
    <x v="1"/>
    <x v="4"/>
    <n v="1"/>
    <n v="0.26"/>
    <x v="3"/>
  </r>
  <r>
    <s v="2fe5ac5c-459b-49f1-a673-398b1db9b72e"/>
    <n v="64"/>
    <x v="4"/>
    <x v="2"/>
    <x v="0"/>
    <n v="22.89"/>
    <n v="50"/>
    <x v="3"/>
    <x v="1"/>
    <n v="13.99"/>
    <x v="0"/>
    <x v="0"/>
    <n v="3"/>
    <n v="0.45"/>
    <x v="3"/>
  </r>
  <r>
    <s v="e6b3368d-95d8-445d-bf7e-102d660f0c57"/>
    <n v="65"/>
    <x v="4"/>
    <x v="0"/>
    <x v="0"/>
    <n v="17.309999999999999"/>
    <n v="37"/>
    <x v="3"/>
    <x v="2"/>
    <n v="13.99"/>
    <x v="1"/>
    <x v="3"/>
    <n v="1"/>
    <n v="0.46"/>
    <x v="0"/>
  </r>
  <r>
    <s v="9bae5e8d-359c-48c6-ad6f-c791395832e2"/>
    <n v="69"/>
    <x v="4"/>
    <x v="2"/>
    <x v="0"/>
    <n v="42.32"/>
    <n v="48"/>
    <x v="5"/>
    <x v="0"/>
    <n v="13.99"/>
    <x v="0"/>
    <x v="4"/>
    <n v="3"/>
    <n v="0.86"/>
    <x v="3"/>
  </r>
  <r>
    <s v="a24bb748-6eb6-4841-94a9-bf532feac6e6"/>
    <n v="61"/>
    <x v="4"/>
    <x v="1"/>
    <x v="1"/>
    <n v="31.47"/>
    <n v="52"/>
    <x v="1"/>
    <x v="3"/>
    <n v="17.989999999999998"/>
    <x v="0"/>
    <x v="1"/>
    <n v="5"/>
    <n v="0.59"/>
    <x v="5"/>
  </r>
  <r>
    <s v="ead6bbc7-1708-4702-99d6-95f30ea755bb"/>
    <n v="59"/>
    <x v="4"/>
    <x v="2"/>
    <x v="0"/>
    <n v="16.350000000000001"/>
    <n v="1"/>
    <x v="0"/>
    <x v="0"/>
    <n v="13.99"/>
    <x v="0"/>
    <x v="3"/>
    <n v="3"/>
    <n v="8.18"/>
    <x v="3"/>
  </r>
  <r>
    <s v="83bad4fe-fb54-4501-8bfc-0b1f728b523e"/>
    <n v="66"/>
    <x v="4"/>
    <x v="1"/>
    <x v="1"/>
    <n v="0.42"/>
    <n v="28"/>
    <x v="4"/>
    <x v="0"/>
    <n v="17.989999999999998"/>
    <x v="1"/>
    <x v="0"/>
    <n v="5"/>
    <n v="0.01"/>
    <x v="0"/>
  </r>
  <r>
    <s v="00ce9289-e055-4962-ad61-110ce7d37ff4"/>
    <n v="64"/>
    <x v="4"/>
    <x v="0"/>
    <x v="2"/>
    <n v="5.7"/>
    <n v="9"/>
    <x v="4"/>
    <x v="3"/>
    <n v="8.99"/>
    <x v="0"/>
    <x v="2"/>
    <n v="1"/>
    <n v="0.56999999999999995"/>
    <x v="1"/>
  </r>
  <r>
    <s v="5055574d-e03a-4409-8940-5aa540f8c7b1"/>
    <n v="69"/>
    <x v="4"/>
    <x v="2"/>
    <x v="2"/>
    <n v="3.45"/>
    <n v="26"/>
    <x v="4"/>
    <x v="2"/>
    <n v="8.99"/>
    <x v="1"/>
    <x v="1"/>
    <n v="3"/>
    <n v="0.13"/>
    <x v="0"/>
  </r>
  <r>
    <s v="90e19cd2-bb3b-4fd6-bec6-db40cf203781"/>
    <n v="64"/>
    <x v="4"/>
    <x v="2"/>
    <x v="1"/>
    <n v="0.52"/>
    <n v="20"/>
    <x v="1"/>
    <x v="4"/>
    <n v="17.989999999999998"/>
    <x v="1"/>
    <x v="2"/>
    <n v="2"/>
    <n v="0.02"/>
    <x v="6"/>
  </r>
  <r>
    <s v="cb532b75-eac0-49c2-898e-6f86e94cd9ee"/>
    <n v="59"/>
    <x v="4"/>
    <x v="0"/>
    <x v="0"/>
    <n v="6.25"/>
    <n v="56"/>
    <x v="3"/>
    <x v="3"/>
    <n v="13.99"/>
    <x v="0"/>
    <x v="1"/>
    <n v="4"/>
    <n v="0.11"/>
    <x v="4"/>
  </r>
  <r>
    <s v="673c0432-05df-4c54-98bb-2cf25801fc96"/>
    <n v="69"/>
    <x v="4"/>
    <x v="2"/>
    <x v="1"/>
    <n v="7.95"/>
    <n v="59"/>
    <x v="4"/>
    <x v="2"/>
    <n v="17.989999999999998"/>
    <x v="1"/>
    <x v="0"/>
    <n v="2"/>
    <n v="0.13"/>
    <x v="5"/>
  </r>
  <r>
    <s v="64a172b5-1f6b-4618-aeb1-50fef19ae22f"/>
    <n v="66"/>
    <x v="4"/>
    <x v="0"/>
    <x v="2"/>
    <n v="1.29"/>
    <n v="44"/>
    <x v="5"/>
    <x v="4"/>
    <n v="8.99"/>
    <x v="1"/>
    <x v="3"/>
    <n v="3"/>
    <n v="0.03"/>
    <x v="4"/>
  </r>
  <r>
    <s v="5a4745cf-5727-463f-a722-07eaf6b09ee6"/>
    <n v="60"/>
    <x v="4"/>
    <x v="1"/>
    <x v="1"/>
    <n v="15.16"/>
    <n v="45"/>
    <x v="1"/>
    <x v="1"/>
    <n v="17.989999999999998"/>
    <x v="1"/>
    <x v="2"/>
    <n v="2"/>
    <n v="0.33"/>
    <x v="5"/>
  </r>
  <r>
    <s v="8e927d87-d1c2-4694-8abb-afc222021faa"/>
    <n v="65"/>
    <x v="4"/>
    <x v="0"/>
    <x v="2"/>
    <n v="2.99"/>
    <n v="54"/>
    <x v="2"/>
    <x v="1"/>
    <n v="8.99"/>
    <x v="1"/>
    <x v="0"/>
    <n v="1"/>
    <n v="0.05"/>
    <x v="0"/>
  </r>
  <r>
    <s v="cd2b2235-3612-4d81-b143-1a3af5884238"/>
    <n v="62"/>
    <x v="4"/>
    <x v="2"/>
    <x v="1"/>
    <n v="2.15"/>
    <n v="42"/>
    <x v="1"/>
    <x v="1"/>
    <n v="17.989999999999998"/>
    <x v="1"/>
    <x v="2"/>
    <n v="2"/>
    <n v="0.05"/>
    <x v="1"/>
  </r>
  <r>
    <s v="4c1a5dd9-a2d2-46f0-870e-a6142afbb3a9"/>
    <n v="55"/>
    <x v="4"/>
    <x v="1"/>
    <x v="0"/>
    <n v="47.76"/>
    <n v="39"/>
    <x v="5"/>
    <x v="3"/>
    <n v="13.99"/>
    <x v="0"/>
    <x v="1"/>
    <n v="2"/>
    <n v="1.19"/>
    <x v="2"/>
  </r>
  <r>
    <s v="b0fde5ba-8a38-45ee-b7fb-6c35851e8975"/>
    <n v="56"/>
    <x v="4"/>
    <x v="1"/>
    <x v="0"/>
    <n v="4.09"/>
    <n v="56"/>
    <x v="1"/>
    <x v="0"/>
    <n v="13.99"/>
    <x v="1"/>
    <x v="3"/>
    <n v="3"/>
    <n v="7.0000000000000007E-2"/>
    <x v="4"/>
  </r>
  <r>
    <s v="caaa5ce7-686c-4498-add9-565eb0493c6d"/>
    <n v="59"/>
    <x v="4"/>
    <x v="1"/>
    <x v="0"/>
    <n v="11.65"/>
    <n v="44"/>
    <x v="0"/>
    <x v="2"/>
    <n v="13.99"/>
    <x v="1"/>
    <x v="0"/>
    <n v="1"/>
    <n v="0.26"/>
    <x v="4"/>
  </r>
  <r>
    <s v="59adee7e-d7d6-4c22-b62c-1b42311f77a2"/>
    <n v="67"/>
    <x v="4"/>
    <x v="0"/>
    <x v="1"/>
    <n v="2.92"/>
    <n v="38"/>
    <x v="5"/>
    <x v="3"/>
    <n v="17.989999999999998"/>
    <x v="1"/>
    <x v="4"/>
    <n v="5"/>
    <n v="7.0000000000000007E-2"/>
    <x v="3"/>
  </r>
  <r>
    <s v="0ad6fe46-9b24-46fc-9698-7001aa3c071b"/>
    <n v="64"/>
    <x v="4"/>
    <x v="2"/>
    <x v="0"/>
    <n v="0.31"/>
    <n v="52"/>
    <x v="1"/>
    <x v="3"/>
    <n v="13.99"/>
    <x v="1"/>
    <x v="1"/>
    <n v="1"/>
    <n v="0.01"/>
    <x v="1"/>
  </r>
  <r>
    <s v="2f8c9d54-7c13-4902-bc95-dca665d28276"/>
    <n v="66"/>
    <x v="4"/>
    <x v="2"/>
    <x v="2"/>
    <n v="27.65"/>
    <n v="12"/>
    <x v="1"/>
    <x v="1"/>
    <n v="8.99"/>
    <x v="0"/>
    <x v="1"/>
    <n v="1"/>
    <n v="2.13"/>
    <x v="6"/>
  </r>
  <r>
    <s v="e5cd7a56-d6f1-4023-81ab-11a379047f1d"/>
    <n v="67"/>
    <x v="4"/>
    <x v="0"/>
    <x v="0"/>
    <n v="21.36"/>
    <n v="19"/>
    <x v="4"/>
    <x v="3"/>
    <n v="13.99"/>
    <x v="0"/>
    <x v="3"/>
    <n v="4"/>
    <n v="1.07"/>
    <x v="2"/>
  </r>
  <r>
    <s v="1532673a-a236-4238-8071-860e099bd870"/>
    <n v="66"/>
    <x v="4"/>
    <x v="0"/>
    <x v="0"/>
    <n v="36.700000000000003"/>
    <n v="48"/>
    <x v="2"/>
    <x v="0"/>
    <n v="13.99"/>
    <x v="0"/>
    <x v="0"/>
    <n v="3"/>
    <n v="0.75"/>
    <x v="4"/>
  </r>
  <r>
    <s v="9352be40-839f-4dcc-af25-f8edd6a94669"/>
    <n v="62"/>
    <x v="4"/>
    <x v="2"/>
    <x v="0"/>
    <n v="9.73"/>
    <n v="52"/>
    <x v="4"/>
    <x v="4"/>
    <n v="13.99"/>
    <x v="1"/>
    <x v="0"/>
    <n v="1"/>
    <n v="0.18"/>
    <x v="0"/>
  </r>
  <r>
    <s v="cd60de06-e3c0-4b41-914f-f63e856ddd67"/>
    <n v="55"/>
    <x v="4"/>
    <x v="1"/>
    <x v="2"/>
    <n v="1.92"/>
    <n v="32"/>
    <x v="2"/>
    <x v="1"/>
    <n v="8.99"/>
    <x v="1"/>
    <x v="4"/>
    <n v="5"/>
    <n v="0.06"/>
    <x v="2"/>
  </r>
  <r>
    <s v="9ad724af-34b1-4dc6-913d-291f9a5e5d26"/>
    <n v="63"/>
    <x v="4"/>
    <x v="1"/>
    <x v="1"/>
    <n v="27.92"/>
    <n v="14"/>
    <x v="3"/>
    <x v="1"/>
    <n v="17.989999999999998"/>
    <x v="0"/>
    <x v="4"/>
    <n v="3"/>
    <n v="1.86"/>
    <x v="0"/>
  </r>
  <r>
    <s v="9b509a70-72ae-4d6a-8ec3-7501f5220d76"/>
    <n v="66"/>
    <x v="4"/>
    <x v="1"/>
    <x v="1"/>
    <n v="6.66"/>
    <n v="39"/>
    <x v="0"/>
    <x v="0"/>
    <n v="17.989999999999998"/>
    <x v="1"/>
    <x v="1"/>
    <n v="1"/>
    <n v="0.17"/>
    <x v="6"/>
  </r>
  <r>
    <s v="76410bb6-7942-4be9-a862-94701d4dcbd3"/>
    <n v="65"/>
    <x v="4"/>
    <x v="1"/>
    <x v="1"/>
    <n v="0.76"/>
    <n v="2"/>
    <x v="0"/>
    <x v="2"/>
    <n v="17.989999999999998"/>
    <x v="0"/>
    <x v="1"/>
    <n v="2"/>
    <n v="0.25"/>
    <x v="1"/>
  </r>
  <r>
    <s v="9aa74495-95c3-4d40-afa8-6b352ea283ae"/>
    <n v="66"/>
    <x v="4"/>
    <x v="2"/>
    <x v="0"/>
    <n v="17.66"/>
    <n v="19"/>
    <x v="2"/>
    <x v="4"/>
    <n v="13.99"/>
    <x v="0"/>
    <x v="1"/>
    <n v="2"/>
    <n v="0.88"/>
    <x v="4"/>
  </r>
  <r>
    <s v="6d029724-a31c-4ef1-aea2-59c572067d27"/>
    <n v="69"/>
    <x v="4"/>
    <x v="0"/>
    <x v="1"/>
    <n v="36.479999999999997"/>
    <n v="33"/>
    <x v="1"/>
    <x v="1"/>
    <n v="17.989999999999998"/>
    <x v="0"/>
    <x v="1"/>
    <n v="3"/>
    <n v="1.07"/>
    <x v="0"/>
  </r>
  <r>
    <s v="4b7b3437-9e9b-476a-93e2-b566045c069e"/>
    <n v="67"/>
    <x v="4"/>
    <x v="1"/>
    <x v="2"/>
    <n v="10.31"/>
    <n v="14"/>
    <x v="1"/>
    <x v="4"/>
    <n v="8.99"/>
    <x v="0"/>
    <x v="3"/>
    <n v="1"/>
    <n v="0.69"/>
    <x v="3"/>
  </r>
  <r>
    <s v="23dbe855-88b7-49e6-8afd-c87e6e7a3789"/>
    <n v="65"/>
    <x v="4"/>
    <x v="0"/>
    <x v="1"/>
    <n v="6.18"/>
    <n v="36"/>
    <x v="1"/>
    <x v="1"/>
    <n v="17.989999999999998"/>
    <x v="1"/>
    <x v="0"/>
    <n v="3"/>
    <n v="0.17"/>
    <x v="0"/>
  </r>
  <r>
    <s v="c5070e45-4a31-420c-aa42-6c8733276b63"/>
    <n v="57"/>
    <x v="4"/>
    <x v="1"/>
    <x v="1"/>
    <n v="28.19"/>
    <n v="10"/>
    <x v="1"/>
    <x v="4"/>
    <n v="17.989999999999998"/>
    <x v="0"/>
    <x v="1"/>
    <n v="1"/>
    <n v="2.56"/>
    <x v="4"/>
  </r>
  <r>
    <s v="3c7f59b3-1c9e-4dc6-9b84-9ef32bde9b1a"/>
    <n v="58"/>
    <x v="4"/>
    <x v="0"/>
    <x v="1"/>
    <n v="1.21"/>
    <n v="24"/>
    <x v="0"/>
    <x v="4"/>
    <n v="17.989999999999998"/>
    <x v="0"/>
    <x v="1"/>
    <n v="5"/>
    <n v="0.05"/>
    <x v="4"/>
  </r>
  <r>
    <s v="a897c8ea-28f4-4fc2-a050-9b41f2188f72"/>
    <n v="60"/>
    <x v="4"/>
    <x v="1"/>
    <x v="0"/>
    <n v="12.7"/>
    <n v="35"/>
    <x v="3"/>
    <x v="1"/>
    <n v="13.99"/>
    <x v="0"/>
    <x v="2"/>
    <n v="5"/>
    <n v="0.35"/>
    <x v="0"/>
  </r>
  <r>
    <s v="f3fd9e3a-3a0c-4290-8368-4ec6535a24fa"/>
    <n v="65"/>
    <x v="4"/>
    <x v="0"/>
    <x v="0"/>
    <n v="47.81"/>
    <n v="11"/>
    <x v="3"/>
    <x v="3"/>
    <n v="13.99"/>
    <x v="0"/>
    <x v="0"/>
    <n v="4"/>
    <n v="3.98"/>
    <x v="3"/>
  </r>
  <r>
    <s v="fb7ccdf3-68c3-4ed8-bc57-04ba93357cfd"/>
    <n v="59"/>
    <x v="4"/>
    <x v="0"/>
    <x v="2"/>
    <n v="2.63"/>
    <n v="42"/>
    <x v="4"/>
    <x v="2"/>
    <n v="8.99"/>
    <x v="1"/>
    <x v="4"/>
    <n v="2"/>
    <n v="0.06"/>
    <x v="0"/>
  </r>
  <r>
    <s v="cf4022df-7092-48f3-8264-878f8fba98e5"/>
    <n v="64"/>
    <x v="4"/>
    <x v="0"/>
    <x v="2"/>
    <n v="6.99"/>
    <n v="11"/>
    <x v="5"/>
    <x v="4"/>
    <n v="8.99"/>
    <x v="0"/>
    <x v="0"/>
    <n v="1"/>
    <n v="0.57999999999999996"/>
    <x v="6"/>
  </r>
  <r>
    <s v="745745e9-e354-486c-952d-1cf7bcc6451f"/>
    <n v="61"/>
    <x v="4"/>
    <x v="1"/>
    <x v="2"/>
    <n v="9.33"/>
    <n v="51"/>
    <x v="5"/>
    <x v="3"/>
    <n v="8.99"/>
    <x v="1"/>
    <x v="4"/>
    <n v="4"/>
    <n v="0.18"/>
    <x v="4"/>
  </r>
  <r>
    <s v="a63f5214-db0f-4cac-a315-64d3499cde08"/>
    <n v="58"/>
    <x v="4"/>
    <x v="0"/>
    <x v="2"/>
    <n v="21.67"/>
    <n v="45"/>
    <x v="1"/>
    <x v="0"/>
    <n v="8.99"/>
    <x v="0"/>
    <x v="1"/>
    <n v="4"/>
    <n v="0.47"/>
    <x v="6"/>
  </r>
  <r>
    <s v="94135b4f-6a37-41c4-8625-d91c4926ec68"/>
    <n v="64"/>
    <x v="4"/>
    <x v="0"/>
    <x v="0"/>
    <n v="0.91"/>
    <n v="44"/>
    <x v="2"/>
    <x v="0"/>
    <n v="13.99"/>
    <x v="1"/>
    <x v="1"/>
    <n v="3"/>
    <n v="0.02"/>
    <x v="2"/>
  </r>
  <r>
    <s v="8d2214a8-eef2-4345-ab43-dc9fa0719c72"/>
    <n v="58"/>
    <x v="4"/>
    <x v="0"/>
    <x v="2"/>
    <n v="26.03"/>
    <n v="26"/>
    <x v="2"/>
    <x v="3"/>
    <n v="8.99"/>
    <x v="0"/>
    <x v="4"/>
    <n v="5"/>
    <n v="0.96"/>
    <x v="2"/>
  </r>
  <r>
    <s v="ee57514c-eefb-44e1-a80d-8dfe36cee93b"/>
    <n v="62"/>
    <x v="4"/>
    <x v="0"/>
    <x v="0"/>
    <n v="24.45"/>
    <n v="13"/>
    <x v="3"/>
    <x v="1"/>
    <n v="13.99"/>
    <x v="0"/>
    <x v="2"/>
    <n v="3"/>
    <n v="1.75"/>
    <x v="5"/>
  </r>
  <r>
    <s v="9f43a60a-bd6e-42de-9707-0a3b942d97fc"/>
    <n v="64"/>
    <x v="4"/>
    <x v="0"/>
    <x v="2"/>
    <n v="7.82"/>
    <n v="34"/>
    <x v="4"/>
    <x v="2"/>
    <n v="8.99"/>
    <x v="1"/>
    <x v="1"/>
    <n v="2"/>
    <n v="0.22"/>
    <x v="1"/>
  </r>
  <r>
    <s v="5cdde76b-50a8-4d41-a799-177a2e77e581"/>
    <n v="67"/>
    <x v="4"/>
    <x v="0"/>
    <x v="1"/>
    <n v="4.01"/>
    <n v="55"/>
    <x v="2"/>
    <x v="1"/>
    <n v="17.989999999999998"/>
    <x v="1"/>
    <x v="1"/>
    <n v="4"/>
    <n v="7.0000000000000007E-2"/>
    <x v="0"/>
  </r>
  <r>
    <s v="065fe85d-0373-4737-bbf9-0880fc13ad44"/>
    <n v="66"/>
    <x v="4"/>
    <x v="2"/>
    <x v="0"/>
    <n v="26.72"/>
    <n v="35"/>
    <x v="5"/>
    <x v="0"/>
    <n v="13.99"/>
    <x v="0"/>
    <x v="3"/>
    <n v="5"/>
    <n v="0.74"/>
    <x v="0"/>
  </r>
  <r>
    <s v="88fd7813-ff27-47be-9470-b4ad4044ccef"/>
    <n v="68"/>
    <x v="4"/>
    <x v="0"/>
    <x v="0"/>
    <n v="1.45"/>
    <n v="27"/>
    <x v="4"/>
    <x v="3"/>
    <n v="13.99"/>
    <x v="0"/>
    <x v="1"/>
    <n v="5"/>
    <n v="0.05"/>
    <x v="4"/>
  </r>
  <r>
    <s v="089c7011-1dec-412d-a160-d029ac6eb0a5"/>
    <n v="63"/>
    <x v="4"/>
    <x v="0"/>
    <x v="1"/>
    <n v="6.24"/>
    <n v="17"/>
    <x v="4"/>
    <x v="4"/>
    <n v="17.989999999999998"/>
    <x v="0"/>
    <x v="3"/>
    <n v="1"/>
    <n v="0.35"/>
    <x v="0"/>
  </r>
  <r>
    <s v="4489b67d-456a-40da-941e-68facbe3bdb4"/>
    <n v="66"/>
    <x v="4"/>
    <x v="2"/>
    <x v="2"/>
    <n v="7.42"/>
    <n v="22"/>
    <x v="3"/>
    <x v="3"/>
    <n v="8.99"/>
    <x v="1"/>
    <x v="3"/>
    <n v="1"/>
    <n v="0.32"/>
    <x v="5"/>
  </r>
  <r>
    <s v="590d4fc0-17ef-42af-aa91-778aa0d317d6"/>
    <n v="67"/>
    <x v="4"/>
    <x v="0"/>
    <x v="0"/>
    <n v="5.78"/>
    <n v="47"/>
    <x v="3"/>
    <x v="3"/>
    <n v="13.99"/>
    <x v="1"/>
    <x v="1"/>
    <n v="3"/>
    <n v="0.12"/>
    <x v="3"/>
  </r>
  <r>
    <s v="b74fff72-ab6f-46d9-a86c-66e7b580c4f3"/>
    <n v="62"/>
    <x v="4"/>
    <x v="2"/>
    <x v="2"/>
    <n v="7.6"/>
    <n v="38"/>
    <x v="5"/>
    <x v="1"/>
    <n v="8.99"/>
    <x v="1"/>
    <x v="3"/>
    <n v="1"/>
    <n v="0.19"/>
    <x v="4"/>
  </r>
  <r>
    <s v="cb28901c-b8a3-43aa-9580-f116d219bf30"/>
    <n v="68"/>
    <x v="4"/>
    <x v="1"/>
    <x v="0"/>
    <n v="35.61"/>
    <n v="40"/>
    <x v="2"/>
    <x v="3"/>
    <n v="13.99"/>
    <x v="0"/>
    <x v="1"/>
    <n v="4"/>
    <n v="0.87"/>
    <x v="5"/>
  </r>
  <r>
    <s v="0658b8ed-13e8-4ea7-a31f-8afeb49acd60"/>
    <n v="57"/>
    <x v="4"/>
    <x v="0"/>
    <x v="2"/>
    <n v="24.97"/>
    <n v="53"/>
    <x v="0"/>
    <x v="0"/>
    <n v="8.99"/>
    <x v="1"/>
    <x v="4"/>
    <n v="5"/>
    <n v="0.46"/>
    <x v="2"/>
  </r>
  <r>
    <s v="e3852e2b-3a3c-466a-916e-edd403c5353f"/>
    <n v="69"/>
    <x v="4"/>
    <x v="2"/>
    <x v="1"/>
    <n v="36.44"/>
    <n v="10"/>
    <x v="4"/>
    <x v="1"/>
    <n v="17.989999999999998"/>
    <x v="0"/>
    <x v="1"/>
    <n v="4"/>
    <n v="3.31"/>
    <x v="5"/>
  </r>
  <r>
    <s v="4020ae84-bece-4f52-bee7-b9ea56435b36"/>
    <n v="67"/>
    <x v="4"/>
    <x v="2"/>
    <x v="1"/>
    <n v="27.23"/>
    <n v="45"/>
    <x v="5"/>
    <x v="2"/>
    <n v="17.989999999999998"/>
    <x v="0"/>
    <x v="3"/>
    <n v="2"/>
    <n v="0.59"/>
    <x v="5"/>
  </r>
  <r>
    <s v="d08e5984-dcc6-4e82-9190-c0532bbb7cae"/>
    <n v="57"/>
    <x v="4"/>
    <x v="0"/>
    <x v="1"/>
    <n v="12.51"/>
    <n v="4"/>
    <x v="3"/>
    <x v="0"/>
    <n v="17.989999999999998"/>
    <x v="0"/>
    <x v="4"/>
    <n v="2"/>
    <n v="2.5"/>
    <x v="5"/>
  </r>
  <r>
    <s v="3fd34d59-ed02-4b2a-a7b7-7c8dba676ef9"/>
    <n v="60"/>
    <x v="4"/>
    <x v="0"/>
    <x v="1"/>
    <n v="1.0900000000000001"/>
    <n v="6"/>
    <x v="2"/>
    <x v="1"/>
    <n v="17.989999999999998"/>
    <x v="1"/>
    <x v="2"/>
    <n v="1"/>
    <n v="0.16"/>
    <x v="2"/>
  </r>
  <r>
    <s v="d74761a3-27c1-4593-92ee-084f86b6c7f5"/>
    <n v="70"/>
    <x v="4"/>
    <x v="1"/>
    <x v="1"/>
    <n v="5.52"/>
    <n v="29"/>
    <x v="2"/>
    <x v="3"/>
    <n v="17.989999999999998"/>
    <x v="0"/>
    <x v="0"/>
    <n v="4"/>
    <n v="0.18"/>
    <x v="5"/>
  </r>
  <r>
    <s v="14e1fddb-7d3b-4098-b5f5-98d0467d9921"/>
    <n v="69"/>
    <x v="4"/>
    <x v="1"/>
    <x v="2"/>
    <n v="22.17"/>
    <n v="51"/>
    <x v="1"/>
    <x v="1"/>
    <n v="8.99"/>
    <x v="1"/>
    <x v="4"/>
    <n v="2"/>
    <n v="0.43"/>
    <x v="0"/>
  </r>
  <r>
    <s v="2fae4d1f-9063-4947-aac3-ec1c00169d35"/>
    <n v="70"/>
    <x v="4"/>
    <x v="1"/>
    <x v="2"/>
    <n v="61.47"/>
    <n v="7"/>
    <x v="1"/>
    <x v="2"/>
    <n v="8.99"/>
    <x v="0"/>
    <x v="3"/>
    <n v="1"/>
    <n v="7.68"/>
    <x v="4"/>
  </r>
  <r>
    <s v="6fb2caa8-9389-4816-91cb-d1134a7b15a1"/>
    <n v="57"/>
    <x v="4"/>
    <x v="2"/>
    <x v="2"/>
    <n v="2.89"/>
    <n v="27"/>
    <x v="3"/>
    <x v="2"/>
    <n v="8.99"/>
    <x v="1"/>
    <x v="3"/>
    <n v="4"/>
    <n v="0.1"/>
    <x v="2"/>
  </r>
  <r>
    <s v="57b1d167-a660-48d5-8fca-f75fa0837d41"/>
    <n v="57"/>
    <x v="4"/>
    <x v="2"/>
    <x v="0"/>
    <n v="18.93"/>
    <n v="42"/>
    <x v="3"/>
    <x v="0"/>
    <n v="13.99"/>
    <x v="1"/>
    <x v="4"/>
    <n v="5"/>
    <n v="0.44"/>
    <x v="4"/>
  </r>
  <r>
    <s v="9bc6420a-4fe7-4bda-97db-6689849cc101"/>
    <n v="65"/>
    <x v="4"/>
    <x v="1"/>
    <x v="1"/>
    <n v="9.7100000000000009"/>
    <n v="47"/>
    <x v="3"/>
    <x v="3"/>
    <n v="17.989999999999998"/>
    <x v="0"/>
    <x v="3"/>
    <n v="4"/>
    <n v="0.2"/>
    <x v="5"/>
  </r>
  <r>
    <s v="39a2da01-6445-4ba4-8dd5-846b8fe23c43"/>
    <n v="62"/>
    <x v="4"/>
    <x v="0"/>
    <x v="1"/>
    <n v="4.2"/>
    <n v="37"/>
    <x v="3"/>
    <x v="1"/>
    <n v="17.989999999999998"/>
    <x v="1"/>
    <x v="0"/>
    <n v="1"/>
    <n v="0.11"/>
    <x v="1"/>
  </r>
  <r>
    <s v="ac511430-85a0-40ed-bac6-423c3fe14a63"/>
    <n v="58"/>
    <x v="4"/>
    <x v="1"/>
    <x v="2"/>
    <n v="15.24"/>
    <n v="16"/>
    <x v="0"/>
    <x v="4"/>
    <n v="8.99"/>
    <x v="0"/>
    <x v="0"/>
    <n v="5"/>
    <n v="0.9"/>
    <x v="1"/>
  </r>
  <r>
    <s v="63fb5a17-b9fc-4191-8cec-ca2848cc3e54"/>
    <n v="69"/>
    <x v="4"/>
    <x v="1"/>
    <x v="1"/>
    <n v="26.07"/>
    <n v="5"/>
    <x v="5"/>
    <x v="1"/>
    <n v="17.989999999999998"/>
    <x v="0"/>
    <x v="3"/>
    <n v="1"/>
    <n v="4.34"/>
    <x v="4"/>
  </r>
  <r>
    <s v="10187a53-e499-45ef-b5b2-0c0d16ffaef7"/>
    <n v="65"/>
    <x v="4"/>
    <x v="2"/>
    <x v="1"/>
    <n v="0.74"/>
    <n v="20"/>
    <x v="1"/>
    <x v="1"/>
    <n v="17.989999999999998"/>
    <x v="1"/>
    <x v="1"/>
    <n v="3"/>
    <n v="0.04"/>
    <x v="6"/>
  </r>
  <r>
    <s v="dc67ab9c-2786-4c67-8b27-3891f2676446"/>
    <n v="63"/>
    <x v="4"/>
    <x v="2"/>
    <x v="0"/>
    <n v="5.16"/>
    <n v="53"/>
    <x v="4"/>
    <x v="3"/>
    <n v="13.99"/>
    <x v="0"/>
    <x v="1"/>
    <n v="5"/>
    <n v="0.1"/>
    <x v="4"/>
  </r>
  <r>
    <s v="68fcc8f2-4100-4fb8-bc83-efdca9a49322"/>
    <n v="70"/>
    <x v="4"/>
    <x v="2"/>
    <x v="2"/>
    <n v="11.19"/>
    <n v="40"/>
    <x v="1"/>
    <x v="0"/>
    <n v="8.99"/>
    <x v="1"/>
    <x v="3"/>
    <n v="2"/>
    <n v="0.27"/>
    <x v="3"/>
  </r>
  <r>
    <s v="63fefe7d-6134-49fb-95fc-5b011b8583c7"/>
    <n v="56"/>
    <x v="4"/>
    <x v="1"/>
    <x v="2"/>
    <n v="30.55"/>
    <n v="11"/>
    <x v="3"/>
    <x v="0"/>
    <n v="8.99"/>
    <x v="0"/>
    <x v="2"/>
    <n v="1"/>
    <n v="2.5499999999999998"/>
    <x v="1"/>
  </r>
  <r>
    <s v="aa56b066-fb34-4c3c-8ffa-913e48221d38"/>
    <n v="64"/>
    <x v="4"/>
    <x v="0"/>
    <x v="0"/>
    <n v="7.4"/>
    <n v="49"/>
    <x v="3"/>
    <x v="3"/>
    <n v="13.99"/>
    <x v="1"/>
    <x v="0"/>
    <n v="2"/>
    <n v="0.15"/>
    <x v="2"/>
  </r>
  <r>
    <s v="6df50497-d522-4c9e-ae35-b570fc2656cf"/>
    <n v="66"/>
    <x v="4"/>
    <x v="0"/>
    <x v="1"/>
    <n v="20.010000000000002"/>
    <n v="30"/>
    <x v="3"/>
    <x v="4"/>
    <n v="17.989999999999998"/>
    <x v="0"/>
    <x v="3"/>
    <n v="2"/>
    <n v="0.65"/>
    <x v="2"/>
  </r>
  <r>
    <s v="1e7bde1f-8158-40b9-9aa5-97cf0312ed3f"/>
    <n v="60"/>
    <x v="4"/>
    <x v="1"/>
    <x v="2"/>
    <n v="9.99"/>
    <n v="34"/>
    <x v="1"/>
    <x v="0"/>
    <n v="8.99"/>
    <x v="1"/>
    <x v="3"/>
    <n v="3"/>
    <n v="0.28999999999999998"/>
    <x v="0"/>
  </r>
  <r>
    <s v="f2477cdd-25e4-47c2-8b0e-2194e62a4ea2"/>
    <n v="64"/>
    <x v="4"/>
    <x v="0"/>
    <x v="1"/>
    <n v="9.3699999999999992"/>
    <n v="16"/>
    <x v="2"/>
    <x v="4"/>
    <n v="17.989999999999998"/>
    <x v="0"/>
    <x v="0"/>
    <n v="5"/>
    <n v="0.55000000000000004"/>
    <x v="0"/>
  </r>
  <r>
    <s v="153d426a-bfd4-47d8-9821-a84a5e9fee7b"/>
    <n v="55"/>
    <x v="4"/>
    <x v="0"/>
    <x v="2"/>
    <n v="11.36"/>
    <n v="0"/>
    <x v="4"/>
    <x v="1"/>
    <n v="8.99"/>
    <x v="0"/>
    <x v="3"/>
    <n v="4"/>
    <n v="11.36"/>
    <x v="1"/>
  </r>
  <r>
    <s v="19ef59d2-6a1c-4507-8b4c-8d8fbd68db12"/>
    <n v="66"/>
    <x v="4"/>
    <x v="0"/>
    <x v="1"/>
    <n v="1.37"/>
    <n v="36"/>
    <x v="4"/>
    <x v="3"/>
    <n v="17.989999999999998"/>
    <x v="1"/>
    <x v="3"/>
    <n v="5"/>
    <n v="0.04"/>
    <x v="3"/>
  </r>
  <r>
    <s v="7ccb2fc4-29ae-47d5-b9ca-c10d7e9dce63"/>
    <n v="57"/>
    <x v="4"/>
    <x v="2"/>
    <x v="0"/>
    <n v="8.27"/>
    <n v="59"/>
    <x v="1"/>
    <x v="3"/>
    <n v="13.99"/>
    <x v="0"/>
    <x v="1"/>
    <n v="4"/>
    <n v="0.14000000000000001"/>
    <x v="4"/>
  </r>
  <r>
    <s v="51440c93-aa74-453e-a0ac-0fd9cb25409f"/>
    <n v="68"/>
    <x v="4"/>
    <x v="0"/>
    <x v="0"/>
    <n v="26.58"/>
    <n v="36"/>
    <x v="5"/>
    <x v="3"/>
    <n v="13.99"/>
    <x v="0"/>
    <x v="1"/>
    <n v="4"/>
    <n v="0.72"/>
    <x v="4"/>
  </r>
  <r>
    <s v="0244ba1e-f643-4f1a-9ed1-2531650a2ace"/>
    <n v="63"/>
    <x v="4"/>
    <x v="2"/>
    <x v="0"/>
    <n v="8.51"/>
    <n v="55"/>
    <x v="2"/>
    <x v="1"/>
    <n v="13.99"/>
    <x v="1"/>
    <x v="4"/>
    <n v="4"/>
    <n v="0.15"/>
    <x v="6"/>
  </r>
  <r>
    <s v="0abfd213-ef70-4c96-979a-95401f2d222a"/>
    <n v="59"/>
    <x v="4"/>
    <x v="1"/>
    <x v="1"/>
    <n v="16.600000000000001"/>
    <n v="23"/>
    <x v="0"/>
    <x v="1"/>
    <n v="17.989999999999998"/>
    <x v="0"/>
    <x v="0"/>
    <n v="3"/>
    <n v="0.69"/>
    <x v="0"/>
  </r>
  <r>
    <s v="e95ba0a7-3085-4358-9fac-b404fdb198b3"/>
    <n v="55"/>
    <x v="4"/>
    <x v="1"/>
    <x v="1"/>
    <n v="0.44"/>
    <n v="27"/>
    <x v="5"/>
    <x v="0"/>
    <n v="17.989999999999998"/>
    <x v="1"/>
    <x v="0"/>
    <n v="3"/>
    <n v="0.02"/>
    <x v="0"/>
  </r>
  <r>
    <s v="5405f752-cb3f-4f59-9206-4e7cdc662738"/>
    <n v="58"/>
    <x v="4"/>
    <x v="1"/>
    <x v="2"/>
    <n v="37.24"/>
    <n v="8"/>
    <x v="1"/>
    <x v="0"/>
    <n v="8.99"/>
    <x v="0"/>
    <x v="4"/>
    <n v="3"/>
    <n v="4.1399999999999997"/>
    <x v="4"/>
  </r>
  <r>
    <s v="bfb8411b-0e6a-4f69-b072-24ed44cc094e"/>
    <n v="57"/>
    <x v="4"/>
    <x v="1"/>
    <x v="2"/>
    <n v="10.24"/>
    <n v="19"/>
    <x v="3"/>
    <x v="0"/>
    <n v="8.99"/>
    <x v="0"/>
    <x v="3"/>
    <n v="2"/>
    <n v="0.51"/>
    <x v="1"/>
  </r>
  <r>
    <s v="9fbafa7f-e3de-4166-b71b-e4bc230715a5"/>
    <n v="67"/>
    <x v="4"/>
    <x v="1"/>
    <x v="1"/>
    <n v="28.86"/>
    <n v="1"/>
    <x v="2"/>
    <x v="1"/>
    <n v="17.989999999999998"/>
    <x v="0"/>
    <x v="4"/>
    <n v="2"/>
    <n v="14.43"/>
    <x v="0"/>
  </r>
  <r>
    <s v="dd222a27-27ab-459a-994a-8c5ad58ddeeb"/>
    <n v="60"/>
    <x v="4"/>
    <x v="1"/>
    <x v="2"/>
    <n v="6.84"/>
    <n v="40"/>
    <x v="4"/>
    <x v="4"/>
    <n v="8.99"/>
    <x v="1"/>
    <x v="0"/>
    <n v="2"/>
    <n v="0.17"/>
    <x v="6"/>
  </r>
  <r>
    <s v="9216acf7-bc86-44f9-95d5-2d5e96d459d4"/>
    <n v="61"/>
    <x v="4"/>
    <x v="0"/>
    <x v="1"/>
    <n v="1.3"/>
    <n v="44"/>
    <x v="4"/>
    <x v="2"/>
    <n v="17.989999999999998"/>
    <x v="1"/>
    <x v="3"/>
    <n v="5"/>
    <n v="0.03"/>
    <x v="4"/>
  </r>
  <r>
    <s v="1b673fc7-2b1b-4f12-ae55-6f61e739c483"/>
    <n v="59"/>
    <x v="4"/>
    <x v="2"/>
    <x v="0"/>
    <n v="17.329999999999998"/>
    <n v="59"/>
    <x v="5"/>
    <x v="0"/>
    <n v="13.99"/>
    <x v="0"/>
    <x v="1"/>
    <n v="5"/>
    <n v="0.28999999999999998"/>
    <x v="1"/>
  </r>
  <r>
    <s v="de40d774-89d7-43ef-81f2-a845c85cb3a3"/>
    <n v="69"/>
    <x v="4"/>
    <x v="2"/>
    <x v="2"/>
    <n v="5.31"/>
    <n v="52"/>
    <x v="2"/>
    <x v="2"/>
    <n v="8.99"/>
    <x v="1"/>
    <x v="3"/>
    <n v="4"/>
    <n v="0.1"/>
    <x v="3"/>
  </r>
  <r>
    <s v="e3b0394b-c1e2-4d2a-8f3e-881750fa9401"/>
    <n v="65"/>
    <x v="4"/>
    <x v="1"/>
    <x v="0"/>
    <n v="28.56"/>
    <n v="18"/>
    <x v="3"/>
    <x v="1"/>
    <n v="13.99"/>
    <x v="0"/>
    <x v="0"/>
    <n v="4"/>
    <n v="1.5"/>
    <x v="5"/>
  </r>
  <r>
    <s v="c42c3176-bb7e-411d-a769-0b2ad9e8ed2a"/>
    <n v="58"/>
    <x v="4"/>
    <x v="0"/>
    <x v="1"/>
    <n v="16.329999999999998"/>
    <n v="43"/>
    <x v="1"/>
    <x v="1"/>
    <n v="17.989999999999998"/>
    <x v="1"/>
    <x v="4"/>
    <n v="1"/>
    <n v="0.37"/>
    <x v="1"/>
  </r>
  <r>
    <s v="3b6ad87b-8320-46b3-8cd0-ba38c3def845"/>
    <n v="63"/>
    <x v="4"/>
    <x v="1"/>
    <x v="0"/>
    <n v="1.77"/>
    <n v="56"/>
    <x v="4"/>
    <x v="2"/>
    <n v="13.99"/>
    <x v="1"/>
    <x v="1"/>
    <n v="5"/>
    <n v="0.03"/>
    <x v="2"/>
  </r>
  <r>
    <s v="b239abd3-b75b-4da5-9794-0de700a9d4a7"/>
    <n v="67"/>
    <x v="4"/>
    <x v="1"/>
    <x v="2"/>
    <n v="25.25"/>
    <n v="25"/>
    <x v="0"/>
    <x v="0"/>
    <n v="8.99"/>
    <x v="0"/>
    <x v="1"/>
    <n v="3"/>
    <n v="0.97"/>
    <x v="1"/>
  </r>
  <r>
    <s v="dd06b1e7-368e-4a14-9c4b-1167e1751312"/>
    <n v="57"/>
    <x v="4"/>
    <x v="1"/>
    <x v="0"/>
    <n v="35.520000000000003"/>
    <n v="12"/>
    <x v="5"/>
    <x v="2"/>
    <n v="13.99"/>
    <x v="0"/>
    <x v="1"/>
    <n v="4"/>
    <n v="2.73"/>
    <x v="1"/>
  </r>
  <r>
    <s v="23983a3b-9ddb-44ee-b02d-7128ffc31a36"/>
    <n v="56"/>
    <x v="4"/>
    <x v="1"/>
    <x v="1"/>
    <n v="9.9600000000000009"/>
    <n v="51"/>
    <x v="5"/>
    <x v="4"/>
    <n v="17.989999999999998"/>
    <x v="1"/>
    <x v="4"/>
    <n v="3"/>
    <n v="0.19"/>
    <x v="0"/>
  </r>
  <r>
    <s v="1f21093e-a068-4fd4-a23a-3bdbe2a2ac90"/>
    <n v="64"/>
    <x v="4"/>
    <x v="0"/>
    <x v="0"/>
    <n v="0.02"/>
    <n v="36"/>
    <x v="2"/>
    <x v="0"/>
    <n v="13.99"/>
    <x v="1"/>
    <x v="4"/>
    <n v="3"/>
    <n v="0"/>
    <x v="5"/>
  </r>
  <r>
    <s v="f53aabeb-9951-48d4-a47c-ee92be30b9ef"/>
    <n v="62"/>
    <x v="4"/>
    <x v="0"/>
    <x v="1"/>
    <n v="3.99"/>
    <n v="25"/>
    <x v="2"/>
    <x v="0"/>
    <n v="17.989999999999998"/>
    <x v="1"/>
    <x v="0"/>
    <n v="5"/>
    <n v="0.15"/>
    <x v="5"/>
  </r>
  <r>
    <s v="d0478dc6-40b3-4217-b23b-1e5d368d99e3"/>
    <n v="63"/>
    <x v="4"/>
    <x v="2"/>
    <x v="0"/>
    <n v="2.31"/>
    <n v="29"/>
    <x v="5"/>
    <x v="1"/>
    <n v="13.99"/>
    <x v="1"/>
    <x v="4"/>
    <n v="2"/>
    <n v="0.08"/>
    <x v="4"/>
  </r>
  <r>
    <s v="9b97bbce-cee3-4f9f-929a-91a55540665a"/>
    <n v="69"/>
    <x v="4"/>
    <x v="0"/>
    <x v="0"/>
    <n v="10.33"/>
    <n v="42"/>
    <x v="1"/>
    <x v="4"/>
    <n v="13.99"/>
    <x v="1"/>
    <x v="1"/>
    <n v="3"/>
    <n v="0.24"/>
    <x v="3"/>
  </r>
  <r>
    <s v="789522f8-c4a7-458c-8303-68262a0f458a"/>
    <n v="69"/>
    <x v="4"/>
    <x v="0"/>
    <x v="0"/>
    <n v="9.14"/>
    <n v="48"/>
    <x v="2"/>
    <x v="1"/>
    <n v="13.99"/>
    <x v="0"/>
    <x v="1"/>
    <n v="5"/>
    <n v="0.19"/>
    <x v="3"/>
  </r>
  <r>
    <s v="fa0f95cd-a763-4ca0-b86c-dc7d1e93f8a9"/>
    <n v="70"/>
    <x v="4"/>
    <x v="1"/>
    <x v="2"/>
    <n v="9.65"/>
    <n v="12"/>
    <x v="4"/>
    <x v="3"/>
    <n v="8.99"/>
    <x v="0"/>
    <x v="0"/>
    <n v="5"/>
    <n v="0.74"/>
    <x v="5"/>
  </r>
  <r>
    <s v="0cff8cd5-ab3c-4116-8edb-fa314b5a3273"/>
    <n v="56"/>
    <x v="4"/>
    <x v="2"/>
    <x v="0"/>
    <n v="0.49"/>
    <n v="44"/>
    <x v="1"/>
    <x v="0"/>
    <n v="13.99"/>
    <x v="1"/>
    <x v="4"/>
    <n v="3"/>
    <n v="0.01"/>
    <x v="4"/>
  </r>
  <r>
    <s v="2774bcf2-ddec-44c9-a3bc-ff87a8a96dee"/>
    <n v="61"/>
    <x v="4"/>
    <x v="2"/>
    <x v="0"/>
    <n v="83.55"/>
    <n v="25"/>
    <x v="2"/>
    <x v="3"/>
    <n v="13.99"/>
    <x v="0"/>
    <x v="1"/>
    <n v="5"/>
    <n v="3.21"/>
    <x v="4"/>
  </r>
  <r>
    <s v="463a6397-5c89-4ad4-8d08-f9c6e3081f25"/>
    <n v="66"/>
    <x v="4"/>
    <x v="1"/>
    <x v="0"/>
    <n v="4.41"/>
    <n v="48"/>
    <x v="0"/>
    <x v="2"/>
    <n v="13.99"/>
    <x v="1"/>
    <x v="4"/>
    <n v="5"/>
    <n v="0.09"/>
    <x v="6"/>
  </r>
  <r>
    <s v="4d84f911-ed8d-42bd-a583-924e3b9dafd8"/>
    <n v="69"/>
    <x v="4"/>
    <x v="0"/>
    <x v="0"/>
    <n v="4.5599999999999996"/>
    <n v="37"/>
    <x v="2"/>
    <x v="0"/>
    <n v="13.99"/>
    <x v="1"/>
    <x v="3"/>
    <n v="2"/>
    <n v="0.12"/>
    <x v="0"/>
  </r>
  <r>
    <s v="b2ec2304-01bd-4336-8a61-f0b0abbba0db"/>
    <n v="70"/>
    <x v="4"/>
    <x v="2"/>
    <x v="2"/>
    <n v="2.2200000000000002"/>
    <n v="12"/>
    <x v="0"/>
    <x v="1"/>
    <n v="8.99"/>
    <x v="1"/>
    <x v="3"/>
    <n v="3"/>
    <n v="0.17"/>
    <x v="4"/>
  </r>
  <r>
    <s v="9eec9d5c-6e0e-4796-b55f-75b8b68180b4"/>
    <n v="65"/>
    <x v="4"/>
    <x v="0"/>
    <x v="0"/>
    <n v="13.88"/>
    <n v="57"/>
    <x v="5"/>
    <x v="1"/>
    <n v="13.99"/>
    <x v="1"/>
    <x v="0"/>
    <n v="5"/>
    <n v="0.24"/>
    <x v="1"/>
  </r>
  <r>
    <s v="54c05598-365d-4f0a-9053-47c773d60fb0"/>
    <n v="58"/>
    <x v="4"/>
    <x v="2"/>
    <x v="0"/>
    <n v="4.38"/>
    <n v="25"/>
    <x v="3"/>
    <x v="4"/>
    <n v="13.99"/>
    <x v="1"/>
    <x v="2"/>
    <n v="1"/>
    <n v="0.17"/>
    <x v="4"/>
  </r>
  <r>
    <s v="33b1d71a-a301-4ff5-b31e-e0ae15703dc6"/>
    <n v="63"/>
    <x v="4"/>
    <x v="1"/>
    <x v="2"/>
    <n v="14.16"/>
    <n v="45"/>
    <x v="1"/>
    <x v="1"/>
    <n v="8.99"/>
    <x v="1"/>
    <x v="2"/>
    <n v="4"/>
    <n v="0.31"/>
    <x v="4"/>
  </r>
  <r>
    <s v="ca048e28-c4a0-423c-abe2-a0da5ead69a1"/>
    <n v="64"/>
    <x v="4"/>
    <x v="1"/>
    <x v="0"/>
    <n v="19.87"/>
    <n v="41"/>
    <x v="2"/>
    <x v="2"/>
    <n v="13.99"/>
    <x v="0"/>
    <x v="2"/>
    <n v="5"/>
    <n v="0.47"/>
    <x v="4"/>
  </r>
  <r>
    <s v="ece55bb3-fc9a-4a30-92b0-fb95a55aec51"/>
    <n v="59"/>
    <x v="4"/>
    <x v="2"/>
    <x v="0"/>
    <n v="25.89"/>
    <n v="58"/>
    <x v="4"/>
    <x v="3"/>
    <n v="13.99"/>
    <x v="0"/>
    <x v="1"/>
    <n v="1"/>
    <n v="0.44"/>
    <x v="5"/>
  </r>
  <r>
    <s v="2f262b29-6001-432d-9f5c-0f6558826627"/>
    <n v="66"/>
    <x v="4"/>
    <x v="1"/>
    <x v="1"/>
    <n v="51.07"/>
    <n v="9"/>
    <x v="3"/>
    <x v="1"/>
    <n v="17.989999999999998"/>
    <x v="0"/>
    <x v="0"/>
    <n v="5"/>
    <n v="5.1100000000000003"/>
    <x v="3"/>
  </r>
  <r>
    <s v="6dd30fa8-e9be-4ba1-831d-ec479489390d"/>
    <n v="60"/>
    <x v="4"/>
    <x v="0"/>
    <x v="0"/>
    <n v="1.1299999999999999"/>
    <n v="12"/>
    <x v="0"/>
    <x v="1"/>
    <n v="13.99"/>
    <x v="1"/>
    <x v="2"/>
    <n v="2"/>
    <n v="0.09"/>
    <x v="4"/>
  </r>
  <r>
    <s v="daba8bad-2131-40db-9fa3-467c7da43703"/>
    <n v="69"/>
    <x v="4"/>
    <x v="1"/>
    <x v="1"/>
    <n v="13.61"/>
    <n v="5"/>
    <x v="1"/>
    <x v="0"/>
    <n v="17.989999999999998"/>
    <x v="0"/>
    <x v="2"/>
    <n v="3"/>
    <n v="2.27"/>
    <x v="4"/>
  </r>
  <r>
    <s v="13fc0db0-35b8-4902-a770-11a2aade369d"/>
    <n v="61"/>
    <x v="4"/>
    <x v="2"/>
    <x v="0"/>
    <n v="5.61"/>
    <n v="56"/>
    <x v="1"/>
    <x v="1"/>
    <n v="13.99"/>
    <x v="1"/>
    <x v="1"/>
    <n v="1"/>
    <n v="0.1"/>
    <x v="2"/>
  </r>
  <r>
    <s v="a9bac7bd-9fb2-43cc-b170-fb3a6c9772f7"/>
    <n v="68"/>
    <x v="4"/>
    <x v="1"/>
    <x v="0"/>
    <n v="12.66"/>
    <n v="7"/>
    <x v="0"/>
    <x v="4"/>
    <n v="13.99"/>
    <x v="0"/>
    <x v="2"/>
    <n v="2"/>
    <n v="1.58"/>
    <x v="4"/>
  </r>
  <r>
    <s v="8c722fa9-57be-4fa0-a466-f43e61d35f94"/>
    <n v="55"/>
    <x v="4"/>
    <x v="2"/>
    <x v="1"/>
    <n v="0.44"/>
    <n v="45"/>
    <x v="2"/>
    <x v="3"/>
    <n v="17.989999999999998"/>
    <x v="1"/>
    <x v="1"/>
    <n v="1"/>
    <n v="0.01"/>
    <x v="6"/>
  </r>
  <r>
    <s v="67261644-d5d8-4867-a359-22d606e2dcc9"/>
    <n v="65"/>
    <x v="4"/>
    <x v="2"/>
    <x v="0"/>
    <n v="4.05"/>
    <n v="45"/>
    <x v="0"/>
    <x v="2"/>
    <n v="13.99"/>
    <x v="1"/>
    <x v="4"/>
    <n v="4"/>
    <n v="0.09"/>
    <x v="6"/>
  </r>
  <r>
    <s v="d021c19c-289d-44b2-959c-bb3231f5f23a"/>
    <n v="63"/>
    <x v="4"/>
    <x v="0"/>
    <x v="0"/>
    <n v="6.42"/>
    <n v="17"/>
    <x v="1"/>
    <x v="4"/>
    <n v="13.99"/>
    <x v="0"/>
    <x v="0"/>
    <n v="4"/>
    <n v="0.36"/>
    <x v="3"/>
  </r>
  <r>
    <s v="d73ea6c0-c6a3-43ef-b4df-34d432f0295f"/>
    <n v="56"/>
    <x v="4"/>
    <x v="0"/>
    <x v="1"/>
    <n v="14.39"/>
    <n v="38"/>
    <x v="0"/>
    <x v="4"/>
    <n v="17.989999999999998"/>
    <x v="1"/>
    <x v="2"/>
    <n v="3"/>
    <n v="0.37"/>
    <x v="1"/>
  </r>
  <r>
    <s v="ff5354ce-5deb-4dc4-8d39-a68c03938af3"/>
    <n v="69"/>
    <x v="4"/>
    <x v="0"/>
    <x v="0"/>
    <n v="4.53"/>
    <n v="16"/>
    <x v="1"/>
    <x v="1"/>
    <n v="13.99"/>
    <x v="1"/>
    <x v="0"/>
    <n v="2"/>
    <n v="0.27"/>
    <x v="2"/>
  </r>
  <r>
    <s v="f290c3ba-8bc9-48c3-8b9f-d4c878f405fa"/>
    <n v="59"/>
    <x v="4"/>
    <x v="2"/>
    <x v="0"/>
    <n v="2.41"/>
    <n v="4"/>
    <x v="0"/>
    <x v="4"/>
    <n v="13.99"/>
    <x v="0"/>
    <x v="1"/>
    <n v="2"/>
    <n v="0.48"/>
    <x v="3"/>
  </r>
  <r>
    <s v="6bbbd9ca-d3d6-443d-aed6-a5c6d9a6aa03"/>
    <n v="66"/>
    <x v="4"/>
    <x v="2"/>
    <x v="2"/>
    <n v="7"/>
    <n v="39"/>
    <x v="0"/>
    <x v="0"/>
    <n v="8.99"/>
    <x v="1"/>
    <x v="1"/>
    <n v="2"/>
    <n v="0.17"/>
    <x v="6"/>
  </r>
  <r>
    <s v="3485b497-ec38-4c7f-abdb-05c2bad0e25b"/>
    <n v="56"/>
    <x v="4"/>
    <x v="0"/>
    <x v="0"/>
    <n v="21.44"/>
    <n v="47"/>
    <x v="1"/>
    <x v="0"/>
    <n v="13.99"/>
    <x v="1"/>
    <x v="0"/>
    <n v="1"/>
    <n v="0.45"/>
    <x v="1"/>
  </r>
  <r>
    <s v="43cb53f5-d22c-4cb2-ae1c-879ffabb8b97"/>
    <n v="62"/>
    <x v="4"/>
    <x v="0"/>
    <x v="0"/>
    <n v="26.88"/>
    <n v="55"/>
    <x v="0"/>
    <x v="0"/>
    <n v="13.99"/>
    <x v="0"/>
    <x v="3"/>
    <n v="4"/>
    <n v="0.48"/>
    <x v="4"/>
  </r>
  <r>
    <s v="85629d48-5eda-4610-b233-c4e4d562c796"/>
    <n v="63"/>
    <x v="4"/>
    <x v="0"/>
    <x v="0"/>
    <n v="2.84"/>
    <n v="18"/>
    <x v="5"/>
    <x v="4"/>
    <n v="13.99"/>
    <x v="1"/>
    <x v="4"/>
    <n v="3"/>
    <n v="0.15"/>
    <x v="2"/>
  </r>
  <r>
    <s v="a5c028fb-e6fd-43ab-a87c-bd591558b580"/>
    <n v="68"/>
    <x v="4"/>
    <x v="2"/>
    <x v="1"/>
    <n v="9.36"/>
    <n v="15"/>
    <x v="1"/>
    <x v="0"/>
    <n v="17.989999999999998"/>
    <x v="0"/>
    <x v="0"/>
    <n v="5"/>
    <n v="0.57999999999999996"/>
    <x v="3"/>
  </r>
  <r>
    <s v="9d34ab95-164d-4c46-8f82-38b03ea4a17f"/>
    <n v="67"/>
    <x v="4"/>
    <x v="2"/>
    <x v="1"/>
    <n v="13.19"/>
    <n v="55"/>
    <x v="2"/>
    <x v="3"/>
    <n v="17.989999999999998"/>
    <x v="1"/>
    <x v="0"/>
    <n v="3"/>
    <n v="0.24"/>
    <x v="1"/>
  </r>
  <r>
    <s v="025f67d8-5ff0-4e79-9463-ec829fec6755"/>
    <n v="63"/>
    <x v="4"/>
    <x v="1"/>
    <x v="2"/>
    <n v="1.25"/>
    <n v="3"/>
    <x v="0"/>
    <x v="4"/>
    <n v="8.99"/>
    <x v="1"/>
    <x v="1"/>
    <n v="5"/>
    <n v="0.31"/>
    <x v="1"/>
  </r>
  <r>
    <s v="72795539-6b5f-4f9a-8105-7f15dba34e9d"/>
    <n v="59"/>
    <x v="4"/>
    <x v="0"/>
    <x v="2"/>
    <n v="1.2"/>
    <n v="32"/>
    <x v="4"/>
    <x v="0"/>
    <n v="8.99"/>
    <x v="1"/>
    <x v="2"/>
    <n v="2"/>
    <n v="0.04"/>
    <x v="1"/>
  </r>
  <r>
    <s v="b3210d44-92c1-40ad-b881-b560dda637c1"/>
    <n v="55"/>
    <x v="4"/>
    <x v="2"/>
    <x v="0"/>
    <n v="2.7"/>
    <n v="31"/>
    <x v="0"/>
    <x v="0"/>
    <n v="13.99"/>
    <x v="1"/>
    <x v="1"/>
    <n v="4"/>
    <n v="0.08"/>
    <x v="6"/>
  </r>
  <r>
    <s v="67f97be2-f7bd-4fe4-b6f9-5b5f3fd1da4c"/>
    <n v="63"/>
    <x v="4"/>
    <x v="0"/>
    <x v="0"/>
    <n v="12.08"/>
    <n v="17"/>
    <x v="2"/>
    <x v="3"/>
    <n v="13.99"/>
    <x v="0"/>
    <x v="2"/>
    <n v="4"/>
    <n v="0.67"/>
    <x v="2"/>
  </r>
  <r>
    <s v="0ba4451f-8bef-4373-99e9-338665b1faaf"/>
    <n v="60"/>
    <x v="4"/>
    <x v="1"/>
    <x v="0"/>
    <n v="82.61"/>
    <n v="33"/>
    <x v="4"/>
    <x v="2"/>
    <n v="13.99"/>
    <x v="0"/>
    <x v="3"/>
    <n v="3"/>
    <n v="2.4300000000000002"/>
    <x v="6"/>
  </r>
  <r>
    <s v="febcc30f-5bb3-4977-ba96-f546920d93c9"/>
    <n v="55"/>
    <x v="4"/>
    <x v="1"/>
    <x v="2"/>
    <n v="0.21"/>
    <n v="34"/>
    <x v="2"/>
    <x v="1"/>
    <n v="8.99"/>
    <x v="1"/>
    <x v="1"/>
    <n v="5"/>
    <n v="0.01"/>
    <x v="2"/>
  </r>
  <r>
    <s v="33522bd5-ca92-4999-9077-ded7f2fb1e49"/>
    <n v="55"/>
    <x v="4"/>
    <x v="1"/>
    <x v="1"/>
    <n v="3.15"/>
    <n v="51"/>
    <x v="0"/>
    <x v="4"/>
    <n v="17.989999999999998"/>
    <x v="1"/>
    <x v="1"/>
    <n v="5"/>
    <n v="0.06"/>
    <x v="6"/>
  </r>
  <r>
    <s v="32d86b8c-cf94-4d2e-9963-baae45c6b1ea"/>
    <n v="61"/>
    <x v="4"/>
    <x v="2"/>
    <x v="2"/>
    <n v="1.1000000000000001"/>
    <n v="2"/>
    <x v="2"/>
    <x v="1"/>
    <n v="8.99"/>
    <x v="1"/>
    <x v="3"/>
    <n v="5"/>
    <n v="0.37"/>
    <x v="4"/>
  </r>
  <r>
    <s v="34ce66fa-96d9-43d5-a840-7d0f624e6686"/>
    <n v="69"/>
    <x v="4"/>
    <x v="2"/>
    <x v="2"/>
    <n v="1.07"/>
    <n v="47"/>
    <x v="1"/>
    <x v="2"/>
    <n v="8.99"/>
    <x v="1"/>
    <x v="3"/>
    <n v="2"/>
    <n v="0.02"/>
    <x v="3"/>
  </r>
  <r>
    <s v="9ae7d36b-12f9-4d0d-a13e-dbade0db9f8e"/>
    <n v="59"/>
    <x v="4"/>
    <x v="2"/>
    <x v="0"/>
    <n v="14.46"/>
    <n v="28"/>
    <x v="5"/>
    <x v="1"/>
    <n v="13.99"/>
    <x v="0"/>
    <x v="0"/>
    <n v="2"/>
    <n v="0.5"/>
    <x v="2"/>
  </r>
  <r>
    <s v="06571e46-9baa-43e8-a233-e03930636b84"/>
    <n v="59"/>
    <x v="4"/>
    <x v="0"/>
    <x v="2"/>
    <n v="2.44"/>
    <n v="55"/>
    <x v="3"/>
    <x v="4"/>
    <n v="8.99"/>
    <x v="1"/>
    <x v="0"/>
    <n v="1"/>
    <n v="0.04"/>
    <x v="1"/>
  </r>
  <r>
    <s v="8701ef59-597f-4cb4-abf3-c2fac543e7e4"/>
    <n v="58"/>
    <x v="4"/>
    <x v="1"/>
    <x v="1"/>
    <n v="12.9"/>
    <n v="38"/>
    <x v="5"/>
    <x v="1"/>
    <n v="17.989999999999998"/>
    <x v="0"/>
    <x v="2"/>
    <n v="4"/>
    <n v="0.33"/>
    <x v="4"/>
  </r>
  <r>
    <s v="115385ba-4d05-41c3-8437-4c6892265daa"/>
    <n v="69"/>
    <x v="4"/>
    <x v="2"/>
    <x v="1"/>
    <n v="0.24"/>
    <n v="20"/>
    <x v="5"/>
    <x v="0"/>
    <n v="17.989999999999998"/>
    <x v="1"/>
    <x v="4"/>
    <n v="1"/>
    <n v="0.01"/>
    <x v="6"/>
  </r>
  <r>
    <s v="d42b27cf-7d96-4bd9-8752-2a3e2dbc0def"/>
    <n v="68"/>
    <x v="4"/>
    <x v="2"/>
    <x v="1"/>
    <n v="18.88"/>
    <n v="34"/>
    <x v="0"/>
    <x v="0"/>
    <n v="17.989999999999998"/>
    <x v="0"/>
    <x v="3"/>
    <n v="4"/>
    <n v="0.54"/>
    <x v="2"/>
  </r>
  <r>
    <s v="1ab284de-6a45-4a1e-bccb-f31c7e8304b9"/>
    <n v="67"/>
    <x v="4"/>
    <x v="1"/>
    <x v="1"/>
    <n v="8.2799999999999994"/>
    <n v="59"/>
    <x v="2"/>
    <x v="0"/>
    <n v="17.989999999999998"/>
    <x v="1"/>
    <x v="4"/>
    <n v="3"/>
    <n v="0.14000000000000001"/>
    <x v="5"/>
  </r>
  <r>
    <s v="193ff2d8-d842-4028-837d-b13263e2f08f"/>
    <n v="60"/>
    <x v="4"/>
    <x v="0"/>
    <x v="2"/>
    <n v="21.66"/>
    <n v="11"/>
    <x v="2"/>
    <x v="3"/>
    <n v="8.99"/>
    <x v="0"/>
    <x v="0"/>
    <n v="2"/>
    <n v="1.8"/>
    <x v="1"/>
  </r>
  <r>
    <s v="25af57e2-b956-4155-bf4c-3d7687b5d3b8"/>
    <n v="69"/>
    <x v="4"/>
    <x v="1"/>
    <x v="1"/>
    <n v="32.54"/>
    <n v="45"/>
    <x v="2"/>
    <x v="4"/>
    <n v="17.989999999999998"/>
    <x v="0"/>
    <x v="0"/>
    <n v="4"/>
    <n v="0.71"/>
    <x v="5"/>
  </r>
  <r>
    <s v="5508c3b7-0927-40eb-9e4f-b9fed144ab44"/>
    <n v="62"/>
    <x v="4"/>
    <x v="0"/>
    <x v="2"/>
    <n v="5.64"/>
    <n v="36"/>
    <x v="1"/>
    <x v="4"/>
    <n v="8.99"/>
    <x v="1"/>
    <x v="4"/>
    <n v="5"/>
    <n v="0.15"/>
    <x v="2"/>
  </r>
  <r>
    <s v="ec4b1929-7af9-4042-af0d-580378d7fd70"/>
    <n v="64"/>
    <x v="4"/>
    <x v="2"/>
    <x v="1"/>
    <n v="0.01"/>
    <n v="16"/>
    <x v="3"/>
    <x v="0"/>
    <n v="17.989999999999998"/>
    <x v="0"/>
    <x v="3"/>
    <n v="5"/>
    <n v="0"/>
    <x v="2"/>
  </r>
  <r>
    <s v="b81d84e9-720c-4ebf-88d1-76fb220fec64"/>
    <n v="58"/>
    <x v="4"/>
    <x v="2"/>
    <x v="1"/>
    <n v="2.83"/>
    <n v="58"/>
    <x v="4"/>
    <x v="0"/>
    <n v="17.989999999999998"/>
    <x v="1"/>
    <x v="4"/>
    <n v="4"/>
    <n v="0.05"/>
    <x v="4"/>
  </r>
  <r>
    <s v="35183e0c-9d34-4de7-8e56-c02d8150d52a"/>
    <n v="59"/>
    <x v="4"/>
    <x v="0"/>
    <x v="0"/>
    <n v="30.59"/>
    <n v="37"/>
    <x v="0"/>
    <x v="4"/>
    <n v="13.99"/>
    <x v="0"/>
    <x v="3"/>
    <n v="1"/>
    <n v="0.81"/>
    <x v="1"/>
  </r>
  <r>
    <s v="e68ca7ad-262c-4faa-8f72-31acf9b3520c"/>
    <n v="60"/>
    <x v="4"/>
    <x v="0"/>
    <x v="1"/>
    <n v="3.92"/>
    <n v="7"/>
    <x v="4"/>
    <x v="0"/>
    <n v="17.989999999999998"/>
    <x v="1"/>
    <x v="0"/>
    <n v="2"/>
    <n v="0.49"/>
    <x v="1"/>
  </r>
  <r>
    <s v="5cbb9981-6f2d-424f-af91-af52901b2f54"/>
    <n v="65"/>
    <x v="4"/>
    <x v="0"/>
    <x v="2"/>
    <n v="4.12"/>
    <n v="9"/>
    <x v="2"/>
    <x v="4"/>
    <n v="8.99"/>
    <x v="1"/>
    <x v="2"/>
    <n v="5"/>
    <n v="0.41"/>
    <x v="4"/>
  </r>
  <r>
    <s v="b5632911-eebb-4df5-98e5-68ba421fee57"/>
    <n v="59"/>
    <x v="4"/>
    <x v="0"/>
    <x v="2"/>
    <n v="19.32"/>
    <n v="36"/>
    <x v="4"/>
    <x v="4"/>
    <n v="8.99"/>
    <x v="1"/>
    <x v="3"/>
    <n v="3"/>
    <n v="0.52"/>
    <x v="1"/>
  </r>
  <r>
    <s v="10b6a948-69ee-4074-8e15-c15ce0304f8f"/>
    <n v="64"/>
    <x v="4"/>
    <x v="0"/>
    <x v="0"/>
    <n v="8.5299999999999994"/>
    <n v="48"/>
    <x v="4"/>
    <x v="4"/>
    <n v="13.99"/>
    <x v="0"/>
    <x v="1"/>
    <n v="4"/>
    <n v="0.17"/>
    <x v="4"/>
  </r>
  <r>
    <s v="1170be2f-64e5-4819-856d-961cd44a38d4"/>
    <n v="57"/>
    <x v="4"/>
    <x v="2"/>
    <x v="2"/>
    <n v="4.3499999999999996"/>
    <n v="39"/>
    <x v="2"/>
    <x v="1"/>
    <n v="8.99"/>
    <x v="1"/>
    <x v="1"/>
    <n v="1"/>
    <n v="0.11"/>
    <x v="3"/>
  </r>
  <r>
    <s v="ec9db0f2-3043-427d-a332-28ec111524de"/>
    <n v="65"/>
    <x v="4"/>
    <x v="0"/>
    <x v="2"/>
    <n v="2.39"/>
    <n v="26"/>
    <x v="1"/>
    <x v="2"/>
    <n v="8.99"/>
    <x v="1"/>
    <x v="4"/>
    <n v="3"/>
    <n v="0.09"/>
    <x v="2"/>
  </r>
  <r>
    <s v="82f97023-7abf-4356-9b04-437f708c843a"/>
    <n v="66"/>
    <x v="4"/>
    <x v="1"/>
    <x v="0"/>
    <n v="16.52"/>
    <n v="56"/>
    <x v="0"/>
    <x v="3"/>
    <n v="13.99"/>
    <x v="1"/>
    <x v="4"/>
    <n v="5"/>
    <n v="0.28999999999999998"/>
    <x v="6"/>
  </r>
  <r>
    <s v="7cdbbdf7-d057-4b7f-b595-38a19016ad63"/>
    <n v="69"/>
    <x v="4"/>
    <x v="1"/>
    <x v="0"/>
    <n v="8.57"/>
    <n v="40"/>
    <x v="5"/>
    <x v="4"/>
    <n v="13.99"/>
    <x v="1"/>
    <x v="3"/>
    <n v="3"/>
    <n v="0.21"/>
    <x v="0"/>
  </r>
  <r>
    <s v="58c2d13e-80d1-4d13-ba1b-c10fdb76845d"/>
    <n v="63"/>
    <x v="4"/>
    <x v="0"/>
    <x v="2"/>
    <n v="15.81"/>
    <n v="9"/>
    <x v="1"/>
    <x v="2"/>
    <n v="8.99"/>
    <x v="0"/>
    <x v="3"/>
    <n v="3"/>
    <n v="1.58"/>
    <x v="1"/>
  </r>
  <r>
    <s v="7a9a43fb-a99f-4468-a7df-8b037e5723d7"/>
    <n v="67"/>
    <x v="4"/>
    <x v="0"/>
    <x v="0"/>
    <n v="10.88"/>
    <n v="30"/>
    <x v="2"/>
    <x v="0"/>
    <n v="13.99"/>
    <x v="0"/>
    <x v="4"/>
    <n v="5"/>
    <n v="0.35"/>
    <x v="4"/>
  </r>
  <r>
    <s v="9bdf15cd-9bb1-498f-ae9f-182f09db433a"/>
    <n v="70"/>
    <x v="4"/>
    <x v="1"/>
    <x v="2"/>
    <n v="5.74"/>
    <n v="48"/>
    <x v="2"/>
    <x v="0"/>
    <n v="8.99"/>
    <x v="1"/>
    <x v="4"/>
    <n v="5"/>
    <n v="0.12"/>
    <x v="1"/>
  </r>
  <r>
    <s v="fca823b8-3edd-4563-a0cf-b232af5e2b5b"/>
    <n v="62"/>
    <x v="4"/>
    <x v="0"/>
    <x v="0"/>
    <n v="35.130000000000003"/>
    <n v="4"/>
    <x v="1"/>
    <x v="3"/>
    <n v="13.99"/>
    <x v="0"/>
    <x v="0"/>
    <n v="4"/>
    <n v="7.03"/>
    <x v="1"/>
  </r>
  <r>
    <s v="168a2180-feec-4b0e-82e7-a717621851ad"/>
    <n v="56"/>
    <x v="4"/>
    <x v="1"/>
    <x v="2"/>
    <n v="29"/>
    <n v="23"/>
    <x v="5"/>
    <x v="4"/>
    <n v="8.99"/>
    <x v="0"/>
    <x v="4"/>
    <n v="4"/>
    <n v="1.21"/>
    <x v="3"/>
  </r>
  <r>
    <s v="1fda63bb-9af0-4c63-b275-92e1711d8c2f"/>
    <n v="62"/>
    <x v="4"/>
    <x v="0"/>
    <x v="1"/>
    <n v="5.81"/>
    <n v="29"/>
    <x v="0"/>
    <x v="1"/>
    <n v="17.989999999999998"/>
    <x v="0"/>
    <x v="3"/>
    <n v="2"/>
    <n v="0.19"/>
    <x v="0"/>
  </r>
  <r>
    <s v="5ce962cf-4737-4fed-b993-de3e16546c74"/>
    <n v="63"/>
    <x v="4"/>
    <x v="0"/>
    <x v="2"/>
    <n v="24.97"/>
    <n v="23"/>
    <x v="2"/>
    <x v="2"/>
    <n v="8.99"/>
    <x v="0"/>
    <x v="2"/>
    <n v="1"/>
    <n v="1.04"/>
    <x v="6"/>
  </r>
  <r>
    <s v="54ef27f9-1c05-4e92-8b3d-adbaf901c73f"/>
    <n v="62"/>
    <x v="4"/>
    <x v="0"/>
    <x v="1"/>
    <n v="6.17"/>
    <n v="1"/>
    <x v="0"/>
    <x v="0"/>
    <n v="17.989999999999998"/>
    <x v="0"/>
    <x v="1"/>
    <n v="2"/>
    <n v="3.08"/>
    <x v="1"/>
  </r>
  <r>
    <s v="6c9531ae-10ec-45cf-99bc-971287abef2a"/>
    <n v="68"/>
    <x v="4"/>
    <x v="1"/>
    <x v="1"/>
    <n v="25.21"/>
    <n v="50"/>
    <x v="1"/>
    <x v="2"/>
    <n v="17.989999999999998"/>
    <x v="0"/>
    <x v="2"/>
    <n v="4"/>
    <n v="0.49"/>
    <x v="0"/>
  </r>
  <r>
    <s v="b6b5ba74-46cf-4df3-aeae-c16d3338d3e3"/>
    <n v="59"/>
    <x v="4"/>
    <x v="1"/>
    <x v="1"/>
    <n v="2.4500000000000002"/>
    <n v="51"/>
    <x v="2"/>
    <x v="1"/>
    <n v="17.989999999999998"/>
    <x v="1"/>
    <x v="1"/>
    <n v="5"/>
    <n v="0.05"/>
    <x v="3"/>
  </r>
  <r>
    <s v="f8b2fc02-c42f-48c0-a07b-56e4d8eb9d85"/>
    <n v="64"/>
    <x v="4"/>
    <x v="2"/>
    <x v="2"/>
    <n v="22.69"/>
    <n v="43"/>
    <x v="2"/>
    <x v="2"/>
    <n v="8.99"/>
    <x v="0"/>
    <x v="3"/>
    <n v="2"/>
    <n v="0.52"/>
    <x v="0"/>
  </r>
  <r>
    <s v="57e85db6-af70-499c-9d7d-c89dcc29a52d"/>
    <n v="55"/>
    <x v="4"/>
    <x v="2"/>
    <x v="0"/>
    <n v="0.53"/>
    <n v="32"/>
    <x v="0"/>
    <x v="2"/>
    <n v="13.99"/>
    <x v="1"/>
    <x v="2"/>
    <n v="5"/>
    <n v="0.02"/>
    <x v="0"/>
  </r>
  <r>
    <s v="86b5d63b-5dd5-4d9b-907e-ef44a55e3c9e"/>
    <n v="55"/>
    <x v="4"/>
    <x v="1"/>
    <x v="2"/>
    <n v="12.26"/>
    <n v="1"/>
    <x v="5"/>
    <x v="3"/>
    <n v="8.99"/>
    <x v="0"/>
    <x v="3"/>
    <n v="1"/>
    <n v="6.13"/>
    <x v="1"/>
  </r>
  <r>
    <s v="15e35649-01d8-4a27-849b-6aab102fce77"/>
    <n v="56"/>
    <x v="4"/>
    <x v="2"/>
    <x v="0"/>
    <n v="9.9700000000000006"/>
    <n v="10"/>
    <x v="0"/>
    <x v="2"/>
    <n v="13.99"/>
    <x v="0"/>
    <x v="2"/>
    <n v="5"/>
    <n v="0.91"/>
    <x v="3"/>
  </r>
  <r>
    <s v="3cf947ab-e2d5-43cf-8dee-e8b8566d5dee"/>
    <n v="56"/>
    <x v="4"/>
    <x v="1"/>
    <x v="1"/>
    <n v="18.149999999999999"/>
    <n v="40"/>
    <x v="4"/>
    <x v="2"/>
    <n v="17.989999999999998"/>
    <x v="0"/>
    <x v="3"/>
    <n v="4"/>
    <n v="0.44"/>
    <x v="0"/>
  </r>
  <r>
    <s v="3a5fcf0b-57a7-4e8d-8afd-7bcf84b8adc5"/>
    <n v="63"/>
    <x v="4"/>
    <x v="0"/>
    <x v="0"/>
    <n v="32.06"/>
    <n v="24"/>
    <x v="1"/>
    <x v="3"/>
    <n v="13.99"/>
    <x v="0"/>
    <x v="1"/>
    <n v="3"/>
    <n v="1.28"/>
    <x v="5"/>
  </r>
  <r>
    <s v="4e50ad61-f951-418f-88ca-cbdaf2b57e8d"/>
    <n v="63"/>
    <x v="4"/>
    <x v="0"/>
    <x v="2"/>
    <n v="1.07"/>
    <n v="5"/>
    <x v="2"/>
    <x v="0"/>
    <n v="8.99"/>
    <x v="1"/>
    <x v="2"/>
    <n v="4"/>
    <n v="0.18"/>
    <x v="3"/>
  </r>
  <r>
    <s v="cc3ba241-0ca3-40b2-a1f9-a8e88cb724e8"/>
    <n v="66"/>
    <x v="4"/>
    <x v="1"/>
    <x v="0"/>
    <n v="9.8800000000000008"/>
    <n v="25"/>
    <x v="1"/>
    <x v="2"/>
    <n v="13.99"/>
    <x v="0"/>
    <x v="2"/>
    <n v="3"/>
    <n v="0.38"/>
    <x v="3"/>
  </r>
  <r>
    <s v="a8eeb6ff-e4e6-4fa6-b4dd-2147d66e5234"/>
    <n v="62"/>
    <x v="4"/>
    <x v="1"/>
    <x v="1"/>
    <n v="3.8"/>
    <n v="58"/>
    <x v="3"/>
    <x v="3"/>
    <n v="17.989999999999998"/>
    <x v="1"/>
    <x v="1"/>
    <n v="4"/>
    <n v="0.06"/>
    <x v="1"/>
  </r>
  <r>
    <s v="81a4ab80-32bd-4d9a-9e23-6cecbebf2173"/>
    <n v="57"/>
    <x v="4"/>
    <x v="0"/>
    <x v="0"/>
    <n v="3.47"/>
    <n v="36"/>
    <x v="2"/>
    <x v="4"/>
    <n v="13.99"/>
    <x v="1"/>
    <x v="0"/>
    <n v="4"/>
    <n v="0.09"/>
    <x v="4"/>
  </r>
  <r>
    <s v="ac99a3e4-fbf6-4b32-82cc-76d8d2d528f1"/>
    <n v="57"/>
    <x v="4"/>
    <x v="1"/>
    <x v="1"/>
    <n v="16.09"/>
    <n v="30"/>
    <x v="1"/>
    <x v="3"/>
    <n v="17.989999999999998"/>
    <x v="0"/>
    <x v="0"/>
    <n v="1"/>
    <n v="0.52"/>
    <x v="2"/>
  </r>
  <r>
    <s v="dc8a8278-a2ed-47b1-aa4f-c0693a216b8f"/>
    <n v="63"/>
    <x v="4"/>
    <x v="2"/>
    <x v="0"/>
    <n v="11.89"/>
    <n v="52"/>
    <x v="1"/>
    <x v="1"/>
    <n v="13.99"/>
    <x v="1"/>
    <x v="1"/>
    <n v="1"/>
    <n v="0.22"/>
    <x v="4"/>
  </r>
  <r>
    <s v="19f92e26-27ea-420a-803a-fffce53367a5"/>
    <n v="69"/>
    <x v="4"/>
    <x v="1"/>
    <x v="2"/>
    <n v="2.95"/>
    <n v="40"/>
    <x v="4"/>
    <x v="2"/>
    <n v="8.99"/>
    <x v="1"/>
    <x v="0"/>
    <n v="1"/>
    <n v="7.0000000000000007E-2"/>
    <x v="5"/>
  </r>
  <r>
    <s v="9e87a156-02ad-45a1-b98f-e218859f3d38"/>
    <n v="64"/>
    <x v="4"/>
    <x v="2"/>
    <x v="1"/>
    <n v="14.53"/>
    <n v="29"/>
    <x v="2"/>
    <x v="0"/>
    <n v="17.989999999999998"/>
    <x v="0"/>
    <x v="2"/>
    <n v="2"/>
    <n v="0.48"/>
    <x v="2"/>
  </r>
  <r>
    <s v="95b33d84-4e8c-487c-80e1-3612c7911294"/>
    <n v="70"/>
    <x v="4"/>
    <x v="2"/>
    <x v="0"/>
    <n v="10.5"/>
    <n v="55"/>
    <x v="2"/>
    <x v="2"/>
    <n v="13.99"/>
    <x v="0"/>
    <x v="1"/>
    <n v="5"/>
    <n v="0.19"/>
    <x v="2"/>
  </r>
  <r>
    <s v="9691b88b-4dcc-4c06-a61b-7703cc740491"/>
    <n v="60"/>
    <x v="4"/>
    <x v="1"/>
    <x v="2"/>
    <n v="28.75"/>
    <n v="39"/>
    <x v="1"/>
    <x v="4"/>
    <n v="8.99"/>
    <x v="0"/>
    <x v="1"/>
    <n v="4"/>
    <n v="0.72"/>
    <x v="3"/>
  </r>
  <r>
    <s v="09cb6244-abf9-46b2-98fe-24e87b26170e"/>
    <n v="56"/>
    <x v="4"/>
    <x v="1"/>
    <x v="0"/>
    <n v="4.4400000000000004"/>
    <n v="29"/>
    <x v="2"/>
    <x v="4"/>
    <n v="13.99"/>
    <x v="0"/>
    <x v="1"/>
    <n v="4"/>
    <n v="0.15"/>
    <x v="3"/>
  </r>
  <r>
    <s v="28da3fe8-e182-4b9e-874c-0ac4c7cdf9cd"/>
    <n v="56"/>
    <x v="4"/>
    <x v="2"/>
    <x v="2"/>
    <n v="10.45"/>
    <n v="38"/>
    <x v="1"/>
    <x v="4"/>
    <n v="8.99"/>
    <x v="1"/>
    <x v="3"/>
    <n v="4"/>
    <n v="0.27"/>
    <x v="6"/>
  </r>
  <r>
    <s v="3032fb1b-eee1-4e0b-8b51-30b6a52cd563"/>
    <n v="55"/>
    <x v="4"/>
    <x v="1"/>
    <x v="1"/>
    <n v="1.43"/>
    <n v="60"/>
    <x v="0"/>
    <x v="1"/>
    <n v="17.989999999999998"/>
    <x v="1"/>
    <x v="1"/>
    <n v="1"/>
    <n v="0.02"/>
    <x v="4"/>
  </r>
  <r>
    <s v="a47b3283-a619-43f4-8ae0-b649ee493a8e"/>
    <n v="68"/>
    <x v="4"/>
    <x v="0"/>
    <x v="1"/>
    <n v="5.94"/>
    <n v="23"/>
    <x v="5"/>
    <x v="2"/>
    <n v="17.989999999999998"/>
    <x v="0"/>
    <x v="4"/>
    <n v="5"/>
    <n v="0.25"/>
    <x v="2"/>
  </r>
  <r>
    <s v="e27f7ce7-451e-43a1-921d-805411db2e25"/>
    <n v="57"/>
    <x v="4"/>
    <x v="1"/>
    <x v="1"/>
    <n v="10.89"/>
    <n v="3"/>
    <x v="4"/>
    <x v="3"/>
    <n v="17.989999999999998"/>
    <x v="0"/>
    <x v="0"/>
    <n v="5"/>
    <n v="2.72"/>
    <x v="6"/>
  </r>
  <r>
    <s v="d8a243e7-f547-459a-929c-4105fd3f8b38"/>
    <n v="65"/>
    <x v="4"/>
    <x v="2"/>
    <x v="2"/>
    <n v="8.06"/>
    <n v="24"/>
    <x v="3"/>
    <x v="0"/>
    <n v="8.99"/>
    <x v="0"/>
    <x v="3"/>
    <n v="4"/>
    <n v="0.32"/>
    <x v="6"/>
  </r>
  <r>
    <s v="ca6b3804-bb03-4b9b-b835-76b2fe647189"/>
    <n v="60"/>
    <x v="4"/>
    <x v="1"/>
    <x v="1"/>
    <n v="11.77"/>
    <n v="18"/>
    <x v="2"/>
    <x v="1"/>
    <n v="17.989999999999998"/>
    <x v="0"/>
    <x v="0"/>
    <n v="1"/>
    <n v="0.62"/>
    <x v="1"/>
  </r>
  <r>
    <s v="4ca1ccbe-5e66-4bdc-b1d4-282060b755ed"/>
    <n v="67"/>
    <x v="4"/>
    <x v="0"/>
    <x v="1"/>
    <n v="2.34"/>
    <n v="54"/>
    <x v="2"/>
    <x v="2"/>
    <n v="17.989999999999998"/>
    <x v="1"/>
    <x v="2"/>
    <n v="4"/>
    <n v="0.04"/>
    <x v="5"/>
  </r>
  <r>
    <s v="c5bfe476-a505-42d5-8a63-9ec89b17d347"/>
    <n v="67"/>
    <x v="4"/>
    <x v="1"/>
    <x v="1"/>
    <n v="16.71"/>
    <n v="9"/>
    <x v="1"/>
    <x v="0"/>
    <n v="17.989999999999998"/>
    <x v="0"/>
    <x v="0"/>
    <n v="4"/>
    <n v="1.67"/>
    <x v="4"/>
  </r>
  <r>
    <s v="dd50e0b3-cece-4441-881f-09eee537b752"/>
    <n v="64"/>
    <x v="4"/>
    <x v="2"/>
    <x v="2"/>
    <n v="7.29"/>
    <n v="18"/>
    <x v="0"/>
    <x v="1"/>
    <n v="8.99"/>
    <x v="0"/>
    <x v="3"/>
    <n v="2"/>
    <n v="0.38"/>
    <x v="6"/>
  </r>
  <r>
    <s v="7ebf8b63-c79a-41b3-b418-e06465b5d3ee"/>
    <n v="64"/>
    <x v="4"/>
    <x v="2"/>
    <x v="0"/>
    <n v="54.34"/>
    <n v="9"/>
    <x v="0"/>
    <x v="3"/>
    <n v="13.99"/>
    <x v="0"/>
    <x v="1"/>
    <n v="3"/>
    <n v="5.43"/>
    <x v="5"/>
  </r>
  <r>
    <s v="54b96af4-ca5c-4846-a42d-4d6f8698163d"/>
    <n v="64"/>
    <x v="4"/>
    <x v="2"/>
    <x v="2"/>
    <n v="24.36"/>
    <n v="32"/>
    <x v="5"/>
    <x v="1"/>
    <n v="8.99"/>
    <x v="0"/>
    <x v="0"/>
    <n v="3"/>
    <n v="0.74"/>
    <x v="6"/>
  </r>
  <r>
    <s v="b96e7dcf-5d14-4745-bb48-28c661562440"/>
    <n v="69"/>
    <x v="4"/>
    <x v="2"/>
    <x v="0"/>
    <n v="17.010000000000002"/>
    <n v="47"/>
    <x v="2"/>
    <x v="1"/>
    <n v="13.99"/>
    <x v="1"/>
    <x v="0"/>
    <n v="2"/>
    <n v="0.35"/>
    <x v="0"/>
  </r>
  <r>
    <s v="ad17bae3-ef4b-43ea-95f6-c26fd969493e"/>
    <n v="65"/>
    <x v="4"/>
    <x v="2"/>
    <x v="2"/>
    <n v="0.14000000000000001"/>
    <n v="16"/>
    <x v="2"/>
    <x v="2"/>
    <n v="8.99"/>
    <x v="1"/>
    <x v="4"/>
    <n v="1"/>
    <n v="0.01"/>
    <x v="0"/>
  </r>
  <r>
    <s v="2cb5d01b-9a5a-4270-a03f-d487eb11ae88"/>
    <n v="58"/>
    <x v="4"/>
    <x v="1"/>
    <x v="1"/>
    <n v="23.9"/>
    <n v="38"/>
    <x v="4"/>
    <x v="0"/>
    <n v="17.989999999999998"/>
    <x v="0"/>
    <x v="1"/>
    <n v="1"/>
    <n v="0.61"/>
    <x v="4"/>
  </r>
  <r>
    <s v="10d74e3d-d297-4008-9a90-bd424fd2423e"/>
    <n v="70"/>
    <x v="4"/>
    <x v="0"/>
    <x v="1"/>
    <n v="7.13"/>
    <n v="29"/>
    <x v="3"/>
    <x v="3"/>
    <n v="17.989999999999998"/>
    <x v="0"/>
    <x v="3"/>
    <n v="5"/>
    <n v="0.24"/>
    <x v="3"/>
  </r>
  <r>
    <s v="8492a1da-4c16-458f-b27f-7f3127b402bb"/>
    <n v="69"/>
    <x v="4"/>
    <x v="1"/>
    <x v="2"/>
    <n v="9.77"/>
    <n v="12"/>
    <x v="5"/>
    <x v="3"/>
    <n v="8.99"/>
    <x v="0"/>
    <x v="2"/>
    <n v="3"/>
    <n v="0.75"/>
    <x v="4"/>
  </r>
  <r>
    <s v="ea3decc3-11cf-464e-8b9b-91e394e97d41"/>
    <n v="57"/>
    <x v="4"/>
    <x v="0"/>
    <x v="2"/>
    <n v="7.46"/>
    <n v="10"/>
    <x v="0"/>
    <x v="3"/>
    <n v="8.99"/>
    <x v="0"/>
    <x v="1"/>
    <n v="1"/>
    <n v="0.68"/>
    <x v="1"/>
  </r>
  <r>
    <s v="ad8bfdb0-341b-4c9c-8e83-d96aed9203e5"/>
    <n v="69"/>
    <x v="4"/>
    <x v="2"/>
    <x v="2"/>
    <n v="24.18"/>
    <n v="56"/>
    <x v="1"/>
    <x v="1"/>
    <n v="8.99"/>
    <x v="1"/>
    <x v="4"/>
    <n v="2"/>
    <n v="0.42"/>
    <x v="4"/>
  </r>
  <r>
    <s v="b488bac9-04c0-425b-a671-70598580c686"/>
    <n v="55"/>
    <x v="4"/>
    <x v="0"/>
    <x v="1"/>
    <n v="3.72"/>
    <n v="54"/>
    <x v="4"/>
    <x v="1"/>
    <n v="17.989999999999998"/>
    <x v="1"/>
    <x v="0"/>
    <n v="5"/>
    <n v="7.0000000000000007E-2"/>
    <x v="3"/>
  </r>
  <r>
    <s v="0ceddb1d-533e-46bc-967f-823b87b432fa"/>
    <n v="70"/>
    <x v="4"/>
    <x v="1"/>
    <x v="2"/>
    <n v="13.74"/>
    <n v="44"/>
    <x v="2"/>
    <x v="2"/>
    <n v="8.99"/>
    <x v="1"/>
    <x v="3"/>
    <n v="3"/>
    <n v="0.31"/>
    <x v="4"/>
  </r>
  <r>
    <s v="ae2fd5ac-59e1-4433-b26b-3ac43b42a4bf"/>
    <n v="69"/>
    <x v="4"/>
    <x v="0"/>
    <x v="0"/>
    <n v="9.43"/>
    <n v="1"/>
    <x v="1"/>
    <x v="3"/>
    <n v="13.99"/>
    <x v="0"/>
    <x v="2"/>
    <n v="3"/>
    <n v="4.71"/>
    <x v="3"/>
  </r>
  <r>
    <s v="00c85c4a-478b-411c-a06f-8d229eea4684"/>
    <n v="62"/>
    <x v="4"/>
    <x v="0"/>
    <x v="0"/>
    <n v="24.14"/>
    <n v="2"/>
    <x v="3"/>
    <x v="3"/>
    <n v="13.99"/>
    <x v="0"/>
    <x v="0"/>
    <n v="4"/>
    <n v="8.0500000000000007"/>
    <x v="2"/>
  </r>
  <r>
    <s v="4abb2b16-b493-4d53-a738-9475abc94756"/>
    <n v="64"/>
    <x v="4"/>
    <x v="0"/>
    <x v="1"/>
    <n v="31.88"/>
    <n v="16"/>
    <x v="1"/>
    <x v="2"/>
    <n v="17.989999999999998"/>
    <x v="0"/>
    <x v="3"/>
    <n v="4"/>
    <n v="1.88"/>
    <x v="1"/>
  </r>
  <r>
    <s v="74296717-7313-49b7-a0ff-17281751b037"/>
    <n v="60"/>
    <x v="4"/>
    <x v="1"/>
    <x v="1"/>
    <n v="14.41"/>
    <n v="41"/>
    <x v="4"/>
    <x v="4"/>
    <n v="17.989999999999998"/>
    <x v="0"/>
    <x v="1"/>
    <n v="4"/>
    <n v="0.34"/>
    <x v="6"/>
  </r>
  <r>
    <s v="bd3ee325-8a00-419a-b1a6-e976080197f5"/>
    <n v="67"/>
    <x v="4"/>
    <x v="2"/>
    <x v="2"/>
    <n v="7.17"/>
    <n v="41"/>
    <x v="1"/>
    <x v="0"/>
    <n v="8.99"/>
    <x v="1"/>
    <x v="0"/>
    <n v="4"/>
    <n v="0.17"/>
    <x v="1"/>
  </r>
  <r>
    <s v="ce5f31e7-101e-4709-ac71-b46dfd8c8c59"/>
    <n v="59"/>
    <x v="4"/>
    <x v="0"/>
    <x v="1"/>
    <n v="19.86"/>
    <n v="37"/>
    <x v="1"/>
    <x v="2"/>
    <n v="17.989999999999998"/>
    <x v="0"/>
    <x v="4"/>
    <n v="3"/>
    <n v="0.52"/>
    <x v="6"/>
  </r>
  <r>
    <s v="eca3b2cc-7fa6-4731-93c2-c2af38d448ad"/>
    <n v="55"/>
    <x v="4"/>
    <x v="1"/>
    <x v="2"/>
    <n v="22.18"/>
    <n v="29"/>
    <x v="5"/>
    <x v="2"/>
    <n v="8.99"/>
    <x v="0"/>
    <x v="2"/>
    <n v="3"/>
    <n v="0.74"/>
    <x v="3"/>
  </r>
  <r>
    <s v="c76969cd-336d-4838-a240-8002d91705f2"/>
    <n v="67"/>
    <x v="4"/>
    <x v="1"/>
    <x v="1"/>
    <n v="6.7"/>
    <n v="30"/>
    <x v="3"/>
    <x v="2"/>
    <n v="17.989999999999998"/>
    <x v="0"/>
    <x v="2"/>
    <n v="5"/>
    <n v="0.22"/>
    <x v="1"/>
  </r>
  <r>
    <s v="9ee5c445-56ec-4208-b47c-759c3b7f01bb"/>
    <n v="58"/>
    <x v="4"/>
    <x v="1"/>
    <x v="0"/>
    <n v="4.6900000000000004"/>
    <n v="49"/>
    <x v="3"/>
    <x v="0"/>
    <n v="13.99"/>
    <x v="1"/>
    <x v="0"/>
    <n v="1"/>
    <n v="0.09"/>
    <x v="4"/>
  </r>
  <r>
    <s v="999d8e4e-1e8e-46fa-818e-9657afcc0068"/>
    <n v="59"/>
    <x v="4"/>
    <x v="1"/>
    <x v="2"/>
    <n v="7.17"/>
    <n v="31"/>
    <x v="2"/>
    <x v="2"/>
    <n v="8.99"/>
    <x v="1"/>
    <x v="4"/>
    <n v="3"/>
    <n v="0.22"/>
    <x v="2"/>
  </r>
  <r>
    <s v="1386123c-5f7c-459e-ae51-08ae5fbe47bb"/>
    <n v="63"/>
    <x v="4"/>
    <x v="2"/>
    <x v="1"/>
    <n v="1.43"/>
    <n v="57"/>
    <x v="0"/>
    <x v="0"/>
    <n v="17.989999999999998"/>
    <x v="1"/>
    <x v="4"/>
    <n v="5"/>
    <n v="0.02"/>
    <x v="1"/>
  </r>
  <r>
    <s v="b1298a61-b99b-4b75-a99a-ad94966f69f6"/>
    <n v="57"/>
    <x v="4"/>
    <x v="2"/>
    <x v="0"/>
    <n v="2.34"/>
    <n v="0"/>
    <x v="4"/>
    <x v="3"/>
    <n v="13.99"/>
    <x v="0"/>
    <x v="1"/>
    <n v="5"/>
    <n v="2.34"/>
    <x v="6"/>
  </r>
  <r>
    <s v="feb0dafb-ef3c-4cd8-a3e4-530babafb063"/>
    <n v="55"/>
    <x v="4"/>
    <x v="0"/>
    <x v="0"/>
    <n v="5.36"/>
    <n v="42"/>
    <x v="3"/>
    <x v="3"/>
    <n v="13.99"/>
    <x v="0"/>
    <x v="1"/>
    <n v="5"/>
    <n v="0.12"/>
    <x v="2"/>
  </r>
  <r>
    <s v="ad293cc0-f9c5-41cc-b98b-d30104acd571"/>
    <n v="64"/>
    <x v="4"/>
    <x v="1"/>
    <x v="1"/>
    <n v="11.09"/>
    <n v="26"/>
    <x v="3"/>
    <x v="3"/>
    <n v="17.989999999999998"/>
    <x v="0"/>
    <x v="1"/>
    <n v="5"/>
    <n v="0.41"/>
    <x v="0"/>
  </r>
  <r>
    <s v="2d709119-8028-4486-8e2c-d140c42a3e33"/>
    <n v="61"/>
    <x v="4"/>
    <x v="0"/>
    <x v="1"/>
    <n v="1.91"/>
    <n v="52"/>
    <x v="4"/>
    <x v="0"/>
    <n v="17.989999999999998"/>
    <x v="1"/>
    <x v="1"/>
    <n v="1"/>
    <n v="0.04"/>
    <x v="4"/>
  </r>
  <r>
    <s v="3f0c299b-2856-4fcd-9da8-a1d19afa1365"/>
    <n v="69"/>
    <x v="4"/>
    <x v="0"/>
    <x v="2"/>
    <n v="20.61"/>
    <n v="37"/>
    <x v="2"/>
    <x v="4"/>
    <n v="8.99"/>
    <x v="0"/>
    <x v="0"/>
    <n v="5"/>
    <n v="0.54"/>
    <x v="4"/>
  </r>
  <r>
    <s v="df2e5ee6-a486-4cd8-b452-959e63e397c6"/>
    <n v="67"/>
    <x v="4"/>
    <x v="2"/>
    <x v="1"/>
    <n v="2.2400000000000002"/>
    <n v="34"/>
    <x v="3"/>
    <x v="0"/>
    <n v="17.989999999999998"/>
    <x v="1"/>
    <x v="0"/>
    <n v="2"/>
    <n v="0.06"/>
    <x v="3"/>
  </r>
  <r>
    <s v="5dbd7687-5f99-4393-93cd-22ad811b4d22"/>
    <n v="63"/>
    <x v="4"/>
    <x v="1"/>
    <x v="0"/>
    <n v="3.8"/>
    <n v="57"/>
    <x v="4"/>
    <x v="0"/>
    <n v="13.99"/>
    <x v="1"/>
    <x v="0"/>
    <n v="3"/>
    <n v="7.0000000000000007E-2"/>
    <x v="3"/>
  </r>
  <r>
    <s v="3f8f748f-aae8-4ebd-8e6d-a88ed721f2fd"/>
    <n v="69"/>
    <x v="4"/>
    <x v="1"/>
    <x v="2"/>
    <n v="32.42"/>
    <n v="43"/>
    <x v="4"/>
    <x v="3"/>
    <n v="8.99"/>
    <x v="0"/>
    <x v="2"/>
    <n v="3"/>
    <n v="0.74"/>
    <x v="3"/>
  </r>
  <r>
    <s v="2c9893fa-7934-40a5-8ddb-85f934f5dbe0"/>
    <n v="68"/>
    <x v="4"/>
    <x v="1"/>
    <x v="0"/>
    <n v="3.68"/>
    <n v="53"/>
    <x v="2"/>
    <x v="4"/>
    <n v="13.99"/>
    <x v="1"/>
    <x v="2"/>
    <n v="3"/>
    <n v="7.0000000000000007E-2"/>
    <x v="2"/>
  </r>
  <r>
    <s v="d50276ec-30c4-4e33-94b1-68cb83eaf5a7"/>
    <n v="59"/>
    <x v="4"/>
    <x v="1"/>
    <x v="2"/>
    <n v="5.65"/>
    <n v="37"/>
    <x v="3"/>
    <x v="4"/>
    <n v="8.99"/>
    <x v="1"/>
    <x v="1"/>
    <n v="2"/>
    <n v="0.15"/>
    <x v="1"/>
  </r>
  <r>
    <s v="0c7a461a-e6f9-45c9-a1ba-b9745a6b3b17"/>
    <n v="57"/>
    <x v="4"/>
    <x v="0"/>
    <x v="2"/>
    <n v="1.22"/>
    <n v="8"/>
    <x v="5"/>
    <x v="0"/>
    <n v="8.99"/>
    <x v="1"/>
    <x v="2"/>
    <n v="5"/>
    <n v="0.14000000000000001"/>
    <x v="2"/>
  </r>
  <r>
    <s v="76f5fba2-0349-4f73-84aa-475fa2f8c789"/>
    <n v="63"/>
    <x v="4"/>
    <x v="2"/>
    <x v="2"/>
    <n v="0.24"/>
    <n v="21"/>
    <x v="1"/>
    <x v="1"/>
    <n v="8.99"/>
    <x v="1"/>
    <x v="2"/>
    <n v="5"/>
    <n v="0.01"/>
    <x v="3"/>
  </r>
  <r>
    <s v="dbdab0cd-577e-49b5-b94e-4c5d8162c4f5"/>
    <n v="66"/>
    <x v="4"/>
    <x v="2"/>
    <x v="0"/>
    <n v="7.95"/>
    <n v="47"/>
    <x v="0"/>
    <x v="3"/>
    <n v="13.99"/>
    <x v="1"/>
    <x v="4"/>
    <n v="2"/>
    <n v="0.17"/>
    <x v="5"/>
  </r>
  <r>
    <s v="4099d31a-cc4b-4948-bcb8-d3270cf3a9f5"/>
    <n v="58"/>
    <x v="4"/>
    <x v="1"/>
    <x v="2"/>
    <n v="20.100000000000001"/>
    <n v="25"/>
    <x v="2"/>
    <x v="2"/>
    <n v="8.99"/>
    <x v="0"/>
    <x v="3"/>
    <n v="2"/>
    <n v="0.77"/>
    <x v="3"/>
  </r>
  <r>
    <s v="7911e6e5-fad9-423b-b343-c74a045ad2ae"/>
    <n v="65"/>
    <x v="4"/>
    <x v="2"/>
    <x v="2"/>
    <n v="0.71"/>
    <n v="54"/>
    <x v="5"/>
    <x v="1"/>
    <n v="8.99"/>
    <x v="1"/>
    <x v="0"/>
    <n v="3"/>
    <n v="0.01"/>
    <x v="5"/>
  </r>
  <r>
    <s v="0a5ee218-5618-44fe-b90d-cae6da8f6859"/>
    <n v="63"/>
    <x v="4"/>
    <x v="2"/>
    <x v="1"/>
    <n v="45.68"/>
    <n v="52"/>
    <x v="2"/>
    <x v="3"/>
    <n v="17.989999999999998"/>
    <x v="0"/>
    <x v="4"/>
    <n v="1"/>
    <n v="0.86"/>
    <x v="6"/>
  </r>
  <r>
    <s v="2b784338-d744-4800-b6f8-4508260255b7"/>
    <n v="69"/>
    <x v="4"/>
    <x v="2"/>
    <x v="1"/>
    <n v="11.8"/>
    <n v="53"/>
    <x v="5"/>
    <x v="4"/>
    <n v="17.989999999999998"/>
    <x v="1"/>
    <x v="0"/>
    <n v="5"/>
    <n v="0.22"/>
    <x v="1"/>
  </r>
  <r>
    <s v="ba13ed63-7cc2-4a1e-9d77-d45bfe793cc5"/>
    <n v="58"/>
    <x v="4"/>
    <x v="0"/>
    <x v="1"/>
    <n v="24.06"/>
    <n v="38"/>
    <x v="4"/>
    <x v="2"/>
    <n v="17.989999999999998"/>
    <x v="0"/>
    <x v="3"/>
    <n v="5"/>
    <n v="0.62"/>
    <x v="2"/>
  </r>
  <r>
    <s v="5b4c2040-0725-49cd-b8bb-0c1848fe1577"/>
    <n v="57"/>
    <x v="4"/>
    <x v="0"/>
    <x v="1"/>
    <n v="0.98"/>
    <n v="59"/>
    <x v="3"/>
    <x v="1"/>
    <n v="17.989999999999998"/>
    <x v="1"/>
    <x v="1"/>
    <n v="2"/>
    <n v="0.02"/>
    <x v="5"/>
  </r>
  <r>
    <s v="cdd7611f-d900-43cf-b218-71d45bca9a13"/>
    <n v="59"/>
    <x v="4"/>
    <x v="0"/>
    <x v="1"/>
    <n v="0.1"/>
    <n v="20"/>
    <x v="4"/>
    <x v="1"/>
    <n v="17.989999999999998"/>
    <x v="1"/>
    <x v="0"/>
    <n v="1"/>
    <n v="0"/>
    <x v="6"/>
  </r>
  <r>
    <s v="1fb210c3-6369-4fb9-9abc-f56736df9f47"/>
    <n v="66"/>
    <x v="4"/>
    <x v="2"/>
    <x v="0"/>
    <n v="3.46"/>
    <n v="44"/>
    <x v="5"/>
    <x v="4"/>
    <n v="13.99"/>
    <x v="1"/>
    <x v="0"/>
    <n v="4"/>
    <n v="0.08"/>
    <x v="1"/>
  </r>
  <r>
    <s v="1aab7315-184d-4e18-8338-071aab257e63"/>
    <n v="55"/>
    <x v="4"/>
    <x v="2"/>
    <x v="2"/>
    <n v="2.74"/>
    <n v="44"/>
    <x v="2"/>
    <x v="1"/>
    <n v="8.99"/>
    <x v="1"/>
    <x v="2"/>
    <n v="4"/>
    <n v="0.06"/>
    <x v="5"/>
  </r>
  <r>
    <s v="d16fcf8a-89ce-4b6c-9083-bf9e43fbd8d7"/>
    <n v="57"/>
    <x v="4"/>
    <x v="0"/>
    <x v="0"/>
    <n v="1.41"/>
    <n v="11"/>
    <x v="1"/>
    <x v="4"/>
    <n v="13.99"/>
    <x v="0"/>
    <x v="3"/>
    <n v="5"/>
    <n v="0.12"/>
    <x v="4"/>
  </r>
  <r>
    <s v="3f0b4a45-5ec6-4a10-a6f0-dfab7d32c292"/>
    <n v="55"/>
    <x v="4"/>
    <x v="2"/>
    <x v="2"/>
    <n v="7.22"/>
    <n v="3"/>
    <x v="4"/>
    <x v="4"/>
    <n v="8.99"/>
    <x v="0"/>
    <x v="4"/>
    <n v="2"/>
    <n v="1.8"/>
    <x v="4"/>
  </r>
  <r>
    <s v="75c9cb84-d05c-4a42-8ab2-828d008f94ba"/>
    <n v="70"/>
    <x v="4"/>
    <x v="1"/>
    <x v="2"/>
    <n v="18.36"/>
    <n v="46"/>
    <x v="4"/>
    <x v="1"/>
    <n v="8.99"/>
    <x v="1"/>
    <x v="4"/>
    <n v="2"/>
    <n v="0.39"/>
    <x v="2"/>
  </r>
  <r>
    <s v="dac932ff-cdf8-4b8d-a369-7a25f9bd7a0e"/>
    <n v="70"/>
    <x v="4"/>
    <x v="0"/>
    <x v="2"/>
    <n v="1.26"/>
    <n v="20"/>
    <x v="3"/>
    <x v="0"/>
    <n v="8.99"/>
    <x v="1"/>
    <x v="1"/>
    <n v="5"/>
    <n v="0.06"/>
    <x v="0"/>
  </r>
  <r>
    <s v="39000a6b-840b-4387-8278-74242df72456"/>
    <n v="66"/>
    <x v="4"/>
    <x v="2"/>
    <x v="0"/>
    <n v="0.28999999999999998"/>
    <n v="2"/>
    <x v="5"/>
    <x v="1"/>
    <n v="13.99"/>
    <x v="1"/>
    <x v="4"/>
    <n v="2"/>
    <n v="0.1"/>
    <x v="3"/>
  </r>
  <r>
    <s v="0c1633dd-ffdf-4a8e-acf3-6b8726513703"/>
    <n v="55"/>
    <x v="4"/>
    <x v="0"/>
    <x v="1"/>
    <n v="13.7"/>
    <n v="59"/>
    <x v="2"/>
    <x v="3"/>
    <n v="17.989999999999998"/>
    <x v="1"/>
    <x v="3"/>
    <n v="3"/>
    <n v="0.23"/>
    <x v="3"/>
  </r>
  <r>
    <s v="4234d7ee-c5d2-43be-ad24-1545623c4983"/>
    <n v="63"/>
    <x v="4"/>
    <x v="1"/>
    <x v="1"/>
    <n v="26.2"/>
    <n v="52"/>
    <x v="4"/>
    <x v="1"/>
    <n v="17.989999999999998"/>
    <x v="0"/>
    <x v="4"/>
    <n v="2"/>
    <n v="0.49"/>
    <x v="2"/>
  </r>
  <r>
    <s v="45556d1e-cca3-4681-91f0-c400a3523511"/>
    <n v="58"/>
    <x v="4"/>
    <x v="0"/>
    <x v="2"/>
    <n v="10.42"/>
    <n v="6"/>
    <x v="5"/>
    <x v="4"/>
    <n v="8.99"/>
    <x v="0"/>
    <x v="1"/>
    <n v="2"/>
    <n v="1.49"/>
    <x v="5"/>
  </r>
  <r>
    <s v="fa010757-b01a-4f20-abed-bce22f5a810a"/>
    <n v="63"/>
    <x v="4"/>
    <x v="2"/>
    <x v="1"/>
    <n v="3.17"/>
    <n v="14"/>
    <x v="5"/>
    <x v="4"/>
    <n v="17.989999999999998"/>
    <x v="1"/>
    <x v="4"/>
    <n v="5"/>
    <n v="0.21"/>
    <x v="1"/>
  </r>
  <r>
    <s v="8acd78db-f4ed-4bc0-a385-0764a60e7b9f"/>
    <n v="64"/>
    <x v="4"/>
    <x v="0"/>
    <x v="2"/>
    <n v="6.74"/>
    <n v="46"/>
    <x v="4"/>
    <x v="4"/>
    <n v="8.99"/>
    <x v="1"/>
    <x v="2"/>
    <n v="5"/>
    <n v="0.14000000000000001"/>
    <x v="5"/>
  </r>
  <r>
    <s v="d3c3d095-8b42-45d2-9c19-7e3fa96ca787"/>
    <n v="60"/>
    <x v="4"/>
    <x v="0"/>
    <x v="2"/>
    <n v="15.01"/>
    <n v="20"/>
    <x v="2"/>
    <x v="2"/>
    <n v="8.99"/>
    <x v="0"/>
    <x v="0"/>
    <n v="1"/>
    <n v="0.71"/>
    <x v="6"/>
  </r>
  <r>
    <s v="1aa16b12-fff7-48b4-9b72-fa22e08d058d"/>
    <n v="61"/>
    <x v="4"/>
    <x v="1"/>
    <x v="1"/>
    <n v="12.59"/>
    <n v="11"/>
    <x v="4"/>
    <x v="0"/>
    <n v="17.989999999999998"/>
    <x v="0"/>
    <x v="0"/>
    <n v="5"/>
    <n v="1.05"/>
    <x v="4"/>
  </r>
  <r>
    <s v="f8aa86e5-518a-4051-9727-74947064db92"/>
    <n v="68"/>
    <x v="4"/>
    <x v="0"/>
    <x v="2"/>
    <n v="6.43"/>
    <n v="38"/>
    <x v="0"/>
    <x v="3"/>
    <n v="8.99"/>
    <x v="1"/>
    <x v="0"/>
    <n v="3"/>
    <n v="0.16"/>
    <x v="1"/>
  </r>
  <r>
    <s v="a92a788b-ae74-4716-9bea-7eb0b3cef793"/>
    <n v="55"/>
    <x v="4"/>
    <x v="2"/>
    <x v="0"/>
    <n v="22.74"/>
    <n v="5"/>
    <x v="1"/>
    <x v="2"/>
    <n v="13.99"/>
    <x v="0"/>
    <x v="3"/>
    <n v="3"/>
    <n v="3.79"/>
    <x v="2"/>
  </r>
  <r>
    <s v="dcb91836-142b-4bcd-b42c-f0b34c272121"/>
    <n v="56"/>
    <x v="4"/>
    <x v="1"/>
    <x v="1"/>
    <n v="0.85"/>
    <n v="29"/>
    <x v="5"/>
    <x v="0"/>
    <n v="17.989999999999998"/>
    <x v="1"/>
    <x v="0"/>
    <n v="5"/>
    <n v="0.03"/>
    <x v="6"/>
  </r>
  <r>
    <s v="45edfde5-88c9-424d-8d71-709998c94939"/>
    <n v="59"/>
    <x v="4"/>
    <x v="2"/>
    <x v="0"/>
    <n v="7.33"/>
    <n v="21"/>
    <x v="5"/>
    <x v="2"/>
    <n v="13.99"/>
    <x v="0"/>
    <x v="3"/>
    <n v="4"/>
    <n v="0.33"/>
    <x v="5"/>
  </r>
  <r>
    <s v="c5dc62ac-e177-461a-bc76-d7842de60ca8"/>
    <n v="66"/>
    <x v="4"/>
    <x v="0"/>
    <x v="0"/>
    <n v="0.06"/>
    <n v="58"/>
    <x v="1"/>
    <x v="2"/>
    <n v="13.99"/>
    <x v="1"/>
    <x v="3"/>
    <n v="2"/>
    <n v="0"/>
    <x v="5"/>
  </r>
  <r>
    <s v="035988be-2cdb-4a69-a630-6d76bc1b97f6"/>
    <n v="64"/>
    <x v="4"/>
    <x v="0"/>
    <x v="0"/>
    <n v="31.14"/>
    <n v="39"/>
    <x v="5"/>
    <x v="1"/>
    <n v="13.99"/>
    <x v="0"/>
    <x v="1"/>
    <n v="3"/>
    <n v="0.78"/>
    <x v="5"/>
  </r>
  <r>
    <s v="6a53dd10-b7e8-44f2-8f4a-56015f9a5c61"/>
    <n v="69"/>
    <x v="4"/>
    <x v="2"/>
    <x v="2"/>
    <n v="4.88"/>
    <n v="29"/>
    <x v="2"/>
    <x v="3"/>
    <n v="8.99"/>
    <x v="1"/>
    <x v="3"/>
    <n v="1"/>
    <n v="0.16"/>
    <x v="1"/>
  </r>
  <r>
    <s v="bbe577b2-0e7e-44de-aec5-8d54cbb0eed8"/>
    <n v="61"/>
    <x v="4"/>
    <x v="2"/>
    <x v="0"/>
    <n v="8.85"/>
    <n v="13"/>
    <x v="3"/>
    <x v="4"/>
    <n v="13.99"/>
    <x v="0"/>
    <x v="0"/>
    <n v="2"/>
    <n v="0.63"/>
    <x v="1"/>
  </r>
  <r>
    <s v="87d5811f-29bd-480a-b53e-8b2775331cfe"/>
    <n v="69"/>
    <x v="4"/>
    <x v="0"/>
    <x v="2"/>
    <n v="9.9499999999999993"/>
    <n v="34"/>
    <x v="3"/>
    <x v="1"/>
    <n v="8.99"/>
    <x v="1"/>
    <x v="0"/>
    <n v="4"/>
    <n v="0.28000000000000003"/>
    <x v="5"/>
  </r>
  <r>
    <s v="dce7ccc8-e51c-4cb3-9aed-7f952220a2d1"/>
    <n v="55"/>
    <x v="4"/>
    <x v="0"/>
    <x v="1"/>
    <n v="2.59"/>
    <n v="17"/>
    <x v="4"/>
    <x v="2"/>
    <n v="17.989999999999998"/>
    <x v="0"/>
    <x v="3"/>
    <n v="5"/>
    <n v="0.14000000000000001"/>
    <x v="0"/>
  </r>
  <r>
    <s v="efe57503-644e-4224-a159-a8d880e1676b"/>
    <n v="68"/>
    <x v="4"/>
    <x v="1"/>
    <x v="2"/>
    <n v="2.39"/>
    <n v="47"/>
    <x v="5"/>
    <x v="2"/>
    <n v="8.99"/>
    <x v="1"/>
    <x v="2"/>
    <n v="5"/>
    <n v="0.05"/>
    <x v="6"/>
  </r>
  <r>
    <s v="211cc3e6-2493-4cb5-a05d-648a8b62339e"/>
    <n v="64"/>
    <x v="4"/>
    <x v="2"/>
    <x v="2"/>
    <n v="15.08"/>
    <n v="36"/>
    <x v="1"/>
    <x v="3"/>
    <n v="8.99"/>
    <x v="1"/>
    <x v="2"/>
    <n v="3"/>
    <n v="0.41"/>
    <x v="4"/>
  </r>
  <r>
    <s v="e7336493-b9bd-47ee-9298-a74a91625ab9"/>
    <n v="57"/>
    <x v="4"/>
    <x v="1"/>
    <x v="2"/>
    <n v="6.73"/>
    <n v="51"/>
    <x v="4"/>
    <x v="3"/>
    <n v="8.99"/>
    <x v="1"/>
    <x v="1"/>
    <n v="1"/>
    <n v="0.13"/>
    <x v="4"/>
  </r>
  <r>
    <s v="5f056e77-b597-4372-81ec-74cfa153e832"/>
    <n v="66"/>
    <x v="4"/>
    <x v="0"/>
    <x v="1"/>
    <n v="19.190000000000001"/>
    <n v="40"/>
    <x v="3"/>
    <x v="3"/>
    <n v="17.989999999999998"/>
    <x v="1"/>
    <x v="2"/>
    <n v="3"/>
    <n v="0.47"/>
    <x v="5"/>
  </r>
  <r>
    <s v="2cf69775-8761-45e2-a44d-b4bd0669b757"/>
    <n v="55"/>
    <x v="4"/>
    <x v="1"/>
    <x v="1"/>
    <n v="1.63"/>
    <n v="52"/>
    <x v="3"/>
    <x v="4"/>
    <n v="17.989999999999998"/>
    <x v="1"/>
    <x v="4"/>
    <n v="1"/>
    <n v="0.03"/>
    <x v="3"/>
  </r>
  <r>
    <s v="c51b4715-3ce4-49e7-9102-508107212399"/>
    <n v="66"/>
    <x v="4"/>
    <x v="0"/>
    <x v="1"/>
    <n v="2.29"/>
    <n v="52"/>
    <x v="1"/>
    <x v="3"/>
    <n v="17.989999999999998"/>
    <x v="1"/>
    <x v="0"/>
    <n v="2"/>
    <n v="0.04"/>
    <x v="4"/>
  </r>
  <r>
    <s v="2430b31a-ab1d-4aeb-9d8f-5b5bb2427ff5"/>
    <n v="60"/>
    <x v="4"/>
    <x v="0"/>
    <x v="1"/>
    <n v="2.09"/>
    <n v="14"/>
    <x v="4"/>
    <x v="1"/>
    <n v="17.989999999999998"/>
    <x v="1"/>
    <x v="4"/>
    <n v="2"/>
    <n v="0.14000000000000001"/>
    <x v="1"/>
  </r>
  <r>
    <s v="e518b0d5-b916-43a0-9f3e-23030ae34aa7"/>
    <n v="65"/>
    <x v="4"/>
    <x v="1"/>
    <x v="0"/>
    <n v="10.38"/>
    <n v="10"/>
    <x v="5"/>
    <x v="3"/>
    <n v="13.99"/>
    <x v="0"/>
    <x v="3"/>
    <n v="4"/>
    <n v="0.94"/>
    <x v="2"/>
  </r>
  <r>
    <s v="8639ee6f-b8d5-4f6a-949e-ede441e48612"/>
    <n v="59"/>
    <x v="4"/>
    <x v="2"/>
    <x v="1"/>
    <n v="9.49"/>
    <n v="42"/>
    <x v="5"/>
    <x v="3"/>
    <n v="17.989999999999998"/>
    <x v="1"/>
    <x v="1"/>
    <n v="2"/>
    <n v="0.22"/>
    <x v="3"/>
  </r>
  <r>
    <s v="8e164955-faf6-4390-8b3f-f65a067bdf27"/>
    <n v="61"/>
    <x v="4"/>
    <x v="0"/>
    <x v="0"/>
    <n v="6.67"/>
    <n v="6"/>
    <x v="2"/>
    <x v="4"/>
    <n v="13.99"/>
    <x v="0"/>
    <x v="4"/>
    <n v="1"/>
    <n v="0.95"/>
    <x v="6"/>
  </r>
  <r>
    <s v="8f0aadba-150a-48c7-a659-16e5cee03b2e"/>
    <n v="67"/>
    <x v="4"/>
    <x v="0"/>
    <x v="2"/>
    <n v="35.369999999999997"/>
    <n v="27"/>
    <x v="2"/>
    <x v="3"/>
    <n v="8.99"/>
    <x v="0"/>
    <x v="1"/>
    <n v="4"/>
    <n v="1.26"/>
    <x v="6"/>
  </r>
  <r>
    <s v="be65e2d8-f330-4919-af85-108de70426dd"/>
    <n v="60"/>
    <x v="4"/>
    <x v="1"/>
    <x v="0"/>
    <n v="10.1"/>
    <n v="28"/>
    <x v="4"/>
    <x v="2"/>
    <n v="13.99"/>
    <x v="0"/>
    <x v="0"/>
    <n v="5"/>
    <n v="0.35"/>
    <x v="4"/>
  </r>
  <r>
    <s v="5095a93a-4007-4f71-b9c0-063e9a8f41e5"/>
    <n v="67"/>
    <x v="4"/>
    <x v="1"/>
    <x v="0"/>
    <n v="17.13"/>
    <n v="42"/>
    <x v="4"/>
    <x v="4"/>
    <n v="13.99"/>
    <x v="0"/>
    <x v="3"/>
    <n v="4"/>
    <n v="0.4"/>
    <x v="0"/>
  </r>
  <r>
    <s v="f6652572-c33f-4cf6-ba8e-db6ce43bf4b9"/>
    <n v="56"/>
    <x v="4"/>
    <x v="1"/>
    <x v="1"/>
    <n v="3.41"/>
    <n v="53"/>
    <x v="0"/>
    <x v="4"/>
    <n v="17.989999999999998"/>
    <x v="1"/>
    <x v="3"/>
    <n v="4"/>
    <n v="0.06"/>
    <x v="2"/>
  </r>
  <r>
    <s v="052e5ea6-7c77-4cc2-9437-1baf5694adb5"/>
    <n v="69"/>
    <x v="4"/>
    <x v="2"/>
    <x v="0"/>
    <n v="11.83"/>
    <n v="7"/>
    <x v="5"/>
    <x v="0"/>
    <n v="13.99"/>
    <x v="0"/>
    <x v="1"/>
    <n v="4"/>
    <n v="1.48"/>
    <x v="5"/>
  </r>
  <r>
    <s v="800c65d1-ea65-45d2-843e-b710461c44fd"/>
    <n v="58"/>
    <x v="4"/>
    <x v="0"/>
    <x v="1"/>
    <n v="25.6"/>
    <n v="55"/>
    <x v="0"/>
    <x v="4"/>
    <n v="17.989999999999998"/>
    <x v="0"/>
    <x v="3"/>
    <n v="1"/>
    <n v="0.46"/>
    <x v="3"/>
  </r>
  <r>
    <s v="134fda45-9bd5-42dd-8192-f1b24ff87fc8"/>
    <n v="61"/>
    <x v="4"/>
    <x v="0"/>
    <x v="1"/>
    <n v="16.440000000000001"/>
    <n v="22"/>
    <x v="1"/>
    <x v="2"/>
    <n v="17.989999999999998"/>
    <x v="0"/>
    <x v="2"/>
    <n v="2"/>
    <n v="0.71"/>
    <x v="6"/>
  </r>
  <r>
    <s v="f6b53553-e1df-4c96-ab51-1b9f5d512011"/>
    <n v="65"/>
    <x v="4"/>
    <x v="2"/>
    <x v="0"/>
    <n v="19.079999999999998"/>
    <n v="52"/>
    <x v="0"/>
    <x v="4"/>
    <n v="13.99"/>
    <x v="1"/>
    <x v="3"/>
    <n v="2"/>
    <n v="0.36"/>
    <x v="0"/>
  </r>
  <r>
    <s v="37efe8d4-f30b-4839-8707-67cfb77cc1ff"/>
    <n v="62"/>
    <x v="4"/>
    <x v="0"/>
    <x v="2"/>
    <n v="1.8"/>
    <n v="4"/>
    <x v="2"/>
    <x v="2"/>
    <n v="8.99"/>
    <x v="1"/>
    <x v="0"/>
    <n v="5"/>
    <n v="0.36"/>
    <x v="0"/>
  </r>
  <r>
    <s v="0a8aa6a2-ba3d-4042-b959-8cb224db42f2"/>
    <n v="63"/>
    <x v="4"/>
    <x v="1"/>
    <x v="1"/>
    <n v="20.27"/>
    <n v="57"/>
    <x v="2"/>
    <x v="2"/>
    <n v="17.989999999999998"/>
    <x v="0"/>
    <x v="3"/>
    <n v="4"/>
    <n v="0.35"/>
    <x v="5"/>
  </r>
  <r>
    <s v="7e3de2a4-1eda-4822-9414-edf630b56ca0"/>
    <n v="63"/>
    <x v="4"/>
    <x v="2"/>
    <x v="0"/>
    <n v="3.82"/>
    <n v="31"/>
    <x v="5"/>
    <x v="4"/>
    <n v="13.99"/>
    <x v="1"/>
    <x v="3"/>
    <n v="4"/>
    <n v="0.12"/>
    <x v="3"/>
  </r>
  <r>
    <s v="53c0345a-7d19-48bd-b659-70d4a6781dfb"/>
    <n v="61"/>
    <x v="4"/>
    <x v="0"/>
    <x v="0"/>
    <n v="5.84"/>
    <n v="58"/>
    <x v="4"/>
    <x v="3"/>
    <n v="13.99"/>
    <x v="0"/>
    <x v="3"/>
    <n v="5"/>
    <n v="0.1"/>
    <x v="2"/>
  </r>
  <r>
    <s v="82dee3af-9f17-421c-8d3e-2177420183e1"/>
    <n v="56"/>
    <x v="4"/>
    <x v="1"/>
    <x v="1"/>
    <n v="2.04"/>
    <n v="27"/>
    <x v="5"/>
    <x v="0"/>
    <n v="17.989999999999998"/>
    <x v="1"/>
    <x v="1"/>
    <n v="1"/>
    <n v="7.0000000000000007E-2"/>
    <x v="4"/>
  </r>
  <r>
    <s v="a16eabd8-7500-401f-a09f-c196e8084525"/>
    <n v="61"/>
    <x v="4"/>
    <x v="1"/>
    <x v="0"/>
    <n v="12.41"/>
    <n v="10"/>
    <x v="1"/>
    <x v="0"/>
    <n v="13.99"/>
    <x v="0"/>
    <x v="0"/>
    <n v="2"/>
    <n v="1.1299999999999999"/>
    <x v="4"/>
  </r>
  <r>
    <s v="c214433b-2cd5-42bb-8b59-657928b311a6"/>
    <n v="57"/>
    <x v="4"/>
    <x v="1"/>
    <x v="0"/>
    <n v="4.99"/>
    <n v="9"/>
    <x v="4"/>
    <x v="4"/>
    <n v="13.99"/>
    <x v="0"/>
    <x v="0"/>
    <n v="5"/>
    <n v="0.5"/>
    <x v="4"/>
  </r>
  <r>
    <s v="7aaf4a07-bbee-41cc-b800-8084935b8b7c"/>
    <n v="55"/>
    <x v="4"/>
    <x v="0"/>
    <x v="1"/>
    <n v="9.52"/>
    <n v="15"/>
    <x v="0"/>
    <x v="4"/>
    <n v="17.989999999999998"/>
    <x v="0"/>
    <x v="3"/>
    <n v="2"/>
    <n v="0.59"/>
    <x v="1"/>
  </r>
  <r>
    <s v="c39ca4e9-d9f8-440e-a74b-56d91473dd2c"/>
    <n v="70"/>
    <x v="4"/>
    <x v="2"/>
    <x v="1"/>
    <n v="15.73"/>
    <n v="56"/>
    <x v="4"/>
    <x v="2"/>
    <n v="17.989999999999998"/>
    <x v="1"/>
    <x v="0"/>
    <n v="3"/>
    <n v="0.28000000000000003"/>
    <x v="0"/>
  </r>
  <r>
    <s v="9eec0f0f-8898-49ab-bdd4-59839a8a1d9d"/>
    <n v="67"/>
    <x v="4"/>
    <x v="0"/>
    <x v="2"/>
    <n v="6.88"/>
    <n v="44"/>
    <x v="3"/>
    <x v="1"/>
    <n v="8.99"/>
    <x v="1"/>
    <x v="4"/>
    <n v="4"/>
    <n v="0.15"/>
    <x v="2"/>
  </r>
  <r>
    <s v="4aaa4b30-0995-42b2-86f8-acd420bd1f27"/>
    <n v="65"/>
    <x v="4"/>
    <x v="1"/>
    <x v="0"/>
    <n v="3.26"/>
    <n v="41"/>
    <x v="0"/>
    <x v="3"/>
    <n v="13.99"/>
    <x v="1"/>
    <x v="3"/>
    <n v="5"/>
    <n v="0.08"/>
    <x v="3"/>
  </r>
  <r>
    <s v="0b4d9c35-a743-4c45-acac-1953cacbac29"/>
    <n v="64"/>
    <x v="4"/>
    <x v="2"/>
    <x v="0"/>
    <n v="1.24"/>
    <n v="9"/>
    <x v="3"/>
    <x v="2"/>
    <n v="13.99"/>
    <x v="0"/>
    <x v="2"/>
    <n v="4"/>
    <n v="0.12"/>
    <x v="6"/>
  </r>
  <r>
    <s v="37eab84e-f904-41ee-9fa0-9160d1a8ac85"/>
    <n v="56"/>
    <x v="4"/>
    <x v="0"/>
    <x v="2"/>
    <n v="20.91"/>
    <n v="35"/>
    <x v="4"/>
    <x v="4"/>
    <n v="8.99"/>
    <x v="0"/>
    <x v="2"/>
    <n v="4"/>
    <n v="0.57999999999999996"/>
    <x v="5"/>
  </r>
  <r>
    <s v="b2161461-eb4c-4473-a193-e167ba3c784c"/>
    <n v="56"/>
    <x v="4"/>
    <x v="1"/>
    <x v="2"/>
    <n v="2.19"/>
    <n v="35"/>
    <x v="0"/>
    <x v="1"/>
    <n v="8.99"/>
    <x v="1"/>
    <x v="2"/>
    <n v="5"/>
    <n v="0.06"/>
    <x v="5"/>
  </r>
  <r>
    <s v="5a11d8d0-cb62-456e-939d-ae4a8cbdde5c"/>
    <n v="62"/>
    <x v="4"/>
    <x v="2"/>
    <x v="0"/>
    <n v="21.13"/>
    <n v="36"/>
    <x v="0"/>
    <x v="2"/>
    <n v="13.99"/>
    <x v="0"/>
    <x v="3"/>
    <n v="2"/>
    <n v="0.56999999999999995"/>
    <x v="5"/>
  </r>
  <r>
    <s v="b7fd931c-d59d-466c-b104-dc8819641e5d"/>
    <n v="60"/>
    <x v="4"/>
    <x v="1"/>
    <x v="0"/>
    <n v="13.86"/>
    <n v="8"/>
    <x v="1"/>
    <x v="3"/>
    <n v="13.99"/>
    <x v="0"/>
    <x v="1"/>
    <n v="1"/>
    <n v="1.54"/>
    <x v="5"/>
  </r>
  <r>
    <s v="ffdf0f37-5ab0-4b5d-b33d-1a4a11e02c70"/>
    <n v="70"/>
    <x v="4"/>
    <x v="2"/>
    <x v="2"/>
    <n v="1.69"/>
    <n v="23"/>
    <x v="5"/>
    <x v="4"/>
    <n v="8.99"/>
    <x v="1"/>
    <x v="0"/>
    <n v="3"/>
    <n v="7.0000000000000007E-2"/>
    <x v="6"/>
  </r>
  <r>
    <s v="9e6a25d6-4014-4c58-a23f-6016815d6f31"/>
    <n v="62"/>
    <x v="4"/>
    <x v="1"/>
    <x v="2"/>
    <n v="6.72"/>
    <n v="19"/>
    <x v="5"/>
    <x v="4"/>
    <n v="8.99"/>
    <x v="0"/>
    <x v="1"/>
    <n v="5"/>
    <n v="0.34"/>
    <x v="4"/>
  </r>
  <r>
    <s v="eab869fb-6318-4e76-ad3d-453d4fd7a219"/>
    <n v="59"/>
    <x v="4"/>
    <x v="2"/>
    <x v="1"/>
    <n v="6.27"/>
    <n v="12"/>
    <x v="4"/>
    <x v="2"/>
    <n v="17.989999999999998"/>
    <x v="0"/>
    <x v="1"/>
    <n v="3"/>
    <n v="0.48"/>
    <x v="4"/>
  </r>
  <r>
    <s v="086bac2e-0490-4c8b-8b1e-5b9813ef2e72"/>
    <n v="65"/>
    <x v="4"/>
    <x v="1"/>
    <x v="0"/>
    <n v="10.07"/>
    <n v="20"/>
    <x v="3"/>
    <x v="2"/>
    <n v="13.99"/>
    <x v="0"/>
    <x v="2"/>
    <n v="1"/>
    <n v="0.48"/>
    <x v="4"/>
  </r>
  <r>
    <s v="7d40c105-0ae1-4235-aab9-f8ec0122145d"/>
    <n v="60"/>
    <x v="4"/>
    <x v="0"/>
    <x v="1"/>
    <n v="15.94"/>
    <n v="4"/>
    <x v="2"/>
    <x v="3"/>
    <n v="17.989999999999998"/>
    <x v="0"/>
    <x v="3"/>
    <n v="3"/>
    <n v="3.19"/>
    <x v="3"/>
  </r>
  <r>
    <s v="4aa4cb4e-bb15-429c-88ae-00274c3fcebf"/>
    <n v="64"/>
    <x v="4"/>
    <x v="0"/>
    <x v="0"/>
    <n v="12.5"/>
    <n v="33"/>
    <x v="0"/>
    <x v="0"/>
    <n v="13.99"/>
    <x v="0"/>
    <x v="1"/>
    <n v="5"/>
    <n v="0.37"/>
    <x v="4"/>
  </r>
  <r>
    <s v="ea9ede30-ded4-475e-8bdb-6e6f74ef8557"/>
    <n v="55"/>
    <x v="4"/>
    <x v="0"/>
    <x v="1"/>
    <n v="17.760000000000002"/>
    <n v="49"/>
    <x v="1"/>
    <x v="4"/>
    <n v="17.989999999999998"/>
    <x v="1"/>
    <x v="2"/>
    <n v="3"/>
    <n v="0.36"/>
    <x v="0"/>
  </r>
  <r>
    <s v="d7cbf38b-95b2-46b7-8ac3-50f4b316878c"/>
    <n v="59"/>
    <x v="4"/>
    <x v="0"/>
    <x v="1"/>
    <n v="26.54"/>
    <n v="33"/>
    <x v="5"/>
    <x v="1"/>
    <n v="17.989999999999998"/>
    <x v="0"/>
    <x v="0"/>
    <n v="3"/>
    <n v="0.78"/>
    <x v="6"/>
  </r>
  <r>
    <s v="b3d7df66-3750-4afa-afd1-d217ac259eff"/>
    <n v="63"/>
    <x v="4"/>
    <x v="1"/>
    <x v="0"/>
    <n v="5.1100000000000003"/>
    <n v="18"/>
    <x v="0"/>
    <x v="4"/>
    <n v="13.99"/>
    <x v="0"/>
    <x v="0"/>
    <n v="1"/>
    <n v="0.27"/>
    <x v="2"/>
  </r>
  <r>
    <s v="d11573bf-f68b-4134-89ff-659630bb63f3"/>
    <n v="60"/>
    <x v="4"/>
    <x v="1"/>
    <x v="1"/>
    <n v="2.56"/>
    <n v="22"/>
    <x v="0"/>
    <x v="2"/>
    <n v="17.989999999999998"/>
    <x v="1"/>
    <x v="0"/>
    <n v="2"/>
    <n v="0.11"/>
    <x v="6"/>
  </r>
  <r>
    <s v="f1c83b47-42f3-43d3-8e18-4ea89c57773c"/>
    <n v="67"/>
    <x v="4"/>
    <x v="1"/>
    <x v="2"/>
    <n v="10.17"/>
    <n v="18"/>
    <x v="4"/>
    <x v="4"/>
    <n v="8.99"/>
    <x v="0"/>
    <x v="4"/>
    <n v="2"/>
    <n v="0.54"/>
    <x v="3"/>
  </r>
  <r>
    <s v="610d956e-f1f5-4b11-9d7c-441a37b21a17"/>
    <n v="55"/>
    <x v="4"/>
    <x v="2"/>
    <x v="0"/>
    <n v="1.88"/>
    <n v="44"/>
    <x v="1"/>
    <x v="4"/>
    <n v="13.99"/>
    <x v="1"/>
    <x v="3"/>
    <n v="4"/>
    <n v="0.04"/>
    <x v="3"/>
  </r>
  <r>
    <s v="a32eee4c-69e9-41ee-a91d-f328cb381b15"/>
    <n v="59"/>
    <x v="4"/>
    <x v="0"/>
    <x v="1"/>
    <n v="0.61"/>
    <n v="17"/>
    <x v="3"/>
    <x v="4"/>
    <n v="17.989999999999998"/>
    <x v="0"/>
    <x v="1"/>
    <n v="5"/>
    <n v="0.03"/>
    <x v="5"/>
  </r>
  <r>
    <s v="2fe53083-6764-4dc3-bbaa-a88e030e71e2"/>
    <n v="58"/>
    <x v="4"/>
    <x v="0"/>
    <x v="0"/>
    <n v="76.290000000000006"/>
    <n v="5"/>
    <x v="1"/>
    <x v="2"/>
    <n v="13.99"/>
    <x v="0"/>
    <x v="0"/>
    <n v="5"/>
    <n v="12.72"/>
    <x v="6"/>
  </r>
  <r>
    <s v="50ebca29-2130-4894-9f3c-63f3f938f819"/>
    <n v="59"/>
    <x v="4"/>
    <x v="1"/>
    <x v="2"/>
    <n v="8.48"/>
    <n v="24"/>
    <x v="4"/>
    <x v="0"/>
    <n v="8.99"/>
    <x v="1"/>
    <x v="0"/>
    <n v="1"/>
    <n v="0.34"/>
    <x v="0"/>
  </r>
  <r>
    <s v="39218d93-3485-4f1a-b7db-f501deb29f04"/>
    <n v="56"/>
    <x v="4"/>
    <x v="1"/>
    <x v="0"/>
    <n v="3.62"/>
    <n v="22"/>
    <x v="0"/>
    <x v="0"/>
    <n v="13.99"/>
    <x v="1"/>
    <x v="0"/>
    <n v="1"/>
    <n v="0.16"/>
    <x v="2"/>
  </r>
  <r>
    <s v="1fc5bc15-e2ed-47e0-a8c3-78632ffeae19"/>
    <n v="56"/>
    <x v="4"/>
    <x v="0"/>
    <x v="0"/>
    <n v="30.05"/>
    <n v="14"/>
    <x v="3"/>
    <x v="2"/>
    <n v="13.99"/>
    <x v="0"/>
    <x v="4"/>
    <n v="1"/>
    <n v="2"/>
    <x v="2"/>
  </r>
  <r>
    <s v="23c526da-c76e-4a8c-82ea-838a7736f832"/>
    <n v="68"/>
    <x v="4"/>
    <x v="0"/>
    <x v="0"/>
    <n v="36.44"/>
    <n v="49"/>
    <x v="5"/>
    <x v="2"/>
    <n v="13.99"/>
    <x v="0"/>
    <x v="4"/>
    <n v="3"/>
    <n v="0.73"/>
    <x v="6"/>
  </r>
  <r>
    <s v="ee612990-fd6f-4b96-95c5-4c3d64a961a7"/>
    <n v="64"/>
    <x v="4"/>
    <x v="2"/>
    <x v="2"/>
    <n v="1.84"/>
    <n v="30"/>
    <x v="5"/>
    <x v="4"/>
    <n v="8.99"/>
    <x v="1"/>
    <x v="2"/>
    <n v="4"/>
    <n v="0.06"/>
    <x v="6"/>
  </r>
  <r>
    <s v="70ef21fb-2720-408f-8d98-7070d307971b"/>
    <n v="57"/>
    <x v="4"/>
    <x v="1"/>
    <x v="0"/>
    <n v="2.93"/>
    <n v="35"/>
    <x v="2"/>
    <x v="1"/>
    <n v="13.99"/>
    <x v="1"/>
    <x v="3"/>
    <n v="5"/>
    <n v="0.08"/>
    <x v="0"/>
  </r>
  <r>
    <s v="94940860-8fc0-4fe9-a813-136e736dc785"/>
    <n v="69"/>
    <x v="4"/>
    <x v="0"/>
    <x v="0"/>
    <n v="5.7"/>
    <n v="27"/>
    <x v="2"/>
    <x v="1"/>
    <n v="13.99"/>
    <x v="0"/>
    <x v="0"/>
    <n v="1"/>
    <n v="0.2"/>
    <x v="2"/>
  </r>
  <r>
    <s v="6a1cf920-fbb2-4b70-881c-358c007bc43c"/>
    <n v="66"/>
    <x v="4"/>
    <x v="0"/>
    <x v="0"/>
    <n v="32.75"/>
    <n v="41"/>
    <x v="3"/>
    <x v="4"/>
    <n v="13.99"/>
    <x v="0"/>
    <x v="2"/>
    <n v="1"/>
    <n v="0.78"/>
    <x v="4"/>
  </r>
  <r>
    <s v="e874713c-7349-4582-806f-1fb0d743ab6c"/>
    <n v="64"/>
    <x v="4"/>
    <x v="1"/>
    <x v="1"/>
    <n v="1.83"/>
    <n v="0"/>
    <x v="3"/>
    <x v="4"/>
    <n v="17.989999999999998"/>
    <x v="0"/>
    <x v="3"/>
    <n v="1"/>
    <n v="1.83"/>
    <x v="4"/>
  </r>
  <r>
    <s v="f5edc841-bc01-4908-ae59-2051c2757a7b"/>
    <n v="63"/>
    <x v="4"/>
    <x v="2"/>
    <x v="1"/>
    <n v="50.34"/>
    <n v="16"/>
    <x v="1"/>
    <x v="0"/>
    <n v="17.989999999999998"/>
    <x v="0"/>
    <x v="0"/>
    <n v="5"/>
    <n v="2.96"/>
    <x v="4"/>
  </r>
  <r>
    <s v="5152898c-b43a-4087-93bc-4ec283f379b2"/>
    <n v="60"/>
    <x v="4"/>
    <x v="2"/>
    <x v="2"/>
    <n v="5.34"/>
    <n v="18"/>
    <x v="0"/>
    <x v="0"/>
    <n v="8.99"/>
    <x v="0"/>
    <x v="2"/>
    <n v="2"/>
    <n v="0.28000000000000003"/>
    <x v="0"/>
  </r>
  <r>
    <s v="eee51db1-409b-4642-becb-311ad53094a2"/>
    <n v="64"/>
    <x v="4"/>
    <x v="2"/>
    <x v="2"/>
    <n v="19.100000000000001"/>
    <n v="30"/>
    <x v="1"/>
    <x v="4"/>
    <n v="8.99"/>
    <x v="0"/>
    <x v="2"/>
    <n v="4"/>
    <n v="0.62"/>
    <x v="5"/>
  </r>
  <r>
    <s v="8ba829fb-fe7c-47f4-89db-241934a74db6"/>
    <n v="61"/>
    <x v="4"/>
    <x v="0"/>
    <x v="0"/>
    <n v="2.54"/>
    <n v="49"/>
    <x v="2"/>
    <x v="0"/>
    <n v="13.99"/>
    <x v="1"/>
    <x v="4"/>
    <n v="3"/>
    <n v="0.05"/>
    <x v="0"/>
  </r>
  <r>
    <s v="6bf1d15a-7ede-4fa1-8ac3-ca10566780ea"/>
    <n v="70"/>
    <x v="4"/>
    <x v="1"/>
    <x v="2"/>
    <n v="13.09"/>
    <n v="13"/>
    <x v="0"/>
    <x v="4"/>
    <n v="8.99"/>
    <x v="0"/>
    <x v="1"/>
    <n v="2"/>
    <n v="0.93"/>
    <x v="1"/>
  </r>
  <r>
    <s v="ab76d3cc-b330-42c9-ad6b-28b5e707a64d"/>
    <n v="63"/>
    <x v="4"/>
    <x v="2"/>
    <x v="2"/>
    <n v="2.2400000000000002"/>
    <n v="27"/>
    <x v="3"/>
    <x v="2"/>
    <n v="8.99"/>
    <x v="1"/>
    <x v="2"/>
    <n v="4"/>
    <n v="0.08"/>
    <x v="0"/>
  </r>
  <r>
    <s v="c18a0290-a6c6-4d07-9641-5255c31da967"/>
    <n v="70"/>
    <x v="4"/>
    <x v="2"/>
    <x v="0"/>
    <n v="13.92"/>
    <n v="57"/>
    <x v="4"/>
    <x v="1"/>
    <n v="13.99"/>
    <x v="1"/>
    <x v="0"/>
    <n v="1"/>
    <n v="0.24"/>
    <x v="3"/>
  </r>
  <r>
    <s v="336a2ae7-f0bc-4aa5-8fc8-540c138b7d3c"/>
    <n v="70"/>
    <x v="4"/>
    <x v="2"/>
    <x v="2"/>
    <n v="110.4"/>
    <n v="33"/>
    <x v="3"/>
    <x v="3"/>
    <n v="8.99"/>
    <x v="0"/>
    <x v="3"/>
    <n v="5"/>
    <n v="3.25"/>
    <x v="2"/>
  </r>
  <r>
    <s v="c1d1ae44-0bc9-49ee-b2ae-e2d6fb2bf599"/>
    <n v="58"/>
    <x v="4"/>
    <x v="0"/>
    <x v="0"/>
    <n v="2.5099999999999998"/>
    <n v="31"/>
    <x v="4"/>
    <x v="3"/>
    <n v="13.99"/>
    <x v="1"/>
    <x v="3"/>
    <n v="5"/>
    <n v="0.08"/>
    <x v="0"/>
  </r>
  <r>
    <s v="b819383f-8219-47be-a119-7c9225b5436c"/>
    <n v="57"/>
    <x v="4"/>
    <x v="2"/>
    <x v="1"/>
    <n v="44.65"/>
    <n v="52"/>
    <x v="5"/>
    <x v="4"/>
    <n v="17.989999999999998"/>
    <x v="0"/>
    <x v="2"/>
    <n v="5"/>
    <n v="0.84"/>
    <x v="1"/>
  </r>
  <r>
    <s v="0d2e7cf3-53e8-4ff5-8385-3d2047301d5a"/>
    <n v="59"/>
    <x v="4"/>
    <x v="1"/>
    <x v="2"/>
    <n v="10.68"/>
    <n v="13"/>
    <x v="0"/>
    <x v="0"/>
    <n v="8.99"/>
    <x v="0"/>
    <x v="1"/>
    <n v="1"/>
    <n v="0.76"/>
    <x v="4"/>
  </r>
  <r>
    <s v="8f4a47f4-7b2a-4afc-b520-7b99b5ab2b37"/>
    <n v="64"/>
    <x v="4"/>
    <x v="2"/>
    <x v="1"/>
    <n v="2.66"/>
    <n v="57"/>
    <x v="4"/>
    <x v="3"/>
    <n v="17.989999999999998"/>
    <x v="1"/>
    <x v="2"/>
    <n v="2"/>
    <n v="0.05"/>
    <x v="4"/>
  </r>
  <r>
    <s v="5d21578a-b614-4939-9ce3-0c2e84aed9a4"/>
    <n v="68"/>
    <x v="4"/>
    <x v="0"/>
    <x v="1"/>
    <n v="1.85"/>
    <n v="3"/>
    <x v="1"/>
    <x v="4"/>
    <n v="17.989999999999998"/>
    <x v="0"/>
    <x v="4"/>
    <n v="5"/>
    <n v="0.46"/>
    <x v="4"/>
  </r>
  <r>
    <s v="9731c4f5-6e17-4efb-8757-47e7b6491b02"/>
    <n v="58"/>
    <x v="4"/>
    <x v="1"/>
    <x v="0"/>
    <n v="1.32"/>
    <n v="29"/>
    <x v="5"/>
    <x v="2"/>
    <n v="13.99"/>
    <x v="1"/>
    <x v="3"/>
    <n v="2"/>
    <n v="0.04"/>
    <x v="5"/>
  </r>
  <r>
    <s v="b1f58e6d-869a-4bcc-b8ef-85c692608b44"/>
    <n v="66"/>
    <x v="4"/>
    <x v="1"/>
    <x v="0"/>
    <n v="26.89"/>
    <n v="17"/>
    <x v="3"/>
    <x v="3"/>
    <n v="13.99"/>
    <x v="0"/>
    <x v="4"/>
    <n v="1"/>
    <n v="1.49"/>
    <x v="5"/>
  </r>
  <r>
    <s v="5bf1d96e-c284-4dae-851a-3b2cc3922dc9"/>
    <n v="59"/>
    <x v="4"/>
    <x v="1"/>
    <x v="1"/>
    <n v="8.8800000000000008"/>
    <n v="16"/>
    <x v="2"/>
    <x v="2"/>
    <n v="17.989999999999998"/>
    <x v="0"/>
    <x v="1"/>
    <n v="1"/>
    <n v="0.52"/>
    <x v="4"/>
  </r>
  <r>
    <s v="2dd034c1-08b9-4b8a-9121-5ee5b4ff187e"/>
    <n v="67"/>
    <x v="4"/>
    <x v="1"/>
    <x v="2"/>
    <n v="17.079999999999998"/>
    <n v="33"/>
    <x v="2"/>
    <x v="0"/>
    <n v="8.99"/>
    <x v="0"/>
    <x v="2"/>
    <n v="5"/>
    <n v="0.5"/>
    <x v="0"/>
  </r>
  <r>
    <s v="13b141f5-ad9b-49ea-9c0b-1fbbe042f285"/>
    <n v="61"/>
    <x v="4"/>
    <x v="0"/>
    <x v="2"/>
    <n v="12.55"/>
    <n v="8"/>
    <x v="3"/>
    <x v="0"/>
    <n v="8.99"/>
    <x v="0"/>
    <x v="3"/>
    <n v="3"/>
    <n v="1.39"/>
    <x v="4"/>
  </r>
  <r>
    <s v="c9a12c20-e602-4d0f-b036-4877d4e55e9a"/>
    <n v="61"/>
    <x v="4"/>
    <x v="0"/>
    <x v="0"/>
    <n v="16.829999999999998"/>
    <n v="46"/>
    <x v="2"/>
    <x v="2"/>
    <n v="13.99"/>
    <x v="0"/>
    <x v="3"/>
    <n v="5"/>
    <n v="0.36"/>
    <x v="4"/>
  </r>
  <r>
    <s v="df086863-9f4b-48ba-968b-0286614e5bd5"/>
    <n v="66"/>
    <x v="4"/>
    <x v="2"/>
    <x v="0"/>
    <n v="1.65"/>
    <n v="44"/>
    <x v="3"/>
    <x v="0"/>
    <n v="13.99"/>
    <x v="1"/>
    <x v="3"/>
    <n v="2"/>
    <n v="0.04"/>
    <x v="4"/>
  </r>
  <r>
    <s v="1b5a59a3-7bd7-460a-8978-0a0d192fe774"/>
    <n v="68"/>
    <x v="4"/>
    <x v="1"/>
    <x v="1"/>
    <n v="1.23"/>
    <n v="12"/>
    <x v="0"/>
    <x v="2"/>
    <n v="17.989999999999998"/>
    <x v="1"/>
    <x v="0"/>
    <n v="5"/>
    <n v="0.09"/>
    <x v="2"/>
  </r>
  <r>
    <s v="e6c7d246-1773-48c1-ac58-689c3e68ac6b"/>
    <n v="68"/>
    <x v="4"/>
    <x v="2"/>
    <x v="2"/>
    <n v="5.26"/>
    <n v="45"/>
    <x v="0"/>
    <x v="3"/>
    <n v="8.99"/>
    <x v="1"/>
    <x v="4"/>
    <n v="1"/>
    <n v="0.11"/>
    <x v="3"/>
  </r>
  <r>
    <s v="181fd400-afb0-4208-9315-759de2eb87d9"/>
    <n v="66"/>
    <x v="4"/>
    <x v="1"/>
    <x v="2"/>
    <n v="12.76"/>
    <n v="0"/>
    <x v="4"/>
    <x v="4"/>
    <n v="8.99"/>
    <x v="0"/>
    <x v="2"/>
    <n v="1"/>
    <n v="12.76"/>
    <x v="6"/>
  </r>
  <r>
    <s v="082c7632-daca-4f82-ba6e-dc1e7dca5624"/>
    <n v="69"/>
    <x v="4"/>
    <x v="1"/>
    <x v="2"/>
    <n v="2.86"/>
    <n v="1"/>
    <x v="2"/>
    <x v="1"/>
    <n v="8.99"/>
    <x v="0"/>
    <x v="4"/>
    <n v="4"/>
    <n v="1.43"/>
    <x v="3"/>
  </r>
  <r>
    <s v="1e2cf6c0-3fb4-49d5-8aeb-af2a4c886d64"/>
    <n v="59"/>
    <x v="4"/>
    <x v="2"/>
    <x v="0"/>
    <n v="4.1399999999999997"/>
    <n v="55"/>
    <x v="2"/>
    <x v="3"/>
    <n v="13.99"/>
    <x v="1"/>
    <x v="0"/>
    <n v="5"/>
    <n v="7.0000000000000007E-2"/>
    <x v="2"/>
  </r>
  <r>
    <s v="1a0e524e-c388-4abf-af21-46baf2798e0a"/>
    <n v="65"/>
    <x v="4"/>
    <x v="1"/>
    <x v="2"/>
    <n v="9.9499999999999993"/>
    <n v="8"/>
    <x v="4"/>
    <x v="1"/>
    <n v="8.99"/>
    <x v="0"/>
    <x v="0"/>
    <n v="5"/>
    <n v="1.1100000000000001"/>
    <x v="1"/>
  </r>
  <r>
    <s v="2e4826ea-64a8-4eae-84f2-4e5e2c104656"/>
    <n v="70"/>
    <x v="4"/>
    <x v="0"/>
    <x v="1"/>
    <n v="9.25"/>
    <n v="8"/>
    <x v="2"/>
    <x v="4"/>
    <n v="17.989999999999998"/>
    <x v="0"/>
    <x v="3"/>
    <n v="5"/>
    <n v="1.03"/>
    <x v="5"/>
  </r>
  <r>
    <s v="72836765-0277-45c6-8517-86670c85cc1c"/>
    <n v="70"/>
    <x v="4"/>
    <x v="1"/>
    <x v="0"/>
    <n v="1.34"/>
    <n v="0"/>
    <x v="0"/>
    <x v="0"/>
    <n v="13.99"/>
    <x v="0"/>
    <x v="1"/>
    <n v="1"/>
    <n v="1.34"/>
    <x v="5"/>
  </r>
  <r>
    <s v="bfc31455-3690-4b1c-8b1d-7c920788dacd"/>
    <n v="64"/>
    <x v="4"/>
    <x v="2"/>
    <x v="1"/>
    <n v="3.74"/>
    <n v="32"/>
    <x v="4"/>
    <x v="4"/>
    <n v="17.989999999999998"/>
    <x v="1"/>
    <x v="3"/>
    <n v="3"/>
    <n v="0.11"/>
    <x v="0"/>
  </r>
  <r>
    <s v="9adb0b11-3199-438c-9b3c-59dee22c6b27"/>
    <n v="59"/>
    <x v="4"/>
    <x v="1"/>
    <x v="1"/>
    <n v="32.81"/>
    <n v="0"/>
    <x v="4"/>
    <x v="1"/>
    <n v="17.989999999999998"/>
    <x v="0"/>
    <x v="1"/>
    <n v="3"/>
    <n v="32.81"/>
    <x v="6"/>
  </r>
  <r>
    <s v="817458bd-a260-4430-b45e-f81d607fb449"/>
    <n v="60"/>
    <x v="4"/>
    <x v="2"/>
    <x v="1"/>
    <n v="6.91"/>
    <n v="46"/>
    <x v="4"/>
    <x v="4"/>
    <n v="17.989999999999998"/>
    <x v="1"/>
    <x v="1"/>
    <n v="1"/>
    <n v="0.15"/>
    <x v="3"/>
  </r>
  <r>
    <s v="219a55d5-2799-4e22-9e75-ef4fe26ed9cd"/>
    <n v="60"/>
    <x v="4"/>
    <x v="0"/>
    <x v="2"/>
    <n v="4.46"/>
    <n v="10"/>
    <x v="1"/>
    <x v="1"/>
    <n v="8.99"/>
    <x v="1"/>
    <x v="4"/>
    <n v="5"/>
    <n v="0.41"/>
    <x v="3"/>
  </r>
  <r>
    <s v="6d10f486-9b5f-4cd3-b85b-fc27a5a5595d"/>
    <n v="69"/>
    <x v="4"/>
    <x v="1"/>
    <x v="2"/>
    <n v="2.16"/>
    <n v="57"/>
    <x v="1"/>
    <x v="4"/>
    <n v="8.99"/>
    <x v="1"/>
    <x v="0"/>
    <n v="2"/>
    <n v="0.04"/>
    <x v="3"/>
  </r>
  <r>
    <s v="26024fd4-7715-4460-ae23-4e78f477a652"/>
    <n v="69"/>
    <x v="4"/>
    <x v="0"/>
    <x v="1"/>
    <n v="1.75"/>
    <n v="6"/>
    <x v="5"/>
    <x v="2"/>
    <n v="17.989999999999998"/>
    <x v="0"/>
    <x v="3"/>
    <n v="5"/>
    <n v="0.25"/>
    <x v="4"/>
  </r>
  <r>
    <s v="4b051c08-de8a-4d4e-a445-efb30be01528"/>
    <n v="68"/>
    <x v="4"/>
    <x v="2"/>
    <x v="1"/>
    <n v="10"/>
    <n v="60"/>
    <x v="4"/>
    <x v="3"/>
    <n v="17.989999999999998"/>
    <x v="1"/>
    <x v="0"/>
    <n v="4"/>
    <n v="0.16"/>
    <x v="2"/>
  </r>
  <r>
    <s v="2f01c18c-8ac5-4b63-873e-fe10605673e3"/>
    <n v="55"/>
    <x v="4"/>
    <x v="1"/>
    <x v="1"/>
    <n v="2.69"/>
    <n v="37"/>
    <x v="3"/>
    <x v="0"/>
    <n v="17.989999999999998"/>
    <x v="1"/>
    <x v="1"/>
    <n v="2"/>
    <n v="7.0000000000000007E-2"/>
    <x v="6"/>
  </r>
  <r>
    <s v="ab672cb5-ca3c-4c41-8f60-05033fd5a24f"/>
    <n v="70"/>
    <x v="4"/>
    <x v="2"/>
    <x v="0"/>
    <n v="17.8"/>
    <n v="48"/>
    <x v="4"/>
    <x v="2"/>
    <n v="13.99"/>
    <x v="1"/>
    <x v="4"/>
    <n v="2"/>
    <n v="0.36"/>
    <x v="0"/>
  </r>
  <r>
    <s v="5a322090-313f-4308-ab38-8fdf937cc37e"/>
    <n v="56"/>
    <x v="4"/>
    <x v="1"/>
    <x v="1"/>
    <n v="36.200000000000003"/>
    <n v="3"/>
    <x v="1"/>
    <x v="2"/>
    <n v="17.989999999999998"/>
    <x v="0"/>
    <x v="4"/>
    <n v="5"/>
    <n v="9.0500000000000007"/>
    <x v="6"/>
  </r>
  <r>
    <s v="612e9485-7864-4dcb-83be-bc58c403719e"/>
    <n v="68"/>
    <x v="4"/>
    <x v="2"/>
    <x v="0"/>
    <n v="0.88"/>
    <n v="32"/>
    <x v="1"/>
    <x v="1"/>
    <n v="13.99"/>
    <x v="1"/>
    <x v="2"/>
    <n v="3"/>
    <n v="0.03"/>
    <x v="5"/>
  </r>
  <r>
    <s v="f140d0f2-16e8-44d1-b48c-2d1cc316939e"/>
    <n v="59"/>
    <x v="4"/>
    <x v="1"/>
    <x v="2"/>
    <n v="12.02"/>
    <n v="4"/>
    <x v="4"/>
    <x v="2"/>
    <n v="8.99"/>
    <x v="0"/>
    <x v="0"/>
    <n v="2"/>
    <n v="2.4"/>
    <x v="3"/>
  </r>
  <r>
    <s v="f4223a44-e729-4eb9-afca-28680c9cdb21"/>
    <n v="58"/>
    <x v="4"/>
    <x v="2"/>
    <x v="2"/>
    <n v="14.69"/>
    <n v="30"/>
    <x v="1"/>
    <x v="0"/>
    <n v="8.99"/>
    <x v="1"/>
    <x v="0"/>
    <n v="2"/>
    <n v="0.47"/>
    <x v="2"/>
  </r>
  <r>
    <s v="4a019852-cd31-4f1a-ab65-fce6b1b4fa01"/>
    <n v="62"/>
    <x v="4"/>
    <x v="0"/>
    <x v="1"/>
    <n v="6.03"/>
    <n v="49"/>
    <x v="5"/>
    <x v="0"/>
    <n v="17.989999999999998"/>
    <x v="1"/>
    <x v="1"/>
    <n v="2"/>
    <n v="0.12"/>
    <x v="2"/>
  </r>
  <r>
    <s v="8ad33487-24c0-448e-a75a-35ec18a47e30"/>
    <n v="58"/>
    <x v="4"/>
    <x v="1"/>
    <x v="0"/>
    <n v="14.37"/>
    <n v="1"/>
    <x v="4"/>
    <x v="0"/>
    <n v="13.99"/>
    <x v="0"/>
    <x v="1"/>
    <n v="3"/>
    <n v="7.18"/>
    <x v="3"/>
  </r>
  <r>
    <s v="1646d3ef-e240-4ca8-8594-d79116550b71"/>
    <n v="57"/>
    <x v="4"/>
    <x v="1"/>
    <x v="1"/>
    <n v="13.72"/>
    <n v="29"/>
    <x v="2"/>
    <x v="3"/>
    <n v="17.989999999999998"/>
    <x v="0"/>
    <x v="2"/>
    <n v="1"/>
    <n v="0.46"/>
    <x v="6"/>
  </r>
  <r>
    <s v="4115cbbb-3de8-46ef-a43f-b338d350ad79"/>
    <n v="64"/>
    <x v="4"/>
    <x v="1"/>
    <x v="2"/>
    <n v="0.95"/>
    <n v="50"/>
    <x v="3"/>
    <x v="4"/>
    <n v="8.99"/>
    <x v="1"/>
    <x v="2"/>
    <n v="2"/>
    <n v="0.02"/>
    <x v="3"/>
  </r>
  <r>
    <s v="83d9f3d1-27b2-46d3-b2c5-6803bb220f4d"/>
    <n v="56"/>
    <x v="4"/>
    <x v="1"/>
    <x v="0"/>
    <n v="34.799999999999997"/>
    <n v="2"/>
    <x v="5"/>
    <x v="3"/>
    <n v="13.99"/>
    <x v="0"/>
    <x v="1"/>
    <n v="4"/>
    <n v="11.6"/>
    <x v="0"/>
  </r>
  <r>
    <s v="31fa49f8-825a-4ea0-8ac6-ea7101ad0bda"/>
    <n v="59"/>
    <x v="4"/>
    <x v="1"/>
    <x v="1"/>
    <n v="10.17"/>
    <n v="14"/>
    <x v="2"/>
    <x v="1"/>
    <n v="17.989999999999998"/>
    <x v="0"/>
    <x v="1"/>
    <n v="3"/>
    <n v="0.68"/>
    <x v="3"/>
  </r>
  <r>
    <s v="a9815df5-69e5-4cb7-9cdd-e7e47b879875"/>
    <n v="68"/>
    <x v="4"/>
    <x v="1"/>
    <x v="1"/>
    <n v="13.82"/>
    <n v="44"/>
    <x v="5"/>
    <x v="0"/>
    <n v="17.989999999999998"/>
    <x v="1"/>
    <x v="4"/>
    <n v="4"/>
    <n v="0.31"/>
    <x v="1"/>
  </r>
  <r>
    <s v="351a509c-28ab-4e97-8ac2-d8addfe48e93"/>
    <n v="59"/>
    <x v="4"/>
    <x v="1"/>
    <x v="0"/>
    <n v="19.18"/>
    <n v="20"/>
    <x v="5"/>
    <x v="3"/>
    <n v="13.99"/>
    <x v="0"/>
    <x v="0"/>
    <n v="2"/>
    <n v="0.91"/>
    <x v="2"/>
  </r>
  <r>
    <s v="79aa6450-52e2-4c0e-9efe-969afaa8c252"/>
    <n v="56"/>
    <x v="4"/>
    <x v="2"/>
    <x v="1"/>
    <n v="42.86"/>
    <n v="41"/>
    <x v="1"/>
    <x v="0"/>
    <n v="17.989999999999998"/>
    <x v="0"/>
    <x v="3"/>
    <n v="3"/>
    <n v="1.02"/>
    <x v="3"/>
  </r>
  <r>
    <s v="c004d46a-3676-4c1f-bd2a-b3ca2c55389d"/>
    <n v="63"/>
    <x v="4"/>
    <x v="1"/>
    <x v="0"/>
    <n v="1.38"/>
    <n v="0"/>
    <x v="5"/>
    <x v="3"/>
    <n v="13.99"/>
    <x v="0"/>
    <x v="4"/>
    <n v="4"/>
    <n v="1.38"/>
    <x v="6"/>
  </r>
  <r>
    <s v="56ba0529-b5aa-48e2-ba5b-154e594ce824"/>
    <n v="57"/>
    <x v="4"/>
    <x v="1"/>
    <x v="1"/>
    <n v="7.31"/>
    <n v="53"/>
    <x v="5"/>
    <x v="4"/>
    <n v="17.989999999999998"/>
    <x v="1"/>
    <x v="3"/>
    <n v="3"/>
    <n v="0.14000000000000001"/>
    <x v="4"/>
  </r>
  <r>
    <s v="633ce2e6-3297-4e35-83ac-1eb8ebb10331"/>
    <n v="58"/>
    <x v="4"/>
    <x v="0"/>
    <x v="2"/>
    <n v="31.06"/>
    <n v="38"/>
    <x v="4"/>
    <x v="2"/>
    <n v="8.99"/>
    <x v="0"/>
    <x v="3"/>
    <n v="2"/>
    <n v="0.8"/>
    <x v="6"/>
  </r>
  <r>
    <s v="fff878e7-afef-4b0f-9934-6f5b2819e20d"/>
    <n v="58"/>
    <x v="4"/>
    <x v="0"/>
    <x v="2"/>
    <n v="3.41"/>
    <n v="34"/>
    <x v="5"/>
    <x v="4"/>
    <n v="8.99"/>
    <x v="1"/>
    <x v="4"/>
    <n v="2"/>
    <n v="0.1"/>
    <x v="6"/>
  </r>
  <r>
    <s v="3d98a1f8-5893-42da-b18d-59e48283ec63"/>
    <n v="69"/>
    <x v="4"/>
    <x v="0"/>
    <x v="2"/>
    <n v="16.43"/>
    <n v="10"/>
    <x v="5"/>
    <x v="4"/>
    <n v="8.99"/>
    <x v="0"/>
    <x v="1"/>
    <n v="1"/>
    <n v="1.49"/>
    <x v="3"/>
  </r>
  <r>
    <s v="6d950e48-0e13-4e8f-a6d7-2c30b2ec6529"/>
    <n v="55"/>
    <x v="4"/>
    <x v="1"/>
    <x v="2"/>
    <n v="11.13"/>
    <n v="24"/>
    <x v="0"/>
    <x v="1"/>
    <n v="8.99"/>
    <x v="0"/>
    <x v="0"/>
    <n v="4"/>
    <n v="0.45"/>
    <x v="4"/>
  </r>
  <r>
    <s v="f967ac11-3d04-4c44-a518-5e6f432cd0c0"/>
    <n v="60"/>
    <x v="4"/>
    <x v="0"/>
    <x v="0"/>
    <n v="5.0199999999999996"/>
    <n v="26"/>
    <x v="5"/>
    <x v="4"/>
    <n v="13.99"/>
    <x v="0"/>
    <x v="0"/>
    <n v="3"/>
    <n v="0.19"/>
    <x v="2"/>
  </r>
  <r>
    <s v="be92bfd0-a5a6-431a-b376-dd8207dd32d2"/>
    <n v="63"/>
    <x v="4"/>
    <x v="2"/>
    <x v="0"/>
    <n v="15.51"/>
    <n v="9"/>
    <x v="2"/>
    <x v="1"/>
    <n v="13.99"/>
    <x v="0"/>
    <x v="3"/>
    <n v="1"/>
    <n v="1.55"/>
    <x v="3"/>
  </r>
  <r>
    <s v="651e01c7-45b6-44ef-a851-16dd82b0d92f"/>
    <n v="58"/>
    <x v="4"/>
    <x v="0"/>
    <x v="2"/>
    <n v="11.9"/>
    <n v="36"/>
    <x v="0"/>
    <x v="4"/>
    <n v="8.99"/>
    <x v="1"/>
    <x v="3"/>
    <n v="3"/>
    <n v="0.32"/>
    <x v="5"/>
  </r>
  <r>
    <s v="ea772153-fc26-4ae7-9a01-f0c441d77bac"/>
    <n v="61"/>
    <x v="4"/>
    <x v="0"/>
    <x v="0"/>
    <n v="4.1900000000000004"/>
    <n v="30"/>
    <x v="2"/>
    <x v="0"/>
    <n v="13.99"/>
    <x v="1"/>
    <x v="0"/>
    <n v="2"/>
    <n v="0.14000000000000001"/>
    <x v="1"/>
  </r>
  <r>
    <s v="41c3b640-f804-4274-8b9b-10c9ad380348"/>
    <n v="56"/>
    <x v="4"/>
    <x v="0"/>
    <x v="0"/>
    <n v="3.8"/>
    <n v="26"/>
    <x v="3"/>
    <x v="3"/>
    <n v="13.99"/>
    <x v="1"/>
    <x v="2"/>
    <n v="2"/>
    <n v="0.14000000000000001"/>
    <x v="4"/>
  </r>
  <r>
    <s v="470957a2-9765-4376-bd45-7b0c8ae3fdac"/>
    <n v="65"/>
    <x v="4"/>
    <x v="0"/>
    <x v="0"/>
    <n v="50.15"/>
    <n v="13"/>
    <x v="2"/>
    <x v="1"/>
    <n v="13.99"/>
    <x v="0"/>
    <x v="2"/>
    <n v="3"/>
    <n v="3.58"/>
    <x v="6"/>
  </r>
  <r>
    <s v="dc9c76a8-0447-4ba5-ae03-cf1babba783b"/>
    <n v="65"/>
    <x v="4"/>
    <x v="1"/>
    <x v="0"/>
    <n v="9.15"/>
    <n v="30"/>
    <x v="1"/>
    <x v="1"/>
    <n v="13.99"/>
    <x v="0"/>
    <x v="4"/>
    <n v="4"/>
    <n v="0.3"/>
    <x v="2"/>
  </r>
  <r>
    <s v="13869085-2e02-4a17-add2-47d51472d671"/>
    <n v="64"/>
    <x v="4"/>
    <x v="2"/>
    <x v="1"/>
    <n v="16.62"/>
    <n v="58"/>
    <x v="0"/>
    <x v="4"/>
    <n v="17.989999999999998"/>
    <x v="0"/>
    <x v="2"/>
    <n v="5"/>
    <n v="0.28000000000000003"/>
    <x v="5"/>
  </r>
  <r>
    <s v="e160466a-f14f-4ad4-b190-ab9ffd5c2a27"/>
    <n v="67"/>
    <x v="4"/>
    <x v="1"/>
    <x v="2"/>
    <n v="4.62"/>
    <n v="33"/>
    <x v="4"/>
    <x v="2"/>
    <n v="8.99"/>
    <x v="1"/>
    <x v="0"/>
    <n v="5"/>
    <n v="0.14000000000000001"/>
    <x v="2"/>
  </r>
  <r>
    <s v="f6c82890-a67e-4c6c-bc25-c0942e667b1a"/>
    <n v="61"/>
    <x v="4"/>
    <x v="1"/>
    <x v="0"/>
    <n v="4.12"/>
    <n v="0"/>
    <x v="3"/>
    <x v="3"/>
    <n v="13.99"/>
    <x v="0"/>
    <x v="0"/>
    <n v="1"/>
    <n v="4.12"/>
    <x v="4"/>
  </r>
  <r>
    <s v="c8c6df6c-920d-4f3c-80b1-8607d13c62dd"/>
    <n v="67"/>
    <x v="4"/>
    <x v="2"/>
    <x v="0"/>
    <n v="0.08"/>
    <n v="20"/>
    <x v="4"/>
    <x v="2"/>
    <n v="13.99"/>
    <x v="1"/>
    <x v="4"/>
    <n v="2"/>
    <n v="0"/>
    <x v="0"/>
  </r>
  <r>
    <s v="84057a35-72ad-4922-8c79-4bdd241b83c3"/>
    <n v="69"/>
    <x v="4"/>
    <x v="0"/>
    <x v="1"/>
    <n v="5.48"/>
    <n v="54"/>
    <x v="4"/>
    <x v="1"/>
    <n v="17.989999999999998"/>
    <x v="1"/>
    <x v="4"/>
    <n v="5"/>
    <n v="0.1"/>
    <x v="3"/>
  </r>
  <r>
    <s v="36562aee-2f47-41c0-8455-e0ad53858c3c"/>
    <n v="55"/>
    <x v="4"/>
    <x v="1"/>
    <x v="2"/>
    <n v="28.25"/>
    <n v="23"/>
    <x v="3"/>
    <x v="0"/>
    <n v="8.99"/>
    <x v="0"/>
    <x v="2"/>
    <n v="1"/>
    <n v="1.18"/>
    <x v="3"/>
  </r>
  <r>
    <s v="ad57c204-f497-4f4b-88fb-03a6ed249a42"/>
    <n v="70"/>
    <x v="4"/>
    <x v="2"/>
    <x v="1"/>
    <n v="5.62"/>
    <n v="25"/>
    <x v="1"/>
    <x v="3"/>
    <n v="17.989999999999998"/>
    <x v="0"/>
    <x v="2"/>
    <n v="3"/>
    <n v="0.22"/>
    <x v="1"/>
  </r>
  <r>
    <s v="37e9a389-655c-4b71-a5f8-ceb53a4b0728"/>
    <n v="70"/>
    <x v="4"/>
    <x v="2"/>
    <x v="0"/>
    <n v="15.52"/>
    <n v="12"/>
    <x v="3"/>
    <x v="2"/>
    <n v="13.99"/>
    <x v="0"/>
    <x v="4"/>
    <n v="5"/>
    <n v="1.19"/>
    <x v="0"/>
  </r>
  <r>
    <s v="f812b295-fffc-4248-9068-a94a1f30bba7"/>
    <n v="70"/>
    <x v="4"/>
    <x v="0"/>
    <x v="0"/>
    <n v="3.06"/>
    <n v="57"/>
    <x v="4"/>
    <x v="0"/>
    <n v="13.99"/>
    <x v="1"/>
    <x v="2"/>
    <n v="4"/>
    <n v="0.05"/>
    <x v="1"/>
  </r>
  <r>
    <s v="ac2992f2-0f0b-410e-acc3-cd2df1cc164d"/>
    <n v="63"/>
    <x v="4"/>
    <x v="1"/>
    <x v="2"/>
    <n v="36.14"/>
    <n v="53"/>
    <x v="1"/>
    <x v="2"/>
    <n v="8.99"/>
    <x v="0"/>
    <x v="2"/>
    <n v="4"/>
    <n v="0.67"/>
    <x v="0"/>
  </r>
  <r>
    <s v="2cc8e207-22d5-4fb0-a161-45d411d07da6"/>
    <n v="58"/>
    <x v="4"/>
    <x v="0"/>
    <x v="1"/>
    <n v="8.5299999999999994"/>
    <n v="48"/>
    <x v="5"/>
    <x v="1"/>
    <n v="17.989999999999998"/>
    <x v="0"/>
    <x v="3"/>
    <n v="4"/>
    <n v="0.17"/>
    <x v="2"/>
  </r>
  <r>
    <s v="7d760c06-d947-48e0-8db5-f5329387d1ef"/>
    <n v="66"/>
    <x v="4"/>
    <x v="1"/>
    <x v="1"/>
    <n v="1.02"/>
    <n v="15"/>
    <x v="1"/>
    <x v="2"/>
    <n v="17.989999999999998"/>
    <x v="1"/>
    <x v="4"/>
    <n v="5"/>
    <n v="0.06"/>
    <x v="1"/>
  </r>
  <r>
    <s v="ecdc67bf-2219-48d4-ad54-61842802c67c"/>
    <n v="55"/>
    <x v="4"/>
    <x v="0"/>
    <x v="0"/>
    <n v="3.81"/>
    <n v="2"/>
    <x v="5"/>
    <x v="0"/>
    <n v="13.99"/>
    <x v="0"/>
    <x v="4"/>
    <n v="1"/>
    <n v="1.27"/>
    <x v="6"/>
  </r>
  <r>
    <s v="bd92a3f0-63ff-4e60-8ebd-7789d7318af9"/>
    <n v="70"/>
    <x v="4"/>
    <x v="1"/>
    <x v="0"/>
    <n v="4.66"/>
    <n v="43"/>
    <x v="4"/>
    <x v="0"/>
    <n v="13.99"/>
    <x v="1"/>
    <x v="1"/>
    <n v="2"/>
    <n v="0.11"/>
    <x v="2"/>
  </r>
  <r>
    <s v="7cdf9e69-0b07-42dc-8aa9-225c8cdf6904"/>
    <n v="70"/>
    <x v="4"/>
    <x v="2"/>
    <x v="1"/>
    <n v="18.46"/>
    <n v="8"/>
    <x v="4"/>
    <x v="0"/>
    <n v="17.989999999999998"/>
    <x v="0"/>
    <x v="2"/>
    <n v="4"/>
    <n v="2.0499999999999998"/>
    <x v="5"/>
  </r>
  <r>
    <s v="10e56352-8dce-4ba9-a452-87405310c972"/>
    <n v="57"/>
    <x v="4"/>
    <x v="1"/>
    <x v="0"/>
    <n v="9.9"/>
    <n v="45"/>
    <x v="4"/>
    <x v="2"/>
    <n v="13.99"/>
    <x v="0"/>
    <x v="1"/>
    <n v="4"/>
    <n v="0.22"/>
    <x v="5"/>
  </r>
  <r>
    <s v="e3a08f87-a693-47d8-a47e-cf071d5c1d71"/>
    <n v="58"/>
    <x v="4"/>
    <x v="0"/>
    <x v="1"/>
    <n v="14.52"/>
    <n v="42"/>
    <x v="0"/>
    <x v="3"/>
    <n v="17.989999999999998"/>
    <x v="1"/>
    <x v="3"/>
    <n v="1"/>
    <n v="0.34"/>
    <x v="2"/>
  </r>
  <r>
    <s v="0b4eb218-348c-4c68-a3a5-08e7993b303a"/>
    <n v="56"/>
    <x v="4"/>
    <x v="0"/>
    <x v="0"/>
    <n v="35.01"/>
    <n v="2"/>
    <x v="0"/>
    <x v="3"/>
    <n v="13.99"/>
    <x v="0"/>
    <x v="0"/>
    <n v="4"/>
    <n v="11.67"/>
    <x v="6"/>
  </r>
  <r>
    <s v="e6dd515f-7399-4451-8a24-6e0ffda79f66"/>
    <n v="67"/>
    <x v="4"/>
    <x v="1"/>
    <x v="0"/>
    <n v="9.09"/>
    <n v="37"/>
    <x v="2"/>
    <x v="1"/>
    <n v="13.99"/>
    <x v="1"/>
    <x v="0"/>
    <n v="4"/>
    <n v="0.24"/>
    <x v="2"/>
  </r>
  <r>
    <s v="a54a7593-d55e-4f30-b27b-56c9b17b6bb6"/>
    <n v="68"/>
    <x v="4"/>
    <x v="2"/>
    <x v="0"/>
    <n v="7.02"/>
    <n v="58"/>
    <x v="5"/>
    <x v="3"/>
    <n v="13.99"/>
    <x v="0"/>
    <x v="1"/>
    <n v="4"/>
    <n v="0.12"/>
    <x v="4"/>
  </r>
  <r>
    <s v="7fe742a0-9a13-4740-93f2-7de97369def0"/>
    <n v="57"/>
    <x v="4"/>
    <x v="0"/>
    <x v="1"/>
    <n v="4.83"/>
    <n v="3"/>
    <x v="5"/>
    <x v="3"/>
    <n v="17.989999999999998"/>
    <x v="0"/>
    <x v="2"/>
    <n v="4"/>
    <n v="1.21"/>
    <x v="1"/>
  </r>
  <r>
    <s v="e8a364a4-feae-43f7-805e-eca0a2ba8b9c"/>
    <n v="55"/>
    <x v="4"/>
    <x v="1"/>
    <x v="1"/>
    <n v="7.53"/>
    <n v="8"/>
    <x v="5"/>
    <x v="0"/>
    <n v="17.989999999999998"/>
    <x v="0"/>
    <x v="0"/>
    <n v="2"/>
    <n v="0.84"/>
    <x v="2"/>
  </r>
  <r>
    <s v="1d57d21e-088d-4e30-9d26-a22f243d2cfd"/>
    <n v="70"/>
    <x v="4"/>
    <x v="1"/>
    <x v="2"/>
    <n v="11.44"/>
    <n v="3"/>
    <x v="0"/>
    <x v="0"/>
    <n v="8.99"/>
    <x v="0"/>
    <x v="3"/>
    <n v="4"/>
    <n v="2.86"/>
    <x v="4"/>
  </r>
  <r>
    <s v="586bee8a-9719-4537-ab4a-5ce2b2a584fa"/>
    <n v="57"/>
    <x v="4"/>
    <x v="2"/>
    <x v="2"/>
    <n v="28.44"/>
    <n v="41"/>
    <x v="4"/>
    <x v="2"/>
    <n v="8.99"/>
    <x v="0"/>
    <x v="2"/>
    <n v="1"/>
    <n v="0.68"/>
    <x v="1"/>
  </r>
  <r>
    <s v="1d2a4f65-52e7-4608-8b68-eb5bd4cdffe7"/>
    <n v="64"/>
    <x v="4"/>
    <x v="0"/>
    <x v="0"/>
    <n v="12.66"/>
    <n v="36"/>
    <x v="4"/>
    <x v="2"/>
    <n v="13.99"/>
    <x v="1"/>
    <x v="0"/>
    <n v="2"/>
    <n v="0.34"/>
    <x v="2"/>
  </r>
  <r>
    <s v="2dae5422-290c-43f5-86a0-1b32d4ac035b"/>
    <n v="69"/>
    <x v="4"/>
    <x v="1"/>
    <x v="1"/>
    <n v="3.05"/>
    <n v="57"/>
    <x v="1"/>
    <x v="0"/>
    <n v="17.989999999999998"/>
    <x v="1"/>
    <x v="3"/>
    <n v="4"/>
    <n v="0.05"/>
    <x v="1"/>
  </r>
  <r>
    <s v="44b4f479-0f54-4647-b5fc-eca9657724ce"/>
    <n v="65"/>
    <x v="4"/>
    <x v="2"/>
    <x v="1"/>
    <n v="5.0199999999999996"/>
    <n v="51"/>
    <x v="3"/>
    <x v="1"/>
    <n v="17.989999999999998"/>
    <x v="1"/>
    <x v="0"/>
    <n v="3"/>
    <n v="0.1"/>
    <x v="1"/>
  </r>
  <r>
    <s v="08b88a8c-5cf1-4443-8735-cb68e6ec3769"/>
    <n v="62"/>
    <x v="4"/>
    <x v="1"/>
    <x v="2"/>
    <n v="30.35"/>
    <n v="29"/>
    <x v="5"/>
    <x v="4"/>
    <n v="8.99"/>
    <x v="0"/>
    <x v="1"/>
    <n v="2"/>
    <n v="1.01"/>
    <x v="0"/>
  </r>
  <r>
    <s v="3b324e22-6303-4712-b779-d62414ac4ecc"/>
    <n v="63"/>
    <x v="4"/>
    <x v="2"/>
    <x v="2"/>
    <n v="6.79"/>
    <n v="46"/>
    <x v="0"/>
    <x v="4"/>
    <n v="8.99"/>
    <x v="1"/>
    <x v="2"/>
    <n v="1"/>
    <n v="0.14000000000000001"/>
    <x v="1"/>
  </r>
  <r>
    <s v="8bfa387d-bfd3-411f-ab70-4754993bc947"/>
    <n v="57"/>
    <x v="4"/>
    <x v="2"/>
    <x v="1"/>
    <n v="14.69"/>
    <n v="12"/>
    <x v="3"/>
    <x v="3"/>
    <n v="17.989999999999998"/>
    <x v="0"/>
    <x v="0"/>
    <n v="5"/>
    <n v="1.1299999999999999"/>
    <x v="6"/>
  </r>
  <r>
    <s v="f2bd18f7-ed02-4f34-980e-1c7dba261108"/>
    <n v="56"/>
    <x v="4"/>
    <x v="0"/>
    <x v="1"/>
    <n v="8.83"/>
    <n v="10"/>
    <x v="1"/>
    <x v="4"/>
    <n v="17.989999999999998"/>
    <x v="0"/>
    <x v="1"/>
    <n v="1"/>
    <n v="0.8"/>
    <x v="5"/>
  </r>
  <r>
    <s v="fedb3f81-a21c-43fe-839b-fcb7c0252e68"/>
    <n v="66"/>
    <x v="4"/>
    <x v="1"/>
    <x v="2"/>
    <n v="31.95"/>
    <n v="12"/>
    <x v="3"/>
    <x v="2"/>
    <n v="8.99"/>
    <x v="0"/>
    <x v="1"/>
    <n v="4"/>
    <n v="2.46"/>
    <x v="2"/>
  </r>
  <r>
    <s v="886e8d80-2dd5-42ef-82ce-513b690759b0"/>
    <n v="64"/>
    <x v="4"/>
    <x v="2"/>
    <x v="0"/>
    <n v="28.71"/>
    <n v="15"/>
    <x v="2"/>
    <x v="2"/>
    <n v="13.99"/>
    <x v="0"/>
    <x v="3"/>
    <n v="4"/>
    <n v="1.79"/>
    <x v="5"/>
  </r>
  <r>
    <s v="81882b96-2263-47c0-be9a-895d4c8983d3"/>
    <n v="70"/>
    <x v="4"/>
    <x v="1"/>
    <x v="1"/>
    <n v="12.08"/>
    <n v="16"/>
    <x v="5"/>
    <x v="1"/>
    <n v="17.989999999999998"/>
    <x v="0"/>
    <x v="4"/>
    <n v="5"/>
    <n v="0.71"/>
    <x v="1"/>
  </r>
  <r>
    <s v="ce4f1f9b-06d3-4ed6-a75c-bc1d13e5cbec"/>
    <n v="62"/>
    <x v="4"/>
    <x v="1"/>
    <x v="2"/>
    <n v="0.98"/>
    <n v="36"/>
    <x v="1"/>
    <x v="3"/>
    <n v="8.99"/>
    <x v="1"/>
    <x v="4"/>
    <n v="4"/>
    <n v="0.03"/>
    <x v="1"/>
  </r>
  <r>
    <s v="6e006abe-2672-4309-9303-6ca60ffd2e60"/>
    <n v="56"/>
    <x v="4"/>
    <x v="0"/>
    <x v="2"/>
    <n v="2.98"/>
    <n v="37"/>
    <x v="2"/>
    <x v="3"/>
    <n v="8.99"/>
    <x v="1"/>
    <x v="4"/>
    <n v="4"/>
    <n v="0.08"/>
    <x v="6"/>
  </r>
  <r>
    <s v="3cf2407f-5d20-4c4c-aa54-7f5ca07e0183"/>
    <n v="66"/>
    <x v="4"/>
    <x v="2"/>
    <x v="2"/>
    <n v="16.190000000000001"/>
    <n v="25"/>
    <x v="3"/>
    <x v="0"/>
    <n v="8.99"/>
    <x v="0"/>
    <x v="4"/>
    <n v="4"/>
    <n v="0.62"/>
    <x v="0"/>
  </r>
  <r>
    <s v="47c7ceb4-e638-4732-abbf-708c055d13f5"/>
    <n v="68"/>
    <x v="4"/>
    <x v="1"/>
    <x v="1"/>
    <n v="3.15"/>
    <n v="1"/>
    <x v="3"/>
    <x v="4"/>
    <n v="17.989999999999998"/>
    <x v="0"/>
    <x v="2"/>
    <n v="3"/>
    <n v="1.57"/>
    <x v="2"/>
  </r>
  <r>
    <s v="8511ae79-b03f-432b-bac6-1933649f2b24"/>
    <n v="56"/>
    <x v="4"/>
    <x v="2"/>
    <x v="1"/>
    <n v="24.37"/>
    <n v="26"/>
    <x v="1"/>
    <x v="1"/>
    <n v="17.989999999999998"/>
    <x v="0"/>
    <x v="3"/>
    <n v="3"/>
    <n v="0.9"/>
    <x v="4"/>
  </r>
  <r>
    <s v="9204fff6-14fd-45be-ab46-1cd5efe61aff"/>
    <n v="59"/>
    <x v="4"/>
    <x v="2"/>
    <x v="1"/>
    <n v="12.39"/>
    <n v="29"/>
    <x v="5"/>
    <x v="4"/>
    <n v="17.989999999999998"/>
    <x v="0"/>
    <x v="2"/>
    <n v="2"/>
    <n v="0.41"/>
    <x v="3"/>
  </r>
  <r>
    <s v="95718011-6fd5-45fc-a8f1-4edcd8cadcbf"/>
    <n v="64"/>
    <x v="4"/>
    <x v="0"/>
    <x v="2"/>
    <n v="2.11"/>
    <n v="31"/>
    <x v="3"/>
    <x v="4"/>
    <n v="8.99"/>
    <x v="1"/>
    <x v="1"/>
    <n v="4"/>
    <n v="7.0000000000000007E-2"/>
    <x v="5"/>
  </r>
  <r>
    <s v="080276bb-8ca9-4584-bd17-e42062a10a56"/>
    <n v="56"/>
    <x v="4"/>
    <x v="2"/>
    <x v="1"/>
    <n v="3.93"/>
    <n v="27"/>
    <x v="0"/>
    <x v="0"/>
    <n v="17.989999999999998"/>
    <x v="0"/>
    <x v="3"/>
    <n v="4"/>
    <n v="0.14000000000000001"/>
    <x v="0"/>
  </r>
  <r>
    <s v="26b02b3c-52b1-4c5e-b5d7-62e599a4e310"/>
    <n v="65"/>
    <x v="4"/>
    <x v="2"/>
    <x v="2"/>
    <n v="4.8499999999999996"/>
    <n v="45"/>
    <x v="3"/>
    <x v="1"/>
    <n v="8.99"/>
    <x v="1"/>
    <x v="0"/>
    <n v="4"/>
    <n v="0.11"/>
    <x v="4"/>
  </r>
  <r>
    <s v="75019d85-6f3c-4332-a407-7ff4f9a5da92"/>
    <n v="59"/>
    <x v="4"/>
    <x v="1"/>
    <x v="1"/>
    <n v="7.26"/>
    <n v="30"/>
    <x v="0"/>
    <x v="2"/>
    <n v="17.989999999999998"/>
    <x v="0"/>
    <x v="4"/>
    <n v="4"/>
    <n v="0.23"/>
    <x v="0"/>
  </r>
  <r>
    <s v="038a3b7a-2156-496b-95dc-1a141efbf296"/>
    <n v="64"/>
    <x v="4"/>
    <x v="2"/>
    <x v="1"/>
    <n v="31.16"/>
    <n v="47"/>
    <x v="5"/>
    <x v="2"/>
    <n v="17.989999999999998"/>
    <x v="0"/>
    <x v="2"/>
    <n v="5"/>
    <n v="0.65"/>
    <x v="4"/>
  </r>
  <r>
    <s v="bcf1e773-449b-4e76-878a-9e9620465707"/>
    <n v="55"/>
    <x v="4"/>
    <x v="0"/>
    <x v="1"/>
    <n v="9.76"/>
    <n v="37"/>
    <x v="1"/>
    <x v="3"/>
    <n v="17.989999999999998"/>
    <x v="1"/>
    <x v="4"/>
    <n v="2"/>
    <n v="0.26"/>
    <x v="0"/>
  </r>
  <r>
    <s v="e2204612-d947-4f10-8e02-a7e9aa6e4ee8"/>
    <n v="58"/>
    <x v="4"/>
    <x v="1"/>
    <x v="2"/>
    <n v="1.03"/>
    <n v="50"/>
    <x v="3"/>
    <x v="2"/>
    <n v="8.99"/>
    <x v="1"/>
    <x v="2"/>
    <n v="4"/>
    <n v="0.02"/>
    <x v="0"/>
  </r>
  <r>
    <s v="f566b553-8b4f-48d7-90f0-0b21c62cfc5b"/>
    <n v="70"/>
    <x v="4"/>
    <x v="1"/>
    <x v="1"/>
    <n v="7.61"/>
    <n v="1"/>
    <x v="2"/>
    <x v="1"/>
    <n v="17.989999999999998"/>
    <x v="0"/>
    <x v="2"/>
    <n v="5"/>
    <n v="3.81"/>
    <x v="0"/>
  </r>
  <r>
    <s v="6008bb17-f444-46ae-a8c5-b1890e810ca4"/>
    <n v="55"/>
    <x v="4"/>
    <x v="2"/>
    <x v="2"/>
    <n v="12.56"/>
    <n v="46"/>
    <x v="0"/>
    <x v="1"/>
    <n v="8.99"/>
    <x v="1"/>
    <x v="3"/>
    <n v="1"/>
    <n v="0.27"/>
    <x v="2"/>
  </r>
  <r>
    <s v="bd8e834a-51cf-4e23-8487-bf5892bce69b"/>
    <n v="60"/>
    <x v="4"/>
    <x v="0"/>
    <x v="2"/>
    <n v="49.16"/>
    <n v="11"/>
    <x v="1"/>
    <x v="0"/>
    <n v="8.99"/>
    <x v="0"/>
    <x v="1"/>
    <n v="3"/>
    <n v="4.0999999999999996"/>
    <x v="5"/>
  </r>
  <r>
    <s v="1f8f36b8-2b12-423c-8d89-7b6421897c37"/>
    <n v="60"/>
    <x v="4"/>
    <x v="2"/>
    <x v="0"/>
    <n v="15.15"/>
    <n v="37"/>
    <x v="1"/>
    <x v="0"/>
    <n v="13.99"/>
    <x v="1"/>
    <x v="0"/>
    <n v="2"/>
    <n v="0.4"/>
    <x v="4"/>
  </r>
  <r>
    <s v="3d0767c0-fa70-434f-ac4c-57f6ffa24e4c"/>
    <n v="70"/>
    <x v="4"/>
    <x v="1"/>
    <x v="0"/>
    <n v="18.5"/>
    <n v="54"/>
    <x v="5"/>
    <x v="2"/>
    <n v="13.99"/>
    <x v="0"/>
    <x v="1"/>
    <n v="4"/>
    <n v="0.34"/>
    <x v="3"/>
  </r>
  <r>
    <s v="322eef98-5dfd-41d1-b4f6-41f20f253632"/>
    <n v="58"/>
    <x v="4"/>
    <x v="0"/>
    <x v="1"/>
    <n v="17.93"/>
    <n v="7"/>
    <x v="1"/>
    <x v="1"/>
    <n v="17.989999999999998"/>
    <x v="0"/>
    <x v="2"/>
    <n v="1"/>
    <n v="2.2400000000000002"/>
    <x v="5"/>
  </r>
  <r>
    <s v="11c1de99-a041-4f28-9158-033c5e09ef50"/>
    <n v="56"/>
    <x v="4"/>
    <x v="2"/>
    <x v="2"/>
    <n v="15.94"/>
    <n v="12"/>
    <x v="4"/>
    <x v="0"/>
    <n v="8.99"/>
    <x v="0"/>
    <x v="4"/>
    <n v="2"/>
    <n v="1.23"/>
    <x v="5"/>
  </r>
  <r>
    <s v="125db7ff-b7e9-44a4-b29c-80b0cd45ea2e"/>
    <n v="63"/>
    <x v="4"/>
    <x v="2"/>
    <x v="2"/>
    <n v="27.89"/>
    <n v="30"/>
    <x v="0"/>
    <x v="3"/>
    <n v="8.99"/>
    <x v="0"/>
    <x v="1"/>
    <n v="4"/>
    <n v="0.9"/>
    <x v="4"/>
  </r>
  <r>
    <s v="f418494c-d6e3-4fca-bdb8-d08fb3b83a85"/>
    <n v="70"/>
    <x v="4"/>
    <x v="2"/>
    <x v="0"/>
    <n v="24.78"/>
    <n v="19"/>
    <x v="4"/>
    <x v="1"/>
    <n v="13.99"/>
    <x v="0"/>
    <x v="4"/>
    <n v="1"/>
    <n v="1.24"/>
    <x v="6"/>
  </r>
  <r>
    <s v="922bce16-2ceb-44a4-96f4-fc49fb0e0ac2"/>
    <n v="61"/>
    <x v="4"/>
    <x v="0"/>
    <x v="1"/>
    <n v="16.07"/>
    <n v="32"/>
    <x v="0"/>
    <x v="3"/>
    <n v="17.989999999999998"/>
    <x v="1"/>
    <x v="4"/>
    <n v="5"/>
    <n v="0.49"/>
    <x v="3"/>
  </r>
  <r>
    <s v="080dac1d-54e2-4664-af52-56eb42281c72"/>
    <n v="59"/>
    <x v="4"/>
    <x v="0"/>
    <x v="0"/>
    <n v="0.32"/>
    <n v="29"/>
    <x v="3"/>
    <x v="2"/>
    <n v="13.99"/>
    <x v="0"/>
    <x v="1"/>
    <n v="4"/>
    <n v="0.01"/>
    <x v="2"/>
  </r>
  <r>
    <s v="2dd53c77-3646-42b0-825e-69f598e0dc00"/>
    <n v="64"/>
    <x v="4"/>
    <x v="0"/>
    <x v="2"/>
    <n v="1.74"/>
    <n v="20"/>
    <x v="1"/>
    <x v="1"/>
    <n v="8.99"/>
    <x v="1"/>
    <x v="1"/>
    <n v="5"/>
    <n v="0.08"/>
    <x v="3"/>
  </r>
  <r>
    <s v="c090572e-263a-422d-9829-d167bf0e98fa"/>
    <n v="59"/>
    <x v="4"/>
    <x v="1"/>
    <x v="2"/>
    <n v="1.36"/>
    <n v="57"/>
    <x v="4"/>
    <x v="4"/>
    <n v="8.99"/>
    <x v="1"/>
    <x v="4"/>
    <n v="1"/>
    <n v="0.02"/>
    <x v="6"/>
  </r>
  <r>
    <s v="1531f56b-7a98-43de-9ee2-ca215bec697b"/>
    <n v="66"/>
    <x v="4"/>
    <x v="0"/>
    <x v="2"/>
    <n v="5.27"/>
    <n v="6"/>
    <x v="2"/>
    <x v="2"/>
    <n v="8.99"/>
    <x v="0"/>
    <x v="2"/>
    <n v="5"/>
    <n v="0.75"/>
    <x v="5"/>
  </r>
  <r>
    <s v="c5703e60-bad8-4b18-880d-7ed85d00462b"/>
    <n v="66"/>
    <x v="4"/>
    <x v="2"/>
    <x v="1"/>
    <n v="10.41"/>
    <n v="1"/>
    <x v="4"/>
    <x v="1"/>
    <n v="17.989999999999998"/>
    <x v="0"/>
    <x v="2"/>
    <n v="5"/>
    <n v="5.21"/>
    <x v="1"/>
  </r>
  <r>
    <s v="ee43f918-a9d2-4a68-8b2a-5f4a25dee1f2"/>
    <n v="60"/>
    <x v="4"/>
    <x v="0"/>
    <x v="2"/>
    <n v="20.76"/>
    <n v="8"/>
    <x v="0"/>
    <x v="1"/>
    <n v="8.99"/>
    <x v="0"/>
    <x v="2"/>
    <n v="4"/>
    <n v="2.31"/>
    <x v="3"/>
  </r>
  <r>
    <s v="4bcdf3d2-c743-46f8-9656-911dc92e6213"/>
    <n v="69"/>
    <x v="4"/>
    <x v="2"/>
    <x v="1"/>
    <n v="5.4"/>
    <n v="14"/>
    <x v="3"/>
    <x v="0"/>
    <n v="17.989999999999998"/>
    <x v="0"/>
    <x v="0"/>
    <n v="3"/>
    <n v="0.36"/>
    <x v="6"/>
  </r>
  <r>
    <s v="cba44e85-c06e-4bbc-8c94-6ab64421e817"/>
    <n v="65"/>
    <x v="4"/>
    <x v="1"/>
    <x v="2"/>
    <n v="3.84"/>
    <n v="3"/>
    <x v="5"/>
    <x v="3"/>
    <n v="8.99"/>
    <x v="0"/>
    <x v="2"/>
    <n v="3"/>
    <n v="0.96"/>
    <x v="1"/>
  </r>
  <r>
    <s v="161b7568-fcb1-49a4-ab7e-97cc7be6a554"/>
    <n v="69"/>
    <x v="4"/>
    <x v="2"/>
    <x v="1"/>
    <n v="21.64"/>
    <n v="27"/>
    <x v="1"/>
    <x v="2"/>
    <n v="17.989999999999998"/>
    <x v="0"/>
    <x v="4"/>
    <n v="5"/>
    <n v="0.77"/>
    <x v="1"/>
  </r>
  <r>
    <s v="e8f79144-74d8-4255-845a-4080948838c8"/>
    <n v="57"/>
    <x v="4"/>
    <x v="0"/>
    <x v="2"/>
    <n v="4.12"/>
    <n v="10"/>
    <x v="2"/>
    <x v="0"/>
    <n v="8.99"/>
    <x v="1"/>
    <x v="1"/>
    <n v="1"/>
    <n v="0.37"/>
    <x v="6"/>
  </r>
  <r>
    <s v="a2c2e9bb-e5dd-497c-aa8f-1a6354694023"/>
    <n v="65"/>
    <x v="4"/>
    <x v="0"/>
    <x v="2"/>
    <n v="13.42"/>
    <n v="52"/>
    <x v="0"/>
    <x v="4"/>
    <n v="8.99"/>
    <x v="1"/>
    <x v="3"/>
    <n v="3"/>
    <n v="0.25"/>
    <x v="2"/>
  </r>
  <r>
    <s v="6fdb47dd-024c-459a-955a-eb58b4306458"/>
    <n v="64"/>
    <x v="4"/>
    <x v="1"/>
    <x v="1"/>
    <n v="0.34"/>
    <n v="1"/>
    <x v="1"/>
    <x v="3"/>
    <n v="17.989999999999998"/>
    <x v="1"/>
    <x v="4"/>
    <n v="3"/>
    <n v="0.17"/>
    <x v="1"/>
  </r>
  <r>
    <s v="895ad12a-717f-4427-9caf-bdbc0b6bb987"/>
    <n v="68"/>
    <x v="4"/>
    <x v="1"/>
    <x v="1"/>
    <n v="5.61"/>
    <n v="41"/>
    <x v="3"/>
    <x v="0"/>
    <n v="17.989999999999998"/>
    <x v="1"/>
    <x v="3"/>
    <n v="1"/>
    <n v="0.13"/>
    <x v="3"/>
  </r>
  <r>
    <s v="d99b28e5-4ecf-4ac4-871b-e205b421c803"/>
    <n v="55"/>
    <x v="4"/>
    <x v="2"/>
    <x v="0"/>
    <n v="13.16"/>
    <n v="57"/>
    <x v="3"/>
    <x v="2"/>
    <n v="13.99"/>
    <x v="1"/>
    <x v="0"/>
    <n v="5"/>
    <n v="0.23"/>
    <x v="6"/>
  </r>
  <r>
    <s v="62978367-96e2-470a-be63-38060506031d"/>
    <n v="68"/>
    <x v="4"/>
    <x v="0"/>
    <x v="1"/>
    <n v="10.16"/>
    <n v="25"/>
    <x v="3"/>
    <x v="4"/>
    <n v="17.989999999999998"/>
    <x v="0"/>
    <x v="1"/>
    <n v="3"/>
    <n v="0.39"/>
    <x v="2"/>
  </r>
  <r>
    <s v="ff19f85a-c162-45d2-969d-836e7b33e80f"/>
    <n v="70"/>
    <x v="4"/>
    <x v="1"/>
    <x v="1"/>
    <n v="4.55"/>
    <n v="22"/>
    <x v="5"/>
    <x v="2"/>
    <n v="17.989999999999998"/>
    <x v="1"/>
    <x v="1"/>
    <n v="1"/>
    <n v="0.2"/>
    <x v="6"/>
  </r>
  <r>
    <s v="9ef98845-2393-4e72-96fd-95047f25a4b4"/>
    <n v="62"/>
    <x v="4"/>
    <x v="0"/>
    <x v="2"/>
    <n v="19.11"/>
    <n v="21"/>
    <x v="1"/>
    <x v="1"/>
    <n v="8.99"/>
    <x v="0"/>
    <x v="4"/>
    <n v="5"/>
    <n v="0.87"/>
    <x v="3"/>
  </r>
  <r>
    <s v="81ca6a1b-94bd-4e46-afe5-e274d3b4ff1f"/>
    <n v="66"/>
    <x v="4"/>
    <x v="2"/>
    <x v="1"/>
    <n v="7.68"/>
    <n v="52"/>
    <x v="1"/>
    <x v="2"/>
    <n v="17.989999999999998"/>
    <x v="1"/>
    <x v="1"/>
    <n v="2"/>
    <n v="0.14000000000000001"/>
    <x v="6"/>
  </r>
  <r>
    <s v="ce3c7cbb-b993-4916-a81d-4e4ac032a5c9"/>
    <n v="65"/>
    <x v="4"/>
    <x v="2"/>
    <x v="2"/>
    <n v="2.96"/>
    <n v="33"/>
    <x v="3"/>
    <x v="2"/>
    <n v="8.99"/>
    <x v="1"/>
    <x v="3"/>
    <n v="1"/>
    <n v="0.09"/>
    <x v="6"/>
  </r>
  <r>
    <s v="de4e0a07-b2f0-4b45-8764-dedff7dc00ce"/>
    <n v="62"/>
    <x v="4"/>
    <x v="1"/>
    <x v="2"/>
    <n v="7.43"/>
    <n v="49"/>
    <x v="3"/>
    <x v="2"/>
    <n v="8.99"/>
    <x v="1"/>
    <x v="4"/>
    <n v="4"/>
    <n v="0.15"/>
    <x v="2"/>
  </r>
  <r>
    <s v="c2feda98-9478-480b-b544-ec89a3cd58b8"/>
    <n v="61"/>
    <x v="4"/>
    <x v="0"/>
    <x v="0"/>
    <n v="2.36"/>
    <n v="6"/>
    <x v="0"/>
    <x v="0"/>
    <n v="13.99"/>
    <x v="1"/>
    <x v="0"/>
    <n v="1"/>
    <n v="0.34"/>
    <x v="0"/>
  </r>
  <r>
    <s v="12a31de2-5742-4217-a7ba-eac8cb7a79f6"/>
    <n v="61"/>
    <x v="4"/>
    <x v="0"/>
    <x v="2"/>
    <n v="5.83"/>
    <n v="20"/>
    <x v="4"/>
    <x v="4"/>
    <n v="8.99"/>
    <x v="0"/>
    <x v="2"/>
    <n v="5"/>
    <n v="0.28000000000000003"/>
    <x v="3"/>
  </r>
  <r>
    <s v="880a72cd-79fd-44fd-806f-b9bdcedd04f4"/>
    <n v="63"/>
    <x v="4"/>
    <x v="2"/>
    <x v="0"/>
    <n v="3.98"/>
    <n v="20"/>
    <x v="1"/>
    <x v="1"/>
    <n v="13.99"/>
    <x v="1"/>
    <x v="0"/>
    <n v="3"/>
    <n v="0.19"/>
    <x v="2"/>
  </r>
  <r>
    <s v="989ca7a0-a0c3-4e55-a23c-3f4458291008"/>
    <n v="63"/>
    <x v="4"/>
    <x v="2"/>
    <x v="1"/>
    <n v="0.67"/>
    <n v="9"/>
    <x v="3"/>
    <x v="4"/>
    <n v="17.989999999999998"/>
    <x v="0"/>
    <x v="2"/>
    <n v="5"/>
    <n v="7.0000000000000007E-2"/>
    <x v="2"/>
  </r>
  <r>
    <s v="7955efc4-a06e-43e7-9b8e-028e700955bd"/>
    <n v="62"/>
    <x v="4"/>
    <x v="1"/>
    <x v="0"/>
    <n v="18.27"/>
    <n v="41"/>
    <x v="1"/>
    <x v="0"/>
    <n v="13.99"/>
    <x v="1"/>
    <x v="4"/>
    <n v="3"/>
    <n v="0.43"/>
    <x v="4"/>
  </r>
  <r>
    <s v="6836917d-1c7f-4651-861b-1c4ebbeb6020"/>
    <n v="66"/>
    <x v="4"/>
    <x v="0"/>
    <x v="2"/>
    <n v="2.61"/>
    <n v="44"/>
    <x v="5"/>
    <x v="0"/>
    <n v="8.99"/>
    <x v="1"/>
    <x v="2"/>
    <n v="1"/>
    <n v="0.06"/>
    <x v="3"/>
  </r>
  <r>
    <s v="cc8af428-e171-48ac-8ac3-3354d52bffaa"/>
    <n v="57"/>
    <x v="4"/>
    <x v="2"/>
    <x v="1"/>
    <n v="15.52"/>
    <n v="13"/>
    <x v="5"/>
    <x v="4"/>
    <n v="17.989999999999998"/>
    <x v="0"/>
    <x v="0"/>
    <n v="5"/>
    <n v="1.1100000000000001"/>
    <x v="3"/>
  </r>
  <r>
    <s v="8f6bb647-36a1-40de-af06-825e69ea7f9d"/>
    <n v="56"/>
    <x v="4"/>
    <x v="0"/>
    <x v="2"/>
    <n v="38.590000000000003"/>
    <n v="10"/>
    <x v="5"/>
    <x v="2"/>
    <n v="8.99"/>
    <x v="0"/>
    <x v="4"/>
    <n v="2"/>
    <n v="3.51"/>
    <x v="6"/>
  </r>
  <r>
    <s v="bb98f21e-15a6-459f-9739-d007cae5734e"/>
    <n v="69"/>
    <x v="4"/>
    <x v="2"/>
    <x v="0"/>
    <n v="3.46"/>
    <n v="60"/>
    <x v="4"/>
    <x v="3"/>
    <n v="13.99"/>
    <x v="1"/>
    <x v="0"/>
    <n v="5"/>
    <n v="0.06"/>
    <x v="3"/>
  </r>
  <r>
    <s v="8b4f9c81-82fb-40df-8382-0dd2a0cef83c"/>
    <n v="56"/>
    <x v="4"/>
    <x v="2"/>
    <x v="2"/>
    <n v="6.94"/>
    <n v="27"/>
    <x v="2"/>
    <x v="2"/>
    <n v="8.99"/>
    <x v="1"/>
    <x v="4"/>
    <n v="3"/>
    <n v="0.25"/>
    <x v="1"/>
  </r>
  <r>
    <s v="1f814426-fb33-4ea8-8abb-5c5b4ec64076"/>
    <n v="60"/>
    <x v="4"/>
    <x v="0"/>
    <x v="2"/>
    <n v="6.3"/>
    <n v="3"/>
    <x v="4"/>
    <x v="2"/>
    <n v="8.99"/>
    <x v="0"/>
    <x v="1"/>
    <n v="2"/>
    <n v="1.57"/>
    <x v="1"/>
  </r>
  <r>
    <s v="140506ea-05e5-40e5-abc3-253581dd24e0"/>
    <n v="59"/>
    <x v="4"/>
    <x v="2"/>
    <x v="2"/>
    <n v="8.85"/>
    <n v="16"/>
    <x v="0"/>
    <x v="4"/>
    <n v="8.99"/>
    <x v="0"/>
    <x v="2"/>
    <n v="3"/>
    <n v="0.52"/>
    <x v="5"/>
  </r>
  <r>
    <s v="863590b0-7d07-487b-a89c-d4700d8d4e4e"/>
    <n v="70"/>
    <x v="4"/>
    <x v="1"/>
    <x v="1"/>
    <n v="20.54"/>
    <n v="19"/>
    <x v="1"/>
    <x v="0"/>
    <n v="17.989999999999998"/>
    <x v="0"/>
    <x v="0"/>
    <n v="4"/>
    <n v="1.03"/>
    <x v="2"/>
  </r>
  <r>
    <s v="6a061a82-97b7-4d14-b9ae-e7df764684b1"/>
    <n v="62"/>
    <x v="4"/>
    <x v="1"/>
    <x v="1"/>
    <n v="4.03"/>
    <n v="50"/>
    <x v="1"/>
    <x v="2"/>
    <n v="17.989999999999998"/>
    <x v="1"/>
    <x v="4"/>
    <n v="4"/>
    <n v="0.08"/>
    <x v="2"/>
  </r>
  <r>
    <s v="81eb7012-12b8-43df-854b-711a40561be0"/>
    <n v="63"/>
    <x v="4"/>
    <x v="1"/>
    <x v="0"/>
    <n v="17.510000000000002"/>
    <n v="12"/>
    <x v="2"/>
    <x v="4"/>
    <n v="13.99"/>
    <x v="0"/>
    <x v="3"/>
    <n v="1"/>
    <n v="1.35"/>
    <x v="4"/>
  </r>
  <r>
    <s v="d1b705c9-acf8-4f48-bd4b-c0fc00234b0f"/>
    <n v="56"/>
    <x v="4"/>
    <x v="1"/>
    <x v="1"/>
    <n v="45.06"/>
    <n v="6"/>
    <x v="3"/>
    <x v="2"/>
    <n v="17.989999999999998"/>
    <x v="0"/>
    <x v="4"/>
    <n v="5"/>
    <n v="6.44"/>
    <x v="3"/>
  </r>
  <r>
    <s v="7cf05bfb-74e6-4c8e-a949-8c4193d254d6"/>
    <n v="56"/>
    <x v="4"/>
    <x v="1"/>
    <x v="0"/>
    <n v="21.77"/>
    <n v="51"/>
    <x v="0"/>
    <x v="0"/>
    <n v="13.99"/>
    <x v="0"/>
    <x v="2"/>
    <n v="2"/>
    <n v="0.42"/>
    <x v="0"/>
  </r>
  <r>
    <s v="d9900693-90bf-43ce-953f-8d1888e0bb1b"/>
    <n v="57"/>
    <x v="4"/>
    <x v="2"/>
    <x v="1"/>
    <n v="12.13"/>
    <n v="24"/>
    <x v="3"/>
    <x v="1"/>
    <n v="17.989999999999998"/>
    <x v="0"/>
    <x v="0"/>
    <n v="1"/>
    <n v="0.49"/>
    <x v="4"/>
  </r>
  <r>
    <s v="94226c99-e3c6-44a8-b8df-d66080b5bf30"/>
    <n v="64"/>
    <x v="4"/>
    <x v="1"/>
    <x v="0"/>
    <n v="3.68"/>
    <n v="55"/>
    <x v="2"/>
    <x v="2"/>
    <n v="13.99"/>
    <x v="1"/>
    <x v="0"/>
    <n v="5"/>
    <n v="7.0000000000000007E-2"/>
    <x v="1"/>
  </r>
  <r>
    <s v="5649fe75-6de9-4ecc-86f6-712fdfe3848a"/>
    <n v="63"/>
    <x v="4"/>
    <x v="1"/>
    <x v="2"/>
    <n v="2.37"/>
    <n v="28"/>
    <x v="2"/>
    <x v="1"/>
    <n v="8.99"/>
    <x v="1"/>
    <x v="1"/>
    <n v="5"/>
    <n v="0.08"/>
    <x v="1"/>
  </r>
  <r>
    <s v="bc11510c-f213-4766-a2c6-904ce8c1512e"/>
    <n v="63"/>
    <x v="4"/>
    <x v="2"/>
    <x v="2"/>
    <n v="1.3"/>
    <n v="20"/>
    <x v="3"/>
    <x v="1"/>
    <n v="8.99"/>
    <x v="1"/>
    <x v="0"/>
    <n v="5"/>
    <n v="0.06"/>
    <x v="2"/>
  </r>
  <r>
    <s v="1769de71-a047-4194-b2a4-5e0a7ef18add"/>
    <n v="60"/>
    <x v="4"/>
    <x v="2"/>
    <x v="1"/>
    <n v="7.31"/>
    <n v="21"/>
    <x v="3"/>
    <x v="3"/>
    <n v="17.989999999999998"/>
    <x v="0"/>
    <x v="4"/>
    <n v="3"/>
    <n v="0.33"/>
    <x v="2"/>
  </r>
  <r>
    <s v="ff4bc4b3-d731-4cc8-8b4f-221224581e83"/>
    <n v="55"/>
    <x v="4"/>
    <x v="0"/>
    <x v="2"/>
    <n v="17.61"/>
    <n v="35"/>
    <x v="2"/>
    <x v="3"/>
    <n v="8.99"/>
    <x v="1"/>
    <x v="4"/>
    <n v="1"/>
    <n v="0.49"/>
    <x v="1"/>
  </r>
  <r>
    <s v="629740f1-2ca1-4daf-af46-9b3cb2c6fe63"/>
    <n v="58"/>
    <x v="4"/>
    <x v="1"/>
    <x v="1"/>
    <n v="22.17"/>
    <n v="40"/>
    <x v="1"/>
    <x v="1"/>
    <n v="17.989999999999998"/>
    <x v="0"/>
    <x v="3"/>
    <n v="4"/>
    <n v="0.54"/>
    <x v="1"/>
  </r>
  <r>
    <s v="4f841e9d-dcd6-4e42-818e-c9789756e156"/>
    <n v="69"/>
    <x v="4"/>
    <x v="0"/>
    <x v="1"/>
    <n v="5.8"/>
    <n v="26"/>
    <x v="4"/>
    <x v="4"/>
    <n v="17.989999999999998"/>
    <x v="0"/>
    <x v="3"/>
    <n v="5"/>
    <n v="0.21"/>
    <x v="4"/>
  </r>
  <r>
    <s v="15559746-e817-4930-9bc7-3342d891627e"/>
    <n v="60"/>
    <x v="4"/>
    <x v="1"/>
    <x v="1"/>
    <n v="9.2200000000000006"/>
    <n v="45"/>
    <x v="5"/>
    <x v="3"/>
    <n v="17.989999999999998"/>
    <x v="1"/>
    <x v="0"/>
    <n v="2"/>
    <n v="0.2"/>
    <x v="5"/>
  </r>
  <r>
    <s v="7bf6c6f7-98e4-45d8-bba8-e23ec8e56048"/>
    <n v="55"/>
    <x v="4"/>
    <x v="1"/>
    <x v="2"/>
    <n v="6.2"/>
    <n v="45"/>
    <x v="0"/>
    <x v="1"/>
    <n v="8.99"/>
    <x v="1"/>
    <x v="0"/>
    <n v="4"/>
    <n v="0.13"/>
    <x v="4"/>
  </r>
  <r>
    <s v="a1a58d35-7759-4b6e-aeb1-438c26f3b366"/>
    <n v="67"/>
    <x v="4"/>
    <x v="1"/>
    <x v="0"/>
    <n v="10.24"/>
    <n v="11"/>
    <x v="2"/>
    <x v="3"/>
    <n v="13.99"/>
    <x v="0"/>
    <x v="1"/>
    <n v="2"/>
    <n v="0.85"/>
    <x v="4"/>
  </r>
  <r>
    <s v="4ae5d0f2-121d-4820-9404-26032ef97eba"/>
    <n v="58"/>
    <x v="4"/>
    <x v="0"/>
    <x v="2"/>
    <n v="15.28"/>
    <n v="42"/>
    <x v="5"/>
    <x v="0"/>
    <n v="8.99"/>
    <x v="1"/>
    <x v="1"/>
    <n v="1"/>
    <n v="0.36"/>
    <x v="4"/>
  </r>
  <r>
    <s v="408e8f7f-608c-4b8d-bf43-d68933ab6606"/>
    <n v="66"/>
    <x v="4"/>
    <x v="0"/>
    <x v="0"/>
    <n v="4.96"/>
    <n v="4"/>
    <x v="4"/>
    <x v="1"/>
    <n v="13.99"/>
    <x v="0"/>
    <x v="4"/>
    <n v="1"/>
    <n v="0.99"/>
    <x v="6"/>
  </r>
  <r>
    <s v="3d1d4b0b-7556-4ab7-8a9f-f47e37c61ac1"/>
    <n v="64"/>
    <x v="4"/>
    <x v="0"/>
    <x v="0"/>
    <n v="3.38"/>
    <n v="38"/>
    <x v="4"/>
    <x v="1"/>
    <n v="13.99"/>
    <x v="1"/>
    <x v="3"/>
    <n v="2"/>
    <n v="0.09"/>
    <x v="4"/>
  </r>
  <r>
    <s v="e8444cdf-5d82-4110-9138-1d882576c44e"/>
    <n v="55"/>
    <x v="4"/>
    <x v="2"/>
    <x v="1"/>
    <n v="11.61"/>
    <n v="21"/>
    <x v="2"/>
    <x v="3"/>
    <n v="17.989999999999998"/>
    <x v="0"/>
    <x v="1"/>
    <n v="4"/>
    <n v="0.53"/>
    <x v="4"/>
  </r>
  <r>
    <s v="08645725-d1af-4d97-ab3d-2e4f806c7f82"/>
    <n v="67"/>
    <x v="4"/>
    <x v="2"/>
    <x v="2"/>
    <n v="101.06"/>
    <n v="19"/>
    <x v="0"/>
    <x v="0"/>
    <n v="8.99"/>
    <x v="0"/>
    <x v="2"/>
    <n v="2"/>
    <n v="5.05"/>
    <x v="5"/>
  </r>
  <r>
    <s v="cb43f579-8d20-441e-9de6-2680dee7b966"/>
    <n v="62"/>
    <x v="4"/>
    <x v="2"/>
    <x v="0"/>
    <n v="3.95"/>
    <n v="54"/>
    <x v="5"/>
    <x v="0"/>
    <n v="13.99"/>
    <x v="1"/>
    <x v="1"/>
    <n v="4"/>
    <n v="7.0000000000000007E-2"/>
    <x v="0"/>
  </r>
  <r>
    <s v="d778081e-6fc5-4121-bd2c-2d23134b04b8"/>
    <n v="61"/>
    <x v="4"/>
    <x v="2"/>
    <x v="0"/>
    <n v="13.1"/>
    <n v="45"/>
    <x v="2"/>
    <x v="3"/>
    <n v="13.99"/>
    <x v="0"/>
    <x v="2"/>
    <n v="4"/>
    <n v="0.28000000000000003"/>
    <x v="1"/>
  </r>
  <r>
    <s v="a1f04ee3-d220-47e3-aba1-1fcdb769db0a"/>
    <n v="68"/>
    <x v="4"/>
    <x v="0"/>
    <x v="1"/>
    <n v="8.2799999999999994"/>
    <n v="47"/>
    <x v="1"/>
    <x v="1"/>
    <n v="17.989999999999998"/>
    <x v="1"/>
    <x v="1"/>
    <n v="1"/>
    <n v="0.17"/>
    <x v="4"/>
  </r>
  <r>
    <s v="78d3f793-dcfd-4d7a-acb2-83fa6cdc33c8"/>
    <n v="66"/>
    <x v="4"/>
    <x v="1"/>
    <x v="1"/>
    <n v="6.15"/>
    <n v="39"/>
    <x v="0"/>
    <x v="2"/>
    <n v="17.989999999999998"/>
    <x v="0"/>
    <x v="2"/>
    <n v="4"/>
    <n v="0.15"/>
    <x v="1"/>
  </r>
  <r>
    <s v="a18a210b-9083-420a-924e-9719359d2bac"/>
    <n v="70"/>
    <x v="4"/>
    <x v="0"/>
    <x v="0"/>
    <n v="19.11"/>
    <n v="28"/>
    <x v="3"/>
    <x v="1"/>
    <n v="13.99"/>
    <x v="0"/>
    <x v="3"/>
    <n v="4"/>
    <n v="0.66"/>
    <x v="4"/>
  </r>
  <r>
    <s v="6c6e1e7a-2ba2-4934-bd13-d2ce7afe9b7c"/>
    <n v="55"/>
    <x v="4"/>
    <x v="2"/>
    <x v="1"/>
    <n v="1.08"/>
    <n v="46"/>
    <x v="1"/>
    <x v="4"/>
    <n v="17.989999999999998"/>
    <x v="1"/>
    <x v="4"/>
    <n v="3"/>
    <n v="0.02"/>
    <x v="3"/>
  </r>
  <r>
    <s v="320b668c-0d42-45da-b0ce-12503b250c96"/>
    <n v="64"/>
    <x v="4"/>
    <x v="2"/>
    <x v="0"/>
    <n v="1.29"/>
    <n v="9"/>
    <x v="3"/>
    <x v="2"/>
    <n v="13.99"/>
    <x v="1"/>
    <x v="0"/>
    <n v="1"/>
    <n v="0.13"/>
    <x v="6"/>
  </r>
  <r>
    <s v="d4d13760-ac88-41b9-84dd-47c40ba26551"/>
    <n v="67"/>
    <x v="4"/>
    <x v="2"/>
    <x v="2"/>
    <n v="12"/>
    <n v="20"/>
    <x v="2"/>
    <x v="4"/>
    <n v="8.99"/>
    <x v="0"/>
    <x v="3"/>
    <n v="4"/>
    <n v="0.56999999999999995"/>
    <x v="1"/>
  </r>
  <r>
    <s v="3abb8f5e-2c86-47ae-a744-e20a7cf52642"/>
    <n v="67"/>
    <x v="4"/>
    <x v="2"/>
    <x v="0"/>
    <n v="23.1"/>
    <n v="59"/>
    <x v="3"/>
    <x v="2"/>
    <n v="13.99"/>
    <x v="0"/>
    <x v="2"/>
    <n v="3"/>
    <n v="0.39"/>
    <x v="6"/>
  </r>
  <r>
    <s v="8e403409-9787-47c1-bf20-402eff1b5288"/>
    <n v="58"/>
    <x v="4"/>
    <x v="0"/>
    <x v="1"/>
    <n v="0.14000000000000001"/>
    <n v="54"/>
    <x v="0"/>
    <x v="1"/>
    <n v="17.989999999999998"/>
    <x v="1"/>
    <x v="1"/>
    <n v="3"/>
    <n v="0"/>
    <x v="2"/>
  </r>
  <r>
    <s v="cb4abf9b-83d9-4750-b258-e05045a74ae0"/>
    <n v="55"/>
    <x v="4"/>
    <x v="0"/>
    <x v="1"/>
    <n v="0.15"/>
    <n v="0"/>
    <x v="2"/>
    <x v="0"/>
    <n v="17.989999999999998"/>
    <x v="0"/>
    <x v="3"/>
    <n v="4"/>
    <n v="0.15"/>
    <x v="5"/>
  </r>
  <r>
    <s v="894bdf78-d2ce-4630-ad1c-c770beae1bfd"/>
    <n v="70"/>
    <x v="4"/>
    <x v="2"/>
    <x v="0"/>
    <n v="32.590000000000003"/>
    <n v="7"/>
    <x v="0"/>
    <x v="2"/>
    <n v="13.99"/>
    <x v="0"/>
    <x v="3"/>
    <n v="4"/>
    <n v="4.07"/>
    <x v="1"/>
  </r>
  <r>
    <s v="b8ddfe4f-977c-46d4-b995-fc1756d4ddd9"/>
    <n v="65"/>
    <x v="4"/>
    <x v="2"/>
    <x v="1"/>
    <n v="15.52"/>
    <n v="0"/>
    <x v="2"/>
    <x v="2"/>
    <n v="17.989999999999998"/>
    <x v="0"/>
    <x v="4"/>
    <n v="4"/>
    <n v="15.52"/>
    <x v="0"/>
  </r>
  <r>
    <s v="4d69fd9b-a1e8-48a9-a0b3-ea425eacd7e0"/>
    <n v="61"/>
    <x v="4"/>
    <x v="2"/>
    <x v="0"/>
    <n v="14.2"/>
    <n v="35"/>
    <x v="4"/>
    <x v="2"/>
    <n v="13.99"/>
    <x v="0"/>
    <x v="3"/>
    <n v="4"/>
    <n v="0.39"/>
    <x v="2"/>
  </r>
  <r>
    <s v="b6342efb-3668-4707-9bcd-ae6ba9180b54"/>
    <n v="57"/>
    <x v="4"/>
    <x v="2"/>
    <x v="2"/>
    <n v="4.76"/>
    <n v="58"/>
    <x v="3"/>
    <x v="4"/>
    <n v="8.99"/>
    <x v="1"/>
    <x v="2"/>
    <n v="1"/>
    <n v="0.08"/>
    <x v="3"/>
  </r>
  <r>
    <s v="7c912f5e-49f4-40e7-a68d-0a8a3ae3bcf9"/>
    <n v="64"/>
    <x v="4"/>
    <x v="2"/>
    <x v="2"/>
    <n v="5.01"/>
    <n v="49"/>
    <x v="4"/>
    <x v="0"/>
    <n v="8.99"/>
    <x v="1"/>
    <x v="1"/>
    <n v="5"/>
    <n v="0.1"/>
    <x v="3"/>
  </r>
  <r>
    <s v="0b945a37-fe3d-48f3-8bd9-0ce0d58c74de"/>
    <n v="62"/>
    <x v="4"/>
    <x v="2"/>
    <x v="2"/>
    <n v="1.71"/>
    <n v="13"/>
    <x v="5"/>
    <x v="1"/>
    <n v="8.99"/>
    <x v="1"/>
    <x v="3"/>
    <n v="4"/>
    <n v="0.12"/>
    <x v="0"/>
  </r>
  <r>
    <s v="6fda8923-b925-4e65-97e4-ed9481d66b44"/>
    <n v="69"/>
    <x v="4"/>
    <x v="0"/>
    <x v="0"/>
    <n v="2.48"/>
    <n v="55"/>
    <x v="2"/>
    <x v="1"/>
    <n v="13.99"/>
    <x v="1"/>
    <x v="4"/>
    <n v="1"/>
    <n v="0.04"/>
    <x v="4"/>
  </r>
  <r>
    <s v="6df35e17-ca7f-42c2-a978-28b213e921e9"/>
    <n v="63"/>
    <x v="4"/>
    <x v="0"/>
    <x v="1"/>
    <n v="7.58"/>
    <n v="25"/>
    <x v="2"/>
    <x v="2"/>
    <n v="17.989999999999998"/>
    <x v="0"/>
    <x v="3"/>
    <n v="1"/>
    <n v="0.28999999999999998"/>
    <x v="2"/>
  </r>
  <r>
    <s v="31862a3b-baef-4cf2-9ece-f6bc288b9224"/>
    <n v="68"/>
    <x v="4"/>
    <x v="0"/>
    <x v="1"/>
    <n v="15.56"/>
    <n v="53"/>
    <x v="3"/>
    <x v="1"/>
    <n v="17.989999999999998"/>
    <x v="1"/>
    <x v="0"/>
    <n v="3"/>
    <n v="0.28999999999999998"/>
    <x v="5"/>
  </r>
  <r>
    <s v="ed57e399-b34c-447e-ab12-d72946d0fc73"/>
    <n v="60"/>
    <x v="4"/>
    <x v="1"/>
    <x v="1"/>
    <n v="2"/>
    <n v="32"/>
    <x v="4"/>
    <x v="2"/>
    <n v="17.989999999999998"/>
    <x v="1"/>
    <x v="2"/>
    <n v="5"/>
    <n v="0.06"/>
    <x v="5"/>
  </r>
  <r>
    <s v="591e2d65-1b87-48ff-8e68-93917868cd24"/>
    <n v="61"/>
    <x v="4"/>
    <x v="2"/>
    <x v="1"/>
    <n v="13.17"/>
    <n v="40"/>
    <x v="5"/>
    <x v="0"/>
    <n v="17.989999999999998"/>
    <x v="1"/>
    <x v="0"/>
    <n v="3"/>
    <n v="0.32"/>
    <x v="2"/>
  </r>
  <r>
    <s v="856b5e64-f982-4156-adb9-f005d6c56ee2"/>
    <n v="56"/>
    <x v="4"/>
    <x v="2"/>
    <x v="2"/>
    <n v="9.9"/>
    <n v="41"/>
    <x v="4"/>
    <x v="1"/>
    <n v="8.99"/>
    <x v="1"/>
    <x v="3"/>
    <n v="5"/>
    <n v="0.24"/>
    <x v="0"/>
  </r>
  <r>
    <s v="86ef9bd7-c8e2-4dc7-8a6f-ec68e57730df"/>
    <n v="58"/>
    <x v="4"/>
    <x v="2"/>
    <x v="2"/>
    <n v="6.35"/>
    <n v="23"/>
    <x v="3"/>
    <x v="1"/>
    <n v="8.99"/>
    <x v="0"/>
    <x v="2"/>
    <n v="2"/>
    <n v="0.26"/>
    <x v="1"/>
  </r>
  <r>
    <s v="eaf657b9-53f1-4b33-9521-61b096e9666b"/>
    <n v="59"/>
    <x v="4"/>
    <x v="0"/>
    <x v="0"/>
    <n v="4.17"/>
    <n v="57"/>
    <x v="0"/>
    <x v="4"/>
    <n v="13.99"/>
    <x v="1"/>
    <x v="3"/>
    <n v="4"/>
    <n v="7.0000000000000007E-2"/>
    <x v="2"/>
  </r>
  <r>
    <s v="1bfddb22-4308-411a-897e-1081198500ce"/>
    <n v="59"/>
    <x v="4"/>
    <x v="1"/>
    <x v="2"/>
    <n v="12.4"/>
    <n v="43"/>
    <x v="2"/>
    <x v="3"/>
    <n v="8.99"/>
    <x v="1"/>
    <x v="1"/>
    <n v="3"/>
    <n v="0.28000000000000003"/>
    <x v="2"/>
  </r>
  <r>
    <s v="7de2a54b-751d-44a9-9755-3ed3e90742c0"/>
    <n v="59"/>
    <x v="4"/>
    <x v="1"/>
    <x v="2"/>
    <n v="35.89"/>
    <n v="11"/>
    <x v="5"/>
    <x v="1"/>
    <n v="8.99"/>
    <x v="0"/>
    <x v="2"/>
    <n v="4"/>
    <n v="2.99"/>
    <x v="0"/>
  </r>
  <r>
    <s v="b4b4555b-8433-434f-9383-001239cf8129"/>
    <n v="58"/>
    <x v="4"/>
    <x v="0"/>
    <x v="2"/>
    <n v="8.5299999999999994"/>
    <n v="8"/>
    <x v="4"/>
    <x v="1"/>
    <n v="8.99"/>
    <x v="0"/>
    <x v="3"/>
    <n v="2"/>
    <n v="0.95"/>
    <x v="1"/>
  </r>
  <r>
    <s v="d25183cb-ffaa-4b4e-8a22-140d3a21a7de"/>
    <n v="59"/>
    <x v="4"/>
    <x v="0"/>
    <x v="2"/>
    <n v="12.03"/>
    <n v="33"/>
    <x v="0"/>
    <x v="0"/>
    <n v="8.99"/>
    <x v="1"/>
    <x v="1"/>
    <n v="1"/>
    <n v="0.35"/>
    <x v="3"/>
  </r>
  <r>
    <s v="19da3460-ef3d-4094-aa3f-f168246b42a2"/>
    <n v="57"/>
    <x v="4"/>
    <x v="1"/>
    <x v="0"/>
    <n v="4.8099999999999996"/>
    <n v="21"/>
    <x v="0"/>
    <x v="3"/>
    <n v="13.99"/>
    <x v="1"/>
    <x v="1"/>
    <n v="2"/>
    <n v="0.22"/>
    <x v="2"/>
  </r>
  <r>
    <s v="10ee957b-891f-4fee-8861-eb84aeec2de1"/>
    <n v="67"/>
    <x v="4"/>
    <x v="1"/>
    <x v="0"/>
    <n v="1.93"/>
    <n v="48"/>
    <x v="0"/>
    <x v="2"/>
    <n v="13.99"/>
    <x v="1"/>
    <x v="1"/>
    <n v="5"/>
    <n v="0.04"/>
    <x v="2"/>
  </r>
  <r>
    <s v="0427fde9-46c6-469c-bc4a-6d8e39a85df9"/>
    <n v="67"/>
    <x v="4"/>
    <x v="2"/>
    <x v="0"/>
    <n v="0.01"/>
    <n v="1"/>
    <x v="2"/>
    <x v="3"/>
    <n v="13.99"/>
    <x v="0"/>
    <x v="0"/>
    <n v="4"/>
    <n v="0.01"/>
    <x v="2"/>
  </r>
  <r>
    <s v="f6080e6d-2a61-4d67-bb58-6ab35b805bca"/>
    <n v="65"/>
    <x v="4"/>
    <x v="2"/>
    <x v="0"/>
    <n v="10.44"/>
    <n v="58"/>
    <x v="5"/>
    <x v="1"/>
    <n v="13.99"/>
    <x v="1"/>
    <x v="4"/>
    <n v="2"/>
    <n v="0.18"/>
    <x v="5"/>
  </r>
  <r>
    <s v="c26ca12f-3a9d-4522-ad03-95e1a45137eb"/>
    <n v="59"/>
    <x v="4"/>
    <x v="0"/>
    <x v="2"/>
    <n v="24.62"/>
    <n v="21"/>
    <x v="4"/>
    <x v="0"/>
    <n v="8.99"/>
    <x v="0"/>
    <x v="2"/>
    <n v="3"/>
    <n v="1.1200000000000001"/>
    <x v="0"/>
  </r>
  <r>
    <s v="10e961c3-40de-45cb-bcf5-76836ec603d7"/>
    <n v="61"/>
    <x v="4"/>
    <x v="2"/>
    <x v="1"/>
    <n v="1.63"/>
    <n v="36"/>
    <x v="3"/>
    <x v="2"/>
    <n v="17.989999999999998"/>
    <x v="1"/>
    <x v="0"/>
    <n v="5"/>
    <n v="0.04"/>
    <x v="0"/>
  </r>
  <r>
    <s v="3f260c2f-4b6c-49d7-9617-2f906b933ca8"/>
    <n v="62"/>
    <x v="4"/>
    <x v="0"/>
    <x v="0"/>
    <n v="6.55"/>
    <n v="52"/>
    <x v="0"/>
    <x v="3"/>
    <n v="13.99"/>
    <x v="0"/>
    <x v="1"/>
    <n v="5"/>
    <n v="0.12"/>
    <x v="6"/>
  </r>
  <r>
    <s v="032719c1-eafd-4963-9362-778c661ad881"/>
    <n v="65"/>
    <x v="4"/>
    <x v="0"/>
    <x v="2"/>
    <n v="0.24"/>
    <n v="28"/>
    <x v="0"/>
    <x v="4"/>
    <n v="8.99"/>
    <x v="1"/>
    <x v="3"/>
    <n v="5"/>
    <n v="0.01"/>
    <x v="6"/>
  </r>
  <r>
    <s v="af17ffdc-f27a-4159-9c8d-addd1bfb0979"/>
    <n v="67"/>
    <x v="4"/>
    <x v="1"/>
    <x v="0"/>
    <n v="2.79"/>
    <n v="53"/>
    <x v="1"/>
    <x v="1"/>
    <n v="13.99"/>
    <x v="1"/>
    <x v="3"/>
    <n v="4"/>
    <n v="0.05"/>
    <x v="5"/>
  </r>
  <r>
    <s v="b6b3f022-6564-45d9-a070-90f66db4d09d"/>
    <n v="69"/>
    <x v="4"/>
    <x v="2"/>
    <x v="2"/>
    <n v="7.66"/>
    <n v="46"/>
    <x v="3"/>
    <x v="0"/>
    <n v="8.99"/>
    <x v="1"/>
    <x v="3"/>
    <n v="3"/>
    <n v="0.16"/>
    <x v="2"/>
  </r>
  <r>
    <s v="9490f2fb-6881-415d-a9c2-55855ad016fc"/>
    <n v="68"/>
    <x v="4"/>
    <x v="0"/>
    <x v="2"/>
    <n v="15.56"/>
    <n v="53"/>
    <x v="0"/>
    <x v="2"/>
    <n v="8.99"/>
    <x v="1"/>
    <x v="3"/>
    <n v="5"/>
    <n v="0.28999999999999998"/>
    <x v="2"/>
  </r>
  <r>
    <s v="e60ca66e-6129-4c74-9917-2039b803fb3a"/>
    <n v="68"/>
    <x v="4"/>
    <x v="0"/>
    <x v="2"/>
    <n v="24.27"/>
    <n v="33"/>
    <x v="0"/>
    <x v="0"/>
    <n v="8.99"/>
    <x v="1"/>
    <x v="4"/>
    <n v="1"/>
    <n v="0.71"/>
    <x v="4"/>
  </r>
  <r>
    <s v="e66f76a6-9e44-4d2a-ac84-d297b96abe7c"/>
    <n v="56"/>
    <x v="4"/>
    <x v="0"/>
    <x v="0"/>
    <n v="4.05"/>
    <n v="4"/>
    <x v="1"/>
    <x v="0"/>
    <n v="13.99"/>
    <x v="0"/>
    <x v="3"/>
    <n v="4"/>
    <n v="0.81"/>
    <x v="0"/>
  </r>
  <r>
    <s v="4c14bede-0e49-4c69-bd98-ad6fa46fed15"/>
    <n v="67"/>
    <x v="4"/>
    <x v="2"/>
    <x v="1"/>
    <n v="18.54"/>
    <n v="58"/>
    <x v="3"/>
    <x v="1"/>
    <n v="17.989999999999998"/>
    <x v="0"/>
    <x v="3"/>
    <n v="5"/>
    <n v="0.31"/>
    <x v="1"/>
  </r>
  <r>
    <s v="66513bd6-e31b-4dc4-9b1b-aff8caa18e88"/>
    <n v="59"/>
    <x v="4"/>
    <x v="2"/>
    <x v="1"/>
    <n v="47.14"/>
    <n v="35"/>
    <x v="5"/>
    <x v="4"/>
    <n v="17.989999999999998"/>
    <x v="0"/>
    <x v="0"/>
    <n v="3"/>
    <n v="1.31"/>
    <x v="1"/>
  </r>
  <r>
    <s v="079d22b5-cb52-4784-862a-93eb40a6fc9d"/>
    <n v="62"/>
    <x v="4"/>
    <x v="2"/>
    <x v="2"/>
    <n v="3.31"/>
    <n v="21"/>
    <x v="3"/>
    <x v="0"/>
    <n v="8.99"/>
    <x v="1"/>
    <x v="4"/>
    <n v="3"/>
    <n v="0.15"/>
    <x v="3"/>
  </r>
  <r>
    <s v="e25dbc8a-284a-4064-bddd-ea62c7fde074"/>
    <n v="68"/>
    <x v="4"/>
    <x v="1"/>
    <x v="0"/>
    <n v="37.299999999999997"/>
    <n v="31"/>
    <x v="3"/>
    <x v="3"/>
    <n v="13.99"/>
    <x v="0"/>
    <x v="0"/>
    <n v="5"/>
    <n v="1.17"/>
    <x v="3"/>
  </r>
  <r>
    <s v="ffef8fb1-3847-4535-a403-fad7ac35eb46"/>
    <n v="55"/>
    <x v="4"/>
    <x v="2"/>
    <x v="1"/>
    <n v="6.14"/>
    <n v="25"/>
    <x v="5"/>
    <x v="3"/>
    <n v="17.989999999999998"/>
    <x v="0"/>
    <x v="2"/>
    <n v="4"/>
    <n v="0.24"/>
    <x v="1"/>
  </r>
  <r>
    <s v="44c431b4-0f1a-4403-b701-98ab0f23f260"/>
    <n v="70"/>
    <x v="4"/>
    <x v="1"/>
    <x v="0"/>
    <n v="4.75"/>
    <n v="54"/>
    <x v="1"/>
    <x v="2"/>
    <n v="13.99"/>
    <x v="1"/>
    <x v="4"/>
    <n v="3"/>
    <n v="0.09"/>
    <x v="4"/>
  </r>
  <r>
    <s v="70f8a703-4e16-495b-97b5-739c7edace9e"/>
    <n v="69"/>
    <x v="4"/>
    <x v="2"/>
    <x v="0"/>
    <n v="7.26"/>
    <n v="48"/>
    <x v="3"/>
    <x v="3"/>
    <n v="13.99"/>
    <x v="0"/>
    <x v="2"/>
    <n v="5"/>
    <n v="0.15"/>
    <x v="4"/>
  </r>
  <r>
    <s v="48130993-574a-4765-b5f0-5f98dba9547e"/>
    <n v="55"/>
    <x v="4"/>
    <x v="0"/>
    <x v="2"/>
    <n v="7.86"/>
    <n v="36"/>
    <x v="4"/>
    <x v="3"/>
    <n v="8.99"/>
    <x v="1"/>
    <x v="2"/>
    <n v="4"/>
    <n v="0.21"/>
    <x v="2"/>
  </r>
  <r>
    <s v="ce0b32de-26ff-4f3d-bd27-9c85e6f2bf26"/>
    <n v="62"/>
    <x v="4"/>
    <x v="0"/>
    <x v="2"/>
    <n v="6.12"/>
    <n v="51"/>
    <x v="3"/>
    <x v="4"/>
    <n v="8.99"/>
    <x v="1"/>
    <x v="4"/>
    <n v="2"/>
    <n v="0.12"/>
    <x v="6"/>
  </r>
  <r>
    <s v="3ef8e526-3060-49e4-b23d-7c8325593d35"/>
    <n v="63"/>
    <x v="4"/>
    <x v="1"/>
    <x v="2"/>
    <n v="10.71"/>
    <n v="43"/>
    <x v="0"/>
    <x v="1"/>
    <n v="8.99"/>
    <x v="1"/>
    <x v="1"/>
    <n v="2"/>
    <n v="0.24"/>
    <x v="1"/>
  </r>
  <r>
    <s v="c83d8343-0bd3-42a8-a312-9b6e75367d29"/>
    <n v="64"/>
    <x v="4"/>
    <x v="1"/>
    <x v="1"/>
    <n v="7"/>
    <n v="9"/>
    <x v="5"/>
    <x v="2"/>
    <n v="17.989999999999998"/>
    <x v="0"/>
    <x v="0"/>
    <n v="4"/>
    <n v="0.7"/>
    <x v="0"/>
  </r>
  <r>
    <s v="c56d6009-0b18-47d0-a605-99c63f1cf8c3"/>
    <n v="67"/>
    <x v="4"/>
    <x v="2"/>
    <x v="0"/>
    <n v="0.44"/>
    <n v="27"/>
    <x v="2"/>
    <x v="4"/>
    <n v="13.99"/>
    <x v="1"/>
    <x v="2"/>
    <n v="3"/>
    <n v="0.02"/>
    <x v="3"/>
  </r>
  <r>
    <s v="f4db7304-7056-46c8-88dd-0b612ad71ba2"/>
    <n v="70"/>
    <x v="4"/>
    <x v="0"/>
    <x v="0"/>
    <n v="7.16"/>
    <n v="40"/>
    <x v="1"/>
    <x v="4"/>
    <n v="13.99"/>
    <x v="1"/>
    <x v="1"/>
    <n v="1"/>
    <n v="0.17"/>
    <x v="1"/>
  </r>
  <r>
    <s v="6fb66bbb-0951-4845-a4cd-3ce9151ab345"/>
    <n v="58"/>
    <x v="4"/>
    <x v="1"/>
    <x v="0"/>
    <n v="0.73"/>
    <n v="14"/>
    <x v="1"/>
    <x v="2"/>
    <n v="13.99"/>
    <x v="1"/>
    <x v="4"/>
    <n v="3"/>
    <n v="0.05"/>
    <x v="3"/>
  </r>
  <r>
    <s v="6fbc22eb-6eb2-4df2-82f7-1fa1d07d4802"/>
    <n v="61"/>
    <x v="4"/>
    <x v="2"/>
    <x v="2"/>
    <n v="20.11"/>
    <n v="17"/>
    <x v="4"/>
    <x v="3"/>
    <n v="8.99"/>
    <x v="0"/>
    <x v="1"/>
    <n v="1"/>
    <n v="1.1200000000000001"/>
    <x v="1"/>
  </r>
  <r>
    <s v="b63bbb24-3940-4377-bda2-081dc5008511"/>
    <n v="63"/>
    <x v="4"/>
    <x v="1"/>
    <x v="0"/>
    <n v="11.42"/>
    <n v="57"/>
    <x v="1"/>
    <x v="3"/>
    <n v="13.99"/>
    <x v="1"/>
    <x v="2"/>
    <n v="1"/>
    <n v="0.2"/>
    <x v="2"/>
  </r>
  <r>
    <s v="4ef69a1f-c2b7-4e85-b0f5-318696e2675c"/>
    <n v="63"/>
    <x v="4"/>
    <x v="2"/>
    <x v="0"/>
    <n v="16.41"/>
    <n v="34"/>
    <x v="4"/>
    <x v="0"/>
    <n v="13.99"/>
    <x v="1"/>
    <x v="3"/>
    <n v="1"/>
    <n v="0.47"/>
    <x v="6"/>
  </r>
  <r>
    <s v="360177a9-b5fd-4c78-ba0d-a0dad34611f6"/>
    <n v="66"/>
    <x v="4"/>
    <x v="1"/>
    <x v="2"/>
    <n v="1.21"/>
    <n v="7"/>
    <x v="3"/>
    <x v="0"/>
    <n v="8.99"/>
    <x v="1"/>
    <x v="0"/>
    <n v="5"/>
    <n v="0.15"/>
    <x v="5"/>
  </r>
  <r>
    <s v="1ba7df97-738b-4bda-84bc-342e75f0bb3b"/>
    <n v="68"/>
    <x v="4"/>
    <x v="1"/>
    <x v="2"/>
    <n v="21.58"/>
    <n v="30"/>
    <x v="5"/>
    <x v="4"/>
    <n v="8.99"/>
    <x v="0"/>
    <x v="2"/>
    <n v="2"/>
    <n v="0.7"/>
    <x v="2"/>
  </r>
  <r>
    <s v="8c3c1be4-1e6e-44d8-8c71-d45fd198b10a"/>
    <n v="70"/>
    <x v="4"/>
    <x v="1"/>
    <x v="0"/>
    <n v="1.42"/>
    <n v="17"/>
    <x v="2"/>
    <x v="1"/>
    <n v="13.99"/>
    <x v="1"/>
    <x v="1"/>
    <n v="2"/>
    <n v="0.08"/>
    <x v="1"/>
  </r>
  <r>
    <s v="c3d0acc2-11f2-410c-bdcb-15da9958e18d"/>
    <n v="56"/>
    <x v="4"/>
    <x v="0"/>
    <x v="1"/>
    <n v="10.31"/>
    <n v="31"/>
    <x v="1"/>
    <x v="1"/>
    <n v="17.989999999999998"/>
    <x v="1"/>
    <x v="4"/>
    <n v="3"/>
    <n v="0.32"/>
    <x v="1"/>
  </r>
  <r>
    <s v="21a179f2-e450-4d64-a10f-439788529ba6"/>
    <n v="56"/>
    <x v="4"/>
    <x v="2"/>
    <x v="2"/>
    <n v="6.72"/>
    <n v="1"/>
    <x v="5"/>
    <x v="1"/>
    <n v="8.99"/>
    <x v="0"/>
    <x v="1"/>
    <n v="2"/>
    <n v="3.36"/>
    <x v="4"/>
  </r>
  <r>
    <s v="7ce95fbf-f28c-4734-b710-35650d1be437"/>
    <n v="68"/>
    <x v="4"/>
    <x v="1"/>
    <x v="2"/>
    <n v="23.54"/>
    <n v="33"/>
    <x v="4"/>
    <x v="4"/>
    <n v="8.99"/>
    <x v="0"/>
    <x v="4"/>
    <n v="5"/>
    <n v="0.69"/>
    <x v="3"/>
  </r>
  <r>
    <s v="7f4f807a-f985-419c-820c-17ecfd0e613a"/>
    <n v="64"/>
    <x v="4"/>
    <x v="0"/>
    <x v="0"/>
    <n v="13.89"/>
    <n v="43"/>
    <x v="5"/>
    <x v="4"/>
    <n v="13.99"/>
    <x v="1"/>
    <x v="2"/>
    <n v="1"/>
    <n v="0.32"/>
    <x v="5"/>
  </r>
  <r>
    <s v="42608df0-d58d-440c-8038-cc4f2352733f"/>
    <n v="56"/>
    <x v="4"/>
    <x v="0"/>
    <x v="1"/>
    <n v="32.380000000000003"/>
    <n v="15"/>
    <x v="2"/>
    <x v="1"/>
    <n v="17.989999999999998"/>
    <x v="0"/>
    <x v="1"/>
    <n v="5"/>
    <n v="2.02"/>
    <x v="1"/>
  </r>
  <r>
    <s v="557d44b5-24ef-4176-a0bc-33f51ec3c62a"/>
    <n v="59"/>
    <x v="4"/>
    <x v="2"/>
    <x v="0"/>
    <n v="4.41"/>
    <n v="35"/>
    <x v="1"/>
    <x v="0"/>
    <n v="13.99"/>
    <x v="1"/>
    <x v="0"/>
    <n v="3"/>
    <n v="0.12"/>
    <x v="4"/>
  </r>
  <r>
    <s v="01e0e04b-2235-4fb9-8fb9-973653881bd7"/>
    <n v="56"/>
    <x v="4"/>
    <x v="2"/>
    <x v="2"/>
    <n v="7.39"/>
    <n v="53"/>
    <x v="2"/>
    <x v="2"/>
    <n v="8.99"/>
    <x v="1"/>
    <x v="1"/>
    <n v="1"/>
    <n v="0.14000000000000001"/>
    <x v="1"/>
  </r>
  <r>
    <s v="8eedeb3b-2b2f-4fbf-8c78-78d95da51319"/>
    <n v="65"/>
    <x v="4"/>
    <x v="1"/>
    <x v="0"/>
    <n v="2.92"/>
    <n v="1"/>
    <x v="3"/>
    <x v="0"/>
    <n v="13.99"/>
    <x v="0"/>
    <x v="2"/>
    <n v="5"/>
    <n v="1.46"/>
    <x v="5"/>
  </r>
  <r>
    <s v="96fa01b4-dcd1-4b01-bff4-4c52bc6e55bf"/>
    <n v="66"/>
    <x v="4"/>
    <x v="2"/>
    <x v="1"/>
    <n v="42.58"/>
    <n v="54"/>
    <x v="4"/>
    <x v="3"/>
    <n v="17.989999999999998"/>
    <x v="0"/>
    <x v="2"/>
    <n v="3"/>
    <n v="0.77"/>
    <x v="4"/>
  </r>
  <r>
    <s v="674799d1-2e7f-485b-bec5-b874a7d43a30"/>
    <n v="70"/>
    <x v="4"/>
    <x v="1"/>
    <x v="2"/>
    <n v="7.97"/>
    <n v="24"/>
    <x v="1"/>
    <x v="3"/>
    <n v="8.99"/>
    <x v="1"/>
    <x v="4"/>
    <n v="2"/>
    <n v="0.32"/>
    <x v="0"/>
  </r>
  <r>
    <s v="9efe5bf3-7810-450a-a05a-4dc4ad997e2a"/>
    <n v="64"/>
    <x v="4"/>
    <x v="2"/>
    <x v="1"/>
    <n v="6.42"/>
    <n v="35"/>
    <x v="5"/>
    <x v="4"/>
    <n v="17.989999999999998"/>
    <x v="1"/>
    <x v="0"/>
    <n v="5"/>
    <n v="0.18"/>
    <x v="6"/>
  </r>
  <r>
    <s v="9e0064ca-ef2e-4133-92b6-baae9a0fbab5"/>
    <n v="58"/>
    <x v="4"/>
    <x v="0"/>
    <x v="1"/>
    <n v="30.44"/>
    <n v="57"/>
    <x v="1"/>
    <x v="4"/>
    <n v="17.989999999999998"/>
    <x v="0"/>
    <x v="0"/>
    <n v="3"/>
    <n v="0.52"/>
    <x v="5"/>
  </r>
  <r>
    <s v="88a98e69-9e49-4d28-98d7-1e0b1bce6138"/>
    <n v="58"/>
    <x v="4"/>
    <x v="2"/>
    <x v="1"/>
    <n v="32.880000000000003"/>
    <n v="0"/>
    <x v="2"/>
    <x v="4"/>
    <n v="17.989999999999998"/>
    <x v="0"/>
    <x v="1"/>
    <n v="5"/>
    <n v="32.880000000000003"/>
    <x v="4"/>
  </r>
  <r>
    <s v="7798c7b5-2c45-40bb-b512-c35124084997"/>
    <n v="58"/>
    <x v="4"/>
    <x v="0"/>
    <x v="1"/>
    <n v="30.18"/>
    <n v="48"/>
    <x v="0"/>
    <x v="3"/>
    <n v="17.989999999999998"/>
    <x v="0"/>
    <x v="2"/>
    <n v="4"/>
    <n v="0.62"/>
    <x v="2"/>
  </r>
  <r>
    <s v="0cf9f5e9-d094-49c5-a870-c736b66720a1"/>
    <n v="62"/>
    <x v="4"/>
    <x v="1"/>
    <x v="0"/>
    <n v="3.61"/>
    <n v="0"/>
    <x v="5"/>
    <x v="3"/>
    <n v="13.99"/>
    <x v="0"/>
    <x v="3"/>
    <n v="3"/>
    <n v="3.61"/>
    <x v="4"/>
  </r>
  <r>
    <s v="9064a593-c430-4ce4-be40-2fce743f1440"/>
    <n v="64"/>
    <x v="4"/>
    <x v="2"/>
    <x v="0"/>
    <n v="7.6"/>
    <n v="44"/>
    <x v="3"/>
    <x v="1"/>
    <n v="13.99"/>
    <x v="1"/>
    <x v="1"/>
    <n v="1"/>
    <n v="0.17"/>
    <x v="0"/>
  </r>
  <r>
    <s v="3513193b-7a3b-4f79-8c6c-0fdeec771f7c"/>
    <n v="60"/>
    <x v="4"/>
    <x v="1"/>
    <x v="1"/>
    <n v="8.4"/>
    <n v="53"/>
    <x v="1"/>
    <x v="0"/>
    <n v="17.989999999999998"/>
    <x v="1"/>
    <x v="2"/>
    <n v="2"/>
    <n v="0.16"/>
    <x v="5"/>
  </r>
  <r>
    <s v="b906246e-44aa-441f-85c5-fc2aa946b0cb"/>
    <n v="59"/>
    <x v="4"/>
    <x v="0"/>
    <x v="0"/>
    <n v="29.55"/>
    <n v="0"/>
    <x v="2"/>
    <x v="1"/>
    <n v="13.99"/>
    <x v="0"/>
    <x v="0"/>
    <n v="5"/>
    <n v="29.55"/>
    <x v="4"/>
  </r>
  <r>
    <s v="43fb462c-015a-4412-ab1e-61798120a503"/>
    <n v="61"/>
    <x v="4"/>
    <x v="0"/>
    <x v="1"/>
    <n v="0.78"/>
    <n v="33"/>
    <x v="4"/>
    <x v="0"/>
    <n v="17.989999999999998"/>
    <x v="1"/>
    <x v="3"/>
    <n v="5"/>
    <n v="0.02"/>
    <x v="6"/>
  </r>
  <r>
    <s v="5e9407b5-aba7-4f9b-a6ce-7c7d5b22d0c1"/>
    <n v="65"/>
    <x v="4"/>
    <x v="2"/>
    <x v="1"/>
    <n v="31.99"/>
    <n v="57"/>
    <x v="0"/>
    <x v="2"/>
    <n v="17.989999999999998"/>
    <x v="0"/>
    <x v="3"/>
    <n v="2"/>
    <n v="0.55000000000000004"/>
    <x v="3"/>
  </r>
  <r>
    <s v="b7b3766d-a554-4590-930c-4fac22ad5609"/>
    <n v="65"/>
    <x v="4"/>
    <x v="0"/>
    <x v="2"/>
    <n v="1.64"/>
    <n v="43"/>
    <x v="3"/>
    <x v="4"/>
    <n v="8.99"/>
    <x v="1"/>
    <x v="4"/>
    <n v="1"/>
    <n v="0.04"/>
    <x v="1"/>
  </r>
  <r>
    <s v="a7bce00c-ce93-4774-b7aa-19c634036995"/>
    <n v="63"/>
    <x v="4"/>
    <x v="1"/>
    <x v="1"/>
    <n v="51.75"/>
    <n v="30"/>
    <x v="0"/>
    <x v="0"/>
    <n v="17.989999999999998"/>
    <x v="0"/>
    <x v="0"/>
    <n v="1"/>
    <n v="1.67"/>
    <x v="2"/>
  </r>
  <r>
    <s v="5561ccd8-e146-49f5-8565-f3592b99c120"/>
    <n v="57"/>
    <x v="4"/>
    <x v="2"/>
    <x v="0"/>
    <n v="1.24"/>
    <n v="37"/>
    <x v="1"/>
    <x v="3"/>
    <n v="13.99"/>
    <x v="1"/>
    <x v="4"/>
    <n v="2"/>
    <n v="0.03"/>
    <x v="0"/>
  </r>
  <r>
    <s v="1f1887b9-f6a0-4e02-bdde-ca416a4c59ed"/>
    <n v="65"/>
    <x v="4"/>
    <x v="2"/>
    <x v="2"/>
    <n v="24.31"/>
    <n v="25"/>
    <x v="1"/>
    <x v="3"/>
    <n v="8.99"/>
    <x v="0"/>
    <x v="0"/>
    <n v="4"/>
    <n v="0.93"/>
    <x v="2"/>
  </r>
  <r>
    <s v="f74ff24c-51f6-475d-bf10-78327965060f"/>
    <n v="59"/>
    <x v="4"/>
    <x v="1"/>
    <x v="1"/>
    <n v="4.17"/>
    <n v="1"/>
    <x v="2"/>
    <x v="3"/>
    <n v="17.989999999999998"/>
    <x v="0"/>
    <x v="1"/>
    <n v="4"/>
    <n v="2.08"/>
    <x v="1"/>
  </r>
  <r>
    <s v="82c7d813-e397-4de4-8100-fc27da80fd7f"/>
    <n v="59"/>
    <x v="4"/>
    <x v="2"/>
    <x v="1"/>
    <n v="31.05"/>
    <n v="3"/>
    <x v="4"/>
    <x v="2"/>
    <n v="17.989999999999998"/>
    <x v="0"/>
    <x v="2"/>
    <n v="5"/>
    <n v="7.76"/>
    <x v="3"/>
  </r>
  <r>
    <s v="3bd93596-85f5-4e95-bd11-1c6f0b3cd87d"/>
    <n v="61"/>
    <x v="4"/>
    <x v="0"/>
    <x v="0"/>
    <n v="30"/>
    <n v="50"/>
    <x v="4"/>
    <x v="2"/>
    <n v="13.99"/>
    <x v="0"/>
    <x v="2"/>
    <n v="2"/>
    <n v="0.59"/>
    <x v="1"/>
  </r>
  <r>
    <s v="a954f81c-754f-4b5b-bf48-510a882ae1e6"/>
    <n v="66"/>
    <x v="4"/>
    <x v="0"/>
    <x v="2"/>
    <n v="0.74"/>
    <n v="27"/>
    <x v="5"/>
    <x v="2"/>
    <n v="8.99"/>
    <x v="1"/>
    <x v="0"/>
    <n v="3"/>
    <n v="0.03"/>
    <x v="3"/>
  </r>
  <r>
    <s v="94efcb70-ed00-4597-ad2b-cb64e70c3fac"/>
    <n v="59"/>
    <x v="4"/>
    <x v="2"/>
    <x v="0"/>
    <n v="9.77"/>
    <n v="30"/>
    <x v="1"/>
    <x v="0"/>
    <n v="13.99"/>
    <x v="0"/>
    <x v="2"/>
    <n v="5"/>
    <n v="0.32"/>
    <x v="1"/>
  </r>
  <r>
    <s v="135cfb15-52a8-4e74-8383-7a65f8c1bd7c"/>
    <n v="62"/>
    <x v="4"/>
    <x v="0"/>
    <x v="2"/>
    <n v="6.69"/>
    <n v="30"/>
    <x v="3"/>
    <x v="2"/>
    <n v="8.99"/>
    <x v="1"/>
    <x v="4"/>
    <n v="1"/>
    <n v="0.22"/>
    <x v="1"/>
  </r>
  <r>
    <s v="d202349e-dd45-42e7-84a9-fa604082763f"/>
    <n v="65"/>
    <x v="4"/>
    <x v="0"/>
    <x v="2"/>
    <n v="26.98"/>
    <n v="0"/>
    <x v="2"/>
    <x v="0"/>
    <n v="8.99"/>
    <x v="0"/>
    <x v="1"/>
    <n v="2"/>
    <n v="26.98"/>
    <x v="4"/>
  </r>
  <r>
    <s v="4213e867-3c80-4fd0-b3c6-e2541d2c96ed"/>
    <n v="58"/>
    <x v="4"/>
    <x v="0"/>
    <x v="1"/>
    <n v="2.91"/>
    <n v="17"/>
    <x v="0"/>
    <x v="4"/>
    <n v="17.989999999999998"/>
    <x v="1"/>
    <x v="0"/>
    <n v="1"/>
    <n v="0.16"/>
    <x v="1"/>
  </r>
  <r>
    <s v="faaf8bca-8e08-486c-8968-51c445f22219"/>
    <n v="66"/>
    <x v="4"/>
    <x v="1"/>
    <x v="1"/>
    <n v="0.15"/>
    <n v="44"/>
    <x v="2"/>
    <x v="4"/>
    <n v="17.989999999999998"/>
    <x v="1"/>
    <x v="2"/>
    <n v="1"/>
    <n v="0"/>
    <x v="1"/>
  </r>
  <r>
    <s v="1abb50cc-2669-4928-88c7-d4ab9d4c4481"/>
    <n v="57"/>
    <x v="4"/>
    <x v="1"/>
    <x v="2"/>
    <n v="4.59"/>
    <n v="54"/>
    <x v="3"/>
    <x v="0"/>
    <n v="8.99"/>
    <x v="1"/>
    <x v="3"/>
    <n v="4"/>
    <n v="0.08"/>
    <x v="5"/>
  </r>
  <r>
    <s v="0e09d94c-15d8-4621-bb91-7439249d7087"/>
    <n v="67"/>
    <x v="4"/>
    <x v="2"/>
    <x v="0"/>
    <n v="10.29"/>
    <n v="44"/>
    <x v="5"/>
    <x v="4"/>
    <n v="13.99"/>
    <x v="1"/>
    <x v="3"/>
    <n v="2"/>
    <n v="0.23"/>
    <x v="1"/>
  </r>
  <r>
    <s v="ea275892-9e6a-4ea7-bff4-2fd8e8b52e9a"/>
    <n v="61"/>
    <x v="4"/>
    <x v="1"/>
    <x v="2"/>
    <n v="4.71"/>
    <n v="8"/>
    <x v="5"/>
    <x v="2"/>
    <n v="8.99"/>
    <x v="1"/>
    <x v="0"/>
    <n v="2"/>
    <n v="0.52"/>
    <x v="3"/>
  </r>
  <r>
    <s v="3585efe7-1d69-4db5-ac08-839a0e8df609"/>
    <n v="56"/>
    <x v="4"/>
    <x v="0"/>
    <x v="2"/>
    <n v="2.86"/>
    <n v="58"/>
    <x v="0"/>
    <x v="0"/>
    <n v="8.99"/>
    <x v="1"/>
    <x v="0"/>
    <n v="3"/>
    <n v="0.05"/>
    <x v="4"/>
  </r>
  <r>
    <s v="9fd6430d-c973-4120-8dc5-d4f4bd8b2973"/>
    <n v="61"/>
    <x v="4"/>
    <x v="2"/>
    <x v="0"/>
    <n v="2.19"/>
    <n v="48"/>
    <x v="3"/>
    <x v="1"/>
    <n v="13.99"/>
    <x v="1"/>
    <x v="3"/>
    <n v="3"/>
    <n v="0.04"/>
    <x v="5"/>
  </r>
  <r>
    <s v="a69c4c3d-1d84-4a11-afbf-096c2d9d4746"/>
    <n v="59"/>
    <x v="4"/>
    <x v="1"/>
    <x v="2"/>
    <n v="8.26"/>
    <n v="39"/>
    <x v="3"/>
    <x v="0"/>
    <n v="8.99"/>
    <x v="1"/>
    <x v="3"/>
    <n v="1"/>
    <n v="0.21"/>
    <x v="1"/>
  </r>
  <r>
    <s v="5e0c466c-778c-4fc4-959f-c9c585c28e03"/>
    <n v="62"/>
    <x v="4"/>
    <x v="0"/>
    <x v="0"/>
    <n v="1.1200000000000001"/>
    <n v="42"/>
    <x v="0"/>
    <x v="0"/>
    <n v="13.99"/>
    <x v="1"/>
    <x v="2"/>
    <n v="1"/>
    <n v="0.03"/>
    <x v="6"/>
  </r>
  <r>
    <s v="43a2287a-3941-451d-9039-112f75a510ab"/>
    <n v="70"/>
    <x v="4"/>
    <x v="2"/>
    <x v="1"/>
    <n v="15.29"/>
    <n v="43"/>
    <x v="3"/>
    <x v="2"/>
    <n v="17.989999999999998"/>
    <x v="1"/>
    <x v="0"/>
    <n v="4"/>
    <n v="0.35"/>
    <x v="6"/>
  </r>
  <r>
    <s v="9f0232a1-f6d5-4ab9-bdb4-8258c05c7d63"/>
    <n v="62"/>
    <x v="4"/>
    <x v="1"/>
    <x v="2"/>
    <n v="17.149999999999999"/>
    <n v="24"/>
    <x v="1"/>
    <x v="0"/>
    <n v="8.99"/>
    <x v="0"/>
    <x v="3"/>
    <n v="5"/>
    <n v="0.69"/>
    <x v="1"/>
  </r>
  <r>
    <s v="15dd5aab-02a9-4353-b946-129f72a1560b"/>
    <n v="63"/>
    <x v="4"/>
    <x v="1"/>
    <x v="0"/>
    <n v="1.97"/>
    <n v="21"/>
    <x v="0"/>
    <x v="2"/>
    <n v="13.99"/>
    <x v="1"/>
    <x v="0"/>
    <n v="2"/>
    <n v="0.09"/>
    <x v="5"/>
  </r>
  <r>
    <s v="bab5dc46-e42e-406c-bcde-6ec042c2379b"/>
    <n v="68"/>
    <x v="4"/>
    <x v="1"/>
    <x v="1"/>
    <n v="11.27"/>
    <n v="52"/>
    <x v="2"/>
    <x v="0"/>
    <n v="17.989999999999998"/>
    <x v="1"/>
    <x v="0"/>
    <n v="4"/>
    <n v="0.21"/>
    <x v="5"/>
  </r>
  <r>
    <s v="e096d116-d8cc-473d-aca9-e8f785e96471"/>
    <n v="59"/>
    <x v="4"/>
    <x v="1"/>
    <x v="2"/>
    <n v="2.58"/>
    <n v="54"/>
    <x v="5"/>
    <x v="1"/>
    <n v="8.99"/>
    <x v="1"/>
    <x v="2"/>
    <n v="4"/>
    <n v="0.05"/>
    <x v="4"/>
  </r>
  <r>
    <s v="1d46a6b0-f972-4e84-b7e5-53c37d927a82"/>
    <n v="55"/>
    <x v="4"/>
    <x v="1"/>
    <x v="0"/>
    <n v="47.33"/>
    <n v="27"/>
    <x v="3"/>
    <x v="4"/>
    <n v="13.99"/>
    <x v="0"/>
    <x v="1"/>
    <n v="5"/>
    <n v="1.69"/>
    <x v="5"/>
  </r>
  <r>
    <s v="846071b8-3512-4c74-8ce2-29621445a8e0"/>
    <n v="69"/>
    <x v="4"/>
    <x v="0"/>
    <x v="1"/>
    <n v="50.94"/>
    <n v="59"/>
    <x v="4"/>
    <x v="3"/>
    <n v="17.989999999999998"/>
    <x v="0"/>
    <x v="1"/>
    <n v="4"/>
    <n v="0.85"/>
    <x v="0"/>
  </r>
  <r>
    <s v="f88695e3-3887-4837-b06e-44545116971b"/>
    <n v="69"/>
    <x v="4"/>
    <x v="1"/>
    <x v="1"/>
    <n v="5.07"/>
    <n v="25"/>
    <x v="2"/>
    <x v="1"/>
    <n v="17.989999999999998"/>
    <x v="0"/>
    <x v="0"/>
    <n v="4"/>
    <n v="0.2"/>
    <x v="3"/>
  </r>
  <r>
    <s v="fe3f068b-304f-4982-adbc-b2d992a4dfba"/>
    <n v="59"/>
    <x v="4"/>
    <x v="1"/>
    <x v="0"/>
    <n v="8.76"/>
    <n v="11"/>
    <x v="5"/>
    <x v="1"/>
    <n v="13.99"/>
    <x v="0"/>
    <x v="1"/>
    <n v="3"/>
    <n v="0.73"/>
    <x v="6"/>
  </r>
  <r>
    <s v="f6b290df-1d8b-42d8-9aac-5b19f94e441f"/>
    <n v="69"/>
    <x v="4"/>
    <x v="0"/>
    <x v="0"/>
    <n v="2.78"/>
    <n v="28"/>
    <x v="3"/>
    <x v="4"/>
    <n v="13.99"/>
    <x v="1"/>
    <x v="0"/>
    <n v="5"/>
    <n v="0.1"/>
    <x v="6"/>
  </r>
  <r>
    <s v="d2a0a7b8-a6c8-47cc-832f-000b87721bca"/>
    <n v="65"/>
    <x v="4"/>
    <x v="0"/>
    <x v="2"/>
    <n v="20"/>
    <n v="26"/>
    <x v="4"/>
    <x v="0"/>
    <n v="8.99"/>
    <x v="0"/>
    <x v="3"/>
    <n v="4"/>
    <n v="0.74"/>
    <x v="3"/>
  </r>
  <r>
    <s v="5f2c7678-c330-4a6e-ab6b-2aa6446621e5"/>
    <n v="59"/>
    <x v="4"/>
    <x v="0"/>
    <x v="1"/>
    <n v="6"/>
    <n v="8"/>
    <x v="2"/>
    <x v="3"/>
    <n v="17.989999999999998"/>
    <x v="0"/>
    <x v="0"/>
    <n v="2"/>
    <n v="0.67"/>
    <x v="5"/>
  </r>
  <r>
    <s v="c86cc60f-22f1-4233-829a-59d67a049bc7"/>
    <n v="70"/>
    <x v="4"/>
    <x v="2"/>
    <x v="2"/>
    <n v="6.86"/>
    <n v="58"/>
    <x v="1"/>
    <x v="4"/>
    <n v="8.99"/>
    <x v="1"/>
    <x v="3"/>
    <n v="1"/>
    <n v="0.12"/>
    <x v="3"/>
  </r>
  <r>
    <s v="dbf49e6b-5487-4076-ad57-58e87c51afdc"/>
    <n v="64"/>
    <x v="4"/>
    <x v="0"/>
    <x v="2"/>
    <n v="5.78"/>
    <n v="22"/>
    <x v="2"/>
    <x v="1"/>
    <n v="8.99"/>
    <x v="0"/>
    <x v="4"/>
    <n v="5"/>
    <n v="0.25"/>
    <x v="3"/>
  </r>
  <r>
    <s v="d6517555-2524-4794-8793-69011d3f7527"/>
    <n v="70"/>
    <x v="4"/>
    <x v="2"/>
    <x v="2"/>
    <n v="6.01"/>
    <n v="13"/>
    <x v="0"/>
    <x v="0"/>
    <n v="8.99"/>
    <x v="1"/>
    <x v="0"/>
    <n v="1"/>
    <n v="0.43"/>
    <x v="3"/>
  </r>
  <r>
    <s v="0c77bb21-f163-4c27-b2d7-cd3691c0d932"/>
    <n v="60"/>
    <x v="4"/>
    <x v="0"/>
    <x v="2"/>
    <n v="3.49"/>
    <n v="22"/>
    <x v="0"/>
    <x v="2"/>
    <n v="8.99"/>
    <x v="1"/>
    <x v="0"/>
    <n v="2"/>
    <n v="0.15"/>
    <x v="2"/>
  </r>
  <r>
    <s v="38c0cb0d-73e5-492d-86ae-af609fdc20f3"/>
    <n v="55"/>
    <x v="4"/>
    <x v="1"/>
    <x v="1"/>
    <n v="18.87"/>
    <n v="58"/>
    <x v="0"/>
    <x v="1"/>
    <n v="17.989999999999998"/>
    <x v="1"/>
    <x v="4"/>
    <n v="2"/>
    <n v="0.32"/>
    <x v="1"/>
  </r>
  <r>
    <s v="436e88e3-310d-4e5c-993d-2c984387b918"/>
    <n v="65"/>
    <x v="4"/>
    <x v="1"/>
    <x v="2"/>
    <n v="1.68"/>
    <n v="3"/>
    <x v="0"/>
    <x v="0"/>
    <n v="8.99"/>
    <x v="1"/>
    <x v="3"/>
    <n v="1"/>
    <n v="0.42"/>
    <x v="6"/>
  </r>
  <r>
    <s v="5a2186bb-646a-4b19-8c83-54a103376f3e"/>
    <n v="69"/>
    <x v="4"/>
    <x v="2"/>
    <x v="2"/>
    <n v="14.35"/>
    <n v="50"/>
    <x v="4"/>
    <x v="2"/>
    <n v="8.99"/>
    <x v="1"/>
    <x v="2"/>
    <n v="5"/>
    <n v="0.28000000000000003"/>
    <x v="0"/>
  </r>
  <r>
    <s v="3710e889-665a-4e74-82b4-84338bbd4ec5"/>
    <n v="59"/>
    <x v="4"/>
    <x v="2"/>
    <x v="0"/>
    <n v="1.65"/>
    <n v="53"/>
    <x v="3"/>
    <x v="3"/>
    <n v="13.99"/>
    <x v="1"/>
    <x v="1"/>
    <n v="1"/>
    <n v="0.03"/>
    <x v="3"/>
  </r>
  <r>
    <s v="5f1e4fd7-5fd5-4d17-9506-07d94708a5a6"/>
    <n v="70"/>
    <x v="4"/>
    <x v="1"/>
    <x v="2"/>
    <n v="1.33"/>
    <n v="54"/>
    <x v="5"/>
    <x v="0"/>
    <n v="8.99"/>
    <x v="1"/>
    <x v="0"/>
    <n v="5"/>
    <n v="0.02"/>
    <x v="4"/>
  </r>
  <r>
    <s v="1a613704-dbee-4a93-b9d1-7949da2b1aab"/>
    <n v="59"/>
    <x v="4"/>
    <x v="2"/>
    <x v="0"/>
    <n v="0.98"/>
    <n v="19"/>
    <x v="1"/>
    <x v="2"/>
    <n v="13.99"/>
    <x v="1"/>
    <x v="4"/>
    <n v="4"/>
    <n v="0.05"/>
    <x v="2"/>
  </r>
  <r>
    <s v="ce69dec0-1f59-4584-ae9b-509c66fb056a"/>
    <n v="61"/>
    <x v="4"/>
    <x v="1"/>
    <x v="0"/>
    <n v="0.94"/>
    <n v="19"/>
    <x v="2"/>
    <x v="0"/>
    <n v="13.99"/>
    <x v="0"/>
    <x v="1"/>
    <n v="4"/>
    <n v="0.05"/>
    <x v="4"/>
  </r>
  <r>
    <s v="3160aa58-0bf6-4e81-a1af-51903f0c0588"/>
    <n v="65"/>
    <x v="4"/>
    <x v="0"/>
    <x v="0"/>
    <n v="70.989999999999995"/>
    <n v="36"/>
    <x v="5"/>
    <x v="2"/>
    <n v="13.99"/>
    <x v="0"/>
    <x v="0"/>
    <n v="2"/>
    <n v="1.92"/>
    <x v="2"/>
  </r>
  <r>
    <s v="762e1664-e032-49bd-b40b-6ffc62b9f79d"/>
    <n v="65"/>
    <x v="4"/>
    <x v="1"/>
    <x v="0"/>
    <n v="20.56"/>
    <n v="10"/>
    <x v="1"/>
    <x v="1"/>
    <n v="13.99"/>
    <x v="0"/>
    <x v="1"/>
    <n v="5"/>
    <n v="1.87"/>
    <x v="6"/>
  </r>
  <r>
    <s v="e26bf752-9b54-4ad5-95c0-ebfdd1985e6a"/>
    <n v="64"/>
    <x v="4"/>
    <x v="0"/>
    <x v="2"/>
    <n v="28.66"/>
    <n v="28"/>
    <x v="5"/>
    <x v="3"/>
    <n v="8.99"/>
    <x v="0"/>
    <x v="4"/>
    <n v="4"/>
    <n v="0.99"/>
    <x v="4"/>
  </r>
  <r>
    <s v="ff85f5f5-218c-4a52-b148-7b8883f635aa"/>
    <n v="59"/>
    <x v="4"/>
    <x v="1"/>
    <x v="1"/>
    <n v="6.25"/>
    <n v="1"/>
    <x v="2"/>
    <x v="1"/>
    <n v="17.989999999999998"/>
    <x v="0"/>
    <x v="1"/>
    <n v="1"/>
    <n v="3.12"/>
    <x v="4"/>
  </r>
  <r>
    <s v="17e2425b-34d9-4947-93ef-3f2d2f3ea259"/>
    <n v="69"/>
    <x v="4"/>
    <x v="0"/>
    <x v="0"/>
    <n v="6.08"/>
    <n v="47"/>
    <x v="3"/>
    <x v="4"/>
    <n v="13.99"/>
    <x v="1"/>
    <x v="3"/>
    <n v="3"/>
    <n v="0.13"/>
    <x v="2"/>
  </r>
  <r>
    <s v="8303a039-6a27-43cf-9410-2bb30cd7df1a"/>
    <n v="64"/>
    <x v="4"/>
    <x v="0"/>
    <x v="0"/>
    <n v="8.11"/>
    <n v="6"/>
    <x v="4"/>
    <x v="4"/>
    <n v="13.99"/>
    <x v="0"/>
    <x v="4"/>
    <n v="3"/>
    <n v="1.1599999999999999"/>
    <x v="3"/>
  </r>
  <r>
    <s v="e30087d7-5154-4bed-b206-a5a3a8beb672"/>
    <n v="63"/>
    <x v="4"/>
    <x v="2"/>
    <x v="0"/>
    <n v="27.07"/>
    <n v="18"/>
    <x v="2"/>
    <x v="3"/>
    <n v="13.99"/>
    <x v="0"/>
    <x v="1"/>
    <n v="3"/>
    <n v="1.42"/>
    <x v="6"/>
  </r>
  <r>
    <s v="5a416884-375a-4442-b7c6-b480321dd6fd"/>
    <n v="57"/>
    <x v="4"/>
    <x v="2"/>
    <x v="0"/>
    <n v="3.64"/>
    <n v="36"/>
    <x v="2"/>
    <x v="1"/>
    <n v="13.99"/>
    <x v="1"/>
    <x v="0"/>
    <n v="5"/>
    <n v="0.1"/>
    <x v="1"/>
  </r>
  <r>
    <s v="bdf58108-85ad-4ec0-b613-65576525b913"/>
    <n v="69"/>
    <x v="4"/>
    <x v="1"/>
    <x v="1"/>
    <n v="11.3"/>
    <n v="33"/>
    <x v="0"/>
    <x v="3"/>
    <n v="17.989999999999998"/>
    <x v="0"/>
    <x v="1"/>
    <n v="4"/>
    <n v="0.33"/>
    <x v="3"/>
  </r>
  <r>
    <s v="a213aa66-7585-47f8-b1fa-3bd2bc3a1387"/>
    <n v="58"/>
    <x v="4"/>
    <x v="0"/>
    <x v="1"/>
    <n v="7.58"/>
    <n v="40"/>
    <x v="4"/>
    <x v="0"/>
    <n v="17.989999999999998"/>
    <x v="1"/>
    <x v="4"/>
    <n v="5"/>
    <n v="0.18"/>
    <x v="4"/>
  </r>
  <r>
    <s v="9cac0e48-698a-4808-9ca9-9601ff0bd4d2"/>
    <n v="67"/>
    <x v="4"/>
    <x v="0"/>
    <x v="0"/>
    <n v="16.059999999999999"/>
    <n v="18"/>
    <x v="1"/>
    <x v="1"/>
    <n v="13.99"/>
    <x v="0"/>
    <x v="3"/>
    <n v="5"/>
    <n v="0.85"/>
    <x v="2"/>
  </r>
  <r>
    <s v="b2903ea6-d58c-4ffa-bf43-3e5e6a25ca06"/>
    <n v="69"/>
    <x v="4"/>
    <x v="2"/>
    <x v="0"/>
    <n v="42.72"/>
    <n v="52"/>
    <x v="2"/>
    <x v="4"/>
    <n v="13.99"/>
    <x v="0"/>
    <x v="0"/>
    <n v="3"/>
    <n v="0.81"/>
    <x v="0"/>
  </r>
  <r>
    <s v="edb9036d-95f9-4998-9910-78ba85869dbd"/>
    <n v="57"/>
    <x v="4"/>
    <x v="2"/>
    <x v="0"/>
    <n v="2.09"/>
    <n v="13"/>
    <x v="0"/>
    <x v="0"/>
    <n v="13.99"/>
    <x v="1"/>
    <x v="0"/>
    <n v="3"/>
    <n v="0.15"/>
    <x v="4"/>
  </r>
  <r>
    <s v="ac6eb271-0239-4957-b828-c89508fcfbea"/>
    <n v="62"/>
    <x v="4"/>
    <x v="2"/>
    <x v="0"/>
    <n v="7.31"/>
    <n v="26"/>
    <x v="5"/>
    <x v="3"/>
    <n v="13.99"/>
    <x v="0"/>
    <x v="2"/>
    <n v="2"/>
    <n v="0.27"/>
    <x v="6"/>
  </r>
  <r>
    <s v="75532a22-9cd9-492c-8865-fa4ac7da2ec8"/>
    <n v="58"/>
    <x v="4"/>
    <x v="1"/>
    <x v="2"/>
    <n v="10.9"/>
    <n v="22"/>
    <x v="1"/>
    <x v="0"/>
    <n v="8.99"/>
    <x v="0"/>
    <x v="2"/>
    <n v="3"/>
    <n v="0.47"/>
    <x v="3"/>
  </r>
  <r>
    <s v="18779bcb-ba2b-41da-b751-e70b812061ec"/>
    <n v="67"/>
    <x v="4"/>
    <x v="0"/>
    <x v="2"/>
    <n v="9.24"/>
    <n v="2"/>
    <x v="4"/>
    <x v="3"/>
    <n v="8.99"/>
    <x v="0"/>
    <x v="3"/>
    <n v="3"/>
    <n v="3.08"/>
    <x v="5"/>
  </r>
  <r>
    <s v="3f32e8c5-615b-4a3b-a864-db2688f7834f"/>
    <n v="66"/>
    <x v="4"/>
    <x v="2"/>
    <x v="0"/>
    <n v="16.55"/>
    <n v="49"/>
    <x v="2"/>
    <x v="3"/>
    <n v="13.99"/>
    <x v="1"/>
    <x v="1"/>
    <n v="2"/>
    <n v="0.33"/>
    <x v="3"/>
  </r>
  <r>
    <s v="7b0ad82d-6571-430e-90f4-906259e0e89c"/>
    <n v="59"/>
    <x v="4"/>
    <x v="0"/>
    <x v="2"/>
    <n v="9.1199999999999992"/>
    <n v="3"/>
    <x v="1"/>
    <x v="1"/>
    <n v="8.99"/>
    <x v="0"/>
    <x v="2"/>
    <n v="4"/>
    <n v="2.2799999999999998"/>
    <x v="6"/>
  </r>
  <r>
    <s v="82aeef39-ddb0-40ad-bae1-5c436e0cf042"/>
    <n v="57"/>
    <x v="4"/>
    <x v="2"/>
    <x v="2"/>
    <n v="1.62"/>
    <n v="17"/>
    <x v="3"/>
    <x v="2"/>
    <n v="8.99"/>
    <x v="1"/>
    <x v="0"/>
    <n v="2"/>
    <n v="0.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78182-87E8-4CCA-BFA1-042F4FBA4002}" name="AverageValue_Hours_LastLog_#prof"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E81" firstHeaderRow="0" firstDataRow="1" firstDataCol="1"/>
  <pivotFields count="15">
    <pivotField showAll="0"/>
    <pivotField numFmtId="1" showAll="0"/>
    <pivotField axis="axisRow"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dataField="1" numFmtId="1" showAll="0"/>
    <pivotField showAll="0"/>
    <pivotField showAll="0"/>
    <pivotField numFmtId="164" showAll="0"/>
    <pivotField showAll="0"/>
    <pivotField showAll="0"/>
    <pivotField dataField="1" numFmtId="1" showAll="0"/>
    <pivotField numFmtId="2"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Average of watch_hours" fld="5" subtotal="average" baseField="2" baseItem="0" numFmtId="2"/>
    <dataField name="Average of last_login_days" fld="6" subtotal="average" baseField="2" baseItem="0" numFmtId="1"/>
    <dataField name="Average of number_of_profiles" fld="12" subtotal="average"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444BE-E051-4B4A-8CD1-E165174DE833}" name="genre"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4:C72" firstHeaderRow="1" firstDataRow="1" firstDataCol="1"/>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axis="axisRow" showAll="0" sortType="ascending">
      <items count="8">
        <item x="3"/>
        <item x="1"/>
        <item x="5"/>
        <item x="0"/>
        <item x="2"/>
        <item x="4"/>
        <item x="6"/>
        <item t="default"/>
      </items>
      <autoSortScope>
        <pivotArea dataOnly="0" outline="0" fieldPosition="0">
          <references count="1">
            <reference field="4294967294" count="1" selected="0">
              <x v="0"/>
            </reference>
          </references>
        </pivotArea>
      </autoSortScope>
    </pivotField>
  </pivotFields>
  <rowFields count="1">
    <field x="14"/>
  </rowFields>
  <rowItems count="8">
    <i>
      <x v="4"/>
    </i>
    <i>
      <x v="6"/>
    </i>
    <i>
      <x v="2"/>
    </i>
    <i>
      <x v="3"/>
    </i>
    <i>
      <x v="1"/>
    </i>
    <i>
      <x/>
    </i>
    <i>
      <x v="5"/>
    </i>
    <i t="grand">
      <x/>
    </i>
  </rowItems>
  <colItems count="1">
    <i/>
  </colItems>
  <dataFields count="1">
    <dataField name="Count of customer_id" fld="0" subtotal="count" baseField="14" baseItem="0"/>
  </dataFields>
  <conditionalFormats count="1">
    <conditionalFormat priority="3">
      <pivotAreas count="1">
        <pivotArea type="data" collapsedLevelsAreSubtotals="1" fieldPosition="0">
          <references count="2">
            <reference field="4294967294" count="1" selected="0">
              <x v="0"/>
            </reference>
            <reference field="14" count="7">
              <x v="0"/>
              <x v="1"/>
              <x v="2"/>
              <x v="3"/>
              <x v="4"/>
              <x v="5"/>
              <x v="6"/>
            </reference>
          </references>
        </pivotArea>
      </pivotAreas>
    </conditionalFormat>
  </conditional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3A150-DE47-4736-815C-6023CFF808A7}" name="device"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D60" firstHeaderRow="0" firstDataRow="1" firstDataCol="1"/>
  <pivotFields count="15">
    <pivotField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numFmtId="1" showAll="0"/>
    <pivotField showAll="0">
      <items count="7">
        <item x="3"/>
        <item x="0"/>
        <item x="1"/>
        <item x="4"/>
        <item x="5"/>
        <item x="2"/>
        <item t="default"/>
      </items>
    </pivotField>
    <pivotField axis="axisRow" showAll="0">
      <items count="6">
        <item x="3"/>
        <item x="1"/>
        <item x="2"/>
        <item x="4"/>
        <item x="0"/>
        <item t="default"/>
      </items>
    </pivotField>
    <pivotField dataField="1" numFmtId="164" showAll="0"/>
    <pivotField showAll="0"/>
    <pivotField showAll="0"/>
    <pivotField numFmtId="1" showAll="0"/>
    <pivotField numFmtId="2" showAll="0"/>
    <pivotField showAll="0"/>
  </pivotFields>
  <rowFields count="1">
    <field x="8"/>
  </rowFields>
  <rowItems count="6">
    <i>
      <x/>
    </i>
    <i>
      <x v="1"/>
    </i>
    <i>
      <x v="2"/>
    </i>
    <i>
      <x v="3"/>
    </i>
    <i>
      <x v="4"/>
    </i>
    <i t="grand">
      <x/>
    </i>
  </rowItems>
  <colFields count="1">
    <field x="-2"/>
  </colFields>
  <colItems count="2">
    <i>
      <x/>
    </i>
    <i i="1">
      <x v="1"/>
    </i>
  </colItems>
  <dataFields count="2">
    <dataField name="AVG_watched_hours" fld="5" subtotal="average" baseField="8" baseItem="0" numFmtId="2"/>
    <dataField name="Sum of monthly_fe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DE9570-A5C2-4198-8DDA-B6BE306B627C}" name="payment"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6:D52" firstHeaderRow="0" firstDataRow="1" firstDataCol="1"/>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dataField="1" showAll="0">
      <items count="3">
        <item x="0"/>
        <item x="1"/>
        <item t="default"/>
      </items>
    </pivotField>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s>
  <rowFields count="1">
    <field x="11"/>
  </rowFields>
  <rowItems count="6">
    <i>
      <x v="4"/>
    </i>
    <i>
      <x/>
    </i>
    <i>
      <x v="2"/>
    </i>
    <i>
      <x v="3"/>
    </i>
    <i>
      <x v="1"/>
    </i>
    <i t="grand">
      <x/>
    </i>
  </rowItems>
  <colFields count="1">
    <field x="-2"/>
  </colFields>
  <colItems count="2">
    <i>
      <x/>
    </i>
    <i i="1">
      <x v="1"/>
    </i>
  </colItems>
  <dataFields count="2">
    <dataField name="Customer Count" fld="0" subtotal="count" baseField="11" baseItem="3"/>
    <dataField name="Churned Rate %" fld="10" showDataAs="percentOfTotal" baseField="11" baseItem="0" numFmtId="10"/>
  </dataFields>
  <conditionalFormats count="1">
    <conditionalFormat priority="4">
      <pivotAreas count="1">
        <pivotArea type="data" collapsedLevelsAreSubtotals="1" fieldPosition="0">
          <references count="2">
            <reference field="4294967294" count="1" selected="0">
              <x v="1"/>
            </reference>
            <reference field="11" count="5">
              <x v="0"/>
              <x v="1"/>
              <x v="2"/>
              <x v="3"/>
              <x v="4"/>
            </reference>
          </references>
        </pivotArea>
      </pivotAreas>
    </conditionalFormat>
  </conditionalFormat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2BF2D4-8CA1-4FC1-A2B3-1245E3AD53CE}" name="avgwatchhours"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B43" firstHeaderRow="1" firstDataRow="1" firstDataCol="0"/>
  <pivotFields count="15">
    <pivotField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showAll="0"/>
  </pivotFields>
  <rowItems count="1">
    <i/>
  </rowItems>
  <colItems count="1">
    <i/>
  </colItems>
  <dataFields count="1">
    <dataField name="Average of watch_hours"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6C2D4E-FEF4-41E5-AFA4-4D1E870C25A4}" name="gender"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5:C39" firstHeaderRow="1" firstDataRow="1" firstDataCol="1"/>
  <pivotFields count="15">
    <pivotField dataField="1" showAll="0"/>
    <pivotField numFmtId="1" showAll="0"/>
    <pivotField showAll="0">
      <items count="10">
        <item x="1"/>
        <item x="0"/>
        <item x="2"/>
        <item x="3"/>
        <item x="4"/>
        <item m="1" x="6"/>
        <item m="1" x="7"/>
        <item m="1" x="5"/>
        <item m="1" x="8"/>
        <item t="default"/>
      </items>
    </pivotField>
    <pivotField axis="axisRow" showAll="0">
      <items count="4">
        <item x="0"/>
        <item x="2"/>
        <item x="1"/>
        <item t="default"/>
      </items>
    </pivotField>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showAll="0"/>
  </pivotFields>
  <rowFields count="1">
    <field x="3"/>
  </rowFields>
  <rowItems count="4">
    <i>
      <x/>
    </i>
    <i>
      <x v="1"/>
    </i>
    <i>
      <x v="2"/>
    </i>
    <i t="grand">
      <x/>
    </i>
  </rowItems>
  <colItems count="1">
    <i/>
  </colItems>
  <dataFields count="1">
    <dataField name="Count of customer_id" fld="0"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D02813-7498-4AE3-BF1E-DD9B01A5A17A}" name="subs_churned" cacheId="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24:D28" firstHeaderRow="0" firstDataRow="1" firstDataCol="1"/>
  <pivotFields count="15">
    <pivotField compact="0" outline="0" showAll="0"/>
    <pivotField compact="0" numFmtId="1" outline="0" showAll="0"/>
    <pivotField compact="0" outline="0" showAll="0">
      <items count="10">
        <item x="1"/>
        <item x="0"/>
        <item x="2"/>
        <item x="3"/>
        <item x="4"/>
        <item m="1" x="6"/>
        <item m="1" x="7"/>
        <item m="1" x="5"/>
        <item m="1" x="8"/>
        <item t="default"/>
      </items>
    </pivotField>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1"/>
            </reference>
          </references>
        </pivotArea>
      </autoSortScope>
    </pivotField>
    <pivotField compact="0" numFmtId="2" outline="0" showAll="0"/>
    <pivotField compact="0" numFmtId="1" outline="0" showAll="0"/>
    <pivotField compact="0" outline="0" showAll="0">
      <items count="7">
        <item x="3"/>
        <item x="0"/>
        <item x="1"/>
        <item x="4"/>
        <item x="5"/>
        <item x="2"/>
        <item t="default"/>
      </items>
    </pivotField>
    <pivotField compact="0" outline="0" showAll="0"/>
    <pivotField dataField="1"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4"/>
  </rowFields>
  <rowItems count="4">
    <i>
      <x v="2"/>
    </i>
    <i>
      <x v="1"/>
    </i>
    <i>
      <x/>
    </i>
    <i t="grand">
      <x/>
    </i>
  </rowItems>
  <colFields count="1">
    <field x="-2"/>
  </colFields>
  <colItems count="2">
    <i>
      <x/>
    </i>
    <i i="1">
      <x v="1"/>
    </i>
  </colItems>
  <dataFields count="2">
    <dataField name="Churned Rate %" fld="10" showDataAs="percentOfTotal" baseField="4" baseItem="0" numFmtId="10"/>
    <dataField name=" Total Monthly Fee" fld="9" baseField="4" baseItem="2" numFmtId="164"/>
  </dataFields>
  <conditionalFormats count="1">
    <conditionalFormat priority="10">
      <pivotAreas count="1">
        <pivotArea type="data" outline="0" collapsedLevelsAreSubtotals="1" fieldPosition="0">
          <references count="2">
            <reference field="4294967294" count="1" selected="0">
              <x v="0"/>
            </reference>
            <reference field="4" count="3" selected="0">
              <x v="0"/>
              <x v="1"/>
              <x v="2"/>
            </reference>
          </references>
        </pivotArea>
      </pivotAreas>
    </conditionalFormat>
  </conditionalFormat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CE906E-A75F-485C-A26A-A8B6C532B174}" name="region_churned" cacheId="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B12:D19" firstHeaderRow="0" firstDataRow="1" firstDataCol="1"/>
  <pivotFields count="15">
    <pivotField compact="0" outline="0" showAll="0"/>
    <pivotField compact="0" numFmtId="1" outline="0" showAll="0"/>
    <pivotField compact="0" outline="0" showAll="0">
      <items count="10">
        <item x="1"/>
        <item x="0"/>
        <item x="2"/>
        <item x="3"/>
        <item x="4"/>
        <item m="1" x="6"/>
        <item m="1" x="7"/>
        <item m="1" x="5"/>
        <item m="1" x="8"/>
        <item t="default"/>
      </items>
    </pivotField>
    <pivotField compact="0" outline="0" showAll="0"/>
    <pivotField compact="0" outline="0" showAll="0">
      <items count="4">
        <item x="2"/>
        <item h="1" x="1"/>
        <item h="1" x="0"/>
        <item t="default"/>
      </items>
    </pivotField>
    <pivotField compact="0" numFmtId="2" outline="0" showAll="0"/>
    <pivotField compact="0" numFmtId="1" outline="0" showAll="0"/>
    <pivotField axis="axisRow" compact="0" outline="0" showAll="0" sortType="descending">
      <items count="7">
        <item x="3"/>
        <item x="0"/>
        <item x="1"/>
        <item x="4"/>
        <item x="5"/>
        <item x="2"/>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7"/>
  </rowFields>
  <rowItems count="7">
    <i>
      <x v="5"/>
    </i>
    <i>
      <x v="3"/>
    </i>
    <i>
      <x v="1"/>
    </i>
    <i>
      <x v="2"/>
    </i>
    <i>
      <x/>
    </i>
    <i>
      <x v="4"/>
    </i>
    <i t="grand">
      <x/>
    </i>
  </rowItems>
  <colFields count="1">
    <field x="-2"/>
  </colFields>
  <colItems count="2">
    <i>
      <x/>
    </i>
    <i i="1">
      <x v="1"/>
    </i>
  </colItems>
  <dataFields count="2">
    <dataField name="Monthly Fee" fld="9" baseField="7" baseItem="5" numFmtId="164"/>
    <dataField name="Churned Rate %" fld="10" showDataAs="percentOfTotal" baseField="7" baseItem="0" numFmtId="10"/>
  </dataFields>
  <conditionalFormats count="2">
    <conditionalFormat priority="12">
      <pivotAreas count="1">
        <pivotArea type="data" outline="0" collapsedLevelsAreSubtotals="1" fieldPosition="0">
          <references count="2">
            <reference field="4294967294" count="1" selected="0">
              <x v="1"/>
            </reference>
            <reference field="7" count="6" selected="0">
              <x v="0"/>
              <x v="1"/>
              <x v="2"/>
              <x v="3"/>
              <x v="4"/>
              <x v="5"/>
            </reference>
          </references>
        </pivotArea>
      </pivotAreas>
    </conditionalFormat>
    <conditionalFormat priority="5">
      <pivotAreas count="1">
        <pivotArea type="data" outline="0" collapsedLevelsAreSubtotals="1" fieldPosition="0">
          <references count="2">
            <reference field="4294967294" count="1" selected="0">
              <x v="0"/>
            </reference>
            <reference field="7" count="6" selected="0">
              <x v="0"/>
              <x v="1"/>
              <x v="2"/>
              <x v="3"/>
              <x v="4"/>
              <x v="5"/>
            </reference>
          </references>
        </pivotArea>
      </pivotAreas>
    </conditionalFormat>
  </conditionalFormats>
  <chartFormats count="2">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C95A5-C718-4487-8A8F-A6052B1B469E}" name="agegroup_churnedrate" cacheId="85"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3:D9" firstHeaderRow="0" firstDataRow="1" firstDataCol="1"/>
  <pivotFields count="15">
    <pivotField compact="0" outline="0" showAll="0"/>
    <pivotField compact="0" numFmtId="1" outline="0" showAll="0"/>
    <pivotField axis="axisRow" compact="0" outline="0" showAll="0">
      <items count="10">
        <item x="1"/>
        <item m="1" x="6"/>
        <item m="1" x="8"/>
        <item m="1" x="5"/>
        <item m="1" x="7"/>
        <item x="0"/>
        <item x="2"/>
        <item x="3"/>
        <item x="4"/>
        <item t="default"/>
      </items>
    </pivotField>
    <pivotField compact="0" outline="0" showAll="0"/>
    <pivotField compact="0" outline="0" showAll="0">
      <items count="4">
        <item x="2"/>
        <item h="1" x="1"/>
        <item h="1" x="0"/>
        <item t="default"/>
      </items>
    </pivotField>
    <pivotField dataField="1" compact="0" numFmtId="2" outline="0" showAll="0"/>
    <pivotField compact="0" numFmtId="1" outline="0" showAll="0"/>
    <pivotField compact="0" outline="0" showAll="0">
      <items count="7">
        <item x="3"/>
        <item x="0"/>
        <item x="1"/>
        <item x="4"/>
        <item x="5"/>
        <item x="2"/>
        <item t="default"/>
      </items>
    </pivotField>
    <pivotField compact="0" outline="0" showAll="0"/>
    <pivotField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2"/>
  </rowFields>
  <rowItems count="6">
    <i>
      <x/>
    </i>
    <i>
      <x v="5"/>
    </i>
    <i>
      <x v="6"/>
    </i>
    <i>
      <x v="7"/>
    </i>
    <i>
      <x v="8"/>
    </i>
    <i t="grand">
      <x/>
    </i>
  </rowItems>
  <colFields count="1">
    <field x="-2"/>
  </colFields>
  <colItems count="2">
    <i>
      <x/>
    </i>
    <i i="1">
      <x v="1"/>
    </i>
  </colItems>
  <dataFields count="2">
    <dataField name="AVG Watched Hours" fld="5" subtotal="average" baseField="2" baseItem="8" numFmtId="2"/>
    <dataField name="Churned Rate %" fld="10" showDataAs="percentOfTotal" baseField="2" baseItem="0" numFmtId="10"/>
  </dataFields>
  <conditionalFormats count="4">
    <conditionalFormat priority="11">
      <pivotAreas count="1">
        <pivotArea type="data" outline="0" collapsedLevelsAreSubtotals="1" fieldPosition="0">
          <references count="2">
            <reference field="4294967294" count="1" selected="0">
              <x v="1"/>
            </reference>
            <reference field="2" count="4" selected="0">
              <x v="1"/>
              <x v="2"/>
              <x v="3"/>
              <x v="4"/>
            </reference>
          </references>
        </pivotArea>
      </pivotAreas>
    </conditionalFormat>
    <conditionalFormat priority="8">
      <pivotAreas count="1">
        <pivotArea type="data" outline="0" collapsedLevelsAreSubtotals="1" fieldPosition="0">
          <references count="2">
            <reference field="4294967294" count="1" selected="0">
              <x v="0"/>
            </reference>
            <reference field="2" count="4" selected="0">
              <x v="5"/>
              <x v="6"/>
              <x v="7"/>
              <x v="8"/>
            </reference>
          </references>
        </pivotArea>
      </pivotAreas>
    </conditionalFormat>
    <conditionalFormat priority="7">
      <pivotAreas count="1">
        <pivotArea type="data" outline="0" collapsedLevelsAreSubtotals="1" fieldPosition="0">
          <references count="2">
            <reference field="4294967294" count="1" selected="0">
              <x v="1"/>
            </reference>
            <reference field="2" count="4" selected="0">
              <x v="5"/>
              <x v="6"/>
              <x v="7"/>
              <x v="8"/>
            </reference>
          </references>
        </pivotArea>
      </pivotAreas>
    </conditionalFormat>
    <conditionalFormat priority="6">
      <pivotAreas count="1">
        <pivotArea type="data" outline="0" collapsedLevelsAreSubtotals="1" fieldPosition="0">
          <references count="2">
            <reference field="4294967294" count="1" selected="0">
              <x v="0"/>
            </reference>
            <reference field="2" count="5" selected="0">
              <x v="0"/>
              <x v="5"/>
              <x v="6"/>
              <x v="7"/>
              <x v="8"/>
            </reference>
          </references>
        </pivotArea>
      </pivotAreas>
    </conditionalFormat>
  </conditionalFormats>
  <chartFormats count="9">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0"/>
          </reference>
          <reference field="2" count="1" selected="0">
            <x v="7"/>
          </reference>
        </references>
      </pivotArea>
    </chartFormat>
    <chartFormat chart="10" format="8">
      <pivotArea type="data" outline="0" fieldPosition="0">
        <references count="2">
          <reference field="4294967294" count="1" selected="0">
            <x v="1"/>
          </reference>
          <reference field="2" count="1" selected="0">
            <x v="0"/>
          </reference>
        </references>
      </pivotArea>
    </chartFormat>
    <chartFormat chart="10" format="9">
      <pivotArea type="data" outline="0" fieldPosition="0">
        <references count="2">
          <reference field="4294967294" count="1" selected="0">
            <x v="1"/>
          </reference>
          <reference field="2" count="1" selected="0">
            <x v="5"/>
          </reference>
        </references>
      </pivotArea>
    </chartFormat>
    <chartFormat chart="10" format="10">
      <pivotArea type="data" outline="0" fieldPosition="0">
        <references count="2">
          <reference field="4294967294" count="1" selected="0">
            <x v="0"/>
          </reference>
          <reference field="2" count="1" selected="0">
            <x v="5"/>
          </reference>
        </references>
      </pivotArea>
    </chartFormat>
    <chartFormat chart="10" format="11">
      <pivotArea type="data" outline="0" fieldPosition="0">
        <references count="2">
          <reference field="4294967294" count="1" selected="0">
            <x v="1"/>
          </reference>
          <reference field="2" count="1" selected="0">
            <x v="6"/>
          </reference>
        </references>
      </pivotArea>
    </chartFormat>
    <chartFormat chart="10" format="12">
      <pivotArea type="data" outline="0" fieldPosition="0">
        <references count="2">
          <reference field="4294967294" count="1" selected="0">
            <x v="0"/>
          </reference>
          <reference field="2" count="1" selected="0">
            <x v="6"/>
          </reference>
        </references>
      </pivotArea>
    </chartFormat>
    <chartFormat chart="10" format="13">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C2A4DD-86AE-4A68-AC5D-4DEF08E1AD78}" name="churn_perc_Totals"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C32" firstHeaderRow="0" firstDataRow="1" firstDataCol="0"/>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dataField="1" showAll="0"/>
    <pivotField showAll="0"/>
    <pivotField numFmtId="1" showAll="0"/>
    <pivotField numFmtId="2" showAll="0"/>
    <pivotField showAll="0"/>
  </pivotFields>
  <rowItems count="1">
    <i/>
  </rowItems>
  <colFields count="1">
    <field x="-2"/>
  </colFields>
  <colItems count="2">
    <i>
      <x/>
    </i>
    <i i="1">
      <x v="1"/>
    </i>
  </colItems>
  <dataFields count="2">
    <dataField name="Count of customer_id" fld="0" subtotal="count" baseField="0" baseItem="0"/>
    <dataField name="Sum of churned" fld="10" baseField="0"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84ADDB9-992E-43AF-BB26-E938F35B2C8B}" sourceName="age_group">
  <pivotTables>
    <pivotTable tabId="2" name="region_churned"/>
    <pivotTable tabId="2" name="churn_perc_Totals"/>
    <pivotTable tabId="2" name="gender"/>
    <pivotTable tabId="2" name="avgwatchhours"/>
    <pivotTable tabId="2" name="payment"/>
    <pivotTable tabId="2" name="subs_churned"/>
    <pivotTable tabId="2" name="device"/>
    <pivotTable tabId="2" name="genre"/>
  </pivotTables>
  <data>
    <tabular pivotCacheId="475482298" showMissing="0" crossFilter="none">
      <items count="9">
        <i x="1" s="1"/>
        <i x="0" s="1"/>
        <i x="2" s="1"/>
        <i x="3" s="1"/>
        <i x="4" s="1"/>
        <i x="6" s="1"/>
        <i x="7"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732E61-E4D0-4A18-B289-E3FE4325747E}" sourceName="region">
  <pivotTables>
    <pivotTable tabId="2" name="agegroup_churnedrate"/>
    <pivotTable tabId="2" name="avgwatchhours"/>
    <pivotTable tabId="2" name="churn_perc_Totals"/>
    <pivotTable tabId="2" name="subs_churned"/>
    <pivotTable tabId="2" name="payment"/>
    <pivotTable tabId="2" name="device"/>
    <pivotTable tabId="2" name="gender"/>
    <pivotTable tabId="2" name="genre"/>
  </pivotTables>
  <data>
    <tabular pivotCacheId="475482298">
      <items count="6">
        <i x="3" s="1"/>
        <i x="0" s="1"/>
        <i x="1" s="1"/>
        <i x="4"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1D0E13DD-8B89-4FF0-B4B8-81B6F84BDD21}" sourceName="subscription_type">
  <pivotTables>
    <pivotTable tabId="2" name="payment"/>
    <pivotTable tabId="2" name="agegroup_churnedrate"/>
    <pivotTable tabId="2" name="AverageValue_Hours_LastLog_#prof"/>
    <pivotTable tabId="2" name="avgwatchhours"/>
    <pivotTable tabId="2" name="churn_perc_Totals"/>
    <pivotTable tabId="2" name="device"/>
    <pivotTable tabId="2" name="gender"/>
    <pivotTable tabId="2" name="genre"/>
    <pivotTable tabId="2" name="region_churned"/>
  </pivotTables>
  <data>
    <tabular pivotCacheId="475482298">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C961E894-8272-4104-8403-9E2437D9AA17}" cache="Slicer_age_group" caption="Age Group" rowHeight="247650"/>
  <slicer name="region" xr10:uid="{478AADB9-8820-405C-91FD-DE5411B27B34}" cache="Slicer_region" caption="Region" rowHeight="247650"/>
  <slicer name="subscription_type" xr10:uid="{5572F871-AE64-4A7E-9D37-400FB029601B}" cache="Slicer_subscription_type" caption="subscription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F3DCD8-2F75-422A-8804-CD2F0B828C44}" name="worksheet" displayName="worksheet" ref="A1:O5001" totalsRowShown="0">
  <autoFilter ref="A1:O5001" xr:uid="{47F3DCD8-2F75-422A-8804-CD2F0B828C44}"/>
  <tableColumns count="15">
    <tableColumn id="1" xr3:uid="{308ED9C1-7EDE-4873-AB7B-F6A8C8A9C9A3}" name="customer_id"/>
    <tableColumn id="2" xr3:uid="{30189380-034E-4AD9-8E09-5733EE3188B0}" name="age" dataDxfId="6"/>
    <tableColumn id="15" xr3:uid="{D93E9E7F-2F39-42EF-8FD2-374E12B1FF56}" name="age_group" dataDxfId="1">
      <calculatedColumnFormula array="1">_xlfn.IFS(worksheet[[#This Row],[age]]&lt;25,"1. Young Adulthood (18-24)",worksheet[[#This Row],[age]]&lt; 35,"2. Early Adulthood (25-34)",worksheet[[#This Row],[age]]&lt; 45,"3. Mid Adulthood (35-44)",worksheet[[#This Row],[age]]&lt; 55,"4. Mature Adulthood (45-54)",TRUE,"5. Late Adulthood/Senior (55+)")</calculatedColumnFormula>
    </tableColumn>
    <tableColumn id="3" xr3:uid="{27B89EC7-9316-46E8-A73C-B3AA98501C4E}" name="gender"/>
    <tableColumn id="4" xr3:uid="{13A94C66-D61B-4FF1-85C4-CE02B27449FF}" name="subscription_type"/>
    <tableColumn id="5" xr3:uid="{DB37A31C-4615-4841-9CC8-E2DDA10E7DED}" name="watch_hours" dataDxfId="5"/>
    <tableColumn id="6" xr3:uid="{1733FB9D-4ADE-4A5E-BABA-3C6E5C64ABBB}" name="last_login_days" dataDxfId="4"/>
    <tableColumn id="7" xr3:uid="{61B431CB-6E21-44FD-ACB8-E369F73279C1}" name="region"/>
    <tableColumn id="8" xr3:uid="{BFC5FB0B-6951-4DF5-9843-779CD1838BB4}" name="device"/>
    <tableColumn id="9" xr3:uid="{6BD31DF7-4642-44B0-9013-9EAA45301A7C}" name="monthly_fee" dataDxfId="0"/>
    <tableColumn id="10" xr3:uid="{3E593F06-5DFC-4669-9159-DD8EB5655BD0}" name="churned"/>
    <tableColumn id="11" xr3:uid="{ED2D795F-F0DE-4A1C-B87F-4647D0A5557F}" name="payment_method"/>
    <tableColumn id="12" xr3:uid="{1CC6D229-9777-4414-AD19-D7E37152ADD9}" name="number_of_profiles" dataDxfId="3"/>
    <tableColumn id="13" xr3:uid="{BB62904A-9F60-471D-83DA-50575D26DB4B}" name="avg_watch_time_per_day" dataDxfId="2"/>
    <tableColumn id="14" xr3:uid="{CEE78FF2-BA4D-4958-84E3-54FC632DB069}" name="favorite_gen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4BD7-D9AC-424F-85C8-8AA01D8AF82E}">
  <dimension ref="A1:S5001"/>
  <sheetViews>
    <sheetView topLeftCell="E1" workbookViewId="0">
      <selection activeCell="J1" sqref="J1:J1048576"/>
    </sheetView>
  </sheetViews>
  <sheetFormatPr defaultRowHeight="14.4" x14ac:dyDescent="0.3"/>
  <cols>
    <col min="1" max="1" width="13.21875" customWidth="1"/>
    <col min="2" max="3" width="8.88671875" style="5"/>
    <col min="5" max="5" width="17.77734375" customWidth="1"/>
    <col min="6" max="6" width="13.21875" style="4" customWidth="1"/>
    <col min="7" max="7" width="15.44140625" style="5" customWidth="1"/>
    <col min="10" max="10" width="13" style="6" customWidth="1"/>
    <col min="11" max="11" width="9.6640625" customWidth="1"/>
    <col min="12" max="12" width="17.44140625" customWidth="1"/>
    <col min="13" max="13" width="18.77734375" style="5" customWidth="1"/>
    <col min="14" max="14" width="23.44140625" style="4" customWidth="1"/>
    <col min="15" max="16" width="14.5546875" customWidth="1"/>
    <col min="19" max="19" width="11.5546875" customWidth="1"/>
  </cols>
  <sheetData>
    <row r="1" spans="1:19" ht="15" thickBot="1" x14ac:dyDescent="0.35">
      <c r="A1" t="s">
        <v>0</v>
      </c>
      <c r="B1" s="5" t="s">
        <v>1</v>
      </c>
      <c r="C1" s="5" t="s">
        <v>5057</v>
      </c>
      <c r="D1" t="s">
        <v>2</v>
      </c>
      <c r="E1" t="s">
        <v>3</v>
      </c>
      <c r="F1" s="4" t="s">
        <v>4</v>
      </c>
      <c r="G1" s="5" t="s">
        <v>5</v>
      </c>
      <c r="H1" t="s">
        <v>6</v>
      </c>
      <c r="I1" t="s">
        <v>7</v>
      </c>
      <c r="J1" s="6" t="s">
        <v>8</v>
      </c>
      <c r="K1" t="s">
        <v>9</v>
      </c>
      <c r="L1" t="s">
        <v>10</v>
      </c>
      <c r="M1" s="5" t="s">
        <v>11</v>
      </c>
      <c r="N1" s="4" t="s">
        <v>12</v>
      </c>
      <c r="O1" t="s">
        <v>13</v>
      </c>
    </row>
    <row r="2" spans="1:19" x14ac:dyDescent="0.3">
      <c r="A2" t="s">
        <v>26</v>
      </c>
      <c r="B2" s="5">
        <v>27</v>
      </c>
      <c r="C2" s="5" t="str" cm="1">
        <f t="array" ref="C2">_xlfn.IFS(worksheet[[#This Row],[age]]&lt;25,"1. Young Adulthood (18-24)",worksheet[[#This Row],[age]]&lt; 35,"2. Early Adulthood (25-34)",worksheet[[#This Row],[age]]&lt; 45,"3. Mid Adulthood (35-44)",worksheet[[#This Row],[age]]&lt; 55,"4. Mature Adulthood (45-54)",TRUE,"5. Late Adulthood/Senior (55+)")</f>
        <v>2. Early Adulthood (25-34)</v>
      </c>
      <c r="D2" t="s">
        <v>27</v>
      </c>
      <c r="E2" t="s">
        <v>22</v>
      </c>
      <c r="F2" s="4">
        <v>16.32</v>
      </c>
      <c r="G2" s="5">
        <v>10</v>
      </c>
      <c r="H2" t="s">
        <v>28</v>
      </c>
      <c r="I2" t="s">
        <v>18</v>
      </c>
      <c r="J2" s="6">
        <v>13.99</v>
      </c>
      <c r="K2">
        <v>0</v>
      </c>
      <c r="L2" t="s">
        <v>29</v>
      </c>
      <c r="M2" s="5">
        <v>2</v>
      </c>
      <c r="N2" s="4">
        <v>1.48</v>
      </c>
      <c r="O2" t="s">
        <v>30</v>
      </c>
      <c r="R2" s="3" t="s">
        <v>5043</v>
      </c>
      <c r="S2" s="3"/>
    </row>
    <row r="3" spans="1:19" x14ac:dyDescent="0.3">
      <c r="A3" t="s">
        <v>44</v>
      </c>
      <c r="B3" s="5">
        <v>32</v>
      </c>
      <c r="C3" s="5" t="str" cm="1">
        <f t="array" ref="C3">_xlfn.IFS(worksheet[[#This Row],[age]]&lt;25,"1. Young Adulthood (18-24)",worksheet[[#This Row],[age]]&lt; 35,"2. Early Adulthood (25-34)",worksheet[[#This Row],[age]]&lt; 45,"3. Mid Adulthood (35-44)",worksheet[[#This Row],[age]]&lt; 55,"4. Mature Adulthood (45-54)",TRUE,"5. Late Adulthood/Senior (55+)")</f>
        <v>2. Early Adulthood (25-34)</v>
      </c>
      <c r="D3" t="s">
        <v>15</v>
      </c>
      <c r="E3" t="s">
        <v>32</v>
      </c>
      <c r="F3" s="4">
        <v>2.2200000000000002</v>
      </c>
      <c r="G3" s="5">
        <v>34</v>
      </c>
      <c r="H3" t="s">
        <v>23</v>
      </c>
      <c r="I3" t="s">
        <v>18</v>
      </c>
      <c r="J3" s="6">
        <v>17.989999999999998</v>
      </c>
      <c r="K3">
        <v>1</v>
      </c>
      <c r="L3" t="s">
        <v>37</v>
      </c>
      <c r="M3" s="5">
        <v>1</v>
      </c>
      <c r="N3" s="4">
        <v>0.06</v>
      </c>
      <c r="O3" t="s">
        <v>30</v>
      </c>
    </row>
    <row r="4" spans="1:19" x14ac:dyDescent="0.3">
      <c r="A4" t="s">
        <v>45</v>
      </c>
      <c r="B4" s="5">
        <v>26</v>
      </c>
      <c r="C4" s="5" t="str" cm="1">
        <f t="array" ref="C4">_xlfn.IFS(worksheet[[#This Row],[age]]&lt;25,"1. Young Adulthood (18-24)",worksheet[[#This Row],[age]]&lt; 35,"2. Early Adulthood (25-34)",worksheet[[#This Row],[age]]&lt; 45,"3. Mid Adulthood (35-44)",worksheet[[#This Row],[age]]&lt; 55,"4. Mature Adulthood (45-54)",TRUE,"5. Late Adulthood/Senior (55+)")</f>
        <v>2. Early Adulthood (25-34)</v>
      </c>
      <c r="D4" t="s">
        <v>41</v>
      </c>
      <c r="E4" t="s">
        <v>32</v>
      </c>
      <c r="F4" s="4">
        <v>15.42</v>
      </c>
      <c r="G4" s="5">
        <v>36</v>
      </c>
      <c r="H4" t="s">
        <v>28</v>
      </c>
      <c r="I4" t="s">
        <v>46</v>
      </c>
      <c r="J4" s="6">
        <v>17.989999999999998</v>
      </c>
      <c r="K4">
        <v>0</v>
      </c>
      <c r="L4" t="s">
        <v>37</v>
      </c>
      <c r="M4" s="5">
        <v>4</v>
      </c>
      <c r="N4" s="4">
        <v>0.42</v>
      </c>
      <c r="O4" t="s">
        <v>47</v>
      </c>
      <c r="R4" t="s">
        <v>5044</v>
      </c>
      <c r="S4">
        <v>11.649450000000011</v>
      </c>
    </row>
    <row r="5" spans="1:19" x14ac:dyDescent="0.3">
      <c r="A5" t="s">
        <v>48</v>
      </c>
      <c r="B5" s="5">
        <v>28</v>
      </c>
      <c r="C5" s="5" t="str" cm="1">
        <f t="array" ref="C5">_xlfn.IFS(worksheet[[#This Row],[age]]&lt;25,"1. Young Adulthood (18-24)",worksheet[[#This Row],[age]]&lt; 35,"2. Early Adulthood (25-34)",worksheet[[#This Row],[age]]&lt; 45,"3. Mid Adulthood (35-44)",worksheet[[#This Row],[age]]&lt; 55,"4. Mature Adulthood (45-54)",TRUE,"5. Late Adulthood/Senior (55+)")</f>
        <v>2. Early Adulthood (25-34)</v>
      </c>
      <c r="D5" t="s">
        <v>15</v>
      </c>
      <c r="E5" t="s">
        <v>22</v>
      </c>
      <c r="F5" s="4">
        <v>22.26</v>
      </c>
      <c r="G5" s="5">
        <v>38</v>
      </c>
      <c r="H5" t="s">
        <v>49</v>
      </c>
      <c r="I5" t="s">
        <v>24</v>
      </c>
      <c r="J5" s="6">
        <v>13.99</v>
      </c>
      <c r="K5">
        <v>0</v>
      </c>
      <c r="L5" t="s">
        <v>29</v>
      </c>
      <c r="M5" s="5">
        <v>5</v>
      </c>
      <c r="N5" s="4">
        <v>0.56999999999999995</v>
      </c>
      <c r="O5" t="s">
        <v>34</v>
      </c>
      <c r="R5" t="s">
        <v>5045</v>
      </c>
      <c r="S5">
        <v>0.16991286134836936</v>
      </c>
    </row>
    <row r="6" spans="1:19" x14ac:dyDescent="0.3">
      <c r="A6" t="s">
        <v>54</v>
      </c>
      <c r="B6" s="5">
        <v>32</v>
      </c>
      <c r="C6" s="5" t="str" cm="1">
        <f t="array" ref="C6">_xlfn.IFS(worksheet[[#This Row],[age]]&lt;25,"1. Young Adulthood (18-24)",worksheet[[#This Row],[age]]&lt; 35,"2. Early Adulthood (25-34)",worksheet[[#This Row],[age]]&lt; 45,"3. Mid Adulthood (35-44)",worksheet[[#This Row],[age]]&lt; 55,"4. Mature Adulthood (45-54)",TRUE,"5. Late Adulthood/Senior (55+)")</f>
        <v>2. Early Adulthood (25-34)</v>
      </c>
      <c r="D6" t="s">
        <v>27</v>
      </c>
      <c r="E6" t="s">
        <v>32</v>
      </c>
      <c r="F6" s="4">
        <v>40.94</v>
      </c>
      <c r="G6" s="5">
        <v>7</v>
      </c>
      <c r="H6" t="s">
        <v>49</v>
      </c>
      <c r="I6" t="s">
        <v>55</v>
      </c>
      <c r="J6" s="6">
        <v>17.989999999999998</v>
      </c>
      <c r="K6">
        <v>0</v>
      </c>
      <c r="L6" t="s">
        <v>29</v>
      </c>
      <c r="M6" s="5">
        <v>1</v>
      </c>
      <c r="N6" s="4">
        <v>5.12</v>
      </c>
      <c r="O6" t="s">
        <v>20</v>
      </c>
      <c r="R6" t="s">
        <v>5046</v>
      </c>
      <c r="S6">
        <v>8</v>
      </c>
    </row>
    <row r="7" spans="1:19" x14ac:dyDescent="0.3">
      <c r="A7" t="s">
        <v>60</v>
      </c>
      <c r="B7" s="5">
        <v>21</v>
      </c>
      <c r="C7" s="5" t="str" cm="1">
        <f t="array" ref="C7">_xlfn.IFS(worksheet[[#This Row],[age]]&lt;25,"1. Young Adulthood (18-24)",worksheet[[#This Row],[age]]&lt; 35,"2. Early Adulthood (25-34)",worksheet[[#This Row],[age]]&lt; 45,"3. Mid Adulthood (35-44)",worksheet[[#This Row],[age]]&lt; 55,"4. Mature Adulthood (45-54)",TRUE,"5. Late Adulthood/Senior (55+)")</f>
        <v>1. Young Adulthood (18-24)</v>
      </c>
      <c r="D7" t="s">
        <v>27</v>
      </c>
      <c r="E7" t="s">
        <v>22</v>
      </c>
      <c r="F7" s="4">
        <v>15.53</v>
      </c>
      <c r="G7" s="5">
        <v>27</v>
      </c>
      <c r="H7" t="s">
        <v>49</v>
      </c>
      <c r="I7" t="s">
        <v>46</v>
      </c>
      <c r="J7" s="6">
        <v>13.99</v>
      </c>
      <c r="K7">
        <v>0</v>
      </c>
      <c r="L7" t="s">
        <v>61</v>
      </c>
      <c r="M7" s="5">
        <v>1</v>
      </c>
      <c r="N7" s="4">
        <v>0.55000000000000004</v>
      </c>
      <c r="O7" t="s">
        <v>47</v>
      </c>
      <c r="R7" t="s">
        <v>5047</v>
      </c>
      <c r="S7">
        <v>0.24</v>
      </c>
    </row>
    <row r="8" spans="1:19" x14ac:dyDescent="0.3">
      <c r="A8" t="s">
        <v>68</v>
      </c>
      <c r="B8" s="5">
        <v>24</v>
      </c>
      <c r="C8" s="5" t="str" cm="1">
        <f t="array" ref="C8">_xlfn.IFS(worksheet[[#This Row],[age]]&lt;25,"1. Young Adulthood (18-24)",worksheet[[#This Row],[age]]&lt; 35,"2. Early Adulthood (25-34)",worksheet[[#This Row],[age]]&lt; 45,"3. Mid Adulthood (35-44)",worksheet[[#This Row],[age]]&lt; 55,"4. Mature Adulthood (45-54)",TRUE,"5. Late Adulthood/Senior (55+)")</f>
        <v>1. Young Adulthood (18-24)</v>
      </c>
      <c r="D8" t="s">
        <v>41</v>
      </c>
      <c r="E8" t="s">
        <v>32</v>
      </c>
      <c r="F8" s="4">
        <v>6.92</v>
      </c>
      <c r="G8" s="5">
        <v>13</v>
      </c>
      <c r="H8" t="s">
        <v>17</v>
      </c>
      <c r="I8" t="s">
        <v>55</v>
      </c>
      <c r="J8" s="6">
        <v>17.989999999999998</v>
      </c>
      <c r="K8">
        <v>0</v>
      </c>
      <c r="L8" t="s">
        <v>29</v>
      </c>
      <c r="M8" s="5">
        <v>2</v>
      </c>
      <c r="N8" s="4">
        <v>0.49</v>
      </c>
      <c r="O8" t="s">
        <v>20</v>
      </c>
      <c r="R8" t="s">
        <v>5048</v>
      </c>
      <c r="S8">
        <v>12.014653647024161</v>
      </c>
    </row>
    <row r="9" spans="1:19" x14ac:dyDescent="0.3">
      <c r="A9" t="s">
        <v>69</v>
      </c>
      <c r="B9" s="5">
        <v>30</v>
      </c>
      <c r="C9" s="5" t="str" cm="1">
        <f t="array" ref="C9">_xlfn.IFS(worksheet[[#This Row],[age]]&lt;25,"1. Young Adulthood (18-24)",worksheet[[#This Row],[age]]&lt; 35,"2. Early Adulthood (25-34)",worksheet[[#This Row],[age]]&lt; 45,"3. Mid Adulthood (35-44)",worksheet[[#This Row],[age]]&lt; 55,"4. Mature Adulthood (45-54)",TRUE,"5. Late Adulthood/Senior (55+)")</f>
        <v>2. Early Adulthood (25-34)</v>
      </c>
      <c r="D9" t="s">
        <v>15</v>
      </c>
      <c r="E9" t="s">
        <v>32</v>
      </c>
      <c r="F9" s="4">
        <v>1.37</v>
      </c>
      <c r="G9" s="5">
        <v>55</v>
      </c>
      <c r="H9" t="s">
        <v>70</v>
      </c>
      <c r="I9" t="s">
        <v>24</v>
      </c>
      <c r="J9" s="6">
        <v>17.989999999999998</v>
      </c>
      <c r="K9">
        <v>1</v>
      </c>
      <c r="L9" t="s">
        <v>37</v>
      </c>
      <c r="M9" s="5">
        <v>1</v>
      </c>
      <c r="N9" s="4">
        <v>0.02</v>
      </c>
      <c r="O9" t="s">
        <v>34</v>
      </c>
      <c r="R9" t="s">
        <v>5049</v>
      </c>
      <c r="S9">
        <v>144.351902257951</v>
      </c>
    </row>
    <row r="10" spans="1:19" x14ac:dyDescent="0.3">
      <c r="A10" t="s">
        <v>75</v>
      </c>
      <c r="B10" s="5">
        <v>23</v>
      </c>
      <c r="C10" s="5" t="str" cm="1">
        <f t="array" ref="C10">_xlfn.IFS(worksheet[[#This Row],[age]]&lt;25,"1. Young Adulthood (18-24)",worksheet[[#This Row],[age]]&lt; 35,"2. Early Adulthood (25-34)",worksheet[[#This Row],[age]]&lt; 45,"3. Mid Adulthood (35-44)",worksheet[[#This Row],[age]]&lt; 55,"4. Mature Adulthood (45-54)",TRUE,"5. Late Adulthood/Senior (55+)")</f>
        <v>1. Young Adulthood (18-24)</v>
      </c>
      <c r="D10" t="s">
        <v>27</v>
      </c>
      <c r="E10" t="s">
        <v>32</v>
      </c>
      <c r="F10" s="4">
        <v>13.31</v>
      </c>
      <c r="G10" s="5">
        <v>34</v>
      </c>
      <c r="H10" t="s">
        <v>17</v>
      </c>
      <c r="I10" t="s">
        <v>24</v>
      </c>
      <c r="J10" s="6">
        <v>17.989999999999998</v>
      </c>
      <c r="K10">
        <v>1</v>
      </c>
      <c r="L10" t="s">
        <v>37</v>
      </c>
      <c r="M10" s="5">
        <v>2</v>
      </c>
      <c r="N10" s="4">
        <v>0.38</v>
      </c>
      <c r="O10" t="s">
        <v>39</v>
      </c>
      <c r="R10" t="s">
        <v>5050</v>
      </c>
      <c r="S10">
        <v>7.7970262440511879</v>
      </c>
    </row>
    <row r="11" spans="1:19" x14ac:dyDescent="0.3">
      <c r="A11" t="s">
        <v>80</v>
      </c>
      <c r="B11" s="5">
        <v>22</v>
      </c>
      <c r="C11" s="5" t="str" cm="1">
        <f t="array" ref="C11">_xlfn.IFS(worksheet[[#This Row],[age]]&lt;25,"1. Young Adulthood (18-24)",worksheet[[#This Row],[age]]&lt; 35,"2. Early Adulthood (25-34)",worksheet[[#This Row],[age]]&lt; 45,"3. Mid Adulthood (35-44)",worksheet[[#This Row],[age]]&lt; 55,"4. Mature Adulthood (45-54)",TRUE,"5. Late Adulthood/Senior (55+)")</f>
        <v>1. Young Adulthood (18-24)</v>
      </c>
      <c r="D11" t="s">
        <v>27</v>
      </c>
      <c r="E11" t="s">
        <v>22</v>
      </c>
      <c r="F11" s="4">
        <v>9.69</v>
      </c>
      <c r="G11" s="5">
        <v>35</v>
      </c>
      <c r="H11" t="s">
        <v>28</v>
      </c>
      <c r="I11" t="s">
        <v>18</v>
      </c>
      <c r="J11" s="6">
        <v>13.99</v>
      </c>
      <c r="K11">
        <v>1</v>
      </c>
      <c r="L11" t="s">
        <v>29</v>
      </c>
      <c r="M11" s="5">
        <v>4</v>
      </c>
      <c r="N11" s="4">
        <v>0.27</v>
      </c>
      <c r="O11" t="s">
        <v>52</v>
      </c>
      <c r="R11" t="s">
        <v>5051</v>
      </c>
      <c r="S11">
        <v>2.2591953419514508</v>
      </c>
    </row>
    <row r="12" spans="1:19" x14ac:dyDescent="0.3">
      <c r="A12" t="s">
        <v>81</v>
      </c>
      <c r="B12" s="5">
        <v>34</v>
      </c>
      <c r="C12" s="5" t="str" cm="1">
        <f t="array" ref="C12">_xlfn.IFS(worksheet[[#This Row],[age]]&lt;25,"1. Young Adulthood (18-24)",worksheet[[#This Row],[age]]&lt; 35,"2. Early Adulthood (25-34)",worksheet[[#This Row],[age]]&lt; 45,"3. Mid Adulthood (35-44)",worksheet[[#This Row],[age]]&lt; 55,"4. Mature Adulthood (45-54)",TRUE,"5. Late Adulthood/Senior (55+)")</f>
        <v>2. Early Adulthood (25-34)</v>
      </c>
      <c r="D12" t="s">
        <v>41</v>
      </c>
      <c r="E12" t="s">
        <v>32</v>
      </c>
      <c r="F12" s="4">
        <v>12.82</v>
      </c>
      <c r="G12" s="5">
        <v>45</v>
      </c>
      <c r="H12" t="s">
        <v>70</v>
      </c>
      <c r="I12" t="s">
        <v>24</v>
      </c>
      <c r="J12" s="6">
        <v>17.989999999999998</v>
      </c>
      <c r="K12">
        <v>1</v>
      </c>
      <c r="L12" t="s">
        <v>43</v>
      </c>
      <c r="M12" s="5">
        <v>2</v>
      </c>
      <c r="N12" s="4">
        <v>0.28000000000000003</v>
      </c>
      <c r="O12" t="s">
        <v>39</v>
      </c>
      <c r="R12" t="s">
        <v>5052</v>
      </c>
      <c r="S12">
        <v>110.39</v>
      </c>
    </row>
    <row r="13" spans="1:19" x14ac:dyDescent="0.3">
      <c r="A13" t="s">
        <v>82</v>
      </c>
      <c r="B13" s="5">
        <v>19</v>
      </c>
      <c r="C13" s="5" t="str" cm="1">
        <f t="array" ref="C13">_xlfn.IFS(worksheet[[#This Row],[age]]&lt;25,"1. Young Adulthood (18-24)",worksheet[[#This Row],[age]]&lt; 35,"2. Early Adulthood (25-34)",worksheet[[#This Row],[age]]&lt; 45,"3. Mid Adulthood (35-44)",worksheet[[#This Row],[age]]&lt; 55,"4. Mature Adulthood (45-54)",TRUE,"5. Late Adulthood/Senior (55+)")</f>
        <v>1. Young Adulthood (18-24)</v>
      </c>
      <c r="D13" t="s">
        <v>41</v>
      </c>
      <c r="E13" t="s">
        <v>22</v>
      </c>
      <c r="F13" s="4">
        <v>4.34</v>
      </c>
      <c r="G13" s="5">
        <v>1</v>
      </c>
      <c r="H13" t="s">
        <v>28</v>
      </c>
      <c r="I13" t="s">
        <v>57</v>
      </c>
      <c r="J13" s="6">
        <v>13.99</v>
      </c>
      <c r="K13">
        <v>0</v>
      </c>
      <c r="L13" t="s">
        <v>43</v>
      </c>
      <c r="M13" s="5">
        <v>1</v>
      </c>
      <c r="N13" s="4">
        <v>2.17</v>
      </c>
      <c r="O13" t="s">
        <v>25</v>
      </c>
      <c r="R13" t="s">
        <v>5053</v>
      </c>
      <c r="S13">
        <v>0.01</v>
      </c>
    </row>
    <row r="14" spans="1:19" x14ac:dyDescent="0.3">
      <c r="A14" t="s">
        <v>83</v>
      </c>
      <c r="B14" s="5">
        <v>25</v>
      </c>
      <c r="C14" s="5" t="str" cm="1">
        <f t="array" ref="C14">_xlfn.IFS(worksheet[[#This Row],[age]]&lt;25,"1. Young Adulthood (18-24)",worksheet[[#This Row],[age]]&lt; 35,"2. Early Adulthood (25-34)",worksheet[[#This Row],[age]]&lt; 45,"3. Mid Adulthood (35-44)",worksheet[[#This Row],[age]]&lt; 55,"4. Mature Adulthood (45-54)",TRUE,"5. Late Adulthood/Senior (55+)")</f>
        <v>2. Early Adulthood (25-34)</v>
      </c>
      <c r="D14" t="s">
        <v>27</v>
      </c>
      <c r="E14" t="s">
        <v>32</v>
      </c>
      <c r="F14" s="4">
        <v>15.95</v>
      </c>
      <c r="G14" s="5">
        <v>15</v>
      </c>
      <c r="H14" t="s">
        <v>49</v>
      </c>
      <c r="I14" t="s">
        <v>46</v>
      </c>
      <c r="J14" s="6">
        <v>17.989999999999998</v>
      </c>
      <c r="K14">
        <v>0</v>
      </c>
      <c r="L14" t="s">
        <v>61</v>
      </c>
      <c r="M14" s="5">
        <v>1</v>
      </c>
      <c r="N14" s="4">
        <v>1</v>
      </c>
      <c r="O14" t="s">
        <v>20</v>
      </c>
      <c r="R14" t="s">
        <v>5054</v>
      </c>
      <c r="S14">
        <v>110.4</v>
      </c>
    </row>
    <row r="15" spans="1:19" x14ac:dyDescent="0.3">
      <c r="A15" t="s">
        <v>87</v>
      </c>
      <c r="B15" s="5">
        <v>27</v>
      </c>
      <c r="C15" s="5" t="str" cm="1">
        <f t="array" ref="C15">_xlfn.IFS(worksheet[[#This Row],[age]]&lt;25,"1. Young Adulthood (18-24)",worksheet[[#This Row],[age]]&lt; 35,"2. Early Adulthood (25-34)",worksheet[[#This Row],[age]]&lt; 45,"3. Mid Adulthood (35-44)",worksheet[[#This Row],[age]]&lt; 55,"4. Mature Adulthood (45-54)",TRUE,"5. Late Adulthood/Senior (55+)")</f>
        <v>2. Early Adulthood (25-34)</v>
      </c>
      <c r="D15" t="s">
        <v>15</v>
      </c>
      <c r="E15" t="s">
        <v>32</v>
      </c>
      <c r="F15" s="4">
        <v>46.88</v>
      </c>
      <c r="G15" s="5">
        <v>56</v>
      </c>
      <c r="H15" t="s">
        <v>33</v>
      </c>
      <c r="I15" t="s">
        <v>18</v>
      </c>
      <c r="J15" s="6">
        <v>17.989999999999998</v>
      </c>
      <c r="K15">
        <v>0</v>
      </c>
      <c r="L15" t="s">
        <v>29</v>
      </c>
      <c r="M15" s="5">
        <v>3</v>
      </c>
      <c r="N15" s="4">
        <v>0.82</v>
      </c>
      <c r="O15" t="s">
        <v>30</v>
      </c>
      <c r="R15" t="s">
        <v>5055</v>
      </c>
      <c r="S15">
        <v>58247.250000000051</v>
      </c>
    </row>
    <row r="16" spans="1:19" ht="15" thickBot="1" x14ac:dyDescent="0.35">
      <c r="A16" t="s">
        <v>90</v>
      </c>
      <c r="B16" s="5">
        <v>31</v>
      </c>
      <c r="C16" s="5" t="str" cm="1">
        <f t="array" ref="C16">_xlfn.IFS(worksheet[[#This Row],[age]]&lt;25,"1. Young Adulthood (18-24)",worksheet[[#This Row],[age]]&lt; 35,"2. Early Adulthood (25-34)",worksheet[[#This Row],[age]]&lt; 45,"3. Mid Adulthood (35-44)",worksheet[[#This Row],[age]]&lt; 55,"4. Mature Adulthood (45-54)",TRUE,"5. Late Adulthood/Senior (55+)")</f>
        <v>2. Early Adulthood (25-34)</v>
      </c>
      <c r="D16" t="s">
        <v>27</v>
      </c>
      <c r="E16" t="s">
        <v>22</v>
      </c>
      <c r="F16" s="4">
        <v>2.23</v>
      </c>
      <c r="G16" s="5">
        <v>39</v>
      </c>
      <c r="H16" t="s">
        <v>70</v>
      </c>
      <c r="I16" t="s">
        <v>24</v>
      </c>
      <c r="J16" s="6">
        <v>13.99</v>
      </c>
      <c r="K16">
        <v>1</v>
      </c>
      <c r="L16" t="s">
        <v>37</v>
      </c>
      <c r="M16" s="5">
        <v>5</v>
      </c>
      <c r="N16" s="4">
        <v>0.06</v>
      </c>
      <c r="O16" t="s">
        <v>30</v>
      </c>
      <c r="R16" s="2" t="s">
        <v>5056</v>
      </c>
      <c r="S16" s="2">
        <v>5000</v>
      </c>
    </row>
    <row r="17" spans="1:15" x14ac:dyDescent="0.3">
      <c r="A17" t="s">
        <v>91</v>
      </c>
      <c r="B17" s="5">
        <v>31</v>
      </c>
      <c r="C17" s="5" t="str" cm="1">
        <f t="array" ref="C17">_xlfn.IFS(worksheet[[#This Row],[age]]&lt;25,"1. Young Adulthood (18-24)",worksheet[[#This Row],[age]]&lt; 35,"2. Early Adulthood (25-34)",worksheet[[#This Row],[age]]&lt; 45,"3. Mid Adulthood (35-44)",worksheet[[#This Row],[age]]&lt; 55,"4. Mature Adulthood (45-54)",TRUE,"5. Late Adulthood/Senior (55+)")</f>
        <v>2. Early Adulthood (25-34)</v>
      </c>
      <c r="D17" t="s">
        <v>41</v>
      </c>
      <c r="E17" t="s">
        <v>32</v>
      </c>
      <c r="F17" s="4">
        <v>14.15</v>
      </c>
      <c r="G17" s="5">
        <v>24</v>
      </c>
      <c r="H17" t="s">
        <v>49</v>
      </c>
      <c r="I17" t="s">
        <v>55</v>
      </c>
      <c r="J17" s="6">
        <v>17.989999999999998</v>
      </c>
      <c r="K17">
        <v>0</v>
      </c>
      <c r="L17" t="s">
        <v>43</v>
      </c>
      <c r="M17" s="5">
        <v>5</v>
      </c>
      <c r="N17" s="4">
        <v>0.56999999999999995</v>
      </c>
      <c r="O17" t="s">
        <v>30</v>
      </c>
    </row>
    <row r="18" spans="1:15" x14ac:dyDescent="0.3">
      <c r="A18" t="s">
        <v>93</v>
      </c>
      <c r="B18" s="5">
        <v>30</v>
      </c>
      <c r="C18" s="5" t="str" cm="1">
        <f t="array" ref="C18">_xlfn.IFS(worksheet[[#This Row],[age]]&lt;25,"1. Young Adulthood (18-24)",worksheet[[#This Row],[age]]&lt; 35,"2. Early Adulthood (25-34)",worksheet[[#This Row],[age]]&lt; 45,"3. Mid Adulthood (35-44)",worksheet[[#This Row],[age]]&lt; 55,"4. Mature Adulthood (45-54)",TRUE,"5. Late Adulthood/Senior (55+)")</f>
        <v>2. Early Adulthood (25-34)</v>
      </c>
      <c r="D18" t="s">
        <v>41</v>
      </c>
      <c r="E18" t="s">
        <v>32</v>
      </c>
      <c r="F18" s="4">
        <v>8.7899999999999991</v>
      </c>
      <c r="G18" s="5">
        <v>21</v>
      </c>
      <c r="H18" t="s">
        <v>23</v>
      </c>
      <c r="I18" t="s">
        <v>57</v>
      </c>
      <c r="J18" s="6">
        <v>17.989999999999998</v>
      </c>
      <c r="K18">
        <v>0</v>
      </c>
      <c r="L18" t="s">
        <v>29</v>
      </c>
      <c r="M18" s="5">
        <v>4</v>
      </c>
      <c r="N18" s="4">
        <v>0.4</v>
      </c>
      <c r="O18" t="s">
        <v>47</v>
      </c>
    </row>
    <row r="19" spans="1:15" x14ac:dyDescent="0.3">
      <c r="A19" t="s">
        <v>100</v>
      </c>
      <c r="B19" s="5">
        <v>31</v>
      </c>
      <c r="C19" s="5" t="str" cm="1">
        <f t="array" ref="C19">_xlfn.IFS(worksheet[[#This Row],[age]]&lt;25,"1. Young Adulthood (18-24)",worksheet[[#This Row],[age]]&lt; 35,"2. Early Adulthood (25-34)",worksheet[[#This Row],[age]]&lt; 45,"3. Mid Adulthood (35-44)",worksheet[[#This Row],[age]]&lt; 55,"4. Mature Adulthood (45-54)",TRUE,"5. Late Adulthood/Senior (55+)")</f>
        <v>2. Early Adulthood (25-34)</v>
      </c>
      <c r="D19" t="s">
        <v>41</v>
      </c>
      <c r="E19" t="s">
        <v>16</v>
      </c>
      <c r="F19" s="4">
        <v>48.35</v>
      </c>
      <c r="G19" s="5">
        <v>11</v>
      </c>
      <c r="H19" t="s">
        <v>33</v>
      </c>
      <c r="I19" t="s">
        <v>55</v>
      </c>
      <c r="J19" s="6">
        <v>8.99</v>
      </c>
      <c r="K19">
        <v>0</v>
      </c>
      <c r="L19" t="s">
        <v>37</v>
      </c>
      <c r="M19" s="5">
        <v>5</v>
      </c>
      <c r="N19" s="4">
        <v>4.03</v>
      </c>
      <c r="O19" t="s">
        <v>47</v>
      </c>
    </row>
    <row r="20" spans="1:15" x14ac:dyDescent="0.3">
      <c r="A20" t="s">
        <v>108</v>
      </c>
      <c r="B20" s="5">
        <v>31</v>
      </c>
      <c r="C20" s="5" t="str" cm="1">
        <f t="array" ref="C20">_xlfn.IFS(worksheet[[#This Row],[age]]&lt;25,"1. Young Adulthood (18-24)",worksheet[[#This Row],[age]]&lt; 35,"2. Early Adulthood (25-34)",worksheet[[#This Row],[age]]&lt; 45,"3. Mid Adulthood (35-44)",worksheet[[#This Row],[age]]&lt; 55,"4. Mature Adulthood (45-54)",TRUE,"5. Late Adulthood/Senior (55+)")</f>
        <v>2. Early Adulthood (25-34)</v>
      </c>
      <c r="D20" t="s">
        <v>41</v>
      </c>
      <c r="E20" t="s">
        <v>22</v>
      </c>
      <c r="F20" s="4">
        <v>1.77</v>
      </c>
      <c r="G20" s="5">
        <v>34</v>
      </c>
      <c r="H20" t="s">
        <v>23</v>
      </c>
      <c r="I20" t="s">
        <v>18</v>
      </c>
      <c r="J20" s="6">
        <v>13.99</v>
      </c>
      <c r="K20">
        <v>1</v>
      </c>
      <c r="L20" t="s">
        <v>43</v>
      </c>
      <c r="M20" s="5">
        <v>3</v>
      </c>
      <c r="N20" s="4">
        <v>0.05</v>
      </c>
      <c r="O20" t="s">
        <v>25</v>
      </c>
    </row>
    <row r="21" spans="1:15" x14ac:dyDescent="0.3">
      <c r="A21" t="s">
        <v>111</v>
      </c>
      <c r="B21" s="5">
        <v>34</v>
      </c>
      <c r="C21" s="5" t="str" cm="1">
        <f t="array" ref="C21">_xlfn.IFS(worksheet[[#This Row],[age]]&lt;25,"1. Young Adulthood (18-24)",worksheet[[#This Row],[age]]&lt; 35,"2. Early Adulthood (25-34)",worksheet[[#This Row],[age]]&lt; 45,"3. Mid Adulthood (35-44)",worksheet[[#This Row],[age]]&lt; 55,"4. Mature Adulthood (45-54)",TRUE,"5. Late Adulthood/Senior (55+)")</f>
        <v>2. Early Adulthood (25-34)</v>
      </c>
      <c r="D21" t="s">
        <v>15</v>
      </c>
      <c r="E21" t="s">
        <v>22</v>
      </c>
      <c r="F21" s="4">
        <v>23.2</v>
      </c>
      <c r="G21" s="5">
        <v>18</v>
      </c>
      <c r="H21" t="s">
        <v>28</v>
      </c>
      <c r="I21" t="s">
        <v>57</v>
      </c>
      <c r="J21" s="6">
        <v>13.99</v>
      </c>
      <c r="K21">
        <v>0</v>
      </c>
      <c r="L21" t="s">
        <v>37</v>
      </c>
      <c r="M21" s="5">
        <v>1</v>
      </c>
      <c r="N21" s="4">
        <v>1.22</v>
      </c>
      <c r="O21" t="s">
        <v>47</v>
      </c>
    </row>
    <row r="22" spans="1:15" x14ac:dyDescent="0.3">
      <c r="A22" t="s">
        <v>119</v>
      </c>
      <c r="B22" s="5">
        <v>27</v>
      </c>
      <c r="C22" s="5" t="str" cm="1">
        <f t="array" ref="C22">_xlfn.IFS(worksheet[[#This Row],[age]]&lt;25,"1. Young Adulthood (18-24)",worksheet[[#This Row],[age]]&lt; 35,"2. Early Adulthood (25-34)",worksheet[[#This Row],[age]]&lt; 45,"3. Mid Adulthood (35-44)",worksheet[[#This Row],[age]]&lt; 55,"4. Mature Adulthood (45-54)",TRUE,"5. Late Adulthood/Senior (55+)")</f>
        <v>2. Early Adulthood (25-34)</v>
      </c>
      <c r="D22" t="s">
        <v>15</v>
      </c>
      <c r="E22" t="s">
        <v>32</v>
      </c>
      <c r="F22" s="4">
        <v>79.17</v>
      </c>
      <c r="G22" s="5">
        <v>12</v>
      </c>
      <c r="H22" t="s">
        <v>49</v>
      </c>
      <c r="I22" t="s">
        <v>57</v>
      </c>
      <c r="J22" s="6">
        <v>17.989999999999998</v>
      </c>
      <c r="K22">
        <v>0</v>
      </c>
      <c r="L22" t="s">
        <v>37</v>
      </c>
      <c r="M22" s="5">
        <v>2</v>
      </c>
      <c r="N22" s="4">
        <v>6.09</v>
      </c>
      <c r="O22" t="s">
        <v>30</v>
      </c>
    </row>
    <row r="23" spans="1:15" x14ac:dyDescent="0.3">
      <c r="A23" t="s">
        <v>123</v>
      </c>
      <c r="B23" s="5">
        <v>18</v>
      </c>
      <c r="C23" s="5" t="str" cm="1">
        <f t="array" ref="C23">_xlfn.IFS(worksheet[[#This Row],[age]]&lt;25,"1. Young Adulthood (18-24)",worksheet[[#This Row],[age]]&lt; 35,"2. Early Adulthood (25-34)",worksheet[[#This Row],[age]]&lt; 45,"3. Mid Adulthood (35-44)",worksheet[[#This Row],[age]]&lt; 55,"4. Mature Adulthood (45-54)",TRUE,"5. Late Adulthood/Senior (55+)")</f>
        <v>1. Young Adulthood (18-24)</v>
      </c>
      <c r="D23" t="s">
        <v>41</v>
      </c>
      <c r="E23" t="s">
        <v>22</v>
      </c>
      <c r="F23" s="4">
        <v>3.56</v>
      </c>
      <c r="G23" s="5">
        <v>23</v>
      </c>
      <c r="H23" t="s">
        <v>33</v>
      </c>
      <c r="I23" t="s">
        <v>57</v>
      </c>
      <c r="J23" s="6">
        <v>13.99</v>
      </c>
      <c r="K23">
        <v>0</v>
      </c>
      <c r="L23" t="s">
        <v>37</v>
      </c>
      <c r="M23" s="5">
        <v>4</v>
      </c>
      <c r="N23" s="4">
        <v>0.15</v>
      </c>
      <c r="O23" t="s">
        <v>34</v>
      </c>
    </row>
    <row r="24" spans="1:15" x14ac:dyDescent="0.3">
      <c r="A24" t="s">
        <v>125</v>
      </c>
      <c r="B24" s="5">
        <v>26</v>
      </c>
      <c r="C24" s="5" t="str" cm="1">
        <f t="array" ref="C24">_xlfn.IFS(worksheet[[#This Row],[age]]&lt;25,"1. Young Adulthood (18-24)",worksheet[[#This Row],[age]]&lt; 35,"2. Early Adulthood (25-34)",worksheet[[#This Row],[age]]&lt; 45,"3. Mid Adulthood (35-44)",worksheet[[#This Row],[age]]&lt; 55,"4. Mature Adulthood (45-54)",TRUE,"5. Late Adulthood/Senior (55+)")</f>
        <v>2. Early Adulthood (25-34)</v>
      </c>
      <c r="D24" t="s">
        <v>15</v>
      </c>
      <c r="E24" t="s">
        <v>22</v>
      </c>
      <c r="F24" s="4">
        <v>23.13</v>
      </c>
      <c r="G24" s="5">
        <v>27</v>
      </c>
      <c r="H24" t="s">
        <v>33</v>
      </c>
      <c r="I24" t="s">
        <v>24</v>
      </c>
      <c r="J24" s="6">
        <v>13.99</v>
      </c>
      <c r="K24">
        <v>0</v>
      </c>
      <c r="L24" t="s">
        <v>37</v>
      </c>
      <c r="M24" s="5">
        <v>2</v>
      </c>
      <c r="N24" s="4">
        <v>0.83</v>
      </c>
      <c r="O24" t="s">
        <v>52</v>
      </c>
    </row>
    <row r="25" spans="1:15" x14ac:dyDescent="0.3">
      <c r="A25" t="s">
        <v>126</v>
      </c>
      <c r="B25" s="5">
        <v>21</v>
      </c>
      <c r="C25" s="5" t="str" cm="1">
        <f t="array" ref="C25">_xlfn.IFS(worksheet[[#This Row],[age]]&lt;25,"1. Young Adulthood (18-24)",worksheet[[#This Row],[age]]&lt; 35,"2. Early Adulthood (25-34)",worksheet[[#This Row],[age]]&lt; 45,"3. Mid Adulthood (35-44)",worksheet[[#This Row],[age]]&lt; 55,"4. Mature Adulthood (45-54)",TRUE,"5. Late Adulthood/Senior (55+)")</f>
        <v>1. Young Adulthood (18-24)</v>
      </c>
      <c r="D25" t="s">
        <v>41</v>
      </c>
      <c r="E25" t="s">
        <v>32</v>
      </c>
      <c r="F25" s="4">
        <v>9.91</v>
      </c>
      <c r="G25" s="5">
        <v>27</v>
      </c>
      <c r="H25" t="s">
        <v>28</v>
      </c>
      <c r="I25" t="s">
        <v>55</v>
      </c>
      <c r="J25" s="6">
        <v>17.989999999999998</v>
      </c>
      <c r="K25">
        <v>0</v>
      </c>
      <c r="L25" t="s">
        <v>37</v>
      </c>
      <c r="M25" s="5">
        <v>2</v>
      </c>
      <c r="N25" s="4">
        <v>0.35</v>
      </c>
      <c r="O25" t="s">
        <v>25</v>
      </c>
    </row>
    <row r="26" spans="1:15" x14ac:dyDescent="0.3">
      <c r="A26" t="s">
        <v>134</v>
      </c>
      <c r="B26" s="5">
        <v>21</v>
      </c>
      <c r="C26" s="5" t="str" cm="1">
        <f t="array" ref="C26">_xlfn.IFS(worksheet[[#This Row],[age]]&lt;25,"1. Young Adulthood (18-24)",worksheet[[#This Row],[age]]&lt; 35,"2. Early Adulthood (25-34)",worksheet[[#This Row],[age]]&lt; 45,"3. Mid Adulthood (35-44)",worksheet[[#This Row],[age]]&lt; 55,"4. Mature Adulthood (45-54)",TRUE,"5. Late Adulthood/Senior (55+)")</f>
        <v>1. Young Adulthood (18-24)</v>
      </c>
      <c r="D26" t="s">
        <v>27</v>
      </c>
      <c r="E26" t="s">
        <v>32</v>
      </c>
      <c r="F26" s="4">
        <v>4.8899999999999997</v>
      </c>
      <c r="G26" s="5">
        <v>3</v>
      </c>
      <c r="H26" t="s">
        <v>33</v>
      </c>
      <c r="I26" t="s">
        <v>55</v>
      </c>
      <c r="J26" s="6">
        <v>17.989999999999998</v>
      </c>
      <c r="K26">
        <v>0</v>
      </c>
      <c r="L26" t="s">
        <v>37</v>
      </c>
      <c r="M26" s="5">
        <v>4</v>
      </c>
      <c r="N26" s="4">
        <v>1.22</v>
      </c>
      <c r="O26" t="s">
        <v>25</v>
      </c>
    </row>
    <row r="27" spans="1:15" x14ac:dyDescent="0.3">
      <c r="A27" t="s">
        <v>139</v>
      </c>
      <c r="B27" s="5">
        <v>23</v>
      </c>
      <c r="C27" s="5" t="str" cm="1">
        <f t="array" ref="C27">_xlfn.IFS(worksheet[[#This Row],[age]]&lt;25,"1. Young Adulthood (18-24)",worksheet[[#This Row],[age]]&lt; 35,"2. Early Adulthood (25-34)",worksheet[[#This Row],[age]]&lt; 45,"3. Mid Adulthood (35-44)",worksheet[[#This Row],[age]]&lt; 55,"4. Mature Adulthood (45-54)",TRUE,"5. Late Adulthood/Senior (55+)")</f>
        <v>1. Young Adulthood (18-24)</v>
      </c>
      <c r="D27" t="s">
        <v>27</v>
      </c>
      <c r="E27" t="s">
        <v>32</v>
      </c>
      <c r="F27" s="4">
        <v>23.6</v>
      </c>
      <c r="G27" s="5">
        <v>56</v>
      </c>
      <c r="H27" t="s">
        <v>49</v>
      </c>
      <c r="I27" t="s">
        <v>18</v>
      </c>
      <c r="J27" s="6">
        <v>17.989999999999998</v>
      </c>
      <c r="K27">
        <v>0</v>
      </c>
      <c r="L27" t="s">
        <v>43</v>
      </c>
      <c r="M27" s="5">
        <v>4</v>
      </c>
      <c r="N27" s="4">
        <v>0.41</v>
      </c>
      <c r="O27" t="s">
        <v>25</v>
      </c>
    </row>
    <row r="28" spans="1:15" x14ac:dyDescent="0.3">
      <c r="A28" t="s">
        <v>140</v>
      </c>
      <c r="B28" s="5">
        <v>19</v>
      </c>
      <c r="C28" s="5" t="str" cm="1">
        <f t="array" ref="C28">_xlfn.IFS(worksheet[[#This Row],[age]]&lt;25,"1. Young Adulthood (18-24)",worksheet[[#This Row],[age]]&lt; 35,"2. Early Adulthood (25-34)",worksheet[[#This Row],[age]]&lt; 45,"3. Mid Adulthood (35-44)",worksheet[[#This Row],[age]]&lt; 55,"4. Mature Adulthood (45-54)",TRUE,"5. Late Adulthood/Senior (55+)")</f>
        <v>1. Young Adulthood (18-24)</v>
      </c>
      <c r="D28" t="s">
        <v>41</v>
      </c>
      <c r="E28" t="s">
        <v>16</v>
      </c>
      <c r="F28" s="4">
        <v>3.89</v>
      </c>
      <c r="G28" s="5">
        <v>33</v>
      </c>
      <c r="H28" t="s">
        <v>70</v>
      </c>
      <c r="I28" t="s">
        <v>24</v>
      </c>
      <c r="J28" s="6">
        <v>8.99</v>
      </c>
      <c r="K28">
        <v>1</v>
      </c>
      <c r="L28" t="s">
        <v>61</v>
      </c>
      <c r="M28" s="5">
        <v>1</v>
      </c>
      <c r="N28" s="4">
        <v>0.11</v>
      </c>
      <c r="O28" t="s">
        <v>39</v>
      </c>
    </row>
    <row r="29" spans="1:15" x14ac:dyDescent="0.3">
      <c r="A29" t="s">
        <v>141</v>
      </c>
      <c r="B29" s="5">
        <v>20</v>
      </c>
      <c r="C29" s="5" t="str" cm="1">
        <f t="array" ref="C29">_xlfn.IFS(worksheet[[#This Row],[age]]&lt;25,"1. Young Adulthood (18-24)",worksheet[[#This Row],[age]]&lt; 35,"2. Early Adulthood (25-34)",worksheet[[#This Row],[age]]&lt; 45,"3. Mid Adulthood (35-44)",worksheet[[#This Row],[age]]&lt; 55,"4. Mature Adulthood (45-54)",TRUE,"5. Late Adulthood/Senior (55+)")</f>
        <v>1. Young Adulthood (18-24)</v>
      </c>
      <c r="D29" t="s">
        <v>15</v>
      </c>
      <c r="E29" t="s">
        <v>32</v>
      </c>
      <c r="F29" s="4">
        <v>3.4</v>
      </c>
      <c r="G29" s="5">
        <v>33</v>
      </c>
      <c r="H29" t="s">
        <v>17</v>
      </c>
      <c r="I29" t="s">
        <v>57</v>
      </c>
      <c r="J29" s="6">
        <v>17.989999999999998</v>
      </c>
      <c r="K29">
        <v>1</v>
      </c>
      <c r="L29" t="s">
        <v>29</v>
      </c>
      <c r="M29" s="5">
        <v>5</v>
      </c>
      <c r="N29" s="4">
        <v>0.1</v>
      </c>
      <c r="O29" t="s">
        <v>30</v>
      </c>
    </row>
    <row r="30" spans="1:15" x14ac:dyDescent="0.3">
      <c r="A30" t="s">
        <v>143</v>
      </c>
      <c r="B30" s="5">
        <v>33</v>
      </c>
      <c r="C30" s="5" t="str" cm="1">
        <f t="array" ref="C30">_xlfn.IFS(worksheet[[#This Row],[age]]&lt;25,"1. Young Adulthood (18-24)",worksheet[[#This Row],[age]]&lt; 35,"2. Early Adulthood (25-34)",worksheet[[#This Row],[age]]&lt; 45,"3. Mid Adulthood (35-44)",worksheet[[#This Row],[age]]&lt; 55,"4. Mature Adulthood (45-54)",TRUE,"5. Late Adulthood/Senior (55+)")</f>
        <v>2. Early Adulthood (25-34)</v>
      </c>
      <c r="D30" t="s">
        <v>15</v>
      </c>
      <c r="E30" t="s">
        <v>32</v>
      </c>
      <c r="F30" s="4">
        <v>31.11</v>
      </c>
      <c r="G30" s="5">
        <v>39</v>
      </c>
      <c r="H30" t="s">
        <v>49</v>
      </c>
      <c r="I30" t="s">
        <v>24</v>
      </c>
      <c r="J30" s="6">
        <v>17.989999999999998</v>
      </c>
      <c r="K30">
        <v>0</v>
      </c>
      <c r="L30" t="s">
        <v>29</v>
      </c>
      <c r="M30" s="5">
        <v>4</v>
      </c>
      <c r="N30" s="4">
        <v>0.78</v>
      </c>
      <c r="O30" t="s">
        <v>47</v>
      </c>
    </row>
    <row r="31" spans="1:15" x14ac:dyDescent="0.3">
      <c r="A31" t="s">
        <v>144</v>
      </c>
      <c r="B31" s="5">
        <v>31</v>
      </c>
      <c r="C31" s="5" t="str" cm="1">
        <f t="array" ref="C31">_xlfn.IFS(worksheet[[#This Row],[age]]&lt;25,"1. Young Adulthood (18-24)",worksheet[[#This Row],[age]]&lt; 35,"2. Early Adulthood (25-34)",worksheet[[#This Row],[age]]&lt; 45,"3. Mid Adulthood (35-44)",worksheet[[#This Row],[age]]&lt; 55,"4. Mature Adulthood (45-54)",TRUE,"5. Late Adulthood/Senior (55+)")</f>
        <v>2. Early Adulthood (25-34)</v>
      </c>
      <c r="D31" t="s">
        <v>15</v>
      </c>
      <c r="E31" t="s">
        <v>32</v>
      </c>
      <c r="F31" s="4">
        <v>2.81</v>
      </c>
      <c r="G31" s="5">
        <v>39</v>
      </c>
      <c r="H31" t="s">
        <v>23</v>
      </c>
      <c r="I31" t="s">
        <v>55</v>
      </c>
      <c r="J31" s="6">
        <v>17.989999999999998</v>
      </c>
      <c r="K31">
        <v>1</v>
      </c>
      <c r="L31" t="s">
        <v>61</v>
      </c>
      <c r="M31" s="5">
        <v>5</v>
      </c>
      <c r="N31" s="4">
        <v>7.0000000000000007E-2</v>
      </c>
      <c r="O31" t="s">
        <v>34</v>
      </c>
    </row>
    <row r="32" spans="1:15" x14ac:dyDescent="0.3">
      <c r="A32" t="s">
        <v>145</v>
      </c>
      <c r="B32" s="5">
        <v>20</v>
      </c>
      <c r="C32" s="5" t="str" cm="1">
        <f t="array" ref="C32">_xlfn.IFS(worksheet[[#This Row],[age]]&lt;25,"1. Young Adulthood (18-24)",worksheet[[#This Row],[age]]&lt; 35,"2. Early Adulthood (25-34)",worksheet[[#This Row],[age]]&lt; 45,"3. Mid Adulthood (35-44)",worksheet[[#This Row],[age]]&lt; 55,"4. Mature Adulthood (45-54)",TRUE,"5. Late Adulthood/Senior (55+)")</f>
        <v>1. Young Adulthood (18-24)</v>
      </c>
      <c r="D32" t="s">
        <v>41</v>
      </c>
      <c r="E32" t="s">
        <v>22</v>
      </c>
      <c r="F32" s="4">
        <v>9.8699999999999992</v>
      </c>
      <c r="G32" s="5">
        <v>29</v>
      </c>
      <c r="H32" t="s">
        <v>17</v>
      </c>
      <c r="I32" t="s">
        <v>55</v>
      </c>
      <c r="J32" s="6">
        <v>13.99</v>
      </c>
      <c r="K32">
        <v>0</v>
      </c>
      <c r="L32" t="s">
        <v>43</v>
      </c>
      <c r="M32" s="5">
        <v>3</v>
      </c>
      <c r="N32" s="4">
        <v>0.33</v>
      </c>
      <c r="O32" t="s">
        <v>52</v>
      </c>
    </row>
    <row r="33" spans="1:15" x14ac:dyDescent="0.3">
      <c r="A33" t="s">
        <v>146</v>
      </c>
      <c r="B33" s="5">
        <v>18</v>
      </c>
      <c r="C33" s="5" t="str" cm="1">
        <f t="array" ref="C33">_xlfn.IFS(worksheet[[#This Row],[age]]&lt;25,"1. Young Adulthood (18-24)",worksheet[[#This Row],[age]]&lt; 35,"2. Early Adulthood (25-34)",worksheet[[#This Row],[age]]&lt; 45,"3. Mid Adulthood (35-44)",worksheet[[#This Row],[age]]&lt; 55,"4. Mature Adulthood (45-54)",TRUE,"5. Late Adulthood/Senior (55+)")</f>
        <v>1. Young Adulthood (18-24)</v>
      </c>
      <c r="D33" t="s">
        <v>27</v>
      </c>
      <c r="E33" t="s">
        <v>16</v>
      </c>
      <c r="F33" s="4">
        <v>35.520000000000003</v>
      </c>
      <c r="G33" s="5">
        <v>40</v>
      </c>
      <c r="H33" t="s">
        <v>49</v>
      </c>
      <c r="I33" t="s">
        <v>57</v>
      </c>
      <c r="J33" s="6">
        <v>8.99</v>
      </c>
      <c r="K33">
        <v>0</v>
      </c>
      <c r="L33" t="s">
        <v>29</v>
      </c>
      <c r="M33" s="5">
        <v>3</v>
      </c>
      <c r="N33" s="4">
        <v>0.87</v>
      </c>
      <c r="O33" t="s">
        <v>20</v>
      </c>
    </row>
    <row r="34" spans="1:15" x14ac:dyDescent="0.3">
      <c r="A34" t="s">
        <v>147</v>
      </c>
      <c r="B34" s="5">
        <v>31</v>
      </c>
      <c r="C34" s="5" t="str" cm="1">
        <f t="array" ref="C34">_xlfn.IFS(worksheet[[#This Row],[age]]&lt;25,"1. Young Adulthood (18-24)",worksheet[[#This Row],[age]]&lt; 35,"2. Early Adulthood (25-34)",worksheet[[#This Row],[age]]&lt; 45,"3. Mid Adulthood (35-44)",worksheet[[#This Row],[age]]&lt; 55,"4. Mature Adulthood (45-54)",TRUE,"5. Late Adulthood/Senior (55+)")</f>
        <v>2. Early Adulthood (25-34)</v>
      </c>
      <c r="D34" t="s">
        <v>41</v>
      </c>
      <c r="E34" t="s">
        <v>32</v>
      </c>
      <c r="F34" s="4">
        <v>4.5999999999999996</v>
      </c>
      <c r="G34" s="5">
        <v>1</v>
      </c>
      <c r="H34" t="s">
        <v>49</v>
      </c>
      <c r="I34" t="s">
        <v>55</v>
      </c>
      <c r="J34" s="6">
        <v>17.989999999999998</v>
      </c>
      <c r="K34">
        <v>0</v>
      </c>
      <c r="L34" t="s">
        <v>19</v>
      </c>
      <c r="M34" s="5">
        <v>1</v>
      </c>
      <c r="N34" s="4">
        <v>2.2999999999999998</v>
      </c>
      <c r="O34" t="s">
        <v>25</v>
      </c>
    </row>
    <row r="35" spans="1:15" x14ac:dyDescent="0.3">
      <c r="A35" t="s">
        <v>150</v>
      </c>
      <c r="B35" s="5">
        <v>30</v>
      </c>
      <c r="C35" s="5" t="str" cm="1">
        <f t="array" ref="C35">_xlfn.IFS(worksheet[[#This Row],[age]]&lt;25,"1. Young Adulthood (18-24)",worksheet[[#This Row],[age]]&lt; 35,"2. Early Adulthood (25-34)",worksheet[[#This Row],[age]]&lt; 45,"3. Mid Adulthood (35-44)",worksheet[[#This Row],[age]]&lt; 55,"4. Mature Adulthood (45-54)",TRUE,"5. Late Adulthood/Senior (55+)")</f>
        <v>2. Early Adulthood (25-34)</v>
      </c>
      <c r="D35" t="s">
        <v>27</v>
      </c>
      <c r="E35" t="s">
        <v>16</v>
      </c>
      <c r="F35" s="4">
        <v>24.74</v>
      </c>
      <c r="G35" s="5">
        <v>17</v>
      </c>
      <c r="H35" t="s">
        <v>33</v>
      </c>
      <c r="I35" t="s">
        <v>46</v>
      </c>
      <c r="J35" s="6">
        <v>8.99</v>
      </c>
      <c r="K35">
        <v>0</v>
      </c>
      <c r="L35" t="s">
        <v>61</v>
      </c>
      <c r="M35" s="5">
        <v>5</v>
      </c>
      <c r="N35" s="4">
        <v>1.37</v>
      </c>
      <c r="O35" t="s">
        <v>47</v>
      </c>
    </row>
    <row r="36" spans="1:15" x14ac:dyDescent="0.3">
      <c r="A36" t="s">
        <v>151</v>
      </c>
      <c r="B36" s="5">
        <v>22</v>
      </c>
      <c r="C36" s="5" t="str" cm="1">
        <f t="array" ref="C36">_xlfn.IFS(worksheet[[#This Row],[age]]&lt;25,"1. Young Adulthood (18-24)",worksheet[[#This Row],[age]]&lt; 35,"2. Early Adulthood (25-34)",worksheet[[#This Row],[age]]&lt; 45,"3. Mid Adulthood (35-44)",worksheet[[#This Row],[age]]&lt; 55,"4. Mature Adulthood (45-54)",TRUE,"5. Late Adulthood/Senior (55+)")</f>
        <v>1. Young Adulthood (18-24)</v>
      </c>
      <c r="D36" t="s">
        <v>15</v>
      </c>
      <c r="E36" t="s">
        <v>16</v>
      </c>
      <c r="F36" s="4">
        <v>2.93</v>
      </c>
      <c r="G36" s="5">
        <v>27</v>
      </c>
      <c r="H36" t="s">
        <v>28</v>
      </c>
      <c r="I36" t="s">
        <v>18</v>
      </c>
      <c r="J36" s="6">
        <v>8.99</v>
      </c>
      <c r="K36">
        <v>1</v>
      </c>
      <c r="L36" t="s">
        <v>19</v>
      </c>
      <c r="M36" s="5">
        <v>2</v>
      </c>
      <c r="N36" s="4">
        <v>0.1</v>
      </c>
      <c r="O36" t="s">
        <v>25</v>
      </c>
    </row>
    <row r="37" spans="1:15" x14ac:dyDescent="0.3">
      <c r="A37" t="s">
        <v>155</v>
      </c>
      <c r="B37" s="5">
        <v>21</v>
      </c>
      <c r="C37" s="5" t="str" cm="1">
        <f t="array" ref="C37">_xlfn.IFS(worksheet[[#This Row],[age]]&lt;25,"1. Young Adulthood (18-24)",worksheet[[#This Row],[age]]&lt; 35,"2. Early Adulthood (25-34)",worksheet[[#This Row],[age]]&lt; 45,"3. Mid Adulthood (35-44)",worksheet[[#This Row],[age]]&lt; 55,"4. Mature Adulthood (45-54)",TRUE,"5. Late Adulthood/Senior (55+)")</f>
        <v>1. Young Adulthood (18-24)</v>
      </c>
      <c r="D37" t="s">
        <v>27</v>
      </c>
      <c r="E37" t="s">
        <v>16</v>
      </c>
      <c r="F37" s="4">
        <v>13.97</v>
      </c>
      <c r="G37" s="5">
        <v>14</v>
      </c>
      <c r="H37" t="s">
        <v>70</v>
      </c>
      <c r="I37" t="s">
        <v>46</v>
      </c>
      <c r="J37" s="6">
        <v>8.99</v>
      </c>
      <c r="K37">
        <v>0</v>
      </c>
      <c r="L37" t="s">
        <v>61</v>
      </c>
      <c r="M37" s="5">
        <v>3</v>
      </c>
      <c r="N37" s="4">
        <v>0.93</v>
      </c>
      <c r="O37" t="s">
        <v>39</v>
      </c>
    </row>
    <row r="38" spans="1:15" x14ac:dyDescent="0.3">
      <c r="A38" t="s">
        <v>157</v>
      </c>
      <c r="B38" s="5">
        <v>32</v>
      </c>
      <c r="C38" s="5" t="str" cm="1">
        <f t="array" ref="C38">_xlfn.IFS(worksheet[[#This Row],[age]]&lt;25,"1. Young Adulthood (18-24)",worksheet[[#This Row],[age]]&lt; 35,"2. Early Adulthood (25-34)",worksheet[[#This Row],[age]]&lt; 45,"3. Mid Adulthood (35-44)",worksheet[[#This Row],[age]]&lt; 55,"4. Mature Adulthood (45-54)",TRUE,"5. Late Adulthood/Senior (55+)")</f>
        <v>2. Early Adulthood (25-34)</v>
      </c>
      <c r="D38" t="s">
        <v>15</v>
      </c>
      <c r="E38" t="s">
        <v>16</v>
      </c>
      <c r="F38" s="4">
        <v>17.18</v>
      </c>
      <c r="G38" s="5">
        <v>22</v>
      </c>
      <c r="H38" t="s">
        <v>17</v>
      </c>
      <c r="I38" t="s">
        <v>18</v>
      </c>
      <c r="J38" s="6">
        <v>8.99</v>
      </c>
      <c r="K38">
        <v>0</v>
      </c>
      <c r="L38" t="s">
        <v>29</v>
      </c>
      <c r="M38" s="5">
        <v>4</v>
      </c>
      <c r="N38" s="4">
        <v>0.75</v>
      </c>
      <c r="O38" t="s">
        <v>39</v>
      </c>
    </row>
    <row r="39" spans="1:15" x14ac:dyDescent="0.3">
      <c r="A39" t="s">
        <v>162</v>
      </c>
      <c r="B39" s="5">
        <v>29</v>
      </c>
      <c r="C39" s="5" t="str" cm="1">
        <f t="array" ref="C39">_xlfn.IFS(worksheet[[#This Row],[age]]&lt;25,"1. Young Adulthood (18-24)",worksheet[[#This Row],[age]]&lt; 35,"2. Early Adulthood (25-34)",worksheet[[#This Row],[age]]&lt; 45,"3. Mid Adulthood (35-44)",worksheet[[#This Row],[age]]&lt; 55,"4. Mature Adulthood (45-54)",TRUE,"5. Late Adulthood/Senior (55+)")</f>
        <v>2. Early Adulthood (25-34)</v>
      </c>
      <c r="D39" t="s">
        <v>15</v>
      </c>
      <c r="E39" t="s">
        <v>16</v>
      </c>
      <c r="F39" s="4">
        <v>17.579999999999998</v>
      </c>
      <c r="G39" s="5">
        <v>2</v>
      </c>
      <c r="H39" t="s">
        <v>23</v>
      </c>
      <c r="I39" t="s">
        <v>55</v>
      </c>
      <c r="J39" s="6">
        <v>8.99</v>
      </c>
      <c r="K39">
        <v>0</v>
      </c>
      <c r="L39" t="s">
        <v>43</v>
      </c>
      <c r="M39" s="5">
        <v>1</v>
      </c>
      <c r="N39" s="4">
        <v>5.86</v>
      </c>
      <c r="O39" t="s">
        <v>20</v>
      </c>
    </row>
    <row r="40" spans="1:15" x14ac:dyDescent="0.3">
      <c r="A40" t="s">
        <v>163</v>
      </c>
      <c r="B40" s="5">
        <v>30</v>
      </c>
      <c r="C40" s="5" t="str" cm="1">
        <f t="array" ref="C40">_xlfn.IFS(worksheet[[#This Row],[age]]&lt;25,"1. Young Adulthood (18-24)",worksheet[[#This Row],[age]]&lt; 35,"2. Early Adulthood (25-34)",worksheet[[#This Row],[age]]&lt; 45,"3. Mid Adulthood (35-44)",worksheet[[#This Row],[age]]&lt; 55,"4. Mature Adulthood (45-54)",TRUE,"5. Late Adulthood/Senior (55+)")</f>
        <v>2. Early Adulthood (25-34)</v>
      </c>
      <c r="D40" t="s">
        <v>15</v>
      </c>
      <c r="E40" t="s">
        <v>16</v>
      </c>
      <c r="F40" s="4">
        <v>9.2799999999999994</v>
      </c>
      <c r="G40" s="5">
        <v>44</v>
      </c>
      <c r="H40" t="s">
        <v>70</v>
      </c>
      <c r="I40" t="s">
        <v>57</v>
      </c>
      <c r="J40" s="6">
        <v>8.99</v>
      </c>
      <c r="K40">
        <v>1</v>
      </c>
      <c r="L40" t="s">
        <v>43</v>
      </c>
      <c r="M40" s="5">
        <v>4</v>
      </c>
      <c r="N40" s="4">
        <v>0.21</v>
      </c>
      <c r="O40" t="s">
        <v>20</v>
      </c>
    </row>
    <row r="41" spans="1:15" x14ac:dyDescent="0.3">
      <c r="A41" t="s">
        <v>166</v>
      </c>
      <c r="B41" s="5">
        <v>33</v>
      </c>
      <c r="C41" s="5" t="str" cm="1">
        <f t="array" ref="C41">_xlfn.IFS(worksheet[[#This Row],[age]]&lt;25,"1. Young Adulthood (18-24)",worksheet[[#This Row],[age]]&lt; 35,"2. Early Adulthood (25-34)",worksheet[[#This Row],[age]]&lt; 45,"3. Mid Adulthood (35-44)",worksheet[[#This Row],[age]]&lt; 55,"4. Mature Adulthood (45-54)",TRUE,"5. Late Adulthood/Senior (55+)")</f>
        <v>2. Early Adulthood (25-34)</v>
      </c>
      <c r="D41" t="s">
        <v>41</v>
      </c>
      <c r="E41" t="s">
        <v>22</v>
      </c>
      <c r="F41" s="4">
        <v>2.86</v>
      </c>
      <c r="G41" s="5">
        <v>30</v>
      </c>
      <c r="H41" t="s">
        <v>23</v>
      </c>
      <c r="I41" t="s">
        <v>57</v>
      </c>
      <c r="J41" s="6">
        <v>13.99</v>
      </c>
      <c r="K41">
        <v>1</v>
      </c>
      <c r="L41" t="s">
        <v>19</v>
      </c>
      <c r="M41" s="5">
        <v>5</v>
      </c>
      <c r="N41" s="4">
        <v>0.09</v>
      </c>
      <c r="O41" t="s">
        <v>30</v>
      </c>
    </row>
    <row r="42" spans="1:15" x14ac:dyDescent="0.3">
      <c r="A42" t="s">
        <v>167</v>
      </c>
      <c r="B42" s="5">
        <v>22</v>
      </c>
      <c r="C42" s="5" t="str" cm="1">
        <f t="array" ref="C42">_xlfn.IFS(worksheet[[#This Row],[age]]&lt;25,"1. Young Adulthood (18-24)",worksheet[[#This Row],[age]]&lt; 35,"2. Early Adulthood (25-34)",worksheet[[#This Row],[age]]&lt; 45,"3. Mid Adulthood (35-44)",worksheet[[#This Row],[age]]&lt; 55,"4. Mature Adulthood (45-54)",TRUE,"5. Late Adulthood/Senior (55+)")</f>
        <v>1. Young Adulthood (18-24)</v>
      </c>
      <c r="D42" t="s">
        <v>27</v>
      </c>
      <c r="E42" t="s">
        <v>16</v>
      </c>
      <c r="F42" s="4">
        <v>3.71</v>
      </c>
      <c r="G42" s="5">
        <v>28</v>
      </c>
      <c r="H42" t="s">
        <v>23</v>
      </c>
      <c r="I42" t="s">
        <v>18</v>
      </c>
      <c r="J42" s="6">
        <v>8.99</v>
      </c>
      <c r="K42">
        <v>1</v>
      </c>
      <c r="L42" t="s">
        <v>29</v>
      </c>
      <c r="M42" s="5">
        <v>1</v>
      </c>
      <c r="N42" s="4">
        <v>0.13</v>
      </c>
      <c r="O42" t="s">
        <v>34</v>
      </c>
    </row>
    <row r="43" spans="1:15" x14ac:dyDescent="0.3">
      <c r="A43" t="s">
        <v>168</v>
      </c>
      <c r="B43" s="5">
        <v>29</v>
      </c>
      <c r="C43" s="5" t="str" cm="1">
        <f t="array" ref="C43">_xlfn.IFS(worksheet[[#This Row],[age]]&lt;25,"1. Young Adulthood (18-24)",worksheet[[#This Row],[age]]&lt; 35,"2. Early Adulthood (25-34)",worksheet[[#This Row],[age]]&lt; 45,"3. Mid Adulthood (35-44)",worksheet[[#This Row],[age]]&lt; 55,"4. Mature Adulthood (45-54)",TRUE,"5. Late Adulthood/Senior (55+)")</f>
        <v>2. Early Adulthood (25-34)</v>
      </c>
      <c r="D43" t="s">
        <v>41</v>
      </c>
      <c r="E43" t="s">
        <v>16</v>
      </c>
      <c r="F43" s="4">
        <v>1.7</v>
      </c>
      <c r="G43" s="5">
        <v>43</v>
      </c>
      <c r="H43" t="s">
        <v>49</v>
      </c>
      <c r="I43" t="s">
        <v>24</v>
      </c>
      <c r="J43" s="6">
        <v>8.99</v>
      </c>
      <c r="K43">
        <v>1</v>
      </c>
      <c r="L43" t="s">
        <v>37</v>
      </c>
      <c r="M43" s="5">
        <v>5</v>
      </c>
      <c r="N43" s="4">
        <v>0.04</v>
      </c>
      <c r="O43" t="s">
        <v>34</v>
      </c>
    </row>
    <row r="44" spans="1:15" x14ac:dyDescent="0.3">
      <c r="A44" t="s">
        <v>175</v>
      </c>
      <c r="B44" s="5">
        <v>19</v>
      </c>
      <c r="C44" s="5" t="str" cm="1">
        <f t="array" ref="C44">_xlfn.IFS(worksheet[[#This Row],[age]]&lt;25,"1. Young Adulthood (18-24)",worksheet[[#This Row],[age]]&lt; 35,"2. Early Adulthood (25-34)",worksheet[[#This Row],[age]]&lt; 45,"3. Mid Adulthood (35-44)",worksheet[[#This Row],[age]]&lt; 55,"4. Mature Adulthood (45-54)",TRUE,"5. Late Adulthood/Senior (55+)")</f>
        <v>1. Young Adulthood (18-24)</v>
      </c>
      <c r="D44" t="s">
        <v>15</v>
      </c>
      <c r="E44" t="s">
        <v>16</v>
      </c>
      <c r="F44" s="4">
        <v>3.72</v>
      </c>
      <c r="G44" s="5">
        <v>11</v>
      </c>
      <c r="H44" t="s">
        <v>28</v>
      </c>
      <c r="I44" t="s">
        <v>55</v>
      </c>
      <c r="J44" s="6">
        <v>8.99</v>
      </c>
      <c r="K44">
        <v>1</v>
      </c>
      <c r="L44" t="s">
        <v>29</v>
      </c>
      <c r="M44" s="5">
        <v>5</v>
      </c>
      <c r="N44" s="4">
        <v>0.31</v>
      </c>
      <c r="O44" t="s">
        <v>52</v>
      </c>
    </row>
    <row r="45" spans="1:15" x14ac:dyDescent="0.3">
      <c r="A45" t="s">
        <v>176</v>
      </c>
      <c r="B45" s="5">
        <v>28</v>
      </c>
      <c r="C45" s="5" t="str" cm="1">
        <f t="array" ref="C45">_xlfn.IFS(worksheet[[#This Row],[age]]&lt;25,"1. Young Adulthood (18-24)",worksheet[[#This Row],[age]]&lt; 35,"2. Early Adulthood (25-34)",worksheet[[#This Row],[age]]&lt; 45,"3. Mid Adulthood (35-44)",worksheet[[#This Row],[age]]&lt; 55,"4. Mature Adulthood (45-54)",TRUE,"5. Late Adulthood/Senior (55+)")</f>
        <v>2. Early Adulthood (25-34)</v>
      </c>
      <c r="D45" t="s">
        <v>41</v>
      </c>
      <c r="E45" t="s">
        <v>32</v>
      </c>
      <c r="F45" s="4">
        <v>16.170000000000002</v>
      </c>
      <c r="G45" s="5">
        <v>46</v>
      </c>
      <c r="H45" t="s">
        <v>17</v>
      </c>
      <c r="I45" t="s">
        <v>46</v>
      </c>
      <c r="J45" s="6">
        <v>17.989999999999998</v>
      </c>
      <c r="K45">
        <v>1</v>
      </c>
      <c r="L45" t="s">
        <v>29</v>
      </c>
      <c r="M45" s="5">
        <v>4</v>
      </c>
      <c r="N45" s="4">
        <v>0.34</v>
      </c>
      <c r="O45" t="s">
        <v>34</v>
      </c>
    </row>
    <row r="46" spans="1:15" x14ac:dyDescent="0.3">
      <c r="A46" t="s">
        <v>177</v>
      </c>
      <c r="B46" s="5">
        <v>19</v>
      </c>
      <c r="C46" s="5" t="str" cm="1">
        <f t="array" ref="C46">_xlfn.IFS(worksheet[[#This Row],[age]]&lt;25,"1. Young Adulthood (18-24)",worksheet[[#This Row],[age]]&lt; 35,"2. Early Adulthood (25-34)",worksheet[[#This Row],[age]]&lt; 45,"3. Mid Adulthood (35-44)",worksheet[[#This Row],[age]]&lt; 55,"4. Mature Adulthood (45-54)",TRUE,"5. Late Adulthood/Senior (55+)")</f>
        <v>1. Young Adulthood (18-24)</v>
      </c>
      <c r="D46" t="s">
        <v>15</v>
      </c>
      <c r="E46" t="s">
        <v>16</v>
      </c>
      <c r="F46" s="4">
        <v>5.18</v>
      </c>
      <c r="G46" s="5">
        <v>43</v>
      </c>
      <c r="H46" t="s">
        <v>23</v>
      </c>
      <c r="I46" t="s">
        <v>57</v>
      </c>
      <c r="J46" s="6">
        <v>8.99</v>
      </c>
      <c r="K46">
        <v>1</v>
      </c>
      <c r="L46" t="s">
        <v>43</v>
      </c>
      <c r="M46" s="5">
        <v>4</v>
      </c>
      <c r="N46" s="4">
        <v>0.12</v>
      </c>
      <c r="O46" t="s">
        <v>34</v>
      </c>
    </row>
    <row r="47" spans="1:15" x14ac:dyDescent="0.3">
      <c r="A47" t="s">
        <v>178</v>
      </c>
      <c r="B47" s="5">
        <v>34</v>
      </c>
      <c r="C47" s="5" t="str" cm="1">
        <f t="array" ref="C47">_xlfn.IFS(worksheet[[#This Row],[age]]&lt;25,"1. Young Adulthood (18-24)",worksheet[[#This Row],[age]]&lt; 35,"2. Early Adulthood (25-34)",worksheet[[#This Row],[age]]&lt; 45,"3. Mid Adulthood (35-44)",worksheet[[#This Row],[age]]&lt; 55,"4. Mature Adulthood (45-54)",TRUE,"5. Late Adulthood/Senior (55+)")</f>
        <v>2. Early Adulthood (25-34)</v>
      </c>
      <c r="D47" t="s">
        <v>41</v>
      </c>
      <c r="E47" t="s">
        <v>16</v>
      </c>
      <c r="F47" s="4">
        <v>1.89</v>
      </c>
      <c r="G47" s="5">
        <v>59</v>
      </c>
      <c r="H47" t="s">
        <v>28</v>
      </c>
      <c r="I47" t="s">
        <v>57</v>
      </c>
      <c r="J47" s="6">
        <v>8.99</v>
      </c>
      <c r="K47">
        <v>1</v>
      </c>
      <c r="L47" t="s">
        <v>61</v>
      </c>
      <c r="M47" s="5">
        <v>5</v>
      </c>
      <c r="N47" s="4">
        <v>0.03</v>
      </c>
      <c r="O47" t="s">
        <v>20</v>
      </c>
    </row>
    <row r="48" spans="1:15" x14ac:dyDescent="0.3">
      <c r="A48" t="s">
        <v>179</v>
      </c>
      <c r="B48" s="5">
        <v>19</v>
      </c>
      <c r="C48" s="5" t="str" cm="1">
        <f t="array" ref="C48">_xlfn.IFS(worksheet[[#This Row],[age]]&lt;25,"1. Young Adulthood (18-24)",worksheet[[#This Row],[age]]&lt; 35,"2. Early Adulthood (25-34)",worksheet[[#This Row],[age]]&lt; 45,"3. Mid Adulthood (35-44)",worksheet[[#This Row],[age]]&lt; 55,"4. Mature Adulthood (45-54)",TRUE,"5. Late Adulthood/Senior (55+)")</f>
        <v>1. Young Adulthood (18-24)</v>
      </c>
      <c r="D48" t="s">
        <v>41</v>
      </c>
      <c r="E48" t="s">
        <v>32</v>
      </c>
      <c r="F48" s="4">
        <v>8.0299999999999994</v>
      </c>
      <c r="G48" s="5">
        <v>1</v>
      </c>
      <c r="H48" t="s">
        <v>28</v>
      </c>
      <c r="I48" t="s">
        <v>18</v>
      </c>
      <c r="J48" s="6">
        <v>17.989999999999998</v>
      </c>
      <c r="K48">
        <v>0</v>
      </c>
      <c r="L48" t="s">
        <v>19</v>
      </c>
      <c r="M48" s="5">
        <v>3</v>
      </c>
      <c r="N48" s="4">
        <v>4.01</v>
      </c>
      <c r="O48" t="s">
        <v>30</v>
      </c>
    </row>
    <row r="49" spans="1:15" x14ac:dyDescent="0.3">
      <c r="A49" t="s">
        <v>189</v>
      </c>
      <c r="B49" s="5">
        <v>33</v>
      </c>
      <c r="C49" s="5" t="str" cm="1">
        <f t="array" ref="C49">_xlfn.IFS(worksheet[[#This Row],[age]]&lt;25,"1. Young Adulthood (18-24)",worksheet[[#This Row],[age]]&lt; 35,"2. Early Adulthood (25-34)",worksheet[[#This Row],[age]]&lt; 45,"3. Mid Adulthood (35-44)",worksheet[[#This Row],[age]]&lt; 55,"4. Mature Adulthood (45-54)",TRUE,"5. Late Adulthood/Senior (55+)")</f>
        <v>2. Early Adulthood (25-34)</v>
      </c>
      <c r="D49" t="s">
        <v>41</v>
      </c>
      <c r="E49" t="s">
        <v>16</v>
      </c>
      <c r="F49" s="4">
        <v>2.27</v>
      </c>
      <c r="G49" s="5">
        <v>20</v>
      </c>
      <c r="H49" t="s">
        <v>49</v>
      </c>
      <c r="I49" t="s">
        <v>55</v>
      </c>
      <c r="J49" s="6">
        <v>8.99</v>
      </c>
      <c r="K49">
        <v>1</v>
      </c>
      <c r="L49" t="s">
        <v>37</v>
      </c>
      <c r="M49" s="5">
        <v>3</v>
      </c>
      <c r="N49" s="4">
        <v>0.11</v>
      </c>
      <c r="O49" t="s">
        <v>39</v>
      </c>
    </row>
    <row r="50" spans="1:15" x14ac:dyDescent="0.3">
      <c r="A50" t="s">
        <v>190</v>
      </c>
      <c r="B50" s="5">
        <v>24</v>
      </c>
      <c r="C50" s="5" t="str" cm="1">
        <f t="array" ref="C50">_xlfn.IFS(worksheet[[#This Row],[age]]&lt;25,"1. Young Adulthood (18-24)",worksheet[[#This Row],[age]]&lt; 35,"2. Early Adulthood (25-34)",worksheet[[#This Row],[age]]&lt; 45,"3. Mid Adulthood (35-44)",worksheet[[#This Row],[age]]&lt; 55,"4. Mature Adulthood (45-54)",TRUE,"5. Late Adulthood/Senior (55+)")</f>
        <v>1. Young Adulthood (18-24)</v>
      </c>
      <c r="D50" t="s">
        <v>27</v>
      </c>
      <c r="E50" t="s">
        <v>16</v>
      </c>
      <c r="F50" s="4">
        <v>2.42</v>
      </c>
      <c r="G50" s="5">
        <v>56</v>
      </c>
      <c r="H50" t="s">
        <v>23</v>
      </c>
      <c r="I50" t="s">
        <v>57</v>
      </c>
      <c r="J50" s="6">
        <v>8.99</v>
      </c>
      <c r="K50">
        <v>1</v>
      </c>
      <c r="L50" t="s">
        <v>29</v>
      </c>
      <c r="M50" s="5">
        <v>3</v>
      </c>
      <c r="N50" s="4">
        <v>0.04</v>
      </c>
      <c r="O50" t="s">
        <v>47</v>
      </c>
    </row>
    <row r="51" spans="1:15" x14ac:dyDescent="0.3">
      <c r="A51" t="s">
        <v>191</v>
      </c>
      <c r="B51" s="5">
        <v>23</v>
      </c>
      <c r="C51" s="5" t="str" cm="1">
        <f t="array" ref="C51">_xlfn.IFS(worksheet[[#This Row],[age]]&lt;25,"1. Young Adulthood (18-24)",worksheet[[#This Row],[age]]&lt; 35,"2. Early Adulthood (25-34)",worksheet[[#This Row],[age]]&lt; 45,"3. Mid Adulthood (35-44)",worksheet[[#This Row],[age]]&lt; 55,"4. Mature Adulthood (45-54)",TRUE,"5. Late Adulthood/Senior (55+)")</f>
        <v>1. Young Adulthood (18-24)</v>
      </c>
      <c r="D51" t="s">
        <v>15</v>
      </c>
      <c r="E51" t="s">
        <v>16</v>
      </c>
      <c r="F51" s="4">
        <v>10.85</v>
      </c>
      <c r="G51" s="5">
        <v>13</v>
      </c>
      <c r="H51" t="s">
        <v>70</v>
      </c>
      <c r="I51" t="s">
        <v>24</v>
      </c>
      <c r="J51" s="6">
        <v>8.99</v>
      </c>
      <c r="K51">
        <v>0</v>
      </c>
      <c r="L51" t="s">
        <v>43</v>
      </c>
      <c r="M51" s="5">
        <v>3</v>
      </c>
      <c r="N51" s="4">
        <v>0.78</v>
      </c>
      <c r="O51" t="s">
        <v>39</v>
      </c>
    </row>
    <row r="52" spans="1:15" x14ac:dyDescent="0.3">
      <c r="A52" t="s">
        <v>192</v>
      </c>
      <c r="B52" s="5">
        <v>34</v>
      </c>
      <c r="C52" s="5" t="str" cm="1">
        <f t="array" ref="C52">_xlfn.IFS(worksheet[[#This Row],[age]]&lt;25,"1. Young Adulthood (18-24)",worksheet[[#This Row],[age]]&lt; 35,"2. Early Adulthood (25-34)",worksheet[[#This Row],[age]]&lt; 45,"3. Mid Adulthood (35-44)",worksheet[[#This Row],[age]]&lt; 55,"4. Mature Adulthood (45-54)",TRUE,"5. Late Adulthood/Senior (55+)")</f>
        <v>2. Early Adulthood (25-34)</v>
      </c>
      <c r="D52" t="s">
        <v>41</v>
      </c>
      <c r="E52" t="s">
        <v>32</v>
      </c>
      <c r="F52" s="4">
        <v>9.59</v>
      </c>
      <c r="G52" s="5">
        <v>28</v>
      </c>
      <c r="H52" t="s">
        <v>23</v>
      </c>
      <c r="I52" t="s">
        <v>24</v>
      </c>
      <c r="J52" s="6">
        <v>17.989999999999998</v>
      </c>
      <c r="K52">
        <v>0</v>
      </c>
      <c r="L52" t="s">
        <v>43</v>
      </c>
      <c r="M52" s="5">
        <v>4</v>
      </c>
      <c r="N52" s="4">
        <v>0.33</v>
      </c>
      <c r="O52" t="s">
        <v>20</v>
      </c>
    </row>
    <row r="53" spans="1:15" x14ac:dyDescent="0.3">
      <c r="A53" t="s">
        <v>193</v>
      </c>
      <c r="B53" s="5">
        <v>30</v>
      </c>
      <c r="C53" s="5" t="str" cm="1">
        <f t="array" ref="C53">_xlfn.IFS(worksheet[[#This Row],[age]]&lt;25,"1. Young Adulthood (18-24)",worksheet[[#This Row],[age]]&lt; 35,"2. Early Adulthood (25-34)",worksheet[[#This Row],[age]]&lt; 45,"3. Mid Adulthood (35-44)",worksheet[[#This Row],[age]]&lt; 55,"4. Mature Adulthood (45-54)",TRUE,"5. Late Adulthood/Senior (55+)")</f>
        <v>2. Early Adulthood (25-34)</v>
      </c>
      <c r="D53" t="s">
        <v>41</v>
      </c>
      <c r="E53" t="s">
        <v>32</v>
      </c>
      <c r="F53" s="4">
        <v>7.24</v>
      </c>
      <c r="G53" s="5">
        <v>40</v>
      </c>
      <c r="H53" t="s">
        <v>28</v>
      </c>
      <c r="I53" t="s">
        <v>18</v>
      </c>
      <c r="J53" s="6">
        <v>17.989999999999998</v>
      </c>
      <c r="K53">
        <v>0</v>
      </c>
      <c r="L53" t="s">
        <v>37</v>
      </c>
      <c r="M53" s="5">
        <v>5</v>
      </c>
      <c r="N53" s="4">
        <v>0.18</v>
      </c>
      <c r="O53" t="s">
        <v>52</v>
      </c>
    </row>
    <row r="54" spans="1:15" x14ac:dyDescent="0.3">
      <c r="A54" t="s">
        <v>197</v>
      </c>
      <c r="B54" s="5">
        <v>34</v>
      </c>
      <c r="C54" s="5" t="str" cm="1">
        <f t="array" ref="C54">_xlfn.IFS(worksheet[[#This Row],[age]]&lt;25,"1. Young Adulthood (18-24)",worksheet[[#This Row],[age]]&lt; 35,"2. Early Adulthood (25-34)",worksheet[[#This Row],[age]]&lt; 45,"3. Mid Adulthood (35-44)",worksheet[[#This Row],[age]]&lt; 55,"4. Mature Adulthood (45-54)",TRUE,"5. Late Adulthood/Senior (55+)")</f>
        <v>2. Early Adulthood (25-34)</v>
      </c>
      <c r="D54" t="s">
        <v>41</v>
      </c>
      <c r="E54" t="s">
        <v>32</v>
      </c>
      <c r="F54" s="4">
        <v>12.48</v>
      </c>
      <c r="G54" s="5">
        <v>53</v>
      </c>
      <c r="H54" t="s">
        <v>28</v>
      </c>
      <c r="I54" t="s">
        <v>57</v>
      </c>
      <c r="J54" s="6">
        <v>17.989999999999998</v>
      </c>
      <c r="K54">
        <v>1</v>
      </c>
      <c r="L54" t="s">
        <v>19</v>
      </c>
      <c r="M54" s="5">
        <v>2</v>
      </c>
      <c r="N54" s="4">
        <v>0.23</v>
      </c>
      <c r="O54" t="s">
        <v>47</v>
      </c>
    </row>
    <row r="55" spans="1:15" x14ac:dyDescent="0.3">
      <c r="A55" t="s">
        <v>199</v>
      </c>
      <c r="B55" s="5">
        <v>27</v>
      </c>
      <c r="C55" s="5" t="str" cm="1">
        <f t="array" ref="C55">_xlfn.IFS(worksheet[[#This Row],[age]]&lt;25,"1. Young Adulthood (18-24)",worksheet[[#This Row],[age]]&lt; 35,"2. Early Adulthood (25-34)",worksheet[[#This Row],[age]]&lt; 45,"3. Mid Adulthood (35-44)",worksheet[[#This Row],[age]]&lt; 55,"4. Mature Adulthood (45-54)",TRUE,"5. Late Adulthood/Senior (55+)")</f>
        <v>2. Early Adulthood (25-34)</v>
      </c>
      <c r="D55" t="s">
        <v>15</v>
      </c>
      <c r="E55" t="s">
        <v>32</v>
      </c>
      <c r="F55" s="4">
        <v>4.57</v>
      </c>
      <c r="G55" s="5">
        <v>24</v>
      </c>
      <c r="H55" t="s">
        <v>17</v>
      </c>
      <c r="I55" t="s">
        <v>46</v>
      </c>
      <c r="J55" s="6">
        <v>17.989999999999998</v>
      </c>
      <c r="K55">
        <v>1</v>
      </c>
      <c r="L55" t="s">
        <v>19</v>
      </c>
      <c r="M55" s="5">
        <v>4</v>
      </c>
      <c r="N55" s="4">
        <v>0.18</v>
      </c>
      <c r="O55" t="s">
        <v>52</v>
      </c>
    </row>
    <row r="56" spans="1:15" x14ac:dyDescent="0.3">
      <c r="A56" t="s">
        <v>200</v>
      </c>
      <c r="B56" s="5">
        <v>19</v>
      </c>
      <c r="C56" s="5" t="str" cm="1">
        <f t="array" ref="C56">_xlfn.IFS(worksheet[[#This Row],[age]]&lt;25,"1. Young Adulthood (18-24)",worksheet[[#This Row],[age]]&lt; 35,"2. Early Adulthood (25-34)",worksheet[[#This Row],[age]]&lt; 45,"3. Mid Adulthood (35-44)",worksheet[[#This Row],[age]]&lt; 55,"4. Mature Adulthood (45-54)",TRUE,"5. Late Adulthood/Senior (55+)")</f>
        <v>1. Young Adulthood (18-24)</v>
      </c>
      <c r="D56" t="s">
        <v>41</v>
      </c>
      <c r="E56" t="s">
        <v>22</v>
      </c>
      <c r="F56" s="4">
        <v>19.23</v>
      </c>
      <c r="G56" s="5">
        <v>20</v>
      </c>
      <c r="H56" t="s">
        <v>33</v>
      </c>
      <c r="I56" t="s">
        <v>46</v>
      </c>
      <c r="J56" s="6">
        <v>13.99</v>
      </c>
      <c r="K56">
        <v>0</v>
      </c>
      <c r="L56" t="s">
        <v>37</v>
      </c>
      <c r="M56" s="5">
        <v>3</v>
      </c>
      <c r="N56" s="4">
        <v>0.92</v>
      </c>
      <c r="O56" t="s">
        <v>39</v>
      </c>
    </row>
    <row r="57" spans="1:15" x14ac:dyDescent="0.3">
      <c r="A57" t="s">
        <v>201</v>
      </c>
      <c r="B57" s="5">
        <v>18</v>
      </c>
      <c r="C57" s="5" t="str" cm="1">
        <f t="array" ref="C57">_xlfn.IFS(worksheet[[#This Row],[age]]&lt;25,"1. Young Adulthood (18-24)",worksheet[[#This Row],[age]]&lt; 35,"2. Early Adulthood (25-34)",worksheet[[#This Row],[age]]&lt; 45,"3. Mid Adulthood (35-44)",worksheet[[#This Row],[age]]&lt; 55,"4. Mature Adulthood (45-54)",TRUE,"5. Late Adulthood/Senior (55+)")</f>
        <v>1. Young Adulthood (18-24)</v>
      </c>
      <c r="D57" t="s">
        <v>15</v>
      </c>
      <c r="E57" t="s">
        <v>22</v>
      </c>
      <c r="F57" s="4">
        <v>16.809999999999999</v>
      </c>
      <c r="G57" s="5">
        <v>56</v>
      </c>
      <c r="H57" t="s">
        <v>33</v>
      </c>
      <c r="I57" t="s">
        <v>57</v>
      </c>
      <c r="J57" s="6">
        <v>13.99</v>
      </c>
      <c r="K57">
        <v>1</v>
      </c>
      <c r="L57" t="s">
        <v>61</v>
      </c>
      <c r="M57" s="5">
        <v>2</v>
      </c>
      <c r="N57" s="4">
        <v>0.28999999999999998</v>
      </c>
      <c r="O57" t="s">
        <v>30</v>
      </c>
    </row>
    <row r="58" spans="1:15" x14ac:dyDescent="0.3">
      <c r="A58" t="s">
        <v>202</v>
      </c>
      <c r="B58" s="5">
        <v>23</v>
      </c>
      <c r="C58" s="5" t="str" cm="1">
        <f t="array" ref="C58">_xlfn.IFS(worksheet[[#This Row],[age]]&lt;25,"1. Young Adulthood (18-24)",worksheet[[#This Row],[age]]&lt; 35,"2. Early Adulthood (25-34)",worksheet[[#This Row],[age]]&lt; 45,"3. Mid Adulthood (35-44)",worksheet[[#This Row],[age]]&lt; 55,"4. Mature Adulthood (45-54)",TRUE,"5. Late Adulthood/Senior (55+)")</f>
        <v>1. Young Adulthood (18-24)</v>
      </c>
      <c r="D58" t="s">
        <v>15</v>
      </c>
      <c r="E58" t="s">
        <v>32</v>
      </c>
      <c r="F58" s="4">
        <v>8.17</v>
      </c>
      <c r="G58" s="5">
        <v>38</v>
      </c>
      <c r="H58" t="s">
        <v>23</v>
      </c>
      <c r="I58" t="s">
        <v>55</v>
      </c>
      <c r="J58" s="6">
        <v>17.989999999999998</v>
      </c>
      <c r="K58">
        <v>1</v>
      </c>
      <c r="L58" t="s">
        <v>43</v>
      </c>
      <c r="M58" s="5">
        <v>3</v>
      </c>
      <c r="N58" s="4">
        <v>0.21</v>
      </c>
      <c r="O58" t="s">
        <v>52</v>
      </c>
    </row>
    <row r="59" spans="1:15" x14ac:dyDescent="0.3">
      <c r="A59" t="s">
        <v>203</v>
      </c>
      <c r="B59" s="5">
        <v>23</v>
      </c>
      <c r="C59" s="5" t="str" cm="1">
        <f t="array" ref="C59">_xlfn.IFS(worksheet[[#This Row],[age]]&lt;25,"1. Young Adulthood (18-24)",worksheet[[#This Row],[age]]&lt; 35,"2. Early Adulthood (25-34)",worksheet[[#This Row],[age]]&lt; 45,"3. Mid Adulthood (35-44)",worksheet[[#This Row],[age]]&lt; 55,"4. Mature Adulthood (45-54)",TRUE,"5. Late Adulthood/Senior (55+)")</f>
        <v>1. Young Adulthood (18-24)</v>
      </c>
      <c r="D59" t="s">
        <v>41</v>
      </c>
      <c r="E59" t="s">
        <v>16</v>
      </c>
      <c r="F59" s="4">
        <v>7.09</v>
      </c>
      <c r="G59" s="5">
        <v>32</v>
      </c>
      <c r="H59" t="s">
        <v>23</v>
      </c>
      <c r="I59" t="s">
        <v>18</v>
      </c>
      <c r="J59" s="6">
        <v>8.99</v>
      </c>
      <c r="K59">
        <v>1</v>
      </c>
      <c r="L59" t="s">
        <v>61</v>
      </c>
      <c r="M59" s="5">
        <v>2</v>
      </c>
      <c r="N59" s="4">
        <v>0.21</v>
      </c>
      <c r="O59" t="s">
        <v>39</v>
      </c>
    </row>
    <row r="60" spans="1:15" x14ac:dyDescent="0.3">
      <c r="A60" t="s">
        <v>208</v>
      </c>
      <c r="B60" s="5">
        <v>28</v>
      </c>
      <c r="C60" s="5" t="str" cm="1">
        <f t="array" ref="C60">_xlfn.IFS(worksheet[[#This Row],[age]]&lt;25,"1. Young Adulthood (18-24)",worksheet[[#This Row],[age]]&lt; 35,"2. Early Adulthood (25-34)",worksheet[[#This Row],[age]]&lt; 45,"3. Mid Adulthood (35-44)",worksheet[[#This Row],[age]]&lt; 55,"4. Mature Adulthood (45-54)",TRUE,"5. Late Adulthood/Senior (55+)")</f>
        <v>2. Early Adulthood (25-34)</v>
      </c>
      <c r="D60" t="s">
        <v>41</v>
      </c>
      <c r="E60" t="s">
        <v>16</v>
      </c>
      <c r="F60" s="4">
        <v>11.25</v>
      </c>
      <c r="G60" s="5">
        <v>52</v>
      </c>
      <c r="H60" t="s">
        <v>23</v>
      </c>
      <c r="I60" t="s">
        <v>46</v>
      </c>
      <c r="J60" s="6">
        <v>8.99</v>
      </c>
      <c r="K60">
        <v>1</v>
      </c>
      <c r="L60" t="s">
        <v>43</v>
      </c>
      <c r="M60" s="5">
        <v>5</v>
      </c>
      <c r="N60" s="4">
        <v>0.21</v>
      </c>
      <c r="O60" t="s">
        <v>20</v>
      </c>
    </row>
    <row r="61" spans="1:15" x14ac:dyDescent="0.3">
      <c r="A61" t="s">
        <v>211</v>
      </c>
      <c r="B61" s="5">
        <v>18</v>
      </c>
      <c r="C61" s="5" t="str" cm="1">
        <f t="array" ref="C61">_xlfn.IFS(worksheet[[#This Row],[age]]&lt;25,"1. Young Adulthood (18-24)",worksheet[[#This Row],[age]]&lt; 35,"2. Early Adulthood (25-34)",worksheet[[#This Row],[age]]&lt; 45,"3. Mid Adulthood (35-44)",worksheet[[#This Row],[age]]&lt; 55,"4. Mature Adulthood (45-54)",TRUE,"5. Late Adulthood/Senior (55+)")</f>
        <v>1. Young Adulthood (18-24)</v>
      </c>
      <c r="D61" t="s">
        <v>27</v>
      </c>
      <c r="E61" t="s">
        <v>32</v>
      </c>
      <c r="F61" s="4">
        <v>6.8</v>
      </c>
      <c r="G61" s="5">
        <v>20</v>
      </c>
      <c r="H61" t="s">
        <v>49</v>
      </c>
      <c r="I61" t="s">
        <v>46</v>
      </c>
      <c r="J61" s="6">
        <v>17.989999999999998</v>
      </c>
      <c r="K61">
        <v>0</v>
      </c>
      <c r="L61" t="s">
        <v>61</v>
      </c>
      <c r="M61" s="5">
        <v>4</v>
      </c>
      <c r="N61" s="4">
        <v>0.32</v>
      </c>
      <c r="O61" t="s">
        <v>30</v>
      </c>
    </row>
    <row r="62" spans="1:15" x14ac:dyDescent="0.3">
      <c r="A62" t="s">
        <v>212</v>
      </c>
      <c r="B62" s="5">
        <v>25</v>
      </c>
      <c r="C62" s="5" t="str" cm="1">
        <f t="array" ref="C62">_xlfn.IFS(worksheet[[#This Row],[age]]&lt;25,"1. Young Adulthood (18-24)",worksheet[[#This Row],[age]]&lt; 35,"2. Early Adulthood (25-34)",worksheet[[#This Row],[age]]&lt; 45,"3. Mid Adulthood (35-44)",worksheet[[#This Row],[age]]&lt; 55,"4. Mature Adulthood (45-54)",TRUE,"5. Late Adulthood/Senior (55+)")</f>
        <v>2. Early Adulthood (25-34)</v>
      </c>
      <c r="D62" t="s">
        <v>27</v>
      </c>
      <c r="E62" t="s">
        <v>16</v>
      </c>
      <c r="F62" s="4">
        <v>18.399999999999999</v>
      </c>
      <c r="G62" s="5">
        <v>55</v>
      </c>
      <c r="H62" t="s">
        <v>28</v>
      </c>
      <c r="I62" t="s">
        <v>18</v>
      </c>
      <c r="J62" s="6">
        <v>8.99</v>
      </c>
      <c r="K62">
        <v>1</v>
      </c>
      <c r="L62" t="s">
        <v>37</v>
      </c>
      <c r="M62" s="5">
        <v>4</v>
      </c>
      <c r="N62" s="4">
        <v>0.33</v>
      </c>
      <c r="O62" t="s">
        <v>30</v>
      </c>
    </row>
    <row r="63" spans="1:15" x14ac:dyDescent="0.3">
      <c r="A63" t="s">
        <v>213</v>
      </c>
      <c r="B63" s="5">
        <v>33</v>
      </c>
      <c r="C63" s="5" t="str" cm="1">
        <f t="array" ref="C63">_xlfn.IFS(worksheet[[#This Row],[age]]&lt;25,"1. Young Adulthood (18-24)",worksheet[[#This Row],[age]]&lt; 35,"2. Early Adulthood (25-34)",worksheet[[#This Row],[age]]&lt; 45,"3. Mid Adulthood (35-44)",worksheet[[#This Row],[age]]&lt; 55,"4. Mature Adulthood (45-54)",TRUE,"5. Late Adulthood/Senior (55+)")</f>
        <v>2. Early Adulthood (25-34)</v>
      </c>
      <c r="D63" t="s">
        <v>15</v>
      </c>
      <c r="E63" t="s">
        <v>16</v>
      </c>
      <c r="F63" s="4">
        <v>44.72</v>
      </c>
      <c r="G63" s="5">
        <v>7</v>
      </c>
      <c r="H63" t="s">
        <v>33</v>
      </c>
      <c r="I63" t="s">
        <v>57</v>
      </c>
      <c r="J63" s="6">
        <v>8.99</v>
      </c>
      <c r="K63">
        <v>0</v>
      </c>
      <c r="L63" t="s">
        <v>43</v>
      </c>
      <c r="M63" s="5">
        <v>4</v>
      </c>
      <c r="N63" s="4">
        <v>5.59</v>
      </c>
      <c r="O63" t="s">
        <v>34</v>
      </c>
    </row>
    <row r="64" spans="1:15" x14ac:dyDescent="0.3">
      <c r="A64" t="s">
        <v>214</v>
      </c>
      <c r="B64" s="5">
        <v>30</v>
      </c>
      <c r="C64" s="5" t="str" cm="1">
        <f t="array" ref="C64">_xlfn.IFS(worksheet[[#This Row],[age]]&lt;25,"1. Young Adulthood (18-24)",worksheet[[#This Row],[age]]&lt; 35,"2. Early Adulthood (25-34)",worksheet[[#This Row],[age]]&lt; 45,"3. Mid Adulthood (35-44)",worksheet[[#This Row],[age]]&lt; 55,"4. Mature Adulthood (45-54)",TRUE,"5. Late Adulthood/Senior (55+)")</f>
        <v>2. Early Adulthood (25-34)</v>
      </c>
      <c r="D64" t="s">
        <v>27</v>
      </c>
      <c r="E64" t="s">
        <v>32</v>
      </c>
      <c r="F64" s="4">
        <v>3.61</v>
      </c>
      <c r="G64" s="5">
        <v>43</v>
      </c>
      <c r="H64" t="s">
        <v>17</v>
      </c>
      <c r="I64" t="s">
        <v>57</v>
      </c>
      <c r="J64" s="6">
        <v>17.989999999999998</v>
      </c>
      <c r="K64">
        <v>1</v>
      </c>
      <c r="L64" t="s">
        <v>43</v>
      </c>
      <c r="M64" s="5">
        <v>4</v>
      </c>
      <c r="N64" s="4">
        <v>0.08</v>
      </c>
      <c r="O64" t="s">
        <v>47</v>
      </c>
    </row>
    <row r="65" spans="1:15" x14ac:dyDescent="0.3">
      <c r="A65" t="s">
        <v>215</v>
      </c>
      <c r="B65" s="5">
        <v>22</v>
      </c>
      <c r="C65" s="5" t="str" cm="1">
        <f t="array" ref="C65">_xlfn.IFS(worksheet[[#This Row],[age]]&lt;25,"1. Young Adulthood (18-24)",worksheet[[#This Row],[age]]&lt; 35,"2. Early Adulthood (25-34)",worksheet[[#This Row],[age]]&lt; 45,"3. Mid Adulthood (35-44)",worksheet[[#This Row],[age]]&lt; 55,"4. Mature Adulthood (45-54)",TRUE,"5. Late Adulthood/Senior (55+)")</f>
        <v>1. Young Adulthood (18-24)</v>
      </c>
      <c r="D65" t="s">
        <v>41</v>
      </c>
      <c r="E65" t="s">
        <v>32</v>
      </c>
      <c r="F65" s="4">
        <v>10.68</v>
      </c>
      <c r="G65" s="5">
        <v>60</v>
      </c>
      <c r="H65" t="s">
        <v>17</v>
      </c>
      <c r="I65" t="s">
        <v>57</v>
      </c>
      <c r="J65" s="6">
        <v>17.989999999999998</v>
      </c>
      <c r="K65">
        <v>0</v>
      </c>
      <c r="L65" t="s">
        <v>37</v>
      </c>
      <c r="M65" s="5">
        <v>5</v>
      </c>
      <c r="N65" s="4">
        <v>0.18</v>
      </c>
      <c r="O65" t="s">
        <v>20</v>
      </c>
    </row>
    <row r="66" spans="1:15" x14ac:dyDescent="0.3">
      <c r="A66" t="s">
        <v>219</v>
      </c>
      <c r="B66" s="5">
        <v>24</v>
      </c>
      <c r="C66" s="5" t="str" cm="1">
        <f t="array" ref="C66">_xlfn.IFS(worksheet[[#This Row],[age]]&lt;25,"1. Young Adulthood (18-24)",worksheet[[#This Row],[age]]&lt; 35,"2. Early Adulthood (25-34)",worksheet[[#This Row],[age]]&lt; 45,"3. Mid Adulthood (35-44)",worksheet[[#This Row],[age]]&lt; 55,"4. Mature Adulthood (45-54)",TRUE,"5. Late Adulthood/Senior (55+)")</f>
        <v>1. Young Adulthood (18-24)</v>
      </c>
      <c r="D66" t="s">
        <v>27</v>
      </c>
      <c r="E66" t="s">
        <v>16</v>
      </c>
      <c r="F66" s="4">
        <v>47.9</v>
      </c>
      <c r="G66" s="5">
        <v>21</v>
      </c>
      <c r="H66" t="s">
        <v>33</v>
      </c>
      <c r="I66" t="s">
        <v>46</v>
      </c>
      <c r="J66" s="6">
        <v>8.99</v>
      </c>
      <c r="K66">
        <v>0</v>
      </c>
      <c r="L66" t="s">
        <v>37</v>
      </c>
      <c r="M66" s="5">
        <v>4</v>
      </c>
      <c r="N66" s="4">
        <v>2.1800000000000002</v>
      </c>
      <c r="O66" t="s">
        <v>39</v>
      </c>
    </row>
    <row r="67" spans="1:15" x14ac:dyDescent="0.3">
      <c r="A67" t="s">
        <v>220</v>
      </c>
      <c r="B67" s="5">
        <v>34</v>
      </c>
      <c r="C67" s="5" t="str" cm="1">
        <f t="array" ref="C67">_xlfn.IFS(worksheet[[#This Row],[age]]&lt;25,"1. Young Adulthood (18-24)",worksheet[[#This Row],[age]]&lt; 35,"2. Early Adulthood (25-34)",worksheet[[#This Row],[age]]&lt; 45,"3. Mid Adulthood (35-44)",worksheet[[#This Row],[age]]&lt; 55,"4. Mature Adulthood (45-54)",TRUE,"5. Late Adulthood/Senior (55+)")</f>
        <v>2. Early Adulthood (25-34)</v>
      </c>
      <c r="D67" t="s">
        <v>27</v>
      </c>
      <c r="E67" t="s">
        <v>22</v>
      </c>
      <c r="F67" s="4">
        <v>3.85</v>
      </c>
      <c r="G67" s="5">
        <v>55</v>
      </c>
      <c r="H67" t="s">
        <v>49</v>
      </c>
      <c r="I67" t="s">
        <v>55</v>
      </c>
      <c r="J67" s="6">
        <v>13.99</v>
      </c>
      <c r="K67">
        <v>1</v>
      </c>
      <c r="L67" t="s">
        <v>19</v>
      </c>
      <c r="M67" s="5">
        <v>3</v>
      </c>
      <c r="N67" s="4">
        <v>7.0000000000000007E-2</v>
      </c>
      <c r="O67" t="s">
        <v>39</v>
      </c>
    </row>
    <row r="68" spans="1:15" x14ac:dyDescent="0.3">
      <c r="A68" t="s">
        <v>222</v>
      </c>
      <c r="B68" s="5">
        <v>29</v>
      </c>
      <c r="C68" s="5" t="str" cm="1">
        <f t="array" ref="C68">_xlfn.IFS(worksheet[[#This Row],[age]]&lt;25,"1. Young Adulthood (18-24)",worksheet[[#This Row],[age]]&lt; 35,"2. Early Adulthood (25-34)",worksheet[[#This Row],[age]]&lt; 45,"3. Mid Adulthood (35-44)",worksheet[[#This Row],[age]]&lt; 55,"4. Mature Adulthood (45-54)",TRUE,"5. Late Adulthood/Senior (55+)")</f>
        <v>2. Early Adulthood (25-34)</v>
      </c>
      <c r="D68" t="s">
        <v>27</v>
      </c>
      <c r="E68" t="s">
        <v>22</v>
      </c>
      <c r="F68" s="4">
        <v>7.46</v>
      </c>
      <c r="G68" s="5">
        <v>58</v>
      </c>
      <c r="H68" t="s">
        <v>28</v>
      </c>
      <c r="I68" t="s">
        <v>57</v>
      </c>
      <c r="J68" s="6">
        <v>13.99</v>
      </c>
      <c r="K68">
        <v>0</v>
      </c>
      <c r="L68" t="s">
        <v>61</v>
      </c>
      <c r="M68" s="5">
        <v>5</v>
      </c>
      <c r="N68" s="4">
        <v>0.13</v>
      </c>
      <c r="O68" t="s">
        <v>30</v>
      </c>
    </row>
    <row r="69" spans="1:15" x14ac:dyDescent="0.3">
      <c r="A69" t="s">
        <v>224</v>
      </c>
      <c r="B69" s="5">
        <v>20</v>
      </c>
      <c r="C69" s="5" t="str" cm="1">
        <f t="array" ref="C69">_xlfn.IFS(worksheet[[#This Row],[age]]&lt;25,"1. Young Adulthood (18-24)",worksheet[[#This Row],[age]]&lt; 35,"2. Early Adulthood (25-34)",worksheet[[#This Row],[age]]&lt; 45,"3. Mid Adulthood (35-44)",worksheet[[#This Row],[age]]&lt; 55,"4. Mature Adulthood (45-54)",TRUE,"5. Late Adulthood/Senior (55+)")</f>
        <v>1. Young Adulthood (18-24)</v>
      </c>
      <c r="D69" t="s">
        <v>27</v>
      </c>
      <c r="E69" t="s">
        <v>32</v>
      </c>
      <c r="F69" s="4">
        <v>4.57</v>
      </c>
      <c r="G69" s="5">
        <v>17</v>
      </c>
      <c r="H69" t="s">
        <v>49</v>
      </c>
      <c r="I69" t="s">
        <v>46</v>
      </c>
      <c r="J69" s="6">
        <v>17.989999999999998</v>
      </c>
      <c r="K69">
        <v>1</v>
      </c>
      <c r="L69" t="s">
        <v>19</v>
      </c>
      <c r="M69" s="5">
        <v>1</v>
      </c>
      <c r="N69" s="4">
        <v>0.25</v>
      </c>
      <c r="O69" t="s">
        <v>47</v>
      </c>
    </row>
    <row r="70" spans="1:15" x14ac:dyDescent="0.3">
      <c r="A70" t="s">
        <v>226</v>
      </c>
      <c r="B70" s="5">
        <v>25</v>
      </c>
      <c r="C70" s="5" t="str" cm="1">
        <f t="array" ref="C70">_xlfn.IFS(worksheet[[#This Row],[age]]&lt;25,"1. Young Adulthood (18-24)",worksheet[[#This Row],[age]]&lt; 35,"2. Early Adulthood (25-34)",worksheet[[#This Row],[age]]&lt; 45,"3. Mid Adulthood (35-44)",worksheet[[#This Row],[age]]&lt; 55,"4. Mature Adulthood (45-54)",TRUE,"5. Late Adulthood/Senior (55+)")</f>
        <v>2. Early Adulthood (25-34)</v>
      </c>
      <c r="D70" t="s">
        <v>15</v>
      </c>
      <c r="E70" t="s">
        <v>22</v>
      </c>
      <c r="F70" s="4">
        <v>6.71</v>
      </c>
      <c r="G70" s="5">
        <v>2</v>
      </c>
      <c r="H70" t="s">
        <v>17</v>
      </c>
      <c r="I70" t="s">
        <v>57</v>
      </c>
      <c r="J70" s="6">
        <v>13.99</v>
      </c>
      <c r="K70">
        <v>0</v>
      </c>
      <c r="L70" t="s">
        <v>61</v>
      </c>
      <c r="M70" s="5">
        <v>4</v>
      </c>
      <c r="N70" s="4">
        <v>2.2400000000000002</v>
      </c>
      <c r="O70" t="s">
        <v>25</v>
      </c>
    </row>
    <row r="71" spans="1:15" x14ac:dyDescent="0.3">
      <c r="A71" t="s">
        <v>230</v>
      </c>
      <c r="B71" s="5">
        <v>34</v>
      </c>
      <c r="C71" s="5" t="str" cm="1">
        <f t="array" ref="C71">_xlfn.IFS(worksheet[[#This Row],[age]]&lt;25,"1. Young Adulthood (18-24)",worksheet[[#This Row],[age]]&lt; 35,"2. Early Adulthood (25-34)",worksheet[[#This Row],[age]]&lt; 45,"3. Mid Adulthood (35-44)",worksheet[[#This Row],[age]]&lt; 55,"4. Mature Adulthood (45-54)",TRUE,"5. Late Adulthood/Senior (55+)")</f>
        <v>2. Early Adulthood (25-34)</v>
      </c>
      <c r="D71" t="s">
        <v>27</v>
      </c>
      <c r="E71" t="s">
        <v>22</v>
      </c>
      <c r="F71" s="4">
        <v>28.76</v>
      </c>
      <c r="G71" s="5">
        <v>11</v>
      </c>
      <c r="H71" t="s">
        <v>70</v>
      </c>
      <c r="I71" t="s">
        <v>24</v>
      </c>
      <c r="J71" s="6">
        <v>13.99</v>
      </c>
      <c r="K71">
        <v>0</v>
      </c>
      <c r="L71" t="s">
        <v>43</v>
      </c>
      <c r="M71" s="5">
        <v>2</v>
      </c>
      <c r="N71" s="4">
        <v>2.4</v>
      </c>
      <c r="O71" t="s">
        <v>52</v>
      </c>
    </row>
    <row r="72" spans="1:15" x14ac:dyDescent="0.3">
      <c r="A72" t="s">
        <v>236</v>
      </c>
      <c r="B72" s="5">
        <v>31</v>
      </c>
      <c r="C72" s="5" t="str" cm="1">
        <f t="array" ref="C72">_xlfn.IFS(worksheet[[#This Row],[age]]&lt;25,"1. Young Adulthood (18-24)",worksheet[[#This Row],[age]]&lt; 35,"2. Early Adulthood (25-34)",worksheet[[#This Row],[age]]&lt; 45,"3. Mid Adulthood (35-44)",worksheet[[#This Row],[age]]&lt; 55,"4. Mature Adulthood (45-54)",TRUE,"5. Late Adulthood/Senior (55+)")</f>
        <v>2. Early Adulthood (25-34)</v>
      </c>
      <c r="D72" t="s">
        <v>41</v>
      </c>
      <c r="E72" t="s">
        <v>16</v>
      </c>
      <c r="F72" s="4">
        <v>11.05</v>
      </c>
      <c r="G72" s="5">
        <v>51</v>
      </c>
      <c r="H72" t="s">
        <v>70</v>
      </c>
      <c r="I72" t="s">
        <v>18</v>
      </c>
      <c r="J72" s="6">
        <v>8.99</v>
      </c>
      <c r="K72">
        <v>1</v>
      </c>
      <c r="L72" t="s">
        <v>43</v>
      </c>
      <c r="M72" s="5">
        <v>1</v>
      </c>
      <c r="N72" s="4">
        <v>0.21</v>
      </c>
      <c r="O72" t="s">
        <v>34</v>
      </c>
    </row>
    <row r="73" spans="1:15" x14ac:dyDescent="0.3">
      <c r="A73" t="s">
        <v>237</v>
      </c>
      <c r="B73" s="5">
        <v>30</v>
      </c>
      <c r="C73" s="5" t="str" cm="1">
        <f t="array" ref="C73">_xlfn.IFS(worksheet[[#This Row],[age]]&lt;25,"1. Young Adulthood (18-24)",worksheet[[#This Row],[age]]&lt; 35,"2. Early Adulthood (25-34)",worksheet[[#This Row],[age]]&lt; 45,"3. Mid Adulthood (35-44)",worksheet[[#This Row],[age]]&lt; 55,"4. Mature Adulthood (45-54)",TRUE,"5. Late Adulthood/Senior (55+)")</f>
        <v>2. Early Adulthood (25-34)</v>
      </c>
      <c r="D73" t="s">
        <v>15</v>
      </c>
      <c r="E73" t="s">
        <v>22</v>
      </c>
      <c r="F73" s="4">
        <v>17.22</v>
      </c>
      <c r="G73" s="5">
        <v>5</v>
      </c>
      <c r="H73" t="s">
        <v>49</v>
      </c>
      <c r="I73" t="s">
        <v>46</v>
      </c>
      <c r="J73" s="6">
        <v>13.99</v>
      </c>
      <c r="K73">
        <v>0</v>
      </c>
      <c r="L73" t="s">
        <v>43</v>
      </c>
      <c r="M73" s="5">
        <v>1</v>
      </c>
      <c r="N73" s="4">
        <v>2.87</v>
      </c>
      <c r="O73" t="s">
        <v>34</v>
      </c>
    </row>
    <row r="74" spans="1:15" x14ac:dyDescent="0.3">
      <c r="A74" t="s">
        <v>242</v>
      </c>
      <c r="B74" s="5">
        <v>18</v>
      </c>
      <c r="C74" s="5" t="str" cm="1">
        <f t="array" ref="C74">_xlfn.IFS(worksheet[[#This Row],[age]]&lt;25,"1. Young Adulthood (18-24)",worksheet[[#This Row],[age]]&lt; 35,"2. Early Adulthood (25-34)",worksheet[[#This Row],[age]]&lt; 45,"3. Mid Adulthood (35-44)",worksheet[[#This Row],[age]]&lt; 55,"4. Mature Adulthood (45-54)",TRUE,"5. Late Adulthood/Senior (55+)")</f>
        <v>1. Young Adulthood (18-24)</v>
      </c>
      <c r="D74" t="s">
        <v>15</v>
      </c>
      <c r="E74" t="s">
        <v>32</v>
      </c>
      <c r="F74" s="4">
        <v>17.75</v>
      </c>
      <c r="G74" s="5">
        <v>9</v>
      </c>
      <c r="H74" t="s">
        <v>33</v>
      </c>
      <c r="I74" t="s">
        <v>55</v>
      </c>
      <c r="J74" s="6">
        <v>17.989999999999998</v>
      </c>
      <c r="K74">
        <v>0</v>
      </c>
      <c r="L74" t="s">
        <v>19</v>
      </c>
      <c r="M74" s="5">
        <v>1</v>
      </c>
      <c r="N74" s="4">
        <v>1.77</v>
      </c>
      <c r="O74" t="s">
        <v>47</v>
      </c>
    </row>
    <row r="75" spans="1:15" x14ac:dyDescent="0.3">
      <c r="A75" t="s">
        <v>244</v>
      </c>
      <c r="B75" s="5">
        <v>23</v>
      </c>
      <c r="C75" s="5" t="str" cm="1">
        <f t="array" ref="C75">_xlfn.IFS(worksheet[[#This Row],[age]]&lt;25,"1. Young Adulthood (18-24)",worksheet[[#This Row],[age]]&lt; 35,"2. Early Adulthood (25-34)",worksheet[[#This Row],[age]]&lt; 45,"3. Mid Adulthood (35-44)",worksheet[[#This Row],[age]]&lt; 55,"4. Mature Adulthood (45-54)",TRUE,"5. Late Adulthood/Senior (55+)")</f>
        <v>1. Young Adulthood (18-24)</v>
      </c>
      <c r="D75" t="s">
        <v>41</v>
      </c>
      <c r="E75" t="s">
        <v>32</v>
      </c>
      <c r="F75" s="4">
        <v>10.39</v>
      </c>
      <c r="G75" s="5">
        <v>2</v>
      </c>
      <c r="H75" t="s">
        <v>70</v>
      </c>
      <c r="I75" t="s">
        <v>18</v>
      </c>
      <c r="J75" s="6">
        <v>17.989999999999998</v>
      </c>
      <c r="K75">
        <v>0</v>
      </c>
      <c r="L75" t="s">
        <v>43</v>
      </c>
      <c r="M75" s="5">
        <v>4</v>
      </c>
      <c r="N75" s="4">
        <v>3.46</v>
      </c>
      <c r="O75" t="s">
        <v>39</v>
      </c>
    </row>
    <row r="76" spans="1:15" x14ac:dyDescent="0.3">
      <c r="A76" t="s">
        <v>245</v>
      </c>
      <c r="B76" s="5">
        <v>23</v>
      </c>
      <c r="C76" s="5" t="str" cm="1">
        <f t="array" ref="C76">_xlfn.IFS(worksheet[[#This Row],[age]]&lt;25,"1. Young Adulthood (18-24)",worksheet[[#This Row],[age]]&lt; 35,"2. Early Adulthood (25-34)",worksheet[[#This Row],[age]]&lt; 45,"3. Mid Adulthood (35-44)",worksheet[[#This Row],[age]]&lt; 55,"4. Mature Adulthood (45-54)",TRUE,"5. Late Adulthood/Senior (55+)")</f>
        <v>1. Young Adulthood (18-24)</v>
      </c>
      <c r="D76" t="s">
        <v>27</v>
      </c>
      <c r="E76" t="s">
        <v>16</v>
      </c>
      <c r="F76" s="4">
        <v>18.25</v>
      </c>
      <c r="G76" s="5">
        <v>30</v>
      </c>
      <c r="H76" t="s">
        <v>49</v>
      </c>
      <c r="I76" t="s">
        <v>24</v>
      </c>
      <c r="J76" s="6">
        <v>8.99</v>
      </c>
      <c r="K76">
        <v>0</v>
      </c>
      <c r="L76" t="s">
        <v>29</v>
      </c>
      <c r="M76" s="5">
        <v>5</v>
      </c>
      <c r="N76" s="4">
        <v>0.59</v>
      </c>
      <c r="O76" t="s">
        <v>52</v>
      </c>
    </row>
    <row r="77" spans="1:15" x14ac:dyDescent="0.3">
      <c r="A77" t="s">
        <v>251</v>
      </c>
      <c r="B77" s="5">
        <v>34</v>
      </c>
      <c r="C77" s="5" t="str" cm="1">
        <f t="array" ref="C77">_xlfn.IFS(worksheet[[#This Row],[age]]&lt;25,"1. Young Adulthood (18-24)",worksheet[[#This Row],[age]]&lt; 35,"2. Early Adulthood (25-34)",worksheet[[#This Row],[age]]&lt; 45,"3. Mid Adulthood (35-44)",worksheet[[#This Row],[age]]&lt; 55,"4. Mature Adulthood (45-54)",TRUE,"5. Late Adulthood/Senior (55+)")</f>
        <v>2. Early Adulthood (25-34)</v>
      </c>
      <c r="D77" t="s">
        <v>41</v>
      </c>
      <c r="E77" t="s">
        <v>32</v>
      </c>
      <c r="F77" s="4">
        <v>70.61</v>
      </c>
      <c r="G77" s="5">
        <v>38</v>
      </c>
      <c r="H77" t="s">
        <v>33</v>
      </c>
      <c r="I77" t="s">
        <v>18</v>
      </c>
      <c r="J77" s="6">
        <v>17.989999999999998</v>
      </c>
      <c r="K77">
        <v>0</v>
      </c>
      <c r="L77" t="s">
        <v>61</v>
      </c>
      <c r="M77" s="5">
        <v>5</v>
      </c>
      <c r="N77" s="4">
        <v>1.81</v>
      </c>
      <c r="O77" t="s">
        <v>47</v>
      </c>
    </row>
    <row r="78" spans="1:15" x14ac:dyDescent="0.3">
      <c r="A78" t="s">
        <v>259</v>
      </c>
      <c r="B78" s="5">
        <v>34</v>
      </c>
      <c r="C78" s="5" t="str" cm="1">
        <f t="array" ref="C78">_xlfn.IFS(worksheet[[#This Row],[age]]&lt;25,"1. Young Adulthood (18-24)",worksheet[[#This Row],[age]]&lt; 35,"2. Early Adulthood (25-34)",worksheet[[#This Row],[age]]&lt; 45,"3. Mid Adulthood (35-44)",worksheet[[#This Row],[age]]&lt; 55,"4. Mature Adulthood (45-54)",TRUE,"5. Late Adulthood/Senior (55+)")</f>
        <v>2. Early Adulthood (25-34)</v>
      </c>
      <c r="D78" t="s">
        <v>27</v>
      </c>
      <c r="E78" t="s">
        <v>22</v>
      </c>
      <c r="F78" s="4">
        <v>0.68</v>
      </c>
      <c r="G78" s="5">
        <v>42</v>
      </c>
      <c r="H78" t="s">
        <v>17</v>
      </c>
      <c r="I78" t="s">
        <v>55</v>
      </c>
      <c r="J78" s="6">
        <v>13.99</v>
      </c>
      <c r="K78">
        <v>1</v>
      </c>
      <c r="L78" t="s">
        <v>29</v>
      </c>
      <c r="M78" s="5">
        <v>2</v>
      </c>
      <c r="N78" s="4">
        <v>0.02</v>
      </c>
      <c r="O78" t="s">
        <v>47</v>
      </c>
    </row>
    <row r="79" spans="1:15" x14ac:dyDescent="0.3">
      <c r="A79" t="s">
        <v>262</v>
      </c>
      <c r="B79" s="5">
        <v>24</v>
      </c>
      <c r="C79" s="5" t="str" cm="1">
        <f t="array" ref="C79">_xlfn.IFS(worksheet[[#This Row],[age]]&lt;25,"1. Young Adulthood (18-24)",worksheet[[#This Row],[age]]&lt; 35,"2. Early Adulthood (25-34)",worksheet[[#This Row],[age]]&lt; 45,"3. Mid Adulthood (35-44)",worksheet[[#This Row],[age]]&lt; 55,"4. Mature Adulthood (45-54)",TRUE,"5. Late Adulthood/Senior (55+)")</f>
        <v>1. Young Adulthood (18-24)</v>
      </c>
      <c r="D79" t="s">
        <v>27</v>
      </c>
      <c r="E79" t="s">
        <v>32</v>
      </c>
      <c r="F79" s="4">
        <v>11.67</v>
      </c>
      <c r="G79" s="5">
        <v>31</v>
      </c>
      <c r="H79" t="s">
        <v>33</v>
      </c>
      <c r="I79" t="s">
        <v>24</v>
      </c>
      <c r="J79" s="6">
        <v>17.989999999999998</v>
      </c>
      <c r="K79">
        <v>1</v>
      </c>
      <c r="L79" t="s">
        <v>29</v>
      </c>
      <c r="M79" s="5">
        <v>3</v>
      </c>
      <c r="N79" s="4">
        <v>0.36</v>
      </c>
      <c r="O79" t="s">
        <v>25</v>
      </c>
    </row>
    <row r="80" spans="1:15" x14ac:dyDescent="0.3">
      <c r="A80" t="s">
        <v>271</v>
      </c>
      <c r="B80" s="5">
        <v>23</v>
      </c>
      <c r="C80" s="5" t="str" cm="1">
        <f t="array" ref="C80">_xlfn.IFS(worksheet[[#This Row],[age]]&lt;25,"1. Young Adulthood (18-24)",worksheet[[#This Row],[age]]&lt; 35,"2. Early Adulthood (25-34)",worksheet[[#This Row],[age]]&lt; 45,"3. Mid Adulthood (35-44)",worksheet[[#This Row],[age]]&lt; 55,"4. Mature Adulthood (45-54)",TRUE,"5. Late Adulthood/Senior (55+)")</f>
        <v>1. Young Adulthood (18-24)</v>
      </c>
      <c r="D80" t="s">
        <v>27</v>
      </c>
      <c r="E80" t="s">
        <v>32</v>
      </c>
      <c r="F80" s="4">
        <v>11.54</v>
      </c>
      <c r="G80" s="5">
        <v>28</v>
      </c>
      <c r="H80" t="s">
        <v>23</v>
      </c>
      <c r="I80" t="s">
        <v>46</v>
      </c>
      <c r="J80" s="6">
        <v>17.989999999999998</v>
      </c>
      <c r="K80">
        <v>0</v>
      </c>
      <c r="L80" t="s">
        <v>19</v>
      </c>
      <c r="M80" s="5">
        <v>5</v>
      </c>
      <c r="N80" s="4">
        <v>0.4</v>
      </c>
      <c r="O80" t="s">
        <v>25</v>
      </c>
    </row>
    <row r="81" spans="1:15" x14ac:dyDescent="0.3">
      <c r="A81" t="s">
        <v>276</v>
      </c>
      <c r="B81" s="5">
        <v>33</v>
      </c>
      <c r="C81" s="5" t="str" cm="1">
        <f t="array" ref="C81">_xlfn.IFS(worksheet[[#This Row],[age]]&lt;25,"1. Young Adulthood (18-24)",worksheet[[#This Row],[age]]&lt; 35,"2. Early Adulthood (25-34)",worksheet[[#This Row],[age]]&lt; 45,"3. Mid Adulthood (35-44)",worksheet[[#This Row],[age]]&lt; 55,"4. Mature Adulthood (45-54)",TRUE,"5. Late Adulthood/Senior (55+)")</f>
        <v>2. Early Adulthood (25-34)</v>
      </c>
      <c r="D81" t="s">
        <v>27</v>
      </c>
      <c r="E81" t="s">
        <v>16</v>
      </c>
      <c r="F81" s="4">
        <v>0.14000000000000001</v>
      </c>
      <c r="G81" s="5">
        <v>37</v>
      </c>
      <c r="H81" t="s">
        <v>23</v>
      </c>
      <c r="I81" t="s">
        <v>18</v>
      </c>
      <c r="J81" s="6">
        <v>8.99</v>
      </c>
      <c r="K81">
        <v>1</v>
      </c>
      <c r="L81" t="s">
        <v>43</v>
      </c>
      <c r="M81" s="5">
        <v>5</v>
      </c>
      <c r="N81" s="4">
        <v>0</v>
      </c>
      <c r="O81" t="s">
        <v>25</v>
      </c>
    </row>
    <row r="82" spans="1:15" x14ac:dyDescent="0.3">
      <c r="A82" t="s">
        <v>277</v>
      </c>
      <c r="B82" s="5">
        <v>26</v>
      </c>
      <c r="C82" s="5" t="str" cm="1">
        <f t="array" ref="C82">_xlfn.IFS(worksheet[[#This Row],[age]]&lt;25,"1. Young Adulthood (18-24)",worksheet[[#This Row],[age]]&lt; 35,"2. Early Adulthood (25-34)",worksheet[[#This Row],[age]]&lt; 45,"3. Mid Adulthood (35-44)",worksheet[[#This Row],[age]]&lt; 55,"4. Mature Adulthood (45-54)",TRUE,"5. Late Adulthood/Senior (55+)")</f>
        <v>2. Early Adulthood (25-34)</v>
      </c>
      <c r="D82" t="s">
        <v>15</v>
      </c>
      <c r="E82" t="s">
        <v>32</v>
      </c>
      <c r="F82" s="4">
        <v>19.48</v>
      </c>
      <c r="G82" s="5">
        <v>35</v>
      </c>
      <c r="H82" t="s">
        <v>33</v>
      </c>
      <c r="I82" t="s">
        <v>46</v>
      </c>
      <c r="J82" s="6">
        <v>17.989999999999998</v>
      </c>
      <c r="K82">
        <v>0</v>
      </c>
      <c r="L82" t="s">
        <v>43</v>
      </c>
      <c r="M82" s="5">
        <v>5</v>
      </c>
      <c r="N82" s="4">
        <v>0.54</v>
      </c>
      <c r="O82" t="s">
        <v>34</v>
      </c>
    </row>
    <row r="83" spans="1:15" x14ac:dyDescent="0.3">
      <c r="A83" t="s">
        <v>284</v>
      </c>
      <c r="B83" s="5">
        <v>34</v>
      </c>
      <c r="C83" s="5" t="str" cm="1">
        <f t="array" ref="C83">_xlfn.IFS(worksheet[[#This Row],[age]]&lt;25,"1. Young Adulthood (18-24)",worksheet[[#This Row],[age]]&lt; 35,"2. Early Adulthood (25-34)",worksheet[[#This Row],[age]]&lt; 45,"3. Mid Adulthood (35-44)",worksheet[[#This Row],[age]]&lt; 55,"4. Mature Adulthood (45-54)",TRUE,"5. Late Adulthood/Senior (55+)")</f>
        <v>2. Early Adulthood (25-34)</v>
      </c>
      <c r="D83" t="s">
        <v>41</v>
      </c>
      <c r="E83" t="s">
        <v>22</v>
      </c>
      <c r="F83" s="4">
        <v>6.33</v>
      </c>
      <c r="G83" s="5">
        <v>49</v>
      </c>
      <c r="H83" t="s">
        <v>23</v>
      </c>
      <c r="I83" t="s">
        <v>46</v>
      </c>
      <c r="J83" s="6">
        <v>13.99</v>
      </c>
      <c r="K83">
        <v>0</v>
      </c>
      <c r="L83" t="s">
        <v>37</v>
      </c>
      <c r="M83" s="5">
        <v>4</v>
      </c>
      <c r="N83" s="4">
        <v>0.13</v>
      </c>
      <c r="O83" t="s">
        <v>20</v>
      </c>
    </row>
    <row r="84" spans="1:15" x14ac:dyDescent="0.3">
      <c r="A84" t="s">
        <v>288</v>
      </c>
      <c r="B84" s="5">
        <v>22</v>
      </c>
      <c r="C84" s="5" t="str" cm="1">
        <f t="array" ref="C84">_xlfn.IFS(worksheet[[#This Row],[age]]&lt;25,"1. Young Adulthood (18-24)",worksheet[[#This Row],[age]]&lt; 35,"2. Early Adulthood (25-34)",worksheet[[#This Row],[age]]&lt; 45,"3. Mid Adulthood (35-44)",worksheet[[#This Row],[age]]&lt; 55,"4. Mature Adulthood (45-54)",TRUE,"5. Late Adulthood/Senior (55+)")</f>
        <v>1. Young Adulthood (18-24)</v>
      </c>
      <c r="D84" t="s">
        <v>15</v>
      </c>
      <c r="E84" t="s">
        <v>16</v>
      </c>
      <c r="F84" s="4">
        <v>26.28</v>
      </c>
      <c r="G84" s="5">
        <v>48</v>
      </c>
      <c r="H84" t="s">
        <v>23</v>
      </c>
      <c r="I84" t="s">
        <v>18</v>
      </c>
      <c r="J84" s="6">
        <v>8.99</v>
      </c>
      <c r="K84">
        <v>0</v>
      </c>
      <c r="L84" t="s">
        <v>29</v>
      </c>
      <c r="M84" s="5">
        <v>3</v>
      </c>
      <c r="N84" s="4">
        <v>0.54</v>
      </c>
      <c r="O84" t="s">
        <v>25</v>
      </c>
    </row>
    <row r="85" spans="1:15" x14ac:dyDescent="0.3">
      <c r="A85" t="s">
        <v>291</v>
      </c>
      <c r="B85" s="5">
        <v>32</v>
      </c>
      <c r="C85" s="5" t="str" cm="1">
        <f t="array" ref="C85">_xlfn.IFS(worksheet[[#This Row],[age]]&lt;25,"1. Young Adulthood (18-24)",worksheet[[#This Row],[age]]&lt; 35,"2. Early Adulthood (25-34)",worksheet[[#This Row],[age]]&lt; 45,"3. Mid Adulthood (35-44)",worksheet[[#This Row],[age]]&lt; 55,"4. Mature Adulthood (45-54)",TRUE,"5. Late Adulthood/Senior (55+)")</f>
        <v>2. Early Adulthood (25-34)</v>
      </c>
      <c r="D85" t="s">
        <v>15</v>
      </c>
      <c r="E85" t="s">
        <v>32</v>
      </c>
      <c r="F85" s="4">
        <v>16.39</v>
      </c>
      <c r="G85" s="5">
        <v>27</v>
      </c>
      <c r="H85" t="s">
        <v>23</v>
      </c>
      <c r="I85" t="s">
        <v>55</v>
      </c>
      <c r="J85" s="6">
        <v>17.989999999999998</v>
      </c>
      <c r="K85">
        <v>0</v>
      </c>
      <c r="L85" t="s">
        <v>19</v>
      </c>
      <c r="M85" s="5">
        <v>5</v>
      </c>
      <c r="N85" s="4">
        <v>0.59</v>
      </c>
      <c r="O85" t="s">
        <v>34</v>
      </c>
    </row>
    <row r="86" spans="1:15" x14ac:dyDescent="0.3">
      <c r="A86" t="s">
        <v>297</v>
      </c>
      <c r="B86" s="5">
        <v>34</v>
      </c>
      <c r="C86" s="5" t="str" cm="1">
        <f t="array" ref="C86">_xlfn.IFS(worksheet[[#This Row],[age]]&lt;25,"1. Young Adulthood (18-24)",worksheet[[#This Row],[age]]&lt; 35,"2. Early Adulthood (25-34)",worksheet[[#This Row],[age]]&lt; 45,"3. Mid Adulthood (35-44)",worksheet[[#This Row],[age]]&lt; 55,"4. Mature Adulthood (45-54)",TRUE,"5. Late Adulthood/Senior (55+)")</f>
        <v>2. Early Adulthood (25-34)</v>
      </c>
      <c r="D86" t="s">
        <v>41</v>
      </c>
      <c r="E86" t="s">
        <v>32</v>
      </c>
      <c r="F86" s="4">
        <v>0.33</v>
      </c>
      <c r="G86" s="5">
        <v>7</v>
      </c>
      <c r="H86" t="s">
        <v>28</v>
      </c>
      <c r="I86" t="s">
        <v>57</v>
      </c>
      <c r="J86" s="6">
        <v>17.989999999999998</v>
      </c>
      <c r="K86">
        <v>1</v>
      </c>
      <c r="L86" t="s">
        <v>19</v>
      </c>
      <c r="M86" s="5">
        <v>2</v>
      </c>
      <c r="N86" s="4">
        <v>0.04</v>
      </c>
      <c r="O86" t="s">
        <v>34</v>
      </c>
    </row>
    <row r="87" spans="1:15" x14ac:dyDescent="0.3">
      <c r="A87" t="s">
        <v>298</v>
      </c>
      <c r="B87" s="5">
        <v>28</v>
      </c>
      <c r="C87" s="5" t="str" cm="1">
        <f t="array" ref="C87">_xlfn.IFS(worksheet[[#This Row],[age]]&lt;25,"1. Young Adulthood (18-24)",worksheet[[#This Row],[age]]&lt; 35,"2. Early Adulthood (25-34)",worksheet[[#This Row],[age]]&lt; 45,"3. Mid Adulthood (35-44)",worksheet[[#This Row],[age]]&lt; 55,"4. Mature Adulthood (45-54)",TRUE,"5. Late Adulthood/Senior (55+)")</f>
        <v>2. Early Adulthood (25-34)</v>
      </c>
      <c r="D87" t="s">
        <v>15</v>
      </c>
      <c r="E87" t="s">
        <v>32</v>
      </c>
      <c r="F87" s="4">
        <v>5.03</v>
      </c>
      <c r="G87" s="5">
        <v>59</v>
      </c>
      <c r="H87" t="s">
        <v>33</v>
      </c>
      <c r="I87" t="s">
        <v>18</v>
      </c>
      <c r="J87" s="6">
        <v>17.989999999999998</v>
      </c>
      <c r="K87">
        <v>1</v>
      </c>
      <c r="L87" t="s">
        <v>29</v>
      </c>
      <c r="M87" s="5">
        <v>1</v>
      </c>
      <c r="N87" s="4">
        <v>0.08</v>
      </c>
      <c r="O87" t="s">
        <v>30</v>
      </c>
    </row>
    <row r="88" spans="1:15" x14ac:dyDescent="0.3">
      <c r="A88" t="s">
        <v>300</v>
      </c>
      <c r="B88" s="5">
        <v>23</v>
      </c>
      <c r="C88" s="5" t="str" cm="1">
        <f t="array" ref="C88">_xlfn.IFS(worksheet[[#This Row],[age]]&lt;25,"1. Young Adulthood (18-24)",worksheet[[#This Row],[age]]&lt; 35,"2. Early Adulthood (25-34)",worksheet[[#This Row],[age]]&lt; 45,"3. Mid Adulthood (35-44)",worksheet[[#This Row],[age]]&lt; 55,"4. Mature Adulthood (45-54)",TRUE,"5. Late Adulthood/Senior (55+)")</f>
        <v>1. Young Adulthood (18-24)</v>
      </c>
      <c r="D88" t="s">
        <v>15</v>
      </c>
      <c r="E88" t="s">
        <v>32</v>
      </c>
      <c r="F88" s="4">
        <v>3.51</v>
      </c>
      <c r="G88" s="5">
        <v>16</v>
      </c>
      <c r="H88" t="s">
        <v>28</v>
      </c>
      <c r="I88" t="s">
        <v>55</v>
      </c>
      <c r="J88" s="6">
        <v>17.989999999999998</v>
      </c>
      <c r="K88">
        <v>0</v>
      </c>
      <c r="L88" t="s">
        <v>61</v>
      </c>
      <c r="M88" s="5">
        <v>5</v>
      </c>
      <c r="N88" s="4">
        <v>0.21</v>
      </c>
      <c r="O88" t="s">
        <v>30</v>
      </c>
    </row>
    <row r="89" spans="1:15" x14ac:dyDescent="0.3">
      <c r="A89" t="s">
        <v>301</v>
      </c>
      <c r="B89" s="5">
        <v>30</v>
      </c>
      <c r="C89" s="5" t="str" cm="1">
        <f t="array" ref="C89">_xlfn.IFS(worksheet[[#This Row],[age]]&lt;25,"1. Young Adulthood (18-24)",worksheet[[#This Row],[age]]&lt; 35,"2. Early Adulthood (25-34)",worksheet[[#This Row],[age]]&lt; 45,"3. Mid Adulthood (35-44)",worksheet[[#This Row],[age]]&lt; 55,"4. Mature Adulthood (45-54)",TRUE,"5. Late Adulthood/Senior (55+)")</f>
        <v>2. Early Adulthood (25-34)</v>
      </c>
      <c r="D89" t="s">
        <v>27</v>
      </c>
      <c r="E89" t="s">
        <v>32</v>
      </c>
      <c r="F89" s="4">
        <v>3.55</v>
      </c>
      <c r="G89" s="5">
        <v>45</v>
      </c>
      <c r="H89" t="s">
        <v>49</v>
      </c>
      <c r="I89" t="s">
        <v>55</v>
      </c>
      <c r="J89" s="6">
        <v>17.989999999999998</v>
      </c>
      <c r="K89">
        <v>1</v>
      </c>
      <c r="L89" t="s">
        <v>19</v>
      </c>
      <c r="M89" s="5">
        <v>3</v>
      </c>
      <c r="N89" s="4">
        <v>0.08</v>
      </c>
      <c r="O89" t="s">
        <v>39</v>
      </c>
    </row>
    <row r="90" spans="1:15" x14ac:dyDescent="0.3">
      <c r="A90" t="s">
        <v>303</v>
      </c>
      <c r="B90" s="5">
        <v>18</v>
      </c>
      <c r="C90" s="5" t="str" cm="1">
        <f t="array" ref="C90">_xlfn.IFS(worksheet[[#This Row],[age]]&lt;25,"1. Young Adulthood (18-24)",worksheet[[#This Row],[age]]&lt; 35,"2. Early Adulthood (25-34)",worksheet[[#This Row],[age]]&lt; 45,"3. Mid Adulthood (35-44)",worksheet[[#This Row],[age]]&lt; 55,"4. Mature Adulthood (45-54)",TRUE,"5. Late Adulthood/Senior (55+)")</f>
        <v>1. Young Adulthood (18-24)</v>
      </c>
      <c r="D90" t="s">
        <v>41</v>
      </c>
      <c r="E90" t="s">
        <v>16</v>
      </c>
      <c r="F90" s="4">
        <v>15.17</v>
      </c>
      <c r="G90" s="5">
        <v>28</v>
      </c>
      <c r="H90" t="s">
        <v>49</v>
      </c>
      <c r="I90" t="s">
        <v>24</v>
      </c>
      <c r="J90" s="6">
        <v>8.99</v>
      </c>
      <c r="K90">
        <v>0</v>
      </c>
      <c r="L90" t="s">
        <v>43</v>
      </c>
      <c r="M90" s="5">
        <v>3</v>
      </c>
      <c r="N90" s="4">
        <v>0.52</v>
      </c>
      <c r="O90" t="s">
        <v>52</v>
      </c>
    </row>
    <row r="91" spans="1:15" x14ac:dyDescent="0.3">
      <c r="A91" t="s">
        <v>314</v>
      </c>
      <c r="B91" s="5">
        <v>33</v>
      </c>
      <c r="C91" s="5" t="str" cm="1">
        <f t="array" ref="C91">_xlfn.IFS(worksheet[[#This Row],[age]]&lt;25,"1. Young Adulthood (18-24)",worksheet[[#This Row],[age]]&lt; 35,"2. Early Adulthood (25-34)",worksheet[[#This Row],[age]]&lt; 45,"3. Mid Adulthood (35-44)",worksheet[[#This Row],[age]]&lt; 55,"4. Mature Adulthood (45-54)",TRUE,"5. Late Adulthood/Senior (55+)")</f>
        <v>2. Early Adulthood (25-34)</v>
      </c>
      <c r="D91" t="s">
        <v>41</v>
      </c>
      <c r="E91" t="s">
        <v>22</v>
      </c>
      <c r="F91" s="4">
        <v>9.93</v>
      </c>
      <c r="G91" s="5">
        <v>51</v>
      </c>
      <c r="H91" t="s">
        <v>49</v>
      </c>
      <c r="I91" t="s">
        <v>57</v>
      </c>
      <c r="J91" s="6">
        <v>13.99</v>
      </c>
      <c r="K91">
        <v>0</v>
      </c>
      <c r="L91" t="s">
        <v>37</v>
      </c>
      <c r="M91" s="5">
        <v>4</v>
      </c>
      <c r="N91" s="4">
        <v>0.19</v>
      </c>
      <c r="O91" t="s">
        <v>39</v>
      </c>
    </row>
    <row r="92" spans="1:15" x14ac:dyDescent="0.3">
      <c r="A92" t="s">
        <v>318</v>
      </c>
      <c r="B92" s="5">
        <v>22</v>
      </c>
      <c r="C92" s="5" t="str" cm="1">
        <f t="array" ref="C92">_xlfn.IFS(worksheet[[#This Row],[age]]&lt;25,"1. Young Adulthood (18-24)",worksheet[[#This Row],[age]]&lt; 35,"2. Early Adulthood (25-34)",worksheet[[#This Row],[age]]&lt; 45,"3. Mid Adulthood (35-44)",worksheet[[#This Row],[age]]&lt; 55,"4. Mature Adulthood (45-54)",TRUE,"5. Late Adulthood/Senior (55+)")</f>
        <v>1. Young Adulthood (18-24)</v>
      </c>
      <c r="D92" t="s">
        <v>27</v>
      </c>
      <c r="E92" t="s">
        <v>32</v>
      </c>
      <c r="F92" s="4">
        <v>21.84</v>
      </c>
      <c r="G92" s="5">
        <v>1</v>
      </c>
      <c r="H92" t="s">
        <v>33</v>
      </c>
      <c r="I92" t="s">
        <v>24</v>
      </c>
      <c r="J92" s="6">
        <v>17.989999999999998</v>
      </c>
      <c r="K92">
        <v>0</v>
      </c>
      <c r="L92" t="s">
        <v>61</v>
      </c>
      <c r="M92" s="5">
        <v>1</v>
      </c>
      <c r="N92" s="4">
        <v>10.92</v>
      </c>
      <c r="O92" t="s">
        <v>34</v>
      </c>
    </row>
    <row r="93" spans="1:15" x14ac:dyDescent="0.3">
      <c r="A93" t="s">
        <v>319</v>
      </c>
      <c r="B93" s="5">
        <v>25</v>
      </c>
      <c r="C93" s="5" t="str" cm="1">
        <f t="array" ref="C93">_xlfn.IFS(worksheet[[#This Row],[age]]&lt;25,"1. Young Adulthood (18-24)",worksheet[[#This Row],[age]]&lt; 35,"2. Early Adulthood (25-34)",worksheet[[#This Row],[age]]&lt; 45,"3. Mid Adulthood (35-44)",worksheet[[#This Row],[age]]&lt; 55,"4. Mature Adulthood (45-54)",TRUE,"5. Late Adulthood/Senior (55+)")</f>
        <v>2. Early Adulthood (25-34)</v>
      </c>
      <c r="D93" t="s">
        <v>27</v>
      </c>
      <c r="E93" t="s">
        <v>32</v>
      </c>
      <c r="F93" s="4">
        <v>10.53</v>
      </c>
      <c r="G93" s="5">
        <v>33</v>
      </c>
      <c r="H93" t="s">
        <v>33</v>
      </c>
      <c r="I93" t="s">
        <v>57</v>
      </c>
      <c r="J93" s="6">
        <v>17.989999999999998</v>
      </c>
      <c r="K93">
        <v>1</v>
      </c>
      <c r="L93" t="s">
        <v>37</v>
      </c>
      <c r="M93" s="5">
        <v>3</v>
      </c>
      <c r="N93" s="4">
        <v>0.31</v>
      </c>
      <c r="O93" t="s">
        <v>25</v>
      </c>
    </row>
    <row r="94" spans="1:15" x14ac:dyDescent="0.3">
      <c r="A94" t="s">
        <v>320</v>
      </c>
      <c r="B94" s="5">
        <v>26</v>
      </c>
      <c r="C94" s="5" t="str" cm="1">
        <f t="array" ref="C94">_xlfn.IFS(worksheet[[#This Row],[age]]&lt;25,"1. Young Adulthood (18-24)",worksheet[[#This Row],[age]]&lt; 35,"2. Early Adulthood (25-34)",worksheet[[#This Row],[age]]&lt; 45,"3. Mid Adulthood (35-44)",worksheet[[#This Row],[age]]&lt; 55,"4. Mature Adulthood (45-54)",TRUE,"5. Late Adulthood/Senior (55+)")</f>
        <v>2. Early Adulthood (25-34)</v>
      </c>
      <c r="D94" t="s">
        <v>41</v>
      </c>
      <c r="E94" t="s">
        <v>22</v>
      </c>
      <c r="F94" s="4">
        <v>8.43</v>
      </c>
      <c r="G94" s="5">
        <v>45</v>
      </c>
      <c r="H94" t="s">
        <v>70</v>
      </c>
      <c r="I94" t="s">
        <v>46</v>
      </c>
      <c r="J94" s="6">
        <v>13.99</v>
      </c>
      <c r="K94">
        <v>0</v>
      </c>
      <c r="L94" t="s">
        <v>37</v>
      </c>
      <c r="M94" s="5">
        <v>5</v>
      </c>
      <c r="N94" s="4">
        <v>0.18</v>
      </c>
      <c r="O94" t="s">
        <v>47</v>
      </c>
    </row>
    <row r="95" spans="1:15" x14ac:dyDescent="0.3">
      <c r="A95" t="s">
        <v>326</v>
      </c>
      <c r="B95" s="5">
        <v>27</v>
      </c>
      <c r="C95" s="5" t="str" cm="1">
        <f t="array" ref="C95">_xlfn.IFS(worksheet[[#This Row],[age]]&lt;25,"1. Young Adulthood (18-24)",worksheet[[#This Row],[age]]&lt; 35,"2. Early Adulthood (25-34)",worksheet[[#This Row],[age]]&lt; 45,"3. Mid Adulthood (35-44)",worksheet[[#This Row],[age]]&lt; 55,"4. Mature Adulthood (45-54)",TRUE,"5. Late Adulthood/Senior (55+)")</f>
        <v>2. Early Adulthood (25-34)</v>
      </c>
      <c r="D95" t="s">
        <v>41</v>
      </c>
      <c r="E95" t="s">
        <v>22</v>
      </c>
      <c r="F95" s="4">
        <v>0.39</v>
      </c>
      <c r="G95" s="5">
        <v>32</v>
      </c>
      <c r="H95" t="s">
        <v>49</v>
      </c>
      <c r="I95" t="s">
        <v>46</v>
      </c>
      <c r="J95" s="6">
        <v>13.99</v>
      </c>
      <c r="K95">
        <v>1</v>
      </c>
      <c r="L95" t="s">
        <v>19</v>
      </c>
      <c r="M95" s="5">
        <v>4</v>
      </c>
      <c r="N95" s="4">
        <v>0.01</v>
      </c>
      <c r="O95" t="s">
        <v>20</v>
      </c>
    </row>
    <row r="96" spans="1:15" x14ac:dyDescent="0.3">
      <c r="A96" t="s">
        <v>327</v>
      </c>
      <c r="B96" s="5">
        <v>18</v>
      </c>
      <c r="C96" s="5" t="str" cm="1">
        <f t="array" ref="C96">_xlfn.IFS(worksheet[[#This Row],[age]]&lt;25,"1. Young Adulthood (18-24)",worksheet[[#This Row],[age]]&lt; 35,"2. Early Adulthood (25-34)",worksheet[[#This Row],[age]]&lt; 45,"3. Mid Adulthood (35-44)",worksheet[[#This Row],[age]]&lt; 55,"4. Mature Adulthood (45-54)",TRUE,"5. Late Adulthood/Senior (55+)")</f>
        <v>1. Young Adulthood (18-24)</v>
      </c>
      <c r="D96" t="s">
        <v>41</v>
      </c>
      <c r="E96" t="s">
        <v>32</v>
      </c>
      <c r="F96" s="4">
        <v>0.97</v>
      </c>
      <c r="G96" s="5">
        <v>9</v>
      </c>
      <c r="H96" t="s">
        <v>17</v>
      </c>
      <c r="I96" t="s">
        <v>57</v>
      </c>
      <c r="J96" s="6">
        <v>17.989999999999998</v>
      </c>
      <c r="K96">
        <v>0</v>
      </c>
      <c r="L96" t="s">
        <v>37</v>
      </c>
      <c r="M96" s="5">
        <v>5</v>
      </c>
      <c r="N96" s="4">
        <v>0.1</v>
      </c>
      <c r="O96" t="s">
        <v>25</v>
      </c>
    </row>
    <row r="97" spans="1:15" x14ac:dyDescent="0.3">
      <c r="A97" t="s">
        <v>331</v>
      </c>
      <c r="B97" s="5">
        <v>28</v>
      </c>
      <c r="C97" s="5" t="str" cm="1">
        <f t="array" ref="C97">_xlfn.IFS(worksheet[[#This Row],[age]]&lt;25,"1. Young Adulthood (18-24)",worksheet[[#This Row],[age]]&lt; 35,"2. Early Adulthood (25-34)",worksheet[[#This Row],[age]]&lt; 45,"3. Mid Adulthood (35-44)",worksheet[[#This Row],[age]]&lt; 55,"4. Mature Adulthood (45-54)",TRUE,"5. Late Adulthood/Senior (55+)")</f>
        <v>2. Early Adulthood (25-34)</v>
      </c>
      <c r="D97" t="s">
        <v>41</v>
      </c>
      <c r="E97" t="s">
        <v>22</v>
      </c>
      <c r="F97" s="4">
        <v>10.91</v>
      </c>
      <c r="G97" s="5">
        <v>16</v>
      </c>
      <c r="H97" t="s">
        <v>70</v>
      </c>
      <c r="I97" t="s">
        <v>57</v>
      </c>
      <c r="J97" s="6">
        <v>13.99</v>
      </c>
      <c r="K97">
        <v>0</v>
      </c>
      <c r="L97" t="s">
        <v>37</v>
      </c>
      <c r="M97" s="5">
        <v>4</v>
      </c>
      <c r="N97" s="4">
        <v>0.64</v>
      </c>
      <c r="O97" t="s">
        <v>30</v>
      </c>
    </row>
    <row r="98" spans="1:15" x14ac:dyDescent="0.3">
      <c r="A98" t="s">
        <v>332</v>
      </c>
      <c r="B98" s="5">
        <v>23</v>
      </c>
      <c r="C98" s="5" t="str" cm="1">
        <f t="array" ref="C98">_xlfn.IFS(worksheet[[#This Row],[age]]&lt;25,"1. Young Adulthood (18-24)",worksheet[[#This Row],[age]]&lt; 35,"2. Early Adulthood (25-34)",worksheet[[#This Row],[age]]&lt; 45,"3. Mid Adulthood (35-44)",worksheet[[#This Row],[age]]&lt; 55,"4. Mature Adulthood (45-54)",TRUE,"5. Late Adulthood/Senior (55+)")</f>
        <v>1. Young Adulthood (18-24)</v>
      </c>
      <c r="D98" t="s">
        <v>15</v>
      </c>
      <c r="E98" t="s">
        <v>32</v>
      </c>
      <c r="F98" s="4">
        <v>5.56</v>
      </c>
      <c r="G98" s="5">
        <v>53</v>
      </c>
      <c r="H98" t="s">
        <v>23</v>
      </c>
      <c r="I98" t="s">
        <v>46</v>
      </c>
      <c r="J98" s="6">
        <v>17.989999999999998</v>
      </c>
      <c r="K98">
        <v>1</v>
      </c>
      <c r="L98" t="s">
        <v>61</v>
      </c>
      <c r="M98" s="5">
        <v>1</v>
      </c>
      <c r="N98" s="4">
        <v>0.1</v>
      </c>
      <c r="O98" t="s">
        <v>39</v>
      </c>
    </row>
    <row r="99" spans="1:15" x14ac:dyDescent="0.3">
      <c r="A99" t="s">
        <v>334</v>
      </c>
      <c r="B99" s="5">
        <v>23</v>
      </c>
      <c r="C99" s="5" t="str" cm="1">
        <f t="array" ref="C99">_xlfn.IFS(worksheet[[#This Row],[age]]&lt;25,"1. Young Adulthood (18-24)",worksheet[[#This Row],[age]]&lt; 35,"2. Early Adulthood (25-34)",worksheet[[#This Row],[age]]&lt; 45,"3. Mid Adulthood (35-44)",worksheet[[#This Row],[age]]&lt; 55,"4. Mature Adulthood (45-54)",TRUE,"5. Late Adulthood/Senior (55+)")</f>
        <v>1. Young Adulthood (18-24)</v>
      </c>
      <c r="D99" t="s">
        <v>27</v>
      </c>
      <c r="E99" t="s">
        <v>22</v>
      </c>
      <c r="F99" s="4">
        <v>0.13</v>
      </c>
      <c r="G99" s="5">
        <v>48</v>
      </c>
      <c r="H99" t="s">
        <v>23</v>
      </c>
      <c r="I99" t="s">
        <v>46</v>
      </c>
      <c r="J99" s="6">
        <v>13.99</v>
      </c>
      <c r="K99">
        <v>1</v>
      </c>
      <c r="L99" t="s">
        <v>29</v>
      </c>
      <c r="M99" s="5">
        <v>5</v>
      </c>
      <c r="N99" s="4">
        <v>0</v>
      </c>
      <c r="O99" t="s">
        <v>25</v>
      </c>
    </row>
    <row r="100" spans="1:15" x14ac:dyDescent="0.3">
      <c r="A100" t="s">
        <v>338</v>
      </c>
      <c r="B100" s="5">
        <v>23</v>
      </c>
      <c r="C100" s="5" t="str" cm="1">
        <f t="array" ref="C100">_xlfn.IFS(worksheet[[#This Row],[age]]&lt;25,"1. Young Adulthood (18-24)",worksheet[[#This Row],[age]]&lt; 35,"2. Early Adulthood (25-34)",worksheet[[#This Row],[age]]&lt; 45,"3. Mid Adulthood (35-44)",worksheet[[#This Row],[age]]&lt; 55,"4. Mature Adulthood (45-54)",TRUE,"5. Late Adulthood/Senior (55+)")</f>
        <v>1. Young Adulthood (18-24)</v>
      </c>
      <c r="D100" t="s">
        <v>41</v>
      </c>
      <c r="E100" t="s">
        <v>22</v>
      </c>
      <c r="F100" s="4">
        <v>28.75</v>
      </c>
      <c r="G100" s="5">
        <v>20</v>
      </c>
      <c r="H100" t="s">
        <v>28</v>
      </c>
      <c r="I100" t="s">
        <v>18</v>
      </c>
      <c r="J100" s="6">
        <v>13.99</v>
      </c>
      <c r="K100">
        <v>0</v>
      </c>
      <c r="L100" t="s">
        <v>29</v>
      </c>
      <c r="M100" s="5">
        <v>2</v>
      </c>
      <c r="N100" s="4">
        <v>1.37</v>
      </c>
      <c r="O100" t="s">
        <v>34</v>
      </c>
    </row>
    <row r="101" spans="1:15" x14ac:dyDescent="0.3">
      <c r="A101" t="s">
        <v>343</v>
      </c>
      <c r="B101" s="5">
        <v>30</v>
      </c>
      <c r="C101" s="5" t="str" cm="1">
        <f t="array" ref="C101">_xlfn.IFS(worksheet[[#This Row],[age]]&lt;25,"1. Young Adulthood (18-24)",worksheet[[#This Row],[age]]&lt; 35,"2. Early Adulthood (25-34)",worksheet[[#This Row],[age]]&lt; 45,"3. Mid Adulthood (35-44)",worksheet[[#This Row],[age]]&lt; 55,"4. Mature Adulthood (45-54)",TRUE,"5. Late Adulthood/Senior (55+)")</f>
        <v>2. Early Adulthood (25-34)</v>
      </c>
      <c r="D101" t="s">
        <v>15</v>
      </c>
      <c r="E101" t="s">
        <v>32</v>
      </c>
      <c r="F101" s="4">
        <v>15.15</v>
      </c>
      <c r="G101" s="5">
        <v>55</v>
      </c>
      <c r="H101" t="s">
        <v>49</v>
      </c>
      <c r="I101" t="s">
        <v>18</v>
      </c>
      <c r="J101" s="6">
        <v>17.989999999999998</v>
      </c>
      <c r="K101">
        <v>1</v>
      </c>
      <c r="L101" t="s">
        <v>61</v>
      </c>
      <c r="M101" s="5">
        <v>3</v>
      </c>
      <c r="N101" s="4">
        <v>0.27</v>
      </c>
      <c r="O101" t="s">
        <v>47</v>
      </c>
    </row>
    <row r="102" spans="1:15" x14ac:dyDescent="0.3">
      <c r="A102" t="s">
        <v>346</v>
      </c>
      <c r="B102" s="5">
        <v>19</v>
      </c>
      <c r="C102" s="5" t="str" cm="1">
        <f t="array" ref="C102">_xlfn.IFS(worksheet[[#This Row],[age]]&lt;25,"1. Young Adulthood (18-24)",worksheet[[#This Row],[age]]&lt; 35,"2. Early Adulthood (25-34)",worksheet[[#This Row],[age]]&lt; 45,"3. Mid Adulthood (35-44)",worksheet[[#This Row],[age]]&lt; 55,"4. Mature Adulthood (45-54)",TRUE,"5. Late Adulthood/Senior (55+)")</f>
        <v>1. Young Adulthood (18-24)</v>
      </c>
      <c r="D102" t="s">
        <v>41</v>
      </c>
      <c r="E102" t="s">
        <v>16</v>
      </c>
      <c r="F102" s="4">
        <v>0.22</v>
      </c>
      <c r="G102" s="5">
        <v>21</v>
      </c>
      <c r="H102" t="s">
        <v>33</v>
      </c>
      <c r="I102" t="s">
        <v>24</v>
      </c>
      <c r="J102" s="6">
        <v>8.99</v>
      </c>
      <c r="K102">
        <v>1</v>
      </c>
      <c r="L102" t="s">
        <v>37</v>
      </c>
      <c r="M102" s="5">
        <v>4</v>
      </c>
      <c r="N102" s="4">
        <v>0.01</v>
      </c>
      <c r="O102" t="s">
        <v>30</v>
      </c>
    </row>
    <row r="103" spans="1:15" x14ac:dyDescent="0.3">
      <c r="A103" t="s">
        <v>347</v>
      </c>
      <c r="B103" s="5">
        <v>32</v>
      </c>
      <c r="C103" s="5" t="str" cm="1">
        <f t="array" ref="C103">_xlfn.IFS(worksheet[[#This Row],[age]]&lt;25,"1. Young Adulthood (18-24)",worksheet[[#This Row],[age]]&lt; 35,"2. Early Adulthood (25-34)",worksheet[[#This Row],[age]]&lt; 45,"3. Mid Adulthood (35-44)",worksheet[[#This Row],[age]]&lt; 55,"4. Mature Adulthood (45-54)",TRUE,"5. Late Adulthood/Senior (55+)")</f>
        <v>2. Early Adulthood (25-34)</v>
      </c>
      <c r="D103" t="s">
        <v>27</v>
      </c>
      <c r="E103" t="s">
        <v>22</v>
      </c>
      <c r="F103" s="4">
        <v>11.33</v>
      </c>
      <c r="G103" s="5">
        <v>42</v>
      </c>
      <c r="H103" t="s">
        <v>23</v>
      </c>
      <c r="I103" t="s">
        <v>24</v>
      </c>
      <c r="J103" s="6">
        <v>13.99</v>
      </c>
      <c r="K103">
        <v>1</v>
      </c>
      <c r="L103" t="s">
        <v>61</v>
      </c>
      <c r="M103" s="5">
        <v>1</v>
      </c>
      <c r="N103" s="4">
        <v>0.26</v>
      </c>
      <c r="O103" t="s">
        <v>25</v>
      </c>
    </row>
    <row r="104" spans="1:15" x14ac:dyDescent="0.3">
      <c r="A104" t="s">
        <v>358</v>
      </c>
      <c r="B104" s="5">
        <v>26</v>
      </c>
      <c r="C104" s="5" t="str" cm="1">
        <f t="array" ref="C104">_xlfn.IFS(worksheet[[#This Row],[age]]&lt;25,"1. Young Adulthood (18-24)",worksheet[[#This Row],[age]]&lt; 35,"2. Early Adulthood (25-34)",worksheet[[#This Row],[age]]&lt; 45,"3. Mid Adulthood (35-44)",worksheet[[#This Row],[age]]&lt; 55,"4. Mature Adulthood (45-54)",TRUE,"5. Late Adulthood/Senior (55+)")</f>
        <v>2. Early Adulthood (25-34)</v>
      </c>
      <c r="D104" t="s">
        <v>15</v>
      </c>
      <c r="E104" t="s">
        <v>22</v>
      </c>
      <c r="F104" s="4">
        <v>4.6399999999999997</v>
      </c>
      <c r="G104" s="5">
        <v>7</v>
      </c>
      <c r="H104" t="s">
        <v>28</v>
      </c>
      <c r="I104" t="s">
        <v>55</v>
      </c>
      <c r="J104" s="6">
        <v>13.99</v>
      </c>
      <c r="K104">
        <v>1</v>
      </c>
      <c r="L104" t="s">
        <v>29</v>
      </c>
      <c r="M104" s="5">
        <v>1</v>
      </c>
      <c r="N104" s="4">
        <v>0.57999999999999996</v>
      </c>
      <c r="O104" t="s">
        <v>47</v>
      </c>
    </row>
    <row r="105" spans="1:15" x14ac:dyDescent="0.3">
      <c r="A105" t="s">
        <v>360</v>
      </c>
      <c r="B105" s="5">
        <v>18</v>
      </c>
      <c r="C105" s="5" t="str" cm="1">
        <f t="array" ref="C105">_xlfn.IFS(worksheet[[#This Row],[age]]&lt;25,"1. Young Adulthood (18-24)",worksheet[[#This Row],[age]]&lt; 35,"2. Early Adulthood (25-34)",worksheet[[#This Row],[age]]&lt; 45,"3. Mid Adulthood (35-44)",worksheet[[#This Row],[age]]&lt; 55,"4. Mature Adulthood (45-54)",TRUE,"5. Late Adulthood/Senior (55+)")</f>
        <v>1. Young Adulthood (18-24)</v>
      </c>
      <c r="D105" t="s">
        <v>41</v>
      </c>
      <c r="E105" t="s">
        <v>32</v>
      </c>
      <c r="F105" s="4">
        <v>12.42</v>
      </c>
      <c r="G105" s="5">
        <v>58</v>
      </c>
      <c r="H105" t="s">
        <v>70</v>
      </c>
      <c r="I105" t="s">
        <v>46</v>
      </c>
      <c r="J105" s="6">
        <v>17.989999999999998</v>
      </c>
      <c r="K105">
        <v>1</v>
      </c>
      <c r="L105" t="s">
        <v>37</v>
      </c>
      <c r="M105" s="5">
        <v>3</v>
      </c>
      <c r="N105" s="4">
        <v>0.21</v>
      </c>
      <c r="O105" t="s">
        <v>34</v>
      </c>
    </row>
    <row r="106" spans="1:15" x14ac:dyDescent="0.3">
      <c r="A106" t="s">
        <v>361</v>
      </c>
      <c r="B106" s="5">
        <v>28</v>
      </c>
      <c r="C106" s="5" t="str" cm="1">
        <f t="array" ref="C106">_xlfn.IFS(worksheet[[#This Row],[age]]&lt;25,"1. Young Adulthood (18-24)",worksheet[[#This Row],[age]]&lt; 35,"2. Early Adulthood (25-34)",worksheet[[#This Row],[age]]&lt; 45,"3. Mid Adulthood (35-44)",worksheet[[#This Row],[age]]&lt; 55,"4. Mature Adulthood (45-54)",TRUE,"5. Late Adulthood/Senior (55+)")</f>
        <v>2. Early Adulthood (25-34)</v>
      </c>
      <c r="D106" t="s">
        <v>15</v>
      </c>
      <c r="E106" t="s">
        <v>16</v>
      </c>
      <c r="F106" s="4">
        <v>16.54</v>
      </c>
      <c r="G106" s="5">
        <v>24</v>
      </c>
      <c r="H106" t="s">
        <v>49</v>
      </c>
      <c r="I106" t="s">
        <v>46</v>
      </c>
      <c r="J106" s="6">
        <v>8.99</v>
      </c>
      <c r="K106">
        <v>0</v>
      </c>
      <c r="L106" t="s">
        <v>29</v>
      </c>
      <c r="M106" s="5">
        <v>3</v>
      </c>
      <c r="N106" s="4">
        <v>0.66</v>
      </c>
      <c r="O106" t="s">
        <v>39</v>
      </c>
    </row>
    <row r="107" spans="1:15" x14ac:dyDescent="0.3">
      <c r="A107" t="s">
        <v>364</v>
      </c>
      <c r="B107" s="5">
        <v>18</v>
      </c>
      <c r="C107" s="5" t="str" cm="1">
        <f t="array" ref="C107">_xlfn.IFS(worksheet[[#This Row],[age]]&lt;25,"1. Young Adulthood (18-24)",worksheet[[#This Row],[age]]&lt; 35,"2. Early Adulthood (25-34)",worksheet[[#This Row],[age]]&lt; 45,"3. Mid Adulthood (35-44)",worksheet[[#This Row],[age]]&lt; 55,"4. Mature Adulthood (45-54)",TRUE,"5. Late Adulthood/Senior (55+)")</f>
        <v>1. Young Adulthood (18-24)</v>
      </c>
      <c r="D107" t="s">
        <v>41</v>
      </c>
      <c r="E107" t="s">
        <v>22</v>
      </c>
      <c r="F107" s="4">
        <v>41.28</v>
      </c>
      <c r="G107" s="5">
        <v>24</v>
      </c>
      <c r="H107" t="s">
        <v>23</v>
      </c>
      <c r="I107" t="s">
        <v>55</v>
      </c>
      <c r="J107" s="6">
        <v>13.99</v>
      </c>
      <c r="K107">
        <v>0</v>
      </c>
      <c r="L107" t="s">
        <v>37</v>
      </c>
      <c r="M107" s="5">
        <v>3</v>
      </c>
      <c r="N107" s="4">
        <v>1.65</v>
      </c>
      <c r="O107" t="s">
        <v>20</v>
      </c>
    </row>
    <row r="108" spans="1:15" x14ac:dyDescent="0.3">
      <c r="A108" t="s">
        <v>366</v>
      </c>
      <c r="B108" s="5">
        <v>26</v>
      </c>
      <c r="C108" s="5" t="str" cm="1">
        <f t="array" ref="C108">_xlfn.IFS(worksheet[[#This Row],[age]]&lt;25,"1. Young Adulthood (18-24)",worksheet[[#This Row],[age]]&lt; 35,"2. Early Adulthood (25-34)",worksheet[[#This Row],[age]]&lt; 45,"3. Mid Adulthood (35-44)",worksheet[[#This Row],[age]]&lt; 55,"4. Mature Adulthood (45-54)",TRUE,"5. Late Adulthood/Senior (55+)")</f>
        <v>2. Early Adulthood (25-34)</v>
      </c>
      <c r="D108" t="s">
        <v>27</v>
      </c>
      <c r="E108" t="s">
        <v>32</v>
      </c>
      <c r="F108" s="4">
        <v>3.13</v>
      </c>
      <c r="G108" s="5">
        <v>18</v>
      </c>
      <c r="H108" t="s">
        <v>33</v>
      </c>
      <c r="I108" t="s">
        <v>46</v>
      </c>
      <c r="J108" s="6">
        <v>17.989999999999998</v>
      </c>
      <c r="K108">
        <v>0</v>
      </c>
      <c r="L108" t="s">
        <v>43</v>
      </c>
      <c r="M108" s="5">
        <v>5</v>
      </c>
      <c r="N108" s="4">
        <v>0.16</v>
      </c>
      <c r="O108" t="s">
        <v>25</v>
      </c>
    </row>
    <row r="109" spans="1:15" x14ac:dyDescent="0.3">
      <c r="A109" t="s">
        <v>367</v>
      </c>
      <c r="B109" s="5">
        <v>24</v>
      </c>
      <c r="C109" s="5" t="str" cm="1">
        <f t="array" ref="C109">_xlfn.IFS(worksheet[[#This Row],[age]]&lt;25,"1. Young Adulthood (18-24)",worksheet[[#This Row],[age]]&lt; 35,"2. Early Adulthood (25-34)",worksheet[[#This Row],[age]]&lt; 45,"3. Mid Adulthood (35-44)",worksheet[[#This Row],[age]]&lt; 55,"4. Mature Adulthood (45-54)",TRUE,"5. Late Adulthood/Senior (55+)")</f>
        <v>1. Young Adulthood (18-24)</v>
      </c>
      <c r="D109" t="s">
        <v>15</v>
      </c>
      <c r="E109" t="s">
        <v>16</v>
      </c>
      <c r="F109" s="4">
        <v>3.02</v>
      </c>
      <c r="G109" s="5">
        <v>21</v>
      </c>
      <c r="H109" t="s">
        <v>28</v>
      </c>
      <c r="I109" t="s">
        <v>57</v>
      </c>
      <c r="J109" s="6">
        <v>8.99</v>
      </c>
      <c r="K109">
        <v>1</v>
      </c>
      <c r="L109" t="s">
        <v>19</v>
      </c>
      <c r="M109" s="5">
        <v>5</v>
      </c>
      <c r="N109" s="4">
        <v>0.14000000000000001</v>
      </c>
      <c r="O109" t="s">
        <v>47</v>
      </c>
    </row>
    <row r="110" spans="1:15" x14ac:dyDescent="0.3">
      <c r="A110" s="1" t="s">
        <v>372</v>
      </c>
      <c r="B110" s="5">
        <v>20</v>
      </c>
      <c r="C110" s="5" t="str" cm="1">
        <f t="array" ref="C110">_xlfn.IFS(worksheet[[#This Row],[age]]&lt;25,"1. Young Adulthood (18-24)",worksheet[[#This Row],[age]]&lt; 35,"2. Early Adulthood (25-34)",worksheet[[#This Row],[age]]&lt; 45,"3. Mid Adulthood (35-44)",worksheet[[#This Row],[age]]&lt; 55,"4. Mature Adulthood (45-54)",TRUE,"5. Late Adulthood/Senior (55+)")</f>
        <v>1. Young Adulthood (18-24)</v>
      </c>
      <c r="D110" t="s">
        <v>27</v>
      </c>
      <c r="E110" t="s">
        <v>32</v>
      </c>
      <c r="F110" s="4">
        <v>20.62</v>
      </c>
      <c r="G110" s="5">
        <v>13</v>
      </c>
      <c r="H110" t="s">
        <v>28</v>
      </c>
      <c r="I110" t="s">
        <v>18</v>
      </c>
      <c r="J110" s="6">
        <v>17.989999999999998</v>
      </c>
      <c r="K110">
        <v>0</v>
      </c>
      <c r="L110" t="s">
        <v>37</v>
      </c>
      <c r="M110" s="5">
        <v>4</v>
      </c>
      <c r="N110" s="4">
        <v>1.47</v>
      </c>
      <c r="O110" t="s">
        <v>25</v>
      </c>
    </row>
    <row r="111" spans="1:15" x14ac:dyDescent="0.3">
      <c r="A111" t="s">
        <v>373</v>
      </c>
      <c r="B111" s="5">
        <v>31</v>
      </c>
      <c r="C111" s="5" t="str" cm="1">
        <f t="array" ref="C111">_xlfn.IFS(worksheet[[#This Row],[age]]&lt;25,"1. Young Adulthood (18-24)",worksheet[[#This Row],[age]]&lt; 35,"2. Early Adulthood (25-34)",worksheet[[#This Row],[age]]&lt; 45,"3. Mid Adulthood (35-44)",worksheet[[#This Row],[age]]&lt; 55,"4. Mature Adulthood (45-54)",TRUE,"5. Late Adulthood/Senior (55+)")</f>
        <v>2. Early Adulthood (25-34)</v>
      </c>
      <c r="D111" t="s">
        <v>15</v>
      </c>
      <c r="E111" t="s">
        <v>16</v>
      </c>
      <c r="F111" s="4">
        <v>11.3</v>
      </c>
      <c r="G111" s="5">
        <v>37</v>
      </c>
      <c r="H111" t="s">
        <v>49</v>
      </c>
      <c r="I111" t="s">
        <v>24</v>
      </c>
      <c r="J111" s="6">
        <v>8.99</v>
      </c>
      <c r="K111">
        <v>1</v>
      </c>
      <c r="L111" t="s">
        <v>43</v>
      </c>
      <c r="M111" s="5">
        <v>3</v>
      </c>
      <c r="N111" s="4">
        <v>0.3</v>
      </c>
      <c r="O111" t="s">
        <v>39</v>
      </c>
    </row>
    <row r="112" spans="1:15" x14ac:dyDescent="0.3">
      <c r="A112" t="s">
        <v>379</v>
      </c>
      <c r="B112" s="5">
        <v>34</v>
      </c>
      <c r="C112" s="5" t="str" cm="1">
        <f t="array" ref="C112">_xlfn.IFS(worksheet[[#This Row],[age]]&lt;25,"1. Young Adulthood (18-24)",worksheet[[#This Row],[age]]&lt; 35,"2. Early Adulthood (25-34)",worksheet[[#This Row],[age]]&lt; 45,"3. Mid Adulthood (35-44)",worksheet[[#This Row],[age]]&lt; 55,"4. Mature Adulthood (45-54)",TRUE,"5. Late Adulthood/Senior (55+)")</f>
        <v>2. Early Adulthood (25-34)</v>
      </c>
      <c r="D112" t="s">
        <v>41</v>
      </c>
      <c r="E112" t="s">
        <v>22</v>
      </c>
      <c r="F112" s="4">
        <v>10.55</v>
      </c>
      <c r="G112" s="5">
        <v>54</v>
      </c>
      <c r="H112" t="s">
        <v>28</v>
      </c>
      <c r="I112" t="s">
        <v>57</v>
      </c>
      <c r="J112" s="6">
        <v>13.99</v>
      </c>
      <c r="K112">
        <v>0</v>
      </c>
      <c r="L112" t="s">
        <v>43</v>
      </c>
      <c r="M112" s="5">
        <v>5</v>
      </c>
      <c r="N112" s="4">
        <v>0.19</v>
      </c>
      <c r="O112" t="s">
        <v>25</v>
      </c>
    </row>
    <row r="113" spans="1:15" x14ac:dyDescent="0.3">
      <c r="A113" t="s">
        <v>388</v>
      </c>
      <c r="B113" s="5">
        <v>31</v>
      </c>
      <c r="C113" s="5" t="str" cm="1">
        <f t="array" ref="C113">_xlfn.IFS(worksheet[[#This Row],[age]]&lt;25,"1. Young Adulthood (18-24)",worksheet[[#This Row],[age]]&lt; 35,"2. Early Adulthood (25-34)",worksheet[[#This Row],[age]]&lt; 45,"3. Mid Adulthood (35-44)",worksheet[[#This Row],[age]]&lt; 55,"4. Mature Adulthood (45-54)",TRUE,"5. Late Adulthood/Senior (55+)")</f>
        <v>2. Early Adulthood (25-34)</v>
      </c>
      <c r="D113" t="s">
        <v>15</v>
      </c>
      <c r="E113" t="s">
        <v>32</v>
      </c>
      <c r="F113" s="4">
        <v>14.43</v>
      </c>
      <c r="G113" s="5">
        <v>9</v>
      </c>
      <c r="H113" t="s">
        <v>17</v>
      </c>
      <c r="I113" t="s">
        <v>18</v>
      </c>
      <c r="J113" s="6">
        <v>17.989999999999998</v>
      </c>
      <c r="K113">
        <v>0</v>
      </c>
      <c r="L113" t="s">
        <v>61</v>
      </c>
      <c r="M113" s="5">
        <v>5</v>
      </c>
      <c r="N113" s="4">
        <v>1.44</v>
      </c>
      <c r="O113" t="s">
        <v>52</v>
      </c>
    </row>
    <row r="114" spans="1:15" x14ac:dyDescent="0.3">
      <c r="A114" t="s">
        <v>395</v>
      </c>
      <c r="B114" s="5">
        <v>18</v>
      </c>
      <c r="C114" s="5" t="str" cm="1">
        <f t="array" ref="C114">_xlfn.IFS(worksheet[[#This Row],[age]]&lt;25,"1. Young Adulthood (18-24)",worksheet[[#This Row],[age]]&lt; 35,"2. Early Adulthood (25-34)",worksheet[[#This Row],[age]]&lt; 45,"3. Mid Adulthood (35-44)",worksheet[[#This Row],[age]]&lt; 55,"4. Mature Adulthood (45-54)",TRUE,"5. Late Adulthood/Senior (55+)")</f>
        <v>1. Young Adulthood (18-24)</v>
      </c>
      <c r="D114" t="s">
        <v>41</v>
      </c>
      <c r="E114" t="s">
        <v>22</v>
      </c>
      <c r="F114" s="4">
        <v>14.18</v>
      </c>
      <c r="G114" s="5">
        <v>27</v>
      </c>
      <c r="H114" t="s">
        <v>70</v>
      </c>
      <c r="I114" t="s">
        <v>57</v>
      </c>
      <c r="J114" s="6">
        <v>13.99</v>
      </c>
      <c r="K114">
        <v>0</v>
      </c>
      <c r="L114" t="s">
        <v>29</v>
      </c>
      <c r="M114" s="5">
        <v>2</v>
      </c>
      <c r="N114" s="4">
        <v>0.51</v>
      </c>
      <c r="O114" t="s">
        <v>30</v>
      </c>
    </row>
    <row r="115" spans="1:15" x14ac:dyDescent="0.3">
      <c r="A115" t="s">
        <v>397</v>
      </c>
      <c r="B115" s="5">
        <v>18</v>
      </c>
      <c r="C115" s="5" t="str" cm="1">
        <f t="array" ref="C115">_xlfn.IFS(worksheet[[#This Row],[age]]&lt;25,"1. Young Adulthood (18-24)",worksheet[[#This Row],[age]]&lt; 35,"2. Early Adulthood (25-34)",worksheet[[#This Row],[age]]&lt; 45,"3. Mid Adulthood (35-44)",worksheet[[#This Row],[age]]&lt; 55,"4. Mature Adulthood (45-54)",TRUE,"5. Late Adulthood/Senior (55+)")</f>
        <v>1. Young Adulthood (18-24)</v>
      </c>
      <c r="D115" t="s">
        <v>15</v>
      </c>
      <c r="E115" t="s">
        <v>16</v>
      </c>
      <c r="F115" s="4">
        <v>0.59</v>
      </c>
      <c r="G115" s="5">
        <v>41</v>
      </c>
      <c r="H115" t="s">
        <v>28</v>
      </c>
      <c r="I115" t="s">
        <v>55</v>
      </c>
      <c r="J115" s="6">
        <v>8.99</v>
      </c>
      <c r="K115">
        <v>1</v>
      </c>
      <c r="L115" t="s">
        <v>37</v>
      </c>
      <c r="M115" s="5">
        <v>5</v>
      </c>
      <c r="N115" s="4">
        <v>0.01</v>
      </c>
      <c r="O115" t="s">
        <v>34</v>
      </c>
    </row>
    <row r="116" spans="1:15" x14ac:dyDescent="0.3">
      <c r="A116" t="s">
        <v>398</v>
      </c>
      <c r="B116" s="5">
        <v>32</v>
      </c>
      <c r="C116" s="5" t="str" cm="1">
        <f t="array" ref="C116">_xlfn.IFS(worksheet[[#This Row],[age]]&lt;25,"1. Young Adulthood (18-24)",worksheet[[#This Row],[age]]&lt; 35,"2. Early Adulthood (25-34)",worksheet[[#This Row],[age]]&lt; 45,"3. Mid Adulthood (35-44)",worksheet[[#This Row],[age]]&lt; 55,"4. Mature Adulthood (45-54)",TRUE,"5. Late Adulthood/Senior (55+)")</f>
        <v>2. Early Adulthood (25-34)</v>
      </c>
      <c r="D116" t="s">
        <v>41</v>
      </c>
      <c r="E116" t="s">
        <v>22</v>
      </c>
      <c r="F116" s="4">
        <v>27.72</v>
      </c>
      <c r="G116" s="5">
        <v>58</v>
      </c>
      <c r="H116" t="s">
        <v>70</v>
      </c>
      <c r="I116" t="s">
        <v>46</v>
      </c>
      <c r="J116" s="6">
        <v>13.99</v>
      </c>
      <c r="K116">
        <v>0</v>
      </c>
      <c r="L116" t="s">
        <v>43</v>
      </c>
      <c r="M116" s="5">
        <v>3</v>
      </c>
      <c r="N116" s="4">
        <v>0.47</v>
      </c>
      <c r="O116" t="s">
        <v>20</v>
      </c>
    </row>
    <row r="117" spans="1:15" x14ac:dyDescent="0.3">
      <c r="A117" t="s">
        <v>399</v>
      </c>
      <c r="B117" s="5">
        <v>34</v>
      </c>
      <c r="C117" s="5" t="str" cm="1">
        <f t="array" ref="C117">_xlfn.IFS(worksheet[[#This Row],[age]]&lt;25,"1. Young Adulthood (18-24)",worksheet[[#This Row],[age]]&lt; 35,"2. Early Adulthood (25-34)",worksheet[[#This Row],[age]]&lt; 45,"3. Mid Adulthood (35-44)",worksheet[[#This Row],[age]]&lt; 55,"4. Mature Adulthood (45-54)",TRUE,"5. Late Adulthood/Senior (55+)")</f>
        <v>2. Early Adulthood (25-34)</v>
      </c>
      <c r="D117" t="s">
        <v>41</v>
      </c>
      <c r="E117" t="s">
        <v>32</v>
      </c>
      <c r="F117" s="4">
        <v>26.06</v>
      </c>
      <c r="G117" s="5">
        <v>28</v>
      </c>
      <c r="H117" t="s">
        <v>70</v>
      </c>
      <c r="I117" t="s">
        <v>18</v>
      </c>
      <c r="J117" s="6">
        <v>17.989999999999998</v>
      </c>
      <c r="K117">
        <v>0</v>
      </c>
      <c r="L117" t="s">
        <v>37</v>
      </c>
      <c r="M117" s="5">
        <v>4</v>
      </c>
      <c r="N117" s="4">
        <v>0.9</v>
      </c>
      <c r="O117" t="s">
        <v>30</v>
      </c>
    </row>
    <row r="118" spans="1:15" x14ac:dyDescent="0.3">
      <c r="A118" t="s">
        <v>401</v>
      </c>
      <c r="B118" s="5">
        <v>22</v>
      </c>
      <c r="C118" s="5" t="str" cm="1">
        <f t="array" ref="C118">_xlfn.IFS(worksheet[[#This Row],[age]]&lt;25,"1. Young Adulthood (18-24)",worksheet[[#This Row],[age]]&lt; 35,"2. Early Adulthood (25-34)",worksheet[[#This Row],[age]]&lt; 45,"3. Mid Adulthood (35-44)",worksheet[[#This Row],[age]]&lt; 55,"4. Mature Adulthood (45-54)",TRUE,"5. Late Adulthood/Senior (55+)")</f>
        <v>1. Young Adulthood (18-24)</v>
      </c>
      <c r="D118" t="s">
        <v>27</v>
      </c>
      <c r="E118" t="s">
        <v>22</v>
      </c>
      <c r="F118" s="4">
        <v>8.07</v>
      </c>
      <c r="G118" s="5">
        <v>36</v>
      </c>
      <c r="H118" t="s">
        <v>49</v>
      </c>
      <c r="I118" t="s">
        <v>46</v>
      </c>
      <c r="J118" s="6">
        <v>13.99</v>
      </c>
      <c r="K118">
        <v>1</v>
      </c>
      <c r="L118" t="s">
        <v>29</v>
      </c>
      <c r="M118" s="5">
        <v>2</v>
      </c>
      <c r="N118" s="4">
        <v>0.22</v>
      </c>
      <c r="O118" t="s">
        <v>30</v>
      </c>
    </row>
    <row r="119" spans="1:15" x14ac:dyDescent="0.3">
      <c r="A119" t="s">
        <v>406</v>
      </c>
      <c r="B119" s="5">
        <v>22</v>
      </c>
      <c r="C119" s="5" t="str" cm="1">
        <f t="array" ref="C119">_xlfn.IFS(worksheet[[#This Row],[age]]&lt;25,"1. Young Adulthood (18-24)",worksheet[[#This Row],[age]]&lt; 35,"2. Early Adulthood (25-34)",worksheet[[#This Row],[age]]&lt; 45,"3. Mid Adulthood (35-44)",worksheet[[#This Row],[age]]&lt; 55,"4. Mature Adulthood (45-54)",TRUE,"5. Late Adulthood/Senior (55+)")</f>
        <v>1. Young Adulthood (18-24)</v>
      </c>
      <c r="D119" t="s">
        <v>41</v>
      </c>
      <c r="E119" t="s">
        <v>32</v>
      </c>
      <c r="F119" s="4">
        <v>13.24</v>
      </c>
      <c r="G119" s="5">
        <v>37</v>
      </c>
      <c r="H119" t="s">
        <v>23</v>
      </c>
      <c r="I119" t="s">
        <v>24</v>
      </c>
      <c r="J119" s="6">
        <v>17.989999999999998</v>
      </c>
      <c r="K119">
        <v>0</v>
      </c>
      <c r="L119" t="s">
        <v>61</v>
      </c>
      <c r="M119" s="5">
        <v>5</v>
      </c>
      <c r="N119" s="4">
        <v>0.35</v>
      </c>
      <c r="O119" t="s">
        <v>34</v>
      </c>
    </row>
    <row r="120" spans="1:15" x14ac:dyDescent="0.3">
      <c r="A120" t="s">
        <v>409</v>
      </c>
      <c r="B120" s="5">
        <v>30</v>
      </c>
      <c r="C120" s="5" t="str" cm="1">
        <f t="array" ref="C120">_xlfn.IFS(worksheet[[#This Row],[age]]&lt;25,"1. Young Adulthood (18-24)",worksheet[[#This Row],[age]]&lt; 35,"2. Early Adulthood (25-34)",worksheet[[#This Row],[age]]&lt; 45,"3. Mid Adulthood (35-44)",worksheet[[#This Row],[age]]&lt; 55,"4. Mature Adulthood (45-54)",TRUE,"5. Late Adulthood/Senior (55+)")</f>
        <v>2. Early Adulthood (25-34)</v>
      </c>
      <c r="D120" t="s">
        <v>41</v>
      </c>
      <c r="E120" t="s">
        <v>22</v>
      </c>
      <c r="F120" s="4">
        <v>1.29</v>
      </c>
      <c r="G120" s="5">
        <v>4</v>
      </c>
      <c r="H120" t="s">
        <v>17</v>
      </c>
      <c r="I120" t="s">
        <v>18</v>
      </c>
      <c r="J120" s="6">
        <v>13.99</v>
      </c>
      <c r="K120">
        <v>0</v>
      </c>
      <c r="L120" t="s">
        <v>61</v>
      </c>
      <c r="M120" s="5">
        <v>5</v>
      </c>
      <c r="N120" s="4">
        <v>0.26</v>
      </c>
      <c r="O120" t="s">
        <v>20</v>
      </c>
    </row>
    <row r="121" spans="1:15" x14ac:dyDescent="0.3">
      <c r="A121" t="s">
        <v>412</v>
      </c>
      <c r="B121" s="5">
        <v>18</v>
      </c>
      <c r="C121" s="5" t="str" cm="1">
        <f t="array" ref="C121">_xlfn.IFS(worksheet[[#This Row],[age]]&lt;25,"1. Young Adulthood (18-24)",worksheet[[#This Row],[age]]&lt; 35,"2. Early Adulthood (25-34)",worksheet[[#This Row],[age]]&lt; 45,"3. Mid Adulthood (35-44)",worksheet[[#This Row],[age]]&lt; 55,"4. Mature Adulthood (45-54)",TRUE,"5. Late Adulthood/Senior (55+)")</f>
        <v>1. Young Adulthood (18-24)</v>
      </c>
      <c r="D121" t="s">
        <v>41</v>
      </c>
      <c r="E121" t="s">
        <v>22</v>
      </c>
      <c r="F121" s="4">
        <v>18.75</v>
      </c>
      <c r="G121" s="5">
        <v>24</v>
      </c>
      <c r="H121" t="s">
        <v>49</v>
      </c>
      <c r="I121" t="s">
        <v>24</v>
      </c>
      <c r="J121" s="6">
        <v>13.99</v>
      </c>
      <c r="K121">
        <v>0</v>
      </c>
      <c r="L121" t="s">
        <v>43</v>
      </c>
      <c r="M121" s="5">
        <v>5</v>
      </c>
      <c r="N121" s="4">
        <v>0.75</v>
      </c>
      <c r="O121" t="s">
        <v>25</v>
      </c>
    </row>
    <row r="122" spans="1:15" x14ac:dyDescent="0.3">
      <c r="A122" t="s">
        <v>416</v>
      </c>
      <c r="B122" s="5">
        <v>25</v>
      </c>
      <c r="C122" s="5" t="str" cm="1">
        <f t="array" ref="C122">_xlfn.IFS(worksheet[[#This Row],[age]]&lt;25,"1. Young Adulthood (18-24)",worksheet[[#This Row],[age]]&lt; 35,"2. Early Adulthood (25-34)",worksheet[[#This Row],[age]]&lt; 45,"3. Mid Adulthood (35-44)",worksheet[[#This Row],[age]]&lt; 55,"4. Mature Adulthood (45-54)",TRUE,"5. Late Adulthood/Senior (55+)")</f>
        <v>2. Early Adulthood (25-34)</v>
      </c>
      <c r="D122" t="s">
        <v>41</v>
      </c>
      <c r="E122" t="s">
        <v>32</v>
      </c>
      <c r="F122" s="4">
        <v>23.81</v>
      </c>
      <c r="G122" s="5">
        <v>59</v>
      </c>
      <c r="H122" t="s">
        <v>49</v>
      </c>
      <c r="I122" t="s">
        <v>46</v>
      </c>
      <c r="J122" s="6">
        <v>17.989999999999998</v>
      </c>
      <c r="K122">
        <v>0</v>
      </c>
      <c r="L122" t="s">
        <v>37</v>
      </c>
      <c r="M122" s="5">
        <v>3</v>
      </c>
      <c r="N122" s="4">
        <v>0.4</v>
      </c>
      <c r="O122" t="s">
        <v>47</v>
      </c>
    </row>
    <row r="123" spans="1:15" x14ac:dyDescent="0.3">
      <c r="A123" t="s">
        <v>417</v>
      </c>
      <c r="B123" s="5">
        <v>31</v>
      </c>
      <c r="C123" s="5" t="str" cm="1">
        <f t="array" ref="C123">_xlfn.IFS(worksheet[[#This Row],[age]]&lt;25,"1. Young Adulthood (18-24)",worksheet[[#This Row],[age]]&lt; 35,"2. Early Adulthood (25-34)",worksheet[[#This Row],[age]]&lt; 45,"3. Mid Adulthood (35-44)",worksheet[[#This Row],[age]]&lt; 55,"4. Mature Adulthood (45-54)",TRUE,"5. Late Adulthood/Senior (55+)")</f>
        <v>2. Early Adulthood (25-34)</v>
      </c>
      <c r="D123" t="s">
        <v>15</v>
      </c>
      <c r="E123" t="s">
        <v>32</v>
      </c>
      <c r="F123" s="4">
        <v>2.4700000000000002</v>
      </c>
      <c r="G123" s="5">
        <v>33</v>
      </c>
      <c r="H123" t="s">
        <v>70</v>
      </c>
      <c r="I123" t="s">
        <v>24</v>
      </c>
      <c r="J123" s="6">
        <v>17.989999999999998</v>
      </c>
      <c r="K123">
        <v>1</v>
      </c>
      <c r="L123" t="s">
        <v>43</v>
      </c>
      <c r="M123" s="5">
        <v>2</v>
      </c>
      <c r="N123" s="4">
        <v>7.0000000000000007E-2</v>
      </c>
      <c r="O123" t="s">
        <v>25</v>
      </c>
    </row>
    <row r="124" spans="1:15" x14ac:dyDescent="0.3">
      <c r="A124" t="s">
        <v>432</v>
      </c>
      <c r="B124" s="5">
        <v>26</v>
      </c>
      <c r="C124" s="5" t="str" cm="1">
        <f t="array" ref="C124">_xlfn.IFS(worksheet[[#This Row],[age]]&lt;25,"1. Young Adulthood (18-24)",worksheet[[#This Row],[age]]&lt; 35,"2. Early Adulthood (25-34)",worksheet[[#This Row],[age]]&lt; 45,"3. Mid Adulthood (35-44)",worksheet[[#This Row],[age]]&lt; 55,"4. Mature Adulthood (45-54)",TRUE,"5. Late Adulthood/Senior (55+)")</f>
        <v>2. Early Adulthood (25-34)</v>
      </c>
      <c r="D124" t="s">
        <v>27</v>
      </c>
      <c r="E124" t="s">
        <v>32</v>
      </c>
      <c r="F124" s="4">
        <v>13.59</v>
      </c>
      <c r="G124" s="5">
        <v>51</v>
      </c>
      <c r="H124" t="s">
        <v>33</v>
      </c>
      <c r="I124" t="s">
        <v>24</v>
      </c>
      <c r="J124" s="6">
        <v>17.989999999999998</v>
      </c>
      <c r="K124">
        <v>1</v>
      </c>
      <c r="L124" t="s">
        <v>29</v>
      </c>
      <c r="M124" s="5">
        <v>2</v>
      </c>
      <c r="N124" s="4">
        <v>0.26</v>
      </c>
      <c r="O124" t="s">
        <v>30</v>
      </c>
    </row>
    <row r="125" spans="1:15" x14ac:dyDescent="0.3">
      <c r="A125" t="s">
        <v>441</v>
      </c>
      <c r="B125" s="5">
        <v>22</v>
      </c>
      <c r="C125" s="5" t="str" cm="1">
        <f t="array" ref="C125">_xlfn.IFS(worksheet[[#This Row],[age]]&lt;25,"1. Young Adulthood (18-24)",worksheet[[#This Row],[age]]&lt; 35,"2. Early Adulthood (25-34)",worksheet[[#This Row],[age]]&lt; 45,"3. Mid Adulthood (35-44)",worksheet[[#This Row],[age]]&lt; 55,"4. Mature Adulthood (45-54)",TRUE,"5. Late Adulthood/Senior (55+)")</f>
        <v>1. Young Adulthood (18-24)</v>
      </c>
      <c r="D125" t="s">
        <v>15</v>
      </c>
      <c r="E125" t="s">
        <v>22</v>
      </c>
      <c r="F125" s="4">
        <v>1.04</v>
      </c>
      <c r="G125" s="5">
        <v>56</v>
      </c>
      <c r="H125" t="s">
        <v>17</v>
      </c>
      <c r="I125" t="s">
        <v>55</v>
      </c>
      <c r="J125" s="6">
        <v>13.99</v>
      </c>
      <c r="K125">
        <v>1</v>
      </c>
      <c r="L125" t="s">
        <v>43</v>
      </c>
      <c r="M125" s="5">
        <v>3</v>
      </c>
      <c r="N125" s="4">
        <v>0.02</v>
      </c>
      <c r="O125" t="s">
        <v>47</v>
      </c>
    </row>
    <row r="126" spans="1:15" x14ac:dyDescent="0.3">
      <c r="A126" t="s">
        <v>442</v>
      </c>
      <c r="B126" s="5">
        <v>33</v>
      </c>
      <c r="C126" s="5" t="str" cm="1">
        <f t="array" ref="C126">_xlfn.IFS(worksheet[[#This Row],[age]]&lt;25,"1. Young Adulthood (18-24)",worksheet[[#This Row],[age]]&lt; 35,"2. Early Adulthood (25-34)",worksheet[[#This Row],[age]]&lt; 45,"3. Mid Adulthood (35-44)",worksheet[[#This Row],[age]]&lt; 55,"4. Mature Adulthood (45-54)",TRUE,"5. Late Adulthood/Senior (55+)")</f>
        <v>2. Early Adulthood (25-34)</v>
      </c>
      <c r="D126" t="s">
        <v>15</v>
      </c>
      <c r="E126" t="s">
        <v>22</v>
      </c>
      <c r="F126" s="4">
        <v>59.71</v>
      </c>
      <c r="G126" s="5">
        <v>55</v>
      </c>
      <c r="H126" t="s">
        <v>28</v>
      </c>
      <c r="I126" t="s">
        <v>55</v>
      </c>
      <c r="J126" s="6">
        <v>13.99</v>
      </c>
      <c r="K126">
        <v>0</v>
      </c>
      <c r="L126" t="s">
        <v>61</v>
      </c>
      <c r="M126" s="5">
        <v>5</v>
      </c>
      <c r="N126" s="4">
        <v>1.07</v>
      </c>
      <c r="O126" t="s">
        <v>52</v>
      </c>
    </row>
    <row r="127" spans="1:15" x14ac:dyDescent="0.3">
      <c r="A127" t="s">
        <v>445</v>
      </c>
      <c r="B127" s="5">
        <v>20</v>
      </c>
      <c r="C127" s="5" t="str" cm="1">
        <f t="array" ref="C127">_xlfn.IFS(worksheet[[#This Row],[age]]&lt;25,"1. Young Adulthood (18-24)",worksheet[[#This Row],[age]]&lt; 35,"2. Early Adulthood (25-34)",worksheet[[#This Row],[age]]&lt; 45,"3. Mid Adulthood (35-44)",worksheet[[#This Row],[age]]&lt; 55,"4. Mature Adulthood (45-54)",TRUE,"5. Late Adulthood/Senior (55+)")</f>
        <v>1. Young Adulthood (18-24)</v>
      </c>
      <c r="D127" t="s">
        <v>27</v>
      </c>
      <c r="E127" t="s">
        <v>22</v>
      </c>
      <c r="F127" s="4">
        <v>13.2</v>
      </c>
      <c r="G127" s="5">
        <v>56</v>
      </c>
      <c r="H127" t="s">
        <v>28</v>
      </c>
      <c r="I127" t="s">
        <v>24</v>
      </c>
      <c r="J127" s="6">
        <v>13.99</v>
      </c>
      <c r="K127">
        <v>1</v>
      </c>
      <c r="L127" t="s">
        <v>37</v>
      </c>
      <c r="M127" s="5">
        <v>2</v>
      </c>
      <c r="N127" s="4">
        <v>0.23</v>
      </c>
      <c r="O127" t="s">
        <v>39</v>
      </c>
    </row>
    <row r="128" spans="1:15" x14ac:dyDescent="0.3">
      <c r="A128" t="s">
        <v>451</v>
      </c>
      <c r="B128" s="5">
        <v>32</v>
      </c>
      <c r="C128" s="5" t="str" cm="1">
        <f t="array" ref="C128">_xlfn.IFS(worksheet[[#This Row],[age]]&lt;25,"1. Young Adulthood (18-24)",worksheet[[#This Row],[age]]&lt; 35,"2. Early Adulthood (25-34)",worksheet[[#This Row],[age]]&lt; 45,"3. Mid Adulthood (35-44)",worksheet[[#This Row],[age]]&lt; 55,"4. Mature Adulthood (45-54)",TRUE,"5. Late Adulthood/Senior (55+)")</f>
        <v>2. Early Adulthood (25-34)</v>
      </c>
      <c r="D128" t="s">
        <v>27</v>
      </c>
      <c r="E128" t="s">
        <v>22</v>
      </c>
      <c r="F128" s="4">
        <v>6.93</v>
      </c>
      <c r="G128" s="5">
        <v>34</v>
      </c>
      <c r="H128" t="s">
        <v>49</v>
      </c>
      <c r="I128" t="s">
        <v>24</v>
      </c>
      <c r="J128" s="6">
        <v>13.99</v>
      </c>
      <c r="K128">
        <v>1</v>
      </c>
      <c r="L128" t="s">
        <v>29</v>
      </c>
      <c r="M128" s="5">
        <v>3</v>
      </c>
      <c r="N128" s="4">
        <v>0.2</v>
      </c>
      <c r="O128" t="s">
        <v>47</v>
      </c>
    </row>
    <row r="129" spans="1:15" x14ac:dyDescent="0.3">
      <c r="A129" t="s">
        <v>452</v>
      </c>
      <c r="B129" s="5">
        <v>31</v>
      </c>
      <c r="C129" s="5" t="str" cm="1">
        <f t="array" ref="C129">_xlfn.IFS(worksheet[[#This Row],[age]]&lt;25,"1. Young Adulthood (18-24)",worksheet[[#This Row],[age]]&lt; 35,"2. Early Adulthood (25-34)",worksheet[[#This Row],[age]]&lt; 45,"3. Mid Adulthood (35-44)",worksheet[[#This Row],[age]]&lt; 55,"4. Mature Adulthood (45-54)",TRUE,"5. Late Adulthood/Senior (55+)")</f>
        <v>2. Early Adulthood (25-34)</v>
      </c>
      <c r="D129" t="s">
        <v>41</v>
      </c>
      <c r="E129" t="s">
        <v>16</v>
      </c>
      <c r="F129" s="4">
        <v>5.18</v>
      </c>
      <c r="G129" s="5">
        <v>36</v>
      </c>
      <c r="H129" t="s">
        <v>33</v>
      </c>
      <c r="I129" t="s">
        <v>57</v>
      </c>
      <c r="J129" s="6">
        <v>8.99</v>
      </c>
      <c r="K129">
        <v>1</v>
      </c>
      <c r="L129" t="s">
        <v>61</v>
      </c>
      <c r="M129" s="5">
        <v>1</v>
      </c>
      <c r="N129" s="4">
        <v>0.14000000000000001</v>
      </c>
      <c r="O129" t="s">
        <v>34</v>
      </c>
    </row>
    <row r="130" spans="1:15" x14ac:dyDescent="0.3">
      <c r="A130" t="s">
        <v>460</v>
      </c>
      <c r="B130" s="5">
        <v>25</v>
      </c>
      <c r="C130" s="5" t="str" cm="1">
        <f t="array" ref="C130">_xlfn.IFS(worksheet[[#This Row],[age]]&lt;25,"1. Young Adulthood (18-24)",worksheet[[#This Row],[age]]&lt; 35,"2. Early Adulthood (25-34)",worksheet[[#This Row],[age]]&lt; 45,"3. Mid Adulthood (35-44)",worksheet[[#This Row],[age]]&lt; 55,"4. Mature Adulthood (45-54)",TRUE,"5. Late Adulthood/Senior (55+)")</f>
        <v>2. Early Adulthood (25-34)</v>
      </c>
      <c r="D130" t="s">
        <v>27</v>
      </c>
      <c r="E130" t="s">
        <v>32</v>
      </c>
      <c r="F130" s="4">
        <v>6.38</v>
      </c>
      <c r="G130" s="5">
        <v>23</v>
      </c>
      <c r="H130" t="s">
        <v>49</v>
      </c>
      <c r="I130" t="s">
        <v>18</v>
      </c>
      <c r="J130" s="6">
        <v>17.989999999999998</v>
      </c>
      <c r="K130">
        <v>0</v>
      </c>
      <c r="L130" t="s">
        <v>19</v>
      </c>
      <c r="M130" s="5">
        <v>5</v>
      </c>
      <c r="N130" s="4">
        <v>0.27</v>
      </c>
      <c r="O130" t="s">
        <v>30</v>
      </c>
    </row>
    <row r="131" spans="1:15" x14ac:dyDescent="0.3">
      <c r="A131" t="s">
        <v>461</v>
      </c>
      <c r="B131" s="5">
        <v>28</v>
      </c>
      <c r="C131" s="5" t="str" cm="1">
        <f t="array" ref="C131">_xlfn.IFS(worksheet[[#This Row],[age]]&lt;25,"1. Young Adulthood (18-24)",worksheet[[#This Row],[age]]&lt; 35,"2. Early Adulthood (25-34)",worksheet[[#This Row],[age]]&lt; 45,"3. Mid Adulthood (35-44)",worksheet[[#This Row],[age]]&lt; 55,"4. Mature Adulthood (45-54)",TRUE,"5. Late Adulthood/Senior (55+)")</f>
        <v>2. Early Adulthood (25-34)</v>
      </c>
      <c r="D131" t="s">
        <v>15</v>
      </c>
      <c r="E131" t="s">
        <v>32</v>
      </c>
      <c r="F131" s="4">
        <v>7.1</v>
      </c>
      <c r="G131" s="5">
        <v>11</v>
      </c>
      <c r="H131" t="s">
        <v>70</v>
      </c>
      <c r="I131" t="s">
        <v>46</v>
      </c>
      <c r="J131" s="6">
        <v>17.989999999999998</v>
      </c>
      <c r="K131">
        <v>0</v>
      </c>
      <c r="L131" t="s">
        <v>29</v>
      </c>
      <c r="M131" s="5">
        <v>3</v>
      </c>
      <c r="N131" s="4">
        <v>0.59</v>
      </c>
      <c r="O131" t="s">
        <v>34</v>
      </c>
    </row>
    <row r="132" spans="1:15" x14ac:dyDescent="0.3">
      <c r="A132" t="s">
        <v>463</v>
      </c>
      <c r="B132" s="5">
        <v>33</v>
      </c>
      <c r="C132" s="5" t="str" cm="1">
        <f t="array" ref="C132">_xlfn.IFS(worksheet[[#This Row],[age]]&lt;25,"1. Young Adulthood (18-24)",worksheet[[#This Row],[age]]&lt; 35,"2. Early Adulthood (25-34)",worksheet[[#This Row],[age]]&lt; 45,"3. Mid Adulthood (35-44)",worksheet[[#This Row],[age]]&lt; 55,"4. Mature Adulthood (45-54)",TRUE,"5. Late Adulthood/Senior (55+)")</f>
        <v>2. Early Adulthood (25-34)</v>
      </c>
      <c r="D132" t="s">
        <v>15</v>
      </c>
      <c r="E132" t="s">
        <v>16</v>
      </c>
      <c r="F132" s="4">
        <v>3.84</v>
      </c>
      <c r="G132" s="5">
        <v>28</v>
      </c>
      <c r="H132" t="s">
        <v>49</v>
      </c>
      <c r="I132" t="s">
        <v>24</v>
      </c>
      <c r="J132" s="6">
        <v>8.99</v>
      </c>
      <c r="K132">
        <v>1</v>
      </c>
      <c r="L132" t="s">
        <v>61</v>
      </c>
      <c r="M132" s="5">
        <v>3</v>
      </c>
      <c r="N132" s="4">
        <v>0.13</v>
      </c>
      <c r="O132" t="s">
        <v>34</v>
      </c>
    </row>
    <row r="133" spans="1:15" x14ac:dyDescent="0.3">
      <c r="A133" t="s">
        <v>464</v>
      </c>
      <c r="B133" s="5">
        <v>21</v>
      </c>
      <c r="C133" s="5" t="str" cm="1">
        <f t="array" ref="C133">_xlfn.IFS(worksheet[[#This Row],[age]]&lt;25,"1. Young Adulthood (18-24)",worksheet[[#This Row],[age]]&lt; 35,"2. Early Adulthood (25-34)",worksheet[[#This Row],[age]]&lt; 45,"3. Mid Adulthood (35-44)",worksheet[[#This Row],[age]]&lt; 55,"4. Mature Adulthood (45-54)",TRUE,"5. Late Adulthood/Senior (55+)")</f>
        <v>1. Young Adulthood (18-24)</v>
      </c>
      <c r="D133" t="s">
        <v>41</v>
      </c>
      <c r="E133" t="s">
        <v>22</v>
      </c>
      <c r="F133" s="4">
        <v>10.63</v>
      </c>
      <c r="G133" s="5">
        <v>4</v>
      </c>
      <c r="H133" t="s">
        <v>33</v>
      </c>
      <c r="I133" t="s">
        <v>57</v>
      </c>
      <c r="J133" s="6">
        <v>13.99</v>
      </c>
      <c r="K133">
        <v>0</v>
      </c>
      <c r="L133" t="s">
        <v>19</v>
      </c>
      <c r="M133" s="5">
        <v>1</v>
      </c>
      <c r="N133" s="4">
        <v>2.13</v>
      </c>
      <c r="O133" t="s">
        <v>47</v>
      </c>
    </row>
    <row r="134" spans="1:15" x14ac:dyDescent="0.3">
      <c r="A134" t="s">
        <v>465</v>
      </c>
      <c r="B134" s="5">
        <v>24</v>
      </c>
      <c r="C134" s="5" t="str" cm="1">
        <f t="array" ref="C134">_xlfn.IFS(worksheet[[#This Row],[age]]&lt;25,"1. Young Adulthood (18-24)",worksheet[[#This Row],[age]]&lt; 35,"2. Early Adulthood (25-34)",worksheet[[#This Row],[age]]&lt; 45,"3. Mid Adulthood (35-44)",worksheet[[#This Row],[age]]&lt; 55,"4. Mature Adulthood (45-54)",TRUE,"5. Late Adulthood/Senior (55+)")</f>
        <v>1. Young Adulthood (18-24)</v>
      </c>
      <c r="D134" t="s">
        <v>27</v>
      </c>
      <c r="E134" t="s">
        <v>22</v>
      </c>
      <c r="F134" s="4">
        <v>0.02</v>
      </c>
      <c r="G134" s="5">
        <v>35</v>
      </c>
      <c r="H134" t="s">
        <v>17</v>
      </c>
      <c r="I134" t="s">
        <v>57</v>
      </c>
      <c r="J134" s="6">
        <v>13.99</v>
      </c>
      <c r="K134">
        <v>1</v>
      </c>
      <c r="L134" t="s">
        <v>43</v>
      </c>
      <c r="M134" s="5">
        <v>3</v>
      </c>
      <c r="N134" s="4">
        <v>0</v>
      </c>
      <c r="O134" t="s">
        <v>52</v>
      </c>
    </row>
    <row r="135" spans="1:15" x14ac:dyDescent="0.3">
      <c r="A135" t="s">
        <v>472</v>
      </c>
      <c r="B135" s="5">
        <v>33</v>
      </c>
      <c r="C135" s="5" t="str" cm="1">
        <f t="array" ref="C135">_xlfn.IFS(worksheet[[#This Row],[age]]&lt;25,"1. Young Adulthood (18-24)",worksheet[[#This Row],[age]]&lt; 35,"2. Early Adulthood (25-34)",worksheet[[#This Row],[age]]&lt; 45,"3. Mid Adulthood (35-44)",worksheet[[#This Row],[age]]&lt; 55,"4. Mature Adulthood (45-54)",TRUE,"5. Late Adulthood/Senior (55+)")</f>
        <v>2. Early Adulthood (25-34)</v>
      </c>
      <c r="D135" t="s">
        <v>41</v>
      </c>
      <c r="E135" t="s">
        <v>16</v>
      </c>
      <c r="F135" s="4">
        <v>8.19</v>
      </c>
      <c r="G135" s="5">
        <v>53</v>
      </c>
      <c r="H135" t="s">
        <v>23</v>
      </c>
      <c r="I135" t="s">
        <v>18</v>
      </c>
      <c r="J135" s="6">
        <v>8.99</v>
      </c>
      <c r="K135">
        <v>1</v>
      </c>
      <c r="L135" t="s">
        <v>61</v>
      </c>
      <c r="M135" s="5">
        <v>1</v>
      </c>
      <c r="N135" s="4">
        <v>0.15</v>
      </c>
      <c r="O135" t="s">
        <v>47</v>
      </c>
    </row>
    <row r="136" spans="1:15" x14ac:dyDescent="0.3">
      <c r="A136" t="s">
        <v>473</v>
      </c>
      <c r="B136" s="5">
        <v>19</v>
      </c>
      <c r="C136" s="5" t="str" cm="1">
        <f t="array" ref="C136">_xlfn.IFS(worksheet[[#This Row],[age]]&lt;25,"1. Young Adulthood (18-24)",worksheet[[#This Row],[age]]&lt; 35,"2. Early Adulthood (25-34)",worksheet[[#This Row],[age]]&lt; 45,"3. Mid Adulthood (35-44)",worksheet[[#This Row],[age]]&lt; 55,"4. Mature Adulthood (45-54)",TRUE,"5. Late Adulthood/Senior (55+)")</f>
        <v>1. Young Adulthood (18-24)</v>
      </c>
      <c r="D136" t="s">
        <v>27</v>
      </c>
      <c r="E136" t="s">
        <v>32</v>
      </c>
      <c r="F136" s="4">
        <v>11.05</v>
      </c>
      <c r="G136" s="5">
        <v>5</v>
      </c>
      <c r="H136" t="s">
        <v>33</v>
      </c>
      <c r="I136" t="s">
        <v>18</v>
      </c>
      <c r="J136" s="6">
        <v>17.989999999999998</v>
      </c>
      <c r="K136">
        <v>0</v>
      </c>
      <c r="L136" t="s">
        <v>19</v>
      </c>
      <c r="M136" s="5">
        <v>1</v>
      </c>
      <c r="N136" s="4">
        <v>1.84</v>
      </c>
      <c r="O136" t="s">
        <v>39</v>
      </c>
    </row>
    <row r="137" spans="1:15" x14ac:dyDescent="0.3">
      <c r="A137" t="s">
        <v>476</v>
      </c>
      <c r="B137" s="5">
        <v>28</v>
      </c>
      <c r="C137" s="5" t="str" cm="1">
        <f t="array" ref="C137">_xlfn.IFS(worksheet[[#This Row],[age]]&lt;25,"1. Young Adulthood (18-24)",worksheet[[#This Row],[age]]&lt; 35,"2. Early Adulthood (25-34)",worksheet[[#This Row],[age]]&lt; 45,"3. Mid Adulthood (35-44)",worksheet[[#This Row],[age]]&lt; 55,"4. Mature Adulthood (45-54)",TRUE,"5. Late Adulthood/Senior (55+)")</f>
        <v>2. Early Adulthood (25-34)</v>
      </c>
      <c r="D137" t="s">
        <v>41</v>
      </c>
      <c r="E137" t="s">
        <v>16</v>
      </c>
      <c r="F137" s="4">
        <v>9.85</v>
      </c>
      <c r="G137" s="5">
        <v>46</v>
      </c>
      <c r="H137" t="s">
        <v>70</v>
      </c>
      <c r="I137" t="s">
        <v>55</v>
      </c>
      <c r="J137" s="6">
        <v>8.99</v>
      </c>
      <c r="K137">
        <v>1</v>
      </c>
      <c r="L137" t="s">
        <v>19</v>
      </c>
      <c r="M137" s="5">
        <v>5</v>
      </c>
      <c r="N137" s="4">
        <v>0.21</v>
      </c>
      <c r="O137" t="s">
        <v>30</v>
      </c>
    </row>
    <row r="138" spans="1:15" x14ac:dyDescent="0.3">
      <c r="A138" t="s">
        <v>478</v>
      </c>
      <c r="B138" s="5">
        <v>21</v>
      </c>
      <c r="C138" s="5" t="str" cm="1">
        <f t="array" ref="C138">_xlfn.IFS(worksheet[[#This Row],[age]]&lt;25,"1. Young Adulthood (18-24)",worksheet[[#This Row],[age]]&lt; 35,"2. Early Adulthood (25-34)",worksheet[[#This Row],[age]]&lt; 45,"3. Mid Adulthood (35-44)",worksheet[[#This Row],[age]]&lt; 55,"4. Mature Adulthood (45-54)",TRUE,"5. Late Adulthood/Senior (55+)")</f>
        <v>1. Young Adulthood (18-24)</v>
      </c>
      <c r="D138" t="s">
        <v>27</v>
      </c>
      <c r="E138" t="s">
        <v>16</v>
      </c>
      <c r="F138" s="4">
        <v>19.14</v>
      </c>
      <c r="G138" s="5">
        <v>28</v>
      </c>
      <c r="H138" t="s">
        <v>70</v>
      </c>
      <c r="I138" t="s">
        <v>55</v>
      </c>
      <c r="J138" s="6">
        <v>8.99</v>
      </c>
      <c r="K138">
        <v>0</v>
      </c>
      <c r="L138" t="s">
        <v>29</v>
      </c>
      <c r="M138" s="5">
        <v>2</v>
      </c>
      <c r="N138" s="4">
        <v>0.66</v>
      </c>
      <c r="O138" t="s">
        <v>47</v>
      </c>
    </row>
    <row r="139" spans="1:15" x14ac:dyDescent="0.3">
      <c r="A139" t="s">
        <v>479</v>
      </c>
      <c r="B139" s="5">
        <v>23</v>
      </c>
      <c r="C139" s="5" t="str" cm="1">
        <f t="array" ref="C139">_xlfn.IFS(worksheet[[#This Row],[age]]&lt;25,"1. Young Adulthood (18-24)",worksheet[[#This Row],[age]]&lt; 35,"2. Early Adulthood (25-34)",worksheet[[#This Row],[age]]&lt; 45,"3. Mid Adulthood (35-44)",worksheet[[#This Row],[age]]&lt; 55,"4. Mature Adulthood (45-54)",TRUE,"5. Late Adulthood/Senior (55+)")</f>
        <v>1. Young Adulthood (18-24)</v>
      </c>
      <c r="D139" t="s">
        <v>15</v>
      </c>
      <c r="E139" t="s">
        <v>16</v>
      </c>
      <c r="F139" s="4">
        <v>10.73</v>
      </c>
      <c r="G139" s="5">
        <v>35</v>
      </c>
      <c r="H139" t="s">
        <v>23</v>
      </c>
      <c r="I139" t="s">
        <v>57</v>
      </c>
      <c r="J139" s="6">
        <v>8.99</v>
      </c>
      <c r="K139">
        <v>1</v>
      </c>
      <c r="L139" t="s">
        <v>61</v>
      </c>
      <c r="M139" s="5">
        <v>5</v>
      </c>
      <c r="N139" s="4">
        <v>0.3</v>
      </c>
      <c r="O139" t="s">
        <v>47</v>
      </c>
    </row>
    <row r="140" spans="1:15" x14ac:dyDescent="0.3">
      <c r="A140" t="s">
        <v>480</v>
      </c>
      <c r="B140" s="5">
        <v>30</v>
      </c>
      <c r="C140" s="5" t="str" cm="1">
        <f t="array" ref="C140">_xlfn.IFS(worksheet[[#This Row],[age]]&lt;25,"1. Young Adulthood (18-24)",worksheet[[#This Row],[age]]&lt; 35,"2. Early Adulthood (25-34)",worksheet[[#This Row],[age]]&lt; 45,"3. Mid Adulthood (35-44)",worksheet[[#This Row],[age]]&lt; 55,"4. Mature Adulthood (45-54)",TRUE,"5. Late Adulthood/Senior (55+)")</f>
        <v>2. Early Adulthood (25-34)</v>
      </c>
      <c r="D140" t="s">
        <v>41</v>
      </c>
      <c r="E140" t="s">
        <v>22</v>
      </c>
      <c r="F140" s="4">
        <v>5.0999999999999996</v>
      </c>
      <c r="G140" s="5">
        <v>9</v>
      </c>
      <c r="H140" t="s">
        <v>70</v>
      </c>
      <c r="I140" t="s">
        <v>18</v>
      </c>
      <c r="J140" s="6">
        <v>13.99</v>
      </c>
      <c r="K140">
        <v>0</v>
      </c>
      <c r="L140" t="s">
        <v>43</v>
      </c>
      <c r="M140" s="5">
        <v>5</v>
      </c>
      <c r="N140" s="4">
        <v>0.51</v>
      </c>
      <c r="O140" t="s">
        <v>47</v>
      </c>
    </row>
    <row r="141" spans="1:15" x14ac:dyDescent="0.3">
      <c r="A141" t="s">
        <v>482</v>
      </c>
      <c r="B141" s="5">
        <v>32</v>
      </c>
      <c r="C141" s="5" t="str" cm="1">
        <f t="array" ref="C141">_xlfn.IFS(worksheet[[#This Row],[age]]&lt;25,"1. Young Adulthood (18-24)",worksheet[[#This Row],[age]]&lt; 35,"2. Early Adulthood (25-34)",worksheet[[#This Row],[age]]&lt; 45,"3. Mid Adulthood (35-44)",worksheet[[#This Row],[age]]&lt; 55,"4. Mature Adulthood (45-54)",TRUE,"5. Late Adulthood/Senior (55+)")</f>
        <v>2. Early Adulthood (25-34)</v>
      </c>
      <c r="D141" t="s">
        <v>15</v>
      </c>
      <c r="E141" t="s">
        <v>32</v>
      </c>
      <c r="F141" s="4">
        <v>45.98</v>
      </c>
      <c r="G141" s="5">
        <v>45</v>
      </c>
      <c r="H141" t="s">
        <v>28</v>
      </c>
      <c r="I141" t="s">
        <v>55</v>
      </c>
      <c r="J141" s="6">
        <v>17.989999999999998</v>
      </c>
      <c r="K141">
        <v>0</v>
      </c>
      <c r="L141" t="s">
        <v>29</v>
      </c>
      <c r="M141" s="5">
        <v>1</v>
      </c>
      <c r="N141" s="4">
        <v>1</v>
      </c>
      <c r="O141" t="s">
        <v>47</v>
      </c>
    </row>
    <row r="142" spans="1:15" x14ac:dyDescent="0.3">
      <c r="A142" t="s">
        <v>483</v>
      </c>
      <c r="B142" s="5">
        <v>18</v>
      </c>
      <c r="C142" s="5" t="str" cm="1">
        <f t="array" ref="C142">_xlfn.IFS(worksheet[[#This Row],[age]]&lt;25,"1. Young Adulthood (18-24)",worksheet[[#This Row],[age]]&lt; 35,"2. Early Adulthood (25-34)",worksheet[[#This Row],[age]]&lt; 45,"3. Mid Adulthood (35-44)",worksheet[[#This Row],[age]]&lt; 55,"4. Mature Adulthood (45-54)",TRUE,"5. Late Adulthood/Senior (55+)")</f>
        <v>1. Young Adulthood (18-24)</v>
      </c>
      <c r="D142" t="s">
        <v>41</v>
      </c>
      <c r="E142" t="s">
        <v>22</v>
      </c>
      <c r="F142" s="4">
        <v>20.65</v>
      </c>
      <c r="G142" s="5">
        <v>19</v>
      </c>
      <c r="H142" t="s">
        <v>70</v>
      </c>
      <c r="I142" t="s">
        <v>57</v>
      </c>
      <c r="J142" s="6">
        <v>13.99</v>
      </c>
      <c r="K142">
        <v>0</v>
      </c>
      <c r="L142" t="s">
        <v>29</v>
      </c>
      <c r="M142" s="5">
        <v>4</v>
      </c>
      <c r="N142" s="4">
        <v>1.03</v>
      </c>
      <c r="O142" t="s">
        <v>25</v>
      </c>
    </row>
    <row r="143" spans="1:15" x14ac:dyDescent="0.3">
      <c r="A143" t="s">
        <v>485</v>
      </c>
      <c r="B143" s="5">
        <v>28</v>
      </c>
      <c r="C143" s="5" t="str" cm="1">
        <f t="array" ref="C143">_xlfn.IFS(worksheet[[#This Row],[age]]&lt;25,"1. Young Adulthood (18-24)",worksheet[[#This Row],[age]]&lt; 35,"2. Early Adulthood (25-34)",worksheet[[#This Row],[age]]&lt; 45,"3. Mid Adulthood (35-44)",worksheet[[#This Row],[age]]&lt; 55,"4. Mature Adulthood (45-54)",TRUE,"5. Late Adulthood/Senior (55+)")</f>
        <v>2. Early Adulthood (25-34)</v>
      </c>
      <c r="D143" t="s">
        <v>41</v>
      </c>
      <c r="E143" t="s">
        <v>22</v>
      </c>
      <c r="F143" s="4">
        <v>1.78</v>
      </c>
      <c r="G143" s="5">
        <v>35</v>
      </c>
      <c r="H143" t="s">
        <v>49</v>
      </c>
      <c r="I143" t="s">
        <v>24</v>
      </c>
      <c r="J143" s="6">
        <v>13.99</v>
      </c>
      <c r="K143">
        <v>1</v>
      </c>
      <c r="L143" t="s">
        <v>37</v>
      </c>
      <c r="M143" s="5">
        <v>3</v>
      </c>
      <c r="N143" s="4">
        <v>0.05</v>
      </c>
      <c r="O143" t="s">
        <v>20</v>
      </c>
    </row>
    <row r="144" spans="1:15" x14ac:dyDescent="0.3">
      <c r="A144" t="s">
        <v>486</v>
      </c>
      <c r="B144" s="5">
        <v>32</v>
      </c>
      <c r="C144" s="5" t="str" cm="1">
        <f t="array" ref="C144">_xlfn.IFS(worksheet[[#This Row],[age]]&lt;25,"1. Young Adulthood (18-24)",worksheet[[#This Row],[age]]&lt; 35,"2. Early Adulthood (25-34)",worksheet[[#This Row],[age]]&lt; 45,"3. Mid Adulthood (35-44)",worksheet[[#This Row],[age]]&lt; 55,"4. Mature Adulthood (45-54)",TRUE,"5. Late Adulthood/Senior (55+)")</f>
        <v>2. Early Adulthood (25-34)</v>
      </c>
      <c r="D144" t="s">
        <v>41</v>
      </c>
      <c r="E144" t="s">
        <v>32</v>
      </c>
      <c r="F144" s="4">
        <v>4.1100000000000003</v>
      </c>
      <c r="G144" s="5">
        <v>45</v>
      </c>
      <c r="H144" t="s">
        <v>28</v>
      </c>
      <c r="I144" t="s">
        <v>46</v>
      </c>
      <c r="J144" s="6">
        <v>17.989999999999998</v>
      </c>
      <c r="K144">
        <v>1</v>
      </c>
      <c r="L144" t="s">
        <v>61</v>
      </c>
      <c r="M144" s="5">
        <v>5</v>
      </c>
      <c r="N144" s="4">
        <v>0.09</v>
      </c>
      <c r="O144" t="s">
        <v>20</v>
      </c>
    </row>
    <row r="145" spans="1:15" x14ac:dyDescent="0.3">
      <c r="A145" t="s">
        <v>487</v>
      </c>
      <c r="B145" s="5">
        <v>20</v>
      </c>
      <c r="C145" s="5" t="str" cm="1">
        <f t="array" ref="C145">_xlfn.IFS(worksheet[[#This Row],[age]]&lt;25,"1. Young Adulthood (18-24)",worksheet[[#This Row],[age]]&lt; 35,"2. Early Adulthood (25-34)",worksheet[[#This Row],[age]]&lt; 45,"3. Mid Adulthood (35-44)",worksheet[[#This Row],[age]]&lt; 55,"4. Mature Adulthood (45-54)",TRUE,"5. Late Adulthood/Senior (55+)")</f>
        <v>1. Young Adulthood (18-24)</v>
      </c>
      <c r="D145" t="s">
        <v>15</v>
      </c>
      <c r="E145" t="s">
        <v>22</v>
      </c>
      <c r="F145" s="4">
        <v>21.21</v>
      </c>
      <c r="G145" s="5">
        <v>0</v>
      </c>
      <c r="H145" t="s">
        <v>70</v>
      </c>
      <c r="I145" t="s">
        <v>24</v>
      </c>
      <c r="J145" s="6">
        <v>13.99</v>
      </c>
      <c r="K145">
        <v>0</v>
      </c>
      <c r="L145" t="s">
        <v>29</v>
      </c>
      <c r="M145" s="5">
        <v>2</v>
      </c>
      <c r="N145" s="4">
        <v>21.21</v>
      </c>
      <c r="O145" t="s">
        <v>30</v>
      </c>
    </row>
    <row r="146" spans="1:15" x14ac:dyDescent="0.3">
      <c r="A146" t="s">
        <v>489</v>
      </c>
      <c r="B146" s="5">
        <v>31</v>
      </c>
      <c r="C146" s="5" t="str" cm="1">
        <f t="array" ref="C146">_xlfn.IFS(worksheet[[#This Row],[age]]&lt;25,"1. Young Adulthood (18-24)",worksheet[[#This Row],[age]]&lt; 35,"2. Early Adulthood (25-34)",worksheet[[#This Row],[age]]&lt; 45,"3. Mid Adulthood (35-44)",worksheet[[#This Row],[age]]&lt; 55,"4. Mature Adulthood (45-54)",TRUE,"5. Late Adulthood/Senior (55+)")</f>
        <v>2. Early Adulthood (25-34)</v>
      </c>
      <c r="D146" t="s">
        <v>41</v>
      </c>
      <c r="E146" t="s">
        <v>32</v>
      </c>
      <c r="F146" s="4">
        <v>12</v>
      </c>
      <c r="G146" s="5">
        <v>2</v>
      </c>
      <c r="H146" t="s">
        <v>23</v>
      </c>
      <c r="I146" t="s">
        <v>24</v>
      </c>
      <c r="J146" s="6">
        <v>17.989999999999998</v>
      </c>
      <c r="K146">
        <v>0</v>
      </c>
      <c r="L146" t="s">
        <v>61</v>
      </c>
      <c r="M146" s="5">
        <v>2</v>
      </c>
      <c r="N146" s="4">
        <v>4</v>
      </c>
      <c r="O146" t="s">
        <v>47</v>
      </c>
    </row>
    <row r="147" spans="1:15" x14ac:dyDescent="0.3">
      <c r="A147" t="s">
        <v>490</v>
      </c>
      <c r="B147" s="5">
        <v>19</v>
      </c>
      <c r="C147" s="5" t="str" cm="1">
        <f t="array" ref="C147">_xlfn.IFS(worksheet[[#This Row],[age]]&lt;25,"1. Young Adulthood (18-24)",worksheet[[#This Row],[age]]&lt; 35,"2. Early Adulthood (25-34)",worksheet[[#This Row],[age]]&lt; 45,"3. Mid Adulthood (35-44)",worksheet[[#This Row],[age]]&lt; 55,"4. Mature Adulthood (45-54)",TRUE,"5. Late Adulthood/Senior (55+)")</f>
        <v>1. Young Adulthood (18-24)</v>
      </c>
      <c r="D147" t="s">
        <v>15</v>
      </c>
      <c r="E147" t="s">
        <v>32</v>
      </c>
      <c r="F147" s="4">
        <v>1.44</v>
      </c>
      <c r="G147" s="5">
        <v>40</v>
      </c>
      <c r="H147" t="s">
        <v>49</v>
      </c>
      <c r="I147" t="s">
        <v>18</v>
      </c>
      <c r="J147" s="6">
        <v>17.989999999999998</v>
      </c>
      <c r="K147">
        <v>1</v>
      </c>
      <c r="L147" t="s">
        <v>19</v>
      </c>
      <c r="M147" s="5">
        <v>5</v>
      </c>
      <c r="N147" s="4">
        <v>0.04</v>
      </c>
      <c r="O147" t="s">
        <v>47</v>
      </c>
    </row>
    <row r="148" spans="1:15" x14ac:dyDescent="0.3">
      <c r="A148" t="s">
        <v>492</v>
      </c>
      <c r="B148" s="5">
        <v>28</v>
      </c>
      <c r="C148" s="5" t="str" cm="1">
        <f t="array" ref="C148">_xlfn.IFS(worksheet[[#This Row],[age]]&lt;25,"1. Young Adulthood (18-24)",worksheet[[#This Row],[age]]&lt; 35,"2. Early Adulthood (25-34)",worksheet[[#This Row],[age]]&lt; 45,"3. Mid Adulthood (35-44)",worksheet[[#This Row],[age]]&lt; 55,"4. Mature Adulthood (45-54)",TRUE,"5. Late Adulthood/Senior (55+)")</f>
        <v>2. Early Adulthood (25-34)</v>
      </c>
      <c r="D148" t="s">
        <v>27</v>
      </c>
      <c r="E148" t="s">
        <v>32</v>
      </c>
      <c r="F148" s="4">
        <v>27.06</v>
      </c>
      <c r="G148" s="5">
        <v>55</v>
      </c>
      <c r="H148" t="s">
        <v>70</v>
      </c>
      <c r="I148" t="s">
        <v>57</v>
      </c>
      <c r="J148" s="6">
        <v>17.989999999999998</v>
      </c>
      <c r="K148">
        <v>0</v>
      </c>
      <c r="L148" t="s">
        <v>37</v>
      </c>
      <c r="M148" s="5">
        <v>4</v>
      </c>
      <c r="N148" s="4">
        <v>0.48</v>
      </c>
      <c r="O148" t="s">
        <v>20</v>
      </c>
    </row>
    <row r="149" spans="1:15" x14ac:dyDescent="0.3">
      <c r="A149" t="s">
        <v>493</v>
      </c>
      <c r="B149" s="5">
        <v>22</v>
      </c>
      <c r="C149" s="5" t="str" cm="1">
        <f t="array" ref="C149">_xlfn.IFS(worksheet[[#This Row],[age]]&lt;25,"1. Young Adulthood (18-24)",worksheet[[#This Row],[age]]&lt; 35,"2. Early Adulthood (25-34)",worksheet[[#This Row],[age]]&lt; 45,"3. Mid Adulthood (35-44)",worksheet[[#This Row],[age]]&lt; 55,"4. Mature Adulthood (45-54)",TRUE,"5. Late Adulthood/Senior (55+)")</f>
        <v>1. Young Adulthood (18-24)</v>
      </c>
      <c r="D149" t="s">
        <v>27</v>
      </c>
      <c r="E149" t="s">
        <v>32</v>
      </c>
      <c r="F149" s="4">
        <v>7.24</v>
      </c>
      <c r="G149" s="5">
        <v>30</v>
      </c>
      <c r="H149" t="s">
        <v>33</v>
      </c>
      <c r="I149" t="s">
        <v>57</v>
      </c>
      <c r="J149" s="6">
        <v>17.989999999999998</v>
      </c>
      <c r="K149">
        <v>0</v>
      </c>
      <c r="L149" t="s">
        <v>43</v>
      </c>
      <c r="M149" s="5">
        <v>2</v>
      </c>
      <c r="N149" s="4">
        <v>0.23</v>
      </c>
      <c r="O149" t="s">
        <v>39</v>
      </c>
    </row>
    <row r="150" spans="1:15" x14ac:dyDescent="0.3">
      <c r="A150" t="s">
        <v>494</v>
      </c>
      <c r="B150" s="5">
        <v>29</v>
      </c>
      <c r="C150" s="5" t="str" cm="1">
        <f t="array" ref="C150">_xlfn.IFS(worksheet[[#This Row],[age]]&lt;25,"1. Young Adulthood (18-24)",worksheet[[#This Row],[age]]&lt; 35,"2. Early Adulthood (25-34)",worksheet[[#This Row],[age]]&lt; 45,"3. Mid Adulthood (35-44)",worksheet[[#This Row],[age]]&lt; 55,"4. Mature Adulthood (45-54)",TRUE,"5. Late Adulthood/Senior (55+)")</f>
        <v>2. Early Adulthood (25-34)</v>
      </c>
      <c r="D150" t="s">
        <v>41</v>
      </c>
      <c r="E150" t="s">
        <v>32</v>
      </c>
      <c r="F150" s="4">
        <v>63.39</v>
      </c>
      <c r="G150" s="5">
        <v>37</v>
      </c>
      <c r="H150" t="s">
        <v>70</v>
      </c>
      <c r="I150" t="s">
        <v>57</v>
      </c>
      <c r="J150" s="6">
        <v>17.989999999999998</v>
      </c>
      <c r="K150">
        <v>0</v>
      </c>
      <c r="L150" t="s">
        <v>19</v>
      </c>
      <c r="M150" s="5">
        <v>4</v>
      </c>
      <c r="N150" s="4">
        <v>1.67</v>
      </c>
      <c r="O150" t="s">
        <v>47</v>
      </c>
    </row>
    <row r="151" spans="1:15" x14ac:dyDescent="0.3">
      <c r="A151" t="s">
        <v>502</v>
      </c>
      <c r="B151" s="5">
        <v>32</v>
      </c>
      <c r="C151" s="5" t="str" cm="1">
        <f t="array" ref="C151">_xlfn.IFS(worksheet[[#This Row],[age]]&lt;25,"1. Young Adulthood (18-24)",worksheet[[#This Row],[age]]&lt; 35,"2. Early Adulthood (25-34)",worksheet[[#This Row],[age]]&lt; 45,"3. Mid Adulthood (35-44)",worksheet[[#This Row],[age]]&lt; 55,"4. Mature Adulthood (45-54)",TRUE,"5. Late Adulthood/Senior (55+)")</f>
        <v>2. Early Adulthood (25-34)</v>
      </c>
      <c r="D151" t="s">
        <v>27</v>
      </c>
      <c r="E151" t="s">
        <v>32</v>
      </c>
      <c r="F151" s="4">
        <v>1.8</v>
      </c>
      <c r="G151" s="5">
        <v>32</v>
      </c>
      <c r="H151" t="s">
        <v>49</v>
      </c>
      <c r="I151" t="s">
        <v>24</v>
      </c>
      <c r="J151" s="6">
        <v>17.989999999999998</v>
      </c>
      <c r="K151">
        <v>1</v>
      </c>
      <c r="L151" t="s">
        <v>43</v>
      </c>
      <c r="M151" s="5">
        <v>2</v>
      </c>
      <c r="N151" s="4">
        <v>0.05</v>
      </c>
      <c r="O151" t="s">
        <v>39</v>
      </c>
    </row>
    <row r="152" spans="1:15" x14ac:dyDescent="0.3">
      <c r="A152" t="s">
        <v>509</v>
      </c>
      <c r="B152" s="5">
        <v>32</v>
      </c>
      <c r="C152" s="5" t="str" cm="1">
        <f t="array" ref="C152">_xlfn.IFS(worksheet[[#This Row],[age]]&lt;25,"1. Young Adulthood (18-24)",worksheet[[#This Row],[age]]&lt; 35,"2. Early Adulthood (25-34)",worksheet[[#This Row],[age]]&lt; 45,"3. Mid Adulthood (35-44)",worksheet[[#This Row],[age]]&lt; 55,"4. Mature Adulthood (45-54)",TRUE,"5. Late Adulthood/Senior (55+)")</f>
        <v>2. Early Adulthood (25-34)</v>
      </c>
      <c r="D152" t="s">
        <v>15</v>
      </c>
      <c r="E152" t="s">
        <v>32</v>
      </c>
      <c r="F152" s="4">
        <v>24.87</v>
      </c>
      <c r="G152" s="5">
        <v>41</v>
      </c>
      <c r="H152" t="s">
        <v>70</v>
      </c>
      <c r="I152" t="s">
        <v>57</v>
      </c>
      <c r="J152" s="6">
        <v>17.989999999999998</v>
      </c>
      <c r="K152">
        <v>0</v>
      </c>
      <c r="L152" t="s">
        <v>19</v>
      </c>
      <c r="M152" s="5">
        <v>5</v>
      </c>
      <c r="N152" s="4">
        <v>0.59</v>
      </c>
      <c r="O152" t="s">
        <v>25</v>
      </c>
    </row>
    <row r="153" spans="1:15" x14ac:dyDescent="0.3">
      <c r="A153" t="s">
        <v>510</v>
      </c>
      <c r="B153" s="5">
        <v>23</v>
      </c>
      <c r="C153" s="5" t="str" cm="1">
        <f t="array" ref="C153">_xlfn.IFS(worksheet[[#This Row],[age]]&lt;25,"1. Young Adulthood (18-24)",worksheet[[#This Row],[age]]&lt; 35,"2. Early Adulthood (25-34)",worksheet[[#This Row],[age]]&lt; 45,"3. Mid Adulthood (35-44)",worksheet[[#This Row],[age]]&lt; 55,"4. Mature Adulthood (45-54)",TRUE,"5. Late Adulthood/Senior (55+)")</f>
        <v>1. Young Adulthood (18-24)</v>
      </c>
      <c r="D153" t="s">
        <v>27</v>
      </c>
      <c r="E153" t="s">
        <v>22</v>
      </c>
      <c r="F153" s="4">
        <v>29.18</v>
      </c>
      <c r="G153" s="5">
        <v>36</v>
      </c>
      <c r="H153" t="s">
        <v>33</v>
      </c>
      <c r="I153" t="s">
        <v>18</v>
      </c>
      <c r="J153" s="6">
        <v>13.99</v>
      </c>
      <c r="K153">
        <v>0</v>
      </c>
      <c r="L153" t="s">
        <v>37</v>
      </c>
      <c r="M153" s="5">
        <v>1</v>
      </c>
      <c r="N153" s="4">
        <v>0.79</v>
      </c>
      <c r="O153" t="s">
        <v>52</v>
      </c>
    </row>
    <row r="154" spans="1:15" x14ac:dyDescent="0.3">
      <c r="A154" t="s">
        <v>511</v>
      </c>
      <c r="B154" s="5">
        <v>30</v>
      </c>
      <c r="C154" s="5" t="str" cm="1">
        <f t="array" ref="C154">_xlfn.IFS(worksheet[[#This Row],[age]]&lt;25,"1. Young Adulthood (18-24)",worksheet[[#This Row],[age]]&lt; 35,"2. Early Adulthood (25-34)",worksheet[[#This Row],[age]]&lt; 45,"3. Mid Adulthood (35-44)",worksheet[[#This Row],[age]]&lt; 55,"4. Mature Adulthood (45-54)",TRUE,"5. Late Adulthood/Senior (55+)")</f>
        <v>2. Early Adulthood (25-34)</v>
      </c>
      <c r="D154" t="s">
        <v>15</v>
      </c>
      <c r="E154" t="s">
        <v>32</v>
      </c>
      <c r="F154" s="4">
        <v>11.65</v>
      </c>
      <c r="G154" s="5">
        <v>21</v>
      </c>
      <c r="H154" t="s">
        <v>17</v>
      </c>
      <c r="I154" t="s">
        <v>46</v>
      </c>
      <c r="J154" s="6">
        <v>17.989999999999998</v>
      </c>
      <c r="K154">
        <v>0</v>
      </c>
      <c r="L154" t="s">
        <v>61</v>
      </c>
      <c r="M154" s="5">
        <v>5</v>
      </c>
      <c r="N154" s="4">
        <v>0.53</v>
      </c>
      <c r="O154" t="s">
        <v>39</v>
      </c>
    </row>
    <row r="155" spans="1:15" x14ac:dyDescent="0.3">
      <c r="A155" t="s">
        <v>512</v>
      </c>
      <c r="B155" s="5">
        <v>23</v>
      </c>
      <c r="C155" s="5" t="str" cm="1">
        <f t="array" ref="C155">_xlfn.IFS(worksheet[[#This Row],[age]]&lt;25,"1. Young Adulthood (18-24)",worksheet[[#This Row],[age]]&lt; 35,"2. Early Adulthood (25-34)",worksheet[[#This Row],[age]]&lt; 45,"3. Mid Adulthood (35-44)",worksheet[[#This Row],[age]]&lt; 55,"4. Mature Adulthood (45-54)",TRUE,"5. Late Adulthood/Senior (55+)")</f>
        <v>1. Young Adulthood (18-24)</v>
      </c>
      <c r="D155" t="s">
        <v>41</v>
      </c>
      <c r="E155" t="s">
        <v>32</v>
      </c>
      <c r="F155" s="4">
        <v>6.55</v>
      </c>
      <c r="G155" s="5">
        <v>27</v>
      </c>
      <c r="H155" t="s">
        <v>33</v>
      </c>
      <c r="I155" t="s">
        <v>46</v>
      </c>
      <c r="J155" s="6">
        <v>17.989999999999998</v>
      </c>
      <c r="K155">
        <v>0</v>
      </c>
      <c r="L155" t="s">
        <v>43</v>
      </c>
      <c r="M155" s="5">
        <v>3</v>
      </c>
      <c r="N155" s="4">
        <v>0.23</v>
      </c>
      <c r="O155" t="s">
        <v>39</v>
      </c>
    </row>
    <row r="156" spans="1:15" x14ac:dyDescent="0.3">
      <c r="A156" t="s">
        <v>513</v>
      </c>
      <c r="B156" s="5">
        <v>20</v>
      </c>
      <c r="C156" s="5" t="str" cm="1">
        <f t="array" ref="C156">_xlfn.IFS(worksheet[[#This Row],[age]]&lt;25,"1. Young Adulthood (18-24)",worksheet[[#This Row],[age]]&lt; 35,"2. Early Adulthood (25-34)",worksheet[[#This Row],[age]]&lt; 45,"3. Mid Adulthood (35-44)",worksheet[[#This Row],[age]]&lt; 55,"4. Mature Adulthood (45-54)",TRUE,"5. Late Adulthood/Senior (55+)")</f>
        <v>1. Young Adulthood (18-24)</v>
      </c>
      <c r="D156" t="s">
        <v>15</v>
      </c>
      <c r="E156" t="s">
        <v>22</v>
      </c>
      <c r="F156" s="4">
        <v>0.52</v>
      </c>
      <c r="G156" s="5">
        <v>29</v>
      </c>
      <c r="H156" t="s">
        <v>28</v>
      </c>
      <c r="I156" t="s">
        <v>18</v>
      </c>
      <c r="J156" s="6">
        <v>13.99</v>
      </c>
      <c r="K156">
        <v>1</v>
      </c>
      <c r="L156" t="s">
        <v>37</v>
      </c>
      <c r="M156" s="5">
        <v>1</v>
      </c>
      <c r="N156" s="4">
        <v>0.02</v>
      </c>
      <c r="O156" t="s">
        <v>39</v>
      </c>
    </row>
    <row r="157" spans="1:15" x14ac:dyDescent="0.3">
      <c r="A157" t="s">
        <v>515</v>
      </c>
      <c r="B157" s="5">
        <v>28</v>
      </c>
      <c r="C157" s="5" t="str" cm="1">
        <f t="array" ref="C157">_xlfn.IFS(worksheet[[#This Row],[age]]&lt;25,"1. Young Adulthood (18-24)",worksheet[[#This Row],[age]]&lt; 35,"2. Early Adulthood (25-34)",worksheet[[#This Row],[age]]&lt; 45,"3. Mid Adulthood (35-44)",worksheet[[#This Row],[age]]&lt; 55,"4. Mature Adulthood (45-54)",TRUE,"5. Late Adulthood/Senior (55+)")</f>
        <v>2. Early Adulthood (25-34)</v>
      </c>
      <c r="D157" t="s">
        <v>27</v>
      </c>
      <c r="E157" t="s">
        <v>16</v>
      </c>
      <c r="F157" s="4">
        <v>35.03</v>
      </c>
      <c r="G157" s="5">
        <v>37</v>
      </c>
      <c r="H157" t="s">
        <v>28</v>
      </c>
      <c r="I157" t="s">
        <v>55</v>
      </c>
      <c r="J157" s="6">
        <v>8.99</v>
      </c>
      <c r="K157">
        <v>0</v>
      </c>
      <c r="L157" t="s">
        <v>61</v>
      </c>
      <c r="M157" s="5">
        <v>4</v>
      </c>
      <c r="N157" s="4">
        <v>0.92</v>
      </c>
      <c r="O157" t="s">
        <v>47</v>
      </c>
    </row>
    <row r="158" spans="1:15" x14ac:dyDescent="0.3">
      <c r="A158" t="s">
        <v>516</v>
      </c>
      <c r="B158" s="5">
        <v>24</v>
      </c>
      <c r="C158" s="5" t="str" cm="1">
        <f t="array" ref="C158">_xlfn.IFS(worksheet[[#This Row],[age]]&lt;25,"1. Young Adulthood (18-24)",worksheet[[#This Row],[age]]&lt; 35,"2. Early Adulthood (25-34)",worksheet[[#This Row],[age]]&lt; 45,"3. Mid Adulthood (35-44)",worksheet[[#This Row],[age]]&lt; 55,"4. Mature Adulthood (45-54)",TRUE,"5. Late Adulthood/Senior (55+)")</f>
        <v>1. Young Adulthood (18-24)</v>
      </c>
      <c r="D158" t="s">
        <v>27</v>
      </c>
      <c r="E158" t="s">
        <v>16</v>
      </c>
      <c r="F158" s="4">
        <v>9.0299999999999994</v>
      </c>
      <c r="G158" s="5">
        <v>52</v>
      </c>
      <c r="H158" t="s">
        <v>49</v>
      </c>
      <c r="I158" t="s">
        <v>24</v>
      </c>
      <c r="J158" s="6">
        <v>8.99</v>
      </c>
      <c r="K158">
        <v>1</v>
      </c>
      <c r="L158" t="s">
        <v>29</v>
      </c>
      <c r="M158" s="5">
        <v>1</v>
      </c>
      <c r="N158" s="4">
        <v>0.17</v>
      </c>
      <c r="O158" t="s">
        <v>52</v>
      </c>
    </row>
    <row r="159" spans="1:15" x14ac:dyDescent="0.3">
      <c r="A159" t="s">
        <v>518</v>
      </c>
      <c r="B159" s="5">
        <v>25</v>
      </c>
      <c r="C159" s="5" t="str" cm="1">
        <f t="array" ref="C159">_xlfn.IFS(worksheet[[#This Row],[age]]&lt;25,"1. Young Adulthood (18-24)",worksheet[[#This Row],[age]]&lt; 35,"2. Early Adulthood (25-34)",worksheet[[#This Row],[age]]&lt; 45,"3. Mid Adulthood (35-44)",worksheet[[#This Row],[age]]&lt; 55,"4. Mature Adulthood (45-54)",TRUE,"5. Late Adulthood/Senior (55+)")</f>
        <v>2. Early Adulthood (25-34)</v>
      </c>
      <c r="D159" t="s">
        <v>27</v>
      </c>
      <c r="E159" t="s">
        <v>22</v>
      </c>
      <c r="F159" s="4">
        <v>8.01</v>
      </c>
      <c r="G159" s="5">
        <v>20</v>
      </c>
      <c r="H159" t="s">
        <v>49</v>
      </c>
      <c r="I159" t="s">
        <v>46</v>
      </c>
      <c r="J159" s="6">
        <v>13.99</v>
      </c>
      <c r="K159">
        <v>0</v>
      </c>
      <c r="L159" t="s">
        <v>61</v>
      </c>
      <c r="M159" s="5">
        <v>4</v>
      </c>
      <c r="N159" s="4">
        <v>0.38</v>
      </c>
      <c r="O159" t="s">
        <v>25</v>
      </c>
    </row>
    <row r="160" spans="1:15" x14ac:dyDescent="0.3">
      <c r="A160" t="s">
        <v>520</v>
      </c>
      <c r="B160" s="5">
        <v>30</v>
      </c>
      <c r="C160" s="5" t="str" cm="1">
        <f t="array" ref="C160">_xlfn.IFS(worksheet[[#This Row],[age]]&lt;25,"1. Young Adulthood (18-24)",worksheet[[#This Row],[age]]&lt; 35,"2. Early Adulthood (25-34)",worksheet[[#This Row],[age]]&lt; 45,"3. Mid Adulthood (35-44)",worksheet[[#This Row],[age]]&lt; 55,"4. Mature Adulthood (45-54)",TRUE,"5. Late Adulthood/Senior (55+)")</f>
        <v>2. Early Adulthood (25-34)</v>
      </c>
      <c r="D160" t="s">
        <v>27</v>
      </c>
      <c r="E160" t="s">
        <v>16</v>
      </c>
      <c r="F160" s="4">
        <v>0.36</v>
      </c>
      <c r="G160" s="5">
        <v>60</v>
      </c>
      <c r="H160" t="s">
        <v>17</v>
      </c>
      <c r="I160" t="s">
        <v>46</v>
      </c>
      <c r="J160" s="6">
        <v>8.99</v>
      </c>
      <c r="K160">
        <v>1</v>
      </c>
      <c r="L160" t="s">
        <v>37</v>
      </c>
      <c r="M160" s="5">
        <v>3</v>
      </c>
      <c r="N160" s="4">
        <v>0.01</v>
      </c>
      <c r="O160" t="s">
        <v>30</v>
      </c>
    </row>
    <row r="161" spans="1:15" x14ac:dyDescent="0.3">
      <c r="A161" t="s">
        <v>523</v>
      </c>
      <c r="B161" s="5">
        <v>29</v>
      </c>
      <c r="C161" s="5" t="str" cm="1">
        <f t="array" ref="C161">_xlfn.IFS(worksheet[[#This Row],[age]]&lt;25,"1. Young Adulthood (18-24)",worksheet[[#This Row],[age]]&lt; 35,"2. Early Adulthood (25-34)",worksheet[[#This Row],[age]]&lt; 45,"3. Mid Adulthood (35-44)",worksheet[[#This Row],[age]]&lt; 55,"4. Mature Adulthood (45-54)",TRUE,"5. Late Adulthood/Senior (55+)")</f>
        <v>2. Early Adulthood (25-34)</v>
      </c>
      <c r="D161" t="s">
        <v>15</v>
      </c>
      <c r="E161" t="s">
        <v>16</v>
      </c>
      <c r="F161" s="4">
        <v>4.67</v>
      </c>
      <c r="G161" s="5">
        <v>5</v>
      </c>
      <c r="H161" t="s">
        <v>49</v>
      </c>
      <c r="I161" t="s">
        <v>46</v>
      </c>
      <c r="J161" s="6">
        <v>8.99</v>
      </c>
      <c r="K161">
        <v>0</v>
      </c>
      <c r="L161" t="s">
        <v>43</v>
      </c>
      <c r="M161" s="5">
        <v>3</v>
      </c>
      <c r="N161" s="4">
        <v>0.78</v>
      </c>
      <c r="O161" t="s">
        <v>25</v>
      </c>
    </row>
    <row r="162" spans="1:15" x14ac:dyDescent="0.3">
      <c r="A162" t="s">
        <v>528</v>
      </c>
      <c r="B162" s="5">
        <v>22</v>
      </c>
      <c r="C162" s="5" t="str" cm="1">
        <f t="array" ref="C162">_xlfn.IFS(worksheet[[#This Row],[age]]&lt;25,"1. Young Adulthood (18-24)",worksheet[[#This Row],[age]]&lt; 35,"2. Early Adulthood (25-34)",worksheet[[#This Row],[age]]&lt; 45,"3. Mid Adulthood (35-44)",worksheet[[#This Row],[age]]&lt; 55,"4. Mature Adulthood (45-54)",TRUE,"5. Late Adulthood/Senior (55+)")</f>
        <v>1. Young Adulthood (18-24)</v>
      </c>
      <c r="D162" t="s">
        <v>15</v>
      </c>
      <c r="E162" t="s">
        <v>16</v>
      </c>
      <c r="F162" s="4">
        <v>13.16</v>
      </c>
      <c r="G162" s="5">
        <v>6</v>
      </c>
      <c r="H162" t="s">
        <v>23</v>
      </c>
      <c r="I162" t="s">
        <v>57</v>
      </c>
      <c r="J162" s="6">
        <v>8.99</v>
      </c>
      <c r="K162">
        <v>0</v>
      </c>
      <c r="L162" t="s">
        <v>37</v>
      </c>
      <c r="M162" s="5">
        <v>4</v>
      </c>
      <c r="N162" s="4">
        <v>1.88</v>
      </c>
      <c r="O162" t="s">
        <v>47</v>
      </c>
    </row>
    <row r="163" spans="1:15" x14ac:dyDescent="0.3">
      <c r="A163" t="s">
        <v>530</v>
      </c>
      <c r="B163" s="5">
        <v>21</v>
      </c>
      <c r="C163" s="5" t="str" cm="1">
        <f t="array" ref="C163">_xlfn.IFS(worksheet[[#This Row],[age]]&lt;25,"1. Young Adulthood (18-24)",worksheet[[#This Row],[age]]&lt; 35,"2. Early Adulthood (25-34)",worksheet[[#This Row],[age]]&lt; 45,"3. Mid Adulthood (35-44)",worksheet[[#This Row],[age]]&lt; 55,"4. Mature Adulthood (45-54)",TRUE,"5. Late Adulthood/Senior (55+)")</f>
        <v>1. Young Adulthood (18-24)</v>
      </c>
      <c r="D163" t="s">
        <v>15</v>
      </c>
      <c r="E163" t="s">
        <v>32</v>
      </c>
      <c r="F163" s="4">
        <v>6.28</v>
      </c>
      <c r="G163" s="5">
        <v>3</v>
      </c>
      <c r="H163" t="s">
        <v>49</v>
      </c>
      <c r="I163" t="s">
        <v>46</v>
      </c>
      <c r="J163" s="6">
        <v>17.989999999999998</v>
      </c>
      <c r="K163">
        <v>0</v>
      </c>
      <c r="L163" t="s">
        <v>29</v>
      </c>
      <c r="M163" s="5">
        <v>4</v>
      </c>
      <c r="N163" s="4">
        <v>1.57</v>
      </c>
      <c r="O163" t="s">
        <v>52</v>
      </c>
    </row>
    <row r="164" spans="1:15" x14ac:dyDescent="0.3">
      <c r="A164" t="s">
        <v>533</v>
      </c>
      <c r="B164" s="5">
        <v>32</v>
      </c>
      <c r="C164" s="5" t="str" cm="1">
        <f t="array" ref="C164">_xlfn.IFS(worksheet[[#This Row],[age]]&lt;25,"1. Young Adulthood (18-24)",worksheet[[#This Row],[age]]&lt; 35,"2. Early Adulthood (25-34)",worksheet[[#This Row],[age]]&lt; 45,"3. Mid Adulthood (35-44)",worksheet[[#This Row],[age]]&lt; 55,"4. Mature Adulthood (45-54)",TRUE,"5. Late Adulthood/Senior (55+)")</f>
        <v>2. Early Adulthood (25-34)</v>
      </c>
      <c r="D164" t="s">
        <v>41</v>
      </c>
      <c r="E164" t="s">
        <v>16</v>
      </c>
      <c r="F164" s="4">
        <v>3.87</v>
      </c>
      <c r="G164" s="5">
        <v>32</v>
      </c>
      <c r="H164" t="s">
        <v>49</v>
      </c>
      <c r="I164" t="s">
        <v>18</v>
      </c>
      <c r="J164" s="6">
        <v>8.99</v>
      </c>
      <c r="K164">
        <v>1</v>
      </c>
      <c r="L164" t="s">
        <v>61</v>
      </c>
      <c r="M164" s="5">
        <v>2</v>
      </c>
      <c r="N164" s="4">
        <v>0.12</v>
      </c>
      <c r="O164" t="s">
        <v>30</v>
      </c>
    </row>
    <row r="165" spans="1:15" x14ac:dyDescent="0.3">
      <c r="A165" t="s">
        <v>537</v>
      </c>
      <c r="B165" s="5">
        <v>33</v>
      </c>
      <c r="C165" s="5" t="str" cm="1">
        <f t="array" ref="C165">_xlfn.IFS(worksheet[[#This Row],[age]]&lt;25,"1. Young Adulthood (18-24)",worksheet[[#This Row],[age]]&lt; 35,"2. Early Adulthood (25-34)",worksheet[[#This Row],[age]]&lt; 45,"3. Mid Adulthood (35-44)",worksheet[[#This Row],[age]]&lt; 55,"4. Mature Adulthood (45-54)",TRUE,"5. Late Adulthood/Senior (55+)")</f>
        <v>2. Early Adulthood (25-34)</v>
      </c>
      <c r="D165" t="s">
        <v>27</v>
      </c>
      <c r="E165" t="s">
        <v>32</v>
      </c>
      <c r="F165" s="4">
        <v>11.02</v>
      </c>
      <c r="G165" s="5">
        <v>22</v>
      </c>
      <c r="H165" t="s">
        <v>17</v>
      </c>
      <c r="I165" t="s">
        <v>18</v>
      </c>
      <c r="J165" s="6">
        <v>17.989999999999998</v>
      </c>
      <c r="K165">
        <v>0</v>
      </c>
      <c r="L165" t="s">
        <v>19</v>
      </c>
      <c r="M165" s="5">
        <v>4</v>
      </c>
      <c r="N165" s="4">
        <v>0.48</v>
      </c>
      <c r="O165" t="s">
        <v>30</v>
      </c>
    </row>
    <row r="166" spans="1:15" x14ac:dyDescent="0.3">
      <c r="A166" t="s">
        <v>544</v>
      </c>
      <c r="B166" s="5">
        <v>22</v>
      </c>
      <c r="C166" s="5" t="str" cm="1">
        <f t="array" ref="C166">_xlfn.IFS(worksheet[[#This Row],[age]]&lt;25,"1. Young Adulthood (18-24)",worksheet[[#This Row],[age]]&lt; 35,"2. Early Adulthood (25-34)",worksheet[[#This Row],[age]]&lt; 45,"3. Mid Adulthood (35-44)",worksheet[[#This Row],[age]]&lt; 55,"4. Mature Adulthood (45-54)",TRUE,"5. Late Adulthood/Senior (55+)")</f>
        <v>1. Young Adulthood (18-24)</v>
      </c>
      <c r="D166" t="s">
        <v>41</v>
      </c>
      <c r="E166" t="s">
        <v>32</v>
      </c>
      <c r="F166" s="4">
        <v>8.84</v>
      </c>
      <c r="G166" s="5">
        <v>52</v>
      </c>
      <c r="H166" t="s">
        <v>23</v>
      </c>
      <c r="I166" t="s">
        <v>55</v>
      </c>
      <c r="J166" s="6">
        <v>17.989999999999998</v>
      </c>
      <c r="K166">
        <v>1</v>
      </c>
      <c r="L166" t="s">
        <v>61</v>
      </c>
      <c r="M166" s="5">
        <v>2</v>
      </c>
      <c r="N166" s="4">
        <v>0.17</v>
      </c>
      <c r="O166" t="s">
        <v>47</v>
      </c>
    </row>
    <row r="167" spans="1:15" x14ac:dyDescent="0.3">
      <c r="A167" t="s">
        <v>545</v>
      </c>
      <c r="B167" s="5">
        <v>19</v>
      </c>
      <c r="C167" s="5" t="str" cm="1">
        <f t="array" ref="C167">_xlfn.IFS(worksheet[[#This Row],[age]]&lt;25,"1. Young Adulthood (18-24)",worksheet[[#This Row],[age]]&lt; 35,"2. Early Adulthood (25-34)",worksheet[[#This Row],[age]]&lt; 45,"3. Mid Adulthood (35-44)",worksheet[[#This Row],[age]]&lt; 55,"4. Mature Adulthood (45-54)",TRUE,"5. Late Adulthood/Senior (55+)")</f>
        <v>1. Young Adulthood (18-24)</v>
      </c>
      <c r="D167" t="s">
        <v>27</v>
      </c>
      <c r="E167" t="s">
        <v>32</v>
      </c>
      <c r="F167" s="4">
        <v>6.49</v>
      </c>
      <c r="G167" s="5">
        <v>34</v>
      </c>
      <c r="H167" t="s">
        <v>70</v>
      </c>
      <c r="I167" t="s">
        <v>57</v>
      </c>
      <c r="J167" s="6">
        <v>17.989999999999998</v>
      </c>
      <c r="K167">
        <v>1</v>
      </c>
      <c r="L167" t="s">
        <v>19</v>
      </c>
      <c r="M167" s="5">
        <v>1</v>
      </c>
      <c r="N167" s="4">
        <v>0.19</v>
      </c>
      <c r="O167" t="s">
        <v>39</v>
      </c>
    </row>
    <row r="168" spans="1:15" x14ac:dyDescent="0.3">
      <c r="A168" t="s">
        <v>546</v>
      </c>
      <c r="B168" s="5">
        <v>20</v>
      </c>
      <c r="C168" s="5" t="str" cm="1">
        <f t="array" ref="C168">_xlfn.IFS(worksheet[[#This Row],[age]]&lt;25,"1. Young Adulthood (18-24)",worksheet[[#This Row],[age]]&lt; 35,"2. Early Adulthood (25-34)",worksheet[[#This Row],[age]]&lt; 45,"3. Mid Adulthood (35-44)",worksheet[[#This Row],[age]]&lt; 55,"4. Mature Adulthood (45-54)",TRUE,"5. Late Adulthood/Senior (55+)")</f>
        <v>1. Young Adulthood (18-24)</v>
      </c>
      <c r="D168" t="s">
        <v>41</v>
      </c>
      <c r="E168" t="s">
        <v>22</v>
      </c>
      <c r="F168" s="4">
        <v>8.4700000000000006</v>
      </c>
      <c r="G168" s="5">
        <v>53</v>
      </c>
      <c r="H168" t="s">
        <v>70</v>
      </c>
      <c r="I168" t="s">
        <v>18</v>
      </c>
      <c r="J168" s="6">
        <v>13.99</v>
      </c>
      <c r="K168">
        <v>1</v>
      </c>
      <c r="L168" t="s">
        <v>19</v>
      </c>
      <c r="M168" s="5">
        <v>2</v>
      </c>
      <c r="N168" s="4">
        <v>0.16</v>
      </c>
      <c r="O168" t="s">
        <v>34</v>
      </c>
    </row>
    <row r="169" spans="1:15" x14ac:dyDescent="0.3">
      <c r="A169" t="s">
        <v>550</v>
      </c>
      <c r="B169" s="5">
        <v>21</v>
      </c>
      <c r="C169" s="5" t="str" cm="1">
        <f t="array" ref="C169">_xlfn.IFS(worksheet[[#This Row],[age]]&lt;25,"1. Young Adulthood (18-24)",worksheet[[#This Row],[age]]&lt; 35,"2. Early Adulthood (25-34)",worksheet[[#This Row],[age]]&lt; 45,"3. Mid Adulthood (35-44)",worksheet[[#This Row],[age]]&lt; 55,"4. Mature Adulthood (45-54)",TRUE,"5. Late Adulthood/Senior (55+)")</f>
        <v>1. Young Adulthood (18-24)</v>
      </c>
      <c r="D169" t="s">
        <v>41</v>
      </c>
      <c r="E169" t="s">
        <v>16</v>
      </c>
      <c r="F169" s="4">
        <v>5.0999999999999996</v>
      </c>
      <c r="G169" s="5">
        <v>53</v>
      </c>
      <c r="H169" t="s">
        <v>23</v>
      </c>
      <c r="I169" t="s">
        <v>57</v>
      </c>
      <c r="J169" s="6">
        <v>8.99</v>
      </c>
      <c r="K169">
        <v>1</v>
      </c>
      <c r="L169" t="s">
        <v>43</v>
      </c>
      <c r="M169" s="5">
        <v>3</v>
      </c>
      <c r="N169" s="4">
        <v>0.09</v>
      </c>
      <c r="O169" t="s">
        <v>52</v>
      </c>
    </row>
    <row r="170" spans="1:15" x14ac:dyDescent="0.3">
      <c r="A170" t="s">
        <v>551</v>
      </c>
      <c r="B170" s="5">
        <v>20</v>
      </c>
      <c r="C170" s="5" t="str" cm="1">
        <f t="array" ref="C170">_xlfn.IFS(worksheet[[#This Row],[age]]&lt;25,"1. Young Adulthood (18-24)",worksheet[[#This Row],[age]]&lt; 35,"2. Early Adulthood (25-34)",worksheet[[#This Row],[age]]&lt; 45,"3. Mid Adulthood (35-44)",worksheet[[#This Row],[age]]&lt; 55,"4. Mature Adulthood (45-54)",TRUE,"5. Late Adulthood/Senior (55+)")</f>
        <v>1. Young Adulthood (18-24)</v>
      </c>
      <c r="D170" t="s">
        <v>27</v>
      </c>
      <c r="E170" t="s">
        <v>32</v>
      </c>
      <c r="F170" s="4">
        <v>4.3899999999999997</v>
      </c>
      <c r="G170" s="5">
        <v>33</v>
      </c>
      <c r="H170" t="s">
        <v>33</v>
      </c>
      <c r="I170" t="s">
        <v>24</v>
      </c>
      <c r="J170" s="6">
        <v>17.989999999999998</v>
      </c>
      <c r="K170">
        <v>1</v>
      </c>
      <c r="L170" t="s">
        <v>19</v>
      </c>
      <c r="M170" s="5">
        <v>1</v>
      </c>
      <c r="N170" s="4">
        <v>0.13</v>
      </c>
      <c r="O170" t="s">
        <v>34</v>
      </c>
    </row>
    <row r="171" spans="1:15" x14ac:dyDescent="0.3">
      <c r="A171" t="s">
        <v>553</v>
      </c>
      <c r="B171" s="5">
        <v>31</v>
      </c>
      <c r="C171" s="5" t="str" cm="1">
        <f t="array" ref="C171">_xlfn.IFS(worksheet[[#This Row],[age]]&lt;25,"1. Young Adulthood (18-24)",worksheet[[#This Row],[age]]&lt; 35,"2. Early Adulthood (25-34)",worksheet[[#This Row],[age]]&lt; 45,"3. Mid Adulthood (35-44)",worksheet[[#This Row],[age]]&lt; 55,"4. Mature Adulthood (45-54)",TRUE,"5. Late Adulthood/Senior (55+)")</f>
        <v>2. Early Adulthood (25-34)</v>
      </c>
      <c r="D171" t="s">
        <v>15</v>
      </c>
      <c r="E171" t="s">
        <v>16</v>
      </c>
      <c r="F171" s="4">
        <v>5.12</v>
      </c>
      <c r="G171" s="5">
        <v>12</v>
      </c>
      <c r="H171" t="s">
        <v>70</v>
      </c>
      <c r="I171" t="s">
        <v>18</v>
      </c>
      <c r="J171" s="6">
        <v>8.99</v>
      </c>
      <c r="K171">
        <v>0</v>
      </c>
      <c r="L171" t="s">
        <v>37</v>
      </c>
      <c r="M171" s="5">
        <v>5</v>
      </c>
      <c r="N171" s="4">
        <v>0.39</v>
      </c>
      <c r="O171" t="s">
        <v>20</v>
      </c>
    </row>
    <row r="172" spans="1:15" x14ac:dyDescent="0.3">
      <c r="A172" t="s">
        <v>555</v>
      </c>
      <c r="B172" s="5">
        <v>21</v>
      </c>
      <c r="C172" s="5" t="str" cm="1">
        <f t="array" ref="C172">_xlfn.IFS(worksheet[[#This Row],[age]]&lt;25,"1. Young Adulthood (18-24)",worksheet[[#This Row],[age]]&lt; 35,"2. Early Adulthood (25-34)",worksheet[[#This Row],[age]]&lt; 45,"3. Mid Adulthood (35-44)",worksheet[[#This Row],[age]]&lt; 55,"4. Mature Adulthood (45-54)",TRUE,"5. Late Adulthood/Senior (55+)")</f>
        <v>1. Young Adulthood (18-24)</v>
      </c>
      <c r="D172" t="s">
        <v>27</v>
      </c>
      <c r="E172" t="s">
        <v>22</v>
      </c>
      <c r="F172" s="4">
        <v>3.88</v>
      </c>
      <c r="G172" s="5">
        <v>0</v>
      </c>
      <c r="H172" t="s">
        <v>17</v>
      </c>
      <c r="I172" t="s">
        <v>24</v>
      </c>
      <c r="J172" s="6">
        <v>13.99</v>
      </c>
      <c r="K172">
        <v>0</v>
      </c>
      <c r="L172" t="s">
        <v>29</v>
      </c>
      <c r="M172" s="5">
        <v>1</v>
      </c>
      <c r="N172" s="4">
        <v>3.88</v>
      </c>
      <c r="O172" t="s">
        <v>20</v>
      </c>
    </row>
    <row r="173" spans="1:15" x14ac:dyDescent="0.3">
      <c r="A173" t="s">
        <v>556</v>
      </c>
      <c r="B173" s="5">
        <v>28</v>
      </c>
      <c r="C173" s="5" t="str" cm="1">
        <f t="array" ref="C173">_xlfn.IFS(worksheet[[#This Row],[age]]&lt;25,"1. Young Adulthood (18-24)",worksheet[[#This Row],[age]]&lt; 35,"2. Early Adulthood (25-34)",worksheet[[#This Row],[age]]&lt; 45,"3. Mid Adulthood (35-44)",worksheet[[#This Row],[age]]&lt; 55,"4. Mature Adulthood (45-54)",TRUE,"5. Late Adulthood/Senior (55+)")</f>
        <v>2. Early Adulthood (25-34)</v>
      </c>
      <c r="D173" t="s">
        <v>41</v>
      </c>
      <c r="E173" t="s">
        <v>22</v>
      </c>
      <c r="F173" s="4">
        <v>19.03</v>
      </c>
      <c r="G173" s="5">
        <v>17</v>
      </c>
      <c r="H173" t="s">
        <v>23</v>
      </c>
      <c r="I173" t="s">
        <v>46</v>
      </c>
      <c r="J173" s="6">
        <v>13.99</v>
      </c>
      <c r="K173">
        <v>0</v>
      </c>
      <c r="L173" t="s">
        <v>19</v>
      </c>
      <c r="M173" s="5">
        <v>2</v>
      </c>
      <c r="N173" s="4">
        <v>1.06</v>
      </c>
      <c r="O173" t="s">
        <v>30</v>
      </c>
    </row>
    <row r="174" spans="1:15" x14ac:dyDescent="0.3">
      <c r="A174" t="s">
        <v>560</v>
      </c>
      <c r="B174" s="5">
        <v>33</v>
      </c>
      <c r="C174" s="5" t="str" cm="1">
        <f t="array" ref="C174">_xlfn.IFS(worksheet[[#This Row],[age]]&lt;25,"1. Young Adulthood (18-24)",worksheet[[#This Row],[age]]&lt; 35,"2. Early Adulthood (25-34)",worksheet[[#This Row],[age]]&lt; 45,"3. Mid Adulthood (35-44)",worksheet[[#This Row],[age]]&lt; 55,"4. Mature Adulthood (45-54)",TRUE,"5. Late Adulthood/Senior (55+)")</f>
        <v>2. Early Adulthood (25-34)</v>
      </c>
      <c r="D174" t="s">
        <v>15</v>
      </c>
      <c r="E174" t="s">
        <v>32</v>
      </c>
      <c r="F174" s="4">
        <v>1.81</v>
      </c>
      <c r="G174" s="5">
        <v>20</v>
      </c>
      <c r="H174" t="s">
        <v>70</v>
      </c>
      <c r="I174" t="s">
        <v>57</v>
      </c>
      <c r="J174" s="6">
        <v>17.989999999999998</v>
      </c>
      <c r="K174">
        <v>1</v>
      </c>
      <c r="L174" t="s">
        <v>29</v>
      </c>
      <c r="M174" s="5">
        <v>2</v>
      </c>
      <c r="N174" s="4">
        <v>0.09</v>
      </c>
      <c r="O174" t="s">
        <v>47</v>
      </c>
    </row>
    <row r="175" spans="1:15" x14ac:dyDescent="0.3">
      <c r="A175" t="s">
        <v>562</v>
      </c>
      <c r="B175" s="5">
        <v>26</v>
      </c>
      <c r="C175" s="5" t="str" cm="1">
        <f t="array" ref="C175">_xlfn.IFS(worksheet[[#This Row],[age]]&lt;25,"1. Young Adulthood (18-24)",worksheet[[#This Row],[age]]&lt; 35,"2. Early Adulthood (25-34)",worksheet[[#This Row],[age]]&lt; 45,"3. Mid Adulthood (35-44)",worksheet[[#This Row],[age]]&lt; 55,"4. Mature Adulthood (45-54)",TRUE,"5. Late Adulthood/Senior (55+)")</f>
        <v>2. Early Adulthood (25-34)</v>
      </c>
      <c r="D175" t="s">
        <v>15</v>
      </c>
      <c r="E175" t="s">
        <v>16</v>
      </c>
      <c r="F175" s="4">
        <v>0.06</v>
      </c>
      <c r="G175" s="5">
        <v>2</v>
      </c>
      <c r="H175" t="s">
        <v>49</v>
      </c>
      <c r="I175" t="s">
        <v>18</v>
      </c>
      <c r="J175" s="6">
        <v>8.99</v>
      </c>
      <c r="K175">
        <v>1</v>
      </c>
      <c r="L175" t="s">
        <v>61</v>
      </c>
      <c r="M175" s="5">
        <v>4</v>
      </c>
      <c r="N175" s="4">
        <v>0.02</v>
      </c>
      <c r="O175" t="s">
        <v>20</v>
      </c>
    </row>
    <row r="176" spans="1:15" x14ac:dyDescent="0.3">
      <c r="A176" t="s">
        <v>565</v>
      </c>
      <c r="B176" s="5">
        <v>28</v>
      </c>
      <c r="C176" s="5" t="str" cm="1">
        <f t="array" ref="C176">_xlfn.IFS(worksheet[[#This Row],[age]]&lt;25,"1. Young Adulthood (18-24)",worksheet[[#This Row],[age]]&lt; 35,"2. Early Adulthood (25-34)",worksheet[[#This Row],[age]]&lt; 45,"3. Mid Adulthood (35-44)",worksheet[[#This Row],[age]]&lt; 55,"4. Mature Adulthood (45-54)",TRUE,"5. Late Adulthood/Senior (55+)")</f>
        <v>2. Early Adulthood (25-34)</v>
      </c>
      <c r="D176" t="s">
        <v>41</v>
      </c>
      <c r="E176" t="s">
        <v>22</v>
      </c>
      <c r="F176" s="4">
        <v>20.309999999999999</v>
      </c>
      <c r="G176" s="5">
        <v>40</v>
      </c>
      <c r="H176" t="s">
        <v>33</v>
      </c>
      <c r="I176" t="s">
        <v>46</v>
      </c>
      <c r="J176" s="6">
        <v>13.99</v>
      </c>
      <c r="K176">
        <v>0</v>
      </c>
      <c r="L176" t="s">
        <v>19</v>
      </c>
      <c r="M176" s="5">
        <v>1</v>
      </c>
      <c r="N176" s="4">
        <v>0.5</v>
      </c>
      <c r="O176" t="s">
        <v>20</v>
      </c>
    </row>
    <row r="177" spans="1:15" x14ac:dyDescent="0.3">
      <c r="A177" t="s">
        <v>568</v>
      </c>
      <c r="B177" s="5">
        <v>30</v>
      </c>
      <c r="C177" s="5" t="str" cm="1">
        <f t="array" ref="C177">_xlfn.IFS(worksheet[[#This Row],[age]]&lt;25,"1. Young Adulthood (18-24)",worksheet[[#This Row],[age]]&lt; 35,"2. Early Adulthood (25-34)",worksheet[[#This Row],[age]]&lt; 45,"3. Mid Adulthood (35-44)",worksheet[[#This Row],[age]]&lt; 55,"4. Mature Adulthood (45-54)",TRUE,"5. Late Adulthood/Senior (55+)")</f>
        <v>2. Early Adulthood (25-34)</v>
      </c>
      <c r="D177" t="s">
        <v>41</v>
      </c>
      <c r="E177" t="s">
        <v>32</v>
      </c>
      <c r="F177" s="4">
        <v>13.28</v>
      </c>
      <c r="G177" s="5">
        <v>44</v>
      </c>
      <c r="H177" t="s">
        <v>49</v>
      </c>
      <c r="I177" t="s">
        <v>24</v>
      </c>
      <c r="J177" s="6">
        <v>17.989999999999998</v>
      </c>
      <c r="K177">
        <v>0</v>
      </c>
      <c r="L177" t="s">
        <v>43</v>
      </c>
      <c r="M177" s="5">
        <v>4</v>
      </c>
      <c r="N177" s="4">
        <v>0.3</v>
      </c>
      <c r="O177" t="s">
        <v>39</v>
      </c>
    </row>
    <row r="178" spans="1:15" x14ac:dyDescent="0.3">
      <c r="A178" t="s">
        <v>570</v>
      </c>
      <c r="B178" s="5">
        <v>27</v>
      </c>
      <c r="C178" s="5" t="str" cm="1">
        <f t="array" ref="C178">_xlfn.IFS(worksheet[[#This Row],[age]]&lt;25,"1. Young Adulthood (18-24)",worksheet[[#This Row],[age]]&lt; 35,"2. Early Adulthood (25-34)",worksheet[[#This Row],[age]]&lt; 45,"3. Mid Adulthood (35-44)",worksheet[[#This Row],[age]]&lt; 55,"4. Mature Adulthood (45-54)",TRUE,"5. Late Adulthood/Senior (55+)")</f>
        <v>2. Early Adulthood (25-34)</v>
      </c>
      <c r="D178" t="s">
        <v>41</v>
      </c>
      <c r="E178" t="s">
        <v>22</v>
      </c>
      <c r="F178" s="4">
        <v>20.21</v>
      </c>
      <c r="G178" s="5">
        <v>57</v>
      </c>
      <c r="H178" t="s">
        <v>33</v>
      </c>
      <c r="I178" t="s">
        <v>57</v>
      </c>
      <c r="J178" s="6">
        <v>13.99</v>
      </c>
      <c r="K178">
        <v>0</v>
      </c>
      <c r="L178" t="s">
        <v>29</v>
      </c>
      <c r="M178" s="5">
        <v>2</v>
      </c>
      <c r="N178" s="4">
        <v>0.35</v>
      </c>
      <c r="O178" t="s">
        <v>34</v>
      </c>
    </row>
    <row r="179" spans="1:15" x14ac:dyDescent="0.3">
      <c r="A179" t="s">
        <v>572</v>
      </c>
      <c r="B179" s="5">
        <v>31</v>
      </c>
      <c r="C179" s="5" t="str" cm="1">
        <f t="array" ref="C179">_xlfn.IFS(worksheet[[#This Row],[age]]&lt;25,"1. Young Adulthood (18-24)",worksheet[[#This Row],[age]]&lt; 35,"2. Early Adulthood (25-34)",worksheet[[#This Row],[age]]&lt; 45,"3. Mid Adulthood (35-44)",worksheet[[#This Row],[age]]&lt; 55,"4. Mature Adulthood (45-54)",TRUE,"5. Late Adulthood/Senior (55+)")</f>
        <v>2. Early Adulthood (25-34)</v>
      </c>
      <c r="D179" t="s">
        <v>27</v>
      </c>
      <c r="E179" t="s">
        <v>32</v>
      </c>
      <c r="F179" s="4">
        <v>2.08</v>
      </c>
      <c r="G179" s="5">
        <v>8</v>
      </c>
      <c r="H179" t="s">
        <v>49</v>
      </c>
      <c r="I179" t="s">
        <v>55</v>
      </c>
      <c r="J179" s="6">
        <v>17.989999999999998</v>
      </c>
      <c r="K179">
        <v>1</v>
      </c>
      <c r="L179" t="s">
        <v>61</v>
      </c>
      <c r="M179" s="5">
        <v>3</v>
      </c>
      <c r="N179" s="4">
        <v>0.23</v>
      </c>
      <c r="O179" t="s">
        <v>39</v>
      </c>
    </row>
    <row r="180" spans="1:15" x14ac:dyDescent="0.3">
      <c r="A180" t="s">
        <v>574</v>
      </c>
      <c r="B180" s="5">
        <v>27</v>
      </c>
      <c r="C180" s="5" t="str" cm="1">
        <f t="array" ref="C180">_xlfn.IFS(worksheet[[#This Row],[age]]&lt;25,"1. Young Adulthood (18-24)",worksheet[[#This Row],[age]]&lt; 35,"2. Early Adulthood (25-34)",worksheet[[#This Row],[age]]&lt; 45,"3. Mid Adulthood (35-44)",worksheet[[#This Row],[age]]&lt; 55,"4. Mature Adulthood (45-54)",TRUE,"5. Late Adulthood/Senior (55+)")</f>
        <v>2. Early Adulthood (25-34)</v>
      </c>
      <c r="D180" t="s">
        <v>15</v>
      </c>
      <c r="E180" t="s">
        <v>32</v>
      </c>
      <c r="F180" s="4">
        <v>4.0199999999999996</v>
      </c>
      <c r="G180" s="5">
        <v>41</v>
      </c>
      <c r="H180" t="s">
        <v>49</v>
      </c>
      <c r="I180" t="s">
        <v>24</v>
      </c>
      <c r="J180" s="6">
        <v>17.989999999999998</v>
      </c>
      <c r="K180">
        <v>1</v>
      </c>
      <c r="L180" t="s">
        <v>61</v>
      </c>
      <c r="M180" s="5">
        <v>1</v>
      </c>
      <c r="N180" s="4">
        <v>0.1</v>
      </c>
      <c r="O180" t="s">
        <v>52</v>
      </c>
    </row>
    <row r="181" spans="1:15" x14ac:dyDescent="0.3">
      <c r="A181" t="s">
        <v>575</v>
      </c>
      <c r="B181" s="5">
        <v>29</v>
      </c>
      <c r="C181" s="5" t="str" cm="1">
        <f t="array" ref="C181">_xlfn.IFS(worksheet[[#This Row],[age]]&lt;25,"1. Young Adulthood (18-24)",worksheet[[#This Row],[age]]&lt; 35,"2. Early Adulthood (25-34)",worksheet[[#This Row],[age]]&lt; 45,"3. Mid Adulthood (35-44)",worksheet[[#This Row],[age]]&lt; 55,"4. Mature Adulthood (45-54)",TRUE,"5. Late Adulthood/Senior (55+)")</f>
        <v>2. Early Adulthood (25-34)</v>
      </c>
      <c r="D181" t="s">
        <v>15</v>
      </c>
      <c r="E181" t="s">
        <v>22</v>
      </c>
      <c r="F181" s="4">
        <v>31.52</v>
      </c>
      <c r="G181" s="5">
        <v>12</v>
      </c>
      <c r="H181" t="s">
        <v>23</v>
      </c>
      <c r="I181" t="s">
        <v>57</v>
      </c>
      <c r="J181" s="6">
        <v>13.99</v>
      </c>
      <c r="K181">
        <v>0</v>
      </c>
      <c r="L181" t="s">
        <v>37</v>
      </c>
      <c r="M181" s="5">
        <v>3</v>
      </c>
      <c r="N181" s="4">
        <v>2.42</v>
      </c>
      <c r="O181" t="s">
        <v>30</v>
      </c>
    </row>
    <row r="182" spans="1:15" x14ac:dyDescent="0.3">
      <c r="A182" t="s">
        <v>580</v>
      </c>
      <c r="B182" s="5">
        <v>33</v>
      </c>
      <c r="C182" s="5" t="str" cm="1">
        <f t="array" ref="C182">_xlfn.IFS(worksheet[[#This Row],[age]]&lt;25,"1. Young Adulthood (18-24)",worksheet[[#This Row],[age]]&lt; 35,"2. Early Adulthood (25-34)",worksheet[[#This Row],[age]]&lt; 45,"3. Mid Adulthood (35-44)",worksheet[[#This Row],[age]]&lt; 55,"4. Mature Adulthood (45-54)",TRUE,"5. Late Adulthood/Senior (55+)")</f>
        <v>2. Early Adulthood (25-34)</v>
      </c>
      <c r="D182" t="s">
        <v>27</v>
      </c>
      <c r="E182" t="s">
        <v>22</v>
      </c>
      <c r="F182" s="4">
        <v>1.33</v>
      </c>
      <c r="G182" s="5">
        <v>3</v>
      </c>
      <c r="H182" t="s">
        <v>17</v>
      </c>
      <c r="I182" t="s">
        <v>57</v>
      </c>
      <c r="J182" s="6">
        <v>13.99</v>
      </c>
      <c r="K182">
        <v>0</v>
      </c>
      <c r="L182" t="s">
        <v>43</v>
      </c>
      <c r="M182" s="5">
        <v>5</v>
      </c>
      <c r="N182" s="4">
        <v>0.33</v>
      </c>
      <c r="O182" t="s">
        <v>52</v>
      </c>
    </row>
    <row r="183" spans="1:15" x14ac:dyDescent="0.3">
      <c r="A183" t="s">
        <v>583</v>
      </c>
      <c r="B183" s="5">
        <v>34</v>
      </c>
      <c r="C183" s="5" t="str" cm="1">
        <f t="array" ref="C183">_xlfn.IFS(worksheet[[#This Row],[age]]&lt;25,"1. Young Adulthood (18-24)",worksheet[[#This Row],[age]]&lt; 35,"2. Early Adulthood (25-34)",worksheet[[#This Row],[age]]&lt; 45,"3. Mid Adulthood (35-44)",worksheet[[#This Row],[age]]&lt; 55,"4. Mature Adulthood (45-54)",TRUE,"5. Late Adulthood/Senior (55+)")</f>
        <v>2. Early Adulthood (25-34)</v>
      </c>
      <c r="D183" t="s">
        <v>27</v>
      </c>
      <c r="E183" t="s">
        <v>16</v>
      </c>
      <c r="F183" s="4">
        <v>27.09</v>
      </c>
      <c r="G183" s="5">
        <v>9</v>
      </c>
      <c r="H183" t="s">
        <v>33</v>
      </c>
      <c r="I183" t="s">
        <v>18</v>
      </c>
      <c r="J183" s="6">
        <v>8.99</v>
      </c>
      <c r="K183">
        <v>0</v>
      </c>
      <c r="L183" t="s">
        <v>37</v>
      </c>
      <c r="M183" s="5">
        <v>1</v>
      </c>
      <c r="N183" s="4">
        <v>2.71</v>
      </c>
      <c r="O183" t="s">
        <v>52</v>
      </c>
    </row>
    <row r="184" spans="1:15" x14ac:dyDescent="0.3">
      <c r="A184" t="s">
        <v>589</v>
      </c>
      <c r="B184" s="5">
        <v>31</v>
      </c>
      <c r="C184" s="5" t="str" cm="1">
        <f t="array" ref="C184">_xlfn.IFS(worksheet[[#This Row],[age]]&lt;25,"1. Young Adulthood (18-24)",worksheet[[#This Row],[age]]&lt; 35,"2. Early Adulthood (25-34)",worksheet[[#This Row],[age]]&lt; 45,"3. Mid Adulthood (35-44)",worksheet[[#This Row],[age]]&lt; 55,"4. Mature Adulthood (45-54)",TRUE,"5. Late Adulthood/Senior (55+)")</f>
        <v>2. Early Adulthood (25-34)</v>
      </c>
      <c r="D184" t="s">
        <v>15</v>
      </c>
      <c r="E184" t="s">
        <v>16</v>
      </c>
      <c r="F184" s="4">
        <v>5.4</v>
      </c>
      <c r="G184" s="5">
        <v>4</v>
      </c>
      <c r="H184" t="s">
        <v>23</v>
      </c>
      <c r="I184" t="s">
        <v>55</v>
      </c>
      <c r="J184" s="6">
        <v>8.99</v>
      </c>
      <c r="K184">
        <v>0</v>
      </c>
      <c r="L184" t="s">
        <v>61</v>
      </c>
      <c r="M184" s="5">
        <v>5</v>
      </c>
      <c r="N184" s="4">
        <v>1.08</v>
      </c>
      <c r="O184" t="s">
        <v>39</v>
      </c>
    </row>
    <row r="185" spans="1:15" x14ac:dyDescent="0.3">
      <c r="A185" t="s">
        <v>594</v>
      </c>
      <c r="B185" s="5">
        <v>18</v>
      </c>
      <c r="C185" s="5" t="str" cm="1">
        <f t="array" ref="C185">_xlfn.IFS(worksheet[[#This Row],[age]]&lt;25,"1. Young Adulthood (18-24)",worksheet[[#This Row],[age]]&lt; 35,"2. Early Adulthood (25-34)",worksheet[[#This Row],[age]]&lt; 45,"3. Mid Adulthood (35-44)",worksheet[[#This Row],[age]]&lt; 55,"4. Mature Adulthood (45-54)",TRUE,"5. Late Adulthood/Senior (55+)")</f>
        <v>1. Young Adulthood (18-24)</v>
      </c>
      <c r="D185" t="s">
        <v>41</v>
      </c>
      <c r="E185" t="s">
        <v>22</v>
      </c>
      <c r="F185" s="4">
        <v>7.4</v>
      </c>
      <c r="G185" s="5">
        <v>18</v>
      </c>
      <c r="H185" t="s">
        <v>70</v>
      </c>
      <c r="I185" t="s">
        <v>24</v>
      </c>
      <c r="J185" s="6">
        <v>13.99</v>
      </c>
      <c r="K185">
        <v>0</v>
      </c>
      <c r="L185" t="s">
        <v>61</v>
      </c>
      <c r="M185" s="5">
        <v>2</v>
      </c>
      <c r="N185" s="4">
        <v>0.39</v>
      </c>
      <c r="O185" t="s">
        <v>39</v>
      </c>
    </row>
    <row r="186" spans="1:15" x14ac:dyDescent="0.3">
      <c r="A186" t="s">
        <v>603</v>
      </c>
      <c r="B186" s="5">
        <v>28</v>
      </c>
      <c r="C186" s="5" t="str" cm="1">
        <f t="array" ref="C186">_xlfn.IFS(worksheet[[#This Row],[age]]&lt;25,"1. Young Adulthood (18-24)",worksheet[[#This Row],[age]]&lt; 35,"2. Early Adulthood (25-34)",worksheet[[#This Row],[age]]&lt; 45,"3. Mid Adulthood (35-44)",worksheet[[#This Row],[age]]&lt; 55,"4. Mature Adulthood (45-54)",TRUE,"5. Late Adulthood/Senior (55+)")</f>
        <v>2. Early Adulthood (25-34)</v>
      </c>
      <c r="D186" t="s">
        <v>27</v>
      </c>
      <c r="E186" t="s">
        <v>32</v>
      </c>
      <c r="F186" s="4">
        <v>3.02</v>
      </c>
      <c r="G186" s="5">
        <v>4</v>
      </c>
      <c r="H186" t="s">
        <v>17</v>
      </c>
      <c r="I186" t="s">
        <v>55</v>
      </c>
      <c r="J186" s="6">
        <v>17.989999999999998</v>
      </c>
      <c r="K186">
        <v>0</v>
      </c>
      <c r="L186" t="s">
        <v>37</v>
      </c>
      <c r="M186" s="5">
        <v>2</v>
      </c>
      <c r="N186" s="4">
        <v>0.6</v>
      </c>
      <c r="O186" t="s">
        <v>20</v>
      </c>
    </row>
    <row r="187" spans="1:15" x14ac:dyDescent="0.3">
      <c r="A187" t="s">
        <v>606</v>
      </c>
      <c r="B187" s="5">
        <v>22</v>
      </c>
      <c r="C187" s="5" t="str" cm="1">
        <f t="array" ref="C187">_xlfn.IFS(worksheet[[#This Row],[age]]&lt;25,"1. Young Adulthood (18-24)",worksheet[[#This Row],[age]]&lt; 35,"2. Early Adulthood (25-34)",worksheet[[#This Row],[age]]&lt; 45,"3. Mid Adulthood (35-44)",worksheet[[#This Row],[age]]&lt; 55,"4. Mature Adulthood (45-54)",TRUE,"5. Late Adulthood/Senior (55+)")</f>
        <v>1. Young Adulthood (18-24)</v>
      </c>
      <c r="D187" t="s">
        <v>27</v>
      </c>
      <c r="E187" t="s">
        <v>32</v>
      </c>
      <c r="F187" s="4">
        <v>0.97</v>
      </c>
      <c r="G187" s="5">
        <v>13</v>
      </c>
      <c r="H187" t="s">
        <v>33</v>
      </c>
      <c r="I187" t="s">
        <v>46</v>
      </c>
      <c r="J187" s="6">
        <v>17.989999999999998</v>
      </c>
      <c r="K187">
        <v>1</v>
      </c>
      <c r="L187" t="s">
        <v>43</v>
      </c>
      <c r="M187" s="5">
        <v>2</v>
      </c>
      <c r="N187" s="4">
        <v>7.0000000000000007E-2</v>
      </c>
      <c r="O187" t="s">
        <v>20</v>
      </c>
    </row>
    <row r="188" spans="1:15" x14ac:dyDescent="0.3">
      <c r="A188" t="s">
        <v>608</v>
      </c>
      <c r="B188" s="5">
        <v>22</v>
      </c>
      <c r="C188" s="5" t="str" cm="1">
        <f t="array" ref="C188">_xlfn.IFS(worksheet[[#This Row],[age]]&lt;25,"1. Young Adulthood (18-24)",worksheet[[#This Row],[age]]&lt; 35,"2. Early Adulthood (25-34)",worksheet[[#This Row],[age]]&lt; 45,"3. Mid Adulthood (35-44)",worksheet[[#This Row],[age]]&lt; 55,"4. Mature Adulthood (45-54)",TRUE,"5. Late Adulthood/Senior (55+)")</f>
        <v>1. Young Adulthood (18-24)</v>
      </c>
      <c r="D188" t="s">
        <v>15</v>
      </c>
      <c r="E188" t="s">
        <v>22</v>
      </c>
      <c r="F188" s="4">
        <v>46.56</v>
      </c>
      <c r="G188" s="5">
        <v>3</v>
      </c>
      <c r="H188" t="s">
        <v>23</v>
      </c>
      <c r="I188" t="s">
        <v>24</v>
      </c>
      <c r="J188" s="6">
        <v>13.99</v>
      </c>
      <c r="K188">
        <v>0</v>
      </c>
      <c r="L188" t="s">
        <v>43</v>
      </c>
      <c r="M188" s="5">
        <v>3</v>
      </c>
      <c r="N188" s="4">
        <v>11.64</v>
      </c>
      <c r="O188" t="s">
        <v>47</v>
      </c>
    </row>
    <row r="189" spans="1:15" x14ac:dyDescent="0.3">
      <c r="A189" t="s">
        <v>609</v>
      </c>
      <c r="B189" s="5">
        <v>22</v>
      </c>
      <c r="C189" s="5" t="str" cm="1">
        <f t="array" ref="C189">_xlfn.IFS(worksheet[[#This Row],[age]]&lt;25,"1. Young Adulthood (18-24)",worksheet[[#This Row],[age]]&lt; 35,"2. Early Adulthood (25-34)",worksheet[[#This Row],[age]]&lt; 45,"3. Mid Adulthood (35-44)",worksheet[[#This Row],[age]]&lt; 55,"4. Mature Adulthood (45-54)",TRUE,"5. Late Adulthood/Senior (55+)")</f>
        <v>1. Young Adulthood (18-24)</v>
      </c>
      <c r="D189" t="s">
        <v>15</v>
      </c>
      <c r="E189" t="s">
        <v>22</v>
      </c>
      <c r="F189" s="4">
        <v>12.77</v>
      </c>
      <c r="G189" s="5">
        <v>33</v>
      </c>
      <c r="H189" t="s">
        <v>70</v>
      </c>
      <c r="I189" t="s">
        <v>55</v>
      </c>
      <c r="J189" s="6">
        <v>13.99</v>
      </c>
      <c r="K189">
        <v>1</v>
      </c>
      <c r="L189" t="s">
        <v>61</v>
      </c>
      <c r="M189" s="5">
        <v>2</v>
      </c>
      <c r="N189" s="4">
        <v>0.38</v>
      </c>
      <c r="O189" t="s">
        <v>25</v>
      </c>
    </row>
    <row r="190" spans="1:15" x14ac:dyDescent="0.3">
      <c r="A190" t="s">
        <v>625</v>
      </c>
      <c r="B190" s="5">
        <v>31</v>
      </c>
      <c r="C190" s="5" t="str" cm="1">
        <f t="array" ref="C190">_xlfn.IFS(worksheet[[#This Row],[age]]&lt;25,"1. Young Adulthood (18-24)",worksheet[[#This Row],[age]]&lt; 35,"2. Early Adulthood (25-34)",worksheet[[#This Row],[age]]&lt; 45,"3. Mid Adulthood (35-44)",worksheet[[#This Row],[age]]&lt; 55,"4. Mature Adulthood (45-54)",TRUE,"5. Late Adulthood/Senior (55+)")</f>
        <v>2. Early Adulthood (25-34)</v>
      </c>
      <c r="D190" t="s">
        <v>27</v>
      </c>
      <c r="E190" t="s">
        <v>22</v>
      </c>
      <c r="F190" s="4">
        <v>0.96</v>
      </c>
      <c r="G190" s="5">
        <v>55</v>
      </c>
      <c r="H190" t="s">
        <v>70</v>
      </c>
      <c r="I190" t="s">
        <v>46</v>
      </c>
      <c r="J190" s="6">
        <v>13.99</v>
      </c>
      <c r="K190">
        <v>1</v>
      </c>
      <c r="L190" t="s">
        <v>29</v>
      </c>
      <c r="M190" s="5">
        <v>3</v>
      </c>
      <c r="N190" s="4">
        <v>0.02</v>
      </c>
      <c r="O190" t="s">
        <v>20</v>
      </c>
    </row>
    <row r="191" spans="1:15" x14ac:dyDescent="0.3">
      <c r="A191" t="s">
        <v>628</v>
      </c>
      <c r="B191" s="5">
        <v>30</v>
      </c>
      <c r="C191" s="5" t="str" cm="1">
        <f t="array" ref="C191">_xlfn.IFS(worksheet[[#This Row],[age]]&lt;25,"1. Young Adulthood (18-24)",worksheet[[#This Row],[age]]&lt; 35,"2. Early Adulthood (25-34)",worksheet[[#This Row],[age]]&lt; 45,"3. Mid Adulthood (35-44)",worksheet[[#This Row],[age]]&lt; 55,"4. Mature Adulthood (45-54)",TRUE,"5. Late Adulthood/Senior (55+)")</f>
        <v>2. Early Adulthood (25-34)</v>
      </c>
      <c r="D191" t="s">
        <v>27</v>
      </c>
      <c r="E191" t="s">
        <v>16</v>
      </c>
      <c r="F191" s="4">
        <v>17.02</v>
      </c>
      <c r="G191" s="5">
        <v>29</v>
      </c>
      <c r="H191" t="s">
        <v>17</v>
      </c>
      <c r="I191" t="s">
        <v>55</v>
      </c>
      <c r="J191" s="6">
        <v>8.99</v>
      </c>
      <c r="K191">
        <v>0</v>
      </c>
      <c r="L191" t="s">
        <v>19</v>
      </c>
      <c r="M191" s="5">
        <v>3</v>
      </c>
      <c r="N191" s="4">
        <v>0.56999999999999995</v>
      </c>
      <c r="O191" t="s">
        <v>47</v>
      </c>
    </row>
    <row r="192" spans="1:15" x14ac:dyDescent="0.3">
      <c r="A192" t="s">
        <v>629</v>
      </c>
      <c r="B192" s="5">
        <v>22</v>
      </c>
      <c r="C192" s="5" t="str" cm="1">
        <f t="array" ref="C192">_xlfn.IFS(worksheet[[#This Row],[age]]&lt;25,"1. Young Adulthood (18-24)",worksheet[[#This Row],[age]]&lt; 35,"2. Early Adulthood (25-34)",worksheet[[#This Row],[age]]&lt; 45,"3. Mid Adulthood (35-44)",worksheet[[#This Row],[age]]&lt; 55,"4. Mature Adulthood (45-54)",TRUE,"5. Late Adulthood/Senior (55+)")</f>
        <v>1. Young Adulthood (18-24)</v>
      </c>
      <c r="D192" t="s">
        <v>15</v>
      </c>
      <c r="E192" t="s">
        <v>32</v>
      </c>
      <c r="F192" s="4">
        <v>2.61</v>
      </c>
      <c r="G192" s="5">
        <v>10</v>
      </c>
      <c r="H192" t="s">
        <v>23</v>
      </c>
      <c r="I192" t="s">
        <v>18</v>
      </c>
      <c r="J192" s="6">
        <v>17.989999999999998</v>
      </c>
      <c r="K192">
        <v>0</v>
      </c>
      <c r="L192" t="s">
        <v>43</v>
      </c>
      <c r="M192" s="5">
        <v>4</v>
      </c>
      <c r="N192" s="4">
        <v>0.24</v>
      </c>
      <c r="O192" t="s">
        <v>25</v>
      </c>
    </row>
    <row r="193" spans="1:15" x14ac:dyDescent="0.3">
      <c r="A193" t="s">
        <v>631</v>
      </c>
      <c r="B193" s="5">
        <v>24</v>
      </c>
      <c r="C193" s="5" t="str" cm="1">
        <f t="array" ref="C193">_xlfn.IFS(worksheet[[#This Row],[age]]&lt;25,"1. Young Adulthood (18-24)",worksheet[[#This Row],[age]]&lt; 35,"2. Early Adulthood (25-34)",worksheet[[#This Row],[age]]&lt; 45,"3. Mid Adulthood (35-44)",worksheet[[#This Row],[age]]&lt; 55,"4. Mature Adulthood (45-54)",TRUE,"5. Late Adulthood/Senior (55+)")</f>
        <v>1. Young Adulthood (18-24)</v>
      </c>
      <c r="D193" t="s">
        <v>27</v>
      </c>
      <c r="E193" t="s">
        <v>16</v>
      </c>
      <c r="F193" s="4">
        <v>7.5</v>
      </c>
      <c r="G193" s="5">
        <v>4</v>
      </c>
      <c r="H193" t="s">
        <v>49</v>
      </c>
      <c r="I193" t="s">
        <v>57</v>
      </c>
      <c r="J193" s="6">
        <v>8.99</v>
      </c>
      <c r="K193">
        <v>0</v>
      </c>
      <c r="L193" t="s">
        <v>37</v>
      </c>
      <c r="M193" s="5">
        <v>2</v>
      </c>
      <c r="N193" s="4">
        <v>1.5</v>
      </c>
      <c r="O193" t="s">
        <v>39</v>
      </c>
    </row>
    <row r="194" spans="1:15" x14ac:dyDescent="0.3">
      <c r="A194" t="s">
        <v>640</v>
      </c>
      <c r="B194" s="5">
        <v>20</v>
      </c>
      <c r="C194" s="5" t="str" cm="1">
        <f t="array" ref="C194">_xlfn.IFS(worksheet[[#This Row],[age]]&lt;25,"1. Young Adulthood (18-24)",worksheet[[#This Row],[age]]&lt; 35,"2. Early Adulthood (25-34)",worksheet[[#This Row],[age]]&lt; 45,"3. Mid Adulthood (35-44)",worksheet[[#This Row],[age]]&lt; 55,"4. Mature Adulthood (45-54)",TRUE,"5. Late Adulthood/Senior (55+)")</f>
        <v>1. Young Adulthood (18-24)</v>
      </c>
      <c r="D194" t="s">
        <v>41</v>
      </c>
      <c r="E194" t="s">
        <v>16</v>
      </c>
      <c r="F194" s="4">
        <v>0.67</v>
      </c>
      <c r="G194" s="5">
        <v>59</v>
      </c>
      <c r="H194" t="s">
        <v>70</v>
      </c>
      <c r="I194" t="s">
        <v>18</v>
      </c>
      <c r="J194" s="6">
        <v>8.99</v>
      </c>
      <c r="K194">
        <v>1</v>
      </c>
      <c r="L194" t="s">
        <v>43</v>
      </c>
      <c r="M194" s="5">
        <v>4</v>
      </c>
      <c r="N194" s="4">
        <v>0.01</v>
      </c>
      <c r="O194" t="s">
        <v>34</v>
      </c>
    </row>
    <row r="195" spans="1:15" x14ac:dyDescent="0.3">
      <c r="A195" t="s">
        <v>650</v>
      </c>
      <c r="B195" s="5">
        <v>32</v>
      </c>
      <c r="C195" s="5" t="str" cm="1">
        <f t="array" ref="C195">_xlfn.IFS(worksheet[[#This Row],[age]]&lt;25,"1. Young Adulthood (18-24)",worksheet[[#This Row],[age]]&lt; 35,"2. Early Adulthood (25-34)",worksheet[[#This Row],[age]]&lt; 45,"3. Mid Adulthood (35-44)",worksheet[[#This Row],[age]]&lt; 55,"4. Mature Adulthood (45-54)",TRUE,"5. Late Adulthood/Senior (55+)")</f>
        <v>2. Early Adulthood (25-34)</v>
      </c>
      <c r="D195" t="s">
        <v>41</v>
      </c>
      <c r="E195" t="s">
        <v>22</v>
      </c>
      <c r="F195" s="4">
        <v>8.26</v>
      </c>
      <c r="G195" s="5">
        <v>39</v>
      </c>
      <c r="H195" t="s">
        <v>28</v>
      </c>
      <c r="I195" t="s">
        <v>46</v>
      </c>
      <c r="J195" s="6">
        <v>13.99</v>
      </c>
      <c r="K195">
        <v>1</v>
      </c>
      <c r="L195" t="s">
        <v>19</v>
      </c>
      <c r="M195" s="5">
        <v>1</v>
      </c>
      <c r="N195" s="4">
        <v>0.21</v>
      </c>
      <c r="O195" t="s">
        <v>30</v>
      </c>
    </row>
    <row r="196" spans="1:15" x14ac:dyDescent="0.3">
      <c r="A196" t="s">
        <v>658</v>
      </c>
      <c r="B196" s="5">
        <v>24</v>
      </c>
      <c r="C196" s="5" t="str" cm="1">
        <f t="array" ref="C196">_xlfn.IFS(worksheet[[#This Row],[age]]&lt;25,"1. Young Adulthood (18-24)",worksheet[[#This Row],[age]]&lt; 35,"2. Early Adulthood (25-34)",worksheet[[#This Row],[age]]&lt; 45,"3. Mid Adulthood (35-44)",worksheet[[#This Row],[age]]&lt; 55,"4. Mature Adulthood (45-54)",TRUE,"5. Late Adulthood/Senior (55+)")</f>
        <v>1. Young Adulthood (18-24)</v>
      </c>
      <c r="D196" t="s">
        <v>27</v>
      </c>
      <c r="E196" t="s">
        <v>22</v>
      </c>
      <c r="F196" s="4">
        <v>5.56</v>
      </c>
      <c r="G196" s="5">
        <v>32</v>
      </c>
      <c r="H196" t="s">
        <v>23</v>
      </c>
      <c r="I196" t="s">
        <v>46</v>
      </c>
      <c r="J196" s="6">
        <v>13.99</v>
      </c>
      <c r="K196">
        <v>1</v>
      </c>
      <c r="L196" t="s">
        <v>43</v>
      </c>
      <c r="M196" s="5">
        <v>1</v>
      </c>
      <c r="N196" s="4">
        <v>0.17</v>
      </c>
      <c r="O196" t="s">
        <v>30</v>
      </c>
    </row>
    <row r="197" spans="1:15" x14ac:dyDescent="0.3">
      <c r="A197" t="s">
        <v>662</v>
      </c>
      <c r="B197" s="5">
        <v>27</v>
      </c>
      <c r="C197" s="5" t="str" cm="1">
        <f t="array" ref="C197">_xlfn.IFS(worksheet[[#This Row],[age]]&lt;25,"1. Young Adulthood (18-24)",worksheet[[#This Row],[age]]&lt; 35,"2. Early Adulthood (25-34)",worksheet[[#This Row],[age]]&lt; 45,"3. Mid Adulthood (35-44)",worksheet[[#This Row],[age]]&lt; 55,"4. Mature Adulthood (45-54)",TRUE,"5. Late Adulthood/Senior (55+)")</f>
        <v>2. Early Adulthood (25-34)</v>
      </c>
      <c r="D197" t="s">
        <v>15</v>
      </c>
      <c r="E197" t="s">
        <v>16</v>
      </c>
      <c r="F197" s="4">
        <v>16.36</v>
      </c>
      <c r="G197" s="5">
        <v>8</v>
      </c>
      <c r="H197" t="s">
        <v>28</v>
      </c>
      <c r="I197" t="s">
        <v>18</v>
      </c>
      <c r="J197" s="6">
        <v>8.99</v>
      </c>
      <c r="K197">
        <v>0</v>
      </c>
      <c r="L197" t="s">
        <v>19</v>
      </c>
      <c r="M197" s="5">
        <v>1</v>
      </c>
      <c r="N197" s="4">
        <v>1.82</v>
      </c>
      <c r="O197" t="s">
        <v>30</v>
      </c>
    </row>
    <row r="198" spans="1:15" x14ac:dyDescent="0.3">
      <c r="A198" t="s">
        <v>663</v>
      </c>
      <c r="B198" s="5">
        <v>22</v>
      </c>
      <c r="C198" s="5" t="str" cm="1">
        <f t="array" ref="C198">_xlfn.IFS(worksheet[[#This Row],[age]]&lt;25,"1. Young Adulthood (18-24)",worksheet[[#This Row],[age]]&lt; 35,"2. Early Adulthood (25-34)",worksheet[[#This Row],[age]]&lt; 45,"3. Mid Adulthood (35-44)",worksheet[[#This Row],[age]]&lt; 55,"4. Mature Adulthood (45-54)",TRUE,"5. Late Adulthood/Senior (55+)")</f>
        <v>1. Young Adulthood (18-24)</v>
      </c>
      <c r="D198" t="s">
        <v>15</v>
      </c>
      <c r="E198" t="s">
        <v>22</v>
      </c>
      <c r="F198" s="4">
        <v>5.42</v>
      </c>
      <c r="G198" s="5">
        <v>1</v>
      </c>
      <c r="H198" t="s">
        <v>28</v>
      </c>
      <c r="I198" t="s">
        <v>55</v>
      </c>
      <c r="J198" s="6">
        <v>13.99</v>
      </c>
      <c r="K198">
        <v>0</v>
      </c>
      <c r="L198" t="s">
        <v>37</v>
      </c>
      <c r="M198" s="5">
        <v>2</v>
      </c>
      <c r="N198" s="4">
        <v>2.71</v>
      </c>
      <c r="O198" t="s">
        <v>20</v>
      </c>
    </row>
    <row r="199" spans="1:15" x14ac:dyDescent="0.3">
      <c r="A199" t="s">
        <v>668</v>
      </c>
      <c r="B199" s="5">
        <v>25</v>
      </c>
      <c r="C199" s="5" t="str" cm="1">
        <f t="array" ref="C199">_xlfn.IFS(worksheet[[#This Row],[age]]&lt;25,"1. Young Adulthood (18-24)",worksheet[[#This Row],[age]]&lt; 35,"2. Early Adulthood (25-34)",worksheet[[#This Row],[age]]&lt; 45,"3. Mid Adulthood (35-44)",worksheet[[#This Row],[age]]&lt; 55,"4. Mature Adulthood (45-54)",TRUE,"5. Late Adulthood/Senior (55+)")</f>
        <v>2. Early Adulthood (25-34)</v>
      </c>
      <c r="D199" t="s">
        <v>15</v>
      </c>
      <c r="E199" t="s">
        <v>22</v>
      </c>
      <c r="F199" s="4">
        <v>6.11</v>
      </c>
      <c r="G199" s="5">
        <v>0</v>
      </c>
      <c r="H199" t="s">
        <v>28</v>
      </c>
      <c r="I199" t="s">
        <v>46</v>
      </c>
      <c r="J199" s="6">
        <v>13.99</v>
      </c>
      <c r="K199">
        <v>0</v>
      </c>
      <c r="L199" t="s">
        <v>61</v>
      </c>
      <c r="M199" s="5">
        <v>1</v>
      </c>
      <c r="N199" s="4">
        <v>6.11</v>
      </c>
      <c r="O199" t="s">
        <v>30</v>
      </c>
    </row>
    <row r="200" spans="1:15" x14ac:dyDescent="0.3">
      <c r="A200" t="s">
        <v>674</v>
      </c>
      <c r="B200" s="5">
        <v>28</v>
      </c>
      <c r="C200" s="5" t="str" cm="1">
        <f t="array" ref="C200">_xlfn.IFS(worksheet[[#This Row],[age]]&lt;25,"1. Young Adulthood (18-24)",worksheet[[#This Row],[age]]&lt; 35,"2. Early Adulthood (25-34)",worksheet[[#This Row],[age]]&lt; 45,"3. Mid Adulthood (35-44)",worksheet[[#This Row],[age]]&lt; 55,"4. Mature Adulthood (45-54)",TRUE,"5. Late Adulthood/Senior (55+)")</f>
        <v>2. Early Adulthood (25-34)</v>
      </c>
      <c r="D200" t="s">
        <v>27</v>
      </c>
      <c r="E200" t="s">
        <v>16</v>
      </c>
      <c r="F200" s="4">
        <v>2.97</v>
      </c>
      <c r="G200" s="5">
        <v>23</v>
      </c>
      <c r="H200" t="s">
        <v>23</v>
      </c>
      <c r="I200" t="s">
        <v>57</v>
      </c>
      <c r="J200" s="6">
        <v>8.99</v>
      </c>
      <c r="K200">
        <v>1</v>
      </c>
      <c r="L200" t="s">
        <v>61</v>
      </c>
      <c r="M200" s="5">
        <v>5</v>
      </c>
      <c r="N200" s="4">
        <v>0.12</v>
      </c>
      <c r="O200" t="s">
        <v>39</v>
      </c>
    </row>
    <row r="201" spans="1:15" x14ac:dyDescent="0.3">
      <c r="A201" t="s">
        <v>677</v>
      </c>
      <c r="B201" s="5">
        <v>29</v>
      </c>
      <c r="C201" s="5" t="str" cm="1">
        <f t="array" ref="C201">_xlfn.IFS(worksheet[[#This Row],[age]]&lt;25,"1. Young Adulthood (18-24)",worksheet[[#This Row],[age]]&lt; 35,"2. Early Adulthood (25-34)",worksheet[[#This Row],[age]]&lt; 45,"3. Mid Adulthood (35-44)",worksheet[[#This Row],[age]]&lt; 55,"4. Mature Adulthood (45-54)",TRUE,"5. Late Adulthood/Senior (55+)")</f>
        <v>2. Early Adulthood (25-34)</v>
      </c>
      <c r="D201" t="s">
        <v>27</v>
      </c>
      <c r="E201" t="s">
        <v>32</v>
      </c>
      <c r="F201" s="4">
        <v>54.65</v>
      </c>
      <c r="G201" s="5">
        <v>49</v>
      </c>
      <c r="H201" t="s">
        <v>17</v>
      </c>
      <c r="I201" t="s">
        <v>57</v>
      </c>
      <c r="J201" s="6">
        <v>17.989999999999998</v>
      </c>
      <c r="K201">
        <v>0</v>
      </c>
      <c r="L201" t="s">
        <v>37</v>
      </c>
      <c r="M201" s="5">
        <v>5</v>
      </c>
      <c r="N201" s="4">
        <v>1.0900000000000001</v>
      </c>
      <c r="O201" t="s">
        <v>47</v>
      </c>
    </row>
    <row r="202" spans="1:15" x14ac:dyDescent="0.3">
      <c r="A202" t="s">
        <v>680</v>
      </c>
      <c r="B202" s="5">
        <v>19</v>
      </c>
      <c r="C202" s="5" t="str" cm="1">
        <f t="array" ref="C202">_xlfn.IFS(worksheet[[#This Row],[age]]&lt;25,"1. Young Adulthood (18-24)",worksheet[[#This Row],[age]]&lt; 35,"2. Early Adulthood (25-34)",worksheet[[#This Row],[age]]&lt; 45,"3. Mid Adulthood (35-44)",worksheet[[#This Row],[age]]&lt; 55,"4. Mature Adulthood (45-54)",TRUE,"5. Late Adulthood/Senior (55+)")</f>
        <v>1. Young Adulthood (18-24)</v>
      </c>
      <c r="D202" t="s">
        <v>15</v>
      </c>
      <c r="E202" t="s">
        <v>32</v>
      </c>
      <c r="F202" s="4">
        <v>7.32</v>
      </c>
      <c r="G202" s="5">
        <v>39</v>
      </c>
      <c r="H202" t="s">
        <v>70</v>
      </c>
      <c r="I202" t="s">
        <v>18</v>
      </c>
      <c r="J202" s="6">
        <v>17.989999999999998</v>
      </c>
      <c r="K202">
        <v>0</v>
      </c>
      <c r="L202" t="s">
        <v>61</v>
      </c>
      <c r="M202" s="5">
        <v>4</v>
      </c>
      <c r="N202" s="4">
        <v>0.18</v>
      </c>
      <c r="O202" t="s">
        <v>52</v>
      </c>
    </row>
    <row r="203" spans="1:15" x14ac:dyDescent="0.3">
      <c r="A203" t="s">
        <v>681</v>
      </c>
      <c r="B203" s="5">
        <v>26</v>
      </c>
      <c r="C203" s="5" t="str" cm="1">
        <f t="array" ref="C203">_xlfn.IFS(worksheet[[#This Row],[age]]&lt;25,"1. Young Adulthood (18-24)",worksheet[[#This Row],[age]]&lt; 35,"2. Early Adulthood (25-34)",worksheet[[#This Row],[age]]&lt; 45,"3. Mid Adulthood (35-44)",worksheet[[#This Row],[age]]&lt; 55,"4. Mature Adulthood (45-54)",TRUE,"5. Late Adulthood/Senior (55+)")</f>
        <v>2. Early Adulthood (25-34)</v>
      </c>
      <c r="D203" t="s">
        <v>41</v>
      </c>
      <c r="E203" t="s">
        <v>22</v>
      </c>
      <c r="F203" s="4">
        <v>1.71</v>
      </c>
      <c r="G203" s="5">
        <v>52</v>
      </c>
      <c r="H203" t="s">
        <v>17</v>
      </c>
      <c r="I203" t="s">
        <v>24</v>
      </c>
      <c r="J203" s="6">
        <v>13.99</v>
      </c>
      <c r="K203">
        <v>1</v>
      </c>
      <c r="L203" t="s">
        <v>61</v>
      </c>
      <c r="M203" s="5">
        <v>2</v>
      </c>
      <c r="N203" s="4">
        <v>0.03</v>
      </c>
      <c r="O203" t="s">
        <v>30</v>
      </c>
    </row>
    <row r="204" spans="1:15" x14ac:dyDescent="0.3">
      <c r="A204" t="s">
        <v>683</v>
      </c>
      <c r="B204" s="5">
        <v>19</v>
      </c>
      <c r="C204" s="5" t="str" cm="1">
        <f t="array" ref="C204">_xlfn.IFS(worksheet[[#This Row],[age]]&lt;25,"1. Young Adulthood (18-24)",worksheet[[#This Row],[age]]&lt; 35,"2. Early Adulthood (25-34)",worksheet[[#This Row],[age]]&lt; 45,"3. Mid Adulthood (35-44)",worksheet[[#This Row],[age]]&lt; 55,"4. Mature Adulthood (45-54)",TRUE,"5. Late Adulthood/Senior (55+)")</f>
        <v>1. Young Adulthood (18-24)</v>
      </c>
      <c r="D204" t="s">
        <v>41</v>
      </c>
      <c r="E204" t="s">
        <v>22</v>
      </c>
      <c r="F204" s="4">
        <v>15.85</v>
      </c>
      <c r="G204" s="5">
        <v>43</v>
      </c>
      <c r="H204" t="s">
        <v>33</v>
      </c>
      <c r="I204" t="s">
        <v>55</v>
      </c>
      <c r="J204" s="6">
        <v>13.99</v>
      </c>
      <c r="K204">
        <v>1</v>
      </c>
      <c r="L204" t="s">
        <v>19</v>
      </c>
      <c r="M204" s="5">
        <v>2</v>
      </c>
      <c r="N204" s="4">
        <v>0.36</v>
      </c>
      <c r="O204" t="s">
        <v>47</v>
      </c>
    </row>
    <row r="205" spans="1:15" x14ac:dyDescent="0.3">
      <c r="A205" t="s">
        <v>687</v>
      </c>
      <c r="B205" s="5">
        <v>18</v>
      </c>
      <c r="C205" s="5" t="str" cm="1">
        <f t="array" ref="C205">_xlfn.IFS(worksheet[[#This Row],[age]]&lt;25,"1. Young Adulthood (18-24)",worksheet[[#This Row],[age]]&lt; 35,"2. Early Adulthood (25-34)",worksheet[[#This Row],[age]]&lt; 45,"3. Mid Adulthood (35-44)",worksheet[[#This Row],[age]]&lt; 55,"4. Mature Adulthood (45-54)",TRUE,"5. Late Adulthood/Senior (55+)")</f>
        <v>1. Young Adulthood (18-24)</v>
      </c>
      <c r="D205" t="s">
        <v>15</v>
      </c>
      <c r="E205" t="s">
        <v>22</v>
      </c>
      <c r="F205" s="4">
        <v>1.62</v>
      </c>
      <c r="G205" s="5">
        <v>20</v>
      </c>
      <c r="H205" t="s">
        <v>28</v>
      </c>
      <c r="I205" t="s">
        <v>24</v>
      </c>
      <c r="J205" s="6">
        <v>13.99</v>
      </c>
      <c r="K205">
        <v>1</v>
      </c>
      <c r="L205" t="s">
        <v>29</v>
      </c>
      <c r="M205" s="5">
        <v>1</v>
      </c>
      <c r="N205" s="4">
        <v>0.08</v>
      </c>
      <c r="O205" t="s">
        <v>52</v>
      </c>
    </row>
    <row r="206" spans="1:15" x14ac:dyDescent="0.3">
      <c r="A206" t="s">
        <v>690</v>
      </c>
      <c r="B206" s="5">
        <v>33</v>
      </c>
      <c r="C206" s="5" t="str" cm="1">
        <f t="array" ref="C206">_xlfn.IFS(worksheet[[#This Row],[age]]&lt;25,"1. Young Adulthood (18-24)",worksheet[[#This Row],[age]]&lt; 35,"2. Early Adulthood (25-34)",worksheet[[#This Row],[age]]&lt; 45,"3. Mid Adulthood (35-44)",worksheet[[#This Row],[age]]&lt; 55,"4. Mature Adulthood (45-54)",TRUE,"5. Late Adulthood/Senior (55+)")</f>
        <v>2. Early Adulthood (25-34)</v>
      </c>
      <c r="D206" t="s">
        <v>27</v>
      </c>
      <c r="E206" t="s">
        <v>32</v>
      </c>
      <c r="F206" s="4">
        <v>25.15</v>
      </c>
      <c r="G206" s="5">
        <v>0</v>
      </c>
      <c r="H206" t="s">
        <v>70</v>
      </c>
      <c r="I206" t="s">
        <v>18</v>
      </c>
      <c r="J206" s="6">
        <v>17.989999999999998</v>
      </c>
      <c r="K206">
        <v>0</v>
      </c>
      <c r="L206" t="s">
        <v>29</v>
      </c>
      <c r="M206" s="5">
        <v>1</v>
      </c>
      <c r="N206" s="4">
        <v>25.15</v>
      </c>
      <c r="O206" t="s">
        <v>47</v>
      </c>
    </row>
    <row r="207" spans="1:15" x14ac:dyDescent="0.3">
      <c r="A207" t="s">
        <v>691</v>
      </c>
      <c r="B207" s="5">
        <v>19</v>
      </c>
      <c r="C207" s="5" t="str" cm="1">
        <f t="array" ref="C207">_xlfn.IFS(worksheet[[#This Row],[age]]&lt;25,"1. Young Adulthood (18-24)",worksheet[[#This Row],[age]]&lt; 35,"2. Early Adulthood (25-34)",worksheet[[#This Row],[age]]&lt; 45,"3. Mid Adulthood (35-44)",worksheet[[#This Row],[age]]&lt; 55,"4. Mature Adulthood (45-54)",TRUE,"5. Late Adulthood/Senior (55+)")</f>
        <v>1. Young Adulthood (18-24)</v>
      </c>
      <c r="D207" t="s">
        <v>27</v>
      </c>
      <c r="E207" t="s">
        <v>16</v>
      </c>
      <c r="F207" s="4">
        <v>8.01</v>
      </c>
      <c r="G207" s="5">
        <v>47</v>
      </c>
      <c r="H207" t="s">
        <v>23</v>
      </c>
      <c r="I207" t="s">
        <v>57</v>
      </c>
      <c r="J207" s="6">
        <v>8.99</v>
      </c>
      <c r="K207">
        <v>1</v>
      </c>
      <c r="L207" t="s">
        <v>37</v>
      </c>
      <c r="M207" s="5">
        <v>2</v>
      </c>
      <c r="N207" s="4">
        <v>0.17</v>
      </c>
      <c r="O207" t="s">
        <v>25</v>
      </c>
    </row>
    <row r="208" spans="1:15" x14ac:dyDescent="0.3">
      <c r="A208" t="s">
        <v>692</v>
      </c>
      <c r="B208" s="5">
        <v>27</v>
      </c>
      <c r="C208" s="5" t="str" cm="1">
        <f t="array" ref="C208">_xlfn.IFS(worksheet[[#This Row],[age]]&lt;25,"1. Young Adulthood (18-24)",worksheet[[#This Row],[age]]&lt; 35,"2. Early Adulthood (25-34)",worksheet[[#This Row],[age]]&lt; 45,"3. Mid Adulthood (35-44)",worksheet[[#This Row],[age]]&lt; 55,"4. Mature Adulthood (45-54)",TRUE,"5. Late Adulthood/Senior (55+)")</f>
        <v>2. Early Adulthood (25-34)</v>
      </c>
      <c r="D208" t="s">
        <v>27</v>
      </c>
      <c r="E208" t="s">
        <v>22</v>
      </c>
      <c r="F208" s="4">
        <v>4.07</v>
      </c>
      <c r="G208" s="5">
        <v>42</v>
      </c>
      <c r="H208" t="s">
        <v>70</v>
      </c>
      <c r="I208" t="s">
        <v>55</v>
      </c>
      <c r="J208" s="6">
        <v>13.99</v>
      </c>
      <c r="K208">
        <v>1</v>
      </c>
      <c r="L208" t="s">
        <v>29</v>
      </c>
      <c r="M208" s="5">
        <v>5</v>
      </c>
      <c r="N208" s="4">
        <v>0.09</v>
      </c>
      <c r="O208" t="s">
        <v>30</v>
      </c>
    </row>
    <row r="209" spans="1:15" x14ac:dyDescent="0.3">
      <c r="A209" t="s">
        <v>699</v>
      </c>
      <c r="B209" s="5">
        <v>25</v>
      </c>
      <c r="C209" s="5" t="str" cm="1">
        <f t="array" ref="C209">_xlfn.IFS(worksheet[[#This Row],[age]]&lt;25,"1. Young Adulthood (18-24)",worksheet[[#This Row],[age]]&lt; 35,"2. Early Adulthood (25-34)",worksheet[[#This Row],[age]]&lt; 45,"3. Mid Adulthood (35-44)",worksheet[[#This Row],[age]]&lt; 55,"4. Mature Adulthood (45-54)",TRUE,"5. Late Adulthood/Senior (55+)")</f>
        <v>2. Early Adulthood (25-34)</v>
      </c>
      <c r="D209" t="s">
        <v>27</v>
      </c>
      <c r="E209" t="s">
        <v>32</v>
      </c>
      <c r="F209" s="4">
        <v>4.43</v>
      </c>
      <c r="G209" s="5">
        <v>11</v>
      </c>
      <c r="H209" t="s">
        <v>28</v>
      </c>
      <c r="I209" t="s">
        <v>18</v>
      </c>
      <c r="J209" s="6">
        <v>17.989999999999998</v>
      </c>
      <c r="K209">
        <v>0</v>
      </c>
      <c r="L209" t="s">
        <v>61</v>
      </c>
      <c r="M209" s="5">
        <v>5</v>
      </c>
      <c r="N209" s="4">
        <v>0.37</v>
      </c>
      <c r="O209" t="s">
        <v>39</v>
      </c>
    </row>
    <row r="210" spans="1:15" x14ac:dyDescent="0.3">
      <c r="A210" t="s">
        <v>700</v>
      </c>
      <c r="B210" s="5">
        <v>25</v>
      </c>
      <c r="C210" s="5" t="str" cm="1">
        <f t="array" ref="C210">_xlfn.IFS(worksheet[[#This Row],[age]]&lt;25,"1. Young Adulthood (18-24)",worksheet[[#This Row],[age]]&lt; 35,"2. Early Adulthood (25-34)",worksheet[[#This Row],[age]]&lt; 45,"3. Mid Adulthood (35-44)",worksheet[[#This Row],[age]]&lt; 55,"4. Mature Adulthood (45-54)",TRUE,"5. Late Adulthood/Senior (55+)")</f>
        <v>2. Early Adulthood (25-34)</v>
      </c>
      <c r="D210" t="s">
        <v>41</v>
      </c>
      <c r="E210" t="s">
        <v>16</v>
      </c>
      <c r="F210" s="4">
        <v>2.39</v>
      </c>
      <c r="G210" s="5">
        <v>8</v>
      </c>
      <c r="H210" t="s">
        <v>23</v>
      </c>
      <c r="I210" t="s">
        <v>46</v>
      </c>
      <c r="J210" s="6">
        <v>8.99</v>
      </c>
      <c r="K210">
        <v>1</v>
      </c>
      <c r="L210" t="s">
        <v>61</v>
      </c>
      <c r="M210" s="5">
        <v>1</v>
      </c>
      <c r="N210" s="4">
        <v>0.27</v>
      </c>
      <c r="O210" t="s">
        <v>34</v>
      </c>
    </row>
    <row r="211" spans="1:15" x14ac:dyDescent="0.3">
      <c r="A211" t="s">
        <v>705</v>
      </c>
      <c r="B211" s="5">
        <v>34</v>
      </c>
      <c r="C211" s="5" t="str" cm="1">
        <f t="array" ref="C211">_xlfn.IFS(worksheet[[#This Row],[age]]&lt;25,"1. Young Adulthood (18-24)",worksheet[[#This Row],[age]]&lt; 35,"2. Early Adulthood (25-34)",worksheet[[#This Row],[age]]&lt; 45,"3. Mid Adulthood (35-44)",worksheet[[#This Row],[age]]&lt; 55,"4. Mature Adulthood (45-54)",TRUE,"5. Late Adulthood/Senior (55+)")</f>
        <v>2. Early Adulthood (25-34)</v>
      </c>
      <c r="D211" t="s">
        <v>15</v>
      </c>
      <c r="E211" t="s">
        <v>22</v>
      </c>
      <c r="F211" s="4">
        <v>12.65</v>
      </c>
      <c r="G211" s="5">
        <v>2</v>
      </c>
      <c r="H211" t="s">
        <v>49</v>
      </c>
      <c r="I211" t="s">
        <v>46</v>
      </c>
      <c r="J211" s="6">
        <v>13.99</v>
      </c>
      <c r="K211">
        <v>0</v>
      </c>
      <c r="L211" t="s">
        <v>37</v>
      </c>
      <c r="M211" s="5">
        <v>4</v>
      </c>
      <c r="N211" s="4">
        <v>4.22</v>
      </c>
      <c r="O211" t="s">
        <v>52</v>
      </c>
    </row>
    <row r="212" spans="1:15" x14ac:dyDescent="0.3">
      <c r="A212" t="s">
        <v>706</v>
      </c>
      <c r="B212" s="5">
        <v>24</v>
      </c>
      <c r="C212" s="5" t="str" cm="1">
        <f t="array" ref="C212">_xlfn.IFS(worksheet[[#This Row],[age]]&lt;25,"1. Young Adulthood (18-24)",worksheet[[#This Row],[age]]&lt; 35,"2. Early Adulthood (25-34)",worksheet[[#This Row],[age]]&lt; 45,"3. Mid Adulthood (35-44)",worksheet[[#This Row],[age]]&lt; 55,"4. Mature Adulthood (45-54)",TRUE,"5. Late Adulthood/Senior (55+)")</f>
        <v>1. Young Adulthood (18-24)</v>
      </c>
      <c r="D212" t="s">
        <v>27</v>
      </c>
      <c r="E212" t="s">
        <v>16</v>
      </c>
      <c r="F212" s="4">
        <v>25.78</v>
      </c>
      <c r="G212" s="5">
        <v>8</v>
      </c>
      <c r="H212" t="s">
        <v>23</v>
      </c>
      <c r="I212" t="s">
        <v>46</v>
      </c>
      <c r="J212" s="6">
        <v>8.99</v>
      </c>
      <c r="K212">
        <v>0</v>
      </c>
      <c r="L212" t="s">
        <v>61</v>
      </c>
      <c r="M212" s="5">
        <v>3</v>
      </c>
      <c r="N212" s="4">
        <v>2.86</v>
      </c>
      <c r="O212" t="s">
        <v>34</v>
      </c>
    </row>
    <row r="213" spans="1:15" x14ac:dyDescent="0.3">
      <c r="A213" t="s">
        <v>708</v>
      </c>
      <c r="B213" s="5">
        <v>28</v>
      </c>
      <c r="C213" s="5" t="str" cm="1">
        <f t="array" ref="C213">_xlfn.IFS(worksheet[[#This Row],[age]]&lt;25,"1. Young Adulthood (18-24)",worksheet[[#This Row],[age]]&lt; 35,"2. Early Adulthood (25-34)",worksheet[[#This Row],[age]]&lt; 45,"3. Mid Adulthood (35-44)",worksheet[[#This Row],[age]]&lt; 55,"4. Mature Adulthood (45-54)",TRUE,"5. Late Adulthood/Senior (55+)")</f>
        <v>2. Early Adulthood (25-34)</v>
      </c>
      <c r="D213" t="s">
        <v>41</v>
      </c>
      <c r="E213" t="s">
        <v>16</v>
      </c>
      <c r="F213" s="4">
        <v>29.12</v>
      </c>
      <c r="G213" s="5">
        <v>31</v>
      </c>
      <c r="H213" t="s">
        <v>17</v>
      </c>
      <c r="I213" t="s">
        <v>57</v>
      </c>
      <c r="J213" s="6">
        <v>8.99</v>
      </c>
      <c r="K213">
        <v>0</v>
      </c>
      <c r="L213" t="s">
        <v>43</v>
      </c>
      <c r="M213" s="5">
        <v>4</v>
      </c>
      <c r="N213" s="4">
        <v>0.91</v>
      </c>
      <c r="O213" t="s">
        <v>52</v>
      </c>
    </row>
    <row r="214" spans="1:15" x14ac:dyDescent="0.3">
      <c r="A214" t="s">
        <v>713</v>
      </c>
      <c r="B214" s="5">
        <v>20</v>
      </c>
      <c r="C214" s="5" t="str" cm="1">
        <f t="array" ref="C214">_xlfn.IFS(worksheet[[#This Row],[age]]&lt;25,"1. Young Adulthood (18-24)",worksheet[[#This Row],[age]]&lt; 35,"2. Early Adulthood (25-34)",worksheet[[#This Row],[age]]&lt; 45,"3. Mid Adulthood (35-44)",worksheet[[#This Row],[age]]&lt; 55,"4. Mature Adulthood (45-54)",TRUE,"5. Late Adulthood/Senior (55+)")</f>
        <v>1. Young Adulthood (18-24)</v>
      </c>
      <c r="D214" t="s">
        <v>15</v>
      </c>
      <c r="E214" t="s">
        <v>32</v>
      </c>
      <c r="F214" s="4">
        <v>11.58</v>
      </c>
      <c r="G214" s="5">
        <v>44</v>
      </c>
      <c r="H214" t="s">
        <v>17</v>
      </c>
      <c r="I214" t="s">
        <v>46</v>
      </c>
      <c r="J214" s="6">
        <v>17.989999999999998</v>
      </c>
      <c r="K214">
        <v>1</v>
      </c>
      <c r="L214" t="s">
        <v>29</v>
      </c>
      <c r="M214" s="5">
        <v>4</v>
      </c>
      <c r="N214" s="4">
        <v>0.26</v>
      </c>
      <c r="O214" t="s">
        <v>30</v>
      </c>
    </row>
    <row r="215" spans="1:15" x14ac:dyDescent="0.3">
      <c r="A215" t="s">
        <v>714</v>
      </c>
      <c r="B215" s="5">
        <v>24</v>
      </c>
      <c r="C215" s="5" t="str" cm="1">
        <f t="array" ref="C215">_xlfn.IFS(worksheet[[#This Row],[age]]&lt;25,"1. Young Adulthood (18-24)",worksheet[[#This Row],[age]]&lt; 35,"2. Early Adulthood (25-34)",worksheet[[#This Row],[age]]&lt; 45,"3. Mid Adulthood (35-44)",worksheet[[#This Row],[age]]&lt; 55,"4. Mature Adulthood (45-54)",TRUE,"5. Late Adulthood/Senior (55+)")</f>
        <v>1. Young Adulthood (18-24)</v>
      </c>
      <c r="D215" t="s">
        <v>15</v>
      </c>
      <c r="E215" t="s">
        <v>22</v>
      </c>
      <c r="F215" s="4">
        <v>40.81</v>
      </c>
      <c r="G215" s="5">
        <v>40</v>
      </c>
      <c r="H215" t="s">
        <v>23</v>
      </c>
      <c r="I215" t="s">
        <v>46</v>
      </c>
      <c r="J215" s="6">
        <v>13.99</v>
      </c>
      <c r="K215">
        <v>0</v>
      </c>
      <c r="L215" t="s">
        <v>37</v>
      </c>
      <c r="M215" s="5">
        <v>4</v>
      </c>
      <c r="N215" s="4">
        <v>1</v>
      </c>
      <c r="O215" t="s">
        <v>20</v>
      </c>
    </row>
    <row r="216" spans="1:15" x14ac:dyDescent="0.3">
      <c r="A216" t="s">
        <v>716</v>
      </c>
      <c r="B216" s="5">
        <v>26</v>
      </c>
      <c r="C216" s="5" t="str" cm="1">
        <f t="array" ref="C216">_xlfn.IFS(worksheet[[#This Row],[age]]&lt;25,"1. Young Adulthood (18-24)",worksheet[[#This Row],[age]]&lt; 35,"2. Early Adulthood (25-34)",worksheet[[#This Row],[age]]&lt; 45,"3. Mid Adulthood (35-44)",worksheet[[#This Row],[age]]&lt; 55,"4. Mature Adulthood (45-54)",TRUE,"5. Late Adulthood/Senior (55+)")</f>
        <v>2. Early Adulthood (25-34)</v>
      </c>
      <c r="D216" t="s">
        <v>27</v>
      </c>
      <c r="E216" t="s">
        <v>22</v>
      </c>
      <c r="F216" s="4">
        <v>1.84</v>
      </c>
      <c r="G216" s="5">
        <v>15</v>
      </c>
      <c r="H216" t="s">
        <v>28</v>
      </c>
      <c r="I216" t="s">
        <v>24</v>
      </c>
      <c r="J216" s="6">
        <v>13.99</v>
      </c>
      <c r="K216">
        <v>1</v>
      </c>
      <c r="L216" t="s">
        <v>19</v>
      </c>
      <c r="M216" s="5">
        <v>5</v>
      </c>
      <c r="N216" s="4">
        <v>0.12</v>
      </c>
      <c r="O216" t="s">
        <v>20</v>
      </c>
    </row>
    <row r="217" spans="1:15" x14ac:dyDescent="0.3">
      <c r="A217" t="s">
        <v>720</v>
      </c>
      <c r="B217" s="5">
        <v>25</v>
      </c>
      <c r="C217" s="5" t="str" cm="1">
        <f t="array" ref="C217">_xlfn.IFS(worksheet[[#This Row],[age]]&lt;25,"1. Young Adulthood (18-24)",worksheet[[#This Row],[age]]&lt; 35,"2. Early Adulthood (25-34)",worksheet[[#This Row],[age]]&lt; 45,"3. Mid Adulthood (35-44)",worksheet[[#This Row],[age]]&lt; 55,"4. Mature Adulthood (45-54)",TRUE,"5. Late Adulthood/Senior (55+)")</f>
        <v>2. Early Adulthood (25-34)</v>
      </c>
      <c r="D217" t="s">
        <v>27</v>
      </c>
      <c r="E217" t="s">
        <v>16</v>
      </c>
      <c r="F217" s="4">
        <v>23.19</v>
      </c>
      <c r="G217" s="5">
        <v>59</v>
      </c>
      <c r="H217" t="s">
        <v>70</v>
      </c>
      <c r="I217" t="s">
        <v>55</v>
      </c>
      <c r="J217" s="6">
        <v>8.99</v>
      </c>
      <c r="K217">
        <v>0</v>
      </c>
      <c r="L217" t="s">
        <v>37</v>
      </c>
      <c r="M217" s="5">
        <v>5</v>
      </c>
      <c r="N217" s="4">
        <v>0.39</v>
      </c>
      <c r="O217" t="s">
        <v>25</v>
      </c>
    </row>
    <row r="218" spans="1:15" x14ac:dyDescent="0.3">
      <c r="A218" t="s">
        <v>727</v>
      </c>
      <c r="B218" s="5">
        <v>29</v>
      </c>
      <c r="C218" s="5" t="str" cm="1">
        <f t="array" ref="C218">_xlfn.IFS(worksheet[[#This Row],[age]]&lt;25,"1. Young Adulthood (18-24)",worksheet[[#This Row],[age]]&lt; 35,"2. Early Adulthood (25-34)",worksheet[[#This Row],[age]]&lt; 45,"3. Mid Adulthood (35-44)",worksheet[[#This Row],[age]]&lt; 55,"4. Mature Adulthood (45-54)",TRUE,"5. Late Adulthood/Senior (55+)")</f>
        <v>2. Early Adulthood (25-34)</v>
      </c>
      <c r="D218" t="s">
        <v>41</v>
      </c>
      <c r="E218" t="s">
        <v>32</v>
      </c>
      <c r="F218" s="4">
        <v>12.32</v>
      </c>
      <c r="G218" s="5">
        <v>49</v>
      </c>
      <c r="H218" t="s">
        <v>28</v>
      </c>
      <c r="I218" t="s">
        <v>24</v>
      </c>
      <c r="J218" s="6">
        <v>17.989999999999998</v>
      </c>
      <c r="K218">
        <v>0</v>
      </c>
      <c r="L218" t="s">
        <v>43</v>
      </c>
      <c r="M218" s="5">
        <v>5</v>
      </c>
      <c r="N218" s="4">
        <v>0.25</v>
      </c>
      <c r="O218" t="s">
        <v>34</v>
      </c>
    </row>
    <row r="219" spans="1:15" x14ac:dyDescent="0.3">
      <c r="A219" t="s">
        <v>728</v>
      </c>
      <c r="B219" s="5">
        <v>27</v>
      </c>
      <c r="C219" s="5" t="str" cm="1">
        <f t="array" ref="C219">_xlfn.IFS(worksheet[[#This Row],[age]]&lt;25,"1. Young Adulthood (18-24)",worksheet[[#This Row],[age]]&lt; 35,"2. Early Adulthood (25-34)",worksheet[[#This Row],[age]]&lt; 45,"3. Mid Adulthood (35-44)",worksheet[[#This Row],[age]]&lt; 55,"4. Mature Adulthood (45-54)",TRUE,"5. Late Adulthood/Senior (55+)")</f>
        <v>2. Early Adulthood (25-34)</v>
      </c>
      <c r="D219" t="s">
        <v>15</v>
      </c>
      <c r="E219" t="s">
        <v>32</v>
      </c>
      <c r="F219" s="4">
        <v>0.69</v>
      </c>
      <c r="G219" s="5">
        <v>39</v>
      </c>
      <c r="H219" t="s">
        <v>49</v>
      </c>
      <c r="I219" t="s">
        <v>46</v>
      </c>
      <c r="J219" s="6">
        <v>17.989999999999998</v>
      </c>
      <c r="K219">
        <v>1</v>
      </c>
      <c r="L219" t="s">
        <v>37</v>
      </c>
      <c r="M219" s="5">
        <v>5</v>
      </c>
      <c r="N219" s="4">
        <v>0.02</v>
      </c>
      <c r="O219" t="s">
        <v>25</v>
      </c>
    </row>
    <row r="220" spans="1:15" x14ac:dyDescent="0.3">
      <c r="A220" t="s">
        <v>731</v>
      </c>
      <c r="B220" s="5">
        <v>33</v>
      </c>
      <c r="C220" s="5" t="str" cm="1">
        <f t="array" ref="C220">_xlfn.IFS(worksheet[[#This Row],[age]]&lt;25,"1. Young Adulthood (18-24)",worksheet[[#This Row],[age]]&lt; 35,"2. Early Adulthood (25-34)",worksheet[[#This Row],[age]]&lt; 45,"3. Mid Adulthood (35-44)",worksheet[[#This Row],[age]]&lt; 55,"4. Mature Adulthood (45-54)",TRUE,"5. Late Adulthood/Senior (55+)")</f>
        <v>2. Early Adulthood (25-34)</v>
      </c>
      <c r="D220" t="s">
        <v>15</v>
      </c>
      <c r="E220" t="s">
        <v>32</v>
      </c>
      <c r="F220" s="4">
        <v>25.28</v>
      </c>
      <c r="G220" s="5">
        <v>32</v>
      </c>
      <c r="H220" t="s">
        <v>28</v>
      </c>
      <c r="I220" t="s">
        <v>46</v>
      </c>
      <c r="J220" s="6">
        <v>17.989999999999998</v>
      </c>
      <c r="K220">
        <v>0</v>
      </c>
      <c r="L220" t="s">
        <v>37</v>
      </c>
      <c r="M220" s="5">
        <v>3</v>
      </c>
      <c r="N220" s="4">
        <v>0.77</v>
      </c>
      <c r="O220" t="s">
        <v>25</v>
      </c>
    </row>
    <row r="221" spans="1:15" x14ac:dyDescent="0.3">
      <c r="A221" t="s">
        <v>732</v>
      </c>
      <c r="B221" s="5">
        <v>22</v>
      </c>
      <c r="C221" s="5" t="str" cm="1">
        <f t="array" ref="C221">_xlfn.IFS(worksheet[[#This Row],[age]]&lt;25,"1. Young Adulthood (18-24)",worksheet[[#This Row],[age]]&lt; 35,"2. Early Adulthood (25-34)",worksheet[[#This Row],[age]]&lt; 45,"3. Mid Adulthood (35-44)",worksheet[[#This Row],[age]]&lt; 55,"4. Mature Adulthood (45-54)",TRUE,"5. Late Adulthood/Senior (55+)")</f>
        <v>1. Young Adulthood (18-24)</v>
      </c>
      <c r="D221" t="s">
        <v>15</v>
      </c>
      <c r="E221" t="s">
        <v>32</v>
      </c>
      <c r="F221" s="4">
        <v>13.68</v>
      </c>
      <c r="G221" s="5">
        <v>48</v>
      </c>
      <c r="H221" t="s">
        <v>70</v>
      </c>
      <c r="I221" t="s">
        <v>18</v>
      </c>
      <c r="J221" s="6">
        <v>17.989999999999998</v>
      </c>
      <c r="K221">
        <v>1</v>
      </c>
      <c r="L221" t="s">
        <v>43</v>
      </c>
      <c r="M221" s="5">
        <v>3</v>
      </c>
      <c r="N221" s="4">
        <v>0.28000000000000003</v>
      </c>
      <c r="O221" t="s">
        <v>47</v>
      </c>
    </row>
    <row r="222" spans="1:15" x14ac:dyDescent="0.3">
      <c r="A222" t="s">
        <v>734</v>
      </c>
      <c r="B222" s="5">
        <v>20</v>
      </c>
      <c r="C222" s="5" t="str" cm="1">
        <f t="array" ref="C222">_xlfn.IFS(worksheet[[#This Row],[age]]&lt;25,"1. Young Adulthood (18-24)",worksheet[[#This Row],[age]]&lt; 35,"2. Early Adulthood (25-34)",worksheet[[#This Row],[age]]&lt; 45,"3. Mid Adulthood (35-44)",worksheet[[#This Row],[age]]&lt; 55,"4. Mature Adulthood (45-54)",TRUE,"5. Late Adulthood/Senior (55+)")</f>
        <v>1. Young Adulthood (18-24)</v>
      </c>
      <c r="D222" t="s">
        <v>15</v>
      </c>
      <c r="E222" t="s">
        <v>32</v>
      </c>
      <c r="F222" s="4">
        <v>9.24</v>
      </c>
      <c r="G222" s="5">
        <v>33</v>
      </c>
      <c r="H222" t="s">
        <v>70</v>
      </c>
      <c r="I222" t="s">
        <v>18</v>
      </c>
      <c r="J222" s="6">
        <v>17.989999999999998</v>
      </c>
      <c r="K222">
        <v>1</v>
      </c>
      <c r="L222" t="s">
        <v>19</v>
      </c>
      <c r="M222" s="5">
        <v>5</v>
      </c>
      <c r="N222" s="4">
        <v>0.27</v>
      </c>
      <c r="O222" t="s">
        <v>30</v>
      </c>
    </row>
    <row r="223" spans="1:15" x14ac:dyDescent="0.3">
      <c r="A223" t="s">
        <v>736</v>
      </c>
      <c r="B223" s="5">
        <v>23</v>
      </c>
      <c r="C223" s="5" t="str" cm="1">
        <f t="array" ref="C223">_xlfn.IFS(worksheet[[#This Row],[age]]&lt;25,"1. Young Adulthood (18-24)",worksheet[[#This Row],[age]]&lt; 35,"2. Early Adulthood (25-34)",worksheet[[#This Row],[age]]&lt; 45,"3. Mid Adulthood (35-44)",worksheet[[#This Row],[age]]&lt; 55,"4. Mature Adulthood (45-54)",TRUE,"5. Late Adulthood/Senior (55+)")</f>
        <v>1. Young Adulthood (18-24)</v>
      </c>
      <c r="D223" t="s">
        <v>41</v>
      </c>
      <c r="E223" t="s">
        <v>22</v>
      </c>
      <c r="F223" s="4">
        <v>4.46</v>
      </c>
      <c r="G223" s="5">
        <v>24</v>
      </c>
      <c r="H223" t="s">
        <v>17</v>
      </c>
      <c r="I223" t="s">
        <v>24</v>
      </c>
      <c r="J223" s="6">
        <v>13.99</v>
      </c>
      <c r="K223">
        <v>1</v>
      </c>
      <c r="L223" t="s">
        <v>19</v>
      </c>
      <c r="M223" s="5">
        <v>3</v>
      </c>
      <c r="N223" s="4">
        <v>0.18</v>
      </c>
      <c r="O223" t="s">
        <v>52</v>
      </c>
    </row>
    <row r="224" spans="1:15" x14ac:dyDescent="0.3">
      <c r="A224" t="s">
        <v>737</v>
      </c>
      <c r="B224" s="5">
        <v>24</v>
      </c>
      <c r="C224" s="5" t="str" cm="1">
        <f t="array" ref="C224">_xlfn.IFS(worksheet[[#This Row],[age]]&lt;25,"1. Young Adulthood (18-24)",worksheet[[#This Row],[age]]&lt; 35,"2. Early Adulthood (25-34)",worksheet[[#This Row],[age]]&lt; 45,"3. Mid Adulthood (35-44)",worksheet[[#This Row],[age]]&lt; 55,"4. Mature Adulthood (45-54)",TRUE,"5. Late Adulthood/Senior (55+)")</f>
        <v>1. Young Adulthood (18-24)</v>
      </c>
      <c r="D224" t="s">
        <v>27</v>
      </c>
      <c r="E224" t="s">
        <v>32</v>
      </c>
      <c r="F224" s="4">
        <v>9.94</v>
      </c>
      <c r="G224" s="5">
        <v>34</v>
      </c>
      <c r="H224" t="s">
        <v>70</v>
      </c>
      <c r="I224" t="s">
        <v>46</v>
      </c>
      <c r="J224" s="6">
        <v>17.989999999999998</v>
      </c>
      <c r="K224">
        <v>1</v>
      </c>
      <c r="L224" t="s">
        <v>61</v>
      </c>
      <c r="M224" s="5">
        <v>2</v>
      </c>
      <c r="N224" s="4">
        <v>0.28000000000000003</v>
      </c>
      <c r="O224" t="s">
        <v>30</v>
      </c>
    </row>
    <row r="225" spans="1:15" x14ac:dyDescent="0.3">
      <c r="A225" t="s">
        <v>739</v>
      </c>
      <c r="B225" s="5">
        <v>29</v>
      </c>
      <c r="C225" s="5" t="str" cm="1">
        <f t="array" ref="C225">_xlfn.IFS(worksheet[[#This Row],[age]]&lt;25,"1. Young Adulthood (18-24)",worksheet[[#This Row],[age]]&lt; 35,"2. Early Adulthood (25-34)",worksheet[[#This Row],[age]]&lt; 45,"3. Mid Adulthood (35-44)",worksheet[[#This Row],[age]]&lt; 55,"4. Mature Adulthood (45-54)",TRUE,"5. Late Adulthood/Senior (55+)")</f>
        <v>2. Early Adulthood (25-34)</v>
      </c>
      <c r="D225" t="s">
        <v>27</v>
      </c>
      <c r="E225" t="s">
        <v>32</v>
      </c>
      <c r="F225" s="4">
        <v>1.22</v>
      </c>
      <c r="G225" s="5">
        <v>25</v>
      </c>
      <c r="H225" t="s">
        <v>28</v>
      </c>
      <c r="I225" t="s">
        <v>46</v>
      </c>
      <c r="J225" s="6">
        <v>17.989999999999998</v>
      </c>
      <c r="K225">
        <v>0</v>
      </c>
      <c r="L225" t="s">
        <v>43</v>
      </c>
      <c r="M225" s="5">
        <v>5</v>
      </c>
      <c r="N225" s="4">
        <v>0.05</v>
      </c>
      <c r="O225" t="s">
        <v>47</v>
      </c>
    </row>
    <row r="226" spans="1:15" x14ac:dyDescent="0.3">
      <c r="A226" t="s">
        <v>740</v>
      </c>
      <c r="B226" s="5">
        <v>34</v>
      </c>
      <c r="C226" s="5" t="str" cm="1">
        <f t="array" ref="C226">_xlfn.IFS(worksheet[[#This Row],[age]]&lt;25,"1. Young Adulthood (18-24)",worksheet[[#This Row],[age]]&lt; 35,"2. Early Adulthood (25-34)",worksheet[[#This Row],[age]]&lt; 45,"3. Mid Adulthood (35-44)",worksheet[[#This Row],[age]]&lt; 55,"4. Mature Adulthood (45-54)",TRUE,"5. Late Adulthood/Senior (55+)")</f>
        <v>2. Early Adulthood (25-34)</v>
      </c>
      <c r="D226" t="s">
        <v>15</v>
      </c>
      <c r="E226" t="s">
        <v>22</v>
      </c>
      <c r="F226" s="4">
        <v>6.49</v>
      </c>
      <c r="G226" s="5">
        <v>6</v>
      </c>
      <c r="H226" t="s">
        <v>49</v>
      </c>
      <c r="I226" t="s">
        <v>24</v>
      </c>
      <c r="J226" s="6">
        <v>13.99</v>
      </c>
      <c r="K226">
        <v>0</v>
      </c>
      <c r="L226" t="s">
        <v>61</v>
      </c>
      <c r="M226" s="5">
        <v>1</v>
      </c>
      <c r="N226" s="4">
        <v>0.93</v>
      </c>
      <c r="O226" t="s">
        <v>47</v>
      </c>
    </row>
    <row r="227" spans="1:15" x14ac:dyDescent="0.3">
      <c r="A227" t="s">
        <v>745</v>
      </c>
      <c r="B227" s="5">
        <v>26</v>
      </c>
      <c r="C227" s="5" t="str" cm="1">
        <f t="array" ref="C227">_xlfn.IFS(worksheet[[#This Row],[age]]&lt;25,"1. Young Adulthood (18-24)",worksheet[[#This Row],[age]]&lt; 35,"2. Early Adulthood (25-34)",worksheet[[#This Row],[age]]&lt; 45,"3. Mid Adulthood (35-44)",worksheet[[#This Row],[age]]&lt; 55,"4. Mature Adulthood (45-54)",TRUE,"5. Late Adulthood/Senior (55+)")</f>
        <v>2. Early Adulthood (25-34)</v>
      </c>
      <c r="D227" t="s">
        <v>41</v>
      </c>
      <c r="E227" t="s">
        <v>32</v>
      </c>
      <c r="F227" s="4">
        <v>3.24</v>
      </c>
      <c r="G227" s="5">
        <v>57</v>
      </c>
      <c r="H227" t="s">
        <v>23</v>
      </c>
      <c r="I227" t="s">
        <v>57</v>
      </c>
      <c r="J227" s="6">
        <v>17.989999999999998</v>
      </c>
      <c r="K227">
        <v>1</v>
      </c>
      <c r="L227" t="s">
        <v>43</v>
      </c>
      <c r="M227" s="5">
        <v>3</v>
      </c>
      <c r="N227" s="4">
        <v>0.06</v>
      </c>
      <c r="O227" t="s">
        <v>25</v>
      </c>
    </row>
    <row r="228" spans="1:15" x14ac:dyDescent="0.3">
      <c r="A228" t="s">
        <v>748</v>
      </c>
      <c r="B228" s="5">
        <v>29</v>
      </c>
      <c r="C228" s="5" t="str" cm="1">
        <f t="array" ref="C228">_xlfn.IFS(worksheet[[#This Row],[age]]&lt;25,"1. Young Adulthood (18-24)",worksheet[[#This Row],[age]]&lt; 35,"2. Early Adulthood (25-34)",worksheet[[#This Row],[age]]&lt; 45,"3. Mid Adulthood (35-44)",worksheet[[#This Row],[age]]&lt; 55,"4. Mature Adulthood (45-54)",TRUE,"5. Late Adulthood/Senior (55+)")</f>
        <v>2. Early Adulthood (25-34)</v>
      </c>
      <c r="D228" t="s">
        <v>41</v>
      </c>
      <c r="E228" t="s">
        <v>16</v>
      </c>
      <c r="F228" s="4">
        <v>24.18</v>
      </c>
      <c r="G228" s="5">
        <v>59</v>
      </c>
      <c r="H228" t="s">
        <v>17</v>
      </c>
      <c r="I228" t="s">
        <v>46</v>
      </c>
      <c r="J228" s="6">
        <v>8.99</v>
      </c>
      <c r="K228">
        <v>1</v>
      </c>
      <c r="L228" t="s">
        <v>61</v>
      </c>
      <c r="M228" s="5">
        <v>1</v>
      </c>
      <c r="N228" s="4">
        <v>0.4</v>
      </c>
      <c r="O228" t="s">
        <v>52</v>
      </c>
    </row>
    <row r="229" spans="1:15" x14ac:dyDescent="0.3">
      <c r="A229" t="s">
        <v>749</v>
      </c>
      <c r="B229" s="5">
        <v>20</v>
      </c>
      <c r="C229" s="5" t="str" cm="1">
        <f t="array" ref="C229">_xlfn.IFS(worksheet[[#This Row],[age]]&lt;25,"1. Young Adulthood (18-24)",worksheet[[#This Row],[age]]&lt; 35,"2. Early Adulthood (25-34)",worksheet[[#This Row],[age]]&lt; 45,"3. Mid Adulthood (35-44)",worksheet[[#This Row],[age]]&lt; 55,"4. Mature Adulthood (45-54)",TRUE,"5. Late Adulthood/Senior (55+)")</f>
        <v>1. Young Adulthood (18-24)</v>
      </c>
      <c r="D229" t="s">
        <v>41</v>
      </c>
      <c r="E229" t="s">
        <v>22</v>
      </c>
      <c r="F229" s="4">
        <v>7.19</v>
      </c>
      <c r="G229" s="5">
        <v>26</v>
      </c>
      <c r="H229" t="s">
        <v>70</v>
      </c>
      <c r="I229" t="s">
        <v>18</v>
      </c>
      <c r="J229" s="6">
        <v>13.99</v>
      </c>
      <c r="K229">
        <v>0</v>
      </c>
      <c r="L229" t="s">
        <v>43</v>
      </c>
      <c r="M229" s="5">
        <v>4</v>
      </c>
      <c r="N229" s="4">
        <v>0.27</v>
      </c>
      <c r="O229" t="s">
        <v>20</v>
      </c>
    </row>
    <row r="230" spans="1:15" x14ac:dyDescent="0.3">
      <c r="A230" t="s">
        <v>753</v>
      </c>
      <c r="B230" s="5">
        <v>18</v>
      </c>
      <c r="C230" s="5" t="str" cm="1">
        <f t="array" ref="C230">_xlfn.IFS(worksheet[[#This Row],[age]]&lt;25,"1. Young Adulthood (18-24)",worksheet[[#This Row],[age]]&lt; 35,"2. Early Adulthood (25-34)",worksheet[[#This Row],[age]]&lt; 45,"3. Mid Adulthood (35-44)",worksheet[[#This Row],[age]]&lt; 55,"4. Mature Adulthood (45-54)",TRUE,"5. Late Adulthood/Senior (55+)")</f>
        <v>1. Young Adulthood (18-24)</v>
      </c>
      <c r="D230" t="s">
        <v>15</v>
      </c>
      <c r="E230" t="s">
        <v>16</v>
      </c>
      <c r="F230" s="4">
        <v>2.75</v>
      </c>
      <c r="G230" s="5">
        <v>43</v>
      </c>
      <c r="H230" t="s">
        <v>33</v>
      </c>
      <c r="I230" t="s">
        <v>46</v>
      </c>
      <c r="J230" s="6">
        <v>8.99</v>
      </c>
      <c r="K230">
        <v>1</v>
      </c>
      <c r="L230" t="s">
        <v>19</v>
      </c>
      <c r="M230" s="5">
        <v>5</v>
      </c>
      <c r="N230" s="4">
        <v>0.06</v>
      </c>
      <c r="O230" t="s">
        <v>39</v>
      </c>
    </row>
    <row r="231" spans="1:15" x14ac:dyDescent="0.3">
      <c r="A231" t="s">
        <v>754</v>
      </c>
      <c r="B231" s="5">
        <v>28</v>
      </c>
      <c r="C231" s="5" t="str" cm="1">
        <f t="array" ref="C231">_xlfn.IFS(worksheet[[#This Row],[age]]&lt;25,"1. Young Adulthood (18-24)",worksheet[[#This Row],[age]]&lt; 35,"2. Early Adulthood (25-34)",worksheet[[#This Row],[age]]&lt; 45,"3. Mid Adulthood (35-44)",worksheet[[#This Row],[age]]&lt; 55,"4. Mature Adulthood (45-54)",TRUE,"5. Late Adulthood/Senior (55+)")</f>
        <v>2. Early Adulthood (25-34)</v>
      </c>
      <c r="D231" t="s">
        <v>27</v>
      </c>
      <c r="E231" t="s">
        <v>22</v>
      </c>
      <c r="F231" s="4">
        <v>4.67</v>
      </c>
      <c r="G231" s="5">
        <v>5</v>
      </c>
      <c r="H231" t="s">
        <v>33</v>
      </c>
      <c r="I231" t="s">
        <v>24</v>
      </c>
      <c r="J231" s="6">
        <v>13.99</v>
      </c>
      <c r="K231">
        <v>0</v>
      </c>
      <c r="L231" t="s">
        <v>29</v>
      </c>
      <c r="M231" s="5">
        <v>2</v>
      </c>
      <c r="N231" s="4">
        <v>0.78</v>
      </c>
      <c r="O231" t="s">
        <v>30</v>
      </c>
    </row>
    <row r="232" spans="1:15" x14ac:dyDescent="0.3">
      <c r="A232" t="s">
        <v>755</v>
      </c>
      <c r="B232" s="5">
        <v>19</v>
      </c>
      <c r="C232" s="5" t="str" cm="1">
        <f t="array" ref="C232">_xlfn.IFS(worksheet[[#This Row],[age]]&lt;25,"1. Young Adulthood (18-24)",worksheet[[#This Row],[age]]&lt; 35,"2. Early Adulthood (25-34)",worksheet[[#This Row],[age]]&lt; 45,"3. Mid Adulthood (35-44)",worksheet[[#This Row],[age]]&lt; 55,"4. Mature Adulthood (45-54)",TRUE,"5. Late Adulthood/Senior (55+)")</f>
        <v>1. Young Adulthood (18-24)</v>
      </c>
      <c r="D232" t="s">
        <v>27</v>
      </c>
      <c r="E232" t="s">
        <v>22</v>
      </c>
      <c r="F232" s="4">
        <v>3.36</v>
      </c>
      <c r="G232" s="5">
        <v>27</v>
      </c>
      <c r="H232" t="s">
        <v>70</v>
      </c>
      <c r="I232" t="s">
        <v>46</v>
      </c>
      <c r="J232" s="6">
        <v>13.99</v>
      </c>
      <c r="K232">
        <v>1</v>
      </c>
      <c r="L232" t="s">
        <v>37</v>
      </c>
      <c r="M232" s="5">
        <v>1</v>
      </c>
      <c r="N232" s="4">
        <v>0.12</v>
      </c>
      <c r="O232" t="s">
        <v>20</v>
      </c>
    </row>
    <row r="233" spans="1:15" x14ac:dyDescent="0.3">
      <c r="A233" t="s">
        <v>757</v>
      </c>
      <c r="B233" s="5">
        <v>34</v>
      </c>
      <c r="C233" s="5" t="str" cm="1">
        <f t="array" ref="C233">_xlfn.IFS(worksheet[[#This Row],[age]]&lt;25,"1. Young Adulthood (18-24)",worksheet[[#This Row],[age]]&lt; 35,"2. Early Adulthood (25-34)",worksheet[[#This Row],[age]]&lt; 45,"3. Mid Adulthood (35-44)",worksheet[[#This Row],[age]]&lt; 55,"4. Mature Adulthood (45-54)",TRUE,"5. Late Adulthood/Senior (55+)")</f>
        <v>2. Early Adulthood (25-34)</v>
      </c>
      <c r="D233" t="s">
        <v>41</v>
      </c>
      <c r="E233" t="s">
        <v>16</v>
      </c>
      <c r="F233" s="4">
        <v>53.98</v>
      </c>
      <c r="G233" s="5">
        <v>10</v>
      </c>
      <c r="H233" t="s">
        <v>70</v>
      </c>
      <c r="I233" t="s">
        <v>57</v>
      </c>
      <c r="J233" s="6">
        <v>8.99</v>
      </c>
      <c r="K233">
        <v>0</v>
      </c>
      <c r="L233" t="s">
        <v>29</v>
      </c>
      <c r="M233" s="5">
        <v>5</v>
      </c>
      <c r="N233" s="4">
        <v>4.91</v>
      </c>
      <c r="O233" t="s">
        <v>52</v>
      </c>
    </row>
    <row r="234" spans="1:15" x14ac:dyDescent="0.3">
      <c r="A234" t="s">
        <v>762</v>
      </c>
      <c r="B234" s="5">
        <v>21</v>
      </c>
      <c r="C234" s="5" t="str" cm="1">
        <f t="array" ref="C234">_xlfn.IFS(worksheet[[#This Row],[age]]&lt;25,"1. Young Adulthood (18-24)",worksheet[[#This Row],[age]]&lt; 35,"2. Early Adulthood (25-34)",worksheet[[#This Row],[age]]&lt; 45,"3. Mid Adulthood (35-44)",worksheet[[#This Row],[age]]&lt; 55,"4. Mature Adulthood (45-54)",TRUE,"5. Late Adulthood/Senior (55+)")</f>
        <v>1. Young Adulthood (18-24)</v>
      </c>
      <c r="D234" t="s">
        <v>41</v>
      </c>
      <c r="E234" t="s">
        <v>16</v>
      </c>
      <c r="F234" s="4">
        <v>23.95</v>
      </c>
      <c r="G234" s="5">
        <v>50</v>
      </c>
      <c r="H234" t="s">
        <v>70</v>
      </c>
      <c r="I234" t="s">
        <v>46</v>
      </c>
      <c r="J234" s="6">
        <v>8.99</v>
      </c>
      <c r="K234">
        <v>1</v>
      </c>
      <c r="L234" t="s">
        <v>37</v>
      </c>
      <c r="M234" s="5">
        <v>3</v>
      </c>
      <c r="N234" s="4">
        <v>0.47</v>
      </c>
      <c r="O234" t="s">
        <v>25</v>
      </c>
    </row>
    <row r="235" spans="1:15" x14ac:dyDescent="0.3">
      <c r="A235" t="s">
        <v>766</v>
      </c>
      <c r="B235" s="5">
        <v>21</v>
      </c>
      <c r="C235" s="5" t="str" cm="1">
        <f t="array" ref="C235">_xlfn.IFS(worksheet[[#This Row],[age]]&lt;25,"1. Young Adulthood (18-24)",worksheet[[#This Row],[age]]&lt; 35,"2. Early Adulthood (25-34)",worksheet[[#This Row],[age]]&lt; 45,"3. Mid Adulthood (35-44)",worksheet[[#This Row],[age]]&lt; 55,"4. Mature Adulthood (45-54)",TRUE,"5. Late Adulthood/Senior (55+)")</f>
        <v>1. Young Adulthood (18-24)</v>
      </c>
      <c r="D235" t="s">
        <v>41</v>
      </c>
      <c r="E235" t="s">
        <v>16</v>
      </c>
      <c r="F235" s="4">
        <v>11.85</v>
      </c>
      <c r="G235" s="5">
        <v>34</v>
      </c>
      <c r="H235" t="s">
        <v>33</v>
      </c>
      <c r="I235" t="s">
        <v>24</v>
      </c>
      <c r="J235" s="6">
        <v>8.99</v>
      </c>
      <c r="K235">
        <v>1</v>
      </c>
      <c r="L235" t="s">
        <v>61</v>
      </c>
      <c r="M235" s="5">
        <v>4</v>
      </c>
      <c r="N235" s="4">
        <v>0.34</v>
      </c>
      <c r="O235" t="s">
        <v>30</v>
      </c>
    </row>
    <row r="236" spans="1:15" x14ac:dyDescent="0.3">
      <c r="A236" t="s">
        <v>768</v>
      </c>
      <c r="B236" s="5">
        <v>28</v>
      </c>
      <c r="C236" s="5" t="str" cm="1">
        <f t="array" ref="C236">_xlfn.IFS(worksheet[[#This Row],[age]]&lt;25,"1. Young Adulthood (18-24)",worksheet[[#This Row],[age]]&lt; 35,"2. Early Adulthood (25-34)",worksheet[[#This Row],[age]]&lt; 45,"3. Mid Adulthood (35-44)",worksheet[[#This Row],[age]]&lt; 55,"4. Mature Adulthood (45-54)",TRUE,"5. Late Adulthood/Senior (55+)")</f>
        <v>2. Early Adulthood (25-34)</v>
      </c>
      <c r="D236" t="s">
        <v>41</v>
      </c>
      <c r="E236" t="s">
        <v>32</v>
      </c>
      <c r="F236" s="4">
        <v>49.34</v>
      </c>
      <c r="G236" s="5">
        <v>31</v>
      </c>
      <c r="H236" t="s">
        <v>33</v>
      </c>
      <c r="I236" t="s">
        <v>18</v>
      </c>
      <c r="J236" s="6">
        <v>17.989999999999998</v>
      </c>
      <c r="K236">
        <v>0</v>
      </c>
      <c r="L236" t="s">
        <v>19</v>
      </c>
      <c r="M236" s="5">
        <v>1</v>
      </c>
      <c r="N236" s="4">
        <v>1.54</v>
      </c>
      <c r="O236" t="s">
        <v>34</v>
      </c>
    </row>
    <row r="237" spans="1:15" x14ac:dyDescent="0.3">
      <c r="A237" t="s">
        <v>774</v>
      </c>
      <c r="B237" s="5">
        <v>24</v>
      </c>
      <c r="C237" s="5" t="str" cm="1">
        <f t="array" ref="C237">_xlfn.IFS(worksheet[[#This Row],[age]]&lt;25,"1. Young Adulthood (18-24)",worksheet[[#This Row],[age]]&lt; 35,"2. Early Adulthood (25-34)",worksheet[[#This Row],[age]]&lt; 45,"3. Mid Adulthood (35-44)",worksheet[[#This Row],[age]]&lt; 55,"4. Mature Adulthood (45-54)",TRUE,"5. Late Adulthood/Senior (55+)")</f>
        <v>1. Young Adulthood (18-24)</v>
      </c>
      <c r="D237" t="s">
        <v>41</v>
      </c>
      <c r="E237" t="s">
        <v>16</v>
      </c>
      <c r="F237" s="4">
        <v>1.68</v>
      </c>
      <c r="G237" s="5">
        <v>1</v>
      </c>
      <c r="H237" t="s">
        <v>70</v>
      </c>
      <c r="I237" t="s">
        <v>46</v>
      </c>
      <c r="J237" s="6">
        <v>8.99</v>
      </c>
      <c r="K237">
        <v>1</v>
      </c>
      <c r="L237" t="s">
        <v>61</v>
      </c>
      <c r="M237" s="5">
        <v>1</v>
      </c>
      <c r="N237" s="4">
        <v>0.84</v>
      </c>
      <c r="O237" t="s">
        <v>25</v>
      </c>
    </row>
    <row r="238" spans="1:15" x14ac:dyDescent="0.3">
      <c r="A238" t="s">
        <v>775</v>
      </c>
      <c r="B238" s="5">
        <v>34</v>
      </c>
      <c r="C238" s="5" t="str" cm="1">
        <f t="array" ref="C238">_xlfn.IFS(worksheet[[#This Row],[age]]&lt;25,"1. Young Adulthood (18-24)",worksheet[[#This Row],[age]]&lt; 35,"2. Early Adulthood (25-34)",worksheet[[#This Row],[age]]&lt; 45,"3. Mid Adulthood (35-44)",worksheet[[#This Row],[age]]&lt; 55,"4. Mature Adulthood (45-54)",TRUE,"5. Late Adulthood/Senior (55+)")</f>
        <v>2. Early Adulthood (25-34)</v>
      </c>
      <c r="D238" t="s">
        <v>27</v>
      </c>
      <c r="E238" t="s">
        <v>32</v>
      </c>
      <c r="F238" s="4">
        <v>1.58</v>
      </c>
      <c r="G238" s="5">
        <v>7</v>
      </c>
      <c r="H238" t="s">
        <v>33</v>
      </c>
      <c r="I238" t="s">
        <v>18</v>
      </c>
      <c r="J238" s="6">
        <v>17.989999999999998</v>
      </c>
      <c r="K238">
        <v>1</v>
      </c>
      <c r="L238" t="s">
        <v>19</v>
      </c>
      <c r="M238" s="5">
        <v>1</v>
      </c>
      <c r="N238" s="4">
        <v>0.2</v>
      </c>
      <c r="O238" t="s">
        <v>47</v>
      </c>
    </row>
    <row r="239" spans="1:15" x14ac:dyDescent="0.3">
      <c r="A239" t="s">
        <v>779</v>
      </c>
      <c r="B239" s="5">
        <v>29</v>
      </c>
      <c r="C239" s="5" t="str" cm="1">
        <f t="array" ref="C239">_xlfn.IFS(worksheet[[#This Row],[age]]&lt;25,"1. Young Adulthood (18-24)",worksheet[[#This Row],[age]]&lt; 35,"2. Early Adulthood (25-34)",worksheet[[#This Row],[age]]&lt; 45,"3. Mid Adulthood (35-44)",worksheet[[#This Row],[age]]&lt; 55,"4. Mature Adulthood (45-54)",TRUE,"5. Late Adulthood/Senior (55+)")</f>
        <v>2. Early Adulthood (25-34)</v>
      </c>
      <c r="D239" t="s">
        <v>41</v>
      </c>
      <c r="E239" t="s">
        <v>32</v>
      </c>
      <c r="F239" s="4">
        <v>16.420000000000002</v>
      </c>
      <c r="G239" s="5">
        <v>4</v>
      </c>
      <c r="H239" t="s">
        <v>33</v>
      </c>
      <c r="I239" t="s">
        <v>57</v>
      </c>
      <c r="J239" s="6">
        <v>17.989999999999998</v>
      </c>
      <c r="K239">
        <v>0</v>
      </c>
      <c r="L239" t="s">
        <v>61</v>
      </c>
      <c r="M239" s="5">
        <v>3</v>
      </c>
      <c r="N239" s="4">
        <v>3.28</v>
      </c>
      <c r="O239" t="s">
        <v>30</v>
      </c>
    </row>
    <row r="240" spans="1:15" x14ac:dyDescent="0.3">
      <c r="A240" t="s">
        <v>784</v>
      </c>
      <c r="B240" s="5">
        <v>18</v>
      </c>
      <c r="C240" s="5" t="str" cm="1">
        <f t="array" ref="C240">_xlfn.IFS(worksheet[[#This Row],[age]]&lt;25,"1. Young Adulthood (18-24)",worksheet[[#This Row],[age]]&lt; 35,"2. Early Adulthood (25-34)",worksheet[[#This Row],[age]]&lt; 45,"3. Mid Adulthood (35-44)",worksheet[[#This Row],[age]]&lt; 55,"4. Mature Adulthood (45-54)",TRUE,"5. Late Adulthood/Senior (55+)")</f>
        <v>1. Young Adulthood (18-24)</v>
      </c>
      <c r="D240" t="s">
        <v>27</v>
      </c>
      <c r="E240" t="s">
        <v>32</v>
      </c>
      <c r="F240" s="4">
        <v>0.17</v>
      </c>
      <c r="G240" s="5">
        <v>16</v>
      </c>
      <c r="H240" t="s">
        <v>70</v>
      </c>
      <c r="I240" t="s">
        <v>55</v>
      </c>
      <c r="J240" s="6">
        <v>17.989999999999998</v>
      </c>
      <c r="K240">
        <v>0</v>
      </c>
      <c r="L240" t="s">
        <v>37</v>
      </c>
      <c r="M240" s="5">
        <v>5</v>
      </c>
      <c r="N240" s="4">
        <v>0.01</v>
      </c>
      <c r="O240" t="s">
        <v>34</v>
      </c>
    </row>
    <row r="241" spans="1:15" x14ac:dyDescent="0.3">
      <c r="A241" t="s">
        <v>789</v>
      </c>
      <c r="B241" s="5">
        <v>20</v>
      </c>
      <c r="C241" s="5" t="str" cm="1">
        <f t="array" ref="C241">_xlfn.IFS(worksheet[[#This Row],[age]]&lt;25,"1. Young Adulthood (18-24)",worksheet[[#This Row],[age]]&lt; 35,"2. Early Adulthood (25-34)",worksheet[[#This Row],[age]]&lt; 45,"3. Mid Adulthood (35-44)",worksheet[[#This Row],[age]]&lt; 55,"4. Mature Adulthood (45-54)",TRUE,"5. Late Adulthood/Senior (55+)")</f>
        <v>1. Young Adulthood (18-24)</v>
      </c>
      <c r="D241" t="s">
        <v>41</v>
      </c>
      <c r="E241" t="s">
        <v>16</v>
      </c>
      <c r="F241" s="4">
        <v>1.98</v>
      </c>
      <c r="G241" s="5">
        <v>45</v>
      </c>
      <c r="H241" t="s">
        <v>70</v>
      </c>
      <c r="I241" t="s">
        <v>55</v>
      </c>
      <c r="J241" s="6">
        <v>8.99</v>
      </c>
      <c r="K241">
        <v>1</v>
      </c>
      <c r="L241" t="s">
        <v>43</v>
      </c>
      <c r="M241" s="5">
        <v>4</v>
      </c>
      <c r="N241" s="4">
        <v>0.04</v>
      </c>
      <c r="O241" t="s">
        <v>39</v>
      </c>
    </row>
    <row r="242" spans="1:15" x14ac:dyDescent="0.3">
      <c r="A242" t="s">
        <v>790</v>
      </c>
      <c r="B242" s="5">
        <v>27</v>
      </c>
      <c r="C242" s="5" t="str" cm="1">
        <f t="array" ref="C242">_xlfn.IFS(worksheet[[#This Row],[age]]&lt;25,"1. Young Adulthood (18-24)",worksheet[[#This Row],[age]]&lt; 35,"2. Early Adulthood (25-34)",worksheet[[#This Row],[age]]&lt; 45,"3. Mid Adulthood (35-44)",worksheet[[#This Row],[age]]&lt; 55,"4. Mature Adulthood (45-54)",TRUE,"5. Late Adulthood/Senior (55+)")</f>
        <v>2. Early Adulthood (25-34)</v>
      </c>
      <c r="D242" t="s">
        <v>27</v>
      </c>
      <c r="E242" t="s">
        <v>16</v>
      </c>
      <c r="F242" s="4">
        <v>7.37</v>
      </c>
      <c r="G242" s="5">
        <v>15</v>
      </c>
      <c r="H242" t="s">
        <v>70</v>
      </c>
      <c r="I242" t="s">
        <v>18</v>
      </c>
      <c r="J242" s="6">
        <v>8.99</v>
      </c>
      <c r="K242">
        <v>0</v>
      </c>
      <c r="L242" t="s">
        <v>43</v>
      </c>
      <c r="M242" s="5">
        <v>2</v>
      </c>
      <c r="N242" s="4">
        <v>0.46</v>
      </c>
      <c r="O242" t="s">
        <v>52</v>
      </c>
    </row>
    <row r="243" spans="1:15" x14ac:dyDescent="0.3">
      <c r="A243" t="s">
        <v>793</v>
      </c>
      <c r="B243" s="5">
        <v>26</v>
      </c>
      <c r="C243" s="5" t="str" cm="1">
        <f t="array" ref="C243">_xlfn.IFS(worksheet[[#This Row],[age]]&lt;25,"1. Young Adulthood (18-24)",worksheet[[#This Row],[age]]&lt; 35,"2. Early Adulthood (25-34)",worksheet[[#This Row],[age]]&lt; 45,"3. Mid Adulthood (35-44)",worksheet[[#This Row],[age]]&lt; 55,"4. Mature Adulthood (45-54)",TRUE,"5. Late Adulthood/Senior (55+)")</f>
        <v>2. Early Adulthood (25-34)</v>
      </c>
      <c r="D243" t="s">
        <v>15</v>
      </c>
      <c r="E243" t="s">
        <v>16</v>
      </c>
      <c r="F243" s="4">
        <v>12.57</v>
      </c>
      <c r="G243" s="5">
        <v>30</v>
      </c>
      <c r="H243" t="s">
        <v>28</v>
      </c>
      <c r="I243" t="s">
        <v>24</v>
      </c>
      <c r="J243" s="6">
        <v>8.99</v>
      </c>
      <c r="K243">
        <v>1</v>
      </c>
      <c r="L243" t="s">
        <v>19</v>
      </c>
      <c r="M243" s="5">
        <v>3</v>
      </c>
      <c r="N243" s="4">
        <v>0.41</v>
      </c>
      <c r="O243" t="s">
        <v>20</v>
      </c>
    </row>
    <row r="244" spans="1:15" x14ac:dyDescent="0.3">
      <c r="A244" t="s">
        <v>794</v>
      </c>
      <c r="B244" s="5">
        <v>25</v>
      </c>
      <c r="C244" s="5" t="str" cm="1">
        <f t="array" ref="C244">_xlfn.IFS(worksheet[[#This Row],[age]]&lt;25,"1. Young Adulthood (18-24)",worksheet[[#This Row],[age]]&lt; 35,"2. Early Adulthood (25-34)",worksheet[[#This Row],[age]]&lt; 45,"3. Mid Adulthood (35-44)",worksheet[[#This Row],[age]]&lt; 55,"4. Mature Adulthood (45-54)",TRUE,"5. Late Adulthood/Senior (55+)")</f>
        <v>2. Early Adulthood (25-34)</v>
      </c>
      <c r="D244" t="s">
        <v>15</v>
      </c>
      <c r="E244" t="s">
        <v>32</v>
      </c>
      <c r="F244" s="4">
        <v>12.4</v>
      </c>
      <c r="G244" s="5">
        <v>57</v>
      </c>
      <c r="H244" t="s">
        <v>28</v>
      </c>
      <c r="I244" t="s">
        <v>24</v>
      </c>
      <c r="J244" s="6">
        <v>17.989999999999998</v>
      </c>
      <c r="K244">
        <v>1</v>
      </c>
      <c r="L244" t="s">
        <v>19</v>
      </c>
      <c r="M244" s="5">
        <v>5</v>
      </c>
      <c r="N244" s="4">
        <v>0.21</v>
      </c>
      <c r="O244" t="s">
        <v>20</v>
      </c>
    </row>
    <row r="245" spans="1:15" x14ac:dyDescent="0.3">
      <c r="A245" s="1" t="s">
        <v>798</v>
      </c>
      <c r="B245" s="5">
        <v>21</v>
      </c>
      <c r="C245" s="5" t="str" cm="1">
        <f t="array" ref="C245">_xlfn.IFS(worksheet[[#This Row],[age]]&lt;25,"1. Young Adulthood (18-24)",worksheet[[#This Row],[age]]&lt; 35,"2. Early Adulthood (25-34)",worksheet[[#This Row],[age]]&lt; 45,"3. Mid Adulthood (35-44)",worksheet[[#This Row],[age]]&lt; 55,"4. Mature Adulthood (45-54)",TRUE,"5. Late Adulthood/Senior (55+)")</f>
        <v>1. Young Adulthood (18-24)</v>
      </c>
      <c r="D245" t="s">
        <v>41</v>
      </c>
      <c r="E245" t="s">
        <v>22</v>
      </c>
      <c r="F245" s="4">
        <v>12.25</v>
      </c>
      <c r="G245" s="5">
        <v>13</v>
      </c>
      <c r="H245" t="s">
        <v>23</v>
      </c>
      <c r="I245" t="s">
        <v>18</v>
      </c>
      <c r="J245" s="6">
        <v>13.99</v>
      </c>
      <c r="K245">
        <v>0</v>
      </c>
      <c r="L245" t="s">
        <v>61</v>
      </c>
      <c r="M245" s="5">
        <v>1</v>
      </c>
      <c r="N245" s="4">
        <v>0.88</v>
      </c>
      <c r="O245" t="s">
        <v>20</v>
      </c>
    </row>
    <row r="246" spans="1:15" x14ac:dyDescent="0.3">
      <c r="A246" t="s">
        <v>799</v>
      </c>
      <c r="B246" s="5">
        <v>26</v>
      </c>
      <c r="C246" s="5" t="str" cm="1">
        <f t="array" ref="C246">_xlfn.IFS(worksheet[[#This Row],[age]]&lt;25,"1. Young Adulthood (18-24)",worksheet[[#This Row],[age]]&lt; 35,"2. Early Adulthood (25-34)",worksheet[[#This Row],[age]]&lt; 45,"3. Mid Adulthood (35-44)",worksheet[[#This Row],[age]]&lt; 55,"4. Mature Adulthood (45-54)",TRUE,"5. Late Adulthood/Senior (55+)")</f>
        <v>2. Early Adulthood (25-34)</v>
      </c>
      <c r="D246" t="s">
        <v>15</v>
      </c>
      <c r="E246" t="s">
        <v>16</v>
      </c>
      <c r="F246" s="4">
        <v>12.29</v>
      </c>
      <c r="G246" s="5">
        <v>31</v>
      </c>
      <c r="H246" t="s">
        <v>28</v>
      </c>
      <c r="I246" t="s">
        <v>57</v>
      </c>
      <c r="J246" s="6">
        <v>8.99</v>
      </c>
      <c r="K246">
        <v>1</v>
      </c>
      <c r="L246" t="s">
        <v>19</v>
      </c>
      <c r="M246" s="5">
        <v>3</v>
      </c>
      <c r="N246" s="4">
        <v>0.38</v>
      </c>
      <c r="O246" t="s">
        <v>20</v>
      </c>
    </row>
    <row r="247" spans="1:15" x14ac:dyDescent="0.3">
      <c r="A247" t="s">
        <v>800</v>
      </c>
      <c r="B247" s="5">
        <v>33</v>
      </c>
      <c r="C247" s="5" t="str" cm="1">
        <f t="array" ref="C247">_xlfn.IFS(worksheet[[#This Row],[age]]&lt;25,"1. Young Adulthood (18-24)",worksheet[[#This Row],[age]]&lt; 35,"2. Early Adulthood (25-34)",worksheet[[#This Row],[age]]&lt; 45,"3. Mid Adulthood (35-44)",worksheet[[#This Row],[age]]&lt; 55,"4. Mature Adulthood (45-54)",TRUE,"5. Late Adulthood/Senior (55+)")</f>
        <v>2. Early Adulthood (25-34)</v>
      </c>
      <c r="D247" t="s">
        <v>27</v>
      </c>
      <c r="E247" t="s">
        <v>22</v>
      </c>
      <c r="F247" s="4">
        <v>27.72</v>
      </c>
      <c r="G247" s="5">
        <v>42</v>
      </c>
      <c r="H247" t="s">
        <v>23</v>
      </c>
      <c r="I247" t="s">
        <v>24</v>
      </c>
      <c r="J247" s="6">
        <v>13.99</v>
      </c>
      <c r="K247">
        <v>0</v>
      </c>
      <c r="L247" t="s">
        <v>37</v>
      </c>
      <c r="M247" s="5">
        <v>4</v>
      </c>
      <c r="N247" s="4">
        <v>0.64</v>
      </c>
      <c r="O247" t="s">
        <v>20</v>
      </c>
    </row>
    <row r="248" spans="1:15" x14ac:dyDescent="0.3">
      <c r="A248" t="s">
        <v>801</v>
      </c>
      <c r="B248" s="5">
        <v>29</v>
      </c>
      <c r="C248" s="5" t="str" cm="1">
        <f t="array" ref="C248">_xlfn.IFS(worksheet[[#This Row],[age]]&lt;25,"1. Young Adulthood (18-24)",worksheet[[#This Row],[age]]&lt; 35,"2. Early Adulthood (25-34)",worksheet[[#This Row],[age]]&lt; 45,"3. Mid Adulthood (35-44)",worksheet[[#This Row],[age]]&lt; 55,"4. Mature Adulthood (45-54)",TRUE,"5. Late Adulthood/Senior (55+)")</f>
        <v>2. Early Adulthood (25-34)</v>
      </c>
      <c r="D248" t="s">
        <v>15</v>
      </c>
      <c r="E248" t="s">
        <v>16</v>
      </c>
      <c r="F248" s="4">
        <v>13.77</v>
      </c>
      <c r="G248" s="5">
        <v>24</v>
      </c>
      <c r="H248" t="s">
        <v>17</v>
      </c>
      <c r="I248" t="s">
        <v>24</v>
      </c>
      <c r="J248" s="6">
        <v>8.99</v>
      </c>
      <c r="K248">
        <v>0</v>
      </c>
      <c r="L248" t="s">
        <v>37</v>
      </c>
      <c r="M248" s="5">
        <v>4</v>
      </c>
      <c r="N248" s="4">
        <v>0.55000000000000004</v>
      </c>
      <c r="O248" t="s">
        <v>30</v>
      </c>
    </row>
    <row r="249" spans="1:15" x14ac:dyDescent="0.3">
      <c r="A249" t="s">
        <v>804</v>
      </c>
      <c r="B249" s="5">
        <v>20</v>
      </c>
      <c r="C249" s="5" t="str" cm="1">
        <f t="array" ref="C249">_xlfn.IFS(worksheet[[#This Row],[age]]&lt;25,"1. Young Adulthood (18-24)",worksheet[[#This Row],[age]]&lt; 35,"2. Early Adulthood (25-34)",worksheet[[#This Row],[age]]&lt; 45,"3. Mid Adulthood (35-44)",worksheet[[#This Row],[age]]&lt; 55,"4. Mature Adulthood (45-54)",TRUE,"5. Late Adulthood/Senior (55+)")</f>
        <v>1. Young Adulthood (18-24)</v>
      </c>
      <c r="D249" t="s">
        <v>41</v>
      </c>
      <c r="E249" t="s">
        <v>16</v>
      </c>
      <c r="F249" s="4">
        <v>17.03</v>
      </c>
      <c r="G249" s="5">
        <v>47</v>
      </c>
      <c r="H249" t="s">
        <v>23</v>
      </c>
      <c r="I249" t="s">
        <v>24</v>
      </c>
      <c r="J249" s="6">
        <v>8.99</v>
      </c>
      <c r="K249">
        <v>1</v>
      </c>
      <c r="L249" t="s">
        <v>61</v>
      </c>
      <c r="M249" s="5">
        <v>2</v>
      </c>
      <c r="N249" s="4">
        <v>0.35</v>
      </c>
      <c r="O249" t="s">
        <v>52</v>
      </c>
    </row>
    <row r="250" spans="1:15" x14ac:dyDescent="0.3">
      <c r="A250" t="s">
        <v>812</v>
      </c>
      <c r="B250" s="5">
        <v>28</v>
      </c>
      <c r="C250" s="5" t="str" cm="1">
        <f t="array" ref="C250">_xlfn.IFS(worksheet[[#This Row],[age]]&lt;25,"1. Young Adulthood (18-24)",worksheet[[#This Row],[age]]&lt; 35,"2. Early Adulthood (25-34)",worksheet[[#This Row],[age]]&lt; 45,"3. Mid Adulthood (35-44)",worksheet[[#This Row],[age]]&lt; 55,"4. Mature Adulthood (45-54)",TRUE,"5. Late Adulthood/Senior (55+)")</f>
        <v>2. Early Adulthood (25-34)</v>
      </c>
      <c r="D250" t="s">
        <v>27</v>
      </c>
      <c r="E250" t="s">
        <v>16</v>
      </c>
      <c r="F250" s="4">
        <v>12.82</v>
      </c>
      <c r="G250" s="5">
        <v>47</v>
      </c>
      <c r="H250" t="s">
        <v>70</v>
      </c>
      <c r="I250" t="s">
        <v>57</v>
      </c>
      <c r="J250" s="6">
        <v>8.99</v>
      </c>
      <c r="K250">
        <v>1</v>
      </c>
      <c r="L250" t="s">
        <v>61</v>
      </c>
      <c r="M250" s="5">
        <v>1</v>
      </c>
      <c r="N250" s="4">
        <v>0.27</v>
      </c>
      <c r="O250" t="s">
        <v>20</v>
      </c>
    </row>
    <row r="251" spans="1:15" x14ac:dyDescent="0.3">
      <c r="A251" t="s">
        <v>819</v>
      </c>
      <c r="B251" s="5">
        <v>26</v>
      </c>
      <c r="C251" s="5" t="str" cm="1">
        <f t="array" ref="C251">_xlfn.IFS(worksheet[[#This Row],[age]]&lt;25,"1. Young Adulthood (18-24)",worksheet[[#This Row],[age]]&lt; 35,"2. Early Adulthood (25-34)",worksheet[[#This Row],[age]]&lt; 45,"3. Mid Adulthood (35-44)",worksheet[[#This Row],[age]]&lt; 55,"4. Mature Adulthood (45-54)",TRUE,"5. Late Adulthood/Senior (55+)")</f>
        <v>2. Early Adulthood (25-34)</v>
      </c>
      <c r="D251" t="s">
        <v>27</v>
      </c>
      <c r="E251" t="s">
        <v>22</v>
      </c>
      <c r="F251" s="4">
        <v>3.82</v>
      </c>
      <c r="G251" s="5">
        <v>14</v>
      </c>
      <c r="H251" t="s">
        <v>49</v>
      </c>
      <c r="I251" t="s">
        <v>18</v>
      </c>
      <c r="J251" s="6">
        <v>13.99</v>
      </c>
      <c r="K251">
        <v>1</v>
      </c>
      <c r="L251" t="s">
        <v>29</v>
      </c>
      <c r="M251" s="5">
        <v>2</v>
      </c>
      <c r="N251" s="4">
        <v>0.25</v>
      </c>
      <c r="O251" t="s">
        <v>30</v>
      </c>
    </row>
    <row r="252" spans="1:15" x14ac:dyDescent="0.3">
      <c r="A252" t="s">
        <v>825</v>
      </c>
      <c r="B252" s="5">
        <v>23</v>
      </c>
      <c r="C252" s="5" t="str" cm="1">
        <f t="array" ref="C252">_xlfn.IFS(worksheet[[#This Row],[age]]&lt;25,"1. Young Adulthood (18-24)",worksheet[[#This Row],[age]]&lt; 35,"2. Early Adulthood (25-34)",worksheet[[#This Row],[age]]&lt; 45,"3. Mid Adulthood (35-44)",worksheet[[#This Row],[age]]&lt; 55,"4. Mature Adulthood (45-54)",TRUE,"5. Late Adulthood/Senior (55+)")</f>
        <v>1. Young Adulthood (18-24)</v>
      </c>
      <c r="D252" t="s">
        <v>41</v>
      </c>
      <c r="E252" t="s">
        <v>16</v>
      </c>
      <c r="F252" s="4">
        <v>4.6399999999999997</v>
      </c>
      <c r="G252" s="5">
        <v>55</v>
      </c>
      <c r="H252" t="s">
        <v>23</v>
      </c>
      <c r="I252" t="s">
        <v>18</v>
      </c>
      <c r="J252" s="6">
        <v>8.99</v>
      </c>
      <c r="K252">
        <v>1</v>
      </c>
      <c r="L252" t="s">
        <v>61</v>
      </c>
      <c r="M252" s="5">
        <v>1</v>
      </c>
      <c r="N252" s="4">
        <v>0.08</v>
      </c>
      <c r="O252" t="s">
        <v>52</v>
      </c>
    </row>
    <row r="253" spans="1:15" x14ac:dyDescent="0.3">
      <c r="A253" t="s">
        <v>829</v>
      </c>
      <c r="B253" s="5">
        <v>23</v>
      </c>
      <c r="C253" s="5" t="str" cm="1">
        <f t="array" ref="C253">_xlfn.IFS(worksheet[[#This Row],[age]]&lt;25,"1. Young Adulthood (18-24)",worksheet[[#This Row],[age]]&lt; 35,"2. Early Adulthood (25-34)",worksheet[[#This Row],[age]]&lt; 45,"3. Mid Adulthood (35-44)",worksheet[[#This Row],[age]]&lt; 55,"4. Mature Adulthood (45-54)",TRUE,"5. Late Adulthood/Senior (55+)")</f>
        <v>1. Young Adulthood (18-24)</v>
      </c>
      <c r="D253" t="s">
        <v>27</v>
      </c>
      <c r="E253" t="s">
        <v>16</v>
      </c>
      <c r="F253" s="4">
        <v>8.26</v>
      </c>
      <c r="G253" s="5">
        <v>33</v>
      </c>
      <c r="H253" t="s">
        <v>23</v>
      </c>
      <c r="I253" t="s">
        <v>55</v>
      </c>
      <c r="J253" s="6">
        <v>8.99</v>
      </c>
      <c r="K253">
        <v>1</v>
      </c>
      <c r="L253" t="s">
        <v>19</v>
      </c>
      <c r="M253" s="5">
        <v>5</v>
      </c>
      <c r="N253" s="4">
        <v>0.24</v>
      </c>
      <c r="O253" t="s">
        <v>34</v>
      </c>
    </row>
    <row r="254" spans="1:15" x14ac:dyDescent="0.3">
      <c r="A254" t="s">
        <v>830</v>
      </c>
      <c r="B254" s="5">
        <v>34</v>
      </c>
      <c r="C254" s="5" t="str" cm="1">
        <f t="array" ref="C254">_xlfn.IFS(worksheet[[#This Row],[age]]&lt;25,"1. Young Adulthood (18-24)",worksheet[[#This Row],[age]]&lt; 35,"2. Early Adulthood (25-34)",worksheet[[#This Row],[age]]&lt; 45,"3. Mid Adulthood (35-44)",worksheet[[#This Row],[age]]&lt; 55,"4. Mature Adulthood (45-54)",TRUE,"5. Late Adulthood/Senior (55+)")</f>
        <v>2. Early Adulthood (25-34)</v>
      </c>
      <c r="D254" t="s">
        <v>15</v>
      </c>
      <c r="E254" t="s">
        <v>32</v>
      </c>
      <c r="F254" s="4">
        <v>35.200000000000003</v>
      </c>
      <c r="G254" s="5">
        <v>14</v>
      </c>
      <c r="H254" t="s">
        <v>23</v>
      </c>
      <c r="I254" t="s">
        <v>57</v>
      </c>
      <c r="J254" s="6">
        <v>17.989999999999998</v>
      </c>
      <c r="K254">
        <v>0</v>
      </c>
      <c r="L254" t="s">
        <v>29</v>
      </c>
      <c r="M254" s="5">
        <v>3</v>
      </c>
      <c r="N254" s="4">
        <v>2.35</v>
      </c>
      <c r="O254" t="s">
        <v>39</v>
      </c>
    </row>
    <row r="255" spans="1:15" x14ac:dyDescent="0.3">
      <c r="A255" t="s">
        <v>832</v>
      </c>
      <c r="B255" s="5">
        <v>24</v>
      </c>
      <c r="C255" s="5" t="str" cm="1">
        <f t="array" ref="C255">_xlfn.IFS(worksheet[[#This Row],[age]]&lt;25,"1. Young Adulthood (18-24)",worksheet[[#This Row],[age]]&lt; 35,"2. Early Adulthood (25-34)",worksheet[[#This Row],[age]]&lt; 45,"3. Mid Adulthood (35-44)",worksheet[[#This Row],[age]]&lt; 55,"4. Mature Adulthood (45-54)",TRUE,"5. Late Adulthood/Senior (55+)")</f>
        <v>1. Young Adulthood (18-24)</v>
      </c>
      <c r="D255" t="s">
        <v>15</v>
      </c>
      <c r="E255" t="s">
        <v>22</v>
      </c>
      <c r="F255" s="4">
        <v>10.67</v>
      </c>
      <c r="G255" s="5">
        <v>28</v>
      </c>
      <c r="H255" t="s">
        <v>28</v>
      </c>
      <c r="I255" t="s">
        <v>57</v>
      </c>
      <c r="J255" s="6">
        <v>13.99</v>
      </c>
      <c r="K255">
        <v>0</v>
      </c>
      <c r="L255" t="s">
        <v>43</v>
      </c>
      <c r="M255" s="5">
        <v>1</v>
      </c>
      <c r="N255" s="4">
        <v>0.37</v>
      </c>
      <c r="O255" t="s">
        <v>34</v>
      </c>
    </row>
    <row r="256" spans="1:15" x14ac:dyDescent="0.3">
      <c r="A256" t="s">
        <v>834</v>
      </c>
      <c r="B256" s="5">
        <v>33</v>
      </c>
      <c r="C256" s="5" t="str" cm="1">
        <f t="array" ref="C256">_xlfn.IFS(worksheet[[#This Row],[age]]&lt;25,"1. Young Adulthood (18-24)",worksheet[[#This Row],[age]]&lt; 35,"2. Early Adulthood (25-34)",worksheet[[#This Row],[age]]&lt; 45,"3. Mid Adulthood (35-44)",worksheet[[#This Row],[age]]&lt; 55,"4. Mature Adulthood (45-54)",TRUE,"5. Late Adulthood/Senior (55+)")</f>
        <v>2. Early Adulthood (25-34)</v>
      </c>
      <c r="D256" t="s">
        <v>27</v>
      </c>
      <c r="E256" t="s">
        <v>22</v>
      </c>
      <c r="F256" s="4">
        <v>18.329999999999998</v>
      </c>
      <c r="G256" s="5">
        <v>48</v>
      </c>
      <c r="H256" t="s">
        <v>33</v>
      </c>
      <c r="I256" t="s">
        <v>24</v>
      </c>
      <c r="J256" s="6">
        <v>13.99</v>
      </c>
      <c r="K256">
        <v>1</v>
      </c>
      <c r="L256" t="s">
        <v>37</v>
      </c>
      <c r="M256" s="5">
        <v>1</v>
      </c>
      <c r="N256" s="4">
        <v>0.37</v>
      </c>
      <c r="O256" t="s">
        <v>47</v>
      </c>
    </row>
    <row r="257" spans="1:15" x14ac:dyDescent="0.3">
      <c r="A257" t="s">
        <v>836</v>
      </c>
      <c r="B257" s="5">
        <v>20</v>
      </c>
      <c r="C257" s="5" t="str" cm="1">
        <f t="array" ref="C257">_xlfn.IFS(worksheet[[#This Row],[age]]&lt;25,"1. Young Adulthood (18-24)",worksheet[[#This Row],[age]]&lt; 35,"2. Early Adulthood (25-34)",worksheet[[#This Row],[age]]&lt; 45,"3. Mid Adulthood (35-44)",worksheet[[#This Row],[age]]&lt; 55,"4. Mature Adulthood (45-54)",TRUE,"5. Late Adulthood/Senior (55+)")</f>
        <v>1. Young Adulthood (18-24)</v>
      </c>
      <c r="D257" t="s">
        <v>15</v>
      </c>
      <c r="E257" t="s">
        <v>16</v>
      </c>
      <c r="F257" s="4">
        <v>15.54</v>
      </c>
      <c r="G257" s="5">
        <v>24</v>
      </c>
      <c r="H257" t="s">
        <v>28</v>
      </c>
      <c r="I257" t="s">
        <v>55</v>
      </c>
      <c r="J257" s="6">
        <v>8.99</v>
      </c>
      <c r="K257">
        <v>0</v>
      </c>
      <c r="L257" t="s">
        <v>37</v>
      </c>
      <c r="M257" s="5">
        <v>3</v>
      </c>
      <c r="N257" s="4">
        <v>0.62</v>
      </c>
      <c r="O257" t="s">
        <v>25</v>
      </c>
    </row>
    <row r="258" spans="1:15" x14ac:dyDescent="0.3">
      <c r="A258" t="s">
        <v>837</v>
      </c>
      <c r="B258" s="5">
        <v>20</v>
      </c>
      <c r="C258" s="5" t="str" cm="1">
        <f t="array" ref="C258">_xlfn.IFS(worksheet[[#This Row],[age]]&lt;25,"1. Young Adulthood (18-24)",worksheet[[#This Row],[age]]&lt; 35,"2. Early Adulthood (25-34)",worksheet[[#This Row],[age]]&lt; 45,"3. Mid Adulthood (35-44)",worksheet[[#This Row],[age]]&lt; 55,"4. Mature Adulthood (45-54)",TRUE,"5. Late Adulthood/Senior (55+)")</f>
        <v>1. Young Adulthood (18-24)</v>
      </c>
      <c r="D258" t="s">
        <v>27</v>
      </c>
      <c r="E258" t="s">
        <v>16</v>
      </c>
      <c r="F258" s="4">
        <v>10.28</v>
      </c>
      <c r="G258" s="5">
        <v>43</v>
      </c>
      <c r="H258" t="s">
        <v>49</v>
      </c>
      <c r="I258" t="s">
        <v>46</v>
      </c>
      <c r="J258" s="6">
        <v>8.99</v>
      </c>
      <c r="K258">
        <v>1</v>
      </c>
      <c r="L258" t="s">
        <v>43</v>
      </c>
      <c r="M258" s="5">
        <v>2</v>
      </c>
      <c r="N258" s="4">
        <v>0.23</v>
      </c>
      <c r="O258" t="s">
        <v>20</v>
      </c>
    </row>
    <row r="259" spans="1:15" x14ac:dyDescent="0.3">
      <c r="A259" t="s">
        <v>838</v>
      </c>
      <c r="B259" s="5">
        <v>33</v>
      </c>
      <c r="C259" s="5" t="str" cm="1">
        <f t="array" ref="C259">_xlfn.IFS(worksheet[[#This Row],[age]]&lt;25,"1. Young Adulthood (18-24)",worksheet[[#This Row],[age]]&lt; 35,"2. Early Adulthood (25-34)",worksheet[[#This Row],[age]]&lt; 45,"3. Mid Adulthood (35-44)",worksheet[[#This Row],[age]]&lt; 55,"4. Mature Adulthood (45-54)",TRUE,"5. Late Adulthood/Senior (55+)")</f>
        <v>2. Early Adulthood (25-34)</v>
      </c>
      <c r="D259" t="s">
        <v>27</v>
      </c>
      <c r="E259" t="s">
        <v>32</v>
      </c>
      <c r="F259" s="4">
        <v>2.2000000000000002</v>
      </c>
      <c r="G259" s="5">
        <v>40</v>
      </c>
      <c r="H259" t="s">
        <v>49</v>
      </c>
      <c r="I259" t="s">
        <v>55</v>
      </c>
      <c r="J259" s="6">
        <v>17.989999999999998</v>
      </c>
      <c r="K259">
        <v>1</v>
      </c>
      <c r="L259" t="s">
        <v>19</v>
      </c>
      <c r="M259" s="5">
        <v>4</v>
      </c>
      <c r="N259" s="4">
        <v>0.05</v>
      </c>
      <c r="O259" t="s">
        <v>52</v>
      </c>
    </row>
    <row r="260" spans="1:15" x14ac:dyDescent="0.3">
      <c r="A260" t="s">
        <v>839</v>
      </c>
      <c r="B260" s="5">
        <v>30</v>
      </c>
      <c r="C260" s="5" t="str" cm="1">
        <f t="array" ref="C260">_xlfn.IFS(worksheet[[#This Row],[age]]&lt;25,"1. Young Adulthood (18-24)",worksheet[[#This Row],[age]]&lt; 35,"2. Early Adulthood (25-34)",worksheet[[#This Row],[age]]&lt; 45,"3. Mid Adulthood (35-44)",worksheet[[#This Row],[age]]&lt; 55,"4. Mature Adulthood (45-54)",TRUE,"5. Late Adulthood/Senior (55+)")</f>
        <v>2. Early Adulthood (25-34)</v>
      </c>
      <c r="D260" t="s">
        <v>15</v>
      </c>
      <c r="E260" t="s">
        <v>16</v>
      </c>
      <c r="F260" s="4">
        <v>0.52</v>
      </c>
      <c r="G260" s="5">
        <v>4</v>
      </c>
      <c r="H260" t="s">
        <v>28</v>
      </c>
      <c r="I260" t="s">
        <v>18</v>
      </c>
      <c r="J260" s="6">
        <v>8.99</v>
      </c>
      <c r="K260">
        <v>1</v>
      </c>
      <c r="L260" t="s">
        <v>43</v>
      </c>
      <c r="M260" s="5">
        <v>2</v>
      </c>
      <c r="N260" s="4">
        <v>0.1</v>
      </c>
      <c r="O260" t="s">
        <v>25</v>
      </c>
    </row>
    <row r="261" spans="1:15" x14ac:dyDescent="0.3">
      <c r="A261" t="s">
        <v>844</v>
      </c>
      <c r="B261" s="5">
        <v>24</v>
      </c>
      <c r="C261" s="5" t="str" cm="1">
        <f t="array" ref="C261">_xlfn.IFS(worksheet[[#This Row],[age]]&lt;25,"1. Young Adulthood (18-24)",worksheet[[#This Row],[age]]&lt; 35,"2. Early Adulthood (25-34)",worksheet[[#This Row],[age]]&lt; 45,"3. Mid Adulthood (35-44)",worksheet[[#This Row],[age]]&lt; 55,"4. Mature Adulthood (45-54)",TRUE,"5. Late Adulthood/Senior (55+)")</f>
        <v>1. Young Adulthood (18-24)</v>
      </c>
      <c r="D261" t="s">
        <v>27</v>
      </c>
      <c r="E261" t="s">
        <v>16</v>
      </c>
      <c r="F261" s="4">
        <v>6.73</v>
      </c>
      <c r="G261" s="5">
        <v>16</v>
      </c>
      <c r="H261" t="s">
        <v>17</v>
      </c>
      <c r="I261" t="s">
        <v>24</v>
      </c>
      <c r="J261" s="6">
        <v>8.99</v>
      </c>
      <c r="K261">
        <v>0</v>
      </c>
      <c r="L261" t="s">
        <v>29</v>
      </c>
      <c r="M261" s="5">
        <v>4</v>
      </c>
      <c r="N261" s="4">
        <v>0.4</v>
      </c>
      <c r="O261" t="s">
        <v>47</v>
      </c>
    </row>
    <row r="262" spans="1:15" x14ac:dyDescent="0.3">
      <c r="A262" t="s">
        <v>845</v>
      </c>
      <c r="B262" s="5">
        <v>24</v>
      </c>
      <c r="C262" s="5" t="str" cm="1">
        <f t="array" ref="C262">_xlfn.IFS(worksheet[[#This Row],[age]]&lt;25,"1. Young Adulthood (18-24)",worksheet[[#This Row],[age]]&lt; 35,"2. Early Adulthood (25-34)",worksheet[[#This Row],[age]]&lt; 45,"3. Mid Adulthood (35-44)",worksheet[[#This Row],[age]]&lt; 55,"4. Mature Adulthood (45-54)",TRUE,"5. Late Adulthood/Senior (55+)")</f>
        <v>1. Young Adulthood (18-24)</v>
      </c>
      <c r="D262" t="s">
        <v>15</v>
      </c>
      <c r="E262" t="s">
        <v>22</v>
      </c>
      <c r="F262" s="4">
        <v>21.53</v>
      </c>
      <c r="G262" s="5">
        <v>57</v>
      </c>
      <c r="H262" t="s">
        <v>70</v>
      </c>
      <c r="I262" t="s">
        <v>57</v>
      </c>
      <c r="J262" s="6">
        <v>13.99</v>
      </c>
      <c r="K262">
        <v>0</v>
      </c>
      <c r="L262" t="s">
        <v>29</v>
      </c>
      <c r="M262" s="5">
        <v>3</v>
      </c>
      <c r="N262" s="4">
        <v>0.37</v>
      </c>
      <c r="O262" t="s">
        <v>30</v>
      </c>
    </row>
    <row r="263" spans="1:15" x14ac:dyDescent="0.3">
      <c r="A263" t="s">
        <v>849</v>
      </c>
      <c r="B263" s="5">
        <v>24</v>
      </c>
      <c r="C263" s="5" t="str" cm="1">
        <f t="array" ref="C263">_xlfn.IFS(worksheet[[#This Row],[age]]&lt;25,"1. Young Adulthood (18-24)",worksheet[[#This Row],[age]]&lt; 35,"2. Early Adulthood (25-34)",worksheet[[#This Row],[age]]&lt; 45,"3. Mid Adulthood (35-44)",worksheet[[#This Row],[age]]&lt; 55,"4. Mature Adulthood (45-54)",TRUE,"5. Late Adulthood/Senior (55+)")</f>
        <v>1. Young Adulthood (18-24)</v>
      </c>
      <c r="D263" t="s">
        <v>41</v>
      </c>
      <c r="E263" t="s">
        <v>22</v>
      </c>
      <c r="F263" s="4">
        <v>7.75</v>
      </c>
      <c r="G263" s="5">
        <v>29</v>
      </c>
      <c r="H263" t="s">
        <v>23</v>
      </c>
      <c r="I263" t="s">
        <v>57</v>
      </c>
      <c r="J263" s="6">
        <v>13.99</v>
      </c>
      <c r="K263">
        <v>0</v>
      </c>
      <c r="L263" t="s">
        <v>37</v>
      </c>
      <c r="M263" s="5">
        <v>5</v>
      </c>
      <c r="N263" s="4">
        <v>0.26</v>
      </c>
      <c r="O263" t="s">
        <v>34</v>
      </c>
    </row>
    <row r="264" spans="1:15" x14ac:dyDescent="0.3">
      <c r="A264" t="s">
        <v>850</v>
      </c>
      <c r="B264" s="5">
        <v>28</v>
      </c>
      <c r="C264" s="5" t="str" cm="1">
        <f t="array" ref="C264">_xlfn.IFS(worksheet[[#This Row],[age]]&lt;25,"1. Young Adulthood (18-24)",worksheet[[#This Row],[age]]&lt; 35,"2. Early Adulthood (25-34)",worksheet[[#This Row],[age]]&lt; 45,"3. Mid Adulthood (35-44)",worksheet[[#This Row],[age]]&lt; 55,"4. Mature Adulthood (45-54)",TRUE,"5. Late Adulthood/Senior (55+)")</f>
        <v>2. Early Adulthood (25-34)</v>
      </c>
      <c r="D264" t="s">
        <v>15</v>
      </c>
      <c r="E264" t="s">
        <v>32</v>
      </c>
      <c r="F264" s="4">
        <v>6.79</v>
      </c>
      <c r="G264" s="5">
        <v>54</v>
      </c>
      <c r="H264" t="s">
        <v>33</v>
      </c>
      <c r="I264" t="s">
        <v>57</v>
      </c>
      <c r="J264" s="6">
        <v>17.989999999999998</v>
      </c>
      <c r="K264">
        <v>1</v>
      </c>
      <c r="L264" t="s">
        <v>43</v>
      </c>
      <c r="M264" s="5">
        <v>1</v>
      </c>
      <c r="N264" s="4">
        <v>0.12</v>
      </c>
      <c r="O264" t="s">
        <v>34</v>
      </c>
    </row>
    <row r="265" spans="1:15" x14ac:dyDescent="0.3">
      <c r="A265" t="s">
        <v>851</v>
      </c>
      <c r="B265" s="5">
        <v>29</v>
      </c>
      <c r="C265" s="5" t="str" cm="1">
        <f t="array" ref="C265">_xlfn.IFS(worksheet[[#This Row],[age]]&lt;25,"1. Young Adulthood (18-24)",worksheet[[#This Row],[age]]&lt; 35,"2. Early Adulthood (25-34)",worksheet[[#This Row],[age]]&lt; 45,"3. Mid Adulthood (35-44)",worksheet[[#This Row],[age]]&lt; 55,"4. Mature Adulthood (45-54)",TRUE,"5. Late Adulthood/Senior (55+)")</f>
        <v>2. Early Adulthood (25-34)</v>
      </c>
      <c r="D265" t="s">
        <v>41</v>
      </c>
      <c r="E265" t="s">
        <v>32</v>
      </c>
      <c r="F265" s="4">
        <v>21.53</v>
      </c>
      <c r="G265" s="5">
        <v>36</v>
      </c>
      <c r="H265" t="s">
        <v>17</v>
      </c>
      <c r="I265" t="s">
        <v>18</v>
      </c>
      <c r="J265" s="6">
        <v>17.989999999999998</v>
      </c>
      <c r="K265">
        <v>0</v>
      </c>
      <c r="L265" t="s">
        <v>61</v>
      </c>
      <c r="M265" s="5">
        <v>5</v>
      </c>
      <c r="N265" s="4">
        <v>0.57999999999999996</v>
      </c>
      <c r="O265" t="s">
        <v>25</v>
      </c>
    </row>
    <row r="266" spans="1:15" x14ac:dyDescent="0.3">
      <c r="A266" t="s">
        <v>854</v>
      </c>
      <c r="B266" s="5">
        <v>23</v>
      </c>
      <c r="C266" s="5" t="str" cm="1">
        <f t="array" ref="C266">_xlfn.IFS(worksheet[[#This Row],[age]]&lt;25,"1. Young Adulthood (18-24)",worksheet[[#This Row],[age]]&lt; 35,"2. Early Adulthood (25-34)",worksheet[[#This Row],[age]]&lt; 45,"3. Mid Adulthood (35-44)",worksheet[[#This Row],[age]]&lt; 55,"4. Mature Adulthood (45-54)",TRUE,"5. Late Adulthood/Senior (55+)")</f>
        <v>1. Young Adulthood (18-24)</v>
      </c>
      <c r="D266" t="s">
        <v>27</v>
      </c>
      <c r="E266" t="s">
        <v>22</v>
      </c>
      <c r="F266" s="4">
        <v>2.2799999999999998</v>
      </c>
      <c r="G266" s="5">
        <v>46</v>
      </c>
      <c r="H266" t="s">
        <v>33</v>
      </c>
      <c r="I266" t="s">
        <v>57</v>
      </c>
      <c r="J266" s="6">
        <v>13.99</v>
      </c>
      <c r="K266">
        <v>1</v>
      </c>
      <c r="L266" t="s">
        <v>43</v>
      </c>
      <c r="M266" s="5">
        <v>1</v>
      </c>
      <c r="N266" s="4">
        <v>0.05</v>
      </c>
      <c r="O266" t="s">
        <v>34</v>
      </c>
    </row>
    <row r="267" spans="1:15" x14ac:dyDescent="0.3">
      <c r="A267" t="s">
        <v>856</v>
      </c>
      <c r="B267" s="5">
        <v>25</v>
      </c>
      <c r="C267" s="5" t="str" cm="1">
        <f t="array" ref="C267">_xlfn.IFS(worksheet[[#This Row],[age]]&lt;25,"1. Young Adulthood (18-24)",worksheet[[#This Row],[age]]&lt; 35,"2. Early Adulthood (25-34)",worksheet[[#This Row],[age]]&lt; 45,"3. Mid Adulthood (35-44)",worksheet[[#This Row],[age]]&lt; 55,"4. Mature Adulthood (45-54)",TRUE,"5. Late Adulthood/Senior (55+)")</f>
        <v>2. Early Adulthood (25-34)</v>
      </c>
      <c r="D267" t="s">
        <v>41</v>
      </c>
      <c r="E267" t="s">
        <v>16</v>
      </c>
      <c r="F267" s="4">
        <v>6.05</v>
      </c>
      <c r="G267" s="5">
        <v>60</v>
      </c>
      <c r="H267" t="s">
        <v>70</v>
      </c>
      <c r="I267" t="s">
        <v>24</v>
      </c>
      <c r="J267" s="6">
        <v>8.99</v>
      </c>
      <c r="K267">
        <v>1</v>
      </c>
      <c r="L267" t="s">
        <v>37</v>
      </c>
      <c r="M267" s="5">
        <v>3</v>
      </c>
      <c r="N267" s="4">
        <v>0.1</v>
      </c>
      <c r="O267" t="s">
        <v>25</v>
      </c>
    </row>
    <row r="268" spans="1:15" x14ac:dyDescent="0.3">
      <c r="A268" t="s">
        <v>858</v>
      </c>
      <c r="B268" s="5">
        <v>23</v>
      </c>
      <c r="C268" s="5" t="str" cm="1">
        <f t="array" ref="C268">_xlfn.IFS(worksheet[[#This Row],[age]]&lt;25,"1. Young Adulthood (18-24)",worksheet[[#This Row],[age]]&lt; 35,"2. Early Adulthood (25-34)",worksheet[[#This Row],[age]]&lt; 45,"3. Mid Adulthood (35-44)",worksheet[[#This Row],[age]]&lt; 55,"4. Mature Adulthood (45-54)",TRUE,"5. Late Adulthood/Senior (55+)")</f>
        <v>1. Young Adulthood (18-24)</v>
      </c>
      <c r="D268" t="s">
        <v>15</v>
      </c>
      <c r="E268" t="s">
        <v>16</v>
      </c>
      <c r="F268" s="4">
        <v>4.01</v>
      </c>
      <c r="G268" s="5">
        <v>27</v>
      </c>
      <c r="H268" t="s">
        <v>28</v>
      </c>
      <c r="I268" t="s">
        <v>57</v>
      </c>
      <c r="J268" s="6">
        <v>8.99</v>
      </c>
      <c r="K268">
        <v>1</v>
      </c>
      <c r="L268" t="s">
        <v>29</v>
      </c>
      <c r="M268" s="5">
        <v>2</v>
      </c>
      <c r="N268" s="4">
        <v>0.14000000000000001</v>
      </c>
      <c r="O268" t="s">
        <v>39</v>
      </c>
    </row>
    <row r="269" spans="1:15" x14ac:dyDescent="0.3">
      <c r="A269" t="s">
        <v>859</v>
      </c>
      <c r="B269" s="5">
        <v>27</v>
      </c>
      <c r="C269" s="5" t="str" cm="1">
        <f t="array" ref="C269">_xlfn.IFS(worksheet[[#This Row],[age]]&lt;25,"1. Young Adulthood (18-24)",worksheet[[#This Row],[age]]&lt; 35,"2. Early Adulthood (25-34)",worksheet[[#This Row],[age]]&lt; 45,"3. Mid Adulthood (35-44)",worksheet[[#This Row],[age]]&lt; 55,"4. Mature Adulthood (45-54)",TRUE,"5. Late Adulthood/Senior (55+)")</f>
        <v>2. Early Adulthood (25-34)</v>
      </c>
      <c r="D269" t="s">
        <v>27</v>
      </c>
      <c r="E269" t="s">
        <v>32</v>
      </c>
      <c r="F269" s="4">
        <v>6.01</v>
      </c>
      <c r="G269" s="5">
        <v>5</v>
      </c>
      <c r="H269" t="s">
        <v>23</v>
      </c>
      <c r="I269" t="s">
        <v>24</v>
      </c>
      <c r="J269" s="6">
        <v>17.989999999999998</v>
      </c>
      <c r="K269">
        <v>0</v>
      </c>
      <c r="L269" t="s">
        <v>19</v>
      </c>
      <c r="M269" s="5">
        <v>1</v>
      </c>
      <c r="N269" s="4">
        <v>1</v>
      </c>
      <c r="O269" t="s">
        <v>34</v>
      </c>
    </row>
    <row r="270" spans="1:15" x14ac:dyDescent="0.3">
      <c r="A270" t="s">
        <v>861</v>
      </c>
      <c r="B270" s="5">
        <v>28</v>
      </c>
      <c r="C270" s="5" t="str" cm="1">
        <f t="array" ref="C270">_xlfn.IFS(worksheet[[#This Row],[age]]&lt;25,"1. Young Adulthood (18-24)",worksheet[[#This Row],[age]]&lt; 35,"2. Early Adulthood (25-34)",worksheet[[#This Row],[age]]&lt; 45,"3. Mid Adulthood (35-44)",worksheet[[#This Row],[age]]&lt; 55,"4. Mature Adulthood (45-54)",TRUE,"5. Late Adulthood/Senior (55+)")</f>
        <v>2. Early Adulthood (25-34)</v>
      </c>
      <c r="D270" t="s">
        <v>41</v>
      </c>
      <c r="E270" t="s">
        <v>32</v>
      </c>
      <c r="F270" s="4">
        <v>5.32</v>
      </c>
      <c r="G270" s="5">
        <v>25</v>
      </c>
      <c r="H270" t="s">
        <v>17</v>
      </c>
      <c r="I270" t="s">
        <v>46</v>
      </c>
      <c r="J270" s="6">
        <v>17.989999999999998</v>
      </c>
      <c r="K270">
        <v>0</v>
      </c>
      <c r="L270" t="s">
        <v>37</v>
      </c>
      <c r="M270" s="5">
        <v>4</v>
      </c>
      <c r="N270" s="4">
        <v>0.2</v>
      </c>
      <c r="O270" t="s">
        <v>34</v>
      </c>
    </row>
    <row r="271" spans="1:15" x14ac:dyDescent="0.3">
      <c r="A271" t="s">
        <v>863</v>
      </c>
      <c r="B271" s="5">
        <v>22</v>
      </c>
      <c r="C271" s="5" t="str" cm="1">
        <f t="array" ref="C271">_xlfn.IFS(worksheet[[#This Row],[age]]&lt;25,"1. Young Adulthood (18-24)",worksheet[[#This Row],[age]]&lt; 35,"2. Early Adulthood (25-34)",worksheet[[#This Row],[age]]&lt; 45,"3. Mid Adulthood (35-44)",worksheet[[#This Row],[age]]&lt; 55,"4. Mature Adulthood (45-54)",TRUE,"5. Late Adulthood/Senior (55+)")</f>
        <v>1. Young Adulthood (18-24)</v>
      </c>
      <c r="D271" t="s">
        <v>27</v>
      </c>
      <c r="E271" t="s">
        <v>16</v>
      </c>
      <c r="F271" s="4">
        <v>5.42</v>
      </c>
      <c r="G271" s="5">
        <v>0</v>
      </c>
      <c r="H271" t="s">
        <v>17</v>
      </c>
      <c r="I271" t="s">
        <v>55</v>
      </c>
      <c r="J271" s="6">
        <v>8.99</v>
      </c>
      <c r="K271">
        <v>0</v>
      </c>
      <c r="L271" t="s">
        <v>43</v>
      </c>
      <c r="M271" s="5">
        <v>1</v>
      </c>
      <c r="N271" s="4">
        <v>5.42</v>
      </c>
      <c r="O271" t="s">
        <v>20</v>
      </c>
    </row>
    <row r="272" spans="1:15" x14ac:dyDescent="0.3">
      <c r="A272" t="s">
        <v>869</v>
      </c>
      <c r="B272" s="5">
        <v>21</v>
      </c>
      <c r="C272" s="5" t="str" cm="1">
        <f t="array" ref="C272">_xlfn.IFS(worksheet[[#This Row],[age]]&lt;25,"1. Young Adulthood (18-24)",worksheet[[#This Row],[age]]&lt; 35,"2. Early Adulthood (25-34)",worksheet[[#This Row],[age]]&lt; 45,"3. Mid Adulthood (35-44)",worksheet[[#This Row],[age]]&lt; 55,"4. Mature Adulthood (45-54)",TRUE,"5. Late Adulthood/Senior (55+)")</f>
        <v>1. Young Adulthood (18-24)</v>
      </c>
      <c r="D272" t="s">
        <v>15</v>
      </c>
      <c r="E272" t="s">
        <v>22</v>
      </c>
      <c r="F272" s="4">
        <v>8.08</v>
      </c>
      <c r="G272" s="5">
        <v>16</v>
      </c>
      <c r="H272" t="s">
        <v>33</v>
      </c>
      <c r="I272" t="s">
        <v>46</v>
      </c>
      <c r="J272" s="6">
        <v>13.99</v>
      </c>
      <c r="K272">
        <v>0</v>
      </c>
      <c r="L272" t="s">
        <v>29</v>
      </c>
      <c r="M272" s="5">
        <v>4</v>
      </c>
      <c r="N272" s="4">
        <v>0.48</v>
      </c>
      <c r="O272" t="s">
        <v>20</v>
      </c>
    </row>
    <row r="273" spans="1:15" x14ac:dyDescent="0.3">
      <c r="A273" t="s">
        <v>874</v>
      </c>
      <c r="B273" s="5">
        <v>28</v>
      </c>
      <c r="C273" s="5" t="str" cm="1">
        <f t="array" ref="C273">_xlfn.IFS(worksheet[[#This Row],[age]]&lt;25,"1. Young Adulthood (18-24)",worksheet[[#This Row],[age]]&lt; 35,"2. Early Adulthood (25-34)",worksheet[[#This Row],[age]]&lt; 45,"3. Mid Adulthood (35-44)",worksheet[[#This Row],[age]]&lt; 55,"4. Mature Adulthood (45-54)",TRUE,"5. Late Adulthood/Senior (55+)")</f>
        <v>2. Early Adulthood (25-34)</v>
      </c>
      <c r="D273" t="s">
        <v>41</v>
      </c>
      <c r="E273" t="s">
        <v>22</v>
      </c>
      <c r="F273" s="4">
        <v>2.6</v>
      </c>
      <c r="G273" s="5">
        <v>45</v>
      </c>
      <c r="H273" t="s">
        <v>23</v>
      </c>
      <c r="I273" t="s">
        <v>46</v>
      </c>
      <c r="J273" s="6">
        <v>13.99</v>
      </c>
      <c r="K273">
        <v>1</v>
      </c>
      <c r="L273" t="s">
        <v>61</v>
      </c>
      <c r="M273" s="5">
        <v>2</v>
      </c>
      <c r="N273" s="4">
        <v>0.06</v>
      </c>
      <c r="O273" t="s">
        <v>25</v>
      </c>
    </row>
    <row r="274" spans="1:15" x14ac:dyDescent="0.3">
      <c r="A274" t="s">
        <v>875</v>
      </c>
      <c r="B274" s="5">
        <v>25</v>
      </c>
      <c r="C274" s="5" t="str" cm="1">
        <f t="array" ref="C274">_xlfn.IFS(worksheet[[#This Row],[age]]&lt;25,"1. Young Adulthood (18-24)",worksheet[[#This Row],[age]]&lt; 35,"2. Early Adulthood (25-34)",worksheet[[#This Row],[age]]&lt; 45,"3. Mid Adulthood (35-44)",worksheet[[#This Row],[age]]&lt; 55,"4. Mature Adulthood (45-54)",TRUE,"5. Late Adulthood/Senior (55+)")</f>
        <v>2. Early Adulthood (25-34)</v>
      </c>
      <c r="D274" t="s">
        <v>27</v>
      </c>
      <c r="E274" t="s">
        <v>22</v>
      </c>
      <c r="F274" s="4">
        <v>3.17</v>
      </c>
      <c r="G274" s="5">
        <v>32</v>
      </c>
      <c r="H274" t="s">
        <v>23</v>
      </c>
      <c r="I274" t="s">
        <v>55</v>
      </c>
      <c r="J274" s="6">
        <v>13.99</v>
      </c>
      <c r="K274">
        <v>1</v>
      </c>
      <c r="L274" t="s">
        <v>37</v>
      </c>
      <c r="M274" s="5">
        <v>5</v>
      </c>
      <c r="N274" s="4">
        <v>0.1</v>
      </c>
      <c r="O274" t="s">
        <v>52</v>
      </c>
    </row>
    <row r="275" spans="1:15" x14ac:dyDescent="0.3">
      <c r="A275" t="s">
        <v>876</v>
      </c>
      <c r="B275" s="5">
        <v>19</v>
      </c>
      <c r="C275" s="5" t="str" cm="1">
        <f t="array" ref="C275">_xlfn.IFS(worksheet[[#This Row],[age]]&lt;25,"1. Young Adulthood (18-24)",worksheet[[#This Row],[age]]&lt; 35,"2. Early Adulthood (25-34)",worksheet[[#This Row],[age]]&lt; 45,"3. Mid Adulthood (35-44)",worksheet[[#This Row],[age]]&lt; 55,"4. Mature Adulthood (45-54)",TRUE,"5. Late Adulthood/Senior (55+)")</f>
        <v>1. Young Adulthood (18-24)</v>
      </c>
      <c r="D275" t="s">
        <v>15</v>
      </c>
      <c r="E275" t="s">
        <v>22</v>
      </c>
      <c r="F275" s="4">
        <v>3.16</v>
      </c>
      <c r="G275" s="5">
        <v>43</v>
      </c>
      <c r="H275" t="s">
        <v>33</v>
      </c>
      <c r="I275" t="s">
        <v>24</v>
      </c>
      <c r="J275" s="6">
        <v>13.99</v>
      </c>
      <c r="K275">
        <v>1</v>
      </c>
      <c r="L275" t="s">
        <v>19</v>
      </c>
      <c r="M275" s="5">
        <v>1</v>
      </c>
      <c r="N275" s="4">
        <v>7.0000000000000007E-2</v>
      </c>
      <c r="O275" t="s">
        <v>34</v>
      </c>
    </row>
    <row r="276" spans="1:15" x14ac:dyDescent="0.3">
      <c r="A276" t="s">
        <v>877</v>
      </c>
      <c r="B276" s="5">
        <v>25</v>
      </c>
      <c r="C276" s="5" t="str" cm="1">
        <f t="array" ref="C276">_xlfn.IFS(worksheet[[#This Row],[age]]&lt;25,"1. Young Adulthood (18-24)",worksheet[[#This Row],[age]]&lt; 35,"2. Early Adulthood (25-34)",worksheet[[#This Row],[age]]&lt; 45,"3. Mid Adulthood (35-44)",worksheet[[#This Row],[age]]&lt; 55,"4. Mature Adulthood (45-54)",TRUE,"5. Late Adulthood/Senior (55+)")</f>
        <v>2. Early Adulthood (25-34)</v>
      </c>
      <c r="D276" t="s">
        <v>27</v>
      </c>
      <c r="E276" t="s">
        <v>32</v>
      </c>
      <c r="F276" s="4">
        <v>0.64</v>
      </c>
      <c r="G276" s="5">
        <v>32</v>
      </c>
      <c r="H276" t="s">
        <v>28</v>
      </c>
      <c r="I276" t="s">
        <v>46</v>
      </c>
      <c r="J276" s="6">
        <v>17.989999999999998</v>
      </c>
      <c r="K276">
        <v>1</v>
      </c>
      <c r="L276" t="s">
        <v>19</v>
      </c>
      <c r="M276" s="5">
        <v>4</v>
      </c>
      <c r="N276" s="4">
        <v>0.02</v>
      </c>
      <c r="O276" t="s">
        <v>39</v>
      </c>
    </row>
    <row r="277" spans="1:15" x14ac:dyDescent="0.3">
      <c r="A277" t="s">
        <v>879</v>
      </c>
      <c r="B277" s="5">
        <v>31</v>
      </c>
      <c r="C277" s="5" t="str" cm="1">
        <f t="array" ref="C277">_xlfn.IFS(worksheet[[#This Row],[age]]&lt;25,"1. Young Adulthood (18-24)",worksheet[[#This Row],[age]]&lt; 35,"2. Early Adulthood (25-34)",worksheet[[#This Row],[age]]&lt; 45,"3. Mid Adulthood (35-44)",worksheet[[#This Row],[age]]&lt; 55,"4. Mature Adulthood (45-54)",TRUE,"5. Late Adulthood/Senior (55+)")</f>
        <v>2. Early Adulthood (25-34)</v>
      </c>
      <c r="D277" t="s">
        <v>27</v>
      </c>
      <c r="E277" t="s">
        <v>32</v>
      </c>
      <c r="F277" s="4">
        <v>20.73</v>
      </c>
      <c r="G277" s="5">
        <v>60</v>
      </c>
      <c r="H277" t="s">
        <v>49</v>
      </c>
      <c r="I277" t="s">
        <v>57</v>
      </c>
      <c r="J277" s="6">
        <v>17.989999999999998</v>
      </c>
      <c r="K277">
        <v>0</v>
      </c>
      <c r="L277" t="s">
        <v>19</v>
      </c>
      <c r="M277" s="5">
        <v>4</v>
      </c>
      <c r="N277" s="4">
        <v>0.34</v>
      </c>
      <c r="O277" t="s">
        <v>25</v>
      </c>
    </row>
    <row r="278" spans="1:15" x14ac:dyDescent="0.3">
      <c r="A278" t="s">
        <v>882</v>
      </c>
      <c r="B278" s="5">
        <v>26</v>
      </c>
      <c r="C278" s="5" t="str" cm="1">
        <f t="array" ref="C278">_xlfn.IFS(worksheet[[#This Row],[age]]&lt;25,"1. Young Adulthood (18-24)",worksheet[[#This Row],[age]]&lt; 35,"2. Early Adulthood (25-34)",worksheet[[#This Row],[age]]&lt; 45,"3. Mid Adulthood (35-44)",worksheet[[#This Row],[age]]&lt; 55,"4. Mature Adulthood (45-54)",TRUE,"5. Late Adulthood/Senior (55+)")</f>
        <v>2. Early Adulthood (25-34)</v>
      </c>
      <c r="D278" t="s">
        <v>27</v>
      </c>
      <c r="E278" t="s">
        <v>32</v>
      </c>
      <c r="F278" s="4">
        <v>7.33</v>
      </c>
      <c r="G278" s="5">
        <v>30</v>
      </c>
      <c r="H278" t="s">
        <v>33</v>
      </c>
      <c r="I278" t="s">
        <v>46</v>
      </c>
      <c r="J278" s="6">
        <v>17.989999999999998</v>
      </c>
      <c r="K278">
        <v>0</v>
      </c>
      <c r="L278" t="s">
        <v>19</v>
      </c>
      <c r="M278" s="5">
        <v>1</v>
      </c>
      <c r="N278" s="4">
        <v>0.24</v>
      </c>
      <c r="O278" t="s">
        <v>25</v>
      </c>
    </row>
    <row r="279" spans="1:15" x14ac:dyDescent="0.3">
      <c r="A279" t="s">
        <v>883</v>
      </c>
      <c r="B279" s="5">
        <v>32</v>
      </c>
      <c r="C279" s="5" t="str" cm="1">
        <f t="array" ref="C279">_xlfn.IFS(worksheet[[#This Row],[age]]&lt;25,"1. Young Adulthood (18-24)",worksheet[[#This Row],[age]]&lt; 35,"2. Early Adulthood (25-34)",worksheet[[#This Row],[age]]&lt; 45,"3. Mid Adulthood (35-44)",worksheet[[#This Row],[age]]&lt; 55,"4. Mature Adulthood (45-54)",TRUE,"5. Late Adulthood/Senior (55+)")</f>
        <v>2. Early Adulthood (25-34)</v>
      </c>
      <c r="D279" t="s">
        <v>15</v>
      </c>
      <c r="E279" t="s">
        <v>16</v>
      </c>
      <c r="F279" s="4">
        <v>1.96</v>
      </c>
      <c r="G279" s="5">
        <v>49</v>
      </c>
      <c r="H279" t="s">
        <v>70</v>
      </c>
      <c r="I279" t="s">
        <v>46</v>
      </c>
      <c r="J279" s="6">
        <v>8.99</v>
      </c>
      <c r="K279">
        <v>1</v>
      </c>
      <c r="L279" t="s">
        <v>43</v>
      </c>
      <c r="M279" s="5">
        <v>4</v>
      </c>
      <c r="N279" s="4">
        <v>0.04</v>
      </c>
      <c r="O279" t="s">
        <v>52</v>
      </c>
    </row>
    <row r="280" spans="1:15" x14ac:dyDescent="0.3">
      <c r="A280" t="s">
        <v>884</v>
      </c>
      <c r="B280" s="5">
        <v>32</v>
      </c>
      <c r="C280" s="5" t="str" cm="1">
        <f t="array" ref="C280">_xlfn.IFS(worksheet[[#This Row],[age]]&lt;25,"1. Young Adulthood (18-24)",worksheet[[#This Row],[age]]&lt; 35,"2. Early Adulthood (25-34)",worksheet[[#This Row],[age]]&lt; 45,"3. Mid Adulthood (35-44)",worksheet[[#This Row],[age]]&lt; 55,"4. Mature Adulthood (45-54)",TRUE,"5. Late Adulthood/Senior (55+)")</f>
        <v>2. Early Adulthood (25-34)</v>
      </c>
      <c r="D280" t="s">
        <v>41</v>
      </c>
      <c r="E280" t="s">
        <v>16</v>
      </c>
      <c r="F280" s="4">
        <v>8.25</v>
      </c>
      <c r="G280" s="5">
        <v>59</v>
      </c>
      <c r="H280" t="s">
        <v>17</v>
      </c>
      <c r="I280" t="s">
        <v>18</v>
      </c>
      <c r="J280" s="6">
        <v>8.99</v>
      </c>
      <c r="K280">
        <v>1</v>
      </c>
      <c r="L280" t="s">
        <v>43</v>
      </c>
      <c r="M280" s="5">
        <v>4</v>
      </c>
      <c r="N280" s="4">
        <v>0.14000000000000001</v>
      </c>
      <c r="O280" t="s">
        <v>20</v>
      </c>
    </row>
    <row r="281" spans="1:15" x14ac:dyDescent="0.3">
      <c r="A281" t="s">
        <v>895</v>
      </c>
      <c r="B281" s="5">
        <v>32</v>
      </c>
      <c r="C281" s="5" t="str" cm="1">
        <f t="array" ref="C281">_xlfn.IFS(worksheet[[#This Row],[age]]&lt;25,"1. Young Adulthood (18-24)",worksheet[[#This Row],[age]]&lt; 35,"2. Early Adulthood (25-34)",worksheet[[#This Row],[age]]&lt; 45,"3. Mid Adulthood (35-44)",worksheet[[#This Row],[age]]&lt; 55,"4. Mature Adulthood (45-54)",TRUE,"5. Late Adulthood/Senior (55+)")</f>
        <v>2. Early Adulthood (25-34)</v>
      </c>
      <c r="D281" t="s">
        <v>15</v>
      </c>
      <c r="E281" t="s">
        <v>32</v>
      </c>
      <c r="F281" s="4">
        <v>14</v>
      </c>
      <c r="G281" s="5">
        <v>44</v>
      </c>
      <c r="H281" t="s">
        <v>23</v>
      </c>
      <c r="I281" t="s">
        <v>46</v>
      </c>
      <c r="J281" s="6">
        <v>17.989999999999998</v>
      </c>
      <c r="K281">
        <v>1</v>
      </c>
      <c r="L281" t="s">
        <v>37</v>
      </c>
      <c r="M281" s="5">
        <v>1</v>
      </c>
      <c r="N281" s="4">
        <v>0.31</v>
      </c>
      <c r="O281" t="s">
        <v>25</v>
      </c>
    </row>
    <row r="282" spans="1:15" x14ac:dyDescent="0.3">
      <c r="A282" t="s">
        <v>897</v>
      </c>
      <c r="B282" s="5">
        <v>24</v>
      </c>
      <c r="C282" s="5" t="str" cm="1">
        <f t="array" ref="C282">_xlfn.IFS(worksheet[[#This Row],[age]]&lt;25,"1. Young Adulthood (18-24)",worksheet[[#This Row],[age]]&lt; 35,"2. Early Adulthood (25-34)",worksheet[[#This Row],[age]]&lt; 45,"3. Mid Adulthood (35-44)",worksheet[[#This Row],[age]]&lt; 55,"4. Mature Adulthood (45-54)",TRUE,"5. Late Adulthood/Senior (55+)")</f>
        <v>1. Young Adulthood (18-24)</v>
      </c>
      <c r="D282" t="s">
        <v>15</v>
      </c>
      <c r="E282" t="s">
        <v>22</v>
      </c>
      <c r="F282" s="4">
        <v>18.29</v>
      </c>
      <c r="G282" s="5">
        <v>52</v>
      </c>
      <c r="H282" t="s">
        <v>70</v>
      </c>
      <c r="I282" t="s">
        <v>57</v>
      </c>
      <c r="J282" s="6">
        <v>13.99</v>
      </c>
      <c r="K282">
        <v>0</v>
      </c>
      <c r="L282" t="s">
        <v>43</v>
      </c>
      <c r="M282" s="5">
        <v>4</v>
      </c>
      <c r="N282" s="4">
        <v>0.35</v>
      </c>
      <c r="O282" t="s">
        <v>47</v>
      </c>
    </row>
    <row r="283" spans="1:15" x14ac:dyDescent="0.3">
      <c r="A283" t="s">
        <v>898</v>
      </c>
      <c r="B283" s="5">
        <v>21</v>
      </c>
      <c r="C283" s="5" t="str" cm="1">
        <f t="array" ref="C283">_xlfn.IFS(worksheet[[#This Row],[age]]&lt;25,"1. Young Adulthood (18-24)",worksheet[[#This Row],[age]]&lt; 35,"2. Early Adulthood (25-34)",worksheet[[#This Row],[age]]&lt; 45,"3. Mid Adulthood (35-44)",worksheet[[#This Row],[age]]&lt; 55,"4. Mature Adulthood (45-54)",TRUE,"5. Late Adulthood/Senior (55+)")</f>
        <v>1. Young Adulthood (18-24)</v>
      </c>
      <c r="D283" t="s">
        <v>27</v>
      </c>
      <c r="E283" t="s">
        <v>22</v>
      </c>
      <c r="F283" s="4">
        <v>0.74</v>
      </c>
      <c r="G283" s="5">
        <v>16</v>
      </c>
      <c r="H283" t="s">
        <v>28</v>
      </c>
      <c r="I283" t="s">
        <v>55</v>
      </c>
      <c r="J283" s="6">
        <v>13.99</v>
      </c>
      <c r="K283">
        <v>0</v>
      </c>
      <c r="L283" t="s">
        <v>61</v>
      </c>
      <c r="M283" s="5">
        <v>5</v>
      </c>
      <c r="N283" s="4">
        <v>0.04</v>
      </c>
      <c r="O283" t="s">
        <v>39</v>
      </c>
    </row>
    <row r="284" spans="1:15" x14ac:dyDescent="0.3">
      <c r="A284" t="s">
        <v>900</v>
      </c>
      <c r="B284" s="5">
        <v>26</v>
      </c>
      <c r="C284" s="5" t="str" cm="1">
        <f t="array" ref="C284">_xlfn.IFS(worksheet[[#This Row],[age]]&lt;25,"1. Young Adulthood (18-24)",worksheet[[#This Row],[age]]&lt; 35,"2. Early Adulthood (25-34)",worksheet[[#This Row],[age]]&lt; 45,"3. Mid Adulthood (35-44)",worksheet[[#This Row],[age]]&lt; 55,"4. Mature Adulthood (45-54)",TRUE,"5. Late Adulthood/Senior (55+)")</f>
        <v>2. Early Adulthood (25-34)</v>
      </c>
      <c r="D284" t="s">
        <v>15</v>
      </c>
      <c r="E284" t="s">
        <v>32</v>
      </c>
      <c r="F284" s="4">
        <v>3.77</v>
      </c>
      <c r="G284" s="5">
        <v>52</v>
      </c>
      <c r="H284" t="s">
        <v>17</v>
      </c>
      <c r="I284" t="s">
        <v>18</v>
      </c>
      <c r="J284" s="6">
        <v>17.989999999999998</v>
      </c>
      <c r="K284">
        <v>1</v>
      </c>
      <c r="L284" t="s">
        <v>29</v>
      </c>
      <c r="M284" s="5">
        <v>4</v>
      </c>
      <c r="N284" s="4">
        <v>7.0000000000000007E-2</v>
      </c>
      <c r="O284" t="s">
        <v>47</v>
      </c>
    </row>
    <row r="285" spans="1:15" x14ac:dyDescent="0.3">
      <c r="A285" t="s">
        <v>902</v>
      </c>
      <c r="B285" s="5">
        <v>18</v>
      </c>
      <c r="C285" s="5" t="str" cm="1">
        <f t="array" ref="C285">_xlfn.IFS(worksheet[[#This Row],[age]]&lt;25,"1. Young Adulthood (18-24)",worksheet[[#This Row],[age]]&lt; 35,"2. Early Adulthood (25-34)",worksheet[[#This Row],[age]]&lt; 45,"3. Mid Adulthood (35-44)",worksheet[[#This Row],[age]]&lt; 55,"4. Mature Adulthood (45-54)",TRUE,"5. Late Adulthood/Senior (55+)")</f>
        <v>1. Young Adulthood (18-24)</v>
      </c>
      <c r="D285" t="s">
        <v>15</v>
      </c>
      <c r="E285" t="s">
        <v>16</v>
      </c>
      <c r="F285" s="4">
        <v>0.67</v>
      </c>
      <c r="G285" s="5">
        <v>11</v>
      </c>
      <c r="H285" t="s">
        <v>28</v>
      </c>
      <c r="I285" t="s">
        <v>46</v>
      </c>
      <c r="J285" s="6">
        <v>8.99</v>
      </c>
      <c r="K285">
        <v>1</v>
      </c>
      <c r="L285" t="s">
        <v>19</v>
      </c>
      <c r="M285" s="5">
        <v>4</v>
      </c>
      <c r="N285" s="4">
        <v>0.06</v>
      </c>
      <c r="O285" t="s">
        <v>52</v>
      </c>
    </row>
    <row r="286" spans="1:15" x14ac:dyDescent="0.3">
      <c r="A286" t="s">
        <v>903</v>
      </c>
      <c r="B286" s="5">
        <v>29</v>
      </c>
      <c r="C286" s="5" t="str" cm="1">
        <f t="array" ref="C286">_xlfn.IFS(worksheet[[#This Row],[age]]&lt;25,"1. Young Adulthood (18-24)",worksheet[[#This Row],[age]]&lt; 35,"2. Early Adulthood (25-34)",worksheet[[#This Row],[age]]&lt; 45,"3. Mid Adulthood (35-44)",worksheet[[#This Row],[age]]&lt; 55,"4. Mature Adulthood (45-54)",TRUE,"5. Late Adulthood/Senior (55+)")</f>
        <v>2. Early Adulthood (25-34)</v>
      </c>
      <c r="D286" t="s">
        <v>41</v>
      </c>
      <c r="E286" t="s">
        <v>32</v>
      </c>
      <c r="F286" s="4">
        <v>9.2200000000000006</v>
      </c>
      <c r="G286" s="5">
        <v>6</v>
      </c>
      <c r="H286" t="s">
        <v>49</v>
      </c>
      <c r="I286" t="s">
        <v>46</v>
      </c>
      <c r="J286" s="6">
        <v>17.989999999999998</v>
      </c>
      <c r="K286">
        <v>0</v>
      </c>
      <c r="L286" t="s">
        <v>37</v>
      </c>
      <c r="M286" s="5">
        <v>4</v>
      </c>
      <c r="N286" s="4">
        <v>1.32</v>
      </c>
      <c r="O286" t="s">
        <v>30</v>
      </c>
    </row>
    <row r="287" spans="1:15" x14ac:dyDescent="0.3">
      <c r="A287" t="s">
        <v>907</v>
      </c>
      <c r="B287" s="5">
        <v>24</v>
      </c>
      <c r="C287" s="5" t="str" cm="1">
        <f t="array" ref="C287">_xlfn.IFS(worksheet[[#This Row],[age]]&lt;25,"1. Young Adulthood (18-24)",worksheet[[#This Row],[age]]&lt; 35,"2. Early Adulthood (25-34)",worksheet[[#This Row],[age]]&lt; 45,"3. Mid Adulthood (35-44)",worksheet[[#This Row],[age]]&lt; 55,"4. Mature Adulthood (45-54)",TRUE,"5. Late Adulthood/Senior (55+)")</f>
        <v>1. Young Adulthood (18-24)</v>
      </c>
      <c r="D287" t="s">
        <v>15</v>
      </c>
      <c r="E287" t="s">
        <v>32</v>
      </c>
      <c r="F287" s="4">
        <v>18.309999999999999</v>
      </c>
      <c r="G287" s="5">
        <v>45</v>
      </c>
      <c r="H287" t="s">
        <v>70</v>
      </c>
      <c r="I287" t="s">
        <v>46</v>
      </c>
      <c r="J287" s="6">
        <v>17.989999999999998</v>
      </c>
      <c r="K287">
        <v>1</v>
      </c>
      <c r="L287" t="s">
        <v>37</v>
      </c>
      <c r="M287" s="5">
        <v>1</v>
      </c>
      <c r="N287" s="4">
        <v>0.4</v>
      </c>
      <c r="O287" t="s">
        <v>25</v>
      </c>
    </row>
    <row r="288" spans="1:15" x14ac:dyDescent="0.3">
      <c r="A288" t="s">
        <v>910</v>
      </c>
      <c r="B288" s="5">
        <v>28</v>
      </c>
      <c r="C288" s="5" t="str" cm="1">
        <f t="array" ref="C288">_xlfn.IFS(worksheet[[#This Row],[age]]&lt;25,"1. Young Adulthood (18-24)",worksheet[[#This Row],[age]]&lt; 35,"2. Early Adulthood (25-34)",worksheet[[#This Row],[age]]&lt; 45,"3. Mid Adulthood (35-44)",worksheet[[#This Row],[age]]&lt; 55,"4. Mature Adulthood (45-54)",TRUE,"5. Late Adulthood/Senior (55+)")</f>
        <v>2. Early Adulthood (25-34)</v>
      </c>
      <c r="D288" t="s">
        <v>27</v>
      </c>
      <c r="E288" t="s">
        <v>16</v>
      </c>
      <c r="F288" s="4">
        <v>46.68</v>
      </c>
      <c r="G288" s="5">
        <v>10</v>
      </c>
      <c r="H288" t="s">
        <v>28</v>
      </c>
      <c r="I288" t="s">
        <v>55</v>
      </c>
      <c r="J288" s="6">
        <v>8.99</v>
      </c>
      <c r="K288">
        <v>0</v>
      </c>
      <c r="L288" t="s">
        <v>43</v>
      </c>
      <c r="M288" s="5">
        <v>1</v>
      </c>
      <c r="N288" s="4">
        <v>4.24</v>
      </c>
      <c r="O288" t="s">
        <v>25</v>
      </c>
    </row>
    <row r="289" spans="1:15" x14ac:dyDescent="0.3">
      <c r="A289" t="s">
        <v>912</v>
      </c>
      <c r="B289" s="5">
        <v>26</v>
      </c>
      <c r="C289" s="5" t="str" cm="1">
        <f t="array" ref="C289">_xlfn.IFS(worksheet[[#This Row],[age]]&lt;25,"1. Young Adulthood (18-24)",worksheet[[#This Row],[age]]&lt; 35,"2. Early Adulthood (25-34)",worksheet[[#This Row],[age]]&lt; 45,"3. Mid Adulthood (35-44)",worksheet[[#This Row],[age]]&lt; 55,"4. Mature Adulthood (45-54)",TRUE,"5. Late Adulthood/Senior (55+)")</f>
        <v>2. Early Adulthood (25-34)</v>
      </c>
      <c r="D289" t="s">
        <v>41</v>
      </c>
      <c r="E289" t="s">
        <v>16</v>
      </c>
      <c r="F289" s="4">
        <v>30.34</v>
      </c>
      <c r="G289" s="5">
        <v>42</v>
      </c>
      <c r="H289" t="s">
        <v>28</v>
      </c>
      <c r="I289" t="s">
        <v>46</v>
      </c>
      <c r="J289" s="6">
        <v>8.99</v>
      </c>
      <c r="K289">
        <v>0</v>
      </c>
      <c r="L289" t="s">
        <v>61</v>
      </c>
      <c r="M289" s="5">
        <v>5</v>
      </c>
      <c r="N289" s="4">
        <v>0.71</v>
      </c>
      <c r="O289" t="s">
        <v>34</v>
      </c>
    </row>
    <row r="290" spans="1:15" x14ac:dyDescent="0.3">
      <c r="A290" t="s">
        <v>913</v>
      </c>
      <c r="B290" s="5">
        <v>30</v>
      </c>
      <c r="C290" s="5" t="str" cm="1">
        <f t="array" ref="C290">_xlfn.IFS(worksheet[[#This Row],[age]]&lt;25,"1. Young Adulthood (18-24)",worksheet[[#This Row],[age]]&lt; 35,"2. Early Adulthood (25-34)",worksheet[[#This Row],[age]]&lt; 45,"3. Mid Adulthood (35-44)",worksheet[[#This Row],[age]]&lt; 55,"4. Mature Adulthood (45-54)",TRUE,"5. Late Adulthood/Senior (55+)")</f>
        <v>2. Early Adulthood (25-34)</v>
      </c>
      <c r="D290" t="s">
        <v>27</v>
      </c>
      <c r="E290" t="s">
        <v>22</v>
      </c>
      <c r="F290" s="4">
        <v>8.01</v>
      </c>
      <c r="G290" s="5">
        <v>40</v>
      </c>
      <c r="H290" t="s">
        <v>28</v>
      </c>
      <c r="I290" t="s">
        <v>46</v>
      </c>
      <c r="J290" s="6">
        <v>13.99</v>
      </c>
      <c r="K290">
        <v>1</v>
      </c>
      <c r="L290" t="s">
        <v>29</v>
      </c>
      <c r="M290" s="5">
        <v>2</v>
      </c>
      <c r="N290" s="4">
        <v>0.2</v>
      </c>
      <c r="O290" t="s">
        <v>39</v>
      </c>
    </row>
    <row r="291" spans="1:15" x14ac:dyDescent="0.3">
      <c r="A291" t="s">
        <v>914</v>
      </c>
      <c r="B291" s="5">
        <v>18</v>
      </c>
      <c r="C291" s="5" t="str" cm="1">
        <f t="array" ref="C291">_xlfn.IFS(worksheet[[#This Row],[age]]&lt;25,"1. Young Adulthood (18-24)",worksheet[[#This Row],[age]]&lt; 35,"2. Early Adulthood (25-34)",worksheet[[#This Row],[age]]&lt; 45,"3. Mid Adulthood (35-44)",worksheet[[#This Row],[age]]&lt; 55,"4. Mature Adulthood (45-54)",TRUE,"5. Late Adulthood/Senior (55+)")</f>
        <v>1. Young Adulthood (18-24)</v>
      </c>
      <c r="D291" t="s">
        <v>27</v>
      </c>
      <c r="E291" t="s">
        <v>16</v>
      </c>
      <c r="F291" s="4">
        <v>20.25</v>
      </c>
      <c r="G291" s="5">
        <v>9</v>
      </c>
      <c r="H291" t="s">
        <v>49</v>
      </c>
      <c r="I291" t="s">
        <v>57</v>
      </c>
      <c r="J291" s="6">
        <v>8.99</v>
      </c>
      <c r="K291">
        <v>0</v>
      </c>
      <c r="L291" t="s">
        <v>19</v>
      </c>
      <c r="M291" s="5">
        <v>3</v>
      </c>
      <c r="N291" s="4">
        <v>2.02</v>
      </c>
      <c r="O291" t="s">
        <v>39</v>
      </c>
    </row>
    <row r="292" spans="1:15" x14ac:dyDescent="0.3">
      <c r="A292" t="s">
        <v>915</v>
      </c>
      <c r="B292" s="5">
        <v>20</v>
      </c>
      <c r="C292" s="5" t="str" cm="1">
        <f t="array" ref="C292">_xlfn.IFS(worksheet[[#This Row],[age]]&lt;25,"1. Young Adulthood (18-24)",worksheet[[#This Row],[age]]&lt; 35,"2. Early Adulthood (25-34)",worksheet[[#This Row],[age]]&lt; 45,"3. Mid Adulthood (35-44)",worksheet[[#This Row],[age]]&lt; 55,"4. Mature Adulthood (45-54)",TRUE,"5. Late Adulthood/Senior (55+)")</f>
        <v>1. Young Adulthood (18-24)</v>
      </c>
      <c r="D292" t="s">
        <v>15</v>
      </c>
      <c r="E292" t="s">
        <v>22</v>
      </c>
      <c r="F292" s="4">
        <v>18.309999999999999</v>
      </c>
      <c r="G292" s="5">
        <v>41</v>
      </c>
      <c r="H292" t="s">
        <v>33</v>
      </c>
      <c r="I292" t="s">
        <v>46</v>
      </c>
      <c r="J292" s="6">
        <v>13.99</v>
      </c>
      <c r="K292">
        <v>1</v>
      </c>
      <c r="L292" t="s">
        <v>61</v>
      </c>
      <c r="M292" s="5">
        <v>1</v>
      </c>
      <c r="N292" s="4">
        <v>0.44</v>
      </c>
      <c r="O292" t="s">
        <v>39</v>
      </c>
    </row>
    <row r="293" spans="1:15" x14ac:dyDescent="0.3">
      <c r="A293" s="1" t="s">
        <v>922</v>
      </c>
      <c r="B293" s="5">
        <v>27</v>
      </c>
      <c r="C293" s="5" t="str" cm="1">
        <f t="array" ref="C293">_xlfn.IFS(worksheet[[#This Row],[age]]&lt;25,"1. Young Adulthood (18-24)",worksheet[[#This Row],[age]]&lt; 35,"2. Early Adulthood (25-34)",worksheet[[#This Row],[age]]&lt; 45,"3. Mid Adulthood (35-44)",worksheet[[#This Row],[age]]&lt; 55,"4. Mature Adulthood (45-54)",TRUE,"5. Late Adulthood/Senior (55+)")</f>
        <v>2. Early Adulthood (25-34)</v>
      </c>
      <c r="D293" t="s">
        <v>15</v>
      </c>
      <c r="E293" t="s">
        <v>22</v>
      </c>
      <c r="F293" s="4">
        <v>22.68</v>
      </c>
      <c r="G293" s="5">
        <v>45</v>
      </c>
      <c r="H293" t="s">
        <v>70</v>
      </c>
      <c r="I293" t="s">
        <v>46</v>
      </c>
      <c r="J293" s="6">
        <v>13.99</v>
      </c>
      <c r="K293">
        <v>0</v>
      </c>
      <c r="L293" t="s">
        <v>29</v>
      </c>
      <c r="M293" s="5">
        <v>3</v>
      </c>
      <c r="N293" s="4">
        <v>0.49</v>
      </c>
      <c r="O293" t="s">
        <v>25</v>
      </c>
    </row>
    <row r="294" spans="1:15" x14ac:dyDescent="0.3">
      <c r="A294" t="s">
        <v>925</v>
      </c>
      <c r="B294" s="5">
        <v>21</v>
      </c>
      <c r="C294" s="5" t="str" cm="1">
        <f t="array" ref="C294">_xlfn.IFS(worksheet[[#This Row],[age]]&lt;25,"1. Young Adulthood (18-24)",worksheet[[#This Row],[age]]&lt; 35,"2. Early Adulthood (25-34)",worksheet[[#This Row],[age]]&lt; 45,"3. Mid Adulthood (35-44)",worksheet[[#This Row],[age]]&lt; 55,"4. Mature Adulthood (45-54)",TRUE,"5. Late Adulthood/Senior (55+)")</f>
        <v>1. Young Adulthood (18-24)</v>
      </c>
      <c r="D294" t="s">
        <v>15</v>
      </c>
      <c r="E294" t="s">
        <v>22</v>
      </c>
      <c r="F294" s="4">
        <v>2.5099999999999998</v>
      </c>
      <c r="G294" s="5">
        <v>19</v>
      </c>
      <c r="H294" t="s">
        <v>49</v>
      </c>
      <c r="I294" t="s">
        <v>24</v>
      </c>
      <c r="J294" s="6">
        <v>13.99</v>
      </c>
      <c r="K294">
        <v>1</v>
      </c>
      <c r="L294" t="s">
        <v>29</v>
      </c>
      <c r="M294" s="5">
        <v>2</v>
      </c>
      <c r="N294" s="4">
        <v>0.13</v>
      </c>
      <c r="O294" t="s">
        <v>30</v>
      </c>
    </row>
    <row r="295" spans="1:15" x14ac:dyDescent="0.3">
      <c r="A295" t="s">
        <v>926</v>
      </c>
      <c r="B295" s="5">
        <v>23</v>
      </c>
      <c r="C295" s="5" t="str" cm="1">
        <f t="array" ref="C295">_xlfn.IFS(worksheet[[#This Row],[age]]&lt;25,"1. Young Adulthood (18-24)",worksheet[[#This Row],[age]]&lt; 35,"2. Early Adulthood (25-34)",worksheet[[#This Row],[age]]&lt; 45,"3. Mid Adulthood (35-44)",worksheet[[#This Row],[age]]&lt; 55,"4. Mature Adulthood (45-54)",TRUE,"5. Late Adulthood/Senior (55+)")</f>
        <v>1. Young Adulthood (18-24)</v>
      </c>
      <c r="D295" t="s">
        <v>15</v>
      </c>
      <c r="E295" t="s">
        <v>16</v>
      </c>
      <c r="F295" s="4">
        <v>5.62</v>
      </c>
      <c r="G295" s="5">
        <v>9</v>
      </c>
      <c r="H295" t="s">
        <v>17</v>
      </c>
      <c r="I295" t="s">
        <v>57</v>
      </c>
      <c r="J295" s="6">
        <v>8.99</v>
      </c>
      <c r="K295">
        <v>0</v>
      </c>
      <c r="L295" t="s">
        <v>19</v>
      </c>
      <c r="M295" s="5">
        <v>4</v>
      </c>
      <c r="N295" s="4">
        <v>0.56000000000000005</v>
      </c>
      <c r="O295" t="s">
        <v>52</v>
      </c>
    </row>
    <row r="296" spans="1:15" x14ac:dyDescent="0.3">
      <c r="A296" s="1" t="s">
        <v>930</v>
      </c>
      <c r="B296" s="5">
        <v>31</v>
      </c>
      <c r="C296" s="5" t="str" cm="1">
        <f t="array" ref="C296">_xlfn.IFS(worksheet[[#This Row],[age]]&lt;25,"1. Young Adulthood (18-24)",worksheet[[#This Row],[age]]&lt; 35,"2. Early Adulthood (25-34)",worksheet[[#This Row],[age]]&lt; 45,"3. Mid Adulthood (35-44)",worksheet[[#This Row],[age]]&lt; 55,"4. Mature Adulthood (45-54)",TRUE,"5. Late Adulthood/Senior (55+)")</f>
        <v>2. Early Adulthood (25-34)</v>
      </c>
      <c r="D296" t="s">
        <v>41</v>
      </c>
      <c r="E296" t="s">
        <v>16</v>
      </c>
      <c r="F296" s="4">
        <v>4.58</v>
      </c>
      <c r="G296" s="5">
        <v>26</v>
      </c>
      <c r="H296" t="s">
        <v>70</v>
      </c>
      <c r="I296" t="s">
        <v>55</v>
      </c>
      <c r="J296" s="6">
        <v>8.99</v>
      </c>
      <c r="K296">
        <v>1</v>
      </c>
      <c r="L296" t="s">
        <v>43</v>
      </c>
      <c r="M296" s="5">
        <v>2</v>
      </c>
      <c r="N296" s="4">
        <v>0.17</v>
      </c>
      <c r="O296" t="s">
        <v>20</v>
      </c>
    </row>
    <row r="297" spans="1:15" x14ac:dyDescent="0.3">
      <c r="A297" t="s">
        <v>931</v>
      </c>
      <c r="B297" s="5">
        <v>20</v>
      </c>
      <c r="C297" s="5" t="str" cm="1">
        <f t="array" ref="C297">_xlfn.IFS(worksheet[[#This Row],[age]]&lt;25,"1. Young Adulthood (18-24)",worksheet[[#This Row],[age]]&lt; 35,"2. Early Adulthood (25-34)",worksheet[[#This Row],[age]]&lt; 45,"3. Mid Adulthood (35-44)",worksheet[[#This Row],[age]]&lt; 55,"4. Mature Adulthood (45-54)",TRUE,"5. Late Adulthood/Senior (55+)")</f>
        <v>1. Young Adulthood (18-24)</v>
      </c>
      <c r="D297" t="s">
        <v>27</v>
      </c>
      <c r="E297" t="s">
        <v>32</v>
      </c>
      <c r="F297" s="4">
        <v>9.4600000000000009</v>
      </c>
      <c r="G297" s="5">
        <v>35</v>
      </c>
      <c r="H297" t="s">
        <v>70</v>
      </c>
      <c r="I297" t="s">
        <v>24</v>
      </c>
      <c r="J297" s="6">
        <v>17.989999999999998</v>
      </c>
      <c r="K297">
        <v>1</v>
      </c>
      <c r="L297" t="s">
        <v>29</v>
      </c>
      <c r="M297" s="5">
        <v>2</v>
      </c>
      <c r="N297" s="4">
        <v>0.26</v>
      </c>
      <c r="O297" t="s">
        <v>25</v>
      </c>
    </row>
    <row r="298" spans="1:15" x14ac:dyDescent="0.3">
      <c r="A298" t="s">
        <v>936</v>
      </c>
      <c r="B298" s="5">
        <v>21</v>
      </c>
      <c r="C298" s="5" t="str" cm="1">
        <f t="array" ref="C298">_xlfn.IFS(worksheet[[#This Row],[age]]&lt;25,"1. Young Adulthood (18-24)",worksheet[[#This Row],[age]]&lt; 35,"2. Early Adulthood (25-34)",worksheet[[#This Row],[age]]&lt; 45,"3. Mid Adulthood (35-44)",worksheet[[#This Row],[age]]&lt; 55,"4. Mature Adulthood (45-54)",TRUE,"5. Late Adulthood/Senior (55+)")</f>
        <v>1. Young Adulthood (18-24)</v>
      </c>
      <c r="D298" t="s">
        <v>41</v>
      </c>
      <c r="E298" t="s">
        <v>32</v>
      </c>
      <c r="F298" s="4">
        <v>1.3</v>
      </c>
      <c r="G298" s="5">
        <v>13</v>
      </c>
      <c r="H298" t="s">
        <v>33</v>
      </c>
      <c r="I298" t="s">
        <v>57</v>
      </c>
      <c r="J298" s="6">
        <v>17.989999999999998</v>
      </c>
      <c r="K298">
        <v>1</v>
      </c>
      <c r="L298" t="s">
        <v>43</v>
      </c>
      <c r="M298" s="5">
        <v>2</v>
      </c>
      <c r="N298" s="4">
        <v>0.09</v>
      </c>
      <c r="O298" t="s">
        <v>52</v>
      </c>
    </row>
    <row r="299" spans="1:15" x14ac:dyDescent="0.3">
      <c r="A299" t="s">
        <v>943</v>
      </c>
      <c r="B299" s="5">
        <v>27</v>
      </c>
      <c r="C299" s="5" t="str" cm="1">
        <f t="array" ref="C299">_xlfn.IFS(worksheet[[#This Row],[age]]&lt;25,"1. Young Adulthood (18-24)",worksheet[[#This Row],[age]]&lt; 35,"2. Early Adulthood (25-34)",worksheet[[#This Row],[age]]&lt; 45,"3. Mid Adulthood (35-44)",worksheet[[#This Row],[age]]&lt; 55,"4. Mature Adulthood (45-54)",TRUE,"5. Late Adulthood/Senior (55+)")</f>
        <v>2. Early Adulthood (25-34)</v>
      </c>
      <c r="D299" t="s">
        <v>27</v>
      </c>
      <c r="E299" t="s">
        <v>32</v>
      </c>
      <c r="F299" s="4">
        <v>23.17</v>
      </c>
      <c r="G299" s="5">
        <v>36</v>
      </c>
      <c r="H299" t="s">
        <v>70</v>
      </c>
      <c r="I299" t="s">
        <v>46</v>
      </c>
      <c r="J299" s="6">
        <v>17.989999999999998</v>
      </c>
      <c r="K299">
        <v>0</v>
      </c>
      <c r="L299" t="s">
        <v>37</v>
      </c>
      <c r="M299" s="5">
        <v>3</v>
      </c>
      <c r="N299" s="4">
        <v>0.63</v>
      </c>
      <c r="O299" t="s">
        <v>30</v>
      </c>
    </row>
    <row r="300" spans="1:15" x14ac:dyDescent="0.3">
      <c r="A300" t="s">
        <v>946</v>
      </c>
      <c r="B300" s="5">
        <v>29</v>
      </c>
      <c r="C300" s="5" t="str" cm="1">
        <f t="array" ref="C300">_xlfn.IFS(worksheet[[#This Row],[age]]&lt;25,"1. Young Adulthood (18-24)",worksheet[[#This Row],[age]]&lt; 35,"2. Early Adulthood (25-34)",worksheet[[#This Row],[age]]&lt; 45,"3. Mid Adulthood (35-44)",worksheet[[#This Row],[age]]&lt; 55,"4. Mature Adulthood (45-54)",TRUE,"5. Late Adulthood/Senior (55+)")</f>
        <v>2. Early Adulthood (25-34)</v>
      </c>
      <c r="D300" t="s">
        <v>27</v>
      </c>
      <c r="E300" t="s">
        <v>16</v>
      </c>
      <c r="F300" s="4">
        <v>1.46</v>
      </c>
      <c r="G300" s="5">
        <v>54</v>
      </c>
      <c r="H300" t="s">
        <v>23</v>
      </c>
      <c r="I300" t="s">
        <v>18</v>
      </c>
      <c r="J300" s="6">
        <v>8.99</v>
      </c>
      <c r="K300">
        <v>1</v>
      </c>
      <c r="L300" t="s">
        <v>29</v>
      </c>
      <c r="M300" s="5">
        <v>3</v>
      </c>
      <c r="N300" s="4">
        <v>0.03</v>
      </c>
      <c r="O300" t="s">
        <v>25</v>
      </c>
    </row>
    <row r="301" spans="1:15" x14ac:dyDescent="0.3">
      <c r="A301" t="s">
        <v>948</v>
      </c>
      <c r="B301" s="5">
        <v>29</v>
      </c>
      <c r="C301" s="5" t="str" cm="1">
        <f t="array" ref="C301">_xlfn.IFS(worksheet[[#This Row],[age]]&lt;25,"1. Young Adulthood (18-24)",worksheet[[#This Row],[age]]&lt; 35,"2. Early Adulthood (25-34)",worksheet[[#This Row],[age]]&lt; 45,"3. Mid Adulthood (35-44)",worksheet[[#This Row],[age]]&lt; 55,"4. Mature Adulthood (45-54)",TRUE,"5. Late Adulthood/Senior (55+)")</f>
        <v>2. Early Adulthood (25-34)</v>
      </c>
      <c r="D301" t="s">
        <v>41</v>
      </c>
      <c r="E301" t="s">
        <v>32</v>
      </c>
      <c r="F301" s="4">
        <v>7.18</v>
      </c>
      <c r="G301" s="5">
        <v>23</v>
      </c>
      <c r="H301" t="s">
        <v>23</v>
      </c>
      <c r="I301" t="s">
        <v>55</v>
      </c>
      <c r="J301" s="6">
        <v>17.989999999999998</v>
      </c>
      <c r="K301">
        <v>0</v>
      </c>
      <c r="L301" t="s">
        <v>37</v>
      </c>
      <c r="M301" s="5">
        <v>1</v>
      </c>
      <c r="N301" s="4">
        <v>0.3</v>
      </c>
      <c r="O301" t="s">
        <v>34</v>
      </c>
    </row>
    <row r="302" spans="1:15" x14ac:dyDescent="0.3">
      <c r="A302" t="s">
        <v>951</v>
      </c>
      <c r="B302" s="5">
        <v>23</v>
      </c>
      <c r="C302" s="5" t="str" cm="1">
        <f t="array" ref="C302">_xlfn.IFS(worksheet[[#This Row],[age]]&lt;25,"1. Young Adulthood (18-24)",worksheet[[#This Row],[age]]&lt; 35,"2. Early Adulthood (25-34)",worksheet[[#This Row],[age]]&lt; 45,"3. Mid Adulthood (35-44)",worksheet[[#This Row],[age]]&lt; 55,"4. Mature Adulthood (45-54)",TRUE,"5. Late Adulthood/Senior (55+)")</f>
        <v>1. Young Adulthood (18-24)</v>
      </c>
      <c r="D302" t="s">
        <v>15</v>
      </c>
      <c r="E302" t="s">
        <v>16</v>
      </c>
      <c r="F302" s="4">
        <v>11.37</v>
      </c>
      <c r="G302" s="5">
        <v>16</v>
      </c>
      <c r="H302" t="s">
        <v>17</v>
      </c>
      <c r="I302" t="s">
        <v>18</v>
      </c>
      <c r="J302" s="6">
        <v>8.99</v>
      </c>
      <c r="K302">
        <v>0</v>
      </c>
      <c r="L302" t="s">
        <v>61</v>
      </c>
      <c r="M302" s="5">
        <v>3</v>
      </c>
      <c r="N302" s="4">
        <v>0.67</v>
      </c>
      <c r="O302" t="s">
        <v>34</v>
      </c>
    </row>
    <row r="303" spans="1:15" x14ac:dyDescent="0.3">
      <c r="A303" t="s">
        <v>952</v>
      </c>
      <c r="B303" s="5">
        <v>25</v>
      </c>
      <c r="C303" s="5" t="str" cm="1">
        <f t="array" ref="C303">_xlfn.IFS(worksheet[[#This Row],[age]]&lt;25,"1. Young Adulthood (18-24)",worksheet[[#This Row],[age]]&lt; 35,"2. Early Adulthood (25-34)",worksheet[[#This Row],[age]]&lt; 45,"3. Mid Adulthood (35-44)",worksheet[[#This Row],[age]]&lt; 55,"4. Mature Adulthood (45-54)",TRUE,"5. Late Adulthood/Senior (55+)")</f>
        <v>2. Early Adulthood (25-34)</v>
      </c>
      <c r="D303" t="s">
        <v>41</v>
      </c>
      <c r="E303" t="s">
        <v>32</v>
      </c>
      <c r="F303" s="4">
        <v>2.42</v>
      </c>
      <c r="G303" s="5">
        <v>1</v>
      </c>
      <c r="H303" t="s">
        <v>70</v>
      </c>
      <c r="I303" t="s">
        <v>57</v>
      </c>
      <c r="J303" s="6">
        <v>17.989999999999998</v>
      </c>
      <c r="K303">
        <v>0</v>
      </c>
      <c r="L303" t="s">
        <v>61</v>
      </c>
      <c r="M303" s="5">
        <v>5</v>
      </c>
      <c r="N303" s="4">
        <v>1.21</v>
      </c>
      <c r="O303" t="s">
        <v>25</v>
      </c>
    </row>
    <row r="304" spans="1:15" x14ac:dyDescent="0.3">
      <c r="A304" t="s">
        <v>956</v>
      </c>
      <c r="B304" s="5">
        <v>27</v>
      </c>
      <c r="C304" s="5" t="str" cm="1">
        <f t="array" ref="C304">_xlfn.IFS(worksheet[[#This Row],[age]]&lt;25,"1. Young Adulthood (18-24)",worksheet[[#This Row],[age]]&lt; 35,"2. Early Adulthood (25-34)",worksheet[[#This Row],[age]]&lt; 45,"3. Mid Adulthood (35-44)",worksheet[[#This Row],[age]]&lt; 55,"4. Mature Adulthood (45-54)",TRUE,"5. Late Adulthood/Senior (55+)")</f>
        <v>2. Early Adulthood (25-34)</v>
      </c>
      <c r="D304" t="s">
        <v>15</v>
      </c>
      <c r="E304" t="s">
        <v>16</v>
      </c>
      <c r="F304" s="4">
        <v>6.89</v>
      </c>
      <c r="G304" s="5">
        <v>6</v>
      </c>
      <c r="H304" t="s">
        <v>23</v>
      </c>
      <c r="I304" t="s">
        <v>57</v>
      </c>
      <c r="J304" s="6">
        <v>8.99</v>
      </c>
      <c r="K304">
        <v>0</v>
      </c>
      <c r="L304" t="s">
        <v>61</v>
      </c>
      <c r="M304" s="5">
        <v>5</v>
      </c>
      <c r="N304" s="4">
        <v>0.98</v>
      </c>
      <c r="O304" t="s">
        <v>52</v>
      </c>
    </row>
    <row r="305" spans="1:15" x14ac:dyDescent="0.3">
      <c r="A305" t="s">
        <v>963</v>
      </c>
      <c r="B305" s="5">
        <v>27</v>
      </c>
      <c r="C305" s="5" t="str" cm="1">
        <f t="array" ref="C305">_xlfn.IFS(worksheet[[#This Row],[age]]&lt;25,"1. Young Adulthood (18-24)",worksheet[[#This Row],[age]]&lt; 35,"2. Early Adulthood (25-34)",worksheet[[#This Row],[age]]&lt; 45,"3. Mid Adulthood (35-44)",worksheet[[#This Row],[age]]&lt; 55,"4. Mature Adulthood (45-54)",TRUE,"5. Late Adulthood/Senior (55+)")</f>
        <v>2. Early Adulthood (25-34)</v>
      </c>
      <c r="D305" t="s">
        <v>27</v>
      </c>
      <c r="E305" t="s">
        <v>22</v>
      </c>
      <c r="F305" s="4">
        <v>1.77</v>
      </c>
      <c r="G305" s="5">
        <v>41</v>
      </c>
      <c r="H305" t="s">
        <v>49</v>
      </c>
      <c r="I305" t="s">
        <v>24</v>
      </c>
      <c r="J305" s="6">
        <v>13.99</v>
      </c>
      <c r="K305">
        <v>1</v>
      </c>
      <c r="L305" t="s">
        <v>43</v>
      </c>
      <c r="M305" s="5">
        <v>2</v>
      </c>
      <c r="N305" s="4">
        <v>0.04</v>
      </c>
      <c r="O305" t="s">
        <v>34</v>
      </c>
    </row>
    <row r="306" spans="1:15" x14ac:dyDescent="0.3">
      <c r="A306" t="s">
        <v>966</v>
      </c>
      <c r="B306" s="5">
        <v>18</v>
      </c>
      <c r="C306" s="5" t="str" cm="1">
        <f t="array" ref="C306">_xlfn.IFS(worksheet[[#This Row],[age]]&lt;25,"1. Young Adulthood (18-24)",worksheet[[#This Row],[age]]&lt; 35,"2. Early Adulthood (25-34)",worksheet[[#This Row],[age]]&lt; 45,"3. Mid Adulthood (35-44)",worksheet[[#This Row],[age]]&lt; 55,"4. Mature Adulthood (45-54)",TRUE,"5. Late Adulthood/Senior (55+)")</f>
        <v>1. Young Adulthood (18-24)</v>
      </c>
      <c r="D306" t="s">
        <v>27</v>
      </c>
      <c r="E306" t="s">
        <v>22</v>
      </c>
      <c r="F306" s="4">
        <v>1.71</v>
      </c>
      <c r="G306" s="5">
        <v>49</v>
      </c>
      <c r="H306" t="s">
        <v>49</v>
      </c>
      <c r="I306" t="s">
        <v>18</v>
      </c>
      <c r="J306" s="6">
        <v>13.99</v>
      </c>
      <c r="K306">
        <v>1</v>
      </c>
      <c r="L306" t="s">
        <v>43</v>
      </c>
      <c r="M306" s="5">
        <v>3</v>
      </c>
      <c r="N306" s="4">
        <v>0.03</v>
      </c>
      <c r="O306" t="s">
        <v>34</v>
      </c>
    </row>
    <row r="307" spans="1:15" x14ac:dyDescent="0.3">
      <c r="A307" t="s">
        <v>979</v>
      </c>
      <c r="B307" s="5">
        <v>19</v>
      </c>
      <c r="C307" s="5" t="str" cm="1">
        <f t="array" ref="C307">_xlfn.IFS(worksheet[[#This Row],[age]]&lt;25,"1. Young Adulthood (18-24)",worksheet[[#This Row],[age]]&lt; 35,"2. Early Adulthood (25-34)",worksheet[[#This Row],[age]]&lt; 45,"3. Mid Adulthood (35-44)",worksheet[[#This Row],[age]]&lt; 55,"4. Mature Adulthood (45-54)",TRUE,"5. Late Adulthood/Senior (55+)")</f>
        <v>1. Young Adulthood (18-24)</v>
      </c>
      <c r="D307" t="s">
        <v>27</v>
      </c>
      <c r="E307" t="s">
        <v>22</v>
      </c>
      <c r="F307" s="4">
        <v>0.17</v>
      </c>
      <c r="G307" s="5">
        <v>34</v>
      </c>
      <c r="H307" t="s">
        <v>23</v>
      </c>
      <c r="I307" t="s">
        <v>46</v>
      </c>
      <c r="J307" s="6">
        <v>13.99</v>
      </c>
      <c r="K307">
        <v>1</v>
      </c>
      <c r="L307" t="s">
        <v>19</v>
      </c>
      <c r="M307" s="5">
        <v>3</v>
      </c>
      <c r="N307" s="4">
        <v>0</v>
      </c>
      <c r="O307" t="s">
        <v>39</v>
      </c>
    </row>
    <row r="308" spans="1:15" x14ac:dyDescent="0.3">
      <c r="A308" t="s">
        <v>981</v>
      </c>
      <c r="B308" s="5">
        <v>19</v>
      </c>
      <c r="C308" s="5" t="str" cm="1">
        <f t="array" ref="C308">_xlfn.IFS(worksheet[[#This Row],[age]]&lt;25,"1. Young Adulthood (18-24)",worksheet[[#This Row],[age]]&lt; 35,"2. Early Adulthood (25-34)",worksheet[[#This Row],[age]]&lt; 45,"3. Mid Adulthood (35-44)",worksheet[[#This Row],[age]]&lt; 55,"4. Mature Adulthood (45-54)",TRUE,"5. Late Adulthood/Senior (55+)")</f>
        <v>1. Young Adulthood (18-24)</v>
      </c>
      <c r="D308" t="s">
        <v>15</v>
      </c>
      <c r="E308" t="s">
        <v>32</v>
      </c>
      <c r="F308" s="4">
        <v>0.24</v>
      </c>
      <c r="G308" s="5">
        <v>4</v>
      </c>
      <c r="H308" t="s">
        <v>33</v>
      </c>
      <c r="I308" t="s">
        <v>55</v>
      </c>
      <c r="J308" s="6">
        <v>17.989999999999998</v>
      </c>
      <c r="K308">
        <v>0</v>
      </c>
      <c r="L308" t="s">
        <v>19</v>
      </c>
      <c r="M308" s="5">
        <v>4</v>
      </c>
      <c r="N308" s="4">
        <v>0.05</v>
      </c>
      <c r="O308" t="s">
        <v>25</v>
      </c>
    </row>
    <row r="309" spans="1:15" x14ac:dyDescent="0.3">
      <c r="A309" t="s">
        <v>984</v>
      </c>
      <c r="B309" s="5">
        <v>25</v>
      </c>
      <c r="C309" s="5" t="str" cm="1">
        <f t="array" ref="C309">_xlfn.IFS(worksheet[[#This Row],[age]]&lt;25,"1. Young Adulthood (18-24)",worksheet[[#This Row],[age]]&lt; 35,"2. Early Adulthood (25-34)",worksheet[[#This Row],[age]]&lt; 45,"3. Mid Adulthood (35-44)",worksheet[[#This Row],[age]]&lt; 55,"4. Mature Adulthood (45-54)",TRUE,"5. Late Adulthood/Senior (55+)")</f>
        <v>2. Early Adulthood (25-34)</v>
      </c>
      <c r="D309" t="s">
        <v>15</v>
      </c>
      <c r="E309" t="s">
        <v>16</v>
      </c>
      <c r="F309" s="4">
        <v>35.36</v>
      </c>
      <c r="G309" s="5">
        <v>34</v>
      </c>
      <c r="H309" t="s">
        <v>33</v>
      </c>
      <c r="I309" t="s">
        <v>57</v>
      </c>
      <c r="J309" s="6">
        <v>8.99</v>
      </c>
      <c r="K309">
        <v>0</v>
      </c>
      <c r="L309" t="s">
        <v>29</v>
      </c>
      <c r="M309" s="5">
        <v>5</v>
      </c>
      <c r="N309" s="4">
        <v>1.01</v>
      </c>
      <c r="O309" t="s">
        <v>25</v>
      </c>
    </row>
    <row r="310" spans="1:15" x14ac:dyDescent="0.3">
      <c r="A310" t="s">
        <v>987</v>
      </c>
      <c r="B310" s="5">
        <v>27</v>
      </c>
      <c r="C310" s="5" t="str" cm="1">
        <f t="array" ref="C310">_xlfn.IFS(worksheet[[#This Row],[age]]&lt;25,"1. Young Adulthood (18-24)",worksheet[[#This Row],[age]]&lt; 35,"2. Early Adulthood (25-34)",worksheet[[#This Row],[age]]&lt; 45,"3. Mid Adulthood (35-44)",worksheet[[#This Row],[age]]&lt; 55,"4. Mature Adulthood (45-54)",TRUE,"5. Late Adulthood/Senior (55+)")</f>
        <v>2. Early Adulthood (25-34)</v>
      </c>
      <c r="D310" t="s">
        <v>15</v>
      </c>
      <c r="E310" t="s">
        <v>16</v>
      </c>
      <c r="F310" s="4">
        <v>65.86</v>
      </c>
      <c r="G310" s="5">
        <v>40</v>
      </c>
      <c r="H310" t="s">
        <v>23</v>
      </c>
      <c r="I310" t="s">
        <v>24</v>
      </c>
      <c r="J310" s="6">
        <v>8.99</v>
      </c>
      <c r="K310">
        <v>0</v>
      </c>
      <c r="L310" t="s">
        <v>37</v>
      </c>
      <c r="M310" s="5">
        <v>5</v>
      </c>
      <c r="N310" s="4">
        <v>1.61</v>
      </c>
      <c r="O310" t="s">
        <v>25</v>
      </c>
    </row>
    <row r="311" spans="1:15" x14ac:dyDescent="0.3">
      <c r="A311" t="s">
        <v>989</v>
      </c>
      <c r="B311" s="5">
        <v>26</v>
      </c>
      <c r="C311" s="5" t="str" cm="1">
        <f t="array" ref="C311">_xlfn.IFS(worksheet[[#This Row],[age]]&lt;25,"1. Young Adulthood (18-24)",worksheet[[#This Row],[age]]&lt; 35,"2. Early Adulthood (25-34)",worksheet[[#This Row],[age]]&lt; 45,"3. Mid Adulthood (35-44)",worksheet[[#This Row],[age]]&lt; 55,"4. Mature Adulthood (45-54)",TRUE,"5. Late Adulthood/Senior (55+)")</f>
        <v>2. Early Adulthood (25-34)</v>
      </c>
      <c r="D311" t="s">
        <v>15</v>
      </c>
      <c r="E311" t="s">
        <v>22</v>
      </c>
      <c r="F311" s="4">
        <v>24.14</v>
      </c>
      <c r="G311" s="5">
        <v>18</v>
      </c>
      <c r="H311" t="s">
        <v>33</v>
      </c>
      <c r="I311" t="s">
        <v>46</v>
      </c>
      <c r="J311" s="6">
        <v>13.99</v>
      </c>
      <c r="K311">
        <v>0</v>
      </c>
      <c r="L311" t="s">
        <v>37</v>
      </c>
      <c r="M311" s="5">
        <v>1</v>
      </c>
      <c r="N311" s="4">
        <v>1.27</v>
      </c>
      <c r="O311" t="s">
        <v>34</v>
      </c>
    </row>
    <row r="312" spans="1:15" x14ac:dyDescent="0.3">
      <c r="A312" t="s">
        <v>992</v>
      </c>
      <c r="B312" s="5">
        <v>27</v>
      </c>
      <c r="C312" s="5" t="str" cm="1">
        <f t="array" ref="C312">_xlfn.IFS(worksheet[[#This Row],[age]]&lt;25,"1. Young Adulthood (18-24)",worksheet[[#This Row],[age]]&lt; 35,"2. Early Adulthood (25-34)",worksheet[[#This Row],[age]]&lt; 45,"3. Mid Adulthood (35-44)",worksheet[[#This Row],[age]]&lt; 55,"4. Mature Adulthood (45-54)",TRUE,"5. Late Adulthood/Senior (55+)")</f>
        <v>2. Early Adulthood (25-34)</v>
      </c>
      <c r="D312" t="s">
        <v>41</v>
      </c>
      <c r="E312" t="s">
        <v>22</v>
      </c>
      <c r="F312" s="4">
        <v>0.43</v>
      </c>
      <c r="G312" s="5">
        <v>27</v>
      </c>
      <c r="H312" t="s">
        <v>23</v>
      </c>
      <c r="I312" t="s">
        <v>46</v>
      </c>
      <c r="J312" s="6">
        <v>13.99</v>
      </c>
      <c r="K312">
        <v>1</v>
      </c>
      <c r="L312" t="s">
        <v>43</v>
      </c>
      <c r="M312" s="5">
        <v>2</v>
      </c>
      <c r="N312" s="4">
        <v>0.02</v>
      </c>
      <c r="O312" t="s">
        <v>25</v>
      </c>
    </row>
    <row r="313" spans="1:15" x14ac:dyDescent="0.3">
      <c r="A313" t="s">
        <v>993</v>
      </c>
      <c r="B313" s="5">
        <v>20</v>
      </c>
      <c r="C313" s="5" t="str" cm="1">
        <f t="array" ref="C313">_xlfn.IFS(worksheet[[#This Row],[age]]&lt;25,"1. Young Adulthood (18-24)",worksheet[[#This Row],[age]]&lt; 35,"2. Early Adulthood (25-34)",worksheet[[#This Row],[age]]&lt; 45,"3. Mid Adulthood (35-44)",worksheet[[#This Row],[age]]&lt; 55,"4. Mature Adulthood (45-54)",TRUE,"5. Late Adulthood/Senior (55+)")</f>
        <v>1. Young Adulthood (18-24)</v>
      </c>
      <c r="D313" t="s">
        <v>41</v>
      </c>
      <c r="E313" t="s">
        <v>22</v>
      </c>
      <c r="F313" s="4">
        <v>41.67</v>
      </c>
      <c r="G313" s="5">
        <v>44</v>
      </c>
      <c r="H313" t="s">
        <v>33</v>
      </c>
      <c r="I313" t="s">
        <v>57</v>
      </c>
      <c r="J313" s="6">
        <v>13.99</v>
      </c>
      <c r="K313">
        <v>0</v>
      </c>
      <c r="L313" t="s">
        <v>37</v>
      </c>
      <c r="M313" s="5">
        <v>2</v>
      </c>
      <c r="N313" s="4">
        <v>0.93</v>
      </c>
      <c r="O313" t="s">
        <v>25</v>
      </c>
    </row>
    <row r="314" spans="1:15" x14ac:dyDescent="0.3">
      <c r="A314" t="s">
        <v>995</v>
      </c>
      <c r="B314" s="5">
        <v>32</v>
      </c>
      <c r="C314" s="5" t="str" cm="1">
        <f t="array" ref="C314">_xlfn.IFS(worksheet[[#This Row],[age]]&lt;25,"1. Young Adulthood (18-24)",worksheet[[#This Row],[age]]&lt; 35,"2. Early Adulthood (25-34)",worksheet[[#This Row],[age]]&lt; 45,"3. Mid Adulthood (35-44)",worksheet[[#This Row],[age]]&lt; 55,"4. Mature Adulthood (45-54)",TRUE,"5. Late Adulthood/Senior (55+)")</f>
        <v>2. Early Adulthood (25-34)</v>
      </c>
      <c r="D314" t="s">
        <v>15</v>
      </c>
      <c r="E314" t="s">
        <v>22</v>
      </c>
      <c r="F314" s="4">
        <v>21.32</v>
      </c>
      <c r="G314" s="5">
        <v>13</v>
      </c>
      <c r="H314" t="s">
        <v>28</v>
      </c>
      <c r="I314" t="s">
        <v>57</v>
      </c>
      <c r="J314" s="6">
        <v>13.99</v>
      </c>
      <c r="K314">
        <v>0</v>
      </c>
      <c r="L314" t="s">
        <v>29</v>
      </c>
      <c r="M314" s="5">
        <v>5</v>
      </c>
      <c r="N314" s="4">
        <v>1.52</v>
      </c>
      <c r="O314" t="s">
        <v>25</v>
      </c>
    </row>
    <row r="315" spans="1:15" x14ac:dyDescent="0.3">
      <c r="A315" t="s">
        <v>996</v>
      </c>
      <c r="B315" s="5">
        <v>23</v>
      </c>
      <c r="C315" s="5" t="str" cm="1">
        <f t="array" ref="C315">_xlfn.IFS(worksheet[[#This Row],[age]]&lt;25,"1. Young Adulthood (18-24)",worksheet[[#This Row],[age]]&lt; 35,"2. Early Adulthood (25-34)",worksheet[[#This Row],[age]]&lt; 45,"3. Mid Adulthood (35-44)",worksheet[[#This Row],[age]]&lt; 55,"4. Mature Adulthood (45-54)",TRUE,"5. Late Adulthood/Senior (55+)")</f>
        <v>1. Young Adulthood (18-24)</v>
      </c>
      <c r="D315" t="s">
        <v>27</v>
      </c>
      <c r="E315" t="s">
        <v>22</v>
      </c>
      <c r="F315" s="4">
        <v>31.27</v>
      </c>
      <c r="G315" s="5">
        <v>10</v>
      </c>
      <c r="H315" t="s">
        <v>33</v>
      </c>
      <c r="I315" t="s">
        <v>24</v>
      </c>
      <c r="J315" s="6">
        <v>13.99</v>
      </c>
      <c r="K315">
        <v>0</v>
      </c>
      <c r="L315" t="s">
        <v>37</v>
      </c>
      <c r="M315" s="5">
        <v>4</v>
      </c>
      <c r="N315" s="4">
        <v>2.84</v>
      </c>
      <c r="O315" t="s">
        <v>30</v>
      </c>
    </row>
    <row r="316" spans="1:15" x14ac:dyDescent="0.3">
      <c r="A316" t="s">
        <v>1000</v>
      </c>
      <c r="B316" s="5">
        <v>34</v>
      </c>
      <c r="C316" s="5" t="str" cm="1">
        <f t="array" ref="C316">_xlfn.IFS(worksheet[[#This Row],[age]]&lt;25,"1. Young Adulthood (18-24)",worksheet[[#This Row],[age]]&lt; 35,"2. Early Adulthood (25-34)",worksheet[[#This Row],[age]]&lt; 45,"3. Mid Adulthood (35-44)",worksheet[[#This Row],[age]]&lt; 55,"4. Mature Adulthood (45-54)",TRUE,"5. Late Adulthood/Senior (55+)")</f>
        <v>2. Early Adulthood (25-34)</v>
      </c>
      <c r="D316" t="s">
        <v>41</v>
      </c>
      <c r="E316" t="s">
        <v>22</v>
      </c>
      <c r="F316" s="4">
        <v>22.28</v>
      </c>
      <c r="G316" s="5">
        <v>51</v>
      </c>
      <c r="H316" t="s">
        <v>49</v>
      </c>
      <c r="I316" t="s">
        <v>24</v>
      </c>
      <c r="J316" s="6">
        <v>13.99</v>
      </c>
      <c r="K316">
        <v>0</v>
      </c>
      <c r="L316" t="s">
        <v>43</v>
      </c>
      <c r="M316" s="5">
        <v>1</v>
      </c>
      <c r="N316" s="4">
        <v>0.43</v>
      </c>
      <c r="O316" t="s">
        <v>30</v>
      </c>
    </row>
    <row r="317" spans="1:15" x14ac:dyDescent="0.3">
      <c r="A317" t="s">
        <v>1002</v>
      </c>
      <c r="B317" s="5">
        <v>32</v>
      </c>
      <c r="C317" s="5" t="str" cm="1">
        <f t="array" ref="C317">_xlfn.IFS(worksheet[[#This Row],[age]]&lt;25,"1. Young Adulthood (18-24)",worksheet[[#This Row],[age]]&lt; 35,"2. Early Adulthood (25-34)",worksheet[[#This Row],[age]]&lt; 45,"3. Mid Adulthood (35-44)",worksheet[[#This Row],[age]]&lt; 55,"4. Mature Adulthood (45-54)",TRUE,"5. Late Adulthood/Senior (55+)")</f>
        <v>2. Early Adulthood (25-34)</v>
      </c>
      <c r="D317" t="s">
        <v>27</v>
      </c>
      <c r="E317" t="s">
        <v>22</v>
      </c>
      <c r="F317" s="4">
        <v>2.34</v>
      </c>
      <c r="G317" s="5">
        <v>32</v>
      </c>
      <c r="H317" t="s">
        <v>33</v>
      </c>
      <c r="I317" t="s">
        <v>24</v>
      </c>
      <c r="J317" s="6">
        <v>13.99</v>
      </c>
      <c r="K317">
        <v>1</v>
      </c>
      <c r="L317" t="s">
        <v>29</v>
      </c>
      <c r="M317" s="5">
        <v>5</v>
      </c>
      <c r="N317" s="4">
        <v>7.0000000000000007E-2</v>
      </c>
      <c r="O317" t="s">
        <v>20</v>
      </c>
    </row>
    <row r="318" spans="1:15" x14ac:dyDescent="0.3">
      <c r="A318" t="s">
        <v>1004</v>
      </c>
      <c r="B318" s="5">
        <v>26</v>
      </c>
      <c r="C318" s="5" t="str" cm="1">
        <f t="array" ref="C318">_xlfn.IFS(worksheet[[#This Row],[age]]&lt;25,"1. Young Adulthood (18-24)",worksheet[[#This Row],[age]]&lt; 35,"2. Early Adulthood (25-34)",worksheet[[#This Row],[age]]&lt; 45,"3. Mid Adulthood (35-44)",worksheet[[#This Row],[age]]&lt; 55,"4. Mature Adulthood (45-54)",TRUE,"5. Late Adulthood/Senior (55+)")</f>
        <v>2. Early Adulthood (25-34)</v>
      </c>
      <c r="D318" t="s">
        <v>41</v>
      </c>
      <c r="E318" t="s">
        <v>22</v>
      </c>
      <c r="F318" s="4">
        <v>2.48</v>
      </c>
      <c r="G318" s="5">
        <v>56</v>
      </c>
      <c r="H318" t="s">
        <v>28</v>
      </c>
      <c r="I318" t="s">
        <v>46</v>
      </c>
      <c r="J318" s="6">
        <v>13.99</v>
      </c>
      <c r="K318">
        <v>1</v>
      </c>
      <c r="L318" t="s">
        <v>61</v>
      </c>
      <c r="M318" s="5">
        <v>4</v>
      </c>
      <c r="N318" s="4">
        <v>0.04</v>
      </c>
      <c r="O318" t="s">
        <v>52</v>
      </c>
    </row>
    <row r="319" spans="1:15" x14ac:dyDescent="0.3">
      <c r="A319" t="s">
        <v>1005</v>
      </c>
      <c r="B319" s="5">
        <v>29</v>
      </c>
      <c r="C319" s="5" t="str" cm="1">
        <f t="array" ref="C319">_xlfn.IFS(worksheet[[#This Row],[age]]&lt;25,"1. Young Adulthood (18-24)",worksheet[[#This Row],[age]]&lt; 35,"2. Early Adulthood (25-34)",worksheet[[#This Row],[age]]&lt; 45,"3. Mid Adulthood (35-44)",worksheet[[#This Row],[age]]&lt; 55,"4. Mature Adulthood (45-54)",TRUE,"5. Late Adulthood/Senior (55+)")</f>
        <v>2. Early Adulthood (25-34)</v>
      </c>
      <c r="D319" t="s">
        <v>15</v>
      </c>
      <c r="E319" t="s">
        <v>32</v>
      </c>
      <c r="F319" s="4">
        <v>16.41</v>
      </c>
      <c r="G319" s="5">
        <v>25</v>
      </c>
      <c r="H319" t="s">
        <v>49</v>
      </c>
      <c r="I319" t="s">
        <v>24</v>
      </c>
      <c r="J319" s="6">
        <v>17.989999999999998</v>
      </c>
      <c r="K319">
        <v>0</v>
      </c>
      <c r="L319" t="s">
        <v>43</v>
      </c>
      <c r="M319" s="5">
        <v>5</v>
      </c>
      <c r="N319" s="4">
        <v>0.63</v>
      </c>
      <c r="O319" t="s">
        <v>30</v>
      </c>
    </row>
    <row r="320" spans="1:15" x14ac:dyDescent="0.3">
      <c r="A320" t="s">
        <v>1010</v>
      </c>
      <c r="B320" s="5">
        <v>24</v>
      </c>
      <c r="C320" s="5" t="str" cm="1">
        <f t="array" ref="C320">_xlfn.IFS(worksheet[[#This Row],[age]]&lt;25,"1. Young Adulthood (18-24)",worksheet[[#This Row],[age]]&lt; 35,"2. Early Adulthood (25-34)",worksheet[[#This Row],[age]]&lt; 45,"3. Mid Adulthood (35-44)",worksheet[[#This Row],[age]]&lt; 55,"4. Mature Adulthood (45-54)",TRUE,"5. Late Adulthood/Senior (55+)")</f>
        <v>1. Young Adulthood (18-24)</v>
      </c>
      <c r="D320" t="s">
        <v>15</v>
      </c>
      <c r="E320" t="s">
        <v>32</v>
      </c>
      <c r="F320" s="4">
        <v>2.98</v>
      </c>
      <c r="G320" s="5">
        <v>11</v>
      </c>
      <c r="H320" t="s">
        <v>23</v>
      </c>
      <c r="I320" t="s">
        <v>18</v>
      </c>
      <c r="J320" s="6">
        <v>17.989999999999998</v>
      </c>
      <c r="K320">
        <v>1</v>
      </c>
      <c r="L320" t="s">
        <v>43</v>
      </c>
      <c r="M320" s="5">
        <v>2</v>
      </c>
      <c r="N320" s="4">
        <v>0.25</v>
      </c>
      <c r="O320" t="s">
        <v>30</v>
      </c>
    </row>
    <row r="321" spans="1:15" x14ac:dyDescent="0.3">
      <c r="A321" t="s">
        <v>1011</v>
      </c>
      <c r="B321" s="5">
        <v>30</v>
      </c>
      <c r="C321" s="5" t="str" cm="1">
        <f t="array" ref="C321">_xlfn.IFS(worksheet[[#This Row],[age]]&lt;25,"1. Young Adulthood (18-24)",worksheet[[#This Row],[age]]&lt; 35,"2. Early Adulthood (25-34)",worksheet[[#This Row],[age]]&lt; 45,"3. Mid Adulthood (35-44)",worksheet[[#This Row],[age]]&lt; 55,"4. Mature Adulthood (45-54)",TRUE,"5. Late Adulthood/Senior (55+)")</f>
        <v>2. Early Adulthood (25-34)</v>
      </c>
      <c r="D321" t="s">
        <v>41</v>
      </c>
      <c r="E321" t="s">
        <v>22</v>
      </c>
      <c r="F321" s="4">
        <v>29.21</v>
      </c>
      <c r="G321" s="5">
        <v>2</v>
      </c>
      <c r="H321" t="s">
        <v>28</v>
      </c>
      <c r="I321" t="s">
        <v>24</v>
      </c>
      <c r="J321" s="6">
        <v>13.99</v>
      </c>
      <c r="K321">
        <v>0</v>
      </c>
      <c r="L321" t="s">
        <v>43</v>
      </c>
      <c r="M321" s="5">
        <v>3</v>
      </c>
      <c r="N321" s="4">
        <v>9.74</v>
      </c>
      <c r="O321" t="s">
        <v>39</v>
      </c>
    </row>
    <row r="322" spans="1:15" x14ac:dyDescent="0.3">
      <c r="A322" t="s">
        <v>1014</v>
      </c>
      <c r="B322" s="5">
        <v>22</v>
      </c>
      <c r="C322" s="5" t="str" cm="1">
        <f t="array" ref="C322">_xlfn.IFS(worksheet[[#This Row],[age]]&lt;25,"1. Young Adulthood (18-24)",worksheet[[#This Row],[age]]&lt; 35,"2. Early Adulthood (25-34)",worksheet[[#This Row],[age]]&lt; 45,"3. Mid Adulthood (35-44)",worksheet[[#This Row],[age]]&lt; 55,"4. Mature Adulthood (45-54)",TRUE,"5. Late Adulthood/Senior (55+)")</f>
        <v>1. Young Adulthood (18-24)</v>
      </c>
      <c r="D322" t="s">
        <v>41</v>
      </c>
      <c r="E322" t="s">
        <v>22</v>
      </c>
      <c r="F322" s="4">
        <v>13.57</v>
      </c>
      <c r="G322" s="5">
        <v>3</v>
      </c>
      <c r="H322" t="s">
        <v>33</v>
      </c>
      <c r="I322" t="s">
        <v>57</v>
      </c>
      <c r="J322" s="6">
        <v>13.99</v>
      </c>
      <c r="K322">
        <v>0</v>
      </c>
      <c r="L322" t="s">
        <v>37</v>
      </c>
      <c r="M322" s="5">
        <v>4</v>
      </c>
      <c r="N322" s="4">
        <v>3.39</v>
      </c>
      <c r="O322" t="s">
        <v>52</v>
      </c>
    </row>
    <row r="323" spans="1:15" x14ac:dyDescent="0.3">
      <c r="A323" t="s">
        <v>1019</v>
      </c>
      <c r="B323" s="5">
        <v>34</v>
      </c>
      <c r="C323" s="5" t="str" cm="1">
        <f t="array" ref="C323">_xlfn.IFS(worksheet[[#This Row],[age]]&lt;25,"1. Young Adulthood (18-24)",worksheet[[#This Row],[age]]&lt; 35,"2. Early Adulthood (25-34)",worksheet[[#This Row],[age]]&lt; 45,"3. Mid Adulthood (35-44)",worksheet[[#This Row],[age]]&lt; 55,"4. Mature Adulthood (45-54)",TRUE,"5. Late Adulthood/Senior (55+)")</f>
        <v>2. Early Adulthood (25-34)</v>
      </c>
      <c r="D323" t="s">
        <v>27</v>
      </c>
      <c r="E323" t="s">
        <v>22</v>
      </c>
      <c r="F323" s="4">
        <v>11.95</v>
      </c>
      <c r="G323" s="5">
        <v>47</v>
      </c>
      <c r="H323" t="s">
        <v>49</v>
      </c>
      <c r="I323" t="s">
        <v>46</v>
      </c>
      <c r="J323" s="6">
        <v>13.99</v>
      </c>
      <c r="K323">
        <v>0</v>
      </c>
      <c r="L323" t="s">
        <v>37</v>
      </c>
      <c r="M323" s="5">
        <v>5</v>
      </c>
      <c r="N323" s="4">
        <v>0.25</v>
      </c>
      <c r="O323" t="s">
        <v>47</v>
      </c>
    </row>
    <row r="324" spans="1:15" x14ac:dyDescent="0.3">
      <c r="A324" t="s">
        <v>1020</v>
      </c>
      <c r="B324" s="5">
        <v>27</v>
      </c>
      <c r="C324" s="5" t="str" cm="1">
        <f t="array" ref="C324">_xlfn.IFS(worksheet[[#This Row],[age]]&lt;25,"1. Young Adulthood (18-24)",worksheet[[#This Row],[age]]&lt; 35,"2. Early Adulthood (25-34)",worksheet[[#This Row],[age]]&lt; 45,"3. Mid Adulthood (35-44)",worksheet[[#This Row],[age]]&lt; 55,"4. Mature Adulthood (45-54)",TRUE,"5. Late Adulthood/Senior (55+)")</f>
        <v>2. Early Adulthood (25-34)</v>
      </c>
      <c r="D324" t="s">
        <v>41</v>
      </c>
      <c r="E324" t="s">
        <v>22</v>
      </c>
      <c r="F324" s="4">
        <v>7.3</v>
      </c>
      <c r="G324" s="5">
        <v>54</v>
      </c>
      <c r="H324" t="s">
        <v>49</v>
      </c>
      <c r="I324" t="s">
        <v>18</v>
      </c>
      <c r="J324" s="6">
        <v>13.99</v>
      </c>
      <c r="K324">
        <v>1</v>
      </c>
      <c r="L324" t="s">
        <v>61</v>
      </c>
      <c r="M324" s="5">
        <v>3</v>
      </c>
      <c r="N324" s="4">
        <v>0.13</v>
      </c>
      <c r="O324" t="s">
        <v>20</v>
      </c>
    </row>
    <row r="325" spans="1:15" x14ac:dyDescent="0.3">
      <c r="A325" t="s">
        <v>1022</v>
      </c>
      <c r="B325" s="5">
        <v>34</v>
      </c>
      <c r="C325" s="5" t="str" cm="1">
        <f t="array" ref="C325">_xlfn.IFS(worksheet[[#This Row],[age]]&lt;25,"1. Young Adulthood (18-24)",worksheet[[#This Row],[age]]&lt; 35,"2. Early Adulthood (25-34)",worksheet[[#This Row],[age]]&lt; 45,"3. Mid Adulthood (35-44)",worksheet[[#This Row],[age]]&lt; 55,"4. Mature Adulthood (45-54)",TRUE,"5. Late Adulthood/Senior (55+)")</f>
        <v>2. Early Adulthood (25-34)</v>
      </c>
      <c r="D325" t="s">
        <v>15</v>
      </c>
      <c r="E325" t="s">
        <v>32</v>
      </c>
      <c r="F325" s="4">
        <v>1.59</v>
      </c>
      <c r="G325" s="5">
        <v>8</v>
      </c>
      <c r="H325" t="s">
        <v>49</v>
      </c>
      <c r="I325" t="s">
        <v>46</v>
      </c>
      <c r="J325" s="6">
        <v>17.989999999999998</v>
      </c>
      <c r="K325">
        <v>1</v>
      </c>
      <c r="L325" t="s">
        <v>29</v>
      </c>
      <c r="M325" s="5">
        <v>5</v>
      </c>
      <c r="N325" s="4">
        <v>0.18</v>
      </c>
      <c r="O325" t="s">
        <v>20</v>
      </c>
    </row>
    <row r="326" spans="1:15" x14ac:dyDescent="0.3">
      <c r="A326" t="s">
        <v>1027</v>
      </c>
      <c r="B326" s="5">
        <v>32</v>
      </c>
      <c r="C326" s="5" t="str" cm="1">
        <f t="array" ref="C326">_xlfn.IFS(worksheet[[#This Row],[age]]&lt;25,"1. Young Adulthood (18-24)",worksheet[[#This Row],[age]]&lt; 35,"2. Early Adulthood (25-34)",worksheet[[#This Row],[age]]&lt; 45,"3. Mid Adulthood (35-44)",worksheet[[#This Row],[age]]&lt; 55,"4. Mature Adulthood (45-54)",TRUE,"5. Late Adulthood/Senior (55+)")</f>
        <v>2. Early Adulthood (25-34)</v>
      </c>
      <c r="D326" t="s">
        <v>27</v>
      </c>
      <c r="E326" t="s">
        <v>16</v>
      </c>
      <c r="F326" s="4">
        <v>8.1199999999999992</v>
      </c>
      <c r="G326" s="5">
        <v>36</v>
      </c>
      <c r="H326" t="s">
        <v>33</v>
      </c>
      <c r="I326" t="s">
        <v>46</v>
      </c>
      <c r="J326" s="6">
        <v>8.99</v>
      </c>
      <c r="K326">
        <v>1</v>
      </c>
      <c r="L326" t="s">
        <v>37</v>
      </c>
      <c r="M326" s="5">
        <v>5</v>
      </c>
      <c r="N326" s="4">
        <v>0.22</v>
      </c>
      <c r="O326" t="s">
        <v>30</v>
      </c>
    </row>
    <row r="327" spans="1:15" x14ac:dyDescent="0.3">
      <c r="A327" t="s">
        <v>1028</v>
      </c>
      <c r="B327" s="5">
        <v>28</v>
      </c>
      <c r="C327" s="5" t="str" cm="1">
        <f t="array" ref="C327">_xlfn.IFS(worksheet[[#This Row],[age]]&lt;25,"1. Young Adulthood (18-24)",worksheet[[#This Row],[age]]&lt; 35,"2. Early Adulthood (25-34)",worksheet[[#This Row],[age]]&lt; 45,"3. Mid Adulthood (35-44)",worksheet[[#This Row],[age]]&lt; 55,"4. Mature Adulthood (45-54)",TRUE,"5. Late Adulthood/Senior (55+)")</f>
        <v>2. Early Adulthood (25-34)</v>
      </c>
      <c r="D327" t="s">
        <v>27</v>
      </c>
      <c r="E327" t="s">
        <v>32</v>
      </c>
      <c r="F327" s="4">
        <v>4.0999999999999996</v>
      </c>
      <c r="G327" s="5">
        <v>55</v>
      </c>
      <c r="H327" t="s">
        <v>33</v>
      </c>
      <c r="I327" t="s">
        <v>55</v>
      </c>
      <c r="J327" s="6">
        <v>17.989999999999998</v>
      </c>
      <c r="K327">
        <v>1</v>
      </c>
      <c r="L327" t="s">
        <v>43</v>
      </c>
      <c r="M327" s="5">
        <v>2</v>
      </c>
      <c r="N327" s="4">
        <v>7.0000000000000007E-2</v>
      </c>
      <c r="O327" t="s">
        <v>25</v>
      </c>
    </row>
    <row r="328" spans="1:15" x14ac:dyDescent="0.3">
      <c r="A328" t="s">
        <v>1035</v>
      </c>
      <c r="B328" s="5">
        <v>26</v>
      </c>
      <c r="C328" s="5" t="str" cm="1">
        <f t="array" ref="C328">_xlfn.IFS(worksheet[[#This Row],[age]]&lt;25,"1. Young Adulthood (18-24)",worksheet[[#This Row],[age]]&lt; 35,"2. Early Adulthood (25-34)",worksheet[[#This Row],[age]]&lt; 45,"3. Mid Adulthood (35-44)",worksheet[[#This Row],[age]]&lt; 55,"4. Mature Adulthood (45-54)",TRUE,"5. Late Adulthood/Senior (55+)")</f>
        <v>2. Early Adulthood (25-34)</v>
      </c>
      <c r="D328" t="s">
        <v>27</v>
      </c>
      <c r="E328" t="s">
        <v>22</v>
      </c>
      <c r="F328" s="4">
        <v>20.2</v>
      </c>
      <c r="G328" s="5">
        <v>46</v>
      </c>
      <c r="H328" t="s">
        <v>70</v>
      </c>
      <c r="I328" t="s">
        <v>55</v>
      </c>
      <c r="J328" s="6">
        <v>13.99</v>
      </c>
      <c r="K328">
        <v>0</v>
      </c>
      <c r="L328" t="s">
        <v>29</v>
      </c>
      <c r="M328" s="5">
        <v>5</v>
      </c>
      <c r="N328" s="4">
        <v>0.43</v>
      </c>
      <c r="O328" t="s">
        <v>25</v>
      </c>
    </row>
    <row r="329" spans="1:15" x14ac:dyDescent="0.3">
      <c r="A329" t="s">
        <v>1042</v>
      </c>
      <c r="B329" s="5">
        <v>27</v>
      </c>
      <c r="C329" s="5" t="str" cm="1">
        <f t="array" ref="C329">_xlfn.IFS(worksheet[[#This Row],[age]]&lt;25,"1. Young Adulthood (18-24)",worksheet[[#This Row],[age]]&lt; 35,"2. Early Adulthood (25-34)",worksheet[[#This Row],[age]]&lt; 45,"3. Mid Adulthood (35-44)",worksheet[[#This Row],[age]]&lt; 55,"4. Mature Adulthood (45-54)",TRUE,"5. Late Adulthood/Senior (55+)")</f>
        <v>2. Early Adulthood (25-34)</v>
      </c>
      <c r="D329" t="s">
        <v>41</v>
      </c>
      <c r="E329" t="s">
        <v>16</v>
      </c>
      <c r="F329" s="4">
        <v>4.6100000000000003</v>
      </c>
      <c r="G329" s="5">
        <v>42</v>
      </c>
      <c r="H329" t="s">
        <v>28</v>
      </c>
      <c r="I329" t="s">
        <v>24</v>
      </c>
      <c r="J329" s="6">
        <v>8.99</v>
      </c>
      <c r="K329">
        <v>1</v>
      </c>
      <c r="L329" t="s">
        <v>29</v>
      </c>
      <c r="M329" s="5">
        <v>2</v>
      </c>
      <c r="N329" s="4">
        <v>0.11</v>
      </c>
      <c r="O329" t="s">
        <v>47</v>
      </c>
    </row>
    <row r="330" spans="1:15" x14ac:dyDescent="0.3">
      <c r="A330" t="s">
        <v>1044</v>
      </c>
      <c r="B330" s="5">
        <v>22</v>
      </c>
      <c r="C330" s="5" t="str" cm="1">
        <f t="array" ref="C330">_xlfn.IFS(worksheet[[#This Row],[age]]&lt;25,"1. Young Adulthood (18-24)",worksheet[[#This Row],[age]]&lt; 35,"2. Early Adulthood (25-34)",worksheet[[#This Row],[age]]&lt; 45,"3. Mid Adulthood (35-44)",worksheet[[#This Row],[age]]&lt; 55,"4. Mature Adulthood (45-54)",TRUE,"5. Late Adulthood/Senior (55+)")</f>
        <v>1. Young Adulthood (18-24)</v>
      </c>
      <c r="D330" t="s">
        <v>41</v>
      </c>
      <c r="E330" t="s">
        <v>32</v>
      </c>
      <c r="F330" s="4">
        <v>7.49</v>
      </c>
      <c r="G330" s="5">
        <v>29</v>
      </c>
      <c r="H330" t="s">
        <v>23</v>
      </c>
      <c r="I330" t="s">
        <v>24</v>
      </c>
      <c r="J330" s="6">
        <v>17.989999999999998</v>
      </c>
      <c r="K330">
        <v>0</v>
      </c>
      <c r="L330" t="s">
        <v>19</v>
      </c>
      <c r="M330" s="5">
        <v>2</v>
      </c>
      <c r="N330" s="4">
        <v>0.25</v>
      </c>
      <c r="O330" t="s">
        <v>39</v>
      </c>
    </row>
    <row r="331" spans="1:15" x14ac:dyDescent="0.3">
      <c r="A331" t="s">
        <v>1047</v>
      </c>
      <c r="B331" s="5">
        <v>32</v>
      </c>
      <c r="C331" s="5" t="str" cm="1">
        <f t="array" ref="C331">_xlfn.IFS(worksheet[[#This Row],[age]]&lt;25,"1. Young Adulthood (18-24)",worksheet[[#This Row],[age]]&lt; 35,"2. Early Adulthood (25-34)",worksheet[[#This Row],[age]]&lt; 45,"3. Mid Adulthood (35-44)",worksheet[[#This Row],[age]]&lt; 55,"4. Mature Adulthood (45-54)",TRUE,"5. Late Adulthood/Senior (55+)")</f>
        <v>2. Early Adulthood (25-34)</v>
      </c>
      <c r="D331" t="s">
        <v>27</v>
      </c>
      <c r="E331" t="s">
        <v>32</v>
      </c>
      <c r="F331" s="4">
        <v>18.28</v>
      </c>
      <c r="G331" s="5">
        <v>10</v>
      </c>
      <c r="H331" t="s">
        <v>49</v>
      </c>
      <c r="I331" t="s">
        <v>55</v>
      </c>
      <c r="J331" s="6">
        <v>17.989999999999998</v>
      </c>
      <c r="K331">
        <v>0</v>
      </c>
      <c r="L331" t="s">
        <v>61</v>
      </c>
      <c r="M331" s="5">
        <v>4</v>
      </c>
      <c r="N331" s="4">
        <v>1.66</v>
      </c>
      <c r="O331" t="s">
        <v>20</v>
      </c>
    </row>
    <row r="332" spans="1:15" x14ac:dyDescent="0.3">
      <c r="A332" t="s">
        <v>1050</v>
      </c>
      <c r="B332" s="5">
        <v>29</v>
      </c>
      <c r="C332" s="5" t="str" cm="1">
        <f t="array" ref="C332">_xlfn.IFS(worksheet[[#This Row],[age]]&lt;25,"1. Young Adulthood (18-24)",worksheet[[#This Row],[age]]&lt; 35,"2. Early Adulthood (25-34)",worksheet[[#This Row],[age]]&lt; 45,"3. Mid Adulthood (35-44)",worksheet[[#This Row],[age]]&lt; 55,"4. Mature Adulthood (45-54)",TRUE,"5. Late Adulthood/Senior (55+)")</f>
        <v>2. Early Adulthood (25-34)</v>
      </c>
      <c r="D332" t="s">
        <v>41</v>
      </c>
      <c r="E332" t="s">
        <v>22</v>
      </c>
      <c r="F332" s="4">
        <v>0.48</v>
      </c>
      <c r="G332" s="5">
        <v>29</v>
      </c>
      <c r="H332" t="s">
        <v>28</v>
      </c>
      <c r="I332" t="s">
        <v>18</v>
      </c>
      <c r="J332" s="6">
        <v>13.99</v>
      </c>
      <c r="K332">
        <v>1</v>
      </c>
      <c r="L332" t="s">
        <v>37</v>
      </c>
      <c r="M332" s="5">
        <v>3</v>
      </c>
      <c r="N332" s="4">
        <v>0.02</v>
      </c>
      <c r="O332" t="s">
        <v>20</v>
      </c>
    </row>
    <row r="333" spans="1:15" x14ac:dyDescent="0.3">
      <c r="A333" t="s">
        <v>1053</v>
      </c>
      <c r="B333" s="5">
        <v>23</v>
      </c>
      <c r="C333" s="5" t="str" cm="1">
        <f t="array" ref="C333">_xlfn.IFS(worksheet[[#This Row],[age]]&lt;25,"1. Young Adulthood (18-24)",worksheet[[#This Row],[age]]&lt; 35,"2. Early Adulthood (25-34)",worksheet[[#This Row],[age]]&lt; 45,"3. Mid Adulthood (35-44)",worksheet[[#This Row],[age]]&lt; 55,"4. Mature Adulthood (45-54)",TRUE,"5. Late Adulthood/Senior (55+)")</f>
        <v>1. Young Adulthood (18-24)</v>
      </c>
      <c r="D333" t="s">
        <v>15</v>
      </c>
      <c r="E333" t="s">
        <v>22</v>
      </c>
      <c r="F333" s="4">
        <v>7.45</v>
      </c>
      <c r="G333" s="5">
        <v>41</v>
      </c>
      <c r="H333" t="s">
        <v>28</v>
      </c>
      <c r="I333" t="s">
        <v>55</v>
      </c>
      <c r="J333" s="6">
        <v>13.99</v>
      </c>
      <c r="K333">
        <v>1</v>
      </c>
      <c r="L333" t="s">
        <v>29</v>
      </c>
      <c r="M333" s="5">
        <v>3</v>
      </c>
      <c r="N333" s="4">
        <v>0.18</v>
      </c>
      <c r="O333" t="s">
        <v>20</v>
      </c>
    </row>
    <row r="334" spans="1:15" x14ac:dyDescent="0.3">
      <c r="A334" t="s">
        <v>1054</v>
      </c>
      <c r="B334" s="5">
        <v>28</v>
      </c>
      <c r="C334" s="5" t="str" cm="1">
        <f t="array" ref="C334">_xlfn.IFS(worksheet[[#This Row],[age]]&lt;25,"1. Young Adulthood (18-24)",worksheet[[#This Row],[age]]&lt; 35,"2. Early Adulthood (25-34)",worksheet[[#This Row],[age]]&lt; 45,"3. Mid Adulthood (35-44)",worksheet[[#This Row],[age]]&lt; 55,"4. Mature Adulthood (45-54)",TRUE,"5. Late Adulthood/Senior (55+)")</f>
        <v>2. Early Adulthood (25-34)</v>
      </c>
      <c r="D334" t="s">
        <v>41</v>
      </c>
      <c r="E334" t="s">
        <v>32</v>
      </c>
      <c r="F334" s="4">
        <v>15.45</v>
      </c>
      <c r="G334" s="5">
        <v>44</v>
      </c>
      <c r="H334" t="s">
        <v>49</v>
      </c>
      <c r="I334" t="s">
        <v>55</v>
      </c>
      <c r="J334" s="6">
        <v>17.989999999999998</v>
      </c>
      <c r="K334">
        <v>1</v>
      </c>
      <c r="L334" t="s">
        <v>29</v>
      </c>
      <c r="M334" s="5">
        <v>4</v>
      </c>
      <c r="N334" s="4">
        <v>0.34</v>
      </c>
      <c r="O334" t="s">
        <v>30</v>
      </c>
    </row>
    <row r="335" spans="1:15" x14ac:dyDescent="0.3">
      <c r="A335" t="s">
        <v>1055</v>
      </c>
      <c r="B335" s="5">
        <v>19</v>
      </c>
      <c r="C335" s="5" t="str" cm="1">
        <f t="array" ref="C335">_xlfn.IFS(worksheet[[#This Row],[age]]&lt;25,"1. Young Adulthood (18-24)",worksheet[[#This Row],[age]]&lt; 35,"2. Early Adulthood (25-34)",worksheet[[#This Row],[age]]&lt; 45,"3. Mid Adulthood (35-44)",worksheet[[#This Row],[age]]&lt; 55,"4. Mature Adulthood (45-54)",TRUE,"5. Late Adulthood/Senior (55+)")</f>
        <v>1. Young Adulthood (18-24)</v>
      </c>
      <c r="D335" t="s">
        <v>41</v>
      </c>
      <c r="E335" t="s">
        <v>22</v>
      </c>
      <c r="F335" s="4">
        <v>0.95</v>
      </c>
      <c r="G335" s="5">
        <v>22</v>
      </c>
      <c r="H335" t="s">
        <v>28</v>
      </c>
      <c r="I335" t="s">
        <v>46</v>
      </c>
      <c r="J335" s="6">
        <v>13.99</v>
      </c>
      <c r="K335">
        <v>1</v>
      </c>
      <c r="L335" t="s">
        <v>61</v>
      </c>
      <c r="M335" s="5">
        <v>2</v>
      </c>
      <c r="N335" s="4">
        <v>0.04</v>
      </c>
      <c r="O335" t="s">
        <v>52</v>
      </c>
    </row>
    <row r="336" spans="1:15" x14ac:dyDescent="0.3">
      <c r="A336" t="s">
        <v>1058</v>
      </c>
      <c r="B336" s="5">
        <v>28</v>
      </c>
      <c r="C336" s="5" t="str" cm="1">
        <f t="array" ref="C336">_xlfn.IFS(worksheet[[#This Row],[age]]&lt;25,"1. Young Adulthood (18-24)",worksheet[[#This Row],[age]]&lt; 35,"2. Early Adulthood (25-34)",worksheet[[#This Row],[age]]&lt; 45,"3. Mid Adulthood (35-44)",worksheet[[#This Row],[age]]&lt; 55,"4. Mature Adulthood (45-54)",TRUE,"5. Late Adulthood/Senior (55+)")</f>
        <v>2. Early Adulthood (25-34)</v>
      </c>
      <c r="D336" t="s">
        <v>41</v>
      </c>
      <c r="E336" t="s">
        <v>16</v>
      </c>
      <c r="F336" s="4">
        <v>48.58</v>
      </c>
      <c r="G336" s="5">
        <v>10</v>
      </c>
      <c r="H336" t="s">
        <v>70</v>
      </c>
      <c r="I336" t="s">
        <v>46</v>
      </c>
      <c r="J336" s="6">
        <v>8.99</v>
      </c>
      <c r="K336">
        <v>0</v>
      </c>
      <c r="L336" t="s">
        <v>37</v>
      </c>
      <c r="M336" s="5">
        <v>2</v>
      </c>
      <c r="N336" s="4">
        <v>4.42</v>
      </c>
      <c r="O336" t="s">
        <v>30</v>
      </c>
    </row>
    <row r="337" spans="1:15" x14ac:dyDescent="0.3">
      <c r="A337" t="s">
        <v>1063</v>
      </c>
      <c r="B337" s="5">
        <v>24</v>
      </c>
      <c r="C337" s="5" t="str" cm="1">
        <f t="array" ref="C337">_xlfn.IFS(worksheet[[#This Row],[age]]&lt;25,"1. Young Adulthood (18-24)",worksheet[[#This Row],[age]]&lt; 35,"2. Early Adulthood (25-34)",worksheet[[#This Row],[age]]&lt; 45,"3. Mid Adulthood (35-44)",worksheet[[#This Row],[age]]&lt; 55,"4. Mature Adulthood (45-54)",TRUE,"5. Late Adulthood/Senior (55+)")</f>
        <v>1. Young Adulthood (18-24)</v>
      </c>
      <c r="D337" t="s">
        <v>15</v>
      </c>
      <c r="E337" t="s">
        <v>16</v>
      </c>
      <c r="F337" s="4">
        <v>0.17</v>
      </c>
      <c r="G337" s="5">
        <v>25</v>
      </c>
      <c r="H337" t="s">
        <v>49</v>
      </c>
      <c r="I337" t="s">
        <v>18</v>
      </c>
      <c r="J337" s="6">
        <v>8.99</v>
      </c>
      <c r="K337">
        <v>1</v>
      </c>
      <c r="L337" t="s">
        <v>37</v>
      </c>
      <c r="M337" s="5">
        <v>5</v>
      </c>
      <c r="N337" s="4">
        <v>0.01</v>
      </c>
      <c r="O337" t="s">
        <v>47</v>
      </c>
    </row>
    <row r="338" spans="1:15" x14ac:dyDescent="0.3">
      <c r="A338" t="s">
        <v>1066</v>
      </c>
      <c r="B338" s="5">
        <v>21</v>
      </c>
      <c r="C338" s="5" t="str" cm="1">
        <f t="array" ref="C338">_xlfn.IFS(worksheet[[#This Row],[age]]&lt;25,"1. Young Adulthood (18-24)",worksheet[[#This Row],[age]]&lt; 35,"2. Early Adulthood (25-34)",worksheet[[#This Row],[age]]&lt; 45,"3. Mid Adulthood (35-44)",worksheet[[#This Row],[age]]&lt; 55,"4. Mature Adulthood (45-54)",TRUE,"5. Late Adulthood/Senior (55+)")</f>
        <v>1. Young Adulthood (18-24)</v>
      </c>
      <c r="D338" t="s">
        <v>27</v>
      </c>
      <c r="E338" t="s">
        <v>16</v>
      </c>
      <c r="F338" s="4">
        <v>1.31</v>
      </c>
      <c r="G338" s="5">
        <v>10</v>
      </c>
      <c r="H338" t="s">
        <v>49</v>
      </c>
      <c r="I338" t="s">
        <v>24</v>
      </c>
      <c r="J338" s="6">
        <v>8.99</v>
      </c>
      <c r="K338">
        <v>1</v>
      </c>
      <c r="L338" t="s">
        <v>37</v>
      </c>
      <c r="M338" s="5">
        <v>2</v>
      </c>
      <c r="N338" s="4">
        <v>0.12</v>
      </c>
      <c r="O338" t="s">
        <v>47</v>
      </c>
    </row>
    <row r="339" spans="1:15" x14ac:dyDescent="0.3">
      <c r="A339" t="s">
        <v>1069</v>
      </c>
      <c r="B339" s="5">
        <v>25</v>
      </c>
      <c r="C339" s="5" t="str" cm="1">
        <f t="array" ref="C339">_xlfn.IFS(worksheet[[#This Row],[age]]&lt;25,"1. Young Adulthood (18-24)",worksheet[[#This Row],[age]]&lt; 35,"2. Early Adulthood (25-34)",worksheet[[#This Row],[age]]&lt; 45,"3. Mid Adulthood (35-44)",worksheet[[#This Row],[age]]&lt; 55,"4. Mature Adulthood (45-54)",TRUE,"5. Late Adulthood/Senior (55+)")</f>
        <v>2. Early Adulthood (25-34)</v>
      </c>
      <c r="D339" t="s">
        <v>15</v>
      </c>
      <c r="E339" t="s">
        <v>32</v>
      </c>
      <c r="F339" s="4">
        <v>48.76</v>
      </c>
      <c r="G339" s="5">
        <v>47</v>
      </c>
      <c r="H339" t="s">
        <v>70</v>
      </c>
      <c r="I339" t="s">
        <v>46</v>
      </c>
      <c r="J339" s="6">
        <v>17.989999999999998</v>
      </c>
      <c r="K339">
        <v>0</v>
      </c>
      <c r="L339" t="s">
        <v>29</v>
      </c>
      <c r="M339" s="5">
        <v>1</v>
      </c>
      <c r="N339" s="4">
        <v>1.02</v>
      </c>
      <c r="O339" t="s">
        <v>39</v>
      </c>
    </row>
    <row r="340" spans="1:15" x14ac:dyDescent="0.3">
      <c r="A340" t="s">
        <v>1074</v>
      </c>
      <c r="B340" s="5">
        <v>27</v>
      </c>
      <c r="C340" s="5" t="str" cm="1">
        <f t="array" ref="C340">_xlfn.IFS(worksheet[[#This Row],[age]]&lt;25,"1. Young Adulthood (18-24)",worksheet[[#This Row],[age]]&lt; 35,"2. Early Adulthood (25-34)",worksheet[[#This Row],[age]]&lt; 45,"3. Mid Adulthood (35-44)",worksheet[[#This Row],[age]]&lt; 55,"4. Mature Adulthood (45-54)",TRUE,"5. Late Adulthood/Senior (55+)")</f>
        <v>2. Early Adulthood (25-34)</v>
      </c>
      <c r="D340" t="s">
        <v>41</v>
      </c>
      <c r="E340" t="s">
        <v>32</v>
      </c>
      <c r="F340" s="4">
        <v>11.44</v>
      </c>
      <c r="G340" s="5">
        <v>54</v>
      </c>
      <c r="H340" t="s">
        <v>49</v>
      </c>
      <c r="I340" t="s">
        <v>46</v>
      </c>
      <c r="J340" s="6">
        <v>17.989999999999998</v>
      </c>
      <c r="K340">
        <v>1</v>
      </c>
      <c r="L340" t="s">
        <v>29</v>
      </c>
      <c r="M340" s="5">
        <v>3</v>
      </c>
      <c r="N340" s="4">
        <v>0.21</v>
      </c>
      <c r="O340" t="s">
        <v>34</v>
      </c>
    </row>
    <row r="341" spans="1:15" x14ac:dyDescent="0.3">
      <c r="A341" t="s">
        <v>1078</v>
      </c>
      <c r="B341" s="5">
        <v>22</v>
      </c>
      <c r="C341" s="5" t="str" cm="1">
        <f t="array" ref="C341">_xlfn.IFS(worksheet[[#This Row],[age]]&lt;25,"1. Young Adulthood (18-24)",worksheet[[#This Row],[age]]&lt; 35,"2. Early Adulthood (25-34)",worksheet[[#This Row],[age]]&lt; 45,"3. Mid Adulthood (35-44)",worksheet[[#This Row],[age]]&lt; 55,"4. Mature Adulthood (45-54)",TRUE,"5. Late Adulthood/Senior (55+)")</f>
        <v>1. Young Adulthood (18-24)</v>
      </c>
      <c r="D341" t="s">
        <v>15</v>
      </c>
      <c r="E341" t="s">
        <v>32</v>
      </c>
      <c r="F341" s="4">
        <v>3.24</v>
      </c>
      <c r="G341" s="5">
        <v>5</v>
      </c>
      <c r="H341" t="s">
        <v>49</v>
      </c>
      <c r="I341" t="s">
        <v>46</v>
      </c>
      <c r="J341" s="6">
        <v>17.989999999999998</v>
      </c>
      <c r="K341">
        <v>0</v>
      </c>
      <c r="L341" t="s">
        <v>19</v>
      </c>
      <c r="M341" s="5">
        <v>4</v>
      </c>
      <c r="N341" s="4">
        <v>0.54</v>
      </c>
      <c r="O341" t="s">
        <v>39</v>
      </c>
    </row>
    <row r="342" spans="1:15" x14ac:dyDescent="0.3">
      <c r="A342" t="s">
        <v>1082</v>
      </c>
      <c r="B342" s="5">
        <v>26</v>
      </c>
      <c r="C342" s="5" t="str" cm="1">
        <f t="array" ref="C342">_xlfn.IFS(worksheet[[#This Row],[age]]&lt;25,"1. Young Adulthood (18-24)",worksheet[[#This Row],[age]]&lt; 35,"2. Early Adulthood (25-34)",worksheet[[#This Row],[age]]&lt; 45,"3. Mid Adulthood (35-44)",worksheet[[#This Row],[age]]&lt; 55,"4. Mature Adulthood (45-54)",TRUE,"5. Late Adulthood/Senior (55+)")</f>
        <v>2. Early Adulthood (25-34)</v>
      </c>
      <c r="D342" t="s">
        <v>27</v>
      </c>
      <c r="E342" t="s">
        <v>32</v>
      </c>
      <c r="F342" s="4">
        <v>5.22</v>
      </c>
      <c r="G342" s="5">
        <v>24</v>
      </c>
      <c r="H342" t="s">
        <v>28</v>
      </c>
      <c r="I342" t="s">
        <v>46</v>
      </c>
      <c r="J342" s="6">
        <v>17.989999999999998</v>
      </c>
      <c r="K342">
        <v>0</v>
      </c>
      <c r="L342" t="s">
        <v>19</v>
      </c>
      <c r="M342" s="5">
        <v>5</v>
      </c>
      <c r="N342" s="4">
        <v>0.21</v>
      </c>
      <c r="O342" t="s">
        <v>20</v>
      </c>
    </row>
    <row r="343" spans="1:15" x14ac:dyDescent="0.3">
      <c r="A343" t="s">
        <v>1085</v>
      </c>
      <c r="B343" s="5">
        <v>32</v>
      </c>
      <c r="C343" s="5" t="str" cm="1">
        <f t="array" ref="C343">_xlfn.IFS(worksheet[[#This Row],[age]]&lt;25,"1. Young Adulthood (18-24)",worksheet[[#This Row],[age]]&lt; 35,"2. Early Adulthood (25-34)",worksheet[[#This Row],[age]]&lt; 45,"3. Mid Adulthood (35-44)",worksheet[[#This Row],[age]]&lt; 55,"4. Mature Adulthood (45-54)",TRUE,"5. Late Adulthood/Senior (55+)")</f>
        <v>2. Early Adulthood (25-34)</v>
      </c>
      <c r="D343" t="s">
        <v>27</v>
      </c>
      <c r="E343" t="s">
        <v>22</v>
      </c>
      <c r="F343" s="4">
        <v>13.49</v>
      </c>
      <c r="G343" s="5">
        <v>8</v>
      </c>
      <c r="H343" t="s">
        <v>17</v>
      </c>
      <c r="I343" t="s">
        <v>55</v>
      </c>
      <c r="J343" s="6">
        <v>13.99</v>
      </c>
      <c r="K343">
        <v>0</v>
      </c>
      <c r="L343" t="s">
        <v>19</v>
      </c>
      <c r="M343" s="5">
        <v>4</v>
      </c>
      <c r="N343" s="4">
        <v>1.5</v>
      </c>
      <c r="O343" t="s">
        <v>25</v>
      </c>
    </row>
    <row r="344" spans="1:15" x14ac:dyDescent="0.3">
      <c r="A344" t="s">
        <v>1092</v>
      </c>
      <c r="B344" s="5">
        <v>32</v>
      </c>
      <c r="C344" s="5" t="str" cm="1">
        <f t="array" ref="C344">_xlfn.IFS(worksheet[[#This Row],[age]]&lt;25,"1. Young Adulthood (18-24)",worksheet[[#This Row],[age]]&lt; 35,"2. Early Adulthood (25-34)",worksheet[[#This Row],[age]]&lt; 45,"3. Mid Adulthood (35-44)",worksheet[[#This Row],[age]]&lt; 55,"4. Mature Adulthood (45-54)",TRUE,"5. Late Adulthood/Senior (55+)")</f>
        <v>2. Early Adulthood (25-34)</v>
      </c>
      <c r="D344" t="s">
        <v>15</v>
      </c>
      <c r="E344" t="s">
        <v>16</v>
      </c>
      <c r="F344" s="4">
        <v>5.21</v>
      </c>
      <c r="G344" s="5">
        <v>9</v>
      </c>
      <c r="H344" t="s">
        <v>28</v>
      </c>
      <c r="I344" t="s">
        <v>46</v>
      </c>
      <c r="J344" s="6">
        <v>8.99</v>
      </c>
      <c r="K344">
        <v>0</v>
      </c>
      <c r="L344" t="s">
        <v>19</v>
      </c>
      <c r="M344" s="5">
        <v>2</v>
      </c>
      <c r="N344" s="4">
        <v>0.52</v>
      </c>
      <c r="O344" t="s">
        <v>39</v>
      </c>
    </row>
    <row r="345" spans="1:15" x14ac:dyDescent="0.3">
      <c r="A345" t="s">
        <v>1094</v>
      </c>
      <c r="B345" s="5">
        <v>32</v>
      </c>
      <c r="C345" s="5" t="str" cm="1">
        <f t="array" ref="C345">_xlfn.IFS(worksheet[[#This Row],[age]]&lt;25,"1. Young Adulthood (18-24)",worksheet[[#This Row],[age]]&lt; 35,"2. Early Adulthood (25-34)",worksheet[[#This Row],[age]]&lt; 45,"3. Mid Adulthood (35-44)",worksheet[[#This Row],[age]]&lt; 55,"4. Mature Adulthood (45-54)",TRUE,"5. Late Adulthood/Senior (55+)")</f>
        <v>2. Early Adulthood (25-34)</v>
      </c>
      <c r="D345" t="s">
        <v>27</v>
      </c>
      <c r="E345" t="s">
        <v>16</v>
      </c>
      <c r="F345" s="4">
        <v>3.15</v>
      </c>
      <c r="G345" s="5">
        <v>26</v>
      </c>
      <c r="H345" t="s">
        <v>70</v>
      </c>
      <c r="I345" t="s">
        <v>46</v>
      </c>
      <c r="J345" s="6">
        <v>8.99</v>
      </c>
      <c r="K345">
        <v>1</v>
      </c>
      <c r="L345" t="s">
        <v>37</v>
      </c>
      <c r="M345" s="5">
        <v>2</v>
      </c>
      <c r="N345" s="4">
        <v>0.12</v>
      </c>
      <c r="O345" t="s">
        <v>47</v>
      </c>
    </row>
    <row r="346" spans="1:15" x14ac:dyDescent="0.3">
      <c r="A346" t="s">
        <v>1098</v>
      </c>
      <c r="B346" s="5">
        <v>34</v>
      </c>
      <c r="C346" s="5" t="str" cm="1">
        <f t="array" ref="C346">_xlfn.IFS(worksheet[[#This Row],[age]]&lt;25,"1. Young Adulthood (18-24)",worksheet[[#This Row],[age]]&lt; 35,"2. Early Adulthood (25-34)",worksheet[[#This Row],[age]]&lt; 45,"3. Mid Adulthood (35-44)",worksheet[[#This Row],[age]]&lt; 55,"4. Mature Adulthood (45-54)",TRUE,"5. Late Adulthood/Senior (55+)")</f>
        <v>2. Early Adulthood (25-34)</v>
      </c>
      <c r="D346" t="s">
        <v>41</v>
      </c>
      <c r="E346" t="s">
        <v>32</v>
      </c>
      <c r="F346" s="4">
        <v>13.49</v>
      </c>
      <c r="G346" s="5">
        <v>51</v>
      </c>
      <c r="H346" t="s">
        <v>49</v>
      </c>
      <c r="I346" t="s">
        <v>57</v>
      </c>
      <c r="J346" s="6">
        <v>17.989999999999998</v>
      </c>
      <c r="K346">
        <v>1</v>
      </c>
      <c r="L346" t="s">
        <v>37</v>
      </c>
      <c r="M346" s="5">
        <v>1</v>
      </c>
      <c r="N346" s="4">
        <v>0.26</v>
      </c>
      <c r="O346" t="s">
        <v>34</v>
      </c>
    </row>
    <row r="347" spans="1:15" x14ac:dyDescent="0.3">
      <c r="A347" t="s">
        <v>1099</v>
      </c>
      <c r="B347" s="5">
        <v>26</v>
      </c>
      <c r="C347" s="5" t="str" cm="1">
        <f t="array" ref="C347">_xlfn.IFS(worksheet[[#This Row],[age]]&lt;25,"1. Young Adulthood (18-24)",worksheet[[#This Row],[age]]&lt; 35,"2. Early Adulthood (25-34)",worksheet[[#This Row],[age]]&lt; 45,"3. Mid Adulthood (35-44)",worksheet[[#This Row],[age]]&lt; 55,"4. Mature Adulthood (45-54)",TRUE,"5. Late Adulthood/Senior (55+)")</f>
        <v>2. Early Adulthood (25-34)</v>
      </c>
      <c r="D347" t="s">
        <v>27</v>
      </c>
      <c r="E347" t="s">
        <v>32</v>
      </c>
      <c r="F347" s="4">
        <v>26.05</v>
      </c>
      <c r="G347" s="5">
        <v>42</v>
      </c>
      <c r="H347" t="s">
        <v>49</v>
      </c>
      <c r="I347" t="s">
        <v>57</v>
      </c>
      <c r="J347" s="6">
        <v>17.989999999999998</v>
      </c>
      <c r="K347">
        <v>0</v>
      </c>
      <c r="L347" t="s">
        <v>29</v>
      </c>
      <c r="M347" s="5">
        <v>4</v>
      </c>
      <c r="N347" s="4">
        <v>0.61</v>
      </c>
      <c r="O347" t="s">
        <v>25</v>
      </c>
    </row>
    <row r="348" spans="1:15" x14ac:dyDescent="0.3">
      <c r="A348" t="s">
        <v>1102</v>
      </c>
      <c r="B348" s="5">
        <v>22</v>
      </c>
      <c r="C348" s="5" t="str" cm="1">
        <f t="array" ref="C348">_xlfn.IFS(worksheet[[#This Row],[age]]&lt;25,"1. Young Adulthood (18-24)",worksheet[[#This Row],[age]]&lt; 35,"2. Early Adulthood (25-34)",worksheet[[#This Row],[age]]&lt; 45,"3. Mid Adulthood (35-44)",worksheet[[#This Row],[age]]&lt; 55,"4. Mature Adulthood (45-54)",TRUE,"5. Late Adulthood/Senior (55+)")</f>
        <v>1. Young Adulthood (18-24)</v>
      </c>
      <c r="D348" t="s">
        <v>41</v>
      </c>
      <c r="E348" t="s">
        <v>16</v>
      </c>
      <c r="F348" s="4">
        <v>0.8</v>
      </c>
      <c r="G348" s="5">
        <v>35</v>
      </c>
      <c r="H348" t="s">
        <v>33</v>
      </c>
      <c r="I348" t="s">
        <v>18</v>
      </c>
      <c r="J348" s="6">
        <v>8.99</v>
      </c>
      <c r="K348">
        <v>1</v>
      </c>
      <c r="L348" t="s">
        <v>19</v>
      </c>
      <c r="M348" s="5">
        <v>1</v>
      </c>
      <c r="N348" s="4">
        <v>0.02</v>
      </c>
      <c r="O348" t="s">
        <v>25</v>
      </c>
    </row>
    <row r="349" spans="1:15" x14ac:dyDescent="0.3">
      <c r="A349" t="s">
        <v>1105</v>
      </c>
      <c r="B349" s="5">
        <v>20</v>
      </c>
      <c r="C349" s="5" t="str" cm="1">
        <f t="array" ref="C349">_xlfn.IFS(worksheet[[#This Row],[age]]&lt;25,"1. Young Adulthood (18-24)",worksheet[[#This Row],[age]]&lt; 35,"2. Early Adulthood (25-34)",worksheet[[#This Row],[age]]&lt; 45,"3. Mid Adulthood (35-44)",worksheet[[#This Row],[age]]&lt; 55,"4. Mature Adulthood (45-54)",TRUE,"5. Late Adulthood/Senior (55+)")</f>
        <v>1. Young Adulthood (18-24)</v>
      </c>
      <c r="D349" t="s">
        <v>27</v>
      </c>
      <c r="E349" t="s">
        <v>22</v>
      </c>
      <c r="F349" s="4">
        <v>5.68</v>
      </c>
      <c r="G349" s="5">
        <v>54</v>
      </c>
      <c r="H349" t="s">
        <v>70</v>
      </c>
      <c r="I349" t="s">
        <v>18</v>
      </c>
      <c r="J349" s="6">
        <v>13.99</v>
      </c>
      <c r="K349">
        <v>1</v>
      </c>
      <c r="L349" t="s">
        <v>19</v>
      </c>
      <c r="M349" s="5">
        <v>3</v>
      </c>
      <c r="N349" s="4">
        <v>0.1</v>
      </c>
      <c r="O349" t="s">
        <v>25</v>
      </c>
    </row>
    <row r="350" spans="1:15" x14ac:dyDescent="0.3">
      <c r="A350" t="s">
        <v>1111</v>
      </c>
      <c r="B350" s="5">
        <v>32</v>
      </c>
      <c r="C350" s="5" t="str" cm="1">
        <f t="array" ref="C350">_xlfn.IFS(worksheet[[#This Row],[age]]&lt;25,"1. Young Adulthood (18-24)",worksheet[[#This Row],[age]]&lt; 35,"2. Early Adulthood (25-34)",worksheet[[#This Row],[age]]&lt; 45,"3. Mid Adulthood (35-44)",worksheet[[#This Row],[age]]&lt; 55,"4. Mature Adulthood (45-54)",TRUE,"5. Late Adulthood/Senior (55+)")</f>
        <v>2. Early Adulthood (25-34)</v>
      </c>
      <c r="D350" t="s">
        <v>27</v>
      </c>
      <c r="E350" t="s">
        <v>32</v>
      </c>
      <c r="F350" s="4">
        <v>3.64</v>
      </c>
      <c r="G350" s="5">
        <v>12</v>
      </c>
      <c r="H350" t="s">
        <v>23</v>
      </c>
      <c r="I350" t="s">
        <v>57</v>
      </c>
      <c r="J350" s="6">
        <v>17.989999999999998</v>
      </c>
      <c r="K350">
        <v>0</v>
      </c>
      <c r="L350" t="s">
        <v>61</v>
      </c>
      <c r="M350" s="5">
        <v>4</v>
      </c>
      <c r="N350" s="4">
        <v>0.28000000000000003</v>
      </c>
      <c r="O350" t="s">
        <v>30</v>
      </c>
    </row>
    <row r="351" spans="1:15" x14ac:dyDescent="0.3">
      <c r="A351" t="s">
        <v>1114</v>
      </c>
      <c r="B351" s="5">
        <v>25</v>
      </c>
      <c r="C351" s="5" t="str" cm="1">
        <f t="array" ref="C351">_xlfn.IFS(worksheet[[#This Row],[age]]&lt;25,"1. Young Adulthood (18-24)",worksheet[[#This Row],[age]]&lt; 35,"2. Early Adulthood (25-34)",worksheet[[#This Row],[age]]&lt; 45,"3. Mid Adulthood (35-44)",worksheet[[#This Row],[age]]&lt; 55,"4. Mature Adulthood (45-54)",TRUE,"5. Late Adulthood/Senior (55+)")</f>
        <v>2. Early Adulthood (25-34)</v>
      </c>
      <c r="D351" t="s">
        <v>41</v>
      </c>
      <c r="E351" t="s">
        <v>16</v>
      </c>
      <c r="F351" s="4">
        <v>1.27</v>
      </c>
      <c r="G351" s="5">
        <v>43</v>
      </c>
      <c r="H351" t="s">
        <v>28</v>
      </c>
      <c r="I351" t="s">
        <v>24</v>
      </c>
      <c r="J351" s="6">
        <v>8.99</v>
      </c>
      <c r="K351">
        <v>1</v>
      </c>
      <c r="L351" t="s">
        <v>37</v>
      </c>
      <c r="M351" s="5">
        <v>2</v>
      </c>
      <c r="N351" s="4">
        <v>0.03</v>
      </c>
      <c r="O351" t="s">
        <v>25</v>
      </c>
    </row>
    <row r="352" spans="1:15" x14ac:dyDescent="0.3">
      <c r="A352" t="s">
        <v>1117</v>
      </c>
      <c r="B352" s="5">
        <v>22</v>
      </c>
      <c r="C352" s="5" t="str" cm="1">
        <f t="array" ref="C352">_xlfn.IFS(worksheet[[#This Row],[age]]&lt;25,"1. Young Adulthood (18-24)",worksheet[[#This Row],[age]]&lt; 35,"2. Early Adulthood (25-34)",worksheet[[#This Row],[age]]&lt; 45,"3. Mid Adulthood (35-44)",worksheet[[#This Row],[age]]&lt; 55,"4. Mature Adulthood (45-54)",TRUE,"5. Late Adulthood/Senior (55+)")</f>
        <v>1. Young Adulthood (18-24)</v>
      </c>
      <c r="D352" t="s">
        <v>15</v>
      </c>
      <c r="E352" t="s">
        <v>32</v>
      </c>
      <c r="F352" s="4">
        <v>0.43</v>
      </c>
      <c r="G352" s="5">
        <v>23</v>
      </c>
      <c r="H352" t="s">
        <v>23</v>
      </c>
      <c r="I352" t="s">
        <v>57</v>
      </c>
      <c r="J352" s="6">
        <v>17.989999999999998</v>
      </c>
      <c r="K352">
        <v>0</v>
      </c>
      <c r="L352" t="s">
        <v>61</v>
      </c>
      <c r="M352" s="5">
        <v>4</v>
      </c>
      <c r="N352" s="4">
        <v>0.02</v>
      </c>
      <c r="O352" t="s">
        <v>34</v>
      </c>
    </row>
    <row r="353" spans="1:15" x14ac:dyDescent="0.3">
      <c r="A353" t="s">
        <v>1124</v>
      </c>
      <c r="B353" s="5">
        <v>28</v>
      </c>
      <c r="C353" s="5" t="str" cm="1">
        <f t="array" ref="C353">_xlfn.IFS(worksheet[[#This Row],[age]]&lt;25,"1. Young Adulthood (18-24)",worksheet[[#This Row],[age]]&lt; 35,"2. Early Adulthood (25-34)",worksheet[[#This Row],[age]]&lt; 45,"3. Mid Adulthood (35-44)",worksheet[[#This Row],[age]]&lt; 55,"4. Mature Adulthood (45-54)",TRUE,"5. Late Adulthood/Senior (55+)")</f>
        <v>2. Early Adulthood (25-34)</v>
      </c>
      <c r="D353" t="s">
        <v>41</v>
      </c>
      <c r="E353" t="s">
        <v>32</v>
      </c>
      <c r="F353" s="4">
        <v>4.5999999999999996</v>
      </c>
      <c r="G353" s="5">
        <v>16</v>
      </c>
      <c r="H353" t="s">
        <v>49</v>
      </c>
      <c r="I353" t="s">
        <v>24</v>
      </c>
      <c r="J353" s="6">
        <v>17.989999999999998</v>
      </c>
      <c r="K353">
        <v>0</v>
      </c>
      <c r="L353" t="s">
        <v>43</v>
      </c>
      <c r="M353" s="5">
        <v>4</v>
      </c>
      <c r="N353" s="4">
        <v>0.27</v>
      </c>
      <c r="O353" t="s">
        <v>20</v>
      </c>
    </row>
    <row r="354" spans="1:15" x14ac:dyDescent="0.3">
      <c r="A354" t="s">
        <v>1133</v>
      </c>
      <c r="B354" s="5">
        <v>26</v>
      </c>
      <c r="C354" s="5" t="str" cm="1">
        <f t="array" ref="C354">_xlfn.IFS(worksheet[[#This Row],[age]]&lt;25,"1. Young Adulthood (18-24)",worksheet[[#This Row],[age]]&lt; 35,"2. Early Adulthood (25-34)",worksheet[[#This Row],[age]]&lt; 45,"3. Mid Adulthood (35-44)",worksheet[[#This Row],[age]]&lt; 55,"4. Mature Adulthood (45-54)",TRUE,"5. Late Adulthood/Senior (55+)")</f>
        <v>2. Early Adulthood (25-34)</v>
      </c>
      <c r="D354" t="s">
        <v>15</v>
      </c>
      <c r="E354" t="s">
        <v>32</v>
      </c>
      <c r="F354" s="4">
        <v>4.76</v>
      </c>
      <c r="G354" s="5">
        <v>27</v>
      </c>
      <c r="H354" t="s">
        <v>33</v>
      </c>
      <c r="I354" t="s">
        <v>24</v>
      </c>
      <c r="J354" s="6">
        <v>17.989999999999998</v>
      </c>
      <c r="K354">
        <v>1</v>
      </c>
      <c r="L354" t="s">
        <v>29</v>
      </c>
      <c r="M354" s="5">
        <v>4</v>
      </c>
      <c r="N354" s="4">
        <v>0.17</v>
      </c>
      <c r="O354" t="s">
        <v>52</v>
      </c>
    </row>
    <row r="355" spans="1:15" x14ac:dyDescent="0.3">
      <c r="A355" t="s">
        <v>1137</v>
      </c>
      <c r="B355" s="5">
        <v>20</v>
      </c>
      <c r="C355" s="5" t="str" cm="1">
        <f t="array" ref="C355">_xlfn.IFS(worksheet[[#This Row],[age]]&lt;25,"1. Young Adulthood (18-24)",worksheet[[#This Row],[age]]&lt; 35,"2. Early Adulthood (25-34)",worksheet[[#This Row],[age]]&lt; 45,"3. Mid Adulthood (35-44)",worksheet[[#This Row],[age]]&lt; 55,"4. Mature Adulthood (45-54)",TRUE,"5. Late Adulthood/Senior (55+)")</f>
        <v>1. Young Adulthood (18-24)</v>
      </c>
      <c r="D355" t="s">
        <v>15</v>
      </c>
      <c r="E355" t="s">
        <v>32</v>
      </c>
      <c r="F355" s="4">
        <v>5.12</v>
      </c>
      <c r="G355" s="5">
        <v>18</v>
      </c>
      <c r="H355" t="s">
        <v>33</v>
      </c>
      <c r="I355" t="s">
        <v>55</v>
      </c>
      <c r="J355" s="6">
        <v>17.989999999999998</v>
      </c>
      <c r="K355">
        <v>0</v>
      </c>
      <c r="L355" t="s">
        <v>43</v>
      </c>
      <c r="M355" s="5">
        <v>1</v>
      </c>
      <c r="N355" s="4">
        <v>0.27</v>
      </c>
      <c r="O355" t="s">
        <v>20</v>
      </c>
    </row>
    <row r="356" spans="1:15" x14ac:dyDescent="0.3">
      <c r="A356" t="s">
        <v>1138</v>
      </c>
      <c r="B356" s="5">
        <v>19</v>
      </c>
      <c r="C356" s="5" t="str" cm="1">
        <f t="array" ref="C356">_xlfn.IFS(worksheet[[#This Row],[age]]&lt;25,"1. Young Adulthood (18-24)",worksheet[[#This Row],[age]]&lt; 35,"2. Early Adulthood (25-34)",worksheet[[#This Row],[age]]&lt; 45,"3. Mid Adulthood (35-44)",worksheet[[#This Row],[age]]&lt; 55,"4. Mature Adulthood (45-54)",TRUE,"5. Late Adulthood/Senior (55+)")</f>
        <v>1. Young Adulthood (18-24)</v>
      </c>
      <c r="D356" t="s">
        <v>27</v>
      </c>
      <c r="E356" t="s">
        <v>32</v>
      </c>
      <c r="F356" s="4">
        <v>2.2999999999999998</v>
      </c>
      <c r="G356" s="5">
        <v>1</v>
      </c>
      <c r="H356" t="s">
        <v>49</v>
      </c>
      <c r="I356" t="s">
        <v>24</v>
      </c>
      <c r="J356" s="6">
        <v>17.989999999999998</v>
      </c>
      <c r="K356">
        <v>0</v>
      </c>
      <c r="L356" t="s">
        <v>29</v>
      </c>
      <c r="M356" s="5">
        <v>3</v>
      </c>
      <c r="N356" s="4">
        <v>1.1499999999999999</v>
      </c>
      <c r="O356" t="s">
        <v>47</v>
      </c>
    </row>
    <row r="357" spans="1:15" x14ac:dyDescent="0.3">
      <c r="A357" t="s">
        <v>1139</v>
      </c>
      <c r="B357" s="5">
        <v>20</v>
      </c>
      <c r="C357" s="5" t="str" cm="1">
        <f t="array" ref="C357">_xlfn.IFS(worksheet[[#This Row],[age]]&lt;25,"1. Young Adulthood (18-24)",worksheet[[#This Row],[age]]&lt; 35,"2. Early Adulthood (25-34)",worksheet[[#This Row],[age]]&lt; 45,"3. Mid Adulthood (35-44)",worksheet[[#This Row],[age]]&lt; 55,"4. Mature Adulthood (45-54)",TRUE,"5. Late Adulthood/Senior (55+)")</f>
        <v>1. Young Adulthood (18-24)</v>
      </c>
      <c r="D357" t="s">
        <v>27</v>
      </c>
      <c r="E357" t="s">
        <v>22</v>
      </c>
      <c r="F357" s="4">
        <v>1.45</v>
      </c>
      <c r="G357" s="5">
        <v>0</v>
      </c>
      <c r="H357" t="s">
        <v>70</v>
      </c>
      <c r="I357" t="s">
        <v>57</v>
      </c>
      <c r="J357" s="6">
        <v>13.99</v>
      </c>
      <c r="K357">
        <v>0</v>
      </c>
      <c r="L357" t="s">
        <v>19</v>
      </c>
      <c r="M357" s="5">
        <v>5</v>
      </c>
      <c r="N357" s="4">
        <v>1.45</v>
      </c>
      <c r="O357" t="s">
        <v>34</v>
      </c>
    </row>
    <row r="358" spans="1:15" x14ac:dyDescent="0.3">
      <c r="A358" t="s">
        <v>1142</v>
      </c>
      <c r="B358" s="5">
        <v>24</v>
      </c>
      <c r="C358" s="5" t="str" cm="1">
        <f t="array" ref="C358">_xlfn.IFS(worksheet[[#This Row],[age]]&lt;25,"1. Young Adulthood (18-24)",worksheet[[#This Row],[age]]&lt; 35,"2. Early Adulthood (25-34)",worksheet[[#This Row],[age]]&lt; 45,"3. Mid Adulthood (35-44)",worksheet[[#This Row],[age]]&lt; 55,"4. Mature Adulthood (45-54)",TRUE,"5. Late Adulthood/Senior (55+)")</f>
        <v>1. Young Adulthood (18-24)</v>
      </c>
      <c r="D358" t="s">
        <v>15</v>
      </c>
      <c r="E358" t="s">
        <v>22</v>
      </c>
      <c r="F358" s="4">
        <v>4.8899999999999997</v>
      </c>
      <c r="G358" s="5">
        <v>58</v>
      </c>
      <c r="H358" t="s">
        <v>49</v>
      </c>
      <c r="I358" t="s">
        <v>24</v>
      </c>
      <c r="J358" s="6">
        <v>13.99</v>
      </c>
      <c r="K358">
        <v>1</v>
      </c>
      <c r="L358" t="s">
        <v>37</v>
      </c>
      <c r="M358" s="5">
        <v>2</v>
      </c>
      <c r="N358" s="4">
        <v>0.08</v>
      </c>
      <c r="O358" t="s">
        <v>20</v>
      </c>
    </row>
    <row r="359" spans="1:15" x14ac:dyDescent="0.3">
      <c r="A359" t="s">
        <v>1149</v>
      </c>
      <c r="B359" s="5">
        <v>33</v>
      </c>
      <c r="C359" s="5" t="str" cm="1">
        <f t="array" ref="C359">_xlfn.IFS(worksheet[[#This Row],[age]]&lt;25,"1. Young Adulthood (18-24)",worksheet[[#This Row],[age]]&lt; 35,"2. Early Adulthood (25-34)",worksheet[[#This Row],[age]]&lt; 45,"3. Mid Adulthood (35-44)",worksheet[[#This Row],[age]]&lt; 55,"4. Mature Adulthood (45-54)",TRUE,"5. Late Adulthood/Senior (55+)")</f>
        <v>2. Early Adulthood (25-34)</v>
      </c>
      <c r="D359" t="s">
        <v>41</v>
      </c>
      <c r="E359" t="s">
        <v>32</v>
      </c>
      <c r="F359" s="4">
        <v>9.68</v>
      </c>
      <c r="G359" s="5">
        <v>57</v>
      </c>
      <c r="H359" t="s">
        <v>28</v>
      </c>
      <c r="I359" t="s">
        <v>46</v>
      </c>
      <c r="J359" s="6">
        <v>17.989999999999998</v>
      </c>
      <c r="K359">
        <v>1</v>
      </c>
      <c r="L359" t="s">
        <v>19</v>
      </c>
      <c r="M359" s="5">
        <v>1</v>
      </c>
      <c r="N359" s="4">
        <v>0.17</v>
      </c>
      <c r="O359" t="s">
        <v>52</v>
      </c>
    </row>
    <row r="360" spans="1:15" x14ac:dyDescent="0.3">
      <c r="A360" t="s">
        <v>1150</v>
      </c>
      <c r="B360" s="5">
        <v>24</v>
      </c>
      <c r="C360" s="5" t="str" cm="1">
        <f t="array" ref="C360">_xlfn.IFS(worksheet[[#This Row],[age]]&lt;25,"1. Young Adulthood (18-24)",worksheet[[#This Row],[age]]&lt; 35,"2. Early Adulthood (25-34)",worksheet[[#This Row],[age]]&lt; 45,"3. Mid Adulthood (35-44)",worksheet[[#This Row],[age]]&lt; 55,"4. Mature Adulthood (45-54)",TRUE,"5. Late Adulthood/Senior (55+)")</f>
        <v>1. Young Adulthood (18-24)</v>
      </c>
      <c r="D360" t="s">
        <v>41</v>
      </c>
      <c r="E360" t="s">
        <v>22</v>
      </c>
      <c r="F360" s="4">
        <v>13.71</v>
      </c>
      <c r="G360" s="5">
        <v>51</v>
      </c>
      <c r="H360" t="s">
        <v>33</v>
      </c>
      <c r="I360" t="s">
        <v>24</v>
      </c>
      <c r="J360" s="6">
        <v>13.99</v>
      </c>
      <c r="K360">
        <v>1</v>
      </c>
      <c r="L360" t="s">
        <v>37</v>
      </c>
      <c r="M360" s="5">
        <v>1</v>
      </c>
      <c r="N360" s="4">
        <v>0.26</v>
      </c>
      <c r="O360" t="s">
        <v>34</v>
      </c>
    </row>
    <row r="361" spans="1:15" x14ac:dyDescent="0.3">
      <c r="A361" t="s">
        <v>1154</v>
      </c>
      <c r="B361" s="5">
        <v>25</v>
      </c>
      <c r="C361" s="5" t="str" cm="1">
        <f t="array" ref="C361">_xlfn.IFS(worksheet[[#This Row],[age]]&lt;25,"1. Young Adulthood (18-24)",worksheet[[#This Row],[age]]&lt; 35,"2. Early Adulthood (25-34)",worksheet[[#This Row],[age]]&lt; 45,"3. Mid Adulthood (35-44)",worksheet[[#This Row],[age]]&lt; 55,"4. Mature Adulthood (45-54)",TRUE,"5. Late Adulthood/Senior (55+)")</f>
        <v>2. Early Adulthood (25-34)</v>
      </c>
      <c r="D361" t="s">
        <v>41</v>
      </c>
      <c r="E361" t="s">
        <v>22</v>
      </c>
      <c r="F361" s="4">
        <v>7.26</v>
      </c>
      <c r="G361" s="5">
        <v>43</v>
      </c>
      <c r="H361" t="s">
        <v>33</v>
      </c>
      <c r="I361" t="s">
        <v>55</v>
      </c>
      <c r="J361" s="6">
        <v>13.99</v>
      </c>
      <c r="K361">
        <v>1</v>
      </c>
      <c r="L361" t="s">
        <v>43</v>
      </c>
      <c r="M361" s="5">
        <v>1</v>
      </c>
      <c r="N361" s="4">
        <v>0.17</v>
      </c>
      <c r="O361" t="s">
        <v>20</v>
      </c>
    </row>
    <row r="362" spans="1:15" x14ac:dyDescent="0.3">
      <c r="A362" t="s">
        <v>1156</v>
      </c>
      <c r="B362" s="5">
        <v>25</v>
      </c>
      <c r="C362" s="5" t="str" cm="1">
        <f t="array" ref="C362">_xlfn.IFS(worksheet[[#This Row],[age]]&lt;25,"1. Young Adulthood (18-24)",worksheet[[#This Row],[age]]&lt; 35,"2. Early Adulthood (25-34)",worksheet[[#This Row],[age]]&lt; 45,"3. Mid Adulthood (35-44)",worksheet[[#This Row],[age]]&lt; 55,"4. Mature Adulthood (45-54)",TRUE,"5. Late Adulthood/Senior (55+)")</f>
        <v>2. Early Adulthood (25-34)</v>
      </c>
      <c r="D362" t="s">
        <v>41</v>
      </c>
      <c r="E362" t="s">
        <v>32</v>
      </c>
      <c r="F362" s="4">
        <v>16.61</v>
      </c>
      <c r="G362" s="5">
        <v>34</v>
      </c>
      <c r="H362" t="s">
        <v>33</v>
      </c>
      <c r="I362" t="s">
        <v>24</v>
      </c>
      <c r="J362" s="6">
        <v>17.989999999999998</v>
      </c>
      <c r="K362">
        <v>0</v>
      </c>
      <c r="L362" t="s">
        <v>37</v>
      </c>
      <c r="M362" s="5">
        <v>4</v>
      </c>
      <c r="N362" s="4">
        <v>0.47</v>
      </c>
      <c r="O362" t="s">
        <v>47</v>
      </c>
    </row>
    <row r="363" spans="1:15" x14ac:dyDescent="0.3">
      <c r="A363" t="s">
        <v>1161</v>
      </c>
      <c r="B363" s="5">
        <v>24</v>
      </c>
      <c r="C363" s="5" t="str" cm="1">
        <f t="array" ref="C363">_xlfn.IFS(worksheet[[#This Row],[age]]&lt;25,"1. Young Adulthood (18-24)",worksheet[[#This Row],[age]]&lt; 35,"2. Early Adulthood (25-34)",worksheet[[#This Row],[age]]&lt; 45,"3. Mid Adulthood (35-44)",worksheet[[#This Row],[age]]&lt; 55,"4. Mature Adulthood (45-54)",TRUE,"5. Late Adulthood/Senior (55+)")</f>
        <v>1. Young Adulthood (18-24)</v>
      </c>
      <c r="D363" t="s">
        <v>27</v>
      </c>
      <c r="E363" t="s">
        <v>32</v>
      </c>
      <c r="F363" s="4">
        <v>30.8</v>
      </c>
      <c r="G363" s="5">
        <v>19</v>
      </c>
      <c r="H363" t="s">
        <v>23</v>
      </c>
      <c r="I363" t="s">
        <v>24</v>
      </c>
      <c r="J363" s="6">
        <v>17.989999999999998</v>
      </c>
      <c r="K363">
        <v>0</v>
      </c>
      <c r="L363" t="s">
        <v>61</v>
      </c>
      <c r="M363" s="5">
        <v>5</v>
      </c>
      <c r="N363" s="4">
        <v>1.54</v>
      </c>
      <c r="O363" t="s">
        <v>39</v>
      </c>
    </row>
    <row r="364" spans="1:15" x14ac:dyDescent="0.3">
      <c r="A364" t="s">
        <v>1164</v>
      </c>
      <c r="B364" s="5">
        <v>20</v>
      </c>
      <c r="C364" s="5" t="str" cm="1">
        <f t="array" ref="C364">_xlfn.IFS(worksheet[[#This Row],[age]]&lt;25,"1. Young Adulthood (18-24)",worksheet[[#This Row],[age]]&lt; 35,"2. Early Adulthood (25-34)",worksheet[[#This Row],[age]]&lt; 45,"3. Mid Adulthood (35-44)",worksheet[[#This Row],[age]]&lt; 55,"4. Mature Adulthood (45-54)",TRUE,"5. Late Adulthood/Senior (55+)")</f>
        <v>1. Young Adulthood (18-24)</v>
      </c>
      <c r="D364" t="s">
        <v>27</v>
      </c>
      <c r="E364" t="s">
        <v>22</v>
      </c>
      <c r="F364" s="4">
        <v>4.28</v>
      </c>
      <c r="G364" s="5">
        <v>14</v>
      </c>
      <c r="H364" t="s">
        <v>70</v>
      </c>
      <c r="I364" t="s">
        <v>57</v>
      </c>
      <c r="J364" s="6">
        <v>13.99</v>
      </c>
      <c r="K364">
        <v>0</v>
      </c>
      <c r="L364" t="s">
        <v>37</v>
      </c>
      <c r="M364" s="5">
        <v>5</v>
      </c>
      <c r="N364" s="4">
        <v>0.28999999999999998</v>
      </c>
      <c r="O364" t="s">
        <v>25</v>
      </c>
    </row>
    <row r="365" spans="1:15" x14ac:dyDescent="0.3">
      <c r="A365" t="s">
        <v>1166</v>
      </c>
      <c r="B365" s="5">
        <v>21</v>
      </c>
      <c r="C365" s="5" t="str" cm="1">
        <f t="array" ref="C365">_xlfn.IFS(worksheet[[#This Row],[age]]&lt;25,"1. Young Adulthood (18-24)",worksheet[[#This Row],[age]]&lt; 35,"2. Early Adulthood (25-34)",worksheet[[#This Row],[age]]&lt; 45,"3. Mid Adulthood (35-44)",worksheet[[#This Row],[age]]&lt; 55,"4. Mature Adulthood (45-54)",TRUE,"5. Late Adulthood/Senior (55+)")</f>
        <v>1. Young Adulthood (18-24)</v>
      </c>
      <c r="D365" t="s">
        <v>41</v>
      </c>
      <c r="E365" t="s">
        <v>32</v>
      </c>
      <c r="F365" s="4">
        <v>3.06</v>
      </c>
      <c r="G365" s="5">
        <v>24</v>
      </c>
      <c r="H365" t="s">
        <v>70</v>
      </c>
      <c r="I365" t="s">
        <v>24</v>
      </c>
      <c r="J365" s="6">
        <v>17.989999999999998</v>
      </c>
      <c r="K365">
        <v>0</v>
      </c>
      <c r="L365" t="s">
        <v>43</v>
      </c>
      <c r="M365" s="5">
        <v>4</v>
      </c>
      <c r="N365" s="4">
        <v>0.12</v>
      </c>
      <c r="O365" t="s">
        <v>39</v>
      </c>
    </row>
    <row r="366" spans="1:15" x14ac:dyDescent="0.3">
      <c r="A366" t="s">
        <v>1169</v>
      </c>
      <c r="B366" s="5">
        <v>21</v>
      </c>
      <c r="C366" s="5" t="str" cm="1">
        <f t="array" ref="C366">_xlfn.IFS(worksheet[[#This Row],[age]]&lt;25,"1. Young Adulthood (18-24)",worksheet[[#This Row],[age]]&lt; 35,"2. Early Adulthood (25-34)",worksheet[[#This Row],[age]]&lt; 45,"3. Mid Adulthood (35-44)",worksheet[[#This Row],[age]]&lt; 55,"4. Mature Adulthood (45-54)",TRUE,"5. Late Adulthood/Senior (55+)")</f>
        <v>1. Young Adulthood (18-24)</v>
      </c>
      <c r="D366" t="s">
        <v>15</v>
      </c>
      <c r="E366" t="s">
        <v>16</v>
      </c>
      <c r="F366" s="4">
        <v>54.56</v>
      </c>
      <c r="G366" s="5">
        <v>11</v>
      </c>
      <c r="H366" t="s">
        <v>70</v>
      </c>
      <c r="I366" t="s">
        <v>55</v>
      </c>
      <c r="J366" s="6">
        <v>8.99</v>
      </c>
      <c r="K366">
        <v>0</v>
      </c>
      <c r="L366" t="s">
        <v>61</v>
      </c>
      <c r="M366" s="5">
        <v>5</v>
      </c>
      <c r="N366" s="4">
        <v>4.55</v>
      </c>
      <c r="O366" t="s">
        <v>39</v>
      </c>
    </row>
    <row r="367" spans="1:15" x14ac:dyDescent="0.3">
      <c r="A367" t="s">
        <v>1170</v>
      </c>
      <c r="B367" s="5">
        <v>18</v>
      </c>
      <c r="C367" s="5" t="str" cm="1">
        <f t="array" ref="C367">_xlfn.IFS(worksheet[[#This Row],[age]]&lt;25,"1. Young Adulthood (18-24)",worksheet[[#This Row],[age]]&lt; 35,"2. Early Adulthood (25-34)",worksheet[[#This Row],[age]]&lt; 45,"3. Mid Adulthood (35-44)",worksheet[[#This Row],[age]]&lt; 55,"4. Mature Adulthood (45-54)",TRUE,"5. Late Adulthood/Senior (55+)")</f>
        <v>1. Young Adulthood (18-24)</v>
      </c>
      <c r="D367" t="s">
        <v>41</v>
      </c>
      <c r="E367" t="s">
        <v>32</v>
      </c>
      <c r="F367" s="4">
        <v>1.61</v>
      </c>
      <c r="G367" s="5">
        <v>29</v>
      </c>
      <c r="H367" t="s">
        <v>28</v>
      </c>
      <c r="I367" t="s">
        <v>24</v>
      </c>
      <c r="J367" s="6">
        <v>17.989999999999998</v>
      </c>
      <c r="K367">
        <v>1</v>
      </c>
      <c r="L367" t="s">
        <v>43</v>
      </c>
      <c r="M367" s="5">
        <v>1</v>
      </c>
      <c r="N367" s="4">
        <v>0.05</v>
      </c>
      <c r="O367" t="s">
        <v>30</v>
      </c>
    </row>
    <row r="368" spans="1:15" x14ac:dyDescent="0.3">
      <c r="A368" t="s">
        <v>1171</v>
      </c>
      <c r="B368" s="5">
        <v>18</v>
      </c>
      <c r="C368" s="5" t="str" cm="1">
        <f t="array" ref="C368">_xlfn.IFS(worksheet[[#This Row],[age]]&lt;25,"1. Young Adulthood (18-24)",worksheet[[#This Row],[age]]&lt; 35,"2. Early Adulthood (25-34)",worksheet[[#This Row],[age]]&lt; 45,"3. Mid Adulthood (35-44)",worksheet[[#This Row],[age]]&lt; 55,"4. Mature Adulthood (45-54)",TRUE,"5. Late Adulthood/Senior (55+)")</f>
        <v>1. Young Adulthood (18-24)</v>
      </c>
      <c r="D368" t="s">
        <v>27</v>
      </c>
      <c r="E368" t="s">
        <v>32</v>
      </c>
      <c r="F368" s="4">
        <v>0.38</v>
      </c>
      <c r="G368" s="5">
        <v>37</v>
      </c>
      <c r="H368" t="s">
        <v>70</v>
      </c>
      <c r="I368" t="s">
        <v>18</v>
      </c>
      <c r="J368" s="6">
        <v>17.989999999999998</v>
      </c>
      <c r="K368">
        <v>1</v>
      </c>
      <c r="L368" t="s">
        <v>29</v>
      </c>
      <c r="M368" s="5">
        <v>5</v>
      </c>
      <c r="N368" s="4">
        <v>0.01</v>
      </c>
      <c r="O368" t="s">
        <v>20</v>
      </c>
    </row>
    <row r="369" spans="1:15" x14ac:dyDescent="0.3">
      <c r="A369" t="s">
        <v>1172</v>
      </c>
      <c r="B369" s="5">
        <v>31</v>
      </c>
      <c r="C369" s="5" t="str" cm="1">
        <f t="array" ref="C369">_xlfn.IFS(worksheet[[#This Row],[age]]&lt;25,"1. Young Adulthood (18-24)",worksheet[[#This Row],[age]]&lt; 35,"2. Early Adulthood (25-34)",worksheet[[#This Row],[age]]&lt; 45,"3. Mid Adulthood (35-44)",worksheet[[#This Row],[age]]&lt; 55,"4. Mature Adulthood (45-54)",TRUE,"5. Late Adulthood/Senior (55+)")</f>
        <v>2. Early Adulthood (25-34)</v>
      </c>
      <c r="D369" t="s">
        <v>27</v>
      </c>
      <c r="E369" t="s">
        <v>32</v>
      </c>
      <c r="F369" s="4">
        <v>0.54</v>
      </c>
      <c r="G369" s="5">
        <v>16</v>
      </c>
      <c r="H369" t="s">
        <v>70</v>
      </c>
      <c r="I369" t="s">
        <v>55</v>
      </c>
      <c r="J369" s="6">
        <v>17.989999999999998</v>
      </c>
      <c r="K369">
        <v>1</v>
      </c>
      <c r="L369" t="s">
        <v>61</v>
      </c>
      <c r="M369" s="5">
        <v>1</v>
      </c>
      <c r="N369" s="4">
        <v>0.03</v>
      </c>
      <c r="O369" t="s">
        <v>25</v>
      </c>
    </row>
    <row r="370" spans="1:15" x14ac:dyDescent="0.3">
      <c r="A370" t="s">
        <v>1174</v>
      </c>
      <c r="B370" s="5">
        <v>33</v>
      </c>
      <c r="C370" s="5" t="str" cm="1">
        <f t="array" ref="C370">_xlfn.IFS(worksheet[[#This Row],[age]]&lt;25,"1. Young Adulthood (18-24)",worksheet[[#This Row],[age]]&lt; 35,"2. Early Adulthood (25-34)",worksheet[[#This Row],[age]]&lt; 45,"3. Mid Adulthood (35-44)",worksheet[[#This Row],[age]]&lt; 55,"4. Mature Adulthood (45-54)",TRUE,"5. Late Adulthood/Senior (55+)")</f>
        <v>2. Early Adulthood (25-34)</v>
      </c>
      <c r="D370" t="s">
        <v>27</v>
      </c>
      <c r="E370" t="s">
        <v>22</v>
      </c>
      <c r="F370" s="4">
        <v>6.15</v>
      </c>
      <c r="G370" s="5">
        <v>13</v>
      </c>
      <c r="H370" t="s">
        <v>70</v>
      </c>
      <c r="I370" t="s">
        <v>57</v>
      </c>
      <c r="J370" s="6">
        <v>13.99</v>
      </c>
      <c r="K370">
        <v>0</v>
      </c>
      <c r="L370" t="s">
        <v>19</v>
      </c>
      <c r="M370" s="5">
        <v>5</v>
      </c>
      <c r="N370" s="4">
        <v>0.44</v>
      </c>
      <c r="O370" t="s">
        <v>34</v>
      </c>
    </row>
    <row r="371" spans="1:15" x14ac:dyDescent="0.3">
      <c r="A371" t="s">
        <v>1175</v>
      </c>
      <c r="B371" s="5">
        <v>33</v>
      </c>
      <c r="C371" s="5" t="str" cm="1">
        <f t="array" ref="C371">_xlfn.IFS(worksheet[[#This Row],[age]]&lt;25,"1. Young Adulthood (18-24)",worksheet[[#This Row],[age]]&lt; 35,"2. Early Adulthood (25-34)",worksheet[[#This Row],[age]]&lt; 45,"3. Mid Adulthood (35-44)",worksheet[[#This Row],[age]]&lt; 55,"4. Mature Adulthood (45-54)",TRUE,"5. Late Adulthood/Senior (55+)")</f>
        <v>2. Early Adulthood (25-34)</v>
      </c>
      <c r="D371" t="s">
        <v>27</v>
      </c>
      <c r="E371" t="s">
        <v>22</v>
      </c>
      <c r="F371" s="4">
        <v>3.98</v>
      </c>
      <c r="G371" s="5">
        <v>49</v>
      </c>
      <c r="H371" t="s">
        <v>33</v>
      </c>
      <c r="I371" t="s">
        <v>57</v>
      </c>
      <c r="J371" s="6">
        <v>13.99</v>
      </c>
      <c r="K371">
        <v>1</v>
      </c>
      <c r="L371" t="s">
        <v>37</v>
      </c>
      <c r="M371" s="5">
        <v>4</v>
      </c>
      <c r="N371" s="4">
        <v>0.08</v>
      </c>
      <c r="O371" t="s">
        <v>30</v>
      </c>
    </row>
    <row r="372" spans="1:15" x14ac:dyDescent="0.3">
      <c r="A372" t="s">
        <v>1176</v>
      </c>
      <c r="B372" s="5">
        <v>31</v>
      </c>
      <c r="C372" s="5" t="str" cm="1">
        <f t="array" ref="C372">_xlfn.IFS(worksheet[[#This Row],[age]]&lt;25,"1. Young Adulthood (18-24)",worksheet[[#This Row],[age]]&lt; 35,"2. Early Adulthood (25-34)",worksheet[[#This Row],[age]]&lt; 45,"3. Mid Adulthood (35-44)",worksheet[[#This Row],[age]]&lt; 55,"4. Mature Adulthood (45-54)",TRUE,"5. Late Adulthood/Senior (55+)")</f>
        <v>2. Early Adulthood (25-34)</v>
      </c>
      <c r="D372" t="s">
        <v>41</v>
      </c>
      <c r="E372" t="s">
        <v>32</v>
      </c>
      <c r="F372" s="4">
        <v>1.9</v>
      </c>
      <c r="G372" s="5">
        <v>31</v>
      </c>
      <c r="H372" t="s">
        <v>23</v>
      </c>
      <c r="I372" t="s">
        <v>24</v>
      </c>
      <c r="J372" s="6">
        <v>17.989999999999998</v>
      </c>
      <c r="K372">
        <v>1</v>
      </c>
      <c r="L372" t="s">
        <v>19</v>
      </c>
      <c r="M372" s="5">
        <v>1</v>
      </c>
      <c r="N372" s="4">
        <v>0.06</v>
      </c>
      <c r="O372" t="s">
        <v>34</v>
      </c>
    </row>
    <row r="373" spans="1:15" x14ac:dyDescent="0.3">
      <c r="A373" t="s">
        <v>1177</v>
      </c>
      <c r="B373" s="5">
        <v>18</v>
      </c>
      <c r="C373" s="5" t="str" cm="1">
        <f t="array" ref="C373">_xlfn.IFS(worksheet[[#This Row],[age]]&lt;25,"1. Young Adulthood (18-24)",worksheet[[#This Row],[age]]&lt; 35,"2. Early Adulthood (25-34)",worksheet[[#This Row],[age]]&lt; 45,"3. Mid Adulthood (35-44)",worksheet[[#This Row],[age]]&lt; 55,"4. Mature Adulthood (45-54)",TRUE,"5. Late Adulthood/Senior (55+)")</f>
        <v>1. Young Adulthood (18-24)</v>
      </c>
      <c r="D373" t="s">
        <v>15</v>
      </c>
      <c r="E373" t="s">
        <v>32</v>
      </c>
      <c r="F373" s="4">
        <v>7.93</v>
      </c>
      <c r="G373" s="5">
        <v>60</v>
      </c>
      <c r="H373" t="s">
        <v>33</v>
      </c>
      <c r="I373" t="s">
        <v>24</v>
      </c>
      <c r="J373" s="6">
        <v>17.989999999999998</v>
      </c>
      <c r="K373">
        <v>0</v>
      </c>
      <c r="L373" t="s">
        <v>37</v>
      </c>
      <c r="M373" s="5">
        <v>4</v>
      </c>
      <c r="N373" s="4">
        <v>0.13</v>
      </c>
      <c r="O373" t="s">
        <v>52</v>
      </c>
    </row>
    <row r="374" spans="1:15" x14ac:dyDescent="0.3">
      <c r="A374" t="s">
        <v>1178</v>
      </c>
      <c r="B374" s="5">
        <v>29</v>
      </c>
      <c r="C374" s="5" t="str" cm="1">
        <f t="array" ref="C374">_xlfn.IFS(worksheet[[#This Row],[age]]&lt;25,"1. Young Adulthood (18-24)",worksheet[[#This Row],[age]]&lt; 35,"2. Early Adulthood (25-34)",worksheet[[#This Row],[age]]&lt; 45,"3. Mid Adulthood (35-44)",worksheet[[#This Row],[age]]&lt; 55,"4. Mature Adulthood (45-54)",TRUE,"5. Late Adulthood/Senior (55+)")</f>
        <v>2. Early Adulthood (25-34)</v>
      </c>
      <c r="D374" t="s">
        <v>41</v>
      </c>
      <c r="E374" t="s">
        <v>22</v>
      </c>
      <c r="F374" s="4">
        <v>1.23</v>
      </c>
      <c r="G374" s="5">
        <v>50</v>
      </c>
      <c r="H374" t="s">
        <v>28</v>
      </c>
      <c r="I374" t="s">
        <v>55</v>
      </c>
      <c r="J374" s="6">
        <v>13.99</v>
      </c>
      <c r="K374">
        <v>1</v>
      </c>
      <c r="L374" t="s">
        <v>43</v>
      </c>
      <c r="M374" s="5">
        <v>3</v>
      </c>
      <c r="N374" s="4">
        <v>0.02</v>
      </c>
      <c r="O374" t="s">
        <v>47</v>
      </c>
    </row>
    <row r="375" spans="1:15" x14ac:dyDescent="0.3">
      <c r="A375" t="s">
        <v>1182</v>
      </c>
      <c r="B375" s="5">
        <v>30</v>
      </c>
      <c r="C375" s="5" t="str" cm="1">
        <f t="array" ref="C375">_xlfn.IFS(worksheet[[#This Row],[age]]&lt;25,"1. Young Adulthood (18-24)",worksheet[[#This Row],[age]]&lt; 35,"2. Early Adulthood (25-34)",worksheet[[#This Row],[age]]&lt; 45,"3. Mid Adulthood (35-44)",worksheet[[#This Row],[age]]&lt; 55,"4. Mature Adulthood (45-54)",TRUE,"5. Late Adulthood/Senior (55+)")</f>
        <v>2. Early Adulthood (25-34)</v>
      </c>
      <c r="D375" t="s">
        <v>15</v>
      </c>
      <c r="E375" t="s">
        <v>22</v>
      </c>
      <c r="F375" s="4">
        <v>14.41</v>
      </c>
      <c r="G375" s="5">
        <v>51</v>
      </c>
      <c r="H375" t="s">
        <v>28</v>
      </c>
      <c r="I375" t="s">
        <v>57</v>
      </c>
      <c r="J375" s="6">
        <v>13.99</v>
      </c>
      <c r="K375">
        <v>1</v>
      </c>
      <c r="L375" t="s">
        <v>19</v>
      </c>
      <c r="M375" s="5">
        <v>1</v>
      </c>
      <c r="N375" s="4">
        <v>0.28000000000000003</v>
      </c>
      <c r="O375" t="s">
        <v>47</v>
      </c>
    </row>
    <row r="376" spans="1:15" x14ac:dyDescent="0.3">
      <c r="A376" t="s">
        <v>1183</v>
      </c>
      <c r="B376" s="5">
        <v>25</v>
      </c>
      <c r="C376" s="5" t="str" cm="1">
        <f t="array" ref="C376">_xlfn.IFS(worksheet[[#This Row],[age]]&lt;25,"1. Young Adulthood (18-24)",worksheet[[#This Row],[age]]&lt; 35,"2. Early Adulthood (25-34)",worksheet[[#This Row],[age]]&lt; 45,"3. Mid Adulthood (35-44)",worksheet[[#This Row],[age]]&lt; 55,"4. Mature Adulthood (45-54)",TRUE,"5. Late Adulthood/Senior (55+)")</f>
        <v>2. Early Adulthood (25-34)</v>
      </c>
      <c r="D376" t="s">
        <v>41</v>
      </c>
      <c r="E376" t="s">
        <v>22</v>
      </c>
      <c r="F376" s="4">
        <v>1.36</v>
      </c>
      <c r="G376" s="5">
        <v>4</v>
      </c>
      <c r="H376" t="s">
        <v>70</v>
      </c>
      <c r="I376" t="s">
        <v>46</v>
      </c>
      <c r="J376" s="6">
        <v>13.99</v>
      </c>
      <c r="K376">
        <v>0</v>
      </c>
      <c r="L376" t="s">
        <v>19</v>
      </c>
      <c r="M376" s="5">
        <v>5</v>
      </c>
      <c r="N376" s="4">
        <v>0.27</v>
      </c>
      <c r="O376" t="s">
        <v>39</v>
      </c>
    </row>
    <row r="377" spans="1:15" x14ac:dyDescent="0.3">
      <c r="A377" t="s">
        <v>1184</v>
      </c>
      <c r="B377" s="5">
        <v>33</v>
      </c>
      <c r="C377" s="5" t="str" cm="1">
        <f t="array" ref="C377">_xlfn.IFS(worksheet[[#This Row],[age]]&lt;25,"1. Young Adulthood (18-24)",worksheet[[#This Row],[age]]&lt; 35,"2. Early Adulthood (25-34)",worksheet[[#This Row],[age]]&lt; 45,"3. Mid Adulthood (35-44)",worksheet[[#This Row],[age]]&lt; 55,"4. Mature Adulthood (45-54)",TRUE,"5. Late Adulthood/Senior (55+)")</f>
        <v>2. Early Adulthood (25-34)</v>
      </c>
      <c r="D377" t="s">
        <v>27</v>
      </c>
      <c r="E377" t="s">
        <v>16</v>
      </c>
      <c r="F377" s="4">
        <v>0.03</v>
      </c>
      <c r="G377" s="5">
        <v>51</v>
      </c>
      <c r="H377" t="s">
        <v>70</v>
      </c>
      <c r="I377" t="s">
        <v>46</v>
      </c>
      <c r="J377" s="6">
        <v>8.99</v>
      </c>
      <c r="K377">
        <v>1</v>
      </c>
      <c r="L377" t="s">
        <v>61</v>
      </c>
      <c r="M377" s="5">
        <v>1</v>
      </c>
      <c r="N377" s="4">
        <v>0</v>
      </c>
      <c r="O377" t="s">
        <v>34</v>
      </c>
    </row>
    <row r="378" spans="1:15" x14ac:dyDescent="0.3">
      <c r="A378" t="s">
        <v>1186</v>
      </c>
      <c r="B378" s="5">
        <v>21</v>
      </c>
      <c r="C378" s="5" t="str" cm="1">
        <f t="array" ref="C378">_xlfn.IFS(worksheet[[#This Row],[age]]&lt;25,"1. Young Adulthood (18-24)",worksheet[[#This Row],[age]]&lt; 35,"2. Early Adulthood (25-34)",worksheet[[#This Row],[age]]&lt; 45,"3. Mid Adulthood (35-44)",worksheet[[#This Row],[age]]&lt; 55,"4. Mature Adulthood (45-54)",TRUE,"5. Late Adulthood/Senior (55+)")</f>
        <v>1. Young Adulthood (18-24)</v>
      </c>
      <c r="D378" t="s">
        <v>15</v>
      </c>
      <c r="E378" t="s">
        <v>16</v>
      </c>
      <c r="F378" s="4">
        <v>19.21</v>
      </c>
      <c r="G378" s="5">
        <v>57</v>
      </c>
      <c r="H378" t="s">
        <v>28</v>
      </c>
      <c r="I378" t="s">
        <v>46</v>
      </c>
      <c r="J378" s="6">
        <v>8.99</v>
      </c>
      <c r="K378">
        <v>1</v>
      </c>
      <c r="L378" t="s">
        <v>19</v>
      </c>
      <c r="M378" s="5">
        <v>4</v>
      </c>
      <c r="N378" s="4">
        <v>0.33</v>
      </c>
      <c r="O378" t="s">
        <v>52</v>
      </c>
    </row>
    <row r="379" spans="1:15" x14ac:dyDescent="0.3">
      <c r="A379" t="s">
        <v>1188</v>
      </c>
      <c r="B379" s="5">
        <v>21</v>
      </c>
      <c r="C379" s="5" t="str" cm="1">
        <f t="array" ref="C379">_xlfn.IFS(worksheet[[#This Row],[age]]&lt;25,"1. Young Adulthood (18-24)",worksheet[[#This Row],[age]]&lt; 35,"2. Early Adulthood (25-34)",worksheet[[#This Row],[age]]&lt; 45,"3. Mid Adulthood (35-44)",worksheet[[#This Row],[age]]&lt; 55,"4. Mature Adulthood (45-54)",TRUE,"5. Late Adulthood/Senior (55+)")</f>
        <v>1. Young Adulthood (18-24)</v>
      </c>
      <c r="D379" t="s">
        <v>27</v>
      </c>
      <c r="E379" t="s">
        <v>22</v>
      </c>
      <c r="F379" s="4">
        <v>9.39</v>
      </c>
      <c r="G379" s="5">
        <v>41</v>
      </c>
      <c r="H379" t="s">
        <v>49</v>
      </c>
      <c r="I379" t="s">
        <v>24</v>
      </c>
      <c r="J379" s="6">
        <v>13.99</v>
      </c>
      <c r="K379">
        <v>0</v>
      </c>
      <c r="L379" t="s">
        <v>43</v>
      </c>
      <c r="M379" s="5">
        <v>5</v>
      </c>
      <c r="N379" s="4">
        <v>0.22</v>
      </c>
      <c r="O379" t="s">
        <v>30</v>
      </c>
    </row>
    <row r="380" spans="1:15" x14ac:dyDescent="0.3">
      <c r="A380" t="s">
        <v>1194</v>
      </c>
      <c r="B380" s="5">
        <v>19</v>
      </c>
      <c r="C380" s="5" t="str" cm="1">
        <f t="array" ref="C380">_xlfn.IFS(worksheet[[#This Row],[age]]&lt;25,"1. Young Adulthood (18-24)",worksheet[[#This Row],[age]]&lt; 35,"2. Early Adulthood (25-34)",worksheet[[#This Row],[age]]&lt; 45,"3. Mid Adulthood (35-44)",worksheet[[#This Row],[age]]&lt; 55,"4. Mature Adulthood (45-54)",TRUE,"5. Late Adulthood/Senior (55+)")</f>
        <v>1. Young Adulthood (18-24)</v>
      </c>
      <c r="D380" t="s">
        <v>27</v>
      </c>
      <c r="E380" t="s">
        <v>16</v>
      </c>
      <c r="F380" s="4">
        <v>40.159999999999997</v>
      </c>
      <c r="G380" s="5">
        <v>20</v>
      </c>
      <c r="H380" t="s">
        <v>33</v>
      </c>
      <c r="I380" t="s">
        <v>55</v>
      </c>
      <c r="J380" s="6">
        <v>8.99</v>
      </c>
      <c r="K380">
        <v>0</v>
      </c>
      <c r="L380" t="s">
        <v>43</v>
      </c>
      <c r="M380" s="5">
        <v>3</v>
      </c>
      <c r="N380" s="4">
        <v>1.91</v>
      </c>
      <c r="O380" t="s">
        <v>20</v>
      </c>
    </row>
    <row r="381" spans="1:15" x14ac:dyDescent="0.3">
      <c r="A381" t="s">
        <v>1196</v>
      </c>
      <c r="B381" s="5">
        <v>34</v>
      </c>
      <c r="C381" s="5" t="str" cm="1">
        <f t="array" ref="C381">_xlfn.IFS(worksheet[[#This Row],[age]]&lt;25,"1. Young Adulthood (18-24)",worksheet[[#This Row],[age]]&lt; 35,"2. Early Adulthood (25-34)",worksheet[[#This Row],[age]]&lt; 45,"3. Mid Adulthood (35-44)",worksheet[[#This Row],[age]]&lt; 55,"4. Mature Adulthood (45-54)",TRUE,"5. Late Adulthood/Senior (55+)")</f>
        <v>2. Early Adulthood (25-34)</v>
      </c>
      <c r="D381" t="s">
        <v>27</v>
      </c>
      <c r="E381" t="s">
        <v>16</v>
      </c>
      <c r="F381" s="4">
        <v>7.93</v>
      </c>
      <c r="G381" s="5">
        <v>60</v>
      </c>
      <c r="H381" t="s">
        <v>28</v>
      </c>
      <c r="I381" t="s">
        <v>55</v>
      </c>
      <c r="J381" s="6">
        <v>8.99</v>
      </c>
      <c r="K381">
        <v>1</v>
      </c>
      <c r="L381" t="s">
        <v>29</v>
      </c>
      <c r="M381" s="5">
        <v>1</v>
      </c>
      <c r="N381" s="4">
        <v>0.13</v>
      </c>
      <c r="O381" t="s">
        <v>20</v>
      </c>
    </row>
    <row r="382" spans="1:15" x14ac:dyDescent="0.3">
      <c r="A382" t="s">
        <v>1198</v>
      </c>
      <c r="B382" s="5">
        <v>25</v>
      </c>
      <c r="C382" s="5" t="str" cm="1">
        <f t="array" ref="C382">_xlfn.IFS(worksheet[[#This Row],[age]]&lt;25,"1. Young Adulthood (18-24)",worksheet[[#This Row],[age]]&lt; 35,"2. Early Adulthood (25-34)",worksheet[[#This Row],[age]]&lt; 45,"3. Mid Adulthood (35-44)",worksheet[[#This Row],[age]]&lt; 55,"4. Mature Adulthood (45-54)",TRUE,"5. Late Adulthood/Senior (55+)")</f>
        <v>2. Early Adulthood (25-34)</v>
      </c>
      <c r="D382" t="s">
        <v>27</v>
      </c>
      <c r="E382" t="s">
        <v>32</v>
      </c>
      <c r="F382" s="4">
        <v>17.57</v>
      </c>
      <c r="G382" s="5">
        <v>16</v>
      </c>
      <c r="H382" t="s">
        <v>33</v>
      </c>
      <c r="I382" t="s">
        <v>57</v>
      </c>
      <c r="J382" s="6">
        <v>17.989999999999998</v>
      </c>
      <c r="K382">
        <v>0</v>
      </c>
      <c r="L382" t="s">
        <v>43</v>
      </c>
      <c r="M382" s="5">
        <v>4</v>
      </c>
      <c r="N382" s="4">
        <v>1.03</v>
      </c>
      <c r="O382" t="s">
        <v>47</v>
      </c>
    </row>
    <row r="383" spans="1:15" x14ac:dyDescent="0.3">
      <c r="A383" t="s">
        <v>1201</v>
      </c>
      <c r="B383" s="5">
        <v>28</v>
      </c>
      <c r="C383" s="5" t="str" cm="1">
        <f t="array" ref="C383">_xlfn.IFS(worksheet[[#This Row],[age]]&lt;25,"1. Young Adulthood (18-24)",worksheet[[#This Row],[age]]&lt; 35,"2. Early Adulthood (25-34)",worksheet[[#This Row],[age]]&lt; 45,"3. Mid Adulthood (35-44)",worksheet[[#This Row],[age]]&lt; 55,"4. Mature Adulthood (45-54)",TRUE,"5. Late Adulthood/Senior (55+)")</f>
        <v>2. Early Adulthood (25-34)</v>
      </c>
      <c r="D383" t="s">
        <v>41</v>
      </c>
      <c r="E383" t="s">
        <v>32</v>
      </c>
      <c r="F383" s="4">
        <v>50.96</v>
      </c>
      <c r="G383" s="5">
        <v>23</v>
      </c>
      <c r="H383" t="s">
        <v>70</v>
      </c>
      <c r="I383" t="s">
        <v>24</v>
      </c>
      <c r="J383" s="6">
        <v>17.989999999999998</v>
      </c>
      <c r="K383">
        <v>0</v>
      </c>
      <c r="L383" t="s">
        <v>29</v>
      </c>
      <c r="M383" s="5">
        <v>3</v>
      </c>
      <c r="N383" s="4">
        <v>2.12</v>
      </c>
      <c r="O383" t="s">
        <v>34</v>
      </c>
    </row>
    <row r="384" spans="1:15" x14ac:dyDescent="0.3">
      <c r="A384" t="s">
        <v>1205</v>
      </c>
      <c r="B384" s="5">
        <v>29</v>
      </c>
      <c r="C384" s="5" t="str" cm="1">
        <f t="array" ref="C384">_xlfn.IFS(worksheet[[#This Row],[age]]&lt;25,"1. Young Adulthood (18-24)",worksheet[[#This Row],[age]]&lt; 35,"2. Early Adulthood (25-34)",worksheet[[#This Row],[age]]&lt; 45,"3. Mid Adulthood (35-44)",worksheet[[#This Row],[age]]&lt; 55,"4. Mature Adulthood (45-54)",TRUE,"5. Late Adulthood/Senior (55+)")</f>
        <v>2. Early Adulthood (25-34)</v>
      </c>
      <c r="D384" t="s">
        <v>41</v>
      </c>
      <c r="E384" t="s">
        <v>32</v>
      </c>
      <c r="F384" s="4">
        <v>17.559999999999999</v>
      </c>
      <c r="G384" s="5">
        <v>13</v>
      </c>
      <c r="H384" t="s">
        <v>28</v>
      </c>
      <c r="I384" t="s">
        <v>18</v>
      </c>
      <c r="J384" s="6">
        <v>17.989999999999998</v>
      </c>
      <c r="K384">
        <v>0</v>
      </c>
      <c r="L384" t="s">
        <v>37</v>
      </c>
      <c r="M384" s="5">
        <v>3</v>
      </c>
      <c r="N384" s="4">
        <v>1.25</v>
      </c>
      <c r="O384" t="s">
        <v>39</v>
      </c>
    </row>
    <row r="385" spans="1:15" x14ac:dyDescent="0.3">
      <c r="A385" t="s">
        <v>1207</v>
      </c>
      <c r="B385" s="5">
        <v>24</v>
      </c>
      <c r="C385" s="5" t="str" cm="1">
        <f t="array" ref="C385">_xlfn.IFS(worksheet[[#This Row],[age]]&lt;25,"1. Young Adulthood (18-24)",worksheet[[#This Row],[age]]&lt; 35,"2. Early Adulthood (25-34)",worksheet[[#This Row],[age]]&lt; 45,"3. Mid Adulthood (35-44)",worksheet[[#This Row],[age]]&lt; 55,"4. Mature Adulthood (45-54)",TRUE,"5. Late Adulthood/Senior (55+)")</f>
        <v>1. Young Adulthood (18-24)</v>
      </c>
      <c r="D385" t="s">
        <v>27</v>
      </c>
      <c r="E385" t="s">
        <v>16</v>
      </c>
      <c r="F385" s="4">
        <v>1.71</v>
      </c>
      <c r="G385" s="5">
        <v>3</v>
      </c>
      <c r="H385" t="s">
        <v>17</v>
      </c>
      <c r="I385" t="s">
        <v>24</v>
      </c>
      <c r="J385" s="6">
        <v>8.99</v>
      </c>
      <c r="K385">
        <v>1</v>
      </c>
      <c r="L385" t="s">
        <v>29</v>
      </c>
      <c r="M385" s="5">
        <v>3</v>
      </c>
      <c r="N385" s="4">
        <v>0.43</v>
      </c>
      <c r="O385" t="s">
        <v>25</v>
      </c>
    </row>
    <row r="386" spans="1:15" x14ac:dyDescent="0.3">
      <c r="A386" t="s">
        <v>1210</v>
      </c>
      <c r="B386" s="5">
        <v>23</v>
      </c>
      <c r="C386" s="5" t="str" cm="1">
        <f t="array" ref="C386">_xlfn.IFS(worksheet[[#This Row],[age]]&lt;25,"1. Young Adulthood (18-24)",worksheet[[#This Row],[age]]&lt; 35,"2. Early Adulthood (25-34)",worksheet[[#This Row],[age]]&lt; 45,"3. Mid Adulthood (35-44)",worksheet[[#This Row],[age]]&lt; 55,"4. Mature Adulthood (45-54)",TRUE,"5. Late Adulthood/Senior (55+)")</f>
        <v>1. Young Adulthood (18-24)</v>
      </c>
      <c r="D386" t="s">
        <v>15</v>
      </c>
      <c r="E386" t="s">
        <v>32</v>
      </c>
      <c r="F386" s="4">
        <v>11.61</v>
      </c>
      <c r="G386" s="5">
        <v>38</v>
      </c>
      <c r="H386" t="s">
        <v>70</v>
      </c>
      <c r="I386" t="s">
        <v>24</v>
      </c>
      <c r="J386" s="6">
        <v>17.989999999999998</v>
      </c>
      <c r="K386">
        <v>1</v>
      </c>
      <c r="L386" t="s">
        <v>61</v>
      </c>
      <c r="M386" s="5">
        <v>3</v>
      </c>
      <c r="N386" s="4">
        <v>0.3</v>
      </c>
      <c r="O386" t="s">
        <v>34</v>
      </c>
    </row>
    <row r="387" spans="1:15" x14ac:dyDescent="0.3">
      <c r="A387" t="s">
        <v>1212</v>
      </c>
      <c r="B387" s="5">
        <v>29</v>
      </c>
      <c r="C387" s="5" t="str" cm="1">
        <f t="array" ref="C387">_xlfn.IFS(worksheet[[#This Row],[age]]&lt;25,"1. Young Adulthood (18-24)",worksheet[[#This Row],[age]]&lt; 35,"2. Early Adulthood (25-34)",worksheet[[#This Row],[age]]&lt; 45,"3. Mid Adulthood (35-44)",worksheet[[#This Row],[age]]&lt; 55,"4. Mature Adulthood (45-54)",TRUE,"5. Late Adulthood/Senior (55+)")</f>
        <v>2. Early Adulthood (25-34)</v>
      </c>
      <c r="D387" t="s">
        <v>15</v>
      </c>
      <c r="E387" t="s">
        <v>22</v>
      </c>
      <c r="F387" s="4">
        <v>8.31</v>
      </c>
      <c r="G387" s="5">
        <v>30</v>
      </c>
      <c r="H387" t="s">
        <v>28</v>
      </c>
      <c r="I387" t="s">
        <v>24</v>
      </c>
      <c r="J387" s="6">
        <v>13.99</v>
      </c>
      <c r="K387">
        <v>0</v>
      </c>
      <c r="L387" t="s">
        <v>43</v>
      </c>
      <c r="M387" s="5">
        <v>1</v>
      </c>
      <c r="N387" s="4">
        <v>0.27</v>
      </c>
      <c r="O387" t="s">
        <v>20</v>
      </c>
    </row>
    <row r="388" spans="1:15" x14ac:dyDescent="0.3">
      <c r="A388" t="s">
        <v>1213</v>
      </c>
      <c r="B388" s="5">
        <v>32</v>
      </c>
      <c r="C388" s="5" t="str" cm="1">
        <f t="array" ref="C388">_xlfn.IFS(worksheet[[#This Row],[age]]&lt;25,"1. Young Adulthood (18-24)",worksheet[[#This Row],[age]]&lt; 35,"2. Early Adulthood (25-34)",worksheet[[#This Row],[age]]&lt; 45,"3. Mid Adulthood (35-44)",worksheet[[#This Row],[age]]&lt; 55,"4. Mature Adulthood (45-54)",TRUE,"5. Late Adulthood/Senior (55+)")</f>
        <v>2. Early Adulthood (25-34)</v>
      </c>
      <c r="D388" t="s">
        <v>27</v>
      </c>
      <c r="E388" t="s">
        <v>16</v>
      </c>
      <c r="F388" s="4">
        <v>11.48</v>
      </c>
      <c r="G388" s="5">
        <v>34</v>
      </c>
      <c r="H388" t="s">
        <v>33</v>
      </c>
      <c r="I388" t="s">
        <v>57</v>
      </c>
      <c r="J388" s="6">
        <v>8.99</v>
      </c>
      <c r="K388">
        <v>1</v>
      </c>
      <c r="L388" t="s">
        <v>37</v>
      </c>
      <c r="M388" s="5">
        <v>1</v>
      </c>
      <c r="N388" s="4">
        <v>0.33</v>
      </c>
      <c r="O388" t="s">
        <v>34</v>
      </c>
    </row>
    <row r="389" spans="1:15" x14ac:dyDescent="0.3">
      <c r="A389" t="s">
        <v>1222</v>
      </c>
      <c r="B389" s="5">
        <v>28</v>
      </c>
      <c r="C389" s="5" t="str" cm="1">
        <f t="array" ref="C389">_xlfn.IFS(worksheet[[#This Row],[age]]&lt;25,"1. Young Adulthood (18-24)",worksheet[[#This Row],[age]]&lt; 35,"2. Early Adulthood (25-34)",worksheet[[#This Row],[age]]&lt; 45,"3. Mid Adulthood (35-44)",worksheet[[#This Row],[age]]&lt; 55,"4. Mature Adulthood (45-54)",TRUE,"5. Late Adulthood/Senior (55+)")</f>
        <v>2. Early Adulthood (25-34)</v>
      </c>
      <c r="D389" t="s">
        <v>27</v>
      </c>
      <c r="E389" t="s">
        <v>16</v>
      </c>
      <c r="F389" s="4">
        <v>13.35</v>
      </c>
      <c r="G389" s="5">
        <v>17</v>
      </c>
      <c r="H389" t="s">
        <v>70</v>
      </c>
      <c r="I389" t="s">
        <v>57</v>
      </c>
      <c r="J389" s="6">
        <v>8.99</v>
      </c>
      <c r="K389">
        <v>0</v>
      </c>
      <c r="L389" t="s">
        <v>43</v>
      </c>
      <c r="M389" s="5">
        <v>1</v>
      </c>
      <c r="N389" s="4">
        <v>0.74</v>
      </c>
      <c r="O389" t="s">
        <v>47</v>
      </c>
    </row>
    <row r="390" spans="1:15" x14ac:dyDescent="0.3">
      <c r="A390" t="s">
        <v>1225</v>
      </c>
      <c r="B390" s="5">
        <v>29</v>
      </c>
      <c r="C390" s="5" t="str" cm="1">
        <f t="array" ref="C390">_xlfn.IFS(worksheet[[#This Row],[age]]&lt;25,"1. Young Adulthood (18-24)",worksheet[[#This Row],[age]]&lt; 35,"2. Early Adulthood (25-34)",worksheet[[#This Row],[age]]&lt; 45,"3. Mid Adulthood (35-44)",worksheet[[#This Row],[age]]&lt; 55,"4. Mature Adulthood (45-54)",TRUE,"5. Late Adulthood/Senior (55+)")</f>
        <v>2. Early Adulthood (25-34)</v>
      </c>
      <c r="D390" t="s">
        <v>41</v>
      </c>
      <c r="E390" t="s">
        <v>16</v>
      </c>
      <c r="F390" s="4">
        <v>11.65</v>
      </c>
      <c r="G390" s="5">
        <v>22</v>
      </c>
      <c r="H390" t="s">
        <v>28</v>
      </c>
      <c r="I390" t="s">
        <v>46</v>
      </c>
      <c r="J390" s="6">
        <v>8.99</v>
      </c>
      <c r="K390">
        <v>0</v>
      </c>
      <c r="L390" t="s">
        <v>43</v>
      </c>
      <c r="M390" s="5">
        <v>2</v>
      </c>
      <c r="N390" s="4">
        <v>0.51</v>
      </c>
      <c r="O390" t="s">
        <v>47</v>
      </c>
    </row>
    <row r="391" spans="1:15" x14ac:dyDescent="0.3">
      <c r="A391" t="s">
        <v>1230</v>
      </c>
      <c r="B391" s="5">
        <v>24</v>
      </c>
      <c r="C391" s="5" t="str" cm="1">
        <f t="array" ref="C391">_xlfn.IFS(worksheet[[#This Row],[age]]&lt;25,"1. Young Adulthood (18-24)",worksheet[[#This Row],[age]]&lt; 35,"2. Early Adulthood (25-34)",worksheet[[#This Row],[age]]&lt; 45,"3. Mid Adulthood (35-44)",worksheet[[#This Row],[age]]&lt; 55,"4. Mature Adulthood (45-54)",TRUE,"5. Late Adulthood/Senior (55+)")</f>
        <v>1. Young Adulthood (18-24)</v>
      </c>
      <c r="D391" t="s">
        <v>41</v>
      </c>
      <c r="E391" t="s">
        <v>32</v>
      </c>
      <c r="F391" s="4">
        <v>1.1200000000000001</v>
      </c>
      <c r="G391" s="5">
        <v>55</v>
      </c>
      <c r="H391" t="s">
        <v>28</v>
      </c>
      <c r="I391" t="s">
        <v>57</v>
      </c>
      <c r="J391" s="6">
        <v>17.989999999999998</v>
      </c>
      <c r="K391">
        <v>1</v>
      </c>
      <c r="L391" t="s">
        <v>29</v>
      </c>
      <c r="M391" s="5">
        <v>5</v>
      </c>
      <c r="N391" s="4">
        <v>0.02</v>
      </c>
      <c r="O391" t="s">
        <v>52</v>
      </c>
    </row>
    <row r="392" spans="1:15" x14ac:dyDescent="0.3">
      <c r="A392" t="s">
        <v>1232</v>
      </c>
      <c r="B392" s="5">
        <v>26</v>
      </c>
      <c r="C392" s="5" t="str" cm="1">
        <f t="array" ref="C392">_xlfn.IFS(worksheet[[#This Row],[age]]&lt;25,"1. Young Adulthood (18-24)",worksheet[[#This Row],[age]]&lt; 35,"2. Early Adulthood (25-34)",worksheet[[#This Row],[age]]&lt; 45,"3. Mid Adulthood (35-44)",worksheet[[#This Row],[age]]&lt; 55,"4. Mature Adulthood (45-54)",TRUE,"5. Late Adulthood/Senior (55+)")</f>
        <v>2. Early Adulthood (25-34)</v>
      </c>
      <c r="D392" t="s">
        <v>15</v>
      </c>
      <c r="E392" t="s">
        <v>32</v>
      </c>
      <c r="F392" s="4">
        <v>8.32</v>
      </c>
      <c r="G392" s="5">
        <v>48</v>
      </c>
      <c r="H392" t="s">
        <v>17</v>
      </c>
      <c r="I392" t="s">
        <v>46</v>
      </c>
      <c r="J392" s="6">
        <v>17.989999999999998</v>
      </c>
      <c r="K392">
        <v>1</v>
      </c>
      <c r="L392" t="s">
        <v>29</v>
      </c>
      <c r="M392" s="5">
        <v>5</v>
      </c>
      <c r="N392" s="4">
        <v>0.17</v>
      </c>
      <c r="O392" t="s">
        <v>25</v>
      </c>
    </row>
    <row r="393" spans="1:15" x14ac:dyDescent="0.3">
      <c r="A393" t="s">
        <v>1234</v>
      </c>
      <c r="B393" s="5">
        <v>24</v>
      </c>
      <c r="C393" s="5" t="str" cm="1">
        <f t="array" ref="C393">_xlfn.IFS(worksheet[[#This Row],[age]]&lt;25,"1. Young Adulthood (18-24)",worksheet[[#This Row],[age]]&lt; 35,"2. Early Adulthood (25-34)",worksheet[[#This Row],[age]]&lt; 45,"3. Mid Adulthood (35-44)",worksheet[[#This Row],[age]]&lt; 55,"4. Mature Adulthood (45-54)",TRUE,"5. Late Adulthood/Senior (55+)")</f>
        <v>1. Young Adulthood (18-24)</v>
      </c>
      <c r="D393" t="s">
        <v>41</v>
      </c>
      <c r="E393" t="s">
        <v>32</v>
      </c>
      <c r="F393" s="4">
        <v>0.57999999999999996</v>
      </c>
      <c r="G393" s="5">
        <v>57</v>
      </c>
      <c r="H393" t="s">
        <v>23</v>
      </c>
      <c r="I393" t="s">
        <v>57</v>
      </c>
      <c r="J393" s="6">
        <v>17.989999999999998</v>
      </c>
      <c r="K393">
        <v>1</v>
      </c>
      <c r="L393" t="s">
        <v>43</v>
      </c>
      <c r="M393" s="5">
        <v>3</v>
      </c>
      <c r="N393" s="4">
        <v>0.01</v>
      </c>
      <c r="O393" t="s">
        <v>25</v>
      </c>
    </row>
    <row r="394" spans="1:15" x14ac:dyDescent="0.3">
      <c r="A394" t="s">
        <v>1236</v>
      </c>
      <c r="B394" s="5">
        <v>34</v>
      </c>
      <c r="C394" s="5" t="str" cm="1">
        <f t="array" ref="C394">_xlfn.IFS(worksheet[[#This Row],[age]]&lt;25,"1. Young Adulthood (18-24)",worksheet[[#This Row],[age]]&lt; 35,"2. Early Adulthood (25-34)",worksheet[[#This Row],[age]]&lt; 45,"3. Mid Adulthood (35-44)",worksheet[[#This Row],[age]]&lt; 55,"4. Mature Adulthood (45-54)",TRUE,"5. Late Adulthood/Senior (55+)")</f>
        <v>2. Early Adulthood (25-34)</v>
      </c>
      <c r="D394" t="s">
        <v>27</v>
      </c>
      <c r="E394" t="s">
        <v>16</v>
      </c>
      <c r="F394" s="4">
        <v>0.95</v>
      </c>
      <c r="G394" s="5">
        <v>44</v>
      </c>
      <c r="H394" t="s">
        <v>28</v>
      </c>
      <c r="I394" t="s">
        <v>24</v>
      </c>
      <c r="J394" s="6">
        <v>8.99</v>
      </c>
      <c r="K394">
        <v>1</v>
      </c>
      <c r="L394" t="s">
        <v>43</v>
      </c>
      <c r="M394" s="5">
        <v>4</v>
      </c>
      <c r="N394" s="4">
        <v>0.02</v>
      </c>
      <c r="O394" t="s">
        <v>20</v>
      </c>
    </row>
    <row r="395" spans="1:15" x14ac:dyDescent="0.3">
      <c r="A395" t="s">
        <v>1237</v>
      </c>
      <c r="B395" s="5">
        <v>26</v>
      </c>
      <c r="C395" s="5" t="str" cm="1">
        <f t="array" ref="C395">_xlfn.IFS(worksheet[[#This Row],[age]]&lt;25,"1. Young Adulthood (18-24)",worksheet[[#This Row],[age]]&lt; 35,"2. Early Adulthood (25-34)",worksheet[[#This Row],[age]]&lt; 45,"3. Mid Adulthood (35-44)",worksheet[[#This Row],[age]]&lt; 55,"4. Mature Adulthood (45-54)",TRUE,"5. Late Adulthood/Senior (55+)")</f>
        <v>2. Early Adulthood (25-34)</v>
      </c>
      <c r="D395" t="s">
        <v>27</v>
      </c>
      <c r="E395" t="s">
        <v>32</v>
      </c>
      <c r="F395" s="4">
        <v>0.67</v>
      </c>
      <c r="G395" s="5">
        <v>8</v>
      </c>
      <c r="H395" t="s">
        <v>28</v>
      </c>
      <c r="I395" t="s">
        <v>46</v>
      </c>
      <c r="J395" s="6">
        <v>17.989999999999998</v>
      </c>
      <c r="K395">
        <v>0</v>
      </c>
      <c r="L395" t="s">
        <v>37</v>
      </c>
      <c r="M395" s="5">
        <v>4</v>
      </c>
      <c r="N395" s="4">
        <v>7.0000000000000007E-2</v>
      </c>
      <c r="O395" t="s">
        <v>25</v>
      </c>
    </row>
    <row r="396" spans="1:15" x14ac:dyDescent="0.3">
      <c r="A396" t="s">
        <v>1250</v>
      </c>
      <c r="B396" s="5">
        <v>22</v>
      </c>
      <c r="C396" s="5" t="str" cm="1">
        <f t="array" ref="C396">_xlfn.IFS(worksheet[[#This Row],[age]]&lt;25,"1. Young Adulthood (18-24)",worksheet[[#This Row],[age]]&lt; 35,"2. Early Adulthood (25-34)",worksheet[[#This Row],[age]]&lt; 45,"3. Mid Adulthood (35-44)",worksheet[[#This Row],[age]]&lt; 55,"4. Mature Adulthood (45-54)",TRUE,"5. Late Adulthood/Senior (55+)")</f>
        <v>1. Young Adulthood (18-24)</v>
      </c>
      <c r="D396" t="s">
        <v>15</v>
      </c>
      <c r="E396" t="s">
        <v>16</v>
      </c>
      <c r="F396" s="4">
        <v>18.39</v>
      </c>
      <c r="G396" s="5">
        <v>44</v>
      </c>
      <c r="H396" t="s">
        <v>17</v>
      </c>
      <c r="I396" t="s">
        <v>18</v>
      </c>
      <c r="J396" s="6">
        <v>8.99</v>
      </c>
      <c r="K396">
        <v>1</v>
      </c>
      <c r="L396" t="s">
        <v>61</v>
      </c>
      <c r="M396" s="5">
        <v>1</v>
      </c>
      <c r="N396" s="4">
        <v>0.41</v>
      </c>
      <c r="O396" t="s">
        <v>47</v>
      </c>
    </row>
    <row r="397" spans="1:15" x14ac:dyDescent="0.3">
      <c r="A397" t="s">
        <v>1251</v>
      </c>
      <c r="B397" s="5">
        <v>24</v>
      </c>
      <c r="C397" s="5" t="str" cm="1">
        <f t="array" ref="C397">_xlfn.IFS(worksheet[[#This Row],[age]]&lt;25,"1. Young Adulthood (18-24)",worksheet[[#This Row],[age]]&lt; 35,"2. Early Adulthood (25-34)",worksheet[[#This Row],[age]]&lt; 45,"3. Mid Adulthood (35-44)",worksheet[[#This Row],[age]]&lt; 55,"4. Mature Adulthood (45-54)",TRUE,"5. Late Adulthood/Senior (55+)")</f>
        <v>1. Young Adulthood (18-24)</v>
      </c>
      <c r="D397" t="s">
        <v>27</v>
      </c>
      <c r="E397" t="s">
        <v>16</v>
      </c>
      <c r="F397" s="4">
        <v>12.03</v>
      </c>
      <c r="G397" s="5">
        <v>28</v>
      </c>
      <c r="H397" t="s">
        <v>28</v>
      </c>
      <c r="I397" t="s">
        <v>24</v>
      </c>
      <c r="J397" s="6">
        <v>8.99</v>
      </c>
      <c r="K397">
        <v>0</v>
      </c>
      <c r="L397" t="s">
        <v>37</v>
      </c>
      <c r="M397" s="5">
        <v>4</v>
      </c>
      <c r="N397" s="4">
        <v>0.41</v>
      </c>
      <c r="O397" t="s">
        <v>47</v>
      </c>
    </row>
    <row r="398" spans="1:15" x14ac:dyDescent="0.3">
      <c r="A398" t="s">
        <v>1253</v>
      </c>
      <c r="B398" s="5">
        <v>24</v>
      </c>
      <c r="C398" s="5" t="str" cm="1">
        <f t="array" ref="C398">_xlfn.IFS(worksheet[[#This Row],[age]]&lt;25,"1. Young Adulthood (18-24)",worksheet[[#This Row],[age]]&lt; 35,"2. Early Adulthood (25-34)",worksheet[[#This Row],[age]]&lt; 45,"3. Mid Adulthood (35-44)",worksheet[[#This Row],[age]]&lt; 55,"4. Mature Adulthood (45-54)",TRUE,"5. Late Adulthood/Senior (55+)")</f>
        <v>1. Young Adulthood (18-24)</v>
      </c>
      <c r="D398" t="s">
        <v>27</v>
      </c>
      <c r="E398" t="s">
        <v>22</v>
      </c>
      <c r="F398" s="4">
        <v>3.9</v>
      </c>
      <c r="G398" s="5">
        <v>32</v>
      </c>
      <c r="H398" t="s">
        <v>49</v>
      </c>
      <c r="I398" t="s">
        <v>18</v>
      </c>
      <c r="J398" s="6">
        <v>13.99</v>
      </c>
      <c r="K398">
        <v>1</v>
      </c>
      <c r="L398" t="s">
        <v>43</v>
      </c>
      <c r="M398" s="5">
        <v>5</v>
      </c>
      <c r="N398" s="4">
        <v>0.12</v>
      </c>
      <c r="O398" t="s">
        <v>25</v>
      </c>
    </row>
    <row r="399" spans="1:15" x14ac:dyDescent="0.3">
      <c r="A399" t="s">
        <v>1257</v>
      </c>
      <c r="B399" s="5">
        <v>34</v>
      </c>
      <c r="C399" s="5" t="str" cm="1">
        <f t="array" ref="C399">_xlfn.IFS(worksheet[[#This Row],[age]]&lt;25,"1. Young Adulthood (18-24)",worksheet[[#This Row],[age]]&lt; 35,"2. Early Adulthood (25-34)",worksheet[[#This Row],[age]]&lt; 45,"3. Mid Adulthood (35-44)",worksheet[[#This Row],[age]]&lt; 55,"4. Mature Adulthood (45-54)",TRUE,"5. Late Adulthood/Senior (55+)")</f>
        <v>2. Early Adulthood (25-34)</v>
      </c>
      <c r="D399" t="s">
        <v>27</v>
      </c>
      <c r="E399" t="s">
        <v>16</v>
      </c>
      <c r="F399" s="4">
        <v>4.45</v>
      </c>
      <c r="G399" s="5">
        <v>60</v>
      </c>
      <c r="H399" t="s">
        <v>70</v>
      </c>
      <c r="I399" t="s">
        <v>46</v>
      </c>
      <c r="J399" s="6">
        <v>8.99</v>
      </c>
      <c r="K399">
        <v>1</v>
      </c>
      <c r="L399" t="s">
        <v>19</v>
      </c>
      <c r="M399" s="5">
        <v>4</v>
      </c>
      <c r="N399" s="4">
        <v>7.0000000000000007E-2</v>
      </c>
      <c r="O399" t="s">
        <v>20</v>
      </c>
    </row>
    <row r="400" spans="1:15" x14ac:dyDescent="0.3">
      <c r="A400" t="s">
        <v>1258</v>
      </c>
      <c r="B400" s="5">
        <v>18</v>
      </c>
      <c r="C400" s="5" t="str" cm="1">
        <f t="array" ref="C400">_xlfn.IFS(worksheet[[#This Row],[age]]&lt;25,"1. Young Adulthood (18-24)",worksheet[[#This Row],[age]]&lt; 35,"2. Early Adulthood (25-34)",worksheet[[#This Row],[age]]&lt; 45,"3. Mid Adulthood (35-44)",worksheet[[#This Row],[age]]&lt; 55,"4. Mature Adulthood (45-54)",TRUE,"5. Late Adulthood/Senior (55+)")</f>
        <v>1. Young Adulthood (18-24)</v>
      </c>
      <c r="D400" t="s">
        <v>27</v>
      </c>
      <c r="E400" t="s">
        <v>32</v>
      </c>
      <c r="F400" s="4">
        <v>33.81</v>
      </c>
      <c r="G400" s="5">
        <v>5</v>
      </c>
      <c r="H400" t="s">
        <v>28</v>
      </c>
      <c r="I400" t="s">
        <v>18</v>
      </c>
      <c r="J400" s="6">
        <v>17.989999999999998</v>
      </c>
      <c r="K400">
        <v>0</v>
      </c>
      <c r="L400" t="s">
        <v>29</v>
      </c>
      <c r="M400" s="5">
        <v>2</v>
      </c>
      <c r="N400" s="4">
        <v>5.64</v>
      </c>
      <c r="O400" t="s">
        <v>39</v>
      </c>
    </row>
    <row r="401" spans="1:15" x14ac:dyDescent="0.3">
      <c r="A401" t="s">
        <v>1259</v>
      </c>
      <c r="B401" s="5">
        <v>21</v>
      </c>
      <c r="C401" s="5" t="str" cm="1">
        <f t="array" ref="C401">_xlfn.IFS(worksheet[[#This Row],[age]]&lt;25,"1. Young Adulthood (18-24)",worksheet[[#This Row],[age]]&lt; 35,"2. Early Adulthood (25-34)",worksheet[[#This Row],[age]]&lt; 45,"3. Mid Adulthood (35-44)",worksheet[[#This Row],[age]]&lt; 55,"4. Mature Adulthood (45-54)",TRUE,"5. Late Adulthood/Senior (55+)")</f>
        <v>1. Young Adulthood (18-24)</v>
      </c>
      <c r="D401" t="s">
        <v>15</v>
      </c>
      <c r="E401" t="s">
        <v>32</v>
      </c>
      <c r="F401" s="4">
        <v>9.85</v>
      </c>
      <c r="G401" s="5">
        <v>54</v>
      </c>
      <c r="H401" t="s">
        <v>49</v>
      </c>
      <c r="I401" t="s">
        <v>55</v>
      </c>
      <c r="J401" s="6">
        <v>17.989999999999998</v>
      </c>
      <c r="K401">
        <v>1</v>
      </c>
      <c r="L401" t="s">
        <v>37</v>
      </c>
      <c r="M401" s="5">
        <v>1</v>
      </c>
      <c r="N401" s="4">
        <v>0.18</v>
      </c>
      <c r="O401" t="s">
        <v>20</v>
      </c>
    </row>
    <row r="402" spans="1:15" x14ac:dyDescent="0.3">
      <c r="A402" t="s">
        <v>1261</v>
      </c>
      <c r="B402" s="5">
        <v>23</v>
      </c>
      <c r="C402" s="5" t="str" cm="1">
        <f t="array" ref="C402">_xlfn.IFS(worksheet[[#This Row],[age]]&lt;25,"1. Young Adulthood (18-24)",worksheet[[#This Row],[age]]&lt; 35,"2. Early Adulthood (25-34)",worksheet[[#This Row],[age]]&lt; 45,"3. Mid Adulthood (35-44)",worksheet[[#This Row],[age]]&lt; 55,"4. Mature Adulthood (45-54)",TRUE,"5. Late Adulthood/Senior (55+)")</f>
        <v>1. Young Adulthood (18-24)</v>
      </c>
      <c r="D402" t="s">
        <v>15</v>
      </c>
      <c r="E402" t="s">
        <v>22</v>
      </c>
      <c r="F402" s="4">
        <v>24.23</v>
      </c>
      <c r="G402" s="5">
        <v>52</v>
      </c>
      <c r="H402" t="s">
        <v>17</v>
      </c>
      <c r="I402" t="s">
        <v>18</v>
      </c>
      <c r="J402" s="6">
        <v>13.99</v>
      </c>
      <c r="K402">
        <v>0</v>
      </c>
      <c r="L402" t="s">
        <v>19</v>
      </c>
      <c r="M402" s="5">
        <v>2</v>
      </c>
      <c r="N402" s="4">
        <v>0.46</v>
      </c>
      <c r="O402" t="s">
        <v>52</v>
      </c>
    </row>
    <row r="403" spans="1:15" x14ac:dyDescent="0.3">
      <c r="A403" t="s">
        <v>1267</v>
      </c>
      <c r="B403" s="5">
        <v>32</v>
      </c>
      <c r="C403" s="5" t="str" cm="1">
        <f t="array" ref="C403">_xlfn.IFS(worksheet[[#This Row],[age]]&lt;25,"1. Young Adulthood (18-24)",worksheet[[#This Row],[age]]&lt; 35,"2. Early Adulthood (25-34)",worksheet[[#This Row],[age]]&lt; 45,"3. Mid Adulthood (35-44)",worksheet[[#This Row],[age]]&lt; 55,"4. Mature Adulthood (45-54)",TRUE,"5. Late Adulthood/Senior (55+)")</f>
        <v>2. Early Adulthood (25-34)</v>
      </c>
      <c r="D403" t="s">
        <v>27</v>
      </c>
      <c r="E403" t="s">
        <v>32</v>
      </c>
      <c r="F403" s="4">
        <v>4.46</v>
      </c>
      <c r="G403" s="5">
        <v>40</v>
      </c>
      <c r="H403" t="s">
        <v>49</v>
      </c>
      <c r="I403" t="s">
        <v>24</v>
      </c>
      <c r="J403" s="6">
        <v>17.989999999999998</v>
      </c>
      <c r="K403">
        <v>1</v>
      </c>
      <c r="L403" t="s">
        <v>29</v>
      </c>
      <c r="M403" s="5">
        <v>1</v>
      </c>
      <c r="N403" s="4">
        <v>0.11</v>
      </c>
      <c r="O403" t="s">
        <v>47</v>
      </c>
    </row>
    <row r="404" spans="1:15" x14ac:dyDescent="0.3">
      <c r="A404" t="s">
        <v>1269</v>
      </c>
      <c r="B404" s="5">
        <v>23</v>
      </c>
      <c r="C404" s="5" t="str" cm="1">
        <f t="array" ref="C404">_xlfn.IFS(worksheet[[#This Row],[age]]&lt;25,"1. Young Adulthood (18-24)",worksheet[[#This Row],[age]]&lt; 35,"2. Early Adulthood (25-34)",worksheet[[#This Row],[age]]&lt; 45,"3. Mid Adulthood (35-44)",worksheet[[#This Row],[age]]&lt; 55,"4. Mature Adulthood (45-54)",TRUE,"5. Late Adulthood/Senior (55+)")</f>
        <v>1. Young Adulthood (18-24)</v>
      </c>
      <c r="D404" t="s">
        <v>15</v>
      </c>
      <c r="E404" t="s">
        <v>22</v>
      </c>
      <c r="F404" s="4">
        <v>9.6</v>
      </c>
      <c r="G404" s="5">
        <v>54</v>
      </c>
      <c r="H404" t="s">
        <v>28</v>
      </c>
      <c r="I404" t="s">
        <v>46</v>
      </c>
      <c r="J404" s="6">
        <v>13.99</v>
      </c>
      <c r="K404">
        <v>1</v>
      </c>
      <c r="L404" t="s">
        <v>19</v>
      </c>
      <c r="M404" s="5">
        <v>4</v>
      </c>
      <c r="N404" s="4">
        <v>0.17</v>
      </c>
      <c r="O404" t="s">
        <v>20</v>
      </c>
    </row>
    <row r="405" spans="1:15" x14ac:dyDescent="0.3">
      <c r="A405" t="s">
        <v>1270</v>
      </c>
      <c r="B405" s="5">
        <v>28</v>
      </c>
      <c r="C405" s="5" t="str" cm="1">
        <f t="array" ref="C405">_xlfn.IFS(worksheet[[#This Row],[age]]&lt;25,"1. Young Adulthood (18-24)",worksheet[[#This Row],[age]]&lt; 35,"2. Early Adulthood (25-34)",worksheet[[#This Row],[age]]&lt; 45,"3. Mid Adulthood (35-44)",worksheet[[#This Row],[age]]&lt; 55,"4. Mature Adulthood (45-54)",TRUE,"5. Late Adulthood/Senior (55+)")</f>
        <v>2. Early Adulthood (25-34)</v>
      </c>
      <c r="D405" t="s">
        <v>27</v>
      </c>
      <c r="E405" t="s">
        <v>32</v>
      </c>
      <c r="F405" s="4">
        <v>3.16</v>
      </c>
      <c r="G405" s="5">
        <v>8</v>
      </c>
      <c r="H405" t="s">
        <v>23</v>
      </c>
      <c r="I405" t="s">
        <v>57</v>
      </c>
      <c r="J405" s="6">
        <v>17.989999999999998</v>
      </c>
      <c r="K405">
        <v>1</v>
      </c>
      <c r="L405" t="s">
        <v>29</v>
      </c>
      <c r="M405" s="5">
        <v>1</v>
      </c>
      <c r="N405" s="4">
        <v>0.35</v>
      </c>
      <c r="O405" t="s">
        <v>34</v>
      </c>
    </row>
    <row r="406" spans="1:15" x14ac:dyDescent="0.3">
      <c r="A406" t="s">
        <v>1272</v>
      </c>
      <c r="B406" s="5">
        <v>21</v>
      </c>
      <c r="C406" s="5" t="str" cm="1">
        <f t="array" ref="C406">_xlfn.IFS(worksheet[[#This Row],[age]]&lt;25,"1. Young Adulthood (18-24)",worksheet[[#This Row],[age]]&lt; 35,"2. Early Adulthood (25-34)",worksheet[[#This Row],[age]]&lt; 45,"3. Mid Adulthood (35-44)",worksheet[[#This Row],[age]]&lt; 55,"4. Mature Adulthood (45-54)",TRUE,"5. Late Adulthood/Senior (55+)")</f>
        <v>1. Young Adulthood (18-24)</v>
      </c>
      <c r="D406" t="s">
        <v>15</v>
      </c>
      <c r="E406" t="s">
        <v>22</v>
      </c>
      <c r="F406" s="4">
        <v>14.71</v>
      </c>
      <c r="G406" s="5">
        <v>11</v>
      </c>
      <c r="H406" t="s">
        <v>28</v>
      </c>
      <c r="I406" t="s">
        <v>46</v>
      </c>
      <c r="J406" s="6">
        <v>13.99</v>
      </c>
      <c r="K406">
        <v>0</v>
      </c>
      <c r="L406" t="s">
        <v>29</v>
      </c>
      <c r="M406" s="5">
        <v>1</v>
      </c>
      <c r="N406" s="4">
        <v>1.23</v>
      </c>
      <c r="O406" t="s">
        <v>25</v>
      </c>
    </row>
    <row r="407" spans="1:15" x14ac:dyDescent="0.3">
      <c r="A407" t="s">
        <v>1273</v>
      </c>
      <c r="B407" s="5">
        <v>29</v>
      </c>
      <c r="C407" s="5" t="str" cm="1">
        <f t="array" ref="C407">_xlfn.IFS(worksheet[[#This Row],[age]]&lt;25,"1. Young Adulthood (18-24)",worksheet[[#This Row],[age]]&lt; 35,"2. Early Adulthood (25-34)",worksheet[[#This Row],[age]]&lt; 45,"3. Mid Adulthood (35-44)",worksheet[[#This Row],[age]]&lt; 55,"4. Mature Adulthood (45-54)",TRUE,"5. Late Adulthood/Senior (55+)")</f>
        <v>2. Early Adulthood (25-34)</v>
      </c>
      <c r="D407" t="s">
        <v>27</v>
      </c>
      <c r="E407" t="s">
        <v>32</v>
      </c>
      <c r="F407" s="4">
        <v>0.19</v>
      </c>
      <c r="G407" s="5">
        <v>54</v>
      </c>
      <c r="H407" t="s">
        <v>23</v>
      </c>
      <c r="I407" t="s">
        <v>24</v>
      </c>
      <c r="J407" s="6">
        <v>17.989999999999998</v>
      </c>
      <c r="K407">
        <v>1</v>
      </c>
      <c r="L407" t="s">
        <v>43</v>
      </c>
      <c r="M407" s="5">
        <v>2</v>
      </c>
      <c r="N407" s="4">
        <v>0</v>
      </c>
      <c r="O407" t="s">
        <v>30</v>
      </c>
    </row>
    <row r="408" spans="1:15" x14ac:dyDescent="0.3">
      <c r="A408" t="s">
        <v>1274</v>
      </c>
      <c r="B408" s="5">
        <v>21</v>
      </c>
      <c r="C408" s="5" t="str" cm="1">
        <f t="array" ref="C408">_xlfn.IFS(worksheet[[#This Row],[age]]&lt;25,"1. Young Adulthood (18-24)",worksheet[[#This Row],[age]]&lt; 35,"2. Early Adulthood (25-34)",worksheet[[#This Row],[age]]&lt; 45,"3. Mid Adulthood (35-44)",worksheet[[#This Row],[age]]&lt; 55,"4. Mature Adulthood (45-54)",TRUE,"5. Late Adulthood/Senior (55+)")</f>
        <v>1. Young Adulthood (18-24)</v>
      </c>
      <c r="D408" t="s">
        <v>41</v>
      </c>
      <c r="E408" t="s">
        <v>32</v>
      </c>
      <c r="F408" s="4">
        <v>20</v>
      </c>
      <c r="G408" s="5">
        <v>22</v>
      </c>
      <c r="H408" t="s">
        <v>70</v>
      </c>
      <c r="I408" t="s">
        <v>46</v>
      </c>
      <c r="J408" s="6">
        <v>17.989999999999998</v>
      </c>
      <c r="K408">
        <v>0</v>
      </c>
      <c r="L408" t="s">
        <v>37</v>
      </c>
      <c r="M408" s="5">
        <v>5</v>
      </c>
      <c r="N408" s="4">
        <v>0.87</v>
      </c>
      <c r="O408" t="s">
        <v>25</v>
      </c>
    </row>
    <row r="409" spans="1:15" x14ac:dyDescent="0.3">
      <c r="A409" t="s">
        <v>1275</v>
      </c>
      <c r="B409" s="5">
        <v>32</v>
      </c>
      <c r="C409" s="5" t="str" cm="1">
        <f t="array" ref="C409">_xlfn.IFS(worksheet[[#This Row],[age]]&lt;25,"1. Young Adulthood (18-24)",worksheet[[#This Row],[age]]&lt; 35,"2. Early Adulthood (25-34)",worksheet[[#This Row],[age]]&lt; 45,"3. Mid Adulthood (35-44)",worksheet[[#This Row],[age]]&lt; 55,"4. Mature Adulthood (45-54)",TRUE,"5. Late Adulthood/Senior (55+)")</f>
        <v>2. Early Adulthood (25-34)</v>
      </c>
      <c r="D409" t="s">
        <v>41</v>
      </c>
      <c r="E409" t="s">
        <v>16</v>
      </c>
      <c r="F409" s="4">
        <v>12.51</v>
      </c>
      <c r="G409" s="5">
        <v>30</v>
      </c>
      <c r="H409" t="s">
        <v>49</v>
      </c>
      <c r="I409" t="s">
        <v>24</v>
      </c>
      <c r="J409" s="6">
        <v>8.99</v>
      </c>
      <c r="K409">
        <v>0</v>
      </c>
      <c r="L409" t="s">
        <v>43</v>
      </c>
      <c r="M409" s="5">
        <v>2</v>
      </c>
      <c r="N409" s="4">
        <v>0.4</v>
      </c>
      <c r="O409" t="s">
        <v>39</v>
      </c>
    </row>
    <row r="410" spans="1:15" x14ac:dyDescent="0.3">
      <c r="A410" t="s">
        <v>1279</v>
      </c>
      <c r="B410" s="5">
        <v>18</v>
      </c>
      <c r="C410" s="5" t="str" cm="1">
        <f t="array" ref="C410">_xlfn.IFS(worksheet[[#This Row],[age]]&lt;25,"1. Young Adulthood (18-24)",worksheet[[#This Row],[age]]&lt; 35,"2. Early Adulthood (25-34)",worksheet[[#This Row],[age]]&lt; 45,"3. Mid Adulthood (35-44)",worksheet[[#This Row],[age]]&lt; 55,"4. Mature Adulthood (45-54)",TRUE,"5. Late Adulthood/Senior (55+)")</f>
        <v>1. Young Adulthood (18-24)</v>
      </c>
      <c r="D410" t="s">
        <v>41</v>
      </c>
      <c r="E410" t="s">
        <v>32</v>
      </c>
      <c r="F410" s="4">
        <v>17.829999999999998</v>
      </c>
      <c r="G410" s="5">
        <v>37</v>
      </c>
      <c r="H410" t="s">
        <v>28</v>
      </c>
      <c r="I410" t="s">
        <v>46</v>
      </c>
      <c r="J410" s="6">
        <v>17.989999999999998</v>
      </c>
      <c r="K410">
        <v>0</v>
      </c>
      <c r="L410" t="s">
        <v>61</v>
      </c>
      <c r="M410" s="5">
        <v>4</v>
      </c>
      <c r="N410" s="4">
        <v>0.47</v>
      </c>
      <c r="O410" t="s">
        <v>20</v>
      </c>
    </row>
    <row r="411" spans="1:15" x14ac:dyDescent="0.3">
      <c r="A411" t="s">
        <v>1281</v>
      </c>
      <c r="B411" s="5">
        <v>25</v>
      </c>
      <c r="C411" s="5" t="str" cm="1">
        <f t="array" ref="C411">_xlfn.IFS(worksheet[[#This Row],[age]]&lt;25,"1. Young Adulthood (18-24)",worksheet[[#This Row],[age]]&lt; 35,"2. Early Adulthood (25-34)",worksheet[[#This Row],[age]]&lt; 45,"3. Mid Adulthood (35-44)",worksheet[[#This Row],[age]]&lt; 55,"4. Mature Adulthood (45-54)",TRUE,"5. Late Adulthood/Senior (55+)")</f>
        <v>2. Early Adulthood (25-34)</v>
      </c>
      <c r="D411" t="s">
        <v>41</v>
      </c>
      <c r="E411" t="s">
        <v>32</v>
      </c>
      <c r="F411" s="4">
        <v>22.64</v>
      </c>
      <c r="G411" s="5">
        <v>14</v>
      </c>
      <c r="H411" t="s">
        <v>17</v>
      </c>
      <c r="I411" t="s">
        <v>55</v>
      </c>
      <c r="J411" s="6">
        <v>17.989999999999998</v>
      </c>
      <c r="K411">
        <v>0</v>
      </c>
      <c r="L411" t="s">
        <v>43</v>
      </c>
      <c r="M411" s="5">
        <v>2</v>
      </c>
      <c r="N411" s="4">
        <v>1.51</v>
      </c>
      <c r="O411" t="s">
        <v>34</v>
      </c>
    </row>
    <row r="412" spans="1:15" x14ac:dyDescent="0.3">
      <c r="A412" t="s">
        <v>1286</v>
      </c>
      <c r="B412" s="5">
        <v>20</v>
      </c>
      <c r="C412" s="5" t="str" cm="1">
        <f t="array" ref="C412">_xlfn.IFS(worksheet[[#This Row],[age]]&lt;25,"1. Young Adulthood (18-24)",worksheet[[#This Row],[age]]&lt; 35,"2. Early Adulthood (25-34)",worksheet[[#This Row],[age]]&lt; 45,"3. Mid Adulthood (35-44)",worksheet[[#This Row],[age]]&lt; 55,"4. Mature Adulthood (45-54)",TRUE,"5. Late Adulthood/Senior (55+)")</f>
        <v>1. Young Adulthood (18-24)</v>
      </c>
      <c r="D412" t="s">
        <v>15</v>
      </c>
      <c r="E412" t="s">
        <v>22</v>
      </c>
      <c r="F412" s="4">
        <v>3.19</v>
      </c>
      <c r="G412" s="5">
        <v>53</v>
      </c>
      <c r="H412" t="s">
        <v>49</v>
      </c>
      <c r="I412" t="s">
        <v>57</v>
      </c>
      <c r="J412" s="6">
        <v>13.99</v>
      </c>
      <c r="K412">
        <v>1</v>
      </c>
      <c r="L412" t="s">
        <v>19</v>
      </c>
      <c r="M412" s="5">
        <v>4</v>
      </c>
      <c r="N412" s="4">
        <v>0.06</v>
      </c>
      <c r="O412" t="s">
        <v>25</v>
      </c>
    </row>
    <row r="413" spans="1:15" x14ac:dyDescent="0.3">
      <c r="A413" t="s">
        <v>1287</v>
      </c>
      <c r="B413" s="5">
        <v>20</v>
      </c>
      <c r="C413" s="5" t="str" cm="1">
        <f t="array" ref="C413">_xlfn.IFS(worksheet[[#This Row],[age]]&lt;25,"1. Young Adulthood (18-24)",worksheet[[#This Row],[age]]&lt; 35,"2. Early Adulthood (25-34)",worksheet[[#This Row],[age]]&lt; 45,"3. Mid Adulthood (35-44)",worksheet[[#This Row],[age]]&lt; 55,"4. Mature Adulthood (45-54)",TRUE,"5. Late Adulthood/Senior (55+)")</f>
        <v>1. Young Adulthood (18-24)</v>
      </c>
      <c r="D413" t="s">
        <v>41</v>
      </c>
      <c r="E413" t="s">
        <v>32</v>
      </c>
      <c r="F413" s="4">
        <v>39.85</v>
      </c>
      <c r="G413" s="5">
        <v>26</v>
      </c>
      <c r="H413" t="s">
        <v>23</v>
      </c>
      <c r="I413" t="s">
        <v>55</v>
      </c>
      <c r="J413" s="6">
        <v>17.989999999999998</v>
      </c>
      <c r="K413">
        <v>0</v>
      </c>
      <c r="L413" t="s">
        <v>37</v>
      </c>
      <c r="M413" s="5">
        <v>1</v>
      </c>
      <c r="N413" s="4">
        <v>1.48</v>
      </c>
      <c r="O413" t="s">
        <v>34</v>
      </c>
    </row>
    <row r="414" spans="1:15" x14ac:dyDescent="0.3">
      <c r="A414" t="s">
        <v>1288</v>
      </c>
      <c r="B414" s="5">
        <v>31</v>
      </c>
      <c r="C414" s="5" t="str" cm="1">
        <f t="array" ref="C414">_xlfn.IFS(worksheet[[#This Row],[age]]&lt;25,"1. Young Adulthood (18-24)",worksheet[[#This Row],[age]]&lt; 35,"2. Early Adulthood (25-34)",worksheet[[#This Row],[age]]&lt; 45,"3. Mid Adulthood (35-44)",worksheet[[#This Row],[age]]&lt; 55,"4. Mature Adulthood (45-54)",TRUE,"5. Late Adulthood/Senior (55+)")</f>
        <v>2. Early Adulthood (25-34)</v>
      </c>
      <c r="D414" t="s">
        <v>15</v>
      </c>
      <c r="E414" t="s">
        <v>22</v>
      </c>
      <c r="F414" s="4">
        <v>31.29</v>
      </c>
      <c r="G414" s="5">
        <v>9</v>
      </c>
      <c r="H414" t="s">
        <v>49</v>
      </c>
      <c r="I414" t="s">
        <v>18</v>
      </c>
      <c r="J414" s="6">
        <v>13.99</v>
      </c>
      <c r="K414">
        <v>0</v>
      </c>
      <c r="L414" t="s">
        <v>29</v>
      </c>
      <c r="M414" s="5">
        <v>4</v>
      </c>
      <c r="N414" s="4">
        <v>3.13</v>
      </c>
      <c r="O414" t="s">
        <v>52</v>
      </c>
    </row>
    <row r="415" spans="1:15" x14ac:dyDescent="0.3">
      <c r="A415" t="s">
        <v>1289</v>
      </c>
      <c r="B415" s="5">
        <v>18</v>
      </c>
      <c r="C415" s="5" t="str" cm="1">
        <f t="array" ref="C415">_xlfn.IFS(worksheet[[#This Row],[age]]&lt;25,"1. Young Adulthood (18-24)",worksheet[[#This Row],[age]]&lt; 35,"2. Early Adulthood (25-34)",worksheet[[#This Row],[age]]&lt; 45,"3. Mid Adulthood (35-44)",worksheet[[#This Row],[age]]&lt; 55,"4. Mature Adulthood (45-54)",TRUE,"5. Late Adulthood/Senior (55+)")</f>
        <v>1. Young Adulthood (18-24)</v>
      </c>
      <c r="D415" t="s">
        <v>27</v>
      </c>
      <c r="E415" t="s">
        <v>22</v>
      </c>
      <c r="F415" s="4">
        <v>11.81</v>
      </c>
      <c r="G415" s="5">
        <v>9</v>
      </c>
      <c r="H415" t="s">
        <v>49</v>
      </c>
      <c r="I415" t="s">
        <v>24</v>
      </c>
      <c r="J415" s="6">
        <v>13.99</v>
      </c>
      <c r="K415">
        <v>0</v>
      </c>
      <c r="L415" t="s">
        <v>61</v>
      </c>
      <c r="M415" s="5">
        <v>4</v>
      </c>
      <c r="N415" s="4">
        <v>1.18</v>
      </c>
      <c r="O415" t="s">
        <v>34</v>
      </c>
    </row>
    <row r="416" spans="1:15" x14ac:dyDescent="0.3">
      <c r="A416" t="s">
        <v>1292</v>
      </c>
      <c r="B416" s="5">
        <v>23</v>
      </c>
      <c r="C416" s="5" t="str" cm="1">
        <f t="array" ref="C416">_xlfn.IFS(worksheet[[#This Row],[age]]&lt;25,"1. Young Adulthood (18-24)",worksheet[[#This Row],[age]]&lt; 35,"2. Early Adulthood (25-34)",worksheet[[#This Row],[age]]&lt; 45,"3. Mid Adulthood (35-44)",worksheet[[#This Row],[age]]&lt; 55,"4. Mature Adulthood (45-54)",TRUE,"5. Late Adulthood/Senior (55+)")</f>
        <v>1. Young Adulthood (18-24)</v>
      </c>
      <c r="D416" t="s">
        <v>41</v>
      </c>
      <c r="E416" t="s">
        <v>22</v>
      </c>
      <c r="F416" s="4">
        <v>10.77</v>
      </c>
      <c r="G416" s="5">
        <v>23</v>
      </c>
      <c r="H416" t="s">
        <v>70</v>
      </c>
      <c r="I416" t="s">
        <v>46</v>
      </c>
      <c r="J416" s="6">
        <v>13.99</v>
      </c>
      <c r="K416">
        <v>0</v>
      </c>
      <c r="L416" t="s">
        <v>43</v>
      </c>
      <c r="M416" s="5">
        <v>3</v>
      </c>
      <c r="N416" s="4">
        <v>0.45</v>
      </c>
      <c r="O416" t="s">
        <v>25</v>
      </c>
    </row>
    <row r="417" spans="1:15" x14ac:dyDescent="0.3">
      <c r="A417" t="s">
        <v>1294</v>
      </c>
      <c r="B417" s="5">
        <v>22</v>
      </c>
      <c r="C417" s="5" t="str" cm="1">
        <f t="array" ref="C417">_xlfn.IFS(worksheet[[#This Row],[age]]&lt;25,"1. Young Adulthood (18-24)",worksheet[[#This Row],[age]]&lt; 35,"2. Early Adulthood (25-34)",worksheet[[#This Row],[age]]&lt; 45,"3. Mid Adulthood (35-44)",worksheet[[#This Row],[age]]&lt; 55,"4. Mature Adulthood (45-54)",TRUE,"5. Late Adulthood/Senior (55+)")</f>
        <v>1. Young Adulthood (18-24)</v>
      </c>
      <c r="D417" t="s">
        <v>41</v>
      </c>
      <c r="E417" t="s">
        <v>22</v>
      </c>
      <c r="F417" s="4">
        <v>17.8</v>
      </c>
      <c r="G417" s="5">
        <v>54</v>
      </c>
      <c r="H417" t="s">
        <v>70</v>
      </c>
      <c r="I417" t="s">
        <v>55</v>
      </c>
      <c r="J417" s="6">
        <v>13.99</v>
      </c>
      <c r="K417">
        <v>1</v>
      </c>
      <c r="L417" t="s">
        <v>37</v>
      </c>
      <c r="M417" s="5">
        <v>1</v>
      </c>
      <c r="N417" s="4">
        <v>0.32</v>
      </c>
      <c r="O417" t="s">
        <v>20</v>
      </c>
    </row>
    <row r="418" spans="1:15" x14ac:dyDescent="0.3">
      <c r="A418" t="s">
        <v>1300</v>
      </c>
      <c r="B418" s="5">
        <v>22</v>
      </c>
      <c r="C418" s="5" t="str" cm="1">
        <f t="array" ref="C418">_xlfn.IFS(worksheet[[#This Row],[age]]&lt;25,"1. Young Adulthood (18-24)",worksheet[[#This Row],[age]]&lt; 35,"2. Early Adulthood (25-34)",worksheet[[#This Row],[age]]&lt; 45,"3. Mid Adulthood (35-44)",worksheet[[#This Row],[age]]&lt; 55,"4. Mature Adulthood (45-54)",TRUE,"5. Late Adulthood/Senior (55+)")</f>
        <v>1. Young Adulthood (18-24)</v>
      </c>
      <c r="D418" t="s">
        <v>41</v>
      </c>
      <c r="E418" t="s">
        <v>32</v>
      </c>
      <c r="F418" s="4">
        <v>21.47</v>
      </c>
      <c r="G418" s="5">
        <v>51</v>
      </c>
      <c r="H418" t="s">
        <v>49</v>
      </c>
      <c r="I418" t="s">
        <v>18</v>
      </c>
      <c r="J418" s="6">
        <v>17.989999999999998</v>
      </c>
      <c r="K418">
        <v>0</v>
      </c>
      <c r="L418" t="s">
        <v>43</v>
      </c>
      <c r="M418" s="5">
        <v>3</v>
      </c>
      <c r="N418" s="4">
        <v>0.41</v>
      </c>
      <c r="O418" t="s">
        <v>25</v>
      </c>
    </row>
    <row r="419" spans="1:15" x14ac:dyDescent="0.3">
      <c r="A419" t="s">
        <v>1301</v>
      </c>
      <c r="B419" s="5">
        <v>18</v>
      </c>
      <c r="C419" s="5" t="str" cm="1">
        <f t="array" ref="C419">_xlfn.IFS(worksheet[[#This Row],[age]]&lt;25,"1. Young Adulthood (18-24)",worksheet[[#This Row],[age]]&lt; 35,"2. Early Adulthood (25-34)",worksheet[[#This Row],[age]]&lt; 45,"3. Mid Adulthood (35-44)",worksheet[[#This Row],[age]]&lt; 55,"4. Mature Adulthood (45-54)",TRUE,"5. Late Adulthood/Senior (55+)")</f>
        <v>1. Young Adulthood (18-24)</v>
      </c>
      <c r="D419" t="s">
        <v>15</v>
      </c>
      <c r="E419" t="s">
        <v>32</v>
      </c>
      <c r="F419" s="4">
        <v>16.89</v>
      </c>
      <c r="G419" s="5">
        <v>33</v>
      </c>
      <c r="H419" t="s">
        <v>49</v>
      </c>
      <c r="I419" t="s">
        <v>46</v>
      </c>
      <c r="J419" s="6">
        <v>17.989999999999998</v>
      </c>
      <c r="K419">
        <v>0</v>
      </c>
      <c r="L419" t="s">
        <v>37</v>
      </c>
      <c r="M419" s="5">
        <v>4</v>
      </c>
      <c r="N419" s="4">
        <v>0.5</v>
      </c>
      <c r="O419" t="s">
        <v>39</v>
      </c>
    </row>
    <row r="420" spans="1:15" x14ac:dyDescent="0.3">
      <c r="A420" t="s">
        <v>1304</v>
      </c>
      <c r="B420" s="5">
        <v>23</v>
      </c>
      <c r="C420" s="5" t="str" cm="1">
        <f t="array" ref="C420">_xlfn.IFS(worksheet[[#This Row],[age]]&lt;25,"1. Young Adulthood (18-24)",worksheet[[#This Row],[age]]&lt; 35,"2. Early Adulthood (25-34)",worksheet[[#This Row],[age]]&lt; 45,"3. Mid Adulthood (35-44)",worksheet[[#This Row],[age]]&lt; 55,"4. Mature Adulthood (45-54)",TRUE,"5. Late Adulthood/Senior (55+)")</f>
        <v>1. Young Adulthood (18-24)</v>
      </c>
      <c r="D420" t="s">
        <v>41</v>
      </c>
      <c r="E420" t="s">
        <v>16</v>
      </c>
      <c r="F420" s="4">
        <v>10.37</v>
      </c>
      <c r="G420" s="5">
        <v>30</v>
      </c>
      <c r="H420" t="s">
        <v>33</v>
      </c>
      <c r="I420" t="s">
        <v>57</v>
      </c>
      <c r="J420" s="6">
        <v>8.99</v>
      </c>
      <c r="K420">
        <v>0</v>
      </c>
      <c r="L420" t="s">
        <v>43</v>
      </c>
      <c r="M420" s="5">
        <v>2</v>
      </c>
      <c r="N420" s="4">
        <v>0.33</v>
      </c>
      <c r="O420" t="s">
        <v>30</v>
      </c>
    </row>
    <row r="421" spans="1:15" x14ac:dyDescent="0.3">
      <c r="A421" t="s">
        <v>1305</v>
      </c>
      <c r="B421" s="5">
        <v>24</v>
      </c>
      <c r="C421" s="5" t="str" cm="1">
        <f t="array" ref="C421">_xlfn.IFS(worksheet[[#This Row],[age]]&lt;25,"1. Young Adulthood (18-24)",worksheet[[#This Row],[age]]&lt; 35,"2. Early Adulthood (25-34)",worksheet[[#This Row],[age]]&lt; 45,"3. Mid Adulthood (35-44)",worksheet[[#This Row],[age]]&lt; 55,"4. Mature Adulthood (45-54)",TRUE,"5. Late Adulthood/Senior (55+)")</f>
        <v>1. Young Adulthood (18-24)</v>
      </c>
      <c r="D421" t="s">
        <v>27</v>
      </c>
      <c r="E421" t="s">
        <v>16</v>
      </c>
      <c r="F421" s="4">
        <v>21.04</v>
      </c>
      <c r="G421" s="5">
        <v>10</v>
      </c>
      <c r="H421" t="s">
        <v>33</v>
      </c>
      <c r="I421" t="s">
        <v>57</v>
      </c>
      <c r="J421" s="6">
        <v>8.99</v>
      </c>
      <c r="K421">
        <v>0</v>
      </c>
      <c r="L421" t="s">
        <v>19</v>
      </c>
      <c r="M421" s="5">
        <v>2</v>
      </c>
      <c r="N421" s="4">
        <v>1.91</v>
      </c>
      <c r="O421" t="s">
        <v>20</v>
      </c>
    </row>
    <row r="422" spans="1:15" x14ac:dyDescent="0.3">
      <c r="A422" s="1" t="s">
        <v>1306</v>
      </c>
      <c r="B422" s="5">
        <v>31</v>
      </c>
      <c r="C422" s="5" t="str" cm="1">
        <f t="array" ref="C422">_xlfn.IFS(worksheet[[#This Row],[age]]&lt;25,"1. Young Adulthood (18-24)",worksheet[[#This Row],[age]]&lt; 35,"2. Early Adulthood (25-34)",worksheet[[#This Row],[age]]&lt; 45,"3. Mid Adulthood (35-44)",worksheet[[#This Row],[age]]&lt; 55,"4. Mature Adulthood (45-54)",TRUE,"5. Late Adulthood/Senior (55+)")</f>
        <v>2. Early Adulthood (25-34)</v>
      </c>
      <c r="D422" t="s">
        <v>15</v>
      </c>
      <c r="E422" t="s">
        <v>22</v>
      </c>
      <c r="F422" s="4">
        <v>8.02</v>
      </c>
      <c r="G422" s="5">
        <v>28</v>
      </c>
      <c r="H422" t="s">
        <v>33</v>
      </c>
      <c r="I422" t="s">
        <v>18</v>
      </c>
      <c r="J422" s="6">
        <v>13.99</v>
      </c>
      <c r="K422">
        <v>0</v>
      </c>
      <c r="L422" t="s">
        <v>19</v>
      </c>
      <c r="M422" s="5">
        <v>5</v>
      </c>
      <c r="N422" s="4">
        <v>0.28000000000000003</v>
      </c>
      <c r="O422" t="s">
        <v>30</v>
      </c>
    </row>
    <row r="423" spans="1:15" x14ac:dyDescent="0.3">
      <c r="A423" t="s">
        <v>1310</v>
      </c>
      <c r="B423" s="5">
        <v>29</v>
      </c>
      <c r="C423" s="5" t="str" cm="1">
        <f t="array" ref="C423">_xlfn.IFS(worksheet[[#This Row],[age]]&lt;25,"1. Young Adulthood (18-24)",worksheet[[#This Row],[age]]&lt; 35,"2. Early Adulthood (25-34)",worksheet[[#This Row],[age]]&lt; 45,"3. Mid Adulthood (35-44)",worksheet[[#This Row],[age]]&lt; 55,"4. Mature Adulthood (45-54)",TRUE,"5. Late Adulthood/Senior (55+)")</f>
        <v>2. Early Adulthood (25-34)</v>
      </c>
      <c r="D423" t="s">
        <v>27</v>
      </c>
      <c r="E423" t="s">
        <v>16</v>
      </c>
      <c r="F423" s="4">
        <v>0.36</v>
      </c>
      <c r="G423" s="5">
        <v>3</v>
      </c>
      <c r="H423" t="s">
        <v>28</v>
      </c>
      <c r="I423" t="s">
        <v>24</v>
      </c>
      <c r="J423" s="6">
        <v>8.99</v>
      </c>
      <c r="K423">
        <v>1</v>
      </c>
      <c r="L423" t="s">
        <v>37</v>
      </c>
      <c r="M423" s="5">
        <v>4</v>
      </c>
      <c r="N423" s="4">
        <v>0.09</v>
      </c>
      <c r="O423" t="s">
        <v>34</v>
      </c>
    </row>
    <row r="424" spans="1:15" x14ac:dyDescent="0.3">
      <c r="A424" t="s">
        <v>1316</v>
      </c>
      <c r="B424" s="5">
        <v>26</v>
      </c>
      <c r="C424" s="5" t="str" cm="1">
        <f t="array" ref="C424">_xlfn.IFS(worksheet[[#This Row],[age]]&lt;25,"1. Young Adulthood (18-24)",worksheet[[#This Row],[age]]&lt; 35,"2. Early Adulthood (25-34)",worksheet[[#This Row],[age]]&lt; 45,"3. Mid Adulthood (35-44)",worksheet[[#This Row],[age]]&lt; 55,"4. Mature Adulthood (45-54)",TRUE,"5. Late Adulthood/Senior (55+)")</f>
        <v>2. Early Adulthood (25-34)</v>
      </c>
      <c r="D424" t="s">
        <v>41</v>
      </c>
      <c r="E424" t="s">
        <v>16</v>
      </c>
      <c r="F424" s="4">
        <v>2.04</v>
      </c>
      <c r="G424" s="5">
        <v>59</v>
      </c>
      <c r="H424" t="s">
        <v>49</v>
      </c>
      <c r="I424" t="s">
        <v>46</v>
      </c>
      <c r="J424" s="6">
        <v>8.99</v>
      </c>
      <c r="K424">
        <v>1</v>
      </c>
      <c r="L424" t="s">
        <v>61</v>
      </c>
      <c r="M424" s="5">
        <v>5</v>
      </c>
      <c r="N424" s="4">
        <v>0.03</v>
      </c>
      <c r="O424" t="s">
        <v>30</v>
      </c>
    </row>
    <row r="425" spans="1:15" x14ac:dyDescent="0.3">
      <c r="A425" t="s">
        <v>1317</v>
      </c>
      <c r="B425" s="5">
        <v>25</v>
      </c>
      <c r="C425" s="5" t="str" cm="1">
        <f t="array" ref="C425">_xlfn.IFS(worksheet[[#This Row],[age]]&lt;25,"1. Young Adulthood (18-24)",worksheet[[#This Row],[age]]&lt; 35,"2. Early Adulthood (25-34)",worksheet[[#This Row],[age]]&lt; 45,"3. Mid Adulthood (35-44)",worksheet[[#This Row],[age]]&lt; 55,"4. Mature Adulthood (45-54)",TRUE,"5. Late Adulthood/Senior (55+)")</f>
        <v>2. Early Adulthood (25-34)</v>
      </c>
      <c r="D425" t="s">
        <v>41</v>
      </c>
      <c r="E425" t="s">
        <v>22</v>
      </c>
      <c r="F425" s="4">
        <v>30.99</v>
      </c>
      <c r="G425" s="5">
        <v>52</v>
      </c>
      <c r="H425" t="s">
        <v>23</v>
      </c>
      <c r="I425" t="s">
        <v>18</v>
      </c>
      <c r="J425" s="6">
        <v>13.99</v>
      </c>
      <c r="K425">
        <v>0</v>
      </c>
      <c r="L425" t="s">
        <v>19</v>
      </c>
      <c r="M425" s="5">
        <v>4</v>
      </c>
      <c r="N425" s="4">
        <v>0.57999999999999996</v>
      </c>
      <c r="O425" t="s">
        <v>34</v>
      </c>
    </row>
    <row r="426" spans="1:15" x14ac:dyDescent="0.3">
      <c r="A426" t="s">
        <v>1318</v>
      </c>
      <c r="B426" s="5">
        <v>33</v>
      </c>
      <c r="C426" s="5" t="str" cm="1">
        <f t="array" ref="C426">_xlfn.IFS(worksheet[[#This Row],[age]]&lt;25,"1. Young Adulthood (18-24)",worksheet[[#This Row],[age]]&lt; 35,"2. Early Adulthood (25-34)",worksheet[[#This Row],[age]]&lt; 45,"3. Mid Adulthood (35-44)",worksheet[[#This Row],[age]]&lt; 55,"4. Mature Adulthood (45-54)",TRUE,"5. Late Adulthood/Senior (55+)")</f>
        <v>2. Early Adulthood (25-34)</v>
      </c>
      <c r="D426" t="s">
        <v>15</v>
      </c>
      <c r="E426" t="s">
        <v>16</v>
      </c>
      <c r="F426" s="4">
        <v>20.059999999999999</v>
      </c>
      <c r="G426" s="5">
        <v>32</v>
      </c>
      <c r="H426" t="s">
        <v>49</v>
      </c>
      <c r="I426" t="s">
        <v>57</v>
      </c>
      <c r="J426" s="6">
        <v>8.99</v>
      </c>
      <c r="K426">
        <v>0</v>
      </c>
      <c r="L426" t="s">
        <v>37</v>
      </c>
      <c r="M426" s="5">
        <v>3</v>
      </c>
      <c r="N426" s="4">
        <v>0.61</v>
      </c>
      <c r="O426" t="s">
        <v>30</v>
      </c>
    </row>
    <row r="427" spans="1:15" x14ac:dyDescent="0.3">
      <c r="A427" t="s">
        <v>1325</v>
      </c>
      <c r="B427" s="5">
        <v>20</v>
      </c>
      <c r="C427" s="5" t="str" cm="1">
        <f t="array" ref="C427">_xlfn.IFS(worksheet[[#This Row],[age]]&lt;25,"1. Young Adulthood (18-24)",worksheet[[#This Row],[age]]&lt; 35,"2. Early Adulthood (25-34)",worksheet[[#This Row],[age]]&lt; 45,"3. Mid Adulthood (35-44)",worksheet[[#This Row],[age]]&lt; 55,"4. Mature Adulthood (45-54)",TRUE,"5. Late Adulthood/Senior (55+)")</f>
        <v>1. Young Adulthood (18-24)</v>
      </c>
      <c r="D427" t="s">
        <v>41</v>
      </c>
      <c r="E427" t="s">
        <v>16</v>
      </c>
      <c r="F427" s="4">
        <v>14.05</v>
      </c>
      <c r="G427" s="5">
        <v>12</v>
      </c>
      <c r="H427" t="s">
        <v>28</v>
      </c>
      <c r="I427" t="s">
        <v>24</v>
      </c>
      <c r="J427" s="6">
        <v>8.99</v>
      </c>
      <c r="K427">
        <v>0</v>
      </c>
      <c r="L427" t="s">
        <v>19</v>
      </c>
      <c r="M427" s="5">
        <v>2</v>
      </c>
      <c r="N427" s="4">
        <v>1.08</v>
      </c>
      <c r="O427" t="s">
        <v>39</v>
      </c>
    </row>
    <row r="428" spans="1:15" x14ac:dyDescent="0.3">
      <c r="A428" t="s">
        <v>1334</v>
      </c>
      <c r="B428" s="5">
        <v>31</v>
      </c>
      <c r="C428" s="5" t="str" cm="1">
        <f t="array" ref="C428">_xlfn.IFS(worksheet[[#This Row],[age]]&lt;25,"1. Young Adulthood (18-24)",worksheet[[#This Row],[age]]&lt; 35,"2. Early Adulthood (25-34)",worksheet[[#This Row],[age]]&lt; 45,"3. Mid Adulthood (35-44)",worksheet[[#This Row],[age]]&lt; 55,"4. Mature Adulthood (45-54)",TRUE,"5. Late Adulthood/Senior (55+)")</f>
        <v>2. Early Adulthood (25-34)</v>
      </c>
      <c r="D428" t="s">
        <v>41</v>
      </c>
      <c r="E428" t="s">
        <v>16</v>
      </c>
      <c r="F428" s="4">
        <v>11.96</v>
      </c>
      <c r="G428" s="5">
        <v>6</v>
      </c>
      <c r="H428" t="s">
        <v>17</v>
      </c>
      <c r="I428" t="s">
        <v>46</v>
      </c>
      <c r="J428" s="6">
        <v>8.99</v>
      </c>
      <c r="K428">
        <v>0</v>
      </c>
      <c r="L428" t="s">
        <v>43</v>
      </c>
      <c r="M428" s="5">
        <v>4</v>
      </c>
      <c r="N428" s="4">
        <v>1.71</v>
      </c>
      <c r="O428" t="s">
        <v>25</v>
      </c>
    </row>
    <row r="429" spans="1:15" x14ac:dyDescent="0.3">
      <c r="A429" t="s">
        <v>1335</v>
      </c>
      <c r="B429" s="5">
        <v>23</v>
      </c>
      <c r="C429" s="5" t="str" cm="1">
        <f t="array" ref="C429">_xlfn.IFS(worksheet[[#This Row],[age]]&lt;25,"1. Young Adulthood (18-24)",worksheet[[#This Row],[age]]&lt; 35,"2. Early Adulthood (25-34)",worksheet[[#This Row],[age]]&lt; 45,"3. Mid Adulthood (35-44)",worksheet[[#This Row],[age]]&lt; 55,"4. Mature Adulthood (45-54)",TRUE,"5. Late Adulthood/Senior (55+)")</f>
        <v>1. Young Adulthood (18-24)</v>
      </c>
      <c r="D429" t="s">
        <v>15</v>
      </c>
      <c r="E429" t="s">
        <v>22</v>
      </c>
      <c r="F429" s="4">
        <v>3.04</v>
      </c>
      <c r="G429" s="5">
        <v>48</v>
      </c>
      <c r="H429" t="s">
        <v>23</v>
      </c>
      <c r="I429" t="s">
        <v>57</v>
      </c>
      <c r="J429" s="6">
        <v>13.99</v>
      </c>
      <c r="K429">
        <v>1</v>
      </c>
      <c r="L429" t="s">
        <v>29</v>
      </c>
      <c r="M429" s="5">
        <v>2</v>
      </c>
      <c r="N429" s="4">
        <v>0.06</v>
      </c>
      <c r="O429" t="s">
        <v>34</v>
      </c>
    </row>
    <row r="430" spans="1:15" x14ac:dyDescent="0.3">
      <c r="A430" t="s">
        <v>1336</v>
      </c>
      <c r="B430" s="5">
        <v>27</v>
      </c>
      <c r="C430" s="5" t="str" cm="1">
        <f t="array" ref="C430">_xlfn.IFS(worksheet[[#This Row],[age]]&lt;25,"1. Young Adulthood (18-24)",worksheet[[#This Row],[age]]&lt; 35,"2. Early Adulthood (25-34)",worksheet[[#This Row],[age]]&lt; 45,"3. Mid Adulthood (35-44)",worksheet[[#This Row],[age]]&lt; 55,"4. Mature Adulthood (45-54)",TRUE,"5. Late Adulthood/Senior (55+)")</f>
        <v>2. Early Adulthood (25-34)</v>
      </c>
      <c r="D430" t="s">
        <v>27</v>
      </c>
      <c r="E430" t="s">
        <v>22</v>
      </c>
      <c r="F430" s="4">
        <v>0.21</v>
      </c>
      <c r="G430" s="5">
        <v>44</v>
      </c>
      <c r="H430" t="s">
        <v>17</v>
      </c>
      <c r="I430" t="s">
        <v>24</v>
      </c>
      <c r="J430" s="6">
        <v>13.99</v>
      </c>
      <c r="K430">
        <v>1</v>
      </c>
      <c r="L430" t="s">
        <v>19</v>
      </c>
      <c r="M430" s="5">
        <v>3</v>
      </c>
      <c r="N430" s="4">
        <v>0</v>
      </c>
      <c r="O430" t="s">
        <v>52</v>
      </c>
    </row>
    <row r="431" spans="1:15" x14ac:dyDescent="0.3">
      <c r="A431" t="s">
        <v>1339</v>
      </c>
      <c r="B431" s="5">
        <v>25</v>
      </c>
      <c r="C431" s="5" t="str" cm="1">
        <f t="array" ref="C431">_xlfn.IFS(worksheet[[#This Row],[age]]&lt;25,"1. Young Adulthood (18-24)",worksheet[[#This Row],[age]]&lt; 35,"2. Early Adulthood (25-34)",worksheet[[#This Row],[age]]&lt; 45,"3. Mid Adulthood (35-44)",worksheet[[#This Row],[age]]&lt; 55,"4. Mature Adulthood (45-54)",TRUE,"5. Late Adulthood/Senior (55+)")</f>
        <v>2. Early Adulthood (25-34)</v>
      </c>
      <c r="D431" t="s">
        <v>27</v>
      </c>
      <c r="E431" t="s">
        <v>16</v>
      </c>
      <c r="F431" s="4">
        <v>21.23</v>
      </c>
      <c r="G431" s="5">
        <v>10</v>
      </c>
      <c r="H431" t="s">
        <v>17</v>
      </c>
      <c r="I431" t="s">
        <v>46</v>
      </c>
      <c r="J431" s="6">
        <v>8.99</v>
      </c>
      <c r="K431">
        <v>0</v>
      </c>
      <c r="L431" t="s">
        <v>37</v>
      </c>
      <c r="M431" s="5">
        <v>1</v>
      </c>
      <c r="N431" s="4">
        <v>1.93</v>
      </c>
      <c r="O431" t="s">
        <v>34</v>
      </c>
    </row>
    <row r="432" spans="1:15" x14ac:dyDescent="0.3">
      <c r="A432" t="s">
        <v>1340</v>
      </c>
      <c r="B432" s="5">
        <v>24</v>
      </c>
      <c r="C432" s="5" t="str" cm="1">
        <f t="array" ref="C432">_xlfn.IFS(worksheet[[#This Row],[age]]&lt;25,"1. Young Adulthood (18-24)",worksheet[[#This Row],[age]]&lt; 35,"2. Early Adulthood (25-34)",worksheet[[#This Row],[age]]&lt; 45,"3. Mid Adulthood (35-44)",worksheet[[#This Row],[age]]&lt; 55,"4. Mature Adulthood (45-54)",TRUE,"5. Late Adulthood/Senior (55+)")</f>
        <v>1. Young Adulthood (18-24)</v>
      </c>
      <c r="D432" t="s">
        <v>27</v>
      </c>
      <c r="E432" t="s">
        <v>32</v>
      </c>
      <c r="F432" s="4">
        <v>0.65</v>
      </c>
      <c r="G432" s="5">
        <v>34</v>
      </c>
      <c r="H432" t="s">
        <v>17</v>
      </c>
      <c r="I432" t="s">
        <v>24</v>
      </c>
      <c r="J432" s="6">
        <v>17.989999999999998</v>
      </c>
      <c r="K432">
        <v>1</v>
      </c>
      <c r="L432" t="s">
        <v>19</v>
      </c>
      <c r="M432" s="5">
        <v>4</v>
      </c>
      <c r="N432" s="4">
        <v>0.02</v>
      </c>
      <c r="O432" t="s">
        <v>30</v>
      </c>
    </row>
    <row r="433" spans="1:15" x14ac:dyDescent="0.3">
      <c r="A433" t="s">
        <v>1341</v>
      </c>
      <c r="B433" s="5">
        <v>18</v>
      </c>
      <c r="C433" s="5" t="str" cm="1">
        <f t="array" ref="C433">_xlfn.IFS(worksheet[[#This Row],[age]]&lt;25,"1. Young Adulthood (18-24)",worksheet[[#This Row],[age]]&lt; 35,"2. Early Adulthood (25-34)",worksheet[[#This Row],[age]]&lt; 45,"3. Mid Adulthood (35-44)",worksheet[[#This Row],[age]]&lt; 55,"4. Mature Adulthood (45-54)",TRUE,"5. Late Adulthood/Senior (55+)")</f>
        <v>1. Young Adulthood (18-24)</v>
      </c>
      <c r="D433" t="s">
        <v>15</v>
      </c>
      <c r="E433" t="s">
        <v>32</v>
      </c>
      <c r="F433" s="4">
        <v>17.010000000000002</v>
      </c>
      <c r="G433" s="5">
        <v>43</v>
      </c>
      <c r="H433" t="s">
        <v>49</v>
      </c>
      <c r="I433" t="s">
        <v>55</v>
      </c>
      <c r="J433" s="6">
        <v>17.989999999999998</v>
      </c>
      <c r="K433">
        <v>1</v>
      </c>
      <c r="L433" t="s">
        <v>43</v>
      </c>
      <c r="M433" s="5">
        <v>2</v>
      </c>
      <c r="N433" s="4">
        <v>0.39</v>
      </c>
      <c r="O433" t="s">
        <v>30</v>
      </c>
    </row>
    <row r="434" spans="1:15" x14ac:dyDescent="0.3">
      <c r="A434" t="s">
        <v>1344</v>
      </c>
      <c r="B434" s="5">
        <v>27</v>
      </c>
      <c r="C434" s="5" t="str" cm="1">
        <f t="array" ref="C434">_xlfn.IFS(worksheet[[#This Row],[age]]&lt;25,"1. Young Adulthood (18-24)",worksheet[[#This Row],[age]]&lt; 35,"2. Early Adulthood (25-34)",worksheet[[#This Row],[age]]&lt; 45,"3. Mid Adulthood (35-44)",worksheet[[#This Row],[age]]&lt; 55,"4. Mature Adulthood (45-54)",TRUE,"5. Late Adulthood/Senior (55+)")</f>
        <v>2. Early Adulthood (25-34)</v>
      </c>
      <c r="D434" t="s">
        <v>41</v>
      </c>
      <c r="E434" t="s">
        <v>32</v>
      </c>
      <c r="F434" s="4">
        <v>2.95</v>
      </c>
      <c r="G434" s="5">
        <v>30</v>
      </c>
      <c r="H434" t="s">
        <v>49</v>
      </c>
      <c r="I434" t="s">
        <v>55</v>
      </c>
      <c r="J434" s="6">
        <v>17.989999999999998</v>
      </c>
      <c r="K434">
        <v>1</v>
      </c>
      <c r="L434" t="s">
        <v>43</v>
      </c>
      <c r="M434" s="5">
        <v>2</v>
      </c>
      <c r="N434" s="4">
        <v>0.1</v>
      </c>
      <c r="O434" t="s">
        <v>34</v>
      </c>
    </row>
    <row r="435" spans="1:15" x14ac:dyDescent="0.3">
      <c r="A435" t="s">
        <v>1345</v>
      </c>
      <c r="B435" s="5">
        <v>33</v>
      </c>
      <c r="C435" s="5" t="str" cm="1">
        <f t="array" ref="C435">_xlfn.IFS(worksheet[[#This Row],[age]]&lt;25,"1. Young Adulthood (18-24)",worksheet[[#This Row],[age]]&lt; 35,"2. Early Adulthood (25-34)",worksheet[[#This Row],[age]]&lt; 45,"3. Mid Adulthood (35-44)",worksheet[[#This Row],[age]]&lt; 55,"4. Mature Adulthood (45-54)",TRUE,"5. Late Adulthood/Senior (55+)")</f>
        <v>2. Early Adulthood (25-34)</v>
      </c>
      <c r="D435" t="s">
        <v>27</v>
      </c>
      <c r="E435" t="s">
        <v>16</v>
      </c>
      <c r="F435" s="4">
        <v>21.76</v>
      </c>
      <c r="G435" s="5">
        <v>33</v>
      </c>
      <c r="H435" t="s">
        <v>28</v>
      </c>
      <c r="I435" t="s">
        <v>46</v>
      </c>
      <c r="J435" s="6">
        <v>8.99</v>
      </c>
      <c r="K435">
        <v>0</v>
      </c>
      <c r="L435" t="s">
        <v>29</v>
      </c>
      <c r="M435" s="5">
        <v>4</v>
      </c>
      <c r="N435" s="4">
        <v>0.64</v>
      </c>
      <c r="O435" t="s">
        <v>20</v>
      </c>
    </row>
    <row r="436" spans="1:15" x14ac:dyDescent="0.3">
      <c r="A436" t="s">
        <v>1347</v>
      </c>
      <c r="B436" s="5">
        <v>32</v>
      </c>
      <c r="C436" s="5" t="str" cm="1">
        <f t="array" ref="C436">_xlfn.IFS(worksheet[[#This Row],[age]]&lt;25,"1. Young Adulthood (18-24)",worksheet[[#This Row],[age]]&lt; 35,"2. Early Adulthood (25-34)",worksheet[[#This Row],[age]]&lt; 45,"3. Mid Adulthood (35-44)",worksheet[[#This Row],[age]]&lt; 55,"4. Mature Adulthood (45-54)",TRUE,"5. Late Adulthood/Senior (55+)")</f>
        <v>2. Early Adulthood (25-34)</v>
      </c>
      <c r="D436" t="s">
        <v>41</v>
      </c>
      <c r="E436" t="s">
        <v>32</v>
      </c>
      <c r="F436" s="4">
        <v>19.63</v>
      </c>
      <c r="G436" s="5">
        <v>18</v>
      </c>
      <c r="H436" t="s">
        <v>28</v>
      </c>
      <c r="I436" t="s">
        <v>46</v>
      </c>
      <c r="J436" s="6">
        <v>17.989999999999998</v>
      </c>
      <c r="K436">
        <v>0</v>
      </c>
      <c r="L436" t="s">
        <v>29</v>
      </c>
      <c r="M436" s="5">
        <v>5</v>
      </c>
      <c r="N436" s="4">
        <v>1.03</v>
      </c>
      <c r="O436" t="s">
        <v>34</v>
      </c>
    </row>
    <row r="437" spans="1:15" x14ac:dyDescent="0.3">
      <c r="A437" t="s">
        <v>1353</v>
      </c>
      <c r="B437" s="5">
        <v>23</v>
      </c>
      <c r="C437" s="5" t="str" cm="1">
        <f t="array" ref="C437">_xlfn.IFS(worksheet[[#This Row],[age]]&lt;25,"1. Young Adulthood (18-24)",worksheet[[#This Row],[age]]&lt; 35,"2. Early Adulthood (25-34)",worksheet[[#This Row],[age]]&lt; 45,"3. Mid Adulthood (35-44)",worksheet[[#This Row],[age]]&lt; 55,"4. Mature Adulthood (45-54)",TRUE,"5. Late Adulthood/Senior (55+)")</f>
        <v>1. Young Adulthood (18-24)</v>
      </c>
      <c r="D437" t="s">
        <v>27</v>
      </c>
      <c r="E437" t="s">
        <v>32</v>
      </c>
      <c r="F437" s="4">
        <v>4.03</v>
      </c>
      <c r="G437" s="5">
        <v>3</v>
      </c>
      <c r="H437" t="s">
        <v>70</v>
      </c>
      <c r="I437" t="s">
        <v>24</v>
      </c>
      <c r="J437" s="6">
        <v>17.989999999999998</v>
      </c>
      <c r="K437">
        <v>0</v>
      </c>
      <c r="L437" t="s">
        <v>43</v>
      </c>
      <c r="M437" s="5">
        <v>5</v>
      </c>
      <c r="N437" s="4">
        <v>1.01</v>
      </c>
      <c r="O437" t="s">
        <v>39</v>
      </c>
    </row>
    <row r="438" spans="1:15" x14ac:dyDescent="0.3">
      <c r="A438" t="s">
        <v>1358</v>
      </c>
      <c r="B438" s="5">
        <v>18</v>
      </c>
      <c r="C438" s="5" t="str" cm="1">
        <f t="array" ref="C438">_xlfn.IFS(worksheet[[#This Row],[age]]&lt;25,"1. Young Adulthood (18-24)",worksheet[[#This Row],[age]]&lt; 35,"2. Early Adulthood (25-34)",worksheet[[#This Row],[age]]&lt; 45,"3. Mid Adulthood (35-44)",worksheet[[#This Row],[age]]&lt; 55,"4. Mature Adulthood (45-54)",TRUE,"5. Late Adulthood/Senior (55+)")</f>
        <v>1. Young Adulthood (18-24)</v>
      </c>
      <c r="D438" t="s">
        <v>27</v>
      </c>
      <c r="E438" t="s">
        <v>16</v>
      </c>
      <c r="F438" s="4">
        <v>5.19</v>
      </c>
      <c r="G438" s="5">
        <v>37</v>
      </c>
      <c r="H438" t="s">
        <v>49</v>
      </c>
      <c r="I438" t="s">
        <v>57</v>
      </c>
      <c r="J438" s="6">
        <v>8.99</v>
      </c>
      <c r="K438">
        <v>1</v>
      </c>
      <c r="L438" t="s">
        <v>29</v>
      </c>
      <c r="M438" s="5">
        <v>1</v>
      </c>
      <c r="N438" s="4">
        <v>0.14000000000000001</v>
      </c>
      <c r="O438" t="s">
        <v>39</v>
      </c>
    </row>
    <row r="439" spans="1:15" x14ac:dyDescent="0.3">
      <c r="A439" t="s">
        <v>1362</v>
      </c>
      <c r="B439" s="5">
        <v>27</v>
      </c>
      <c r="C439" s="5" t="str" cm="1">
        <f t="array" ref="C439">_xlfn.IFS(worksheet[[#This Row],[age]]&lt;25,"1. Young Adulthood (18-24)",worksheet[[#This Row],[age]]&lt; 35,"2. Early Adulthood (25-34)",worksheet[[#This Row],[age]]&lt; 45,"3. Mid Adulthood (35-44)",worksheet[[#This Row],[age]]&lt; 55,"4. Mature Adulthood (45-54)",TRUE,"5. Late Adulthood/Senior (55+)")</f>
        <v>2. Early Adulthood (25-34)</v>
      </c>
      <c r="D439" t="s">
        <v>27</v>
      </c>
      <c r="E439" t="s">
        <v>32</v>
      </c>
      <c r="F439" s="4">
        <v>1.29</v>
      </c>
      <c r="G439" s="5">
        <v>22</v>
      </c>
      <c r="H439" t="s">
        <v>70</v>
      </c>
      <c r="I439" t="s">
        <v>46</v>
      </c>
      <c r="J439" s="6">
        <v>17.989999999999998</v>
      </c>
      <c r="K439">
        <v>0</v>
      </c>
      <c r="L439" t="s">
        <v>37</v>
      </c>
      <c r="M439" s="5">
        <v>5</v>
      </c>
      <c r="N439" s="4">
        <v>0.06</v>
      </c>
      <c r="O439" t="s">
        <v>47</v>
      </c>
    </row>
    <row r="440" spans="1:15" x14ac:dyDescent="0.3">
      <c r="A440" t="s">
        <v>1368</v>
      </c>
      <c r="B440" s="5">
        <v>21</v>
      </c>
      <c r="C440" s="5" t="str" cm="1">
        <f t="array" ref="C440">_xlfn.IFS(worksheet[[#This Row],[age]]&lt;25,"1. Young Adulthood (18-24)",worksheet[[#This Row],[age]]&lt; 35,"2. Early Adulthood (25-34)",worksheet[[#This Row],[age]]&lt; 45,"3. Mid Adulthood (35-44)",worksheet[[#This Row],[age]]&lt; 55,"4. Mature Adulthood (45-54)",TRUE,"5. Late Adulthood/Senior (55+)")</f>
        <v>1. Young Adulthood (18-24)</v>
      </c>
      <c r="D440" t="s">
        <v>41</v>
      </c>
      <c r="E440" t="s">
        <v>16</v>
      </c>
      <c r="F440" s="4">
        <v>10.77</v>
      </c>
      <c r="G440" s="5">
        <v>24</v>
      </c>
      <c r="H440" t="s">
        <v>17</v>
      </c>
      <c r="I440" t="s">
        <v>18</v>
      </c>
      <c r="J440" s="6">
        <v>8.99</v>
      </c>
      <c r="K440">
        <v>0</v>
      </c>
      <c r="L440" t="s">
        <v>43</v>
      </c>
      <c r="M440" s="5">
        <v>2</v>
      </c>
      <c r="N440" s="4">
        <v>0.43</v>
      </c>
      <c r="O440" t="s">
        <v>34</v>
      </c>
    </row>
    <row r="441" spans="1:15" x14ac:dyDescent="0.3">
      <c r="A441" t="s">
        <v>1372</v>
      </c>
      <c r="B441" s="5">
        <v>31</v>
      </c>
      <c r="C441" s="5" t="str" cm="1">
        <f t="array" ref="C441">_xlfn.IFS(worksheet[[#This Row],[age]]&lt;25,"1. Young Adulthood (18-24)",worksheet[[#This Row],[age]]&lt; 35,"2. Early Adulthood (25-34)",worksheet[[#This Row],[age]]&lt; 45,"3. Mid Adulthood (35-44)",worksheet[[#This Row],[age]]&lt; 55,"4. Mature Adulthood (45-54)",TRUE,"5. Late Adulthood/Senior (55+)")</f>
        <v>2. Early Adulthood (25-34)</v>
      </c>
      <c r="D441" t="s">
        <v>27</v>
      </c>
      <c r="E441" t="s">
        <v>32</v>
      </c>
      <c r="F441" s="4">
        <v>1.02</v>
      </c>
      <c r="G441" s="5">
        <v>39</v>
      </c>
      <c r="H441" t="s">
        <v>33</v>
      </c>
      <c r="I441" t="s">
        <v>46</v>
      </c>
      <c r="J441" s="6">
        <v>17.989999999999998</v>
      </c>
      <c r="K441">
        <v>1</v>
      </c>
      <c r="L441" t="s">
        <v>29</v>
      </c>
      <c r="M441" s="5">
        <v>3</v>
      </c>
      <c r="N441" s="4">
        <v>0.03</v>
      </c>
      <c r="O441" t="s">
        <v>30</v>
      </c>
    </row>
    <row r="442" spans="1:15" x14ac:dyDescent="0.3">
      <c r="A442" t="s">
        <v>1373</v>
      </c>
      <c r="B442" s="5">
        <v>27</v>
      </c>
      <c r="C442" s="5" t="str" cm="1">
        <f t="array" ref="C442">_xlfn.IFS(worksheet[[#This Row],[age]]&lt;25,"1. Young Adulthood (18-24)",worksheet[[#This Row],[age]]&lt; 35,"2. Early Adulthood (25-34)",worksheet[[#This Row],[age]]&lt; 45,"3. Mid Adulthood (35-44)",worksheet[[#This Row],[age]]&lt; 55,"4. Mature Adulthood (45-54)",TRUE,"5. Late Adulthood/Senior (55+)")</f>
        <v>2. Early Adulthood (25-34)</v>
      </c>
      <c r="D442" t="s">
        <v>15</v>
      </c>
      <c r="E442" t="s">
        <v>32</v>
      </c>
      <c r="F442" s="4">
        <v>30.11</v>
      </c>
      <c r="G442" s="5">
        <v>3</v>
      </c>
      <c r="H442" t="s">
        <v>17</v>
      </c>
      <c r="I442" t="s">
        <v>24</v>
      </c>
      <c r="J442" s="6">
        <v>17.989999999999998</v>
      </c>
      <c r="K442">
        <v>0</v>
      </c>
      <c r="L442" t="s">
        <v>29</v>
      </c>
      <c r="M442" s="5">
        <v>3</v>
      </c>
      <c r="N442" s="4">
        <v>7.53</v>
      </c>
      <c r="O442" t="s">
        <v>39</v>
      </c>
    </row>
    <row r="443" spans="1:15" x14ac:dyDescent="0.3">
      <c r="A443" t="s">
        <v>1378</v>
      </c>
      <c r="B443" s="5">
        <v>19</v>
      </c>
      <c r="C443" s="5" t="str" cm="1">
        <f t="array" ref="C443">_xlfn.IFS(worksheet[[#This Row],[age]]&lt;25,"1. Young Adulthood (18-24)",worksheet[[#This Row],[age]]&lt; 35,"2. Early Adulthood (25-34)",worksheet[[#This Row],[age]]&lt; 45,"3. Mid Adulthood (35-44)",worksheet[[#This Row],[age]]&lt; 55,"4. Mature Adulthood (45-54)",TRUE,"5. Late Adulthood/Senior (55+)")</f>
        <v>1. Young Adulthood (18-24)</v>
      </c>
      <c r="D443" t="s">
        <v>41</v>
      </c>
      <c r="E443" t="s">
        <v>32</v>
      </c>
      <c r="F443" s="4">
        <v>1.98</v>
      </c>
      <c r="G443" s="5">
        <v>26</v>
      </c>
      <c r="H443" t="s">
        <v>28</v>
      </c>
      <c r="I443" t="s">
        <v>46</v>
      </c>
      <c r="J443" s="6">
        <v>17.989999999999998</v>
      </c>
      <c r="K443">
        <v>0</v>
      </c>
      <c r="L443" t="s">
        <v>43</v>
      </c>
      <c r="M443" s="5">
        <v>4</v>
      </c>
      <c r="N443" s="4">
        <v>7.0000000000000007E-2</v>
      </c>
      <c r="O443" t="s">
        <v>34</v>
      </c>
    </row>
    <row r="444" spans="1:15" x14ac:dyDescent="0.3">
      <c r="A444" t="s">
        <v>1383</v>
      </c>
      <c r="B444" s="5">
        <v>30</v>
      </c>
      <c r="C444" s="5" t="str" cm="1">
        <f t="array" ref="C444">_xlfn.IFS(worksheet[[#This Row],[age]]&lt;25,"1. Young Adulthood (18-24)",worksheet[[#This Row],[age]]&lt; 35,"2. Early Adulthood (25-34)",worksheet[[#This Row],[age]]&lt; 45,"3. Mid Adulthood (35-44)",worksheet[[#This Row],[age]]&lt; 55,"4. Mature Adulthood (45-54)",TRUE,"5. Late Adulthood/Senior (55+)")</f>
        <v>2. Early Adulthood (25-34)</v>
      </c>
      <c r="D444" t="s">
        <v>15</v>
      </c>
      <c r="E444" t="s">
        <v>16</v>
      </c>
      <c r="F444" s="4">
        <v>14.06</v>
      </c>
      <c r="G444" s="5">
        <v>50</v>
      </c>
      <c r="H444" t="s">
        <v>70</v>
      </c>
      <c r="I444" t="s">
        <v>46</v>
      </c>
      <c r="J444" s="6">
        <v>8.99</v>
      </c>
      <c r="K444">
        <v>1</v>
      </c>
      <c r="L444" t="s">
        <v>19</v>
      </c>
      <c r="M444" s="5">
        <v>1</v>
      </c>
      <c r="N444" s="4">
        <v>0.28000000000000003</v>
      </c>
      <c r="O444" t="s">
        <v>52</v>
      </c>
    </row>
    <row r="445" spans="1:15" x14ac:dyDescent="0.3">
      <c r="A445" t="s">
        <v>1392</v>
      </c>
      <c r="B445" s="5">
        <v>24</v>
      </c>
      <c r="C445" s="5" t="str" cm="1">
        <f t="array" ref="C445">_xlfn.IFS(worksheet[[#This Row],[age]]&lt;25,"1. Young Adulthood (18-24)",worksheet[[#This Row],[age]]&lt; 35,"2. Early Adulthood (25-34)",worksheet[[#This Row],[age]]&lt; 45,"3. Mid Adulthood (35-44)",worksheet[[#This Row],[age]]&lt; 55,"4. Mature Adulthood (45-54)",TRUE,"5. Late Adulthood/Senior (55+)")</f>
        <v>1. Young Adulthood (18-24)</v>
      </c>
      <c r="D445" t="s">
        <v>41</v>
      </c>
      <c r="E445" t="s">
        <v>22</v>
      </c>
      <c r="F445" s="4">
        <v>8.9600000000000009</v>
      </c>
      <c r="G445" s="5">
        <v>34</v>
      </c>
      <c r="H445" t="s">
        <v>49</v>
      </c>
      <c r="I445" t="s">
        <v>24</v>
      </c>
      <c r="J445" s="6">
        <v>13.99</v>
      </c>
      <c r="K445">
        <v>1</v>
      </c>
      <c r="L445" t="s">
        <v>19</v>
      </c>
      <c r="M445" s="5">
        <v>2</v>
      </c>
      <c r="N445" s="4">
        <v>0.26</v>
      </c>
      <c r="O445" t="s">
        <v>47</v>
      </c>
    </row>
    <row r="446" spans="1:15" x14ac:dyDescent="0.3">
      <c r="A446" t="s">
        <v>1394</v>
      </c>
      <c r="B446" s="5">
        <v>30</v>
      </c>
      <c r="C446" s="5" t="str" cm="1">
        <f t="array" ref="C446">_xlfn.IFS(worksheet[[#This Row],[age]]&lt;25,"1. Young Adulthood (18-24)",worksheet[[#This Row],[age]]&lt; 35,"2. Early Adulthood (25-34)",worksheet[[#This Row],[age]]&lt; 45,"3. Mid Adulthood (35-44)",worksheet[[#This Row],[age]]&lt; 55,"4. Mature Adulthood (45-54)",TRUE,"5. Late Adulthood/Senior (55+)")</f>
        <v>2. Early Adulthood (25-34)</v>
      </c>
      <c r="D446" t="s">
        <v>27</v>
      </c>
      <c r="E446" t="s">
        <v>22</v>
      </c>
      <c r="F446" s="4">
        <v>1.21</v>
      </c>
      <c r="G446" s="5">
        <v>14</v>
      </c>
      <c r="H446" t="s">
        <v>23</v>
      </c>
      <c r="I446" t="s">
        <v>18</v>
      </c>
      <c r="J446" s="6">
        <v>13.99</v>
      </c>
      <c r="K446">
        <v>1</v>
      </c>
      <c r="L446" t="s">
        <v>29</v>
      </c>
      <c r="M446" s="5">
        <v>5</v>
      </c>
      <c r="N446" s="4">
        <v>0.08</v>
      </c>
      <c r="O446" t="s">
        <v>30</v>
      </c>
    </row>
    <row r="447" spans="1:15" x14ac:dyDescent="0.3">
      <c r="A447" t="s">
        <v>1396</v>
      </c>
      <c r="B447" s="5">
        <v>30</v>
      </c>
      <c r="C447" s="5" t="str" cm="1">
        <f t="array" ref="C447">_xlfn.IFS(worksheet[[#This Row],[age]]&lt;25,"1. Young Adulthood (18-24)",worksheet[[#This Row],[age]]&lt; 35,"2. Early Adulthood (25-34)",worksheet[[#This Row],[age]]&lt; 45,"3. Mid Adulthood (35-44)",worksheet[[#This Row],[age]]&lt; 55,"4. Mature Adulthood (45-54)",TRUE,"5. Late Adulthood/Senior (55+)")</f>
        <v>2. Early Adulthood (25-34)</v>
      </c>
      <c r="D447" t="s">
        <v>27</v>
      </c>
      <c r="E447" t="s">
        <v>16</v>
      </c>
      <c r="F447" s="4">
        <v>7.59</v>
      </c>
      <c r="G447" s="5">
        <v>36</v>
      </c>
      <c r="H447" t="s">
        <v>33</v>
      </c>
      <c r="I447" t="s">
        <v>24</v>
      </c>
      <c r="J447" s="6">
        <v>8.99</v>
      </c>
      <c r="K447">
        <v>1</v>
      </c>
      <c r="L447" t="s">
        <v>61</v>
      </c>
      <c r="M447" s="5">
        <v>3</v>
      </c>
      <c r="N447" s="4">
        <v>0.21</v>
      </c>
      <c r="O447" t="s">
        <v>34</v>
      </c>
    </row>
    <row r="448" spans="1:15" x14ac:dyDescent="0.3">
      <c r="A448" t="s">
        <v>1397</v>
      </c>
      <c r="B448" s="5">
        <v>26</v>
      </c>
      <c r="C448" s="5" t="str" cm="1">
        <f t="array" ref="C448">_xlfn.IFS(worksheet[[#This Row],[age]]&lt;25,"1. Young Adulthood (18-24)",worksheet[[#This Row],[age]]&lt; 35,"2. Early Adulthood (25-34)",worksheet[[#This Row],[age]]&lt; 45,"3. Mid Adulthood (35-44)",worksheet[[#This Row],[age]]&lt; 55,"4. Mature Adulthood (45-54)",TRUE,"5. Late Adulthood/Senior (55+)")</f>
        <v>2. Early Adulthood (25-34)</v>
      </c>
      <c r="D448" t="s">
        <v>41</v>
      </c>
      <c r="E448" t="s">
        <v>16</v>
      </c>
      <c r="F448" s="4">
        <v>22.41</v>
      </c>
      <c r="G448" s="5">
        <v>15</v>
      </c>
      <c r="H448" t="s">
        <v>49</v>
      </c>
      <c r="I448" t="s">
        <v>57</v>
      </c>
      <c r="J448" s="6">
        <v>8.99</v>
      </c>
      <c r="K448">
        <v>0</v>
      </c>
      <c r="L448" t="s">
        <v>19</v>
      </c>
      <c r="M448" s="5">
        <v>4</v>
      </c>
      <c r="N448" s="4">
        <v>1.4</v>
      </c>
      <c r="O448" t="s">
        <v>20</v>
      </c>
    </row>
    <row r="449" spans="1:15" x14ac:dyDescent="0.3">
      <c r="A449" t="s">
        <v>1399</v>
      </c>
      <c r="B449" s="5">
        <v>19</v>
      </c>
      <c r="C449" s="5" t="str" cm="1">
        <f t="array" ref="C449">_xlfn.IFS(worksheet[[#This Row],[age]]&lt;25,"1. Young Adulthood (18-24)",worksheet[[#This Row],[age]]&lt; 35,"2. Early Adulthood (25-34)",worksheet[[#This Row],[age]]&lt; 45,"3. Mid Adulthood (35-44)",worksheet[[#This Row],[age]]&lt; 55,"4. Mature Adulthood (45-54)",TRUE,"5. Late Adulthood/Senior (55+)")</f>
        <v>1. Young Adulthood (18-24)</v>
      </c>
      <c r="D449" t="s">
        <v>41</v>
      </c>
      <c r="E449" t="s">
        <v>16</v>
      </c>
      <c r="F449" s="4">
        <v>12.3</v>
      </c>
      <c r="G449" s="5">
        <v>29</v>
      </c>
      <c r="H449" t="s">
        <v>33</v>
      </c>
      <c r="I449" t="s">
        <v>55</v>
      </c>
      <c r="J449" s="6">
        <v>8.99</v>
      </c>
      <c r="K449">
        <v>1</v>
      </c>
      <c r="L449" t="s">
        <v>37</v>
      </c>
      <c r="M449" s="5">
        <v>1</v>
      </c>
      <c r="N449" s="4">
        <v>0.41</v>
      </c>
      <c r="O449" t="s">
        <v>30</v>
      </c>
    </row>
    <row r="450" spans="1:15" x14ac:dyDescent="0.3">
      <c r="A450" t="s">
        <v>1400</v>
      </c>
      <c r="B450" s="5">
        <v>33</v>
      </c>
      <c r="C450" s="5" t="str" cm="1">
        <f t="array" ref="C450">_xlfn.IFS(worksheet[[#This Row],[age]]&lt;25,"1. Young Adulthood (18-24)",worksheet[[#This Row],[age]]&lt; 35,"2. Early Adulthood (25-34)",worksheet[[#This Row],[age]]&lt; 45,"3. Mid Adulthood (35-44)",worksheet[[#This Row],[age]]&lt; 55,"4. Mature Adulthood (45-54)",TRUE,"5. Late Adulthood/Senior (55+)")</f>
        <v>2. Early Adulthood (25-34)</v>
      </c>
      <c r="D450" t="s">
        <v>15</v>
      </c>
      <c r="E450" t="s">
        <v>16</v>
      </c>
      <c r="F450" s="4">
        <v>29.76</v>
      </c>
      <c r="G450" s="5">
        <v>50</v>
      </c>
      <c r="H450" t="s">
        <v>23</v>
      </c>
      <c r="I450" t="s">
        <v>24</v>
      </c>
      <c r="J450" s="6">
        <v>8.99</v>
      </c>
      <c r="K450">
        <v>0</v>
      </c>
      <c r="L450" t="s">
        <v>29</v>
      </c>
      <c r="M450" s="5">
        <v>3</v>
      </c>
      <c r="N450" s="4">
        <v>0.57999999999999996</v>
      </c>
      <c r="O450" t="s">
        <v>20</v>
      </c>
    </row>
    <row r="451" spans="1:15" x14ac:dyDescent="0.3">
      <c r="A451" t="s">
        <v>1401</v>
      </c>
      <c r="B451" s="5">
        <v>21</v>
      </c>
      <c r="C451" s="5" t="str" cm="1">
        <f t="array" ref="C451">_xlfn.IFS(worksheet[[#This Row],[age]]&lt;25,"1. Young Adulthood (18-24)",worksheet[[#This Row],[age]]&lt; 35,"2. Early Adulthood (25-34)",worksheet[[#This Row],[age]]&lt; 45,"3. Mid Adulthood (35-44)",worksheet[[#This Row],[age]]&lt; 55,"4. Mature Adulthood (45-54)",TRUE,"5. Late Adulthood/Senior (55+)")</f>
        <v>1. Young Adulthood (18-24)</v>
      </c>
      <c r="D451" t="s">
        <v>15</v>
      </c>
      <c r="E451" t="s">
        <v>16</v>
      </c>
      <c r="F451" s="4">
        <v>18.91</v>
      </c>
      <c r="G451" s="5">
        <v>36</v>
      </c>
      <c r="H451" t="s">
        <v>28</v>
      </c>
      <c r="I451" t="s">
        <v>55</v>
      </c>
      <c r="J451" s="6">
        <v>8.99</v>
      </c>
      <c r="K451">
        <v>1</v>
      </c>
      <c r="L451" t="s">
        <v>37</v>
      </c>
      <c r="M451" s="5">
        <v>1</v>
      </c>
      <c r="N451" s="4">
        <v>0.51</v>
      </c>
      <c r="O451" t="s">
        <v>34</v>
      </c>
    </row>
    <row r="452" spans="1:15" x14ac:dyDescent="0.3">
      <c r="A452" t="s">
        <v>1403</v>
      </c>
      <c r="B452" s="5">
        <v>30</v>
      </c>
      <c r="C452" s="5" t="str" cm="1">
        <f t="array" ref="C452">_xlfn.IFS(worksheet[[#This Row],[age]]&lt;25,"1. Young Adulthood (18-24)",worksheet[[#This Row],[age]]&lt; 35,"2. Early Adulthood (25-34)",worksheet[[#This Row],[age]]&lt; 45,"3. Mid Adulthood (35-44)",worksheet[[#This Row],[age]]&lt; 55,"4. Mature Adulthood (45-54)",TRUE,"5. Late Adulthood/Senior (55+)")</f>
        <v>2. Early Adulthood (25-34)</v>
      </c>
      <c r="D452" t="s">
        <v>27</v>
      </c>
      <c r="E452" t="s">
        <v>32</v>
      </c>
      <c r="F452" s="4">
        <v>1.85</v>
      </c>
      <c r="G452" s="5">
        <v>5</v>
      </c>
      <c r="H452" t="s">
        <v>23</v>
      </c>
      <c r="I452" t="s">
        <v>46</v>
      </c>
      <c r="J452" s="6">
        <v>17.989999999999998</v>
      </c>
      <c r="K452">
        <v>0</v>
      </c>
      <c r="L452" t="s">
        <v>37</v>
      </c>
      <c r="M452" s="5">
        <v>5</v>
      </c>
      <c r="N452" s="4">
        <v>0.31</v>
      </c>
      <c r="O452" t="s">
        <v>30</v>
      </c>
    </row>
    <row r="453" spans="1:15" x14ac:dyDescent="0.3">
      <c r="A453" t="s">
        <v>1404</v>
      </c>
      <c r="B453" s="5">
        <v>23</v>
      </c>
      <c r="C453" s="5" t="str" cm="1">
        <f t="array" ref="C453">_xlfn.IFS(worksheet[[#This Row],[age]]&lt;25,"1. Young Adulthood (18-24)",worksheet[[#This Row],[age]]&lt; 35,"2. Early Adulthood (25-34)",worksheet[[#This Row],[age]]&lt; 45,"3. Mid Adulthood (35-44)",worksheet[[#This Row],[age]]&lt; 55,"4. Mature Adulthood (45-54)",TRUE,"5. Late Adulthood/Senior (55+)")</f>
        <v>1. Young Adulthood (18-24)</v>
      </c>
      <c r="D453" t="s">
        <v>15</v>
      </c>
      <c r="E453" t="s">
        <v>16</v>
      </c>
      <c r="F453" s="4">
        <v>28.57</v>
      </c>
      <c r="G453" s="5">
        <v>55</v>
      </c>
      <c r="H453" t="s">
        <v>33</v>
      </c>
      <c r="I453" t="s">
        <v>55</v>
      </c>
      <c r="J453" s="6">
        <v>8.99</v>
      </c>
      <c r="K453">
        <v>0</v>
      </c>
      <c r="L453" t="s">
        <v>43</v>
      </c>
      <c r="M453" s="5">
        <v>3</v>
      </c>
      <c r="N453" s="4">
        <v>0.51</v>
      </c>
      <c r="O453" t="s">
        <v>30</v>
      </c>
    </row>
    <row r="454" spans="1:15" x14ac:dyDescent="0.3">
      <c r="A454" t="s">
        <v>1411</v>
      </c>
      <c r="B454" s="5">
        <v>21</v>
      </c>
      <c r="C454" s="5" t="str" cm="1">
        <f t="array" ref="C454">_xlfn.IFS(worksheet[[#This Row],[age]]&lt;25,"1. Young Adulthood (18-24)",worksheet[[#This Row],[age]]&lt; 35,"2. Early Adulthood (25-34)",worksheet[[#This Row],[age]]&lt; 45,"3. Mid Adulthood (35-44)",worksheet[[#This Row],[age]]&lt; 55,"4. Mature Adulthood (45-54)",TRUE,"5. Late Adulthood/Senior (55+)")</f>
        <v>1. Young Adulthood (18-24)</v>
      </c>
      <c r="D454" t="s">
        <v>15</v>
      </c>
      <c r="E454" t="s">
        <v>32</v>
      </c>
      <c r="F454" s="4">
        <v>12.34</v>
      </c>
      <c r="G454" s="5">
        <v>19</v>
      </c>
      <c r="H454" t="s">
        <v>33</v>
      </c>
      <c r="I454" t="s">
        <v>18</v>
      </c>
      <c r="J454" s="6">
        <v>17.989999999999998</v>
      </c>
      <c r="K454">
        <v>0</v>
      </c>
      <c r="L454" t="s">
        <v>37</v>
      </c>
      <c r="M454" s="5">
        <v>3</v>
      </c>
      <c r="N454" s="4">
        <v>0.62</v>
      </c>
      <c r="O454" t="s">
        <v>39</v>
      </c>
    </row>
    <row r="455" spans="1:15" x14ac:dyDescent="0.3">
      <c r="A455" t="s">
        <v>1412</v>
      </c>
      <c r="B455" s="5">
        <v>29</v>
      </c>
      <c r="C455" s="5" t="str" cm="1">
        <f t="array" ref="C455">_xlfn.IFS(worksheet[[#This Row],[age]]&lt;25,"1. Young Adulthood (18-24)",worksheet[[#This Row],[age]]&lt; 35,"2. Early Adulthood (25-34)",worksheet[[#This Row],[age]]&lt; 45,"3. Mid Adulthood (35-44)",worksheet[[#This Row],[age]]&lt; 55,"4. Mature Adulthood (45-54)",TRUE,"5. Late Adulthood/Senior (55+)")</f>
        <v>2. Early Adulthood (25-34)</v>
      </c>
      <c r="D455" t="s">
        <v>41</v>
      </c>
      <c r="E455" t="s">
        <v>22</v>
      </c>
      <c r="F455" s="4">
        <v>10.76</v>
      </c>
      <c r="G455" s="5">
        <v>50</v>
      </c>
      <c r="H455" t="s">
        <v>49</v>
      </c>
      <c r="I455" t="s">
        <v>24</v>
      </c>
      <c r="J455" s="6">
        <v>13.99</v>
      </c>
      <c r="K455">
        <v>1</v>
      </c>
      <c r="L455" t="s">
        <v>43</v>
      </c>
      <c r="M455" s="5">
        <v>2</v>
      </c>
      <c r="N455" s="4">
        <v>0.21</v>
      </c>
      <c r="O455" t="s">
        <v>30</v>
      </c>
    </row>
    <row r="456" spans="1:15" x14ac:dyDescent="0.3">
      <c r="A456" t="s">
        <v>1413</v>
      </c>
      <c r="B456" s="5">
        <v>22</v>
      </c>
      <c r="C456" s="5" t="str" cm="1">
        <f t="array" ref="C456">_xlfn.IFS(worksheet[[#This Row],[age]]&lt;25,"1. Young Adulthood (18-24)",worksheet[[#This Row],[age]]&lt; 35,"2. Early Adulthood (25-34)",worksheet[[#This Row],[age]]&lt; 45,"3. Mid Adulthood (35-44)",worksheet[[#This Row],[age]]&lt; 55,"4. Mature Adulthood (45-54)",TRUE,"5. Late Adulthood/Senior (55+)")</f>
        <v>1. Young Adulthood (18-24)</v>
      </c>
      <c r="D456" t="s">
        <v>15</v>
      </c>
      <c r="E456" t="s">
        <v>32</v>
      </c>
      <c r="F456" s="4">
        <v>13.72</v>
      </c>
      <c r="G456" s="5">
        <v>59</v>
      </c>
      <c r="H456" t="s">
        <v>28</v>
      </c>
      <c r="I456" t="s">
        <v>55</v>
      </c>
      <c r="J456" s="6">
        <v>17.989999999999998</v>
      </c>
      <c r="K456">
        <v>1</v>
      </c>
      <c r="L456" t="s">
        <v>29</v>
      </c>
      <c r="M456" s="5">
        <v>5</v>
      </c>
      <c r="N456" s="4">
        <v>0.23</v>
      </c>
      <c r="O456" t="s">
        <v>30</v>
      </c>
    </row>
    <row r="457" spans="1:15" x14ac:dyDescent="0.3">
      <c r="A457" t="s">
        <v>1414</v>
      </c>
      <c r="B457" s="5">
        <v>28</v>
      </c>
      <c r="C457" s="5" t="str" cm="1">
        <f t="array" ref="C457">_xlfn.IFS(worksheet[[#This Row],[age]]&lt;25,"1. Young Adulthood (18-24)",worksheet[[#This Row],[age]]&lt; 35,"2. Early Adulthood (25-34)",worksheet[[#This Row],[age]]&lt; 45,"3. Mid Adulthood (35-44)",worksheet[[#This Row],[age]]&lt; 55,"4. Mature Adulthood (45-54)",TRUE,"5. Late Adulthood/Senior (55+)")</f>
        <v>2. Early Adulthood (25-34)</v>
      </c>
      <c r="D457" t="s">
        <v>41</v>
      </c>
      <c r="E457" t="s">
        <v>22</v>
      </c>
      <c r="F457" s="4">
        <v>22.78</v>
      </c>
      <c r="G457" s="5">
        <v>16</v>
      </c>
      <c r="H457" t="s">
        <v>33</v>
      </c>
      <c r="I457" t="s">
        <v>46</v>
      </c>
      <c r="J457" s="6">
        <v>13.99</v>
      </c>
      <c r="K457">
        <v>0</v>
      </c>
      <c r="L457" t="s">
        <v>37</v>
      </c>
      <c r="M457" s="5">
        <v>5</v>
      </c>
      <c r="N457" s="4">
        <v>1.34</v>
      </c>
      <c r="O457" t="s">
        <v>25</v>
      </c>
    </row>
    <row r="458" spans="1:15" x14ac:dyDescent="0.3">
      <c r="A458" t="s">
        <v>1416</v>
      </c>
      <c r="B458" s="5">
        <v>29</v>
      </c>
      <c r="C458" s="5" t="str" cm="1">
        <f t="array" ref="C458">_xlfn.IFS(worksheet[[#This Row],[age]]&lt;25,"1. Young Adulthood (18-24)",worksheet[[#This Row],[age]]&lt; 35,"2. Early Adulthood (25-34)",worksheet[[#This Row],[age]]&lt; 45,"3. Mid Adulthood (35-44)",worksheet[[#This Row],[age]]&lt; 55,"4. Mature Adulthood (45-54)",TRUE,"5. Late Adulthood/Senior (55+)")</f>
        <v>2. Early Adulthood (25-34)</v>
      </c>
      <c r="D458" t="s">
        <v>41</v>
      </c>
      <c r="E458" t="s">
        <v>32</v>
      </c>
      <c r="F458" s="4">
        <v>14.85</v>
      </c>
      <c r="G458" s="5">
        <v>10</v>
      </c>
      <c r="H458" t="s">
        <v>28</v>
      </c>
      <c r="I458" t="s">
        <v>57</v>
      </c>
      <c r="J458" s="6">
        <v>17.989999999999998</v>
      </c>
      <c r="K458">
        <v>0</v>
      </c>
      <c r="L458" t="s">
        <v>61</v>
      </c>
      <c r="M458" s="5">
        <v>1</v>
      </c>
      <c r="N458" s="4">
        <v>1.35</v>
      </c>
      <c r="O458" t="s">
        <v>34</v>
      </c>
    </row>
    <row r="459" spans="1:15" x14ac:dyDescent="0.3">
      <c r="A459" t="s">
        <v>1421</v>
      </c>
      <c r="B459" s="5">
        <v>31</v>
      </c>
      <c r="C459" s="5" t="str" cm="1">
        <f t="array" ref="C459">_xlfn.IFS(worksheet[[#This Row],[age]]&lt;25,"1. Young Adulthood (18-24)",worksheet[[#This Row],[age]]&lt; 35,"2. Early Adulthood (25-34)",worksheet[[#This Row],[age]]&lt; 45,"3. Mid Adulthood (35-44)",worksheet[[#This Row],[age]]&lt; 55,"4. Mature Adulthood (45-54)",TRUE,"5. Late Adulthood/Senior (55+)")</f>
        <v>2. Early Adulthood (25-34)</v>
      </c>
      <c r="D459" t="s">
        <v>15</v>
      </c>
      <c r="E459" t="s">
        <v>16</v>
      </c>
      <c r="F459" s="4">
        <v>14.07</v>
      </c>
      <c r="G459" s="5">
        <v>52</v>
      </c>
      <c r="H459" t="s">
        <v>23</v>
      </c>
      <c r="I459" t="s">
        <v>55</v>
      </c>
      <c r="J459" s="6">
        <v>8.99</v>
      </c>
      <c r="K459">
        <v>1</v>
      </c>
      <c r="L459" t="s">
        <v>19</v>
      </c>
      <c r="M459" s="5">
        <v>3</v>
      </c>
      <c r="N459" s="4">
        <v>0.27</v>
      </c>
      <c r="O459" t="s">
        <v>39</v>
      </c>
    </row>
    <row r="460" spans="1:15" x14ac:dyDescent="0.3">
      <c r="A460" t="s">
        <v>1422</v>
      </c>
      <c r="B460" s="5">
        <v>26</v>
      </c>
      <c r="C460" s="5" t="str" cm="1">
        <f t="array" ref="C460">_xlfn.IFS(worksheet[[#This Row],[age]]&lt;25,"1. Young Adulthood (18-24)",worksheet[[#This Row],[age]]&lt; 35,"2. Early Adulthood (25-34)",worksheet[[#This Row],[age]]&lt; 45,"3. Mid Adulthood (35-44)",worksheet[[#This Row],[age]]&lt; 55,"4. Mature Adulthood (45-54)",TRUE,"5. Late Adulthood/Senior (55+)")</f>
        <v>2. Early Adulthood (25-34)</v>
      </c>
      <c r="D460" t="s">
        <v>15</v>
      </c>
      <c r="E460" t="s">
        <v>22</v>
      </c>
      <c r="F460" s="4">
        <v>4.8600000000000003</v>
      </c>
      <c r="G460" s="5">
        <v>19</v>
      </c>
      <c r="H460" t="s">
        <v>49</v>
      </c>
      <c r="I460" t="s">
        <v>24</v>
      </c>
      <c r="J460" s="6">
        <v>13.99</v>
      </c>
      <c r="K460">
        <v>0</v>
      </c>
      <c r="L460" t="s">
        <v>43</v>
      </c>
      <c r="M460" s="5">
        <v>4</v>
      </c>
      <c r="N460" s="4">
        <v>0.24</v>
      </c>
      <c r="O460" t="s">
        <v>30</v>
      </c>
    </row>
    <row r="461" spans="1:15" x14ac:dyDescent="0.3">
      <c r="A461" t="s">
        <v>1423</v>
      </c>
      <c r="B461" s="5">
        <v>18</v>
      </c>
      <c r="C461" s="5" t="str" cm="1">
        <f t="array" ref="C461">_xlfn.IFS(worksheet[[#This Row],[age]]&lt;25,"1. Young Adulthood (18-24)",worksheet[[#This Row],[age]]&lt; 35,"2. Early Adulthood (25-34)",worksheet[[#This Row],[age]]&lt; 45,"3. Mid Adulthood (35-44)",worksheet[[#This Row],[age]]&lt; 55,"4. Mature Adulthood (45-54)",TRUE,"5. Late Adulthood/Senior (55+)")</f>
        <v>1. Young Adulthood (18-24)</v>
      </c>
      <c r="D461" t="s">
        <v>27</v>
      </c>
      <c r="E461" t="s">
        <v>16</v>
      </c>
      <c r="F461" s="4">
        <v>1.82</v>
      </c>
      <c r="G461" s="5">
        <v>46</v>
      </c>
      <c r="H461" t="s">
        <v>49</v>
      </c>
      <c r="I461" t="s">
        <v>57</v>
      </c>
      <c r="J461" s="6">
        <v>8.99</v>
      </c>
      <c r="K461">
        <v>1</v>
      </c>
      <c r="L461" t="s">
        <v>61</v>
      </c>
      <c r="M461" s="5">
        <v>3</v>
      </c>
      <c r="N461" s="4">
        <v>0.04</v>
      </c>
      <c r="O461" t="s">
        <v>39</v>
      </c>
    </row>
    <row r="462" spans="1:15" x14ac:dyDescent="0.3">
      <c r="A462" t="s">
        <v>1424</v>
      </c>
      <c r="B462" s="5">
        <v>28</v>
      </c>
      <c r="C462" s="5" t="str" cm="1">
        <f t="array" ref="C462">_xlfn.IFS(worksheet[[#This Row],[age]]&lt;25,"1. Young Adulthood (18-24)",worksheet[[#This Row],[age]]&lt; 35,"2. Early Adulthood (25-34)",worksheet[[#This Row],[age]]&lt; 45,"3. Mid Adulthood (35-44)",worksheet[[#This Row],[age]]&lt; 55,"4. Mature Adulthood (45-54)",TRUE,"5. Late Adulthood/Senior (55+)")</f>
        <v>2. Early Adulthood (25-34)</v>
      </c>
      <c r="D462" t="s">
        <v>27</v>
      </c>
      <c r="E462" t="s">
        <v>22</v>
      </c>
      <c r="F462" s="4">
        <v>4.3899999999999997</v>
      </c>
      <c r="G462" s="5">
        <v>14</v>
      </c>
      <c r="H462" t="s">
        <v>70</v>
      </c>
      <c r="I462" t="s">
        <v>57</v>
      </c>
      <c r="J462" s="6">
        <v>13.99</v>
      </c>
      <c r="K462">
        <v>1</v>
      </c>
      <c r="L462" t="s">
        <v>37</v>
      </c>
      <c r="M462" s="5">
        <v>2</v>
      </c>
      <c r="N462" s="4">
        <v>0.28999999999999998</v>
      </c>
      <c r="O462" t="s">
        <v>39</v>
      </c>
    </row>
    <row r="463" spans="1:15" x14ac:dyDescent="0.3">
      <c r="A463" t="s">
        <v>1428</v>
      </c>
      <c r="B463" s="5">
        <v>29</v>
      </c>
      <c r="C463" s="5" t="str" cm="1">
        <f t="array" ref="C463">_xlfn.IFS(worksheet[[#This Row],[age]]&lt;25,"1. Young Adulthood (18-24)",worksheet[[#This Row],[age]]&lt; 35,"2. Early Adulthood (25-34)",worksheet[[#This Row],[age]]&lt; 45,"3. Mid Adulthood (35-44)",worksheet[[#This Row],[age]]&lt; 55,"4. Mature Adulthood (45-54)",TRUE,"5. Late Adulthood/Senior (55+)")</f>
        <v>2. Early Adulthood (25-34)</v>
      </c>
      <c r="D463" t="s">
        <v>15</v>
      </c>
      <c r="E463" t="s">
        <v>22</v>
      </c>
      <c r="F463" s="4">
        <v>4.33</v>
      </c>
      <c r="G463" s="5">
        <v>25</v>
      </c>
      <c r="H463" t="s">
        <v>23</v>
      </c>
      <c r="I463" t="s">
        <v>24</v>
      </c>
      <c r="J463" s="6">
        <v>13.99</v>
      </c>
      <c r="K463">
        <v>0</v>
      </c>
      <c r="L463" t="s">
        <v>61</v>
      </c>
      <c r="M463" s="5">
        <v>4</v>
      </c>
      <c r="N463" s="4">
        <v>0.17</v>
      </c>
      <c r="O463" t="s">
        <v>39</v>
      </c>
    </row>
    <row r="464" spans="1:15" x14ac:dyDescent="0.3">
      <c r="A464" t="s">
        <v>1430</v>
      </c>
      <c r="B464" s="5">
        <v>26</v>
      </c>
      <c r="C464" s="5" t="str" cm="1">
        <f t="array" ref="C464">_xlfn.IFS(worksheet[[#This Row],[age]]&lt;25,"1. Young Adulthood (18-24)",worksheet[[#This Row],[age]]&lt; 35,"2. Early Adulthood (25-34)",worksheet[[#This Row],[age]]&lt; 45,"3. Mid Adulthood (35-44)",worksheet[[#This Row],[age]]&lt; 55,"4. Mature Adulthood (45-54)",TRUE,"5. Late Adulthood/Senior (55+)")</f>
        <v>2. Early Adulthood (25-34)</v>
      </c>
      <c r="D464" t="s">
        <v>15</v>
      </c>
      <c r="E464" t="s">
        <v>32</v>
      </c>
      <c r="F464" s="4">
        <v>11.35</v>
      </c>
      <c r="G464" s="5">
        <v>37</v>
      </c>
      <c r="H464" t="s">
        <v>33</v>
      </c>
      <c r="I464" t="s">
        <v>57</v>
      </c>
      <c r="J464" s="6">
        <v>17.989999999999998</v>
      </c>
      <c r="K464">
        <v>1</v>
      </c>
      <c r="L464" t="s">
        <v>43</v>
      </c>
      <c r="M464" s="5">
        <v>2</v>
      </c>
      <c r="N464" s="4">
        <v>0.3</v>
      </c>
      <c r="O464" t="s">
        <v>39</v>
      </c>
    </row>
    <row r="465" spans="1:15" x14ac:dyDescent="0.3">
      <c r="A465" t="s">
        <v>1432</v>
      </c>
      <c r="B465" s="5">
        <v>18</v>
      </c>
      <c r="C465" s="5" t="str" cm="1">
        <f t="array" ref="C465">_xlfn.IFS(worksheet[[#This Row],[age]]&lt;25,"1. Young Adulthood (18-24)",worksheet[[#This Row],[age]]&lt; 35,"2. Early Adulthood (25-34)",worksheet[[#This Row],[age]]&lt; 45,"3. Mid Adulthood (35-44)",worksheet[[#This Row],[age]]&lt; 55,"4. Mature Adulthood (45-54)",TRUE,"5. Late Adulthood/Senior (55+)")</f>
        <v>1. Young Adulthood (18-24)</v>
      </c>
      <c r="D465" t="s">
        <v>27</v>
      </c>
      <c r="E465" t="s">
        <v>16</v>
      </c>
      <c r="F465" s="4">
        <v>13.51</v>
      </c>
      <c r="G465" s="5">
        <v>53</v>
      </c>
      <c r="H465" t="s">
        <v>70</v>
      </c>
      <c r="I465" t="s">
        <v>46</v>
      </c>
      <c r="J465" s="6">
        <v>8.99</v>
      </c>
      <c r="K465">
        <v>1</v>
      </c>
      <c r="L465" t="s">
        <v>37</v>
      </c>
      <c r="M465" s="5">
        <v>4</v>
      </c>
      <c r="N465" s="4">
        <v>0.25</v>
      </c>
      <c r="O465" t="s">
        <v>52</v>
      </c>
    </row>
    <row r="466" spans="1:15" x14ac:dyDescent="0.3">
      <c r="A466" t="s">
        <v>1433</v>
      </c>
      <c r="B466" s="5">
        <v>18</v>
      </c>
      <c r="C466" s="5" t="str" cm="1">
        <f t="array" ref="C466">_xlfn.IFS(worksheet[[#This Row],[age]]&lt;25,"1. Young Adulthood (18-24)",worksheet[[#This Row],[age]]&lt; 35,"2. Early Adulthood (25-34)",worksheet[[#This Row],[age]]&lt; 45,"3. Mid Adulthood (35-44)",worksheet[[#This Row],[age]]&lt; 55,"4. Mature Adulthood (45-54)",TRUE,"5. Late Adulthood/Senior (55+)")</f>
        <v>1. Young Adulthood (18-24)</v>
      </c>
      <c r="D466" t="s">
        <v>15</v>
      </c>
      <c r="E466" t="s">
        <v>16</v>
      </c>
      <c r="F466" s="4">
        <v>3.89</v>
      </c>
      <c r="G466" s="5">
        <v>33</v>
      </c>
      <c r="H466" t="s">
        <v>23</v>
      </c>
      <c r="I466" t="s">
        <v>57</v>
      </c>
      <c r="J466" s="6">
        <v>8.99</v>
      </c>
      <c r="K466">
        <v>1</v>
      </c>
      <c r="L466" t="s">
        <v>37</v>
      </c>
      <c r="M466" s="5">
        <v>1</v>
      </c>
      <c r="N466" s="4">
        <v>0.11</v>
      </c>
      <c r="O466" t="s">
        <v>20</v>
      </c>
    </row>
    <row r="467" spans="1:15" x14ac:dyDescent="0.3">
      <c r="A467" t="s">
        <v>1434</v>
      </c>
      <c r="B467" s="5">
        <v>29</v>
      </c>
      <c r="C467" s="5" t="str" cm="1">
        <f t="array" ref="C467">_xlfn.IFS(worksheet[[#This Row],[age]]&lt;25,"1. Young Adulthood (18-24)",worksheet[[#This Row],[age]]&lt; 35,"2. Early Adulthood (25-34)",worksheet[[#This Row],[age]]&lt; 45,"3. Mid Adulthood (35-44)",worksheet[[#This Row],[age]]&lt; 55,"4. Mature Adulthood (45-54)",TRUE,"5. Late Adulthood/Senior (55+)")</f>
        <v>2. Early Adulthood (25-34)</v>
      </c>
      <c r="D467" t="s">
        <v>27</v>
      </c>
      <c r="E467" t="s">
        <v>16</v>
      </c>
      <c r="F467" s="4">
        <v>8.48</v>
      </c>
      <c r="G467" s="5">
        <v>39</v>
      </c>
      <c r="H467" t="s">
        <v>17</v>
      </c>
      <c r="I467" t="s">
        <v>18</v>
      </c>
      <c r="J467" s="6">
        <v>8.99</v>
      </c>
      <c r="K467">
        <v>1</v>
      </c>
      <c r="L467" t="s">
        <v>37</v>
      </c>
      <c r="M467" s="5">
        <v>5</v>
      </c>
      <c r="N467" s="4">
        <v>0.21</v>
      </c>
      <c r="O467" t="s">
        <v>39</v>
      </c>
    </row>
    <row r="468" spans="1:15" x14ac:dyDescent="0.3">
      <c r="A468" t="s">
        <v>1435</v>
      </c>
      <c r="B468" s="5">
        <v>24</v>
      </c>
      <c r="C468" s="5" t="str" cm="1">
        <f t="array" ref="C468">_xlfn.IFS(worksheet[[#This Row],[age]]&lt;25,"1. Young Adulthood (18-24)",worksheet[[#This Row],[age]]&lt; 35,"2. Early Adulthood (25-34)",worksheet[[#This Row],[age]]&lt; 45,"3. Mid Adulthood (35-44)",worksheet[[#This Row],[age]]&lt; 55,"4. Mature Adulthood (45-54)",TRUE,"5. Late Adulthood/Senior (55+)")</f>
        <v>1. Young Adulthood (18-24)</v>
      </c>
      <c r="D468" t="s">
        <v>41</v>
      </c>
      <c r="E468" t="s">
        <v>32</v>
      </c>
      <c r="F468" s="4">
        <v>9.02</v>
      </c>
      <c r="G468" s="5">
        <v>26</v>
      </c>
      <c r="H468" t="s">
        <v>70</v>
      </c>
      <c r="I468" t="s">
        <v>55</v>
      </c>
      <c r="J468" s="6">
        <v>17.989999999999998</v>
      </c>
      <c r="K468">
        <v>0</v>
      </c>
      <c r="L468" t="s">
        <v>37</v>
      </c>
      <c r="M468" s="5">
        <v>4</v>
      </c>
      <c r="N468" s="4">
        <v>0.33</v>
      </c>
      <c r="O468" t="s">
        <v>25</v>
      </c>
    </row>
    <row r="469" spans="1:15" x14ac:dyDescent="0.3">
      <c r="A469" t="s">
        <v>1436</v>
      </c>
      <c r="B469" s="5">
        <v>29</v>
      </c>
      <c r="C469" s="5" t="str" cm="1">
        <f t="array" ref="C469">_xlfn.IFS(worksheet[[#This Row],[age]]&lt;25,"1. Young Adulthood (18-24)",worksheet[[#This Row],[age]]&lt; 35,"2. Early Adulthood (25-34)",worksheet[[#This Row],[age]]&lt; 45,"3. Mid Adulthood (35-44)",worksheet[[#This Row],[age]]&lt; 55,"4. Mature Adulthood (45-54)",TRUE,"5. Late Adulthood/Senior (55+)")</f>
        <v>2. Early Adulthood (25-34)</v>
      </c>
      <c r="D469" t="s">
        <v>15</v>
      </c>
      <c r="E469" t="s">
        <v>22</v>
      </c>
      <c r="F469" s="4">
        <v>53.2</v>
      </c>
      <c r="G469" s="5">
        <v>49</v>
      </c>
      <c r="H469" t="s">
        <v>49</v>
      </c>
      <c r="I469" t="s">
        <v>46</v>
      </c>
      <c r="J469" s="6">
        <v>13.99</v>
      </c>
      <c r="K469">
        <v>0</v>
      </c>
      <c r="L469" t="s">
        <v>29</v>
      </c>
      <c r="M469" s="5">
        <v>5</v>
      </c>
      <c r="N469" s="4">
        <v>1.06</v>
      </c>
      <c r="O469" t="s">
        <v>25</v>
      </c>
    </row>
    <row r="470" spans="1:15" x14ac:dyDescent="0.3">
      <c r="A470" t="s">
        <v>1438</v>
      </c>
      <c r="B470" s="5">
        <v>21</v>
      </c>
      <c r="C470" s="5" t="str" cm="1">
        <f t="array" ref="C470">_xlfn.IFS(worksheet[[#This Row],[age]]&lt;25,"1. Young Adulthood (18-24)",worksheet[[#This Row],[age]]&lt; 35,"2. Early Adulthood (25-34)",worksheet[[#This Row],[age]]&lt; 45,"3. Mid Adulthood (35-44)",worksheet[[#This Row],[age]]&lt; 55,"4. Mature Adulthood (45-54)",TRUE,"5. Late Adulthood/Senior (55+)")</f>
        <v>1. Young Adulthood (18-24)</v>
      </c>
      <c r="D470" t="s">
        <v>15</v>
      </c>
      <c r="E470" t="s">
        <v>32</v>
      </c>
      <c r="F470" s="4">
        <v>4.21</v>
      </c>
      <c r="G470" s="5">
        <v>31</v>
      </c>
      <c r="H470" t="s">
        <v>23</v>
      </c>
      <c r="I470" t="s">
        <v>46</v>
      </c>
      <c r="J470" s="6">
        <v>17.989999999999998</v>
      </c>
      <c r="K470">
        <v>1</v>
      </c>
      <c r="L470" t="s">
        <v>19</v>
      </c>
      <c r="M470" s="5">
        <v>5</v>
      </c>
      <c r="N470" s="4">
        <v>0.13</v>
      </c>
      <c r="O470" t="s">
        <v>52</v>
      </c>
    </row>
    <row r="471" spans="1:15" x14ac:dyDescent="0.3">
      <c r="A471" t="s">
        <v>1441</v>
      </c>
      <c r="B471" s="5">
        <v>18</v>
      </c>
      <c r="C471" s="5" t="str" cm="1">
        <f t="array" ref="C471">_xlfn.IFS(worksheet[[#This Row],[age]]&lt;25,"1. Young Adulthood (18-24)",worksheet[[#This Row],[age]]&lt; 35,"2. Early Adulthood (25-34)",worksheet[[#This Row],[age]]&lt; 45,"3. Mid Adulthood (35-44)",worksheet[[#This Row],[age]]&lt; 55,"4. Mature Adulthood (45-54)",TRUE,"5. Late Adulthood/Senior (55+)")</f>
        <v>1. Young Adulthood (18-24)</v>
      </c>
      <c r="D471" t="s">
        <v>15</v>
      </c>
      <c r="E471" t="s">
        <v>32</v>
      </c>
      <c r="F471" s="4">
        <v>7.15</v>
      </c>
      <c r="G471" s="5">
        <v>9</v>
      </c>
      <c r="H471" t="s">
        <v>23</v>
      </c>
      <c r="I471" t="s">
        <v>46</v>
      </c>
      <c r="J471" s="6">
        <v>17.989999999999998</v>
      </c>
      <c r="K471">
        <v>0</v>
      </c>
      <c r="L471" t="s">
        <v>37</v>
      </c>
      <c r="M471" s="5">
        <v>3</v>
      </c>
      <c r="N471" s="4">
        <v>0.72</v>
      </c>
      <c r="O471" t="s">
        <v>47</v>
      </c>
    </row>
    <row r="472" spans="1:15" x14ac:dyDescent="0.3">
      <c r="A472" s="1" t="s">
        <v>1450</v>
      </c>
      <c r="B472" s="5">
        <v>33</v>
      </c>
      <c r="C472" s="5" t="str" cm="1">
        <f t="array" ref="C472">_xlfn.IFS(worksheet[[#This Row],[age]]&lt;25,"1. Young Adulthood (18-24)",worksheet[[#This Row],[age]]&lt; 35,"2. Early Adulthood (25-34)",worksheet[[#This Row],[age]]&lt; 45,"3. Mid Adulthood (35-44)",worksheet[[#This Row],[age]]&lt; 55,"4. Mature Adulthood (45-54)",TRUE,"5. Late Adulthood/Senior (55+)")</f>
        <v>2. Early Adulthood (25-34)</v>
      </c>
      <c r="D472" t="s">
        <v>41</v>
      </c>
      <c r="E472" t="s">
        <v>22</v>
      </c>
      <c r="F472" s="4">
        <v>0.93</v>
      </c>
      <c r="G472" s="5">
        <v>4</v>
      </c>
      <c r="H472" t="s">
        <v>28</v>
      </c>
      <c r="I472" t="s">
        <v>57</v>
      </c>
      <c r="J472" s="6">
        <v>13.99</v>
      </c>
      <c r="K472">
        <v>1</v>
      </c>
      <c r="L472" t="s">
        <v>29</v>
      </c>
      <c r="M472" s="5">
        <v>1</v>
      </c>
      <c r="N472" s="4">
        <v>0.19</v>
      </c>
      <c r="O472" t="s">
        <v>25</v>
      </c>
    </row>
    <row r="473" spans="1:15" x14ac:dyDescent="0.3">
      <c r="A473" t="s">
        <v>1453</v>
      </c>
      <c r="B473" s="5">
        <v>21</v>
      </c>
      <c r="C473" s="5" t="str" cm="1">
        <f t="array" ref="C473">_xlfn.IFS(worksheet[[#This Row],[age]]&lt;25,"1. Young Adulthood (18-24)",worksheet[[#This Row],[age]]&lt; 35,"2. Early Adulthood (25-34)",worksheet[[#This Row],[age]]&lt; 45,"3. Mid Adulthood (35-44)",worksheet[[#This Row],[age]]&lt; 55,"4. Mature Adulthood (45-54)",TRUE,"5. Late Adulthood/Senior (55+)")</f>
        <v>1. Young Adulthood (18-24)</v>
      </c>
      <c r="D473" t="s">
        <v>27</v>
      </c>
      <c r="E473" t="s">
        <v>22</v>
      </c>
      <c r="F473" s="4">
        <v>13.77</v>
      </c>
      <c r="G473" s="5">
        <v>45</v>
      </c>
      <c r="H473" t="s">
        <v>49</v>
      </c>
      <c r="I473" t="s">
        <v>46</v>
      </c>
      <c r="J473" s="6">
        <v>13.99</v>
      </c>
      <c r="K473">
        <v>1</v>
      </c>
      <c r="L473" t="s">
        <v>43</v>
      </c>
      <c r="M473" s="5">
        <v>1</v>
      </c>
      <c r="N473" s="4">
        <v>0.3</v>
      </c>
      <c r="O473" t="s">
        <v>34</v>
      </c>
    </row>
    <row r="474" spans="1:15" x14ac:dyDescent="0.3">
      <c r="A474" t="s">
        <v>1454</v>
      </c>
      <c r="B474" s="5">
        <v>29</v>
      </c>
      <c r="C474" s="5" t="str" cm="1">
        <f t="array" ref="C474">_xlfn.IFS(worksheet[[#This Row],[age]]&lt;25,"1. Young Adulthood (18-24)",worksheet[[#This Row],[age]]&lt; 35,"2. Early Adulthood (25-34)",worksheet[[#This Row],[age]]&lt; 45,"3. Mid Adulthood (35-44)",worksheet[[#This Row],[age]]&lt; 55,"4. Mature Adulthood (45-54)",TRUE,"5. Late Adulthood/Senior (55+)")</f>
        <v>2. Early Adulthood (25-34)</v>
      </c>
      <c r="D474" t="s">
        <v>27</v>
      </c>
      <c r="E474" t="s">
        <v>22</v>
      </c>
      <c r="F474" s="4">
        <v>1.56</v>
      </c>
      <c r="G474" s="5">
        <v>10</v>
      </c>
      <c r="H474" t="s">
        <v>23</v>
      </c>
      <c r="I474" t="s">
        <v>57</v>
      </c>
      <c r="J474" s="6">
        <v>13.99</v>
      </c>
      <c r="K474">
        <v>1</v>
      </c>
      <c r="L474" t="s">
        <v>19</v>
      </c>
      <c r="M474" s="5">
        <v>5</v>
      </c>
      <c r="N474" s="4">
        <v>0.14000000000000001</v>
      </c>
      <c r="O474" t="s">
        <v>34</v>
      </c>
    </row>
    <row r="475" spans="1:15" x14ac:dyDescent="0.3">
      <c r="A475" t="s">
        <v>1456</v>
      </c>
      <c r="B475" s="5">
        <v>20</v>
      </c>
      <c r="C475" s="5" t="str" cm="1">
        <f t="array" ref="C475">_xlfn.IFS(worksheet[[#This Row],[age]]&lt;25,"1. Young Adulthood (18-24)",worksheet[[#This Row],[age]]&lt; 35,"2. Early Adulthood (25-34)",worksheet[[#This Row],[age]]&lt; 45,"3. Mid Adulthood (35-44)",worksheet[[#This Row],[age]]&lt; 55,"4. Mature Adulthood (45-54)",TRUE,"5. Late Adulthood/Senior (55+)")</f>
        <v>1. Young Adulthood (18-24)</v>
      </c>
      <c r="D475" t="s">
        <v>15</v>
      </c>
      <c r="E475" t="s">
        <v>22</v>
      </c>
      <c r="F475" s="4">
        <v>31.73</v>
      </c>
      <c r="G475" s="5">
        <v>46</v>
      </c>
      <c r="H475" t="s">
        <v>17</v>
      </c>
      <c r="I475" t="s">
        <v>57</v>
      </c>
      <c r="J475" s="6">
        <v>13.99</v>
      </c>
      <c r="K475">
        <v>0</v>
      </c>
      <c r="L475" t="s">
        <v>61</v>
      </c>
      <c r="M475" s="5">
        <v>1</v>
      </c>
      <c r="N475" s="4">
        <v>0.68</v>
      </c>
      <c r="O475" t="s">
        <v>30</v>
      </c>
    </row>
    <row r="476" spans="1:15" x14ac:dyDescent="0.3">
      <c r="A476" t="s">
        <v>1458</v>
      </c>
      <c r="B476" s="5">
        <v>25</v>
      </c>
      <c r="C476" s="5" t="str" cm="1">
        <f t="array" ref="C476">_xlfn.IFS(worksheet[[#This Row],[age]]&lt;25,"1. Young Adulthood (18-24)",worksheet[[#This Row],[age]]&lt; 35,"2. Early Adulthood (25-34)",worksheet[[#This Row],[age]]&lt; 45,"3. Mid Adulthood (35-44)",worksheet[[#This Row],[age]]&lt; 55,"4. Mature Adulthood (45-54)",TRUE,"5. Late Adulthood/Senior (55+)")</f>
        <v>2. Early Adulthood (25-34)</v>
      </c>
      <c r="D476" t="s">
        <v>27</v>
      </c>
      <c r="E476" t="s">
        <v>16</v>
      </c>
      <c r="F476" s="4">
        <v>1.84</v>
      </c>
      <c r="G476" s="5">
        <v>5</v>
      </c>
      <c r="H476" t="s">
        <v>33</v>
      </c>
      <c r="I476" t="s">
        <v>46</v>
      </c>
      <c r="J476" s="6">
        <v>8.99</v>
      </c>
      <c r="K476">
        <v>1</v>
      </c>
      <c r="L476" t="s">
        <v>43</v>
      </c>
      <c r="M476" s="5">
        <v>5</v>
      </c>
      <c r="N476" s="4">
        <v>0.31</v>
      </c>
      <c r="O476" t="s">
        <v>25</v>
      </c>
    </row>
    <row r="477" spans="1:15" x14ac:dyDescent="0.3">
      <c r="A477" t="s">
        <v>1460</v>
      </c>
      <c r="B477" s="5">
        <v>27</v>
      </c>
      <c r="C477" s="5" t="str" cm="1">
        <f t="array" ref="C477">_xlfn.IFS(worksheet[[#This Row],[age]]&lt;25,"1. Young Adulthood (18-24)",worksheet[[#This Row],[age]]&lt; 35,"2. Early Adulthood (25-34)",worksheet[[#This Row],[age]]&lt; 45,"3. Mid Adulthood (35-44)",worksheet[[#This Row],[age]]&lt; 55,"4. Mature Adulthood (45-54)",TRUE,"5. Late Adulthood/Senior (55+)")</f>
        <v>2. Early Adulthood (25-34)</v>
      </c>
      <c r="D477" t="s">
        <v>41</v>
      </c>
      <c r="E477" t="s">
        <v>22</v>
      </c>
      <c r="F477" s="4">
        <v>5.32</v>
      </c>
      <c r="G477" s="5">
        <v>54</v>
      </c>
      <c r="H477" t="s">
        <v>23</v>
      </c>
      <c r="I477" t="s">
        <v>55</v>
      </c>
      <c r="J477" s="6">
        <v>13.99</v>
      </c>
      <c r="K477">
        <v>0</v>
      </c>
      <c r="L477" t="s">
        <v>43</v>
      </c>
      <c r="M477" s="5">
        <v>4</v>
      </c>
      <c r="N477" s="4">
        <v>0.1</v>
      </c>
      <c r="O477" t="s">
        <v>30</v>
      </c>
    </row>
    <row r="478" spans="1:15" x14ac:dyDescent="0.3">
      <c r="A478" t="s">
        <v>1466</v>
      </c>
      <c r="B478" s="5">
        <v>24</v>
      </c>
      <c r="C478" s="5" t="str" cm="1">
        <f t="array" ref="C478">_xlfn.IFS(worksheet[[#This Row],[age]]&lt;25,"1. Young Adulthood (18-24)",worksheet[[#This Row],[age]]&lt; 35,"2. Early Adulthood (25-34)",worksheet[[#This Row],[age]]&lt; 45,"3. Mid Adulthood (35-44)",worksheet[[#This Row],[age]]&lt; 55,"4. Mature Adulthood (45-54)",TRUE,"5. Late Adulthood/Senior (55+)")</f>
        <v>1. Young Adulthood (18-24)</v>
      </c>
      <c r="D478" t="s">
        <v>41</v>
      </c>
      <c r="E478" t="s">
        <v>32</v>
      </c>
      <c r="F478" s="4">
        <v>12.65</v>
      </c>
      <c r="G478" s="5">
        <v>23</v>
      </c>
      <c r="H478" t="s">
        <v>70</v>
      </c>
      <c r="I478" t="s">
        <v>57</v>
      </c>
      <c r="J478" s="6">
        <v>17.989999999999998</v>
      </c>
      <c r="K478">
        <v>0</v>
      </c>
      <c r="L478" t="s">
        <v>37</v>
      </c>
      <c r="M478" s="5">
        <v>3</v>
      </c>
      <c r="N478" s="4">
        <v>0.53</v>
      </c>
      <c r="O478" t="s">
        <v>47</v>
      </c>
    </row>
    <row r="479" spans="1:15" x14ac:dyDescent="0.3">
      <c r="A479" t="s">
        <v>1470</v>
      </c>
      <c r="B479" s="5">
        <v>18</v>
      </c>
      <c r="C479" s="5" t="str" cm="1">
        <f t="array" ref="C479">_xlfn.IFS(worksheet[[#This Row],[age]]&lt;25,"1. Young Adulthood (18-24)",worksheet[[#This Row],[age]]&lt; 35,"2. Early Adulthood (25-34)",worksheet[[#This Row],[age]]&lt; 45,"3. Mid Adulthood (35-44)",worksheet[[#This Row],[age]]&lt; 55,"4. Mature Adulthood (45-54)",TRUE,"5. Late Adulthood/Senior (55+)")</f>
        <v>1. Young Adulthood (18-24)</v>
      </c>
      <c r="D479" t="s">
        <v>27</v>
      </c>
      <c r="E479" t="s">
        <v>22</v>
      </c>
      <c r="F479" s="4">
        <v>2.14</v>
      </c>
      <c r="G479" s="5">
        <v>44</v>
      </c>
      <c r="H479" t="s">
        <v>70</v>
      </c>
      <c r="I479" t="s">
        <v>55</v>
      </c>
      <c r="J479" s="6">
        <v>13.99</v>
      </c>
      <c r="K479">
        <v>1</v>
      </c>
      <c r="L479" t="s">
        <v>19</v>
      </c>
      <c r="M479" s="5">
        <v>3</v>
      </c>
      <c r="N479" s="4">
        <v>0.05</v>
      </c>
      <c r="O479" t="s">
        <v>47</v>
      </c>
    </row>
    <row r="480" spans="1:15" x14ac:dyDescent="0.3">
      <c r="A480" t="s">
        <v>1471</v>
      </c>
      <c r="B480" s="5">
        <v>27</v>
      </c>
      <c r="C480" s="5" t="str" cm="1">
        <f t="array" ref="C480">_xlfn.IFS(worksheet[[#This Row],[age]]&lt;25,"1. Young Adulthood (18-24)",worksheet[[#This Row],[age]]&lt; 35,"2. Early Adulthood (25-34)",worksheet[[#This Row],[age]]&lt; 45,"3. Mid Adulthood (35-44)",worksheet[[#This Row],[age]]&lt; 55,"4. Mature Adulthood (45-54)",TRUE,"5. Late Adulthood/Senior (55+)")</f>
        <v>2. Early Adulthood (25-34)</v>
      </c>
      <c r="D480" t="s">
        <v>41</v>
      </c>
      <c r="E480" t="s">
        <v>22</v>
      </c>
      <c r="F480" s="4">
        <v>6.49</v>
      </c>
      <c r="G480" s="5">
        <v>46</v>
      </c>
      <c r="H480" t="s">
        <v>49</v>
      </c>
      <c r="I480" t="s">
        <v>46</v>
      </c>
      <c r="J480" s="6">
        <v>13.99</v>
      </c>
      <c r="K480">
        <v>1</v>
      </c>
      <c r="L480" t="s">
        <v>37</v>
      </c>
      <c r="M480" s="5">
        <v>3</v>
      </c>
      <c r="N480" s="4">
        <v>0.14000000000000001</v>
      </c>
      <c r="O480" t="s">
        <v>30</v>
      </c>
    </row>
    <row r="481" spans="1:15" x14ac:dyDescent="0.3">
      <c r="A481" s="1" t="s">
        <v>1478</v>
      </c>
      <c r="B481" s="5">
        <v>24</v>
      </c>
      <c r="C481" s="5" t="str" cm="1">
        <f t="array" ref="C481">_xlfn.IFS(worksheet[[#This Row],[age]]&lt;25,"1. Young Adulthood (18-24)",worksheet[[#This Row],[age]]&lt; 35,"2. Early Adulthood (25-34)",worksheet[[#This Row],[age]]&lt; 45,"3. Mid Adulthood (35-44)",worksheet[[#This Row],[age]]&lt; 55,"4. Mature Adulthood (45-54)",TRUE,"5. Late Adulthood/Senior (55+)")</f>
        <v>1. Young Adulthood (18-24)</v>
      </c>
      <c r="D481" t="s">
        <v>27</v>
      </c>
      <c r="E481" t="s">
        <v>16</v>
      </c>
      <c r="F481" s="4">
        <v>3.11</v>
      </c>
      <c r="G481" s="5">
        <v>11</v>
      </c>
      <c r="H481" t="s">
        <v>28</v>
      </c>
      <c r="I481" t="s">
        <v>57</v>
      </c>
      <c r="J481" s="6">
        <v>8.99</v>
      </c>
      <c r="K481">
        <v>1</v>
      </c>
      <c r="L481" t="s">
        <v>61</v>
      </c>
      <c r="M481" s="5">
        <v>2</v>
      </c>
      <c r="N481" s="4">
        <v>0.26</v>
      </c>
      <c r="O481" t="s">
        <v>25</v>
      </c>
    </row>
    <row r="482" spans="1:15" x14ac:dyDescent="0.3">
      <c r="A482" t="s">
        <v>1480</v>
      </c>
      <c r="B482" s="5">
        <v>26</v>
      </c>
      <c r="C482" s="5" t="str" cm="1">
        <f t="array" ref="C482">_xlfn.IFS(worksheet[[#This Row],[age]]&lt;25,"1. Young Adulthood (18-24)",worksheet[[#This Row],[age]]&lt; 35,"2. Early Adulthood (25-34)",worksheet[[#This Row],[age]]&lt; 45,"3. Mid Adulthood (35-44)",worksheet[[#This Row],[age]]&lt; 55,"4. Mature Adulthood (45-54)",TRUE,"5. Late Adulthood/Senior (55+)")</f>
        <v>2. Early Adulthood (25-34)</v>
      </c>
      <c r="D482" t="s">
        <v>15</v>
      </c>
      <c r="E482" t="s">
        <v>22</v>
      </c>
      <c r="F482" s="4">
        <v>20.49</v>
      </c>
      <c r="G482" s="5">
        <v>53</v>
      </c>
      <c r="H482" t="s">
        <v>33</v>
      </c>
      <c r="I482" t="s">
        <v>46</v>
      </c>
      <c r="J482" s="6">
        <v>13.99</v>
      </c>
      <c r="K482">
        <v>0</v>
      </c>
      <c r="L482" t="s">
        <v>19</v>
      </c>
      <c r="M482" s="5">
        <v>5</v>
      </c>
      <c r="N482" s="4">
        <v>0.38</v>
      </c>
      <c r="O482" t="s">
        <v>25</v>
      </c>
    </row>
    <row r="483" spans="1:15" x14ac:dyDescent="0.3">
      <c r="A483" t="s">
        <v>1481</v>
      </c>
      <c r="B483" s="5">
        <v>27</v>
      </c>
      <c r="C483" s="5" t="str" cm="1">
        <f t="array" ref="C483">_xlfn.IFS(worksheet[[#This Row],[age]]&lt;25,"1. Young Adulthood (18-24)",worksheet[[#This Row],[age]]&lt; 35,"2. Early Adulthood (25-34)",worksheet[[#This Row],[age]]&lt; 45,"3. Mid Adulthood (35-44)",worksheet[[#This Row],[age]]&lt; 55,"4. Mature Adulthood (45-54)",TRUE,"5. Late Adulthood/Senior (55+)")</f>
        <v>2. Early Adulthood (25-34)</v>
      </c>
      <c r="D483" t="s">
        <v>15</v>
      </c>
      <c r="E483" t="s">
        <v>16</v>
      </c>
      <c r="F483" s="4">
        <v>19.48</v>
      </c>
      <c r="G483" s="5">
        <v>16</v>
      </c>
      <c r="H483" t="s">
        <v>33</v>
      </c>
      <c r="I483" t="s">
        <v>55</v>
      </c>
      <c r="J483" s="6">
        <v>8.99</v>
      </c>
      <c r="K483">
        <v>0</v>
      </c>
      <c r="L483" t="s">
        <v>37</v>
      </c>
      <c r="M483" s="5">
        <v>3</v>
      </c>
      <c r="N483" s="4">
        <v>1.1499999999999999</v>
      </c>
      <c r="O483" t="s">
        <v>39</v>
      </c>
    </row>
    <row r="484" spans="1:15" x14ac:dyDescent="0.3">
      <c r="A484" t="s">
        <v>1486</v>
      </c>
      <c r="B484" s="5">
        <v>23</v>
      </c>
      <c r="C484" s="5" t="str" cm="1">
        <f t="array" ref="C484">_xlfn.IFS(worksheet[[#This Row],[age]]&lt;25,"1. Young Adulthood (18-24)",worksheet[[#This Row],[age]]&lt; 35,"2. Early Adulthood (25-34)",worksheet[[#This Row],[age]]&lt; 45,"3. Mid Adulthood (35-44)",worksheet[[#This Row],[age]]&lt; 55,"4. Mature Adulthood (45-54)",TRUE,"5. Late Adulthood/Senior (55+)")</f>
        <v>1. Young Adulthood (18-24)</v>
      </c>
      <c r="D484" t="s">
        <v>15</v>
      </c>
      <c r="E484" t="s">
        <v>22</v>
      </c>
      <c r="F484" s="4">
        <v>17.54</v>
      </c>
      <c r="G484" s="5">
        <v>40</v>
      </c>
      <c r="H484" t="s">
        <v>28</v>
      </c>
      <c r="I484" t="s">
        <v>46</v>
      </c>
      <c r="J484" s="6">
        <v>13.99</v>
      </c>
      <c r="K484">
        <v>1</v>
      </c>
      <c r="L484" t="s">
        <v>19</v>
      </c>
      <c r="M484" s="5">
        <v>5</v>
      </c>
      <c r="N484" s="4">
        <v>0.43</v>
      </c>
      <c r="O484" t="s">
        <v>30</v>
      </c>
    </row>
    <row r="485" spans="1:15" x14ac:dyDescent="0.3">
      <c r="A485" t="s">
        <v>1488</v>
      </c>
      <c r="B485" s="5">
        <v>19</v>
      </c>
      <c r="C485" s="5" t="str" cm="1">
        <f t="array" ref="C485">_xlfn.IFS(worksheet[[#This Row],[age]]&lt;25,"1. Young Adulthood (18-24)",worksheet[[#This Row],[age]]&lt; 35,"2. Early Adulthood (25-34)",worksheet[[#This Row],[age]]&lt; 45,"3. Mid Adulthood (35-44)",worksheet[[#This Row],[age]]&lt; 55,"4. Mature Adulthood (45-54)",TRUE,"5. Late Adulthood/Senior (55+)")</f>
        <v>1. Young Adulthood (18-24)</v>
      </c>
      <c r="D485" t="s">
        <v>41</v>
      </c>
      <c r="E485" t="s">
        <v>22</v>
      </c>
      <c r="F485" s="4">
        <v>13.21</v>
      </c>
      <c r="G485" s="5">
        <v>31</v>
      </c>
      <c r="H485" t="s">
        <v>49</v>
      </c>
      <c r="I485" t="s">
        <v>24</v>
      </c>
      <c r="J485" s="6">
        <v>13.99</v>
      </c>
      <c r="K485">
        <v>1</v>
      </c>
      <c r="L485" t="s">
        <v>61</v>
      </c>
      <c r="M485" s="5">
        <v>2</v>
      </c>
      <c r="N485" s="4">
        <v>0.41</v>
      </c>
      <c r="O485" t="s">
        <v>20</v>
      </c>
    </row>
    <row r="486" spans="1:15" x14ac:dyDescent="0.3">
      <c r="A486" t="s">
        <v>1490</v>
      </c>
      <c r="B486" s="5">
        <v>29</v>
      </c>
      <c r="C486" s="5" t="str" cm="1">
        <f t="array" ref="C486">_xlfn.IFS(worksheet[[#This Row],[age]]&lt;25,"1. Young Adulthood (18-24)",worksheet[[#This Row],[age]]&lt; 35,"2. Early Adulthood (25-34)",worksheet[[#This Row],[age]]&lt; 45,"3. Mid Adulthood (35-44)",worksheet[[#This Row],[age]]&lt; 55,"4. Mature Adulthood (45-54)",TRUE,"5. Late Adulthood/Senior (55+)")</f>
        <v>2. Early Adulthood (25-34)</v>
      </c>
      <c r="D486" t="s">
        <v>41</v>
      </c>
      <c r="E486" t="s">
        <v>22</v>
      </c>
      <c r="F486" s="4">
        <v>11.42</v>
      </c>
      <c r="G486" s="5">
        <v>16</v>
      </c>
      <c r="H486" t="s">
        <v>70</v>
      </c>
      <c r="I486" t="s">
        <v>18</v>
      </c>
      <c r="J486" s="6">
        <v>13.99</v>
      </c>
      <c r="K486">
        <v>0</v>
      </c>
      <c r="L486" t="s">
        <v>43</v>
      </c>
      <c r="M486" s="5">
        <v>5</v>
      </c>
      <c r="N486" s="4">
        <v>0.67</v>
      </c>
      <c r="O486" t="s">
        <v>47</v>
      </c>
    </row>
    <row r="487" spans="1:15" x14ac:dyDescent="0.3">
      <c r="A487" t="s">
        <v>1495</v>
      </c>
      <c r="B487" s="5">
        <v>31</v>
      </c>
      <c r="C487" s="5" t="str" cm="1">
        <f t="array" ref="C487">_xlfn.IFS(worksheet[[#This Row],[age]]&lt;25,"1. Young Adulthood (18-24)",worksheet[[#This Row],[age]]&lt; 35,"2. Early Adulthood (25-34)",worksheet[[#This Row],[age]]&lt; 45,"3. Mid Adulthood (35-44)",worksheet[[#This Row],[age]]&lt; 55,"4. Mature Adulthood (45-54)",TRUE,"5. Late Adulthood/Senior (55+)")</f>
        <v>2. Early Adulthood (25-34)</v>
      </c>
      <c r="D487" t="s">
        <v>15</v>
      </c>
      <c r="E487" t="s">
        <v>22</v>
      </c>
      <c r="F487" s="4">
        <v>10.199999999999999</v>
      </c>
      <c r="G487" s="5">
        <v>18</v>
      </c>
      <c r="H487" t="s">
        <v>28</v>
      </c>
      <c r="I487" t="s">
        <v>55</v>
      </c>
      <c r="J487" s="6">
        <v>13.99</v>
      </c>
      <c r="K487">
        <v>0</v>
      </c>
      <c r="L487" t="s">
        <v>19</v>
      </c>
      <c r="M487" s="5">
        <v>5</v>
      </c>
      <c r="N487" s="4">
        <v>0.54</v>
      </c>
      <c r="O487" t="s">
        <v>47</v>
      </c>
    </row>
    <row r="488" spans="1:15" x14ac:dyDescent="0.3">
      <c r="A488" t="s">
        <v>1498</v>
      </c>
      <c r="B488" s="5">
        <v>20</v>
      </c>
      <c r="C488" s="5" t="str" cm="1">
        <f t="array" ref="C488">_xlfn.IFS(worksheet[[#This Row],[age]]&lt;25,"1. Young Adulthood (18-24)",worksheet[[#This Row],[age]]&lt; 35,"2. Early Adulthood (25-34)",worksheet[[#This Row],[age]]&lt; 45,"3. Mid Adulthood (35-44)",worksheet[[#This Row],[age]]&lt; 55,"4. Mature Adulthood (45-54)",TRUE,"5. Late Adulthood/Senior (55+)")</f>
        <v>1. Young Adulthood (18-24)</v>
      </c>
      <c r="D488" t="s">
        <v>15</v>
      </c>
      <c r="E488" t="s">
        <v>22</v>
      </c>
      <c r="F488" s="4">
        <v>0.79</v>
      </c>
      <c r="G488" s="5">
        <v>23</v>
      </c>
      <c r="H488" t="s">
        <v>49</v>
      </c>
      <c r="I488" t="s">
        <v>57</v>
      </c>
      <c r="J488" s="6">
        <v>13.99</v>
      </c>
      <c r="K488">
        <v>0</v>
      </c>
      <c r="L488" t="s">
        <v>43</v>
      </c>
      <c r="M488" s="5">
        <v>4</v>
      </c>
      <c r="N488" s="4">
        <v>0.03</v>
      </c>
      <c r="O488" t="s">
        <v>30</v>
      </c>
    </row>
    <row r="489" spans="1:15" x14ac:dyDescent="0.3">
      <c r="A489" t="s">
        <v>1499</v>
      </c>
      <c r="B489" s="5">
        <v>22</v>
      </c>
      <c r="C489" s="5" t="str" cm="1">
        <f t="array" ref="C489">_xlfn.IFS(worksheet[[#This Row],[age]]&lt;25,"1. Young Adulthood (18-24)",worksheet[[#This Row],[age]]&lt; 35,"2. Early Adulthood (25-34)",worksheet[[#This Row],[age]]&lt; 45,"3. Mid Adulthood (35-44)",worksheet[[#This Row],[age]]&lt; 55,"4. Mature Adulthood (45-54)",TRUE,"5. Late Adulthood/Senior (55+)")</f>
        <v>1. Young Adulthood (18-24)</v>
      </c>
      <c r="D489" t="s">
        <v>41</v>
      </c>
      <c r="E489" t="s">
        <v>16</v>
      </c>
      <c r="F489" s="4">
        <v>23.81</v>
      </c>
      <c r="G489" s="5">
        <v>23</v>
      </c>
      <c r="H489" t="s">
        <v>17</v>
      </c>
      <c r="I489" t="s">
        <v>55</v>
      </c>
      <c r="J489" s="6">
        <v>8.99</v>
      </c>
      <c r="K489">
        <v>0</v>
      </c>
      <c r="L489" t="s">
        <v>43</v>
      </c>
      <c r="M489" s="5">
        <v>1</v>
      </c>
      <c r="N489" s="4">
        <v>0.99</v>
      </c>
      <c r="O489" t="s">
        <v>47</v>
      </c>
    </row>
    <row r="490" spans="1:15" x14ac:dyDescent="0.3">
      <c r="A490" t="s">
        <v>1501</v>
      </c>
      <c r="B490" s="5">
        <v>29</v>
      </c>
      <c r="C490" s="5" t="str" cm="1">
        <f t="array" ref="C490">_xlfn.IFS(worksheet[[#This Row],[age]]&lt;25,"1. Young Adulthood (18-24)",worksheet[[#This Row],[age]]&lt; 35,"2. Early Adulthood (25-34)",worksheet[[#This Row],[age]]&lt; 45,"3. Mid Adulthood (35-44)",worksheet[[#This Row],[age]]&lt; 55,"4. Mature Adulthood (45-54)",TRUE,"5. Late Adulthood/Senior (55+)")</f>
        <v>2. Early Adulthood (25-34)</v>
      </c>
      <c r="D490" t="s">
        <v>15</v>
      </c>
      <c r="E490" t="s">
        <v>16</v>
      </c>
      <c r="F490" s="4">
        <v>9.08</v>
      </c>
      <c r="G490" s="5">
        <v>39</v>
      </c>
      <c r="H490" t="s">
        <v>28</v>
      </c>
      <c r="I490" t="s">
        <v>24</v>
      </c>
      <c r="J490" s="6">
        <v>8.99</v>
      </c>
      <c r="K490">
        <v>1</v>
      </c>
      <c r="L490" t="s">
        <v>19</v>
      </c>
      <c r="M490" s="5">
        <v>5</v>
      </c>
      <c r="N490" s="4">
        <v>0.23</v>
      </c>
      <c r="O490" t="s">
        <v>34</v>
      </c>
    </row>
    <row r="491" spans="1:15" x14ac:dyDescent="0.3">
      <c r="A491" t="s">
        <v>1505</v>
      </c>
      <c r="B491" s="5">
        <v>21</v>
      </c>
      <c r="C491" s="5" t="str" cm="1">
        <f t="array" ref="C491">_xlfn.IFS(worksheet[[#This Row],[age]]&lt;25,"1. Young Adulthood (18-24)",worksheet[[#This Row],[age]]&lt; 35,"2. Early Adulthood (25-34)",worksheet[[#This Row],[age]]&lt; 45,"3. Mid Adulthood (35-44)",worksheet[[#This Row],[age]]&lt; 55,"4. Mature Adulthood (45-54)",TRUE,"5. Late Adulthood/Senior (55+)")</f>
        <v>1. Young Adulthood (18-24)</v>
      </c>
      <c r="D491" t="s">
        <v>27</v>
      </c>
      <c r="E491" t="s">
        <v>32</v>
      </c>
      <c r="F491" s="4">
        <v>4.07</v>
      </c>
      <c r="G491" s="5">
        <v>56</v>
      </c>
      <c r="H491" t="s">
        <v>49</v>
      </c>
      <c r="I491" t="s">
        <v>55</v>
      </c>
      <c r="J491" s="6">
        <v>17.989999999999998</v>
      </c>
      <c r="K491">
        <v>1</v>
      </c>
      <c r="L491" t="s">
        <v>61</v>
      </c>
      <c r="M491" s="5">
        <v>4</v>
      </c>
      <c r="N491" s="4">
        <v>7.0000000000000007E-2</v>
      </c>
      <c r="O491" t="s">
        <v>20</v>
      </c>
    </row>
    <row r="492" spans="1:15" x14ac:dyDescent="0.3">
      <c r="A492" t="s">
        <v>1508</v>
      </c>
      <c r="B492" s="5">
        <v>31</v>
      </c>
      <c r="C492" s="5" t="str" cm="1">
        <f t="array" ref="C492">_xlfn.IFS(worksheet[[#This Row],[age]]&lt;25,"1. Young Adulthood (18-24)",worksheet[[#This Row],[age]]&lt; 35,"2. Early Adulthood (25-34)",worksheet[[#This Row],[age]]&lt; 45,"3. Mid Adulthood (35-44)",worksheet[[#This Row],[age]]&lt; 55,"4. Mature Adulthood (45-54)",TRUE,"5. Late Adulthood/Senior (55+)")</f>
        <v>2. Early Adulthood (25-34)</v>
      </c>
      <c r="D492" t="s">
        <v>41</v>
      </c>
      <c r="E492" t="s">
        <v>16</v>
      </c>
      <c r="F492" s="4">
        <v>4.83</v>
      </c>
      <c r="G492" s="5">
        <v>15</v>
      </c>
      <c r="H492" t="s">
        <v>23</v>
      </c>
      <c r="I492" t="s">
        <v>46</v>
      </c>
      <c r="J492" s="6">
        <v>8.99</v>
      </c>
      <c r="K492">
        <v>1</v>
      </c>
      <c r="L492" t="s">
        <v>61</v>
      </c>
      <c r="M492" s="5">
        <v>4</v>
      </c>
      <c r="N492" s="4">
        <v>0.3</v>
      </c>
      <c r="O492" t="s">
        <v>34</v>
      </c>
    </row>
    <row r="493" spans="1:15" x14ac:dyDescent="0.3">
      <c r="A493" t="s">
        <v>1523</v>
      </c>
      <c r="B493" s="5">
        <v>24</v>
      </c>
      <c r="C493" s="5" t="str" cm="1">
        <f t="array" ref="C493">_xlfn.IFS(worksheet[[#This Row],[age]]&lt;25,"1. Young Adulthood (18-24)",worksheet[[#This Row],[age]]&lt; 35,"2. Early Adulthood (25-34)",worksheet[[#This Row],[age]]&lt; 45,"3. Mid Adulthood (35-44)",worksheet[[#This Row],[age]]&lt; 55,"4. Mature Adulthood (45-54)",TRUE,"5. Late Adulthood/Senior (55+)")</f>
        <v>1. Young Adulthood (18-24)</v>
      </c>
      <c r="D493" t="s">
        <v>27</v>
      </c>
      <c r="E493" t="s">
        <v>32</v>
      </c>
      <c r="F493" s="4">
        <v>2.48</v>
      </c>
      <c r="G493" s="5">
        <v>19</v>
      </c>
      <c r="H493" t="s">
        <v>70</v>
      </c>
      <c r="I493" t="s">
        <v>24</v>
      </c>
      <c r="J493" s="6">
        <v>17.989999999999998</v>
      </c>
      <c r="K493">
        <v>1</v>
      </c>
      <c r="L493" t="s">
        <v>37</v>
      </c>
      <c r="M493" s="5">
        <v>2</v>
      </c>
      <c r="N493" s="4">
        <v>0.12</v>
      </c>
      <c r="O493" t="s">
        <v>25</v>
      </c>
    </row>
    <row r="494" spans="1:15" x14ac:dyDescent="0.3">
      <c r="A494" t="s">
        <v>1524</v>
      </c>
      <c r="B494" s="5">
        <v>28</v>
      </c>
      <c r="C494" s="5" t="str" cm="1">
        <f t="array" ref="C494">_xlfn.IFS(worksheet[[#This Row],[age]]&lt;25,"1. Young Adulthood (18-24)",worksheet[[#This Row],[age]]&lt; 35,"2. Early Adulthood (25-34)",worksheet[[#This Row],[age]]&lt; 45,"3. Mid Adulthood (35-44)",worksheet[[#This Row],[age]]&lt; 55,"4. Mature Adulthood (45-54)",TRUE,"5. Late Adulthood/Senior (55+)")</f>
        <v>2. Early Adulthood (25-34)</v>
      </c>
      <c r="D494" t="s">
        <v>15</v>
      </c>
      <c r="E494" t="s">
        <v>16</v>
      </c>
      <c r="F494" s="4">
        <v>22.74</v>
      </c>
      <c r="G494" s="5">
        <v>28</v>
      </c>
      <c r="H494" t="s">
        <v>49</v>
      </c>
      <c r="I494" t="s">
        <v>18</v>
      </c>
      <c r="J494" s="6">
        <v>8.99</v>
      </c>
      <c r="K494">
        <v>0</v>
      </c>
      <c r="L494" t="s">
        <v>19</v>
      </c>
      <c r="M494" s="5">
        <v>1</v>
      </c>
      <c r="N494" s="4">
        <v>0.78</v>
      </c>
      <c r="O494" t="s">
        <v>25</v>
      </c>
    </row>
    <row r="495" spans="1:15" x14ac:dyDescent="0.3">
      <c r="A495" t="s">
        <v>1528</v>
      </c>
      <c r="B495" s="5">
        <v>24</v>
      </c>
      <c r="C495" s="5" t="str" cm="1">
        <f t="array" ref="C495">_xlfn.IFS(worksheet[[#This Row],[age]]&lt;25,"1. Young Adulthood (18-24)",worksheet[[#This Row],[age]]&lt; 35,"2. Early Adulthood (25-34)",worksheet[[#This Row],[age]]&lt; 45,"3. Mid Adulthood (35-44)",worksheet[[#This Row],[age]]&lt; 55,"4. Mature Adulthood (45-54)",TRUE,"5. Late Adulthood/Senior (55+)")</f>
        <v>1. Young Adulthood (18-24)</v>
      </c>
      <c r="D495" t="s">
        <v>27</v>
      </c>
      <c r="E495" t="s">
        <v>16</v>
      </c>
      <c r="F495" s="4">
        <v>3.74</v>
      </c>
      <c r="G495" s="5">
        <v>38</v>
      </c>
      <c r="H495" t="s">
        <v>17</v>
      </c>
      <c r="I495" t="s">
        <v>46</v>
      </c>
      <c r="J495" s="6">
        <v>8.99</v>
      </c>
      <c r="K495">
        <v>1</v>
      </c>
      <c r="L495" t="s">
        <v>37</v>
      </c>
      <c r="M495" s="5">
        <v>4</v>
      </c>
      <c r="N495" s="4">
        <v>0.1</v>
      </c>
      <c r="O495" t="s">
        <v>30</v>
      </c>
    </row>
    <row r="496" spans="1:15" x14ac:dyDescent="0.3">
      <c r="A496" t="s">
        <v>1532</v>
      </c>
      <c r="B496" s="5">
        <v>24</v>
      </c>
      <c r="C496" s="5" t="str" cm="1">
        <f t="array" ref="C496">_xlfn.IFS(worksheet[[#This Row],[age]]&lt;25,"1. Young Adulthood (18-24)",worksheet[[#This Row],[age]]&lt; 35,"2. Early Adulthood (25-34)",worksheet[[#This Row],[age]]&lt; 45,"3. Mid Adulthood (35-44)",worksheet[[#This Row],[age]]&lt; 55,"4. Mature Adulthood (45-54)",TRUE,"5. Late Adulthood/Senior (55+)")</f>
        <v>1. Young Adulthood (18-24)</v>
      </c>
      <c r="D496" t="s">
        <v>27</v>
      </c>
      <c r="E496" t="s">
        <v>16</v>
      </c>
      <c r="F496" s="4">
        <v>5.25</v>
      </c>
      <c r="G496" s="5">
        <v>28</v>
      </c>
      <c r="H496" t="s">
        <v>28</v>
      </c>
      <c r="I496" t="s">
        <v>46</v>
      </c>
      <c r="J496" s="6">
        <v>8.99</v>
      </c>
      <c r="K496">
        <v>0</v>
      </c>
      <c r="L496" t="s">
        <v>19</v>
      </c>
      <c r="M496" s="5">
        <v>4</v>
      </c>
      <c r="N496" s="4">
        <v>0.18</v>
      </c>
      <c r="O496" t="s">
        <v>47</v>
      </c>
    </row>
    <row r="497" spans="1:15" x14ac:dyDescent="0.3">
      <c r="A497" t="s">
        <v>1534</v>
      </c>
      <c r="B497" s="5">
        <v>28</v>
      </c>
      <c r="C497" s="5" t="str" cm="1">
        <f t="array" ref="C497">_xlfn.IFS(worksheet[[#This Row],[age]]&lt;25,"1. Young Adulthood (18-24)",worksheet[[#This Row],[age]]&lt; 35,"2. Early Adulthood (25-34)",worksheet[[#This Row],[age]]&lt; 45,"3. Mid Adulthood (35-44)",worksheet[[#This Row],[age]]&lt; 55,"4. Mature Adulthood (45-54)",TRUE,"5. Late Adulthood/Senior (55+)")</f>
        <v>2. Early Adulthood (25-34)</v>
      </c>
      <c r="D497" t="s">
        <v>15</v>
      </c>
      <c r="E497" t="s">
        <v>16</v>
      </c>
      <c r="F497" s="4">
        <v>13.38</v>
      </c>
      <c r="G497" s="5">
        <v>23</v>
      </c>
      <c r="H497" t="s">
        <v>70</v>
      </c>
      <c r="I497" t="s">
        <v>18</v>
      </c>
      <c r="J497" s="6">
        <v>8.99</v>
      </c>
      <c r="K497">
        <v>0</v>
      </c>
      <c r="L497" t="s">
        <v>19</v>
      </c>
      <c r="M497" s="5">
        <v>1</v>
      </c>
      <c r="N497" s="4">
        <v>0.56000000000000005</v>
      </c>
      <c r="O497" t="s">
        <v>25</v>
      </c>
    </row>
    <row r="498" spans="1:15" x14ac:dyDescent="0.3">
      <c r="A498" t="s">
        <v>1537</v>
      </c>
      <c r="B498" s="5">
        <v>26</v>
      </c>
      <c r="C498" s="5" t="str" cm="1">
        <f t="array" ref="C498">_xlfn.IFS(worksheet[[#This Row],[age]]&lt;25,"1. Young Adulthood (18-24)",worksheet[[#This Row],[age]]&lt; 35,"2. Early Adulthood (25-34)",worksheet[[#This Row],[age]]&lt; 45,"3. Mid Adulthood (35-44)",worksheet[[#This Row],[age]]&lt; 55,"4. Mature Adulthood (45-54)",TRUE,"5. Late Adulthood/Senior (55+)")</f>
        <v>2. Early Adulthood (25-34)</v>
      </c>
      <c r="D498" t="s">
        <v>27</v>
      </c>
      <c r="E498" t="s">
        <v>32</v>
      </c>
      <c r="F498" s="4">
        <v>3.87</v>
      </c>
      <c r="G498" s="5">
        <v>45</v>
      </c>
      <c r="H498" t="s">
        <v>28</v>
      </c>
      <c r="I498" t="s">
        <v>18</v>
      </c>
      <c r="J498" s="6">
        <v>17.989999999999998</v>
      </c>
      <c r="K498">
        <v>1</v>
      </c>
      <c r="L498" t="s">
        <v>19</v>
      </c>
      <c r="M498" s="5">
        <v>2</v>
      </c>
      <c r="N498" s="4">
        <v>0.08</v>
      </c>
      <c r="O498" t="s">
        <v>52</v>
      </c>
    </row>
    <row r="499" spans="1:15" x14ac:dyDescent="0.3">
      <c r="A499" t="s">
        <v>1538</v>
      </c>
      <c r="B499" s="5">
        <v>25</v>
      </c>
      <c r="C499" s="5" t="str" cm="1">
        <f t="array" ref="C499">_xlfn.IFS(worksheet[[#This Row],[age]]&lt;25,"1. Young Adulthood (18-24)",worksheet[[#This Row],[age]]&lt; 35,"2. Early Adulthood (25-34)",worksheet[[#This Row],[age]]&lt; 45,"3. Mid Adulthood (35-44)",worksheet[[#This Row],[age]]&lt; 55,"4. Mature Adulthood (45-54)",TRUE,"5. Late Adulthood/Senior (55+)")</f>
        <v>2. Early Adulthood (25-34)</v>
      </c>
      <c r="D499" t="s">
        <v>27</v>
      </c>
      <c r="E499" t="s">
        <v>32</v>
      </c>
      <c r="F499" s="4">
        <v>6.49</v>
      </c>
      <c r="G499" s="5">
        <v>14</v>
      </c>
      <c r="H499" t="s">
        <v>70</v>
      </c>
      <c r="I499" t="s">
        <v>57</v>
      </c>
      <c r="J499" s="6">
        <v>17.989999999999998</v>
      </c>
      <c r="K499">
        <v>0</v>
      </c>
      <c r="L499" t="s">
        <v>61</v>
      </c>
      <c r="M499" s="5">
        <v>1</v>
      </c>
      <c r="N499" s="4">
        <v>0.43</v>
      </c>
      <c r="O499" t="s">
        <v>30</v>
      </c>
    </row>
    <row r="500" spans="1:15" x14ac:dyDescent="0.3">
      <c r="A500" t="s">
        <v>1539</v>
      </c>
      <c r="B500" s="5">
        <v>21</v>
      </c>
      <c r="C500" s="5" t="str" cm="1">
        <f t="array" ref="C500">_xlfn.IFS(worksheet[[#This Row],[age]]&lt;25,"1. Young Adulthood (18-24)",worksheet[[#This Row],[age]]&lt; 35,"2. Early Adulthood (25-34)",worksheet[[#This Row],[age]]&lt; 45,"3. Mid Adulthood (35-44)",worksheet[[#This Row],[age]]&lt; 55,"4. Mature Adulthood (45-54)",TRUE,"5. Late Adulthood/Senior (55+)")</f>
        <v>1. Young Adulthood (18-24)</v>
      </c>
      <c r="D500" t="s">
        <v>41</v>
      </c>
      <c r="E500" t="s">
        <v>22</v>
      </c>
      <c r="F500" s="4">
        <v>1.02</v>
      </c>
      <c r="G500" s="5">
        <v>23</v>
      </c>
      <c r="H500" t="s">
        <v>28</v>
      </c>
      <c r="I500" t="s">
        <v>57</v>
      </c>
      <c r="J500" s="6">
        <v>13.99</v>
      </c>
      <c r="K500">
        <v>1</v>
      </c>
      <c r="L500" t="s">
        <v>43</v>
      </c>
      <c r="M500" s="5">
        <v>3</v>
      </c>
      <c r="N500" s="4">
        <v>0.04</v>
      </c>
      <c r="O500" t="s">
        <v>52</v>
      </c>
    </row>
    <row r="501" spans="1:15" x14ac:dyDescent="0.3">
      <c r="A501" t="s">
        <v>1545</v>
      </c>
      <c r="B501" s="5">
        <v>34</v>
      </c>
      <c r="C501" s="5" t="str" cm="1">
        <f t="array" ref="C501">_xlfn.IFS(worksheet[[#This Row],[age]]&lt;25,"1. Young Adulthood (18-24)",worksheet[[#This Row],[age]]&lt; 35,"2. Early Adulthood (25-34)",worksheet[[#This Row],[age]]&lt; 45,"3. Mid Adulthood (35-44)",worksheet[[#This Row],[age]]&lt; 55,"4. Mature Adulthood (45-54)",TRUE,"5. Late Adulthood/Senior (55+)")</f>
        <v>2. Early Adulthood (25-34)</v>
      </c>
      <c r="D501" t="s">
        <v>41</v>
      </c>
      <c r="E501" t="s">
        <v>16</v>
      </c>
      <c r="F501" s="4">
        <v>0.35</v>
      </c>
      <c r="G501" s="5">
        <v>57</v>
      </c>
      <c r="H501" t="s">
        <v>28</v>
      </c>
      <c r="I501" t="s">
        <v>18</v>
      </c>
      <c r="J501" s="6">
        <v>8.99</v>
      </c>
      <c r="K501">
        <v>1</v>
      </c>
      <c r="L501" t="s">
        <v>19</v>
      </c>
      <c r="M501" s="5">
        <v>1</v>
      </c>
      <c r="N501" s="4">
        <v>0.01</v>
      </c>
      <c r="O501" t="s">
        <v>47</v>
      </c>
    </row>
    <row r="502" spans="1:15" x14ac:dyDescent="0.3">
      <c r="A502" t="s">
        <v>1547</v>
      </c>
      <c r="B502" s="5">
        <v>19</v>
      </c>
      <c r="C502" s="5" t="str" cm="1">
        <f t="array" ref="C502">_xlfn.IFS(worksheet[[#This Row],[age]]&lt;25,"1. Young Adulthood (18-24)",worksheet[[#This Row],[age]]&lt; 35,"2. Early Adulthood (25-34)",worksheet[[#This Row],[age]]&lt; 45,"3. Mid Adulthood (35-44)",worksheet[[#This Row],[age]]&lt; 55,"4. Mature Adulthood (45-54)",TRUE,"5. Late Adulthood/Senior (55+)")</f>
        <v>1. Young Adulthood (18-24)</v>
      </c>
      <c r="D502" t="s">
        <v>27</v>
      </c>
      <c r="E502" t="s">
        <v>32</v>
      </c>
      <c r="F502" s="4">
        <v>11.97</v>
      </c>
      <c r="G502" s="5">
        <v>17</v>
      </c>
      <c r="H502" t="s">
        <v>70</v>
      </c>
      <c r="I502" t="s">
        <v>55</v>
      </c>
      <c r="J502" s="6">
        <v>17.989999999999998</v>
      </c>
      <c r="K502">
        <v>0</v>
      </c>
      <c r="L502" t="s">
        <v>43</v>
      </c>
      <c r="M502" s="5">
        <v>4</v>
      </c>
      <c r="N502" s="4">
        <v>0.67</v>
      </c>
      <c r="O502" t="s">
        <v>20</v>
      </c>
    </row>
    <row r="503" spans="1:15" x14ac:dyDescent="0.3">
      <c r="A503" t="s">
        <v>1548</v>
      </c>
      <c r="B503" s="5">
        <v>21</v>
      </c>
      <c r="C503" s="5" t="str" cm="1">
        <f t="array" ref="C503">_xlfn.IFS(worksheet[[#This Row],[age]]&lt;25,"1. Young Adulthood (18-24)",worksheet[[#This Row],[age]]&lt; 35,"2. Early Adulthood (25-34)",worksheet[[#This Row],[age]]&lt; 45,"3. Mid Adulthood (35-44)",worksheet[[#This Row],[age]]&lt; 55,"4. Mature Adulthood (45-54)",TRUE,"5. Late Adulthood/Senior (55+)")</f>
        <v>1. Young Adulthood (18-24)</v>
      </c>
      <c r="D503" t="s">
        <v>41</v>
      </c>
      <c r="E503" t="s">
        <v>22</v>
      </c>
      <c r="F503" s="4">
        <v>0.66</v>
      </c>
      <c r="G503" s="5">
        <v>5</v>
      </c>
      <c r="H503" t="s">
        <v>49</v>
      </c>
      <c r="I503" t="s">
        <v>46</v>
      </c>
      <c r="J503" s="6">
        <v>13.99</v>
      </c>
      <c r="K503">
        <v>1</v>
      </c>
      <c r="L503" t="s">
        <v>29</v>
      </c>
      <c r="M503" s="5">
        <v>1</v>
      </c>
      <c r="N503" s="4">
        <v>0.11</v>
      </c>
      <c r="O503" t="s">
        <v>34</v>
      </c>
    </row>
    <row r="504" spans="1:15" x14ac:dyDescent="0.3">
      <c r="A504" t="s">
        <v>1549</v>
      </c>
      <c r="B504" s="5">
        <v>27</v>
      </c>
      <c r="C504" s="5" t="str" cm="1">
        <f t="array" ref="C504">_xlfn.IFS(worksheet[[#This Row],[age]]&lt;25,"1. Young Adulthood (18-24)",worksheet[[#This Row],[age]]&lt; 35,"2. Early Adulthood (25-34)",worksheet[[#This Row],[age]]&lt; 45,"3. Mid Adulthood (35-44)",worksheet[[#This Row],[age]]&lt; 55,"4. Mature Adulthood (45-54)",TRUE,"5. Late Adulthood/Senior (55+)")</f>
        <v>2. Early Adulthood (25-34)</v>
      </c>
      <c r="D504" t="s">
        <v>41</v>
      </c>
      <c r="E504" t="s">
        <v>32</v>
      </c>
      <c r="F504" s="4">
        <v>1.04</v>
      </c>
      <c r="G504" s="5">
        <v>26</v>
      </c>
      <c r="H504" t="s">
        <v>70</v>
      </c>
      <c r="I504" t="s">
        <v>46</v>
      </c>
      <c r="J504" s="6">
        <v>17.989999999999998</v>
      </c>
      <c r="K504">
        <v>0</v>
      </c>
      <c r="L504" t="s">
        <v>43</v>
      </c>
      <c r="M504" s="5">
        <v>4</v>
      </c>
      <c r="N504" s="4">
        <v>0.04</v>
      </c>
      <c r="O504" t="s">
        <v>52</v>
      </c>
    </row>
    <row r="505" spans="1:15" x14ac:dyDescent="0.3">
      <c r="A505" t="s">
        <v>1556</v>
      </c>
      <c r="B505" s="5">
        <v>31</v>
      </c>
      <c r="C505" s="5" t="str" cm="1">
        <f t="array" ref="C505">_xlfn.IFS(worksheet[[#This Row],[age]]&lt;25,"1. Young Adulthood (18-24)",worksheet[[#This Row],[age]]&lt; 35,"2. Early Adulthood (25-34)",worksheet[[#This Row],[age]]&lt; 45,"3. Mid Adulthood (35-44)",worksheet[[#This Row],[age]]&lt; 55,"4. Mature Adulthood (45-54)",TRUE,"5. Late Adulthood/Senior (55+)")</f>
        <v>2. Early Adulthood (25-34)</v>
      </c>
      <c r="D505" t="s">
        <v>41</v>
      </c>
      <c r="E505" t="s">
        <v>16</v>
      </c>
      <c r="F505" s="4">
        <v>21.84</v>
      </c>
      <c r="G505" s="5">
        <v>44</v>
      </c>
      <c r="H505" t="s">
        <v>49</v>
      </c>
      <c r="I505" t="s">
        <v>46</v>
      </c>
      <c r="J505" s="6">
        <v>8.99</v>
      </c>
      <c r="K505">
        <v>1</v>
      </c>
      <c r="L505" t="s">
        <v>43</v>
      </c>
      <c r="M505" s="5">
        <v>2</v>
      </c>
      <c r="N505" s="4">
        <v>0.49</v>
      </c>
      <c r="O505" t="s">
        <v>52</v>
      </c>
    </row>
    <row r="506" spans="1:15" x14ac:dyDescent="0.3">
      <c r="A506" t="s">
        <v>1557</v>
      </c>
      <c r="B506" s="5">
        <v>19</v>
      </c>
      <c r="C506" s="5" t="str" cm="1">
        <f t="array" ref="C506">_xlfn.IFS(worksheet[[#This Row],[age]]&lt;25,"1. Young Adulthood (18-24)",worksheet[[#This Row],[age]]&lt; 35,"2. Early Adulthood (25-34)",worksheet[[#This Row],[age]]&lt; 45,"3. Mid Adulthood (35-44)",worksheet[[#This Row],[age]]&lt; 55,"4. Mature Adulthood (45-54)",TRUE,"5. Late Adulthood/Senior (55+)")</f>
        <v>1. Young Adulthood (18-24)</v>
      </c>
      <c r="D506" t="s">
        <v>27</v>
      </c>
      <c r="E506" t="s">
        <v>22</v>
      </c>
      <c r="F506" s="4">
        <v>35.54</v>
      </c>
      <c r="G506" s="5">
        <v>58</v>
      </c>
      <c r="H506" t="s">
        <v>23</v>
      </c>
      <c r="I506" t="s">
        <v>18</v>
      </c>
      <c r="J506" s="6">
        <v>13.99</v>
      </c>
      <c r="K506">
        <v>0</v>
      </c>
      <c r="L506" t="s">
        <v>37</v>
      </c>
      <c r="M506" s="5">
        <v>5</v>
      </c>
      <c r="N506" s="4">
        <v>0.6</v>
      </c>
      <c r="O506" t="s">
        <v>52</v>
      </c>
    </row>
    <row r="507" spans="1:15" x14ac:dyDescent="0.3">
      <c r="A507" t="s">
        <v>1559</v>
      </c>
      <c r="B507" s="5">
        <v>31</v>
      </c>
      <c r="C507" s="5" t="str" cm="1">
        <f t="array" ref="C507">_xlfn.IFS(worksheet[[#This Row],[age]]&lt;25,"1. Young Adulthood (18-24)",worksheet[[#This Row],[age]]&lt; 35,"2. Early Adulthood (25-34)",worksheet[[#This Row],[age]]&lt; 45,"3. Mid Adulthood (35-44)",worksheet[[#This Row],[age]]&lt; 55,"4. Mature Adulthood (45-54)",TRUE,"5. Late Adulthood/Senior (55+)")</f>
        <v>2. Early Adulthood (25-34)</v>
      </c>
      <c r="D507" t="s">
        <v>15</v>
      </c>
      <c r="E507" t="s">
        <v>16</v>
      </c>
      <c r="F507" s="4">
        <v>33.1</v>
      </c>
      <c r="G507" s="5">
        <v>28</v>
      </c>
      <c r="H507" t="s">
        <v>49</v>
      </c>
      <c r="I507" t="s">
        <v>46</v>
      </c>
      <c r="J507" s="6">
        <v>8.99</v>
      </c>
      <c r="K507">
        <v>0</v>
      </c>
      <c r="L507" t="s">
        <v>61</v>
      </c>
      <c r="M507" s="5">
        <v>2</v>
      </c>
      <c r="N507" s="4">
        <v>1.1399999999999999</v>
      </c>
      <c r="O507" t="s">
        <v>30</v>
      </c>
    </row>
    <row r="508" spans="1:15" x14ac:dyDescent="0.3">
      <c r="A508" t="s">
        <v>1567</v>
      </c>
      <c r="B508" s="5">
        <v>28</v>
      </c>
      <c r="C508" s="5" t="str" cm="1">
        <f t="array" ref="C508">_xlfn.IFS(worksheet[[#This Row],[age]]&lt;25,"1. Young Adulthood (18-24)",worksheet[[#This Row],[age]]&lt; 35,"2. Early Adulthood (25-34)",worksheet[[#This Row],[age]]&lt; 45,"3. Mid Adulthood (35-44)",worksheet[[#This Row],[age]]&lt; 55,"4. Mature Adulthood (45-54)",TRUE,"5. Late Adulthood/Senior (55+)")</f>
        <v>2. Early Adulthood (25-34)</v>
      </c>
      <c r="D508" t="s">
        <v>41</v>
      </c>
      <c r="E508" t="s">
        <v>22</v>
      </c>
      <c r="F508" s="4">
        <v>6.56</v>
      </c>
      <c r="G508" s="5">
        <v>30</v>
      </c>
      <c r="H508" t="s">
        <v>70</v>
      </c>
      <c r="I508" t="s">
        <v>46</v>
      </c>
      <c r="J508" s="6">
        <v>13.99</v>
      </c>
      <c r="K508">
        <v>0</v>
      </c>
      <c r="L508" t="s">
        <v>37</v>
      </c>
      <c r="M508" s="5">
        <v>4</v>
      </c>
      <c r="N508" s="4">
        <v>0.21</v>
      </c>
      <c r="O508" t="s">
        <v>25</v>
      </c>
    </row>
    <row r="509" spans="1:15" x14ac:dyDescent="0.3">
      <c r="A509" t="s">
        <v>1573</v>
      </c>
      <c r="B509" s="5">
        <v>21</v>
      </c>
      <c r="C509" s="5" t="str" cm="1">
        <f t="array" ref="C509">_xlfn.IFS(worksheet[[#This Row],[age]]&lt;25,"1. Young Adulthood (18-24)",worksheet[[#This Row],[age]]&lt; 35,"2. Early Adulthood (25-34)",worksheet[[#This Row],[age]]&lt; 45,"3. Mid Adulthood (35-44)",worksheet[[#This Row],[age]]&lt; 55,"4. Mature Adulthood (45-54)",TRUE,"5. Late Adulthood/Senior (55+)")</f>
        <v>1. Young Adulthood (18-24)</v>
      </c>
      <c r="D509" t="s">
        <v>27</v>
      </c>
      <c r="E509" t="s">
        <v>22</v>
      </c>
      <c r="F509" s="4">
        <v>9.1300000000000008</v>
      </c>
      <c r="G509" s="5">
        <v>7</v>
      </c>
      <c r="H509" t="s">
        <v>17</v>
      </c>
      <c r="I509" t="s">
        <v>46</v>
      </c>
      <c r="J509" s="6">
        <v>13.99</v>
      </c>
      <c r="K509">
        <v>0</v>
      </c>
      <c r="L509" t="s">
        <v>37</v>
      </c>
      <c r="M509" s="5">
        <v>1</v>
      </c>
      <c r="N509" s="4">
        <v>1.1399999999999999</v>
      </c>
      <c r="O509" t="s">
        <v>30</v>
      </c>
    </row>
    <row r="510" spans="1:15" x14ac:dyDescent="0.3">
      <c r="A510" t="s">
        <v>1578</v>
      </c>
      <c r="B510" s="5">
        <v>22</v>
      </c>
      <c r="C510" s="5" t="str" cm="1">
        <f t="array" ref="C510">_xlfn.IFS(worksheet[[#This Row],[age]]&lt;25,"1. Young Adulthood (18-24)",worksheet[[#This Row],[age]]&lt; 35,"2. Early Adulthood (25-34)",worksheet[[#This Row],[age]]&lt; 45,"3. Mid Adulthood (35-44)",worksheet[[#This Row],[age]]&lt; 55,"4. Mature Adulthood (45-54)",TRUE,"5. Late Adulthood/Senior (55+)")</f>
        <v>1. Young Adulthood (18-24)</v>
      </c>
      <c r="D510" t="s">
        <v>41</v>
      </c>
      <c r="E510" t="s">
        <v>32</v>
      </c>
      <c r="F510" s="4">
        <v>37.119999999999997</v>
      </c>
      <c r="G510" s="5">
        <v>36</v>
      </c>
      <c r="H510" t="s">
        <v>23</v>
      </c>
      <c r="I510" t="s">
        <v>55</v>
      </c>
      <c r="J510" s="6">
        <v>17.989999999999998</v>
      </c>
      <c r="K510">
        <v>0</v>
      </c>
      <c r="L510" t="s">
        <v>37</v>
      </c>
      <c r="M510" s="5">
        <v>2</v>
      </c>
      <c r="N510" s="4">
        <v>1</v>
      </c>
      <c r="O510" t="s">
        <v>25</v>
      </c>
    </row>
    <row r="511" spans="1:15" x14ac:dyDescent="0.3">
      <c r="A511" t="s">
        <v>1581</v>
      </c>
      <c r="B511" s="5">
        <v>25</v>
      </c>
      <c r="C511" s="5" t="str" cm="1">
        <f t="array" ref="C511">_xlfn.IFS(worksheet[[#This Row],[age]]&lt;25,"1. Young Adulthood (18-24)",worksheet[[#This Row],[age]]&lt; 35,"2. Early Adulthood (25-34)",worksheet[[#This Row],[age]]&lt; 45,"3. Mid Adulthood (35-44)",worksheet[[#This Row],[age]]&lt; 55,"4. Mature Adulthood (45-54)",TRUE,"5. Late Adulthood/Senior (55+)")</f>
        <v>2. Early Adulthood (25-34)</v>
      </c>
      <c r="D511" t="s">
        <v>15</v>
      </c>
      <c r="E511" t="s">
        <v>16</v>
      </c>
      <c r="F511" s="4">
        <v>13.34</v>
      </c>
      <c r="G511" s="5">
        <v>49</v>
      </c>
      <c r="H511" t="s">
        <v>17</v>
      </c>
      <c r="I511" t="s">
        <v>55</v>
      </c>
      <c r="J511" s="6">
        <v>8.99</v>
      </c>
      <c r="K511">
        <v>1</v>
      </c>
      <c r="L511" t="s">
        <v>61</v>
      </c>
      <c r="M511" s="5">
        <v>1</v>
      </c>
      <c r="N511" s="4">
        <v>0.27</v>
      </c>
      <c r="O511" t="s">
        <v>20</v>
      </c>
    </row>
    <row r="512" spans="1:15" x14ac:dyDescent="0.3">
      <c r="A512" t="s">
        <v>1585</v>
      </c>
      <c r="B512" s="5">
        <v>28</v>
      </c>
      <c r="C512" s="5" t="str" cm="1">
        <f t="array" ref="C512">_xlfn.IFS(worksheet[[#This Row],[age]]&lt;25,"1. Young Adulthood (18-24)",worksheet[[#This Row],[age]]&lt; 35,"2. Early Adulthood (25-34)",worksheet[[#This Row],[age]]&lt; 45,"3. Mid Adulthood (35-44)",worksheet[[#This Row],[age]]&lt; 55,"4. Mature Adulthood (45-54)",TRUE,"5. Late Adulthood/Senior (55+)")</f>
        <v>2. Early Adulthood (25-34)</v>
      </c>
      <c r="D512" t="s">
        <v>41</v>
      </c>
      <c r="E512" t="s">
        <v>32</v>
      </c>
      <c r="F512" s="4">
        <v>17.43</v>
      </c>
      <c r="G512" s="5">
        <v>36</v>
      </c>
      <c r="H512" t="s">
        <v>70</v>
      </c>
      <c r="I512" t="s">
        <v>55</v>
      </c>
      <c r="J512" s="6">
        <v>17.989999999999998</v>
      </c>
      <c r="K512">
        <v>1</v>
      </c>
      <c r="L512" t="s">
        <v>29</v>
      </c>
      <c r="M512" s="5">
        <v>3</v>
      </c>
      <c r="N512" s="4">
        <v>0.47</v>
      </c>
      <c r="O512" t="s">
        <v>30</v>
      </c>
    </row>
    <row r="513" spans="1:15" x14ac:dyDescent="0.3">
      <c r="A513" t="s">
        <v>1588</v>
      </c>
      <c r="B513" s="5">
        <v>30</v>
      </c>
      <c r="C513" s="5" t="str" cm="1">
        <f t="array" ref="C513">_xlfn.IFS(worksheet[[#This Row],[age]]&lt;25,"1. Young Adulthood (18-24)",worksheet[[#This Row],[age]]&lt; 35,"2. Early Adulthood (25-34)",worksheet[[#This Row],[age]]&lt; 45,"3. Mid Adulthood (35-44)",worksheet[[#This Row],[age]]&lt; 55,"4. Mature Adulthood (45-54)",TRUE,"5. Late Adulthood/Senior (55+)")</f>
        <v>2. Early Adulthood (25-34)</v>
      </c>
      <c r="D513" t="s">
        <v>41</v>
      </c>
      <c r="E513" t="s">
        <v>22</v>
      </c>
      <c r="F513" s="4">
        <v>3.31</v>
      </c>
      <c r="G513" s="5">
        <v>29</v>
      </c>
      <c r="H513" t="s">
        <v>28</v>
      </c>
      <c r="I513" t="s">
        <v>18</v>
      </c>
      <c r="J513" s="6">
        <v>13.99</v>
      </c>
      <c r="K513">
        <v>1</v>
      </c>
      <c r="L513" t="s">
        <v>37</v>
      </c>
      <c r="M513" s="5">
        <v>1</v>
      </c>
      <c r="N513" s="4">
        <v>0.11</v>
      </c>
      <c r="O513" t="s">
        <v>52</v>
      </c>
    </row>
    <row r="514" spans="1:15" x14ac:dyDescent="0.3">
      <c r="A514" t="s">
        <v>1589</v>
      </c>
      <c r="B514" s="5">
        <v>27</v>
      </c>
      <c r="C514" s="5" t="str" cm="1">
        <f t="array" ref="C514">_xlfn.IFS(worksheet[[#This Row],[age]]&lt;25,"1. Young Adulthood (18-24)",worksheet[[#This Row],[age]]&lt; 35,"2. Early Adulthood (25-34)",worksheet[[#This Row],[age]]&lt; 45,"3. Mid Adulthood (35-44)",worksheet[[#This Row],[age]]&lt; 55,"4. Mature Adulthood (45-54)",TRUE,"5. Late Adulthood/Senior (55+)")</f>
        <v>2. Early Adulthood (25-34)</v>
      </c>
      <c r="D514" t="s">
        <v>41</v>
      </c>
      <c r="E514" t="s">
        <v>22</v>
      </c>
      <c r="F514" s="4">
        <v>25.23</v>
      </c>
      <c r="G514" s="5">
        <v>20</v>
      </c>
      <c r="H514" t="s">
        <v>49</v>
      </c>
      <c r="I514" t="s">
        <v>24</v>
      </c>
      <c r="J514" s="6">
        <v>13.99</v>
      </c>
      <c r="K514">
        <v>0</v>
      </c>
      <c r="L514" t="s">
        <v>37</v>
      </c>
      <c r="M514" s="5">
        <v>5</v>
      </c>
      <c r="N514" s="4">
        <v>1.2</v>
      </c>
      <c r="O514" t="s">
        <v>30</v>
      </c>
    </row>
    <row r="515" spans="1:15" x14ac:dyDescent="0.3">
      <c r="A515" t="s">
        <v>1592</v>
      </c>
      <c r="B515" s="5">
        <v>21</v>
      </c>
      <c r="C515" s="5" t="str" cm="1">
        <f t="array" ref="C515">_xlfn.IFS(worksheet[[#This Row],[age]]&lt;25,"1. Young Adulthood (18-24)",worksheet[[#This Row],[age]]&lt; 35,"2. Early Adulthood (25-34)",worksheet[[#This Row],[age]]&lt; 45,"3. Mid Adulthood (35-44)",worksheet[[#This Row],[age]]&lt; 55,"4. Mature Adulthood (45-54)",TRUE,"5. Late Adulthood/Senior (55+)")</f>
        <v>1. Young Adulthood (18-24)</v>
      </c>
      <c r="D515" t="s">
        <v>15</v>
      </c>
      <c r="E515" t="s">
        <v>32</v>
      </c>
      <c r="F515" s="4">
        <v>13.63</v>
      </c>
      <c r="G515" s="5">
        <v>3</v>
      </c>
      <c r="H515" t="s">
        <v>28</v>
      </c>
      <c r="I515" t="s">
        <v>46</v>
      </c>
      <c r="J515" s="6">
        <v>17.989999999999998</v>
      </c>
      <c r="K515">
        <v>0</v>
      </c>
      <c r="L515" t="s">
        <v>29</v>
      </c>
      <c r="M515" s="5">
        <v>1</v>
      </c>
      <c r="N515" s="4">
        <v>3.41</v>
      </c>
      <c r="O515" t="s">
        <v>47</v>
      </c>
    </row>
    <row r="516" spans="1:15" x14ac:dyDescent="0.3">
      <c r="A516" t="s">
        <v>1595</v>
      </c>
      <c r="B516" s="5">
        <v>22</v>
      </c>
      <c r="C516" s="5" t="str" cm="1">
        <f t="array" ref="C516">_xlfn.IFS(worksheet[[#This Row],[age]]&lt;25,"1. Young Adulthood (18-24)",worksheet[[#This Row],[age]]&lt; 35,"2. Early Adulthood (25-34)",worksheet[[#This Row],[age]]&lt; 45,"3. Mid Adulthood (35-44)",worksheet[[#This Row],[age]]&lt; 55,"4. Mature Adulthood (45-54)",TRUE,"5. Late Adulthood/Senior (55+)")</f>
        <v>1. Young Adulthood (18-24)</v>
      </c>
      <c r="D516" t="s">
        <v>41</v>
      </c>
      <c r="E516" t="s">
        <v>32</v>
      </c>
      <c r="F516" s="4">
        <v>18.97</v>
      </c>
      <c r="G516" s="5">
        <v>55</v>
      </c>
      <c r="H516" t="s">
        <v>70</v>
      </c>
      <c r="I516" t="s">
        <v>57</v>
      </c>
      <c r="J516" s="6">
        <v>17.989999999999998</v>
      </c>
      <c r="K516">
        <v>1</v>
      </c>
      <c r="L516" t="s">
        <v>61</v>
      </c>
      <c r="M516" s="5">
        <v>2</v>
      </c>
      <c r="N516" s="4">
        <v>0.34</v>
      </c>
      <c r="O516" t="s">
        <v>39</v>
      </c>
    </row>
    <row r="517" spans="1:15" x14ac:dyDescent="0.3">
      <c r="A517" t="s">
        <v>1596</v>
      </c>
      <c r="B517" s="5">
        <v>29</v>
      </c>
      <c r="C517" s="5" t="str" cm="1">
        <f t="array" ref="C517">_xlfn.IFS(worksheet[[#This Row],[age]]&lt;25,"1. Young Adulthood (18-24)",worksheet[[#This Row],[age]]&lt; 35,"2. Early Adulthood (25-34)",worksheet[[#This Row],[age]]&lt; 45,"3. Mid Adulthood (35-44)",worksheet[[#This Row],[age]]&lt; 55,"4. Mature Adulthood (45-54)",TRUE,"5. Late Adulthood/Senior (55+)")</f>
        <v>2. Early Adulthood (25-34)</v>
      </c>
      <c r="D517" t="s">
        <v>41</v>
      </c>
      <c r="E517" t="s">
        <v>22</v>
      </c>
      <c r="F517" s="4">
        <v>13.38</v>
      </c>
      <c r="G517" s="5">
        <v>14</v>
      </c>
      <c r="H517" t="s">
        <v>70</v>
      </c>
      <c r="I517" t="s">
        <v>18</v>
      </c>
      <c r="J517" s="6">
        <v>13.99</v>
      </c>
      <c r="K517">
        <v>0</v>
      </c>
      <c r="L517" t="s">
        <v>43</v>
      </c>
      <c r="M517" s="5">
        <v>5</v>
      </c>
      <c r="N517" s="4">
        <v>0.89</v>
      </c>
      <c r="O517" t="s">
        <v>34</v>
      </c>
    </row>
    <row r="518" spans="1:15" x14ac:dyDescent="0.3">
      <c r="A518" t="s">
        <v>1597</v>
      </c>
      <c r="B518" s="5">
        <v>22</v>
      </c>
      <c r="C518" s="5" t="str" cm="1">
        <f t="array" ref="C518">_xlfn.IFS(worksheet[[#This Row],[age]]&lt;25,"1. Young Adulthood (18-24)",worksheet[[#This Row],[age]]&lt; 35,"2. Early Adulthood (25-34)",worksheet[[#This Row],[age]]&lt; 45,"3. Mid Adulthood (35-44)",worksheet[[#This Row],[age]]&lt; 55,"4. Mature Adulthood (45-54)",TRUE,"5. Late Adulthood/Senior (55+)")</f>
        <v>1. Young Adulthood (18-24)</v>
      </c>
      <c r="D518" t="s">
        <v>15</v>
      </c>
      <c r="E518" t="s">
        <v>22</v>
      </c>
      <c r="F518" s="4">
        <v>25.13</v>
      </c>
      <c r="G518" s="5">
        <v>1</v>
      </c>
      <c r="H518" t="s">
        <v>17</v>
      </c>
      <c r="I518" t="s">
        <v>55</v>
      </c>
      <c r="J518" s="6">
        <v>13.99</v>
      </c>
      <c r="K518">
        <v>0</v>
      </c>
      <c r="L518" t="s">
        <v>19</v>
      </c>
      <c r="M518" s="5">
        <v>2</v>
      </c>
      <c r="N518" s="4">
        <v>12.56</v>
      </c>
      <c r="O518" t="s">
        <v>39</v>
      </c>
    </row>
    <row r="519" spans="1:15" x14ac:dyDescent="0.3">
      <c r="A519" t="s">
        <v>1598</v>
      </c>
      <c r="B519" s="5">
        <v>33</v>
      </c>
      <c r="C519" s="5" t="str" cm="1">
        <f t="array" ref="C519">_xlfn.IFS(worksheet[[#This Row],[age]]&lt;25,"1. Young Adulthood (18-24)",worksheet[[#This Row],[age]]&lt; 35,"2. Early Adulthood (25-34)",worksheet[[#This Row],[age]]&lt; 45,"3. Mid Adulthood (35-44)",worksheet[[#This Row],[age]]&lt; 55,"4. Mature Adulthood (45-54)",TRUE,"5. Late Adulthood/Senior (55+)")</f>
        <v>2. Early Adulthood (25-34)</v>
      </c>
      <c r="D519" t="s">
        <v>27</v>
      </c>
      <c r="E519" t="s">
        <v>32</v>
      </c>
      <c r="F519" s="4">
        <v>0.44</v>
      </c>
      <c r="G519" s="5">
        <v>17</v>
      </c>
      <c r="H519" t="s">
        <v>70</v>
      </c>
      <c r="I519" t="s">
        <v>24</v>
      </c>
      <c r="J519" s="6">
        <v>17.989999999999998</v>
      </c>
      <c r="K519">
        <v>1</v>
      </c>
      <c r="L519" t="s">
        <v>29</v>
      </c>
      <c r="M519" s="5">
        <v>4</v>
      </c>
      <c r="N519" s="4">
        <v>0.02</v>
      </c>
      <c r="O519" t="s">
        <v>39</v>
      </c>
    </row>
    <row r="520" spans="1:15" x14ac:dyDescent="0.3">
      <c r="A520" t="s">
        <v>1600</v>
      </c>
      <c r="B520" s="5">
        <v>21</v>
      </c>
      <c r="C520" s="5" t="str" cm="1">
        <f t="array" ref="C520">_xlfn.IFS(worksheet[[#This Row],[age]]&lt;25,"1. Young Adulthood (18-24)",worksheet[[#This Row],[age]]&lt; 35,"2. Early Adulthood (25-34)",worksheet[[#This Row],[age]]&lt; 45,"3. Mid Adulthood (35-44)",worksheet[[#This Row],[age]]&lt; 55,"4. Mature Adulthood (45-54)",TRUE,"5. Late Adulthood/Senior (55+)")</f>
        <v>1. Young Adulthood (18-24)</v>
      </c>
      <c r="D520" t="s">
        <v>15</v>
      </c>
      <c r="E520" t="s">
        <v>16</v>
      </c>
      <c r="F520" s="4">
        <v>20.67</v>
      </c>
      <c r="G520" s="5">
        <v>38</v>
      </c>
      <c r="H520" t="s">
        <v>70</v>
      </c>
      <c r="I520" t="s">
        <v>18</v>
      </c>
      <c r="J520" s="6">
        <v>8.99</v>
      </c>
      <c r="K520">
        <v>1</v>
      </c>
      <c r="L520" t="s">
        <v>29</v>
      </c>
      <c r="M520" s="5">
        <v>1</v>
      </c>
      <c r="N520" s="4">
        <v>0.53</v>
      </c>
      <c r="O520" t="s">
        <v>47</v>
      </c>
    </row>
    <row r="521" spans="1:15" x14ac:dyDescent="0.3">
      <c r="A521" t="s">
        <v>1601</v>
      </c>
      <c r="B521" s="5">
        <v>32</v>
      </c>
      <c r="C521" s="5" t="str" cm="1">
        <f t="array" ref="C521">_xlfn.IFS(worksheet[[#This Row],[age]]&lt;25,"1. Young Adulthood (18-24)",worksheet[[#This Row],[age]]&lt; 35,"2. Early Adulthood (25-34)",worksheet[[#This Row],[age]]&lt; 45,"3. Mid Adulthood (35-44)",worksheet[[#This Row],[age]]&lt; 55,"4. Mature Adulthood (45-54)",TRUE,"5. Late Adulthood/Senior (55+)")</f>
        <v>2. Early Adulthood (25-34)</v>
      </c>
      <c r="D521" t="s">
        <v>41</v>
      </c>
      <c r="E521" t="s">
        <v>22</v>
      </c>
      <c r="F521" s="4">
        <v>2.91</v>
      </c>
      <c r="G521" s="5">
        <v>13</v>
      </c>
      <c r="H521" t="s">
        <v>17</v>
      </c>
      <c r="I521" t="s">
        <v>57</v>
      </c>
      <c r="J521" s="6">
        <v>13.99</v>
      </c>
      <c r="K521">
        <v>1</v>
      </c>
      <c r="L521" t="s">
        <v>29</v>
      </c>
      <c r="M521" s="5">
        <v>2</v>
      </c>
      <c r="N521" s="4">
        <v>0.21</v>
      </c>
      <c r="O521" t="s">
        <v>39</v>
      </c>
    </row>
    <row r="522" spans="1:15" x14ac:dyDescent="0.3">
      <c r="A522" t="s">
        <v>1602</v>
      </c>
      <c r="B522" s="5">
        <v>22</v>
      </c>
      <c r="C522" s="5" t="str" cm="1">
        <f t="array" ref="C522">_xlfn.IFS(worksheet[[#This Row],[age]]&lt;25,"1. Young Adulthood (18-24)",worksheet[[#This Row],[age]]&lt; 35,"2. Early Adulthood (25-34)",worksheet[[#This Row],[age]]&lt; 45,"3. Mid Adulthood (35-44)",worksheet[[#This Row],[age]]&lt; 55,"4. Mature Adulthood (45-54)",TRUE,"5. Late Adulthood/Senior (55+)")</f>
        <v>1. Young Adulthood (18-24)</v>
      </c>
      <c r="D522" t="s">
        <v>27</v>
      </c>
      <c r="E522" t="s">
        <v>22</v>
      </c>
      <c r="F522" s="4">
        <v>0.63</v>
      </c>
      <c r="G522" s="5">
        <v>9</v>
      </c>
      <c r="H522" t="s">
        <v>23</v>
      </c>
      <c r="I522" t="s">
        <v>57</v>
      </c>
      <c r="J522" s="6">
        <v>13.99</v>
      </c>
      <c r="K522">
        <v>1</v>
      </c>
      <c r="L522" t="s">
        <v>37</v>
      </c>
      <c r="M522" s="5">
        <v>3</v>
      </c>
      <c r="N522" s="4">
        <v>0.06</v>
      </c>
      <c r="O522" t="s">
        <v>20</v>
      </c>
    </row>
    <row r="523" spans="1:15" x14ac:dyDescent="0.3">
      <c r="A523" t="s">
        <v>1603</v>
      </c>
      <c r="B523" s="5">
        <v>26</v>
      </c>
      <c r="C523" s="5" t="str" cm="1">
        <f t="array" ref="C523">_xlfn.IFS(worksheet[[#This Row],[age]]&lt;25,"1. Young Adulthood (18-24)",worksheet[[#This Row],[age]]&lt; 35,"2. Early Adulthood (25-34)",worksheet[[#This Row],[age]]&lt; 45,"3. Mid Adulthood (35-44)",worksheet[[#This Row],[age]]&lt; 55,"4. Mature Adulthood (45-54)",TRUE,"5. Late Adulthood/Senior (55+)")</f>
        <v>2. Early Adulthood (25-34)</v>
      </c>
      <c r="D523" t="s">
        <v>15</v>
      </c>
      <c r="E523" t="s">
        <v>16</v>
      </c>
      <c r="F523" s="4">
        <v>11.89</v>
      </c>
      <c r="G523" s="5">
        <v>37</v>
      </c>
      <c r="H523" t="s">
        <v>49</v>
      </c>
      <c r="I523" t="s">
        <v>57</v>
      </c>
      <c r="J523" s="6">
        <v>8.99</v>
      </c>
      <c r="K523">
        <v>1</v>
      </c>
      <c r="L523" t="s">
        <v>61</v>
      </c>
      <c r="M523" s="5">
        <v>2</v>
      </c>
      <c r="N523" s="4">
        <v>0.31</v>
      </c>
      <c r="O523" t="s">
        <v>39</v>
      </c>
    </row>
    <row r="524" spans="1:15" x14ac:dyDescent="0.3">
      <c r="A524" t="s">
        <v>1612</v>
      </c>
      <c r="B524" s="5">
        <v>24</v>
      </c>
      <c r="C524" s="5" t="str" cm="1">
        <f t="array" ref="C524">_xlfn.IFS(worksheet[[#This Row],[age]]&lt;25,"1. Young Adulthood (18-24)",worksheet[[#This Row],[age]]&lt; 35,"2. Early Adulthood (25-34)",worksheet[[#This Row],[age]]&lt; 45,"3. Mid Adulthood (35-44)",worksheet[[#This Row],[age]]&lt; 55,"4. Mature Adulthood (45-54)",TRUE,"5. Late Adulthood/Senior (55+)")</f>
        <v>1. Young Adulthood (18-24)</v>
      </c>
      <c r="D524" t="s">
        <v>41</v>
      </c>
      <c r="E524" t="s">
        <v>16</v>
      </c>
      <c r="F524" s="4">
        <v>5.91</v>
      </c>
      <c r="G524" s="5">
        <v>25</v>
      </c>
      <c r="H524" t="s">
        <v>33</v>
      </c>
      <c r="I524" t="s">
        <v>46</v>
      </c>
      <c r="J524" s="6">
        <v>8.99</v>
      </c>
      <c r="K524">
        <v>1</v>
      </c>
      <c r="L524" t="s">
        <v>43</v>
      </c>
      <c r="M524" s="5">
        <v>1</v>
      </c>
      <c r="N524" s="4">
        <v>0.23</v>
      </c>
      <c r="O524" t="s">
        <v>20</v>
      </c>
    </row>
    <row r="525" spans="1:15" x14ac:dyDescent="0.3">
      <c r="A525" t="s">
        <v>1618</v>
      </c>
      <c r="B525" s="5">
        <v>23</v>
      </c>
      <c r="C525" s="5" t="str" cm="1">
        <f t="array" ref="C525">_xlfn.IFS(worksheet[[#This Row],[age]]&lt;25,"1. Young Adulthood (18-24)",worksheet[[#This Row],[age]]&lt; 35,"2. Early Adulthood (25-34)",worksheet[[#This Row],[age]]&lt; 45,"3. Mid Adulthood (35-44)",worksheet[[#This Row],[age]]&lt; 55,"4. Mature Adulthood (45-54)",TRUE,"5. Late Adulthood/Senior (55+)")</f>
        <v>1. Young Adulthood (18-24)</v>
      </c>
      <c r="D525" t="s">
        <v>15</v>
      </c>
      <c r="E525" t="s">
        <v>16</v>
      </c>
      <c r="F525" s="4">
        <v>6.27</v>
      </c>
      <c r="G525" s="5">
        <v>52</v>
      </c>
      <c r="H525" t="s">
        <v>23</v>
      </c>
      <c r="I525" t="s">
        <v>46</v>
      </c>
      <c r="J525" s="6">
        <v>8.99</v>
      </c>
      <c r="K525">
        <v>1</v>
      </c>
      <c r="L525" t="s">
        <v>19</v>
      </c>
      <c r="M525" s="5">
        <v>5</v>
      </c>
      <c r="N525" s="4">
        <v>0.12</v>
      </c>
      <c r="O525" t="s">
        <v>25</v>
      </c>
    </row>
    <row r="526" spans="1:15" x14ac:dyDescent="0.3">
      <c r="A526" t="s">
        <v>1620</v>
      </c>
      <c r="B526" s="5">
        <v>19</v>
      </c>
      <c r="C526" s="5" t="str" cm="1">
        <f t="array" ref="C526">_xlfn.IFS(worksheet[[#This Row],[age]]&lt;25,"1. Young Adulthood (18-24)",worksheet[[#This Row],[age]]&lt; 35,"2. Early Adulthood (25-34)",worksheet[[#This Row],[age]]&lt; 45,"3. Mid Adulthood (35-44)",worksheet[[#This Row],[age]]&lt; 55,"4. Mature Adulthood (45-54)",TRUE,"5. Late Adulthood/Senior (55+)")</f>
        <v>1. Young Adulthood (18-24)</v>
      </c>
      <c r="D526" t="s">
        <v>27</v>
      </c>
      <c r="E526" t="s">
        <v>22</v>
      </c>
      <c r="F526" s="4">
        <v>0.93</v>
      </c>
      <c r="G526" s="5">
        <v>26</v>
      </c>
      <c r="H526" t="s">
        <v>70</v>
      </c>
      <c r="I526" t="s">
        <v>46</v>
      </c>
      <c r="J526" s="6">
        <v>13.99</v>
      </c>
      <c r="K526">
        <v>1</v>
      </c>
      <c r="L526" t="s">
        <v>37</v>
      </c>
      <c r="M526" s="5">
        <v>3</v>
      </c>
      <c r="N526" s="4">
        <v>0.03</v>
      </c>
      <c r="O526" t="s">
        <v>20</v>
      </c>
    </row>
    <row r="527" spans="1:15" x14ac:dyDescent="0.3">
      <c r="A527" t="s">
        <v>1623</v>
      </c>
      <c r="B527" s="5">
        <v>31</v>
      </c>
      <c r="C527" s="5" t="str" cm="1">
        <f t="array" ref="C527">_xlfn.IFS(worksheet[[#This Row],[age]]&lt;25,"1. Young Adulthood (18-24)",worksheet[[#This Row],[age]]&lt; 35,"2. Early Adulthood (25-34)",worksheet[[#This Row],[age]]&lt; 45,"3. Mid Adulthood (35-44)",worksheet[[#This Row],[age]]&lt; 55,"4. Mature Adulthood (45-54)",TRUE,"5. Late Adulthood/Senior (55+)")</f>
        <v>2. Early Adulthood (25-34)</v>
      </c>
      <c r="D527" t="s">
        <v>15</v>
      </c>
      <c r="E527" t="s">
        <v>32</v>
      </c>
      <c r="F527" s="4">
        <v>21.92</v>
      </c>
      <c r="G527" s="5">
        <v>54</v>
      </c>
      <c r="H527" t="s">
        <v>28</v>
      </c>
      <c r="I527" t="s">
        <v>18</v>
      </c>
      <c r="J527" s="6">
        <v>17.989999999999998</v>
      </c>
      <c r="K527">
        <v>0</v>
      </c>
      <c r="L527" t="s">
        <v>43</v>
      </c>
      <c r="M527" s="5">
        <v>3</v>
      </c>
      <c r="N527" s="4">
        <v>0.4</v>
      </c>
      <c r="O527" t="s">
        <v>52</v>
      </c>
    </row>
    <row r="528" spans="1:15" x14ac:dyDescent="0.3">
      <c r="A528" t="s">
        <v>1624</v>
      </c>
      <c r="B528" s="5">
        <v>31</v>
      </c>
      <c r="C528" s="5" t="str" cm="1">
        <f t="array" ref="C528">_xlfn.IFS(worksheet[[#This Row],[age]]&lt;25,"1. Young Adulthood (18-24)",worksheet[[#This Row],[age]]&lt; 35,"2. Early Adulthood (25-34)",worksheet[[#This Row],[age]]&lt; 45,"3. Mid Adulthood (35-44)",worksheet[[#This Row],[age]]&lt; 55,"4. Mature Adulthood (45-54)",TRUE,"5. Late Adulthood/Senior (55+)")</f>
        <v>2. Early Adulthood (25-34)</v>
      </c>
      <c r="D528" t="s">
        <v>41</v>
      </c>
      <c r="E528" t="s">
        <v>32</v>
      </c>
      <c r="F528" s="4">
        <v>3.81</v>
      </c>
      <c r="G528" s="5">
        <v>39</v>
      </c>
      <c r="H528" t="s">
        <v>28</v>
      </c>
      <c r="I528" t="s">
        <v>18</v>
      </c>
      <c r="J528" s="6">
        <v>17.989999999999998</v>
      </c>
      <c r="K528">
        <v>1</v>
      </c>
      <c r="L528" t="s">
        <v>29</v>
      </c>
      <c r="M528" s="5">
        <v>1</v>
      </c>
      <c r="N528" s="4">
        <v>0.1</v>
      </c>
      <c r="O528" t="s">
        <v>52</v>
      </c>
    </row>
    <row r="529" spans="1:15" x14ac:dyDescent="0.3">
      <c r="A529" t="s">
        <v>1626</v>
      </c>
      <c r="B529" s="5">
        <v>20</v>
      </c>
      <c r="C529" s="5" t="str" cm="1">
        <f t="array" ref="C529">_xlfn.IFS(worksheet[[#This Row],[age]]&lt;25,"1. Young Adulthood (18-24)",worksheet[[#This Row],[age]]&lt; 35,"2. Early Adulthood (25-34)",worksheet[[#This Row],[age]]&lt; 45,"3. Mid Adulthood (35-44)",worksheet[[#This Row],[age]]&lt; 55,"4. Mature Adulthood (45-54)",TRUE,"5. Late Adulthood/Senior (55+)")</f>
        <v>1. Young Adulthood (18-24)</v>
      </c>
      <c r="D529" t="s">
        <v>15</v>
      </c>
      <c r="E529" t="s">
        <v>32</v>
      </c>
      <c r="F529" s="4">
        <v>16.64</v>
      </c>
      <c r="G529" s="5">
        <v>40</v>
      </c>
      <c r="H529" t="s">
        <v>23</v>
      </c>
      <c r="I529" t="s">
        <v>55</v>
      </c>
      <c r="J529" s="6">
        <v>17.989999999999998</v>
      </c>
      <c r="K529">
        <v>1</v>
      </c>
      <c r="L529" t="s">
        <v>19</v>
      </c>
      <c r="M529" s="5">
        <v>3</v>
      </c>
      <c r="N529" s="4">
        <v>0.41</v>
      </c>
      <c r="O529" t="s">
        <v>30</v>
      </c>
    </row>
    <row r="530" spans="1:15" x14ac:dyDescent="0.3">
      <c r="A530" t="s">
        <v>1629</v>
      </c>
      <c r="B530" s="5">
        <v>25</v>
      </c>
      <c r="C530" s="5" t="str" cm="1">
        <f t="array" ref="C530">_xlfn.IFS(worksheet[[#This Row],[age]]&lt;25,"1. Young Adulthood (18-24)",worksheet[[#This Row],[age]]&lt; 35,"2. Early Adulthood (25-34)",worksheet[[#This Row],[age]]&lt; 45,"3. Mid Adulthood (35-44)",worksheet[[#This Row],[age]]&lt; 55,"4. Mature Adulthood (45-54)",TRUE,"5. Late Adulthood/Senior (55+)")</f>
        <v>2. Early Adulthood (25-34)</v>
      </c>
      <c r="D530" t="s">
        <v>27</v>
      </c>
      <c r="E530" t="s">
        <v>16</v>
      </c>
      <c r="F530" s="4">
        <v>2.5299999999999998</v>
      </c>
      <c r="G530" s="5">
        <v>25</v>
      </c>
      <c r="H530" t="s">
        <v>70</v>
      </c>
      <c r="I530" t="s">
        <v>55</v>
      </c>
      <c r="J530" s="6">
        <v>8.99</v>
      </c>
      <c r="K530">
        <v>1</v>
      </c>
      <c r="L530" t="s">
        <v>37</v>
      </c>
      <c r="M530" s="5">
        <v>1</v>
      </c>
      <c r="N530" s="4">
        <v>0.1</v>
      </c>
      <c r="O530" t="s">
        <v>52</v>
      </c>
    </row>
    <row r="531" spans="1:15" x14ac:dyDescent="0.3">
      <c r="A531" t="s">
        <v>1650</v>
      </c>
      <c r="B531" s="5">
        <v>26</v>
      </c>
      <c r="C531" s="5" t="str" cm="1">
        <f t="array" ref="C531">_xlfn.IFS(worksheet[[#This Row],[age]]&lt;25,"1. Young Adulthood (18-24)",worksheet[[#This Row],[age]]&lt; 35,"2. Early Adulthood (25-34)",worksheet[[#This Row],[age]]&lt; 45,"3. Mid Adulthood (35-44)",worksheet[[#This Row],[age]]&lt; 55,"4. Mature Adulthood (45-54)",TRUE,"5. Late Adulthood/Senior (55+)")</f>
        <v>2. Early Adulthood (25-34)</v>
      </c>
      <c r="D531" t="s">
        <v>27</v>
      </c>
      <c r="E531" t="s">
        <v>16</v>
      </c>
      <c r="F531" s="4">
        <v>28.65</v>
      </c>
      <c r="G531" s="5">
        <v>15</v>
      </c>
      <c r="H531" t="s">
        <v>23</v>
      </c>
      <c r="I531" t="s">
        <v>46</v>
      </c>
      <c r="J531" s="6">
        <v>8.99</v>
      </c>
      <c r="K531">
        <v>0</v>
      </c>
      <c r="L531" t="s">
        <v>61</v>
      </c>
      <c r="M531" s="5">
        <v>4</v>
      </c>
      <c r="N531" s="4">
        <v>1.79</v>
      </c>
      <c r="O531" t="s">
        <v>52</v>
      </c>
    </row>
    <row r="532" spans="1:15" x14ac:dyDescent="0.3">
      <c r="A532" t="s">
        <v>1652</v>
      </c>
      <c r="B532" s="5">
        <v>34</v>
      </c>
      <c r="C532" s="5" t="str" cm="1">
        <f t="array" ref="C532">_xlfn.IFS(worksheet[[#This Row],[age]]&lt;25,"1. Young Adulthood (18-24)",worksheet[[#This Row],[age]]&lt; 35,"2. Early Adulthood (25-34)",worksheet[[#This Row],[age]]&lt; 45,"3. Mid Adulthood (35-44)",worksheet[[#This Row],[age]]&lt; 55,"4. Mature Adulthood (45-54)",TRUE,"5. Late Adulthood/Senior (55+)")</f>
        <v>2. Early Adulthood (25-34)</v>
      </c>
      <c r="D532" t="s">
        <v>41</v>
      </c>
      <c r="E532" t="s">
        <v>16</v>
      </c>
      <c r="F532" s="4">
        <v>1.82</v>
      </c>
      <c r="G532" s="5">
        <v>60</v>
      </c>
      <c r="H532" t="s">
        <v>70</v>
      </c>
      <c r="I532" t="s">
        <v>24</v>
      </c>
      <c r="J532" s="6">
        <v>8.99</v>
      </c>
      <c r="K532">
        <v>1</v>
      </c>
      <c r="L532" t="s">
        <v>37</v>
      </c>
      <c r="M532" s="5">
        <v>1</v>
      </c>
      <c r="N532" s="4">
        <v>0.03</v>
      </c>
      <c r="O532" t="s">
        <v>39</v>
      </c>
    </row>
    <row r="533" spans="1:15" x14ac:dyDescent="0.3">
      <c r="A533" t="s">
        <v>1657</v>
      </c>
      <c r="B533" s="5">
        <v>22</v>
      </c>
      <c r="C533" s="5" t="str" cm="1">
        <f t="array" ref="C533">_xlfn.IFS(worksheet[[#This Row],[age]]&lt;25,"1. Young Adulthood (18-24)",worksheet[[#This Row],[age]]&lt; 35,"2. Early Adulthood (25-34)",worksheet[[#This Row],[age]]&lt; 45,"3. Mid Adulthood (35-44)",worksheet[[#This Row],[age]]&lt; 55,"4. Mature Adulthood (45-54)",TRUE,"5. Late Adulthood/Senior (55+)")</f>
        <v>1. Young Adulthood (18-24)</v>
      </c>
      <c r="D533" t="s">
        <v>41</v>
      </c>
      <c r="E533" t="s">
        <v>22</v>
      </c>
      <c r="F533" s="4">
        <v>4.84</v>
      </c>
      <c r="G533" s="5">
        <v>32</v>
      </c>
      <c r="H533" t="s">
        <v>49</v>
      </c>
      <c r="I533" t="s">
        <v>24</v>
      </c>
      <c r="J533" s="6">
        <v>13.99</v>
      </c>
      <c r="K533">
        <v>1</v>
      </c>
      <c r="L533" t="s">
        <v>37</v>
      </c>
      <c r="M533" s="5">
        <v>3</v>
      </c>
      <c r="N533" s="4">
        <v>0.15</v>
      </c>
      <c r="O533" t="s">
        <v>20</v>
      </c>
    </row>
    <row r="534" spans="1:15" x14ac:dyDescent="0.3">
      <c r="A534" t="s">
        <v>1665</v>
      </c>
      <c r="B534" s="5">
        <v>20</v>
      </c>
      <c r="C534" s="5" t="str" cm="1">
        <f t="array" ref="C534">_xlfn.IFS(worksheet[[#This Row],[age]]&lt;25,"1. Young Adulthood (18-24)",worksheet[[#This Row],[age]]&lt; 35,"2. Early Adulthood (25-34)",worksheet[[#This Row],[age]]&lt; 45,"3. Mid Adulthood (35-44)",worksheet[[#This Row],[age]]&lt; 55,"4. Mature Adulthood (45-54)",TRUE,"5. Late Adulthood/Senior (55+)")</f>
        <v>1. Young Adulthood (18-24)</v>
      </c>
      <c r="D534" t="s">
        <v>27</v>
      </c>
      <c r="E534" t="s">
        <v>16</v>
      </c>
      <c r="F534" s="4">
        <v>12.66</v>
      </c>
      <c r="G534" s="5">
        <v>8</v>
      </c>
      <c r="H534" t="s">
        <v>17</v>
      </c>
      <c r="I534" t="s">
        <v>18</v>
      </c>
      <c r="J534" s="6">
        <v>8.99</v>
      </c>
      <c r="K534">
        <v>0</v>
      </c>
      <c r="L534" t="s">
        <v>43</v>
      </c>
      <c r="M534" s="5">
        <v>5</v>
      </c>
      <c r="N534" s="4">
        <v>1.41</v>
      </c>
      <c r="O534" t="s">
        <v>47</v>
      </c>
    </row>
    <row r="535" spans="1:15" x14ac:dyDescent="0.3">
      <c r="A535" t="s">
        <v>1666</v>
      </c>
      <c r="B535" s="5">
        <v>19</v>
      </c>
      <c r="C535" s="5" t="str" cm="1">
        <f t="array" ref="C535">_xlfn.IFS(worksheet[[#This Row],[age]]&lt;25,"1. Young Adulthood (18-24)",worksheet[[#This Row],[age]]&lt; 35,"2. Early Adulthood (25-34)",worksheet[[#This Row],[age]]&lt; 45,"3. Mid Adulthood (35-44)",worksheet[[#This Row],[age]]&lt; 55,"4. Mature Adulthood (45-54)",TRUE,"5. Late Adulthood/Senior (55+)")</f>
        <v>1. Young Adulthood (18-24)</v>
      </c>
      <c r="D535" t="s">
        <v>41</v>
      </c>
      <c r="E535" t="s">
        <v>16</v>
      </c>
      <c r="F535" s="4">
        <v>4.03</v>
      </c>
      <c r="G535" s="5">
        <v>20</v>
      </c>
      <c r="H535" t="s">
        <v>49</v>
      </c>
      <c r="I535" t="s">
        <v>46</v>
      </c>
      <c r="J535" s="6">
        <v>8.99</v>
      </c>
      <c r="K535">
        <v>1</v>
      </c>
      <c r="L535" t="s">
        <v>19</v>
      </c>
      <c r="M535" s="5">
        <v>5</v>
      </c>
      <c r="N535" s="4">
        <v>0.19</v>
      </c>
      <c r="O535" t="s">
        <v>30</v>
      </c>
    </row>
    <row r="536" spans="1:15" x14ac:dyDescent="0.3">
      <c r="A536" t="s">
        <v>1667</v>
      </c>
      <c r="B536" s="5">
        <v>18</v>
      </c>
      <c r="C536" s="5" t="str" cm="1">
        <f t="array" ref="C536">_xlfn.IFS(worksheet[[#This Row],[age]]&lt;25,"1. Young Adulthood (18-24)",worksheet[[#This Row],[age]]&lt; 35,"2. Early Adulthood (25-34)",worksheet[[#This Row],[age]]&lt; 45,"3. Mid Adulthood (35-44)",worksheet[[#This Row],[age]]&lt; 55,"4. Mature Adulthood (45-54)",TRUE,"5. Late Adulthood/Senior (55+)")</f>
        <v>1. Young Adulthood (18-24)</v>
      </c>
      <c r="D536" t="s">
        <v>27</v>
      </c>
      <c r="E536" t="s">
        <v>22</v>
      </c>
      <c r="F536" s="4">
        <v>5.81</v>
      </c>
      <c r="G536" s="5">
        <v>49</v>
      </c>
      <c r="H536" t="s">
        <v>23</v>
      </c>
      <c r="I536" t="s">
        <v>46</v>
      </c>
      <c r="J536" s="6">
        <v>13.99</v>
      </c>
      <c r="K536">
        <v>1</v>
      </c>
      <c r="L536" t="s">
        <v>43</v>
      </c>
      <c r="M536" s="5">
        <v>2</v>
      </c>
      <c r="N536" s="4">
        <v>0.12</v>
      </c>
      <c r="O536" t="s">
        <v>25</v>
      </c>
    </row>
    <row r="537" spans="1:15" x14ac:dyDescent="0.3">
      <c r="A537" t="s">
        <v>1671</v>
      </c>
      <c r="B537" s="5">
        <v>26</v>
      </c>
      <c r="C537" s="5" t="str" cm="1">
        <f t="array" ref="C537">_xlfn.IFS(worksheet[[#This Row],[age]]&lt;25,"1. Young Adulthood (18-24)",worksheet[[#This Row],[age]]&lt; 35,"2. Early Adulthood (25-34)",worksheet[[#This Row],[age]]&lt; 45,"3. Mid Adulthood (35-44)",worksheet[[#This Row],[age]]&lt; 55,"4. Mature Adulthood (45-54)",TRUE,"5. Late Adulthood/Senior (55+)")</f>
        <v>2. Early Adulthood (25-34)</v>
      </c>
      <c r="D537" t="s">
        <v>15</v>
      </c>
      <c r="E537" t="s">
        <v>32</v>
      </c>
      <c r="F537" s="4">
        <v>19.48</v>
      </c>
      <c r="G537" s="5">
        <v>16</v>
      </c>
      <c r="H537" t="s">
        <v>49</v>
      </c>
      <c r="I537" t="s">
        <v>55</v>
      </c>
      <c r="J537" s="6">
        <v>17.989999999999998</v>
      </c>
      <c r="K537">
        <v>0</v>
      </c>
      <c r="L537" t="s">
        <v>29</v>
      </c>
      <c r="M537" s="5">
        <v>5</v>
      </c>
      <c r="N537" s="4">
        <v>1.1499999999999999</v>
      </c>
      <c r="O537" t="s">
        <v>39</v>
      </c>
    </row>
    <row r="538" spans="1:15" x14ac:dyDescent="0.3">
      <c r="A538" t="s">
        <v>1674</v>
      </c>
      <c r="B538" s="5">
        <v>20</v>
      </c>
      <c r="C538" s="5" t="str" cm="1">
        <f t="array" ref="C538">_xlfn.IFS(worksheet[[#This Row],[age]]&lt;25,"1. Young Adulthood (18-24)",worksheet[[#This Row],[age]]&lt; 35,"2. Early Adulthood (25-34)",worksheet[[#This Row],[age]]&lt; 45,"3. Mid Adulthood (35-44)",worksheet[[#This Row],[age]]&lt; 55,"4. Mature Adulthood (45-54)",TRUE,"5. Late Adulthood/Senior (55+)")</f>
        <v>1. Young Adulthood (18-24)</v>
      </c>
      <c r="D538" t="s">
        <v>15</v>
      </c>
      <c r="E538" t="s">
        <v>22</v>
      </c>
      <c r="F538" s="4">
        <v>11.97</v>
      </c>
      <c r="G538" s="5">
        <v>2</v>
      </c>
      <c r="H538" t="s">
        <v>17</v>
      </c>
      <c r="I538" t="s">
        <v>24</v>
      </c>
      <c r="J538" s="6">
        <v>13.99</v>
      </c>
      <c r="K538">
        <v>0</v>
      </c>
      <c r="L538" t="s">
        <v>29</v>
      </c>
      <c r="M538" s="5">
        <v>5</v>
      </c>
      <c r="N538" s="4">
        <v>3.99</v>
      </c>
      <c r="O538" t="s">
        <v>47</v>
      </c>
    </row>
    <row r="539" spans="1:15" x14ac:dyDescent="0.3">
      <c r="A539" t="s">
        <v>1679</v>
      </c>
      <c r="B539" s="5">
        <v>24</v>
      </c>
      <c r="C539" s="5" t="str" cm="1">
        <f t="array" ref="C539">_xlfn.IFS(worksheet[[#This Row],[age]]&lt;25,"1. Young Adulthood (18-24)",worksheet[[#This Row],[age]]&lt; 35,"2. Early Adulthood (25-34)",worksheet[[#This Row],[age]]&lt; 45,"3. Mid Adulthood (35-44)",worksheet[[#This Row],[age]]&lt; 55,"4. Mature Adulthood (45-54)",TRUE,"5. Late Adulthood/Senior (55+)")</f>
        <v>1. Young Adulthood (18-24)</v>
      </c>
      <c r="D539" t="s">
        <v>27</v>
      </c>
      <c r="E539" t="s">
        <v>22</v>
      </c>
      <c r="F539" s="4">
        <v>11.33</v>
      </c>
      <c r="G539" s="5">
        <v>47</v>
      </c>
      <c r="H539" t="s">
        <v>70</v>
      </c>
      <c r="I539" t="s">
        <v>24</v>
      </c>
      <c r="J539" s="6">
        <v>13.99</v>
      </c>
      <c r="K539">
        <v>1</v>
      </c>
      <c r="L539" t="s">
        <v>61</v>
      </c>
      <c r="M539" s="5">
        <v>3</v>
      </c>
      <c r="N539" s="4">
        <v>0.24</v>
      </c>
      <c r="O539" t="s">
        <v>47</v>
      </c>
    </row>
    <row r="540" spans="1:15" x14ac:dyDescent="0.3">
      <c r="A540" t="s">
        <v>1681</v>
      </c>
      <c r="B540" s="5">
        <v>24</v>
      </c>
      <c r="C540" s="5" t="str" cm="1">
        <f t="array" ref="C540">_xlfn.IFS(worksheet[[#This Row],[age]]&lt;25,"1. Young Adulthood (18-24)",worksheet[[#This Row],[age]]&lt; 35,"2. Early Adulthood (25-34)",worksheet[[#This Row],[age]]&lt; 45,"3. Mid Adulthood (35-44)",worksheet[[#This Row],[age]]&lt; 55,"4. Mature Adulthood (45-54)",TRUE,"5. Late Adulthood/Senior (55+)")</f>
        <v>1. Young Adulthood (18-24)</v>
      </c>
      <c r="D540" t="s">
        <v>27</v>
      </c>
      <c r="E540" t="s">
        <v>16</v>
      </c>
      <c r="F540" s="4">
        <v>9.1300000000000008</v>
      </c>
      <c r="G540" s="5">
        <v>10</v>
      </c>
      <c r="H540" t="s">
        <v>28</v>
      </c>
      <c r="I540" t="s">
        <v>46</v>
      </c>
      <c r="J540" s="6">
        <v>8.99</v>
      </c>
      <c r="K540">
        <v>0</v>
      </c>
      <c r="L540" t="s">
        <v>37</v>
      </c>
      <c r="M540" s="5">
        <v>4</v>
      </c>
      <c r="N540" s="4">
        <v>0.83</v>
      </c>
      <c r="O540" t="s">
        <v>52</v>
      </c>
    </row>
    <row r="541" spans="1:15" x14ac:dyDescent="0.3">
      <c r="A541" t="s">
        <v>1687</v>
      </c>
      <c r="B541" s="5">
        <v>25</v>
      </c>
      <c r="C541" s="5" t="str" cm="1">
        <f t="array" ref="C541">_xlfn.IFS(worksheet[[#This Row],[age]]&lt;25,"1. Young Adulthood (18-24)",worksheet[[#This Row],[age]]&lt; 35,"2. Early Adulthood (25-34)",worksheet[[#This Row],[age]]&lt; 45,"3. Mid Adulthood (35-44)",worksheet[[#This Row],[age]]&lt; 55,"4. Mature Adulthood (45-54)",TRUE,"5. Late Adulthood/Senior (55+)")</f>
        <v>2. Early Adulthood (25-34)</v>
      </c>
      <c r="D541" t="s">
        <v>41</v>
      </c>
      <c r="E541" t="s">
        <v>22</v>
      </c>
      <c r="F541" s="4">
        <v>7.35</v>
      </c>
      <c r="G541" s="5">
        <v>41</v>
      </c>
      <c r="H541" t="s">
        <v>28</v>
      </c>
      <c r="I541" t="s">
        <v>18</v>
      </c>
      <c r="J541" s="6">
        <v>13.99</v>
      </c>
      <c r="K541">
        <v>1</v>
      </c>
      <c r="L541" t="s">
        <v>61</v>
      </c>
      <c r="M541" s="5">
        <v>1</v>
      </c>
      <c r="N541" s="4">
        <v>0.17</v>
      </c>
      <c r="O541" t="s">
        <v>52</v>
      </c>
    </row>
    <row r="542" spans="1:15" x14ac:dyDescent="0.3">
      <c r="A542" t="s">
        <v>1688</v>
      </c>
      <c r="B542" s="5">
        <v>31</v>
      </c>
      <c r="C542" s="5" t="str" cm="1">
        <f t="array" ref="C542">_xlfn.IFS(worksheet[[#This Row],[age]]&lt;25,"1. Young Adulthood (18-24)",worksheet[[#This Row],[age]]&lt; 35,"2. Early Adulthood (25-34)",worksheet[[#This Row],[age]]&lt; 45,"3. Mid Adulthood (35-44)",worksheet[[#This Row],[age]]&lt; 55,"4. Mature Adulthood (45-54)",TRUE,"5. Late Adulthood/Senior (55+)")</f>
        <v>2. Early Adulthood (25-34)</v>
      </c>
      <c r="D542" t="s">
        <v>27</v>
      </c>
      <c r="E542" t="s">
        <v>16</v>
      </c>
      <c r="F542" s="4">
        <v>3.89</v>
      </c>
      <c r="G542" s="5">
        <v>0</v>
      </c>
      <c r="H542" t="s">
        <v>33</v>
      </c>
      <c r="I542" t="s">
        <v>46</v>
      </c>
      <c r="J542" s="6">
        <v>8.99</v>
      </c>
      <c r="K542">
        <v>0</v>
      </c>
      <c r="L542" t="s">
        <v>61</v>
      </c>
      <c r="M542" s="5">
        <v>3</v>
      </c>
      <c r="N542" s="4">
        <v>3.89</v>
      </c>
      <c r="O542" t="s">
        <v>39</v>
      </c>
    </row>
    <row r="543" spans="1:15" x14ac:dyDescent="0.3">
      <c r="A543" t="s">
        <v>1694</v>
      </c>
      <c r="B543" s="5">
        <v>20</v>
      </c>
      <c r="C543" s="5" t="str" cm="1">
        <f t="array" ref="C543">_xlfn.IFS(worksheet[[#This Row],[age]]&lt;25,"1. Young Adulthood (18-24)",worksheet[[#This Row],[age]]&lt; 35,"2. Early Adulthood (25-34)",worksheet[[#This Row],[age]]&lt; 45,"3. Mid Adulthood (35-44)",worksheet[[#This Row],[age]]&lt; 55,"4. Mature Adulthood (45-54)",TRUE,"5. Late Adulthood/Senior (55+)")</f>
        <v>1. Young Adulthood (18-24)</v>
      </c>
      <c r="D543" t="s">
        <v>27</v>
      </c>
      <c r="E543" t="s">
        <v>16</v>
      </c>
      <c r="F543" s="4">
        <v>1</v>
      </c>
      <c r="G543" s="5">
        <v>32</v>
      </c>
      <c r="H543" t="s">
        <v>17</v>
      </c>
      <c r="I543" t="s">
        <v>57</v>
      </c>
      <c r="J543" s="6">
        <v>8.99</v>
      </c>
      <c r="K543">
        <v>1</v>
      </c>
      <c r="L543" t="s">
        <v>61</v>
      </c>
      <c r="M543" s="5">
        <v>2</v>
      </c>
      <c r="N543" s="4">
        <v>0.03</v>
      </c>
      <c r="O543" t="s">
        <v>39</v>
      </c>
    </row>
    <row r="544" spans="1:15" x14ac:dyDescent="0.3">
      <c r="A544" t="s">
        <v>1695</v>
      </c>
      <c r="B544" s="5">
        <v>18</v>
      </c>
      <c r="C544" s="5" t="str" cm="1">
        <f t="array" ref="C544">_xlfn.IFS(worksheet[[#This Row],[age]]&lt;25,"1. Young Adulthood (18-24)",worksheet[[#This Row],[age]]&lt; 35,"2. Early Adulthood (25-34)",worksheet[[#This Row],[age]]&lt; 45,"3. Mid Adulthood (35-44)",worksheet[[#This Row],[age]]&lt; 55,"4. Mature Adulthood (45-54)",TRUE,"5. Late Adulthood/Senior (55+)")</f>
        <v>1. Young Adulthood (18-24)</v>
      </c>
      <c r="D544" t="s">
        <v>27</v>
      </c>
      <c r="E544" t="s">
        <v>22</v>
      </c>
      <c r="F544" s="4">
        <v>9.2899999999999991</v>
      </c>
      <c r="G544" s="5">
        <v>52</v>
      </c>
      <c r="H544" t="s">
        <v>28</v>
      </c>
      <c r="I544" t="s">
        <v>24</v>
      </c>
      <c r="J544" s="6">
        <v>13.99</v>
      </c>
      <c r="K544">
        <v>1</v>
      </c>
      <c r="L544" t="s">
        <v>43</v>
      </c>
      <c r="M544" s="5">
        <v>2</v>
      </c>
      <c r="N544" s="4">
        <v>0.18</v>
      </c>
      <c r="O544" t="s">
        <v>34</v>
      </c>
    </row>
    <row r="545" spans="1:15" x14ac:dyDescent="0.3">
      <c r="A545" t="s">
        <v>1697</v>
      </c>
      <c r="B545" s="5">
        <v>33</v>
      </c>
      <c r="C545" s="5" t="str" cm="1">
        <f t="array" ref="C545">_xlfn.IFS(worksheet[[#This Row],[age]]&lt;25,"1. Young Adulthood (18-24)",worksheet[[#This Row],[age]]&lt; 35,"2. Early Adulthood (25-34)",worksheet[[#This Row],[age]]&lt; 45,"3. Mid Adulthood (35-44)",worksheet[[#This Row],[age]]&lt; 55,"4. Mature Adulthood (45-54)",TRUE,"5. Late Adulthood/Senior (55+)")</f>
        <v>2. Early Adulthood (25-34)</v>
      </c>
      <c r="D545" t="s">
        <v>27</v>
      </c>
      <c r="E545" t="s">
        <v>22</v>
      </c>
      <c r="F545" s="4">
        <v>19.28</v>
      </c>
      <c r="G545" s="5">
        <v>19</v>
      </c>
      <c r="H545" t="s">
        <v>70</v>
      </c>
      <c r="I545" t="s">
        <v>57</v>
      </c>
      <c r="J545" s="6">
        <v>13.99</v>
      </c>
      <c r="K545">
        <v>0</v>
      </c>
      <c r="L545" t="s">
        <v>61</v>
      </c>
      <c r="M545" s="5">
        <v>4</v>
      </c>
      <c r="N545" s="4">
        <v>0.96</v>
      </c>
      <c r="O545" t="s">
        <v>25</v>
      </c>
    </row>
    <row r="546" spans="1:15" x14ac:dyDescent="0.3">
      <c r="A546" t="s">
        <v>1700</v>
      </c>
      <c r="B546" s="5">
        <v>30</v>
      </c>
      <c r="C546" s="5" t="str" cm="1">
        <f t="array" ref="C546">_xlfn.IFS(worksheet[[#This Row],[age]]&lt;25,"1. Young Adulthood (18-24)",worksheet[[#This Row],[age]]&lt; 35,"2. Early Adulthood (25-34)",worksheet[[#This Row],[age]]&lt; 45,"3. Mid Adulthood (35-44)",worksheet[[#This Row],[age]]&lt; 55,"4. Mature Adulthood (45-54)",TRUE,"5. Late Adulthood/Senior (55+)")</f>
        <v>2. Early Adulthood (25-34)</v>
      </c>
      <c r="D546" t="s">
        <v>41</v>
      </c>
      <c r="E546" t="s">
        <v>16</v>
      </c>
      <c r="F546" s="4">
        <v>6.54</v>
      </c>
      <c r="G546" s="5">
        <v>20</v>
      </c>
      <c r="H546" t="s">
        <v>70</v>
      </c>
      <c r="I546" t="s">
        <v>57</v>
      </c>
      <c r="J546" s="6">
        <v>8.99</v>
      </c>
      <c r="K546">
        <v>1</v>
      </c>
      <c r="L546" t="s">
        <v>37</v>
      </c>
      <c r="M546" s="5">
        <v>1</v>
      </c>
      <c r="N546" s="4">
        <v>0.31</v>
      </c>
      <c r="O546" t="s">
        <v>30</v>
      </c>
    </row>
    <row r="547" spans="1:15" x14ac:dyDescent="0.3">
      <c r="A547" t="s">
        <v>1703</v>
      </c>
      <c r="B547" s="5">
        <v>31</v>
      </c>
      <c r="C547" s="5" t="str" cm="1">
        <f t="array" ref="C547">_xlfn.IFS(worksheet[[#This Row],[age]]&lt;25,"1. Young Adulthood (18-24)",worksheet[[#This Row],[age]]&lt; 35,"2. Early Adulthood (25-34)",worksheet[[#This Row],[age]]&lt; 45,"3. Mid Adulthood (35-44)",worksheet[[#This Row],[age]]&lt; 55,"4. Mature Adulthood (45-54)",TRUE,"5. Late Adulthood/Senior (55+)")</f>
        <v>2. Early Adulthood (25-34)</v>
      </c>
      <c r="D547" t="s">
        <v>41</v>
      </c>
      <c r="E547" t="s">
        <v>16</v>
      </c>
      <c r="F547" s="4">
        <v>11.88</v>
      </c>
      <c r="G547" s="5">
        <v>56</v>
      </c>
      <c r="H547" t="s">
        <v>17</v>
      </c>
      <c r="I547" t="s">
        <v>57</v>
      </c>
      <c r="J547" s="6">
        <v>8.99</v>
      </c>
      <c r="K547">
        <v>1</v>
      </c>
      <c r="L547" t="s">
        <v>37</v>
      </c>
      <c r="M547" s="5">
        <v>5</v>
      </c>
      <c r="N547" s="4">
        <v>0.21</v>
      </c>
      <c r="O547" t="s">
        <v>25</v>
      </c>
    </row>
    <row r="548" spans="1:15" x14ac:dyDescent="0.3">
      <c r="A548" t="s">
        <v>1704</v>
      </c>
      <c r="B548" s="5">
        <v>33</v>
      </c>
      <c r="C548" s="5" t="str" cm="1">
        <f t="array" ref="C548">_xlfn.IFS(worksheet[[#This Row],[age]]&lt;25,"1. Young Adulthood (18-24)",worksheet[[#This Row],[age]]&lt; 35,"2. Early Adulthood (25-34)",worksheet[[#This Row],[age]]&lt; 45,"3. Mid Adulthood (35-44)",worksheet[[#This Row],[age]]&lt; 55,"4. Mature Adulthood (45-54)",TRUE,"5. Late Adulthood/Senior (55+)")</f>
        <v>2. Early Adulthood (25-34)</v>
      </c>
      <c r="D548" t="s">
        <v>27</v>
      </c>
      <c r="E548" t="s">
        <v>32</v>
      </c>
      <c r="F548" s="4">
        <v>0.06</v>
      </c>
      <c r="G548" s="5">
        <v>53</v>
      </c>
      <c r="H548" t="s">
        <v>70</v>
      </c>
      <c r="I548" t="s">
        <v>55</v>
      </c>
      <c r="J548" s="6">
        <v>17.989999999999998</v>
      </c>
      <c r="K548">
        <v>1</v>
      </c>
      <c r="L548" t="s">
        <v>43</v>
      </c>
      <c r="M548" s="5">
        <v>3</v>
      </c>
      <c r="N548" s="4">
        <v>0</v>
      </c>
      <c r="O548" t="s">
        <v>34</v>
      </c>
    </row>
    <row r="549" spans="1:15" x14ac:dyDescent="0.3">
      <c r="A549" t="s">
        <v>1707</v>
      </c>
      <c r="B549" s="5">
        <v>24</v>
      </c>
      <c r="C549" s="5" t="str" cm="1">
        <f t="array" ref="C549">_xlfn.IFS(worksheet[[#This Row],[age]]&lt;25,"1. Young Adulthood (18-24)",worksheet[[#This Row],[age]]&lt; 35,"2. Early Adulthood (25-34)",worksheet[[#This Row],[age]]&lt; 45,"3. Mid Adulthood (35-44)",worksheet[[#This Row],[age]]&lt; 55,"4. Mature Adulthood (45-54)",TRUE,"5. Late Adulthood/Senior (55+)")</f>
        <v>1. Young Adulthood (18-24)</v>
      </c>
      <c r="D549" t="s">
        <v>41</v>
      </c>
      <c r="E549" t="s">
        <v>16</v>
      </c>
      <c r="F549" s="4">
        <v>0.75</v>
      </c>
      <c r="G549" s="5">
        <v>26</v>
      </c>
      <c r="H549" t="s">
        <v>70</v>
      </c>
      <c r="I549" t="s">
        <v>46</v>
      </c>
      <c r="J549" s="6">
        <v>8.99</v>
      </c>
      <c r="K549">
        <v>1</v>
      </c>
      <c r="L549" t="s">
        <v>19</v>
      </c>
      <c r="M549" s="5">
        <v>2</v>
      </c>
      <c r="N549" s="4">
        <v>0.03</v>
      </c>
      <c r="O549" t="s">
        <v>30</v>
      </c>
    </row>
    <row r="550" spans="1:15" x14ac:dyDescent="0.3">
      <c r="A550" t="s">
        <v>1715</v>
      </c>
      <c r="B550" s="5">
        <v>29</v>
      </c>
      <c r="C550" s="5" t="str" cm="1">
        <f t="array" ref="C550">_xlfn.IFS(worksheet[[#This Row],[age]]&lt;25,"1. Young Adulthood (18-24)",worksheet[[#This Row],[age]]&lt; 35,"2. Early Adulthood (25-34)",worksheet[[#This Row],[age]]&lt; 45,"3. Mid Adulthood (35-44)",worksheet[[#This Row],[age]]&lt; 55,"4. Mature Adulthood (45-54)",TRUE,"5. Late Adulthood/Senior (55+)")</f>
        <v>2. Early Adulthood (25-34)</v>
      </c>
      <c r="D550" t="s">
        <v>27</v>
      </c>
      <c r="E550" t="s">
        <v>32</v>
      </c>
      <c r="F550" s="4">
        <v>17.11</v>
      </c>
      <c r="G550" s="5">
        <v>5</v>
      </c>
      <c r="H550" t="s">
        <v>49</v>
      </c>
      <c r="I550" t="s">
        <v>24</v>
      </c>
      <c r="J550" s="6">
        <v>17.989999999999998</v>
      </c>
      <c r="K550">
        <v>0</v>
      </c>
      <c r="L550" t="s">
        <v>29</v>
      </c>
      <c r="M550" s="5">
        <v>1</v>
      </c>
      <c r="N550" s="4">
        <v>2.85</v>
      </c>
      <c r="O550" t="s">
        <v>34</v>
      </c>
    </row>
    <row r="551" spans="1:15" x14ac:dyDescent="0.3">
      <c r="A551" t="s">
        <v>1717</v>
      </c>
      <c r="B551" s="5">
        <v>28</v>
      </c>
      <c r="C551" s="5" t="str" cm="1">
        <f t="array" ref="C551">_xlfn.IFS(worksheet[[#This Row],[age]]&lt;25,"1. Young Adulthood (18-24)",worksheet[[#This Row],[age]]&lt; 35,"2. Early Adulthood (25-34)",worksheet[[#This Row],[age]]&lt; 45,"3. Mid Adulthood (35-44)",worksheet[[#This Row],[age]]&lt; 55,"4. Mature Adulthood (45-54)",TRUE,"5. Late Adulthood/Senior (55+)")</f>
        <v>2. Early Adulthood (25-34)</v>
      </c>
      <c r="D551" t="s">
        <v>41</v>
      </c>
      <c r="E551" t="s">
        <v>32</v>
      </c>
      <c r="F551" s="4">
        <v>9.2200000000000006</v>
      </c>
      <c r="G551" s="5">
        <v>44</v>
      </c>
      <c r="H551" t="s">
        <v>23</v>
      </c>
      <c r="I551" t="s">
        <v>55</v>
      </c>
      <c r="J551" s="6">
        <v>17.989999999999998</v>
      </c>
      <c r="K551">
        <v>1</v>
      </c>
      <c r="L551" t="s">
        <v>61</v>
      </c>
      <c r="M551" s="5">
        <v>3</v>
      </c>
      <c r="N551" s="4">
        <v>0.2</v>
      </c>
      <c r="O551" t="s">
        <v>30</v>
      </c>
    </row>
    <row r="552" spans="1:15" x14ac:dyDescent="0.3">
      <c r="A552" t="s">
        <v>1718</v>
      </c>
      <c r="B552" s="5">
        <v>19</v>
      </c>
      <c r="C552" s="5" t="str" cm="1">
        <f t="array" ref="C552">_xlfn.IFS(worksheet[[#This Row],[age]]&lt;25,"1. Young Adulthood (18-24)",worksheet[[#This Row],[age]]&lt; 35,"2. Early Adulthood (25-34)",worksheet[[#This Row],[age]]&lt; 45,"3. Mid Adulthood (35-44)",worksheet[[#This Row],[age]]&lt; 55,"4. Mature Adulthood (45-54)",TRUE,"5. Late Adulthood/Senior (55+)")</f>
        <v>1. Young Adulthood (18-24)</v>
      </c>
      <c r="D552" t="s">
        <v>15</v>
      </c>
      <c r="E552" t="s">
        <v>22</v>
      </c>
      <c r="F552" s="4">
        <v>1.86</v>
      </c>
      <c r="G552" s="5">
        <v>13</v>
      </c>
      <c r="H552" t="s">
        <v>28</v>
      </c>
      <c r="I552" t="s">
        <v>46</v>
      </c>
      <c r="J552" s="6">
        <v>13.99</v>
      </c>
      <c r="K552">
        <v>0</v>
      </c>
      <c r="L552" t="s">
        <v>43</v>
      </c>
      <c r="M552" s="5">
        <v>4</v>
      </c>
      <c r="N552" s="4">
        <v>0.13</v>
      </c>
      <c r="O552" t="s">
        <v>52</v>
      </c>
    </row>
    <row r="553" spans="1:15" x14ac:dyDescent="0.3">
      <c r="A553" t="s">
        <v>1724</v>
      </c>
      <c r="B553" s="5">
        <v>27</v>
      </c>
      <c r="C553" s="5" t="str" cm="1">
        <f t="array" ref="C553">_xlfn.IFS(worksheet[[#This Row],[age]]&lt;25,"1. Young Adulthood (18-24)",worksheet[[#This Row],[age]]&lt; 35,"2. Early Adulthood (25-34)",worksheet[[#This Row],[age]]&lt; 45,"3. Mid Adulthood (35-44)",worksheet[[#This Row],[age]]&lt; 55,"4. Mature Adulthood (45-54)",TRUE,"5. Late Adulthood/Senior (55+)")</f>
        <v>2. Early Adulthood (25-34)</v>
      </c>
      <c r="D553" t="s">
        <v>15</v>
      </c>
      <c r="E553" t="s">
        <v>32</v>
      </c>
      <c r="F553" s="4">
        <v>6.78</v>
      </c>
      <c r="G553" s="5">
        <v>4</v>
      </c>
      <c r="H553" t="s">
        <v>49</v>
      </c>
      <c r="I553" t="s">
        <v>24</v>
      </c>
      <c r="J553" s="6">
        <v>17.989999999999998</v>
      </c>
      <c r="K553">
        <v>0</v>
      </c>
      <c r="L553" t="s">
        <v>43</v>
      </c>
      <c r="M553" s="5">
        <v>3</v>
      </c>
      <c r="N553" s="4">
        <v>1.36</v>
      </c>
      <c r="O553" t="s">
        <v>30</v>
      </c>
    </row>
    <row r="554" spans="1:15" x14ac:dyDescent="0.3">
      <c r="A554" t="s">
        <v>1725</v>
      </c>
      <c r="B554" s="5">
        <v>34</v>
      </c>
      <c r="C554" s="5" t="str" cm="1">
        <f t="array" ref="C554">_xlfn.IFS(worksheet[[#This Row],[age]]&lt;25,"1. Young Adulthood (18-24)",worksheet[[#This Row],[age]]&lt; 35,"2. Early Adulthood (25-34)",worksheet[[#This Row],[age]]&lt; 45,"3. Mid Adulthood (35-44)",worksheet[[#This Row],[age]]&lt; 55,"4. Mature Adulthood (45-54)",TRUE,"5. Late Adulthood/Senior (55+)")</f>
        <v>2. Early Adulthood (25-34)</v>
      </c>
      <c r="D554" t="s">
        <v>15</v>
      </c>
      <c r="E554" t="s">
        <v>22</v>
      </c>
      <c r="F554" s="4">
        <v>1.92</v>
      </c>
      <c r="G554" s="5">
        <v>31</v>
      </c>
      <c r="H554" t="s">
        <v>33</v>
      </c>
      <c r="I554" t="s">
        <v>18</v>
      </c>
      <c r="J554" s="6">
        <v>13.99</v>
      </c>
      <c r="K554">
        <v>1</v>
      </c>
      <c r="L554" t="s">
        <v>43</v>
      </c>
      <c r="M554" s="5">
        <v>1</v>
      </c>
      <c r="N554" s="4">
        <v>0.06</v>
      </c>
      <c r="O554" t="s">
        <v>20</v>
      </c>
    </row>
    <row r="555" spans="1:15" x14ac:dyDescent="0.3">
      <c r="A555" t="s">
        <v>1727</v>
      </c>
      <c r="B555" s="5">
        <v>34</v>
      </c>
      <c r="C555" s="5" t="str" cm="1">
        <f t="array" ref="C555">_xlfn.IFS(worksheet[[#This Row],[age]]&lt;25,"1. Young Adulthood (18-24)",worksheet[[#This Row],[age]]&lt; 35,"2. Early Adulthood (25-34)",worksheet[[#This Row],[age]]&lt; 45,"3. Mid Adulthood (35-44)",worksheet[[#This Row],[age]]&lt; 55,"4. Mature Adulthood (45-54)",TRUE,"5. Late Adulthood/Senior (55+)")</f>
        <v>2. Early Adulthood (25-34)</v>
      </c>
      <c r="D555" t="s">
        <v>27</v>
      </c>
      <c r="E555" t="s">
        <v>22</v>
      </c>
      <c r="F555" s="4">
        <v>4.0599999999999996</v>
      </c>
      <c r="G555" s="5">
        <v>44</v>
      </c>
      <c r="H555" t="s">
        <v>23</v>
      </c>
      <c r="I555" t="s">
        <v>57</v>
      </c>
      <c r="J555" s="6">
        <v>13.99</v>
      </c>
      <c r="K555">
        <v>1</v>
      </c>
      <c r="L555" t="s">
        <v>43</v>
      </c>
      <c r="M555" s="5">
        <v>1</v>
      </c>
      <c r="N555" s="4">
        <v>0.09</v>
      </c>
      <c r="O555" t="s">
        <v>30</v>
      </c>
    </row>
    <row r="556" spans="1:15" x14ac:dyDescent="0.3">
      <c r="A556" t="s">
        <v>1728</v>
      </c>
      <c r="B556" s="5">
        <v>24</v>
      </c>
      <c r="C556" s="5" t="str" cm="1">
        <f t="array" ref="C556">_xlfn.IFS(worksheet[[#This Row],[age]]&lt;25,"1. Young Adulthood (18-24)",worksheet[[#This Row],[age]]&lt; 35,"2. Early Adulthood (25-34)",worksheet[[#This Row],[age]]&lt; 45,"3. Mid Adulthood (35-44)",worksheet[[#This Row],[age]]&lt; 55,"4. Mature Adulthood (45-54)",TRUE,"5. Late Adulthood/Senior (55+)")</f>
        <v>1. Young Adulthood (18-24)</v>
      </c>
      <c r="D556" t="s">
        <v>27</v>
      </c>
      <c r="E556" t="s">
        <v>22</v>
      </c>
      <c r="F556" s="4">
        <v>30.49</v>
      </c>
      <c r="G556" s="5">
        <v>39</v>
      </c>
      <c r="H556" t="s">
        <v>70</v>
      </c>
      <c r="I556" t="s">
        <v>18</v>
      </c>
      <c r="J556" s="6">
        <v>13.99</v>
      </c>
      <c r="K556">
        <v>0</v>
      </c>
      <c r="L556" t="s">
        <v>43</v>
      </c>
      <c r="M556" s="5">
        <v>1</v>
      </c>
      <c r="N556" s="4">
        <v>0.76</v>
      </c>
      <c r="O556" t="s">
        <v>25</v>
      </c>
    </row>
    <row r="557" spans="1:15" x14ac:dyDescent="0.3">
      <c r="A557" t="s">
        <v>1729</v>
      </c>
      <c r="B557" s="5">
        <v>33</v>
      </c>
      <c r="C557" s="5" t="str" cm="1">
        <f t="array" ref="C557">_xlfn.IFS(worksheet[[#This Row],[age]]&lt;25,"1. Young Adulthood (18-24)",worksheet[[#This Row],[age]]&lt; 35,"2. Early Adulthood (25-34)",worksheet[[#This Row],[age]]&lt; 45,"3. Mid Adulthood (35-44)",worksheet[[#This Row],[age]]&lt; 55,"4. Mature Adulthood (45-54)",TRUE,"5. Late Adulthood/Senior (55+)")</f>
        <v>2. Early Adulthood (25-34)</v>
      </c>
      <c r="D557" t="s">
        <v>27</v>
      </c>
      <c r="E557" t="s">
        <v>16</v>
      </c>
      <c r="F557" s="4">
        <v>6.73</v>
      </c>
      <c r="G557" s="5">
        <v>46</v>
      </c>
      <c r="H557" t="s">
        <v>49</v>
      </c>
      <c r="I557" t="s">
        <v>55</v>
      </c>
      <c r="J557" s="6">
        <v>8.99</v>
      </c>
      <c r="K557">
        <v>1</v>
      </c>
      <c r="L557" t="s">
        <v>61</v>
      </c>
      <c r="M557" s="5">
        <v>2</v>
      </c>
      <c r="N557" s="4">
        <v>0.14000000000000001</v>
      </c>
      <c r="O557" t="s">
        <v>30</v>
      </c>
    </row>
    <row r="558" spans="1:15" x14ac:dyDescent="0.3">
      <c r="A558" t="s">
        <v>1733</v>
      </c>
      <c r="B558" s="5">
        <v>20</v>
      </c>
      <c r="C558" s="5" t="str" cm="1">
        <f t="array" ref="C558">_xlfn.IFS(worksheet[[#This Row],[age]]&lt;25,"1. Young Adulthood (18-24)",worksheet[[#This Row],[age]]&lt; 35,"2. Early Adulthood (25-34)",worksheet[[#This Row],[age]]&lt; 45,"3. Mid Adulthood (35-44)",worksheet[[#This Row],[age]]&lt; 55,"4. Mature Adulthood (45-54)",TRUE,"5. Late Adulthood/Senior (55+)")</f>
        <v>1. Young Adulthood (18-24)</v>
      </c>
      <c r="D558" t="s">
        <v>41</v>
      </c>
      <c r="E558" t="s">
        <v>32</v>
      </c>
      <c r="F558" s="4">
        <v>6.94</v>
      </c>
      <c r="G558" s="5">
        <v>45</v>
      </c>
      <c r="H558" t="s">
        <v>49</v>
      </c>
      <c r="I558" t="s">
        <v>24</v>
      </c>
      <c r="J558" s="6">
        <v>17.989999999999998</v>
      </c>
      <c r="K558">
        <v>1</v>
      </c>
      <c r="L558" t="s">
        <v>61</v>
      </c>
      <c r="M558" s="5">
        <v>1</v>
      </c>
      <c r="N558" s="4">
        <v>0.15</v>
      </c>
      <c r="O558" t="s">
        <v>47</v>
      </c>
    </row>
    <row r="559" spans="1:15" x14ac:dyDescent="0.3">
      <c r="A559" t="s">
        <v>1740</v>
      </c>
      <c r="B559" s="5">
        <v>22</v>
      </c>
      <c r="C559" s="5" t="str" cm="1">
        <f t="array" ref="C559">_xlfn.IFS(worksheet[[#This Row],[age]]&lt;25,"1. Young Adulthood (18-24)",worksheet[[#This Row],[age]]&lt; 35,"2. Early Adulthood (25-34)",worksheet[[#This Row],[age]]&lt; 45,"3. Mid Adulthood (35-44)",worksheet[[#This Row],[age]]&lt; 55,"4. Mature Adulthood (45-54)",TRUE,"5. Late Adulthood/Senior (55+)")</f>
        <v>1. Young Adulthood (18-24)</v>
      </c>
      <c r="D559" t="s">
        <v>41</v>
      </c>
      <c r="E559" t="s">
        <v>32</v>
      </c>
      <c r="F559" s="4">
        <v>2.14</v>
      </c>
      <c r="G559" s="5">
        <v>52</v>
      </c>
      <c r="H559" t="s">
        <v>33</v>
      </c>
      <c r="I559" t="s">
        <v>18</v>
      </c>
      <c r="J559" s="6">
        <v>17.989999999999998</v>
      </c>
      <c r="K559">
        <v>1</v>
      </c>
      <c r="L559" t="s">
        <v>43</v>
      </c>
      <c r="M559" s="5">
        <v>2</v>
      </c>
      <c r="N559" s="4">
        <v>0.04</v>
      </c>
      <c r="O559" t="s">
        <v>34</v>
      </c>
    </row>
    <row r="560" spans="1:15" x14ac:dyDescent="0.3">
      <c r="A560" t="s">
        <v>1741</v>
      </c>
      <c r="B560" s="5">
        <v>23</v>
      </c>
      <c r="C560" s="5" t="str" cm="1">
        <f t="array" ref="C560">_xlfn.IFS(worksheet[[#This Row],[age]]&lt;25,"1. Young Adulthood (18-24)",worksheet[[#This Row],[age]]&lt; 35,"2. Early Adulthood (25-34)",worksheet[[#This Row],[age]]&lt; 45,"3. Mid Adulthood (35-44)",worksheet[[#This Row],[age]]&lt; 55,"4. Mature Adulthood (45-54)",TRUE,"5. Late Adulthood/Senior (55+)")</f>
        <v>1. Young Adulthood (18-24)</v>
      </c>
      <c r="D560" t="s">
        <v>27</v>
      </c>
      <c r="E560" t="s">
        <v>16</v>
      </c>
      <c r="F560" s="4">
        <v>8.23</v>
      </c>
      <c r="G560" s="5">
        <v>23</v>
      </c>
      <c r="H560" t="s">
        <v>33</v>
      </c>
      <c r="I560" t="s">
        <v>55</v>
      </c>
      <c r="J560" s="6">
        <v>8.99</v>
      </c>
      <c r="K560">
        <v>1</v>
      </c>
      <c r="L560" t="s">
        <v>43</v>
      </c>
      <c r="M560" s="5">
        <v>1</v>
      </c>
      <c r="N560" s="4">
        <v>0.34</v>
      </c>
      <c r="O560" t="s">
        <v>20</v>
      </c>
    </row>
    <row r="561" spans="1:15" x14ac:dyDescent="0.3">
      <c r="A561" t="s">
        <v>1746</v>
      </c>
      <c r="B561" s="5">
        <v>22</v>
      </c>
      <c r="C561" s="5" t="str" cm="1">
        <f t="array" ref="C561">_xlfn.IFS(worksheet[[#This Row],[age]]&lt;25,"1. Young Adulthood (18-24)",worksheet[[#This Row],[age]]&lt; 35,"2. Early Adulthood (25-34)",worksheet[[#This Row],[age]]&lt; 45,"3. Mid Adulthood (35-44)",worksheet[[#This Row],[age]]&lt; 55,"4. Mature Adulthood (45-54)",TRUE,"5. Late Adulthood/Senior (55+)")</f>
        <v>1. Young Adulthood (18-24)</v>
      </c>
      <c r="D561" t="s">
        <v>27</v>
      </c>
      <c r="E561" t="s">
        <v>16</v>
      </c>
      <c r="F561" s="4">
        <v>8.01</v>
      </c>
      <c r="G561" s="5">
        <v>26</v>
      </c>
      <c r="H561" t="s">
        <v>23</v>
      </c>
      <c r="I561" t="s">
        <v>57</v>
      </c>
      <c r="J561" s="6">
        <v>8.99</v>
      </c>
      <c r="K561">
        <v>1</v>
      </c>
      <c r="L561" t="s">
        <v>43</v>
      </c>
      <c r="M561" s="5">
        <v>1</v>
      </c>
      <c r="N561" s="4">
        <v>0.3</v>
      </c>
      <c r="O561" t="s">
        <v>30</v>
      </c>
    </row>
    <row r="562" spans="1:15" x14ac:dyDescent="0.3">
      <c r="A562" t="s">
        <v>1750</v>
      </c>
      <c r="B562" s="5">
        <v>23</v>
      </c>
      <c r="C562" s="5" t="str" cm="1">
        <f t="array" ref="C562">_xlfn.IFS(worksheet[[#This Row],[age]]&lt;25,"1. Young Adulthood (18-24)",worksheet[[#This Row],[age]]&lt; 35,"2. Early Adulthood (25-34)",worksheet[[#This Row],[age]]&lt; 45,"3. Mid Adulthood (35-44)",worksheet[[#This Row],[age]]&lt; 55,"4. Mature Adulthood (45-54)",TRUE,"5. Late Adulthood/Senior (55+)")</f>
        <v>1. Young Adulthood (18-24)</v>
      </c>
      <c r="D562" t="s">
        <v>15</v>
      </c>
      <c r="E562" t="s">
        <v>16</v>
      </c>
      <c r="F562" s="4">
        <v>1.04</v>
      </c>
      <c r="G562" s="5">
        <v>59</v>
      </c>
      <c r="H562" t="s">
        <v>49</v>
      </c>
      <c r="I562" t="s">
        <v>57</v>
      </c>
      <c r="J562" s="6">
        <v>8.99</v>
      </c>
      <c r="K562">
        <v>1</v>
      </c>
      <c r="L562" t="s">
        <v>61</v>
      </c>
      <c r="M562" s="5">
        <v>4</v>
      </c>
      <c r="N562" s="4">
        <v>0.02</v>
      </c>
      <c r="O562" t="s">
        <v>47</v>
      </c>
    </row>
    <row r="563" spans="1:15" x14ac:dyDescent="0.3">
      <c r="A563" t="s">
        <v>1755</v>
      </c>
      <c r="B563" s="5">
        <v>22</v>
      </c>
      <c r="C563" s="5" t="str" cm="1">
        <f t="array" ref="C563">_xlfn.IFS(worksheet[[#This Row],[age]]&lt;25,"1. Young Adulthood (18-24)",worksheet[[#This Row],[age]]&lt; 35,"2. Early Adulthood (25-34)",worksheet[[#This Row],[age]]&lt; 45,"3. Mid Adulthood (35-44)",worksheet[[#This Row],[age]]&lt; 55,"4. Mature Adulthood (45-54)",TRUE,"5. Late Adulthood/Senior (55+)")</f>
        <v>1. Young Adulthood (18-24)</v>
      </c>
      <c r="D563" t="s">
        <v>27</v>
      </c>
      <c r="E563" t="s">
        <v>22</v>
      </c>
      <c r="F563" s="4">
        <v>2.14</v>
      </c>
      <c r="G563" s="5">
        <v>44</v>
      </c>
      <c r="H563" t="s">
        <v>33</v>
      </c>
      <c r="I563" t="s">
        <v>46</v>
      </c>
      <c r="J563" s="6">
        <v>13.99</v>
      </c>
      <c r="K563">
        <v>1</v>
      </c>
      <c r="L563" t="s">
        <v>29</v>
      </c>
      <c r="M563" s="5">
        <v>4</v>
      </c>
      <c r="N563" s="4">
        <v>0.05</v>
      </c>
      <c r="O563" t="s">
        <v>25</v>
      </c>
    </row>
    <row r="564" spans="1:15" x14ac:dyDescent="0.3">
      <c r="A564" t="s">
        <v>1762</v>
      </c>
      <c r="B564" s="5">
        <v>26</v>
      </c>
      <c r="C564" s="5" t="str" cm="1">
        <f t="array" ref="C564">_xlfn.IFS(worksheet[[#This Row],[age]]&lt;25,"1. Young Adulthood (18-24)",worksheet[[#This Row],[age]]&lt; 35,"2. Early Adulthood (25-34)",worksheet[[#This Row],[age]]&lt; 45,"3. Mid Adulthood (35-44)",worksheet[[#This Row],[age]]&lt; 55,"4. Mature Adulthood (45-54)",TRUE,"5. Late Adulthood/Senior (55+)")</f>
        <v>2. Early Adulthood (25-34)</v>
      </c>
      <c r="D564" t="s">
        <v>41</v>
      </c>
      <c r="E564" t="s">
        <v>22</v>
      </c>
      <c r="F564" s="4">
        <v>41.97</v>
      </c>
      <c r="G564" s="5">
        <v>44</v>
      </c>
      <c r="H564" t="s">
        <v>49</v>
      </c>
      <c r="I564" t="s">
        <v>55</v>
      </c>
      <c r="J564" s="6">
        <v>13.99</v>
      </c>
      <c r="K564">
        <v>0</v>
      </c>
      <c r="L564" t="s">
        <v>19</v>
      </c>
      <c r="M564" s="5">
        <v>2</v>
      </c>
      <c r="N564" s="4">
        <v>0.93</v>
      </c>
      <c r="O564" t="s">
        <v>39</v>
      </c>
    </row>
    <row r="565" spans="1:15" x14ac:dyDescent="0.3">
      <c r="A565" t="s">
        <v>1766</v>
      </c>
      <c r="B565" s="5">
        <v>22</v>
      </c>
      <c r="C565" s="5" t="str" cm="1">
        <f t="array" ref="C565">_xlfn.IFS(worksheet[[#This Row],[age]]&lt;25,"1. Young Adulthood (18-24)",worksheet[[#This Row],[age]]&lt; 35,"2. Early Adulthood (25-34)",worksheet[[#This Row],[age]]&lt; 45,"3. Mid Adulthood (35-44)",worksheet[[#This Row],[age]]&lt; 55,"4. Mature Adulthood (45-54)",TRUE,"5. Late Adulthood/Senior (55+)")</f>
        <v>1. Young Adulthood (18-24)</v>
      </c>
      <c r="D565" t="s">
        <v>15</v>
      </c>
      <c r="E565" t="s">
        <v>22</v>
      </c>
      <c r="F565" s="4">
        <v>21.77</v>
      </c>
      <c r="G565" s="5">
        <v>26</v>
      </c>
      <c r="H565" t="s">
        <v>49</v>
      </c>
      <c r="I565" t="s">
        <v>18</v>
      </c>
      <c r="J565" s="6">
        <v>13.99</v>
      </c>
      <c r="K565">
        <v>0</v>
      </c>
      <c r="L565" t="s">
        <v>61</v>
      </c>
      <c r="M565" s="5">
        <v>5</v>
      </c>
      <c r="N565" s="4">
        <v>0.81</v>
      </c>
      <c r="O565" t="s">
        <v>39</v>
      </c>
    </row>
    <row r="566" spans="1:15" x14ac:dyDescent="0.3">
      <c r="A566" t="s">
        <v>1768</v>
      </c>
      <c r="B566" s="5">
        <v>26</v>
      </c>
      <c r="C566" s="5" t="str" cm="1">
        <f t="array" ref="C566">_xlfn.IFS(worksheet[[#This Row],[age]]&lt;25,"1. Young Adulthood (18-24)",worksheet[[#This Row],[age]]&lt; 35,"2. Early Adulthood (25-34)",worksheet[[#This Row],[age]]&lt; 45,"3. Mid Adulthood (35-44)",worksheet[[#This Row],[age]]&lt; 55,"4. Mature Adulthood (45-54)",TRUE,"5. Late Adulthood/Senior (55+)")</f>
        <v>2. Early Adulthood (25-34)</v>
      </c>
      <c r="D566" t="s">
        <v>41</v>
      </c>
      <c r="E566" t="s">
        <v>22</v>
      </c>
      <c r="F566" s="4">
        <v>4.97</v>
      </c>
      <c r="G566" s="5">
        <v>10</v>
      </c>
      <c r="H566" t="s">
        <v>17</v>
      </c>
      <c r="I566" t="s">
        <v>46</v>
      </c>
      <c r="J566" s="6">
        <v>13.99</v>
      </c>
      <c r="K566">
        <v>1</v>
      </c>
      <c r="L566" t="s">
        <v>43</v>
      </c>
      <c r="M566" s="5">
        <v>1</v>
      </c>
      <c r="N566" s="4">
        <v>0.45</v>
      </c>
      <c r="O566" t="s">
        <v>34</v>
      </c>
    </row>
    <row r="567" spans="1:15" x14ac:dyDescent="0.3">
      <c r="A567" t="s">
        <v>1772</v>
      </c>
      <c r="B567" s="5">
        <v>25</v>
      </c>
      <c r="C567" s="5" t="str" cm="1">
        <f t="array" ref="C567">_xlfn.IFS(worksheet[[#This Row],[age]]&lt;25,"1. Young Adulthood (18-24)",worksheet[[#This Row],[age]]&lt; 35,"2. Early Adulthood (25-34)",worksheet[[#This Row],[age]]&lt; 45,"3. Mid Adulthood (35-44)",worksheet[[#This Row],[age]]&lt; 55,"4. Mature Adulthood (45-54)",TRUE,"5. Late Adulthood/Senior (55+)")</f>
        <v>2. Early Adulthood (25-34)</v>
      </c>
      <c r="D567" t="s">
        <v>41</v>
      </c>
      <c r="E567" t="s">
        <v>22</v>
      </c>
      <c r="F567" s="4">
        <v>9.59</v>
      </c>
      <c r="G567" s="5">
        <v>25</v>
      </c>
      <c r="H567" t="s">
        <v>70</v>
      </c>
      <c r="I567" t="s">
        <v>18</v>
      </c>
      <c r="J567" s="6">
        <v>13.99</v>
      </c>
      <c r="K567">
        <v>0</v>
      </c>
      <c r="L567" t="s">
        <v>43</v>
      </c>
      <c r="M567" s="5">
        <v>2</v>
      </c>
      <c r="N567" s="4">
        <v>0.37</v>
      </c>
      <c r="O567" t="s">
        <v>20</v>
      </c>
    </row>
    <row r="568" spans="1:15" x14ac:dyDescent="0.3">
      <c r="A568" t="s">
        <v>1773</v>
      </c>
      <c r="B568" s="5">
        <v>27</v>
      </c>
      <c r="C568" s="5" t="str" cm="1">
        <f t="array" ref="C568">_xlfn.IFS(worksheet[[#This Row],[age]]&lt;25,"1. Young Adulthood (18-24)",worksheet[[#This Row],[age]]&lt; 35,"2. Early Adulthood (25-34)",worksheet[[#This Row],[age]]&lt; 45,"3. Mid Adulthood (35-44)",worksheet[[#This Row],[age]]&lt; 55,"4. Mature Adulthood (45-54)",TRUE,"5. Late Adulthood/Senior (55+)")</f>
        <v>2. Early Adulthood (25-34)</v>
      </c>
      <c r="D568" t="s">
        <v>27</v>
      </c>
      <c r="E568" t="s">
        <v>32</v>
      </c>
      <c r="F568" s="4">
        <v>5.82</v>
      </c>
      <c r="G568" s="5">
        <v>49</v>
      </c>
      <c r="H568" t="s">
        <v>33</v>
      </c>
      <c r="I568" t="s">
        <v>46</v>
      </c>
      <c r="J568" s="6">
        <v>17.989999999999998</v>
      </c>
      <c r="K568">
        <v>1</v>
      </c>
      <c r="L568" t="s">
        <v>19</v>
      </c>
      <c r="M568" s="5">
        <v>2</v>
      </c>
      <c r="N568" s="4">
        <v>0.12</v>
      </c>
      <c r="O568" t="s">
        <v>52</v>
      </c>
    </row>
    <row r="569" spans="1:15" x14ac:dyDescent="0.3">
      <c r="A569" t="s">
        <v>1776</v>
      </c>
      <c r="B569" s="5">
        <v>30</v>
      </c>
      <c r="C569" s="5" t="str" cm="1">
        <f t="array" ref="C569">_xlfn.IFS(worksheet[[#This Row],[age]]&lt;25,"1. Young Adulthood (18-24)",worksheet[[#This Row],[age]]&lt; 35,"2. Early Adulthood (25-34)",worksheet[[#This Row],[age]]&lt; 45,"3. Mid Adulthood (35-44)",worksheet[[#This Row],[age]]&lt; 55,"4. Mature Adulthood (45-54)",TRUE,"5. Late Adulthood/Senior (55+)")</f>
        <v>2. Early Adulthood (25-34)</v>
      </c>
      <c r="D569" t="s">
        <v>41</v>
      </c>
      <c r="E569" t="s">
        <v>22</v>
      </c>
      <c r="F569" s="4">
        <v>2.2599999999999998</v>
      </c>
      <c r="G569" s="5">
        <v>3</v>
      </c>
      <c r="H569" t="s">
        <v>49</v>
      </c>
      <c r="I569" t="s">
        <v>18</v>
      </c>
      <c r="J569" s="6">
        <v>13.99</v>
      </c>
      <c r="K569">
        <v>0</v>
      </c>
      <c r="L569" t="s">
        <v>19</v>
      </c>
      <c r="M569" s="5">
        <v>4</v>
      </c>
      <c r="N569" s="4">
        <v>0.56000000000000005</v>
      </c>
      <c r="O569" t="s">
        <v>52</v>
      </c>
    </row>
    <row r="570" spans="1:15" x14ac:dyDescent="0.3">
      <c r="A570" t="s">
        <v>1780</v>
      </c>
      <c r="B570" s="5">
        <v>31</v>
      </c>
      <c r="C570" s="5" t="str" cm="1">
        <f t="array" ref="C570">_xlfn.IFS(worksheet[[#This Row],[age]]&lt;25,"1. Young Adulthood (18-24)",worksheet[[#This Row],[age]]&lt; 35,"2. Early Adulthood (25-34)",worksheet[[#This Row],[age]]&lt; 45,"3. Mid Adulthood (35-44)",worksheet[[#This Row],[age]]&lt; 55,"4. Mature Adulthood (45-54)",TRUE,"5. Late Adulthood/Senior (55+)")</f>
        <v>2. Early Adulthood (25-34)</v>
      </c>
      <c r="D570" t="s">
        <v>27</v>
      </c>
      <c r="E570" t="s">
        <v>32</v>
      </c>
      <c r="F570" s="4">
        <v>17.829999999999998</v>
      </c>
      <c r="G570" s="5">
        <v>8</v>
      </c>
      <c r="H570" t="s">
        <v>70</v>
      </c>
      <c r="I570" t="s">
        <v>57</v>
      </c>
      <c r="J570" s="6">
        <v>17.989999999999998</v>
      </c>
      <c r="K570">
        <v>0</v>
      </c>
      <c r="L570" t="s">
        <v>43</v>
      </c>
      <c r="M570" s="5">
        <v>3</v>
      </c>
      <c r="N570" s="4">
        <v>1.98</v>
      </c>
      <c r="O570" t="s">
        <v>25</v>
      </c>
    </row>
    <row r="571" spans="1:15" x14ac:dyDescent="0.3">
      <c r="A571" t="s">
        <v>1788</v>
      </c>
      <c r="B571" s="5">
        <v>31</v>
      </c>
      <c r="C571" s="5" t="str" cm="1">
        <f t="array" ref="C571">_xlfn.IFS(worksheet[[#This Row],[age]]&lt;25,"1. Young Adulthood (18-24)",worksheet[[#This Row],[age]]&lt; 35,"2. Early Adulthood (25-34)",worksheet[[#This Row],[age]]&lt; 45,"3. Mid Adulthood (35-44)",worksheet[[#This Row],[age]]&lt; 55,"4. Mature Adulthood (45-54)",TRUE,"5. Late Adulthood/Senior (55+)")</f>
        <v>2. Early Adulthood (25-34)</v>
      </c>
      <c r="D571" t="s">
        <v>15</v>
      </c>
      <c r="E571" t="s">
        <v>32</v>
      </c>
      <c r="F571" s="4">
        <v>15.41</v>
      </c>
      <c r="G571" s="5">
        <v>44</v>
      </c>
      <c r="H571" t="s">
        <v>70</v>
      </c>
      <c r="I571" t="s">
        <v>55</v>
      </c>
      <c r="J571" s="6">
        <v>17.989999999999998</v>
      </c>
      <c r="K571">
        <v>1</v>
      </c>
      <c r="L571" t="s">
        <v>43</v>
      </c>
      <c r="M571" s="5">
        <v>2</v>
      </c>
      <c r="N571" s="4">
        <v>0.34</v>
      </c>
      <c r="O571" t="s">
        <v>25</v>
      </c>
    </row>
    <row r="572" spans="1:15" x14ac:dyDescent="0.3">
      <c r="A572" t="s">
        <v>1791</v>
      </c>
      <c r="B572" s="5">
        <v>33</v>
      </c>
      <c r="C572" s="5" t="str" cm="1">
        <f t="array" ref="C572">_xlfn.IFS(worksheet[[#This Row],[age]]&lt;25,"1. Young Adulthood (18-24)",worksheet[[#This Row],[age]]&lt; 35,"2. Early Adulthood (25-34)",worksheet[[#This Row],[age]]&lt; 45,"3. Mid Adulthood (35-44)",worksheet[[#This Row],[age]]&lt; 55,"4. Mature Adulthood (45-54)",TRUE,"5. Late Adulthood/Senior (55+)")</f>
        <v>2. Early Adulthood (25-34)</v>
      </c>
      <c r="D572" t="s">
        <v>27</v>
      </c>
      <c r="E572" t="s">
        <v>32</v>
      </c>
      <c r="F572" s="4">
        <v>3.91</v>
      </c>
      <c r="G572" s="5">
        <v>11</v>
      </c>
      <c r="H572" t="s">
        <v>33</v>
      </c>
      <c r="I572" t="s">
        <v>55</v>
      </c>
      <c r="J572" s="6">
        <v>17.989999999999998</v>
      </c>
      <c r="K572">
        <v>1</v>
      </c>
      <c r="L572" t="s">
        <v>37</v>
      </c>
      <c r="M572" s="5">
        <v>2</v>
      </c>
      <c r="N572" s="4">
        <v>0.33</v>
      </c>
      <c r="O572" t="s">
        <v>47</v>
      </c>
    </row>
    <row r="573" spans="1:15" x14ac:dyDescent="0.3">
      <c r="A573" s="1" t="s">
        <v>1794</v>
      </c>
      <c r="B573" s="5">
        <v>25</v>
      </c>
      <c r="C573" s="5" t="str" cm="1">
        <f t="array" ref="C573">_xlfn.IFS(worksheet[[#This Row],[age]]&lt;25,"1. Young Adulthood (18-24)",worksheet[[#This Row],[age]]&lt; 35,"2. Early Adulthood (25-34)",worksheet[[#This Row],[age]]&lt; 45,"3. Mid Adulthood (35-44)",worksheet[[#This Row],[age]]&lt; 55,"4. Mature Adulthood (45-54)",TRUE,"5. Late Adulthood/Senior (55+)")</f>
        <v>2. Early Adulthood (25-34)</v>
      </c>
      <c r="D573" t="s">
        <v>41</v>
      </c>
      <c r="E573" t="s">
        <v>22</v>
      </c>
      <c r="F573" s="4">
        <v>7.12</v>
      </c>
      <c r="G573" s="5">
        <v>33</v>
      </c>
      <c r="H573" t="s">
        <v>49</v>
      </c>
      <c r="I573" t="s">
        <v>46</v>
      </c>
      <c r="J573" s="6">
        <v>13.99</v>
      </c>
      <c r="K573">
        <v>1</v>
      </c>
      <c r="L573" t="s">
        <v>29</v>
      </c>
      <c r="M573" s="5">
        <v>2</v>
      </c>
      <c r="N573" s="4">
        <v>0.21</v>
      </c>
      <c r="O573" t="s">
        <v>52</v>
      </c>
    </row>
    <row r="574" spans="1:15" x14ac:dyDescent="0.3">
      <c r="A574" t="s">
        <v>1796</v>
      </c>
      <c r="B574" s="5">
        <v>29</v>
      </c>
      <c r="C574" s="5" t="str" cm="1">
        <f t="array" ref="C574">_xlfn.IFS(worksheet[[#This Row],[age]]&lt;25,"1. Young Adulthood (18-24)",worksheet[[#This Row],[age]]&lt; 35,"2. Early Adulthood (25-34)",worksheet[[#This Row],[age]]&lt; 45,"3. Mid Adulthood (35-44)",worksheet[[#This Row],[age]]&lt; 55,"4. Mature Adulthood (45-54)",TRUE,"5. Late Adulthood/Senior (55+)")</f>
        <v>2. Early Adulthood (25-34)</v>
      </c>
      <c r="D574" t="s">
        <v>27</v>
      </c>
      <c r="E574" t="s">
        <v>16</v>
      </c>
      <c r="F574" s="4">
        <v>18.53</v>
      </c>
      <c r="G574" s="5">
        <v>27</v>
      </c>
      <c r="H574" t="s">
        <v>17</v>
      </c>
      <c r="I574" t="s">
        <v>24</v>
      </c>
      <c r="J574" s="6">
        <v>8.99</v>
      </c>
      <c r="K574">
        <v>0</v>
      </c>
      <c r="L574" t="s">
        <v>43</v>
      </c>
      <c r="M574" s="5">
        <v>4</v>
      </c>
      <c r="N574" s="4">
        <v>0.66</v>
      </c>
      <c r="O574" t="s">
        <v>47</v>
      </c>
    </row>
    <row r="575" spans="1:15" x14ac:dyDescent="0.3">
      <c r="A575" t="s">
        <v>1798</v>
      </c>
      <c r="B575" s="5">
        <v>30</v>
      </c>
      <c r="C575" s="5" t="str" cm="1">
        <f t="array" ref="C575">_xlfn.IFS(worksheet[[#This Row],[age]]&lt;25,"1. Young Adulthood (18-24)",worksheet[[#This Row],[age]]&lt; 35,"2. Early Adulthood (25-34)",worksheet[[#This Row],[age]]&lt; 45,"3. Mid Adulthood (35-44)",worksheet[[#This Row],[age]]&lt; 55,"4. Mature Adulthood (45-54)",TRUE,"5. Late Adulthood/Senior (55+)")</f>
        <v>2. Early Adulthood (25-34)</v>
      </c>
      <c r="D575" t="s">
        <v>27</v>
      </c>
      <c r="E575" t="s">
        <v>22</v>
      </c>
      <c r="F575" s="4">
        <v>6.03</v>
      </c>
      <c r="G575" s="5">
        <v>6</v>
      </c>
      <c r="H575" t="s">
        <v>23</v>
      </c>
      <c r="I575" t="s">
        <v>55</v>
      </c>
      <c r="J575" s="6">
        <v>13.99</v>
      </c>
      <c r="K575">
        <v>0</v>
      </c>
      <c r="L575" t="s">
        <v>29</v>
      </c>
      <c r="M575" s="5">
        <v>1</v>
      </c>
      <c r="N575" s="4">
        <v>0.86</v>
      </c>
      <c r="O575" t="s">
        <v>34</v>
      </c>
    </row>
    <row r="576" spans="1:15" x14ac:dyDescent="0.3">
      <c r="A576" t="s">
        <v>1808</v>
      </c>
      <c r="B576" s="5">
        <v>23</v>
      </c>
      <c r="C576" s="5" t="str" cm="1">
        <f t="array" ref="C576">_xlfn.IFS(worksheet[[#This Row],[age]]&lt;25,"1. Young Adulthood (18-24)",worksheet[[#This Row],[age]]&lt; 35,"2. Early Adulthood (25-34)",worksheet[[#This Row],[age]]&lt; 45,"3. Mid Adulthood (35-44)",worksheet[[#This Row],[age]]&lt; 55,"4. Mature Adulthood (45-54)",TRUE,"5. Late Adulthood/Senior (55+)")</f>
        <v>1. Young Adulthood (18-24)</v>
      </c>
      <c r="D576" t="s">
        <v>27</v>
      </c>
      <c r="E576" t="s">
        <v>32</v>
      </c>
      <c r="F576" s="4">
        <v>14.78</v>
      </c>
      <c r="G576" s="5">
        <v>11</v>
      </c>
      <c r="H576" t="s">
        <v>33</v>
      </c>
      <c r="I576" t="s">
        <v>18</v>
      </c>
      <c r="J576" s="6">
        <v>17.989999999999998</v>
      </c>
      <c r="K576">
        <v>0</v>
      </c>
      <c r="L576" t="s">
        <v>37</v>
      </c>
      <c r="M576" s="5">
        <v>2</v>
      </c>
      <c r="N576" s="4">
        <v>1.23</v>
      </c>
      <c r="O576" t="s">
        <v>52</v>
      </c>
    </row>
    <row r="577" spans="1:15" x14ac:dyDescent="0.3">
      <c r="A577" t="s">
        <v>1809</v>
      </c>
      <c r="B577" s="5">
        <v>25</v>
      </c>
      <c r="C577" s="5" t="str" cm="1">
        <f t="array" ref="C577">_xlfn.IFS(worksheet[[#This Row],[age]]&lt;25,"1. Young Adulthood (18-24)",worksheet[[#This Row],[age]]&lt; 35,"2. Early Adulthood (25-34)",worksheet[[#This Row],[age]]&lt; 45,"3. Mid Adulthood (35-44)",worksheet[[#This Row],[age]]&lt; 55,"4. Mature Adulthood (45-54)",TRUE,"5. Late Adulthood/Senior (55+)")</f>
        <v>2. Early Adulthood (25-34)</v>
      </c>
      <c r="D577" t="s">
        <v>27</v>
      </c>
      <c r="E577" t="s">
        <v>16</v>
      </c>
      <c r="F577" s="4">
        <v>13.15</v>
      </c>
      <c r="G577" s="5">
        <v>54</v>
      </c>
      <c r="H577" t="s">
        <v>70</v>
      </c>
      <c r="I577" t="s">
        <v>18</v>
      </c>
      <c r="J577" s="6">
        <v>8.99</v>
      </c>
      <c r="K577">
        <v>1</v>
      </c>
      <c r="L577" t="s">
        <v>19</v>
      </c>
      <c r="M577" s="5">
        <v>5</v>
      </c>
      <c r="N577" s="4">
        <v>0.24</v>
      </c>
      <c r="O577" t="s">
        <v>20</v>
      </c>
    </row>
    <row r="578" spans="1:15" x14ac:dyDescent="0.3">
      <c r="A578" t="s">
        <v>1810</v>
      </c>
      <c r="B578" s="5">
        <v>24</v>
      </c>
      <c r="C578" s="5" t="str" cm="1">
        <f t="array" ref="C578">_xlfn.IFS(worksheet[[#This Row],[age]]&lt;25,"1. Young Adulthood (18-24)",worksheet[[#This Row],[age]]&lt; 35,"2. Early Adulthood (25-34)",worksheet[[#This Row],[age]]&lt; 45,"3. Mid Adulthood (35-44)",worksheet[[#This Row],[age]]&lt; 55,"4. Mature Adulthood (45-54)",TRUE,"5. Late Adulthood/Senior (55+)")</f>
        <v>1. Young Adulthood (18-24)</v>
      </c>
      <c r="D578" t="s">
        <v>27</v>
      </c>
      <c r="E578" t="s">
        <v>32</v>
      </c>
      <c r="F578" s="4">
        <v>17.2</v>
      </c>
      <c r="G578" s="5">
        <v>33</v>
      </c>
      <c r="H578" t="s">
        <v>28</v>
      </c>
      <c r="I578" t="s">
        <v>55</v>
      </c>
      <c r="J578" s="6">
        <v>17.989999999999998</v>
      </c>
      <c r="K578">
        <v>0</v>
      </c>
      <c r="L578" t="s">
        <v>43</v>
      </c>
      <c r="M578" s="5">
        <v>5</v>
      </c>
      <c r="N578" s="4">
        <v>0.51</v>
      </c>
      <c r="O578" t="s">
        <v>25</v>
      </c>
    </row>
    <row r="579" spans="1:15" x14ac:dyDescent="0.3">
      <c r="A579" t="s">
        <v>1811</v>
      </c>
      <c r="B579" s="5">
        <v>34</v>
      </c>
      <c r="C579" s="5" t="str" cm="1">
        <f t="array" ref="C579">_xlfn.IFS(worksheet[[#This Row],[age]]&lt;25,"1. Young Adulthood (18-24)",worksheet[[#This Row],[age]]&lt; 35,"2. Early Adulthood (25-34)",worksheet[[#This Row],[age]]&lt; 45,"3. Mid Adulthood (35-44)",worksheet[[#This Row],[age]]&lt; 55,"4. Mature Adulthood (45-54)",TRUE,"5. Late Adulthood/Senior (55+)")</f>
        <v>2. Early Adulthood (25-34)</v>
      </c>
      <c r="D579" t="s">
        <v>15</v>
      </c>
      <c r="E579" t="s">
        <v>16</v>
      </c>
      <c r="F579" s="4">
        <v>4.51</v>
      </c>
      <c r="G579" s="5">
        <v>39</v>
      </c>
      <c r="H579" t="s">
        <v>49</v>
      </c>
      <c r="I579" t="s">
        <v>55</v>
      </c>
      <c r="J579" s="6">
        <v>8.99</v>
      </c>
      <c r="K579">
        <v>1</v>
      </c>
      <c r="L579" t="s">
        <v>29</v>
      </c>
      <c r="M579" s="5">
        <v>4</v>
      </c>
      <c r="N579" s="4">
        <v>0.11</v>
      </c>
      <c r="O579" t="s">
        <v>20</v>
      </c>
    </row>
    <row r="580" spans="1:15" x14ac:dyDescent="0.3">
      <c r="A580" t="s">
        <v>1813</v>
      </c>
      <c r="B580" s="5">
        <v>24</v>
      </c>
      <c r="C580" s="5" t="str" cm="1">
        <f t="array" ref="C580">_xlfn.IFS(worksheet[[#This Row],[age]]&lt;25,"1. Young Adulthood (18-24)",worksheet[[#This Row],[age]]&lt; 35,"2. Early Adulthood (25-34)",worksheet[[#This Row],[age]]&lt; 45,"3. Mid Adulthood (35-44)",worksheet[[#This Row],[age]]&lt; 55,"4. Mature Adulthood (45-54)",TRUE,"5. Late Adulthood/Senior (55+)")</f>
        <v>1. Young Adulthood (18-24)</v>
      </c>
      <c r="D580" t="s">
        <v>15</v>
      </c>
      <c r="E580" t="s">
        <v>22</v>
      </c>
      <c r="F580" s="4">
        <v>6.56</v>
      </c>
      <c r="G580" s="5">
        <v>8</v>
      </c>
      <c r="H580" t="s">
        <v>28</v>
      </c>
      <c r="I580" t="s">
        <v>18</v>
      </c>
      <c r="J580" s="6">
        <v>13.99</v>
      </c>
      <c r="K580">
        <v>0</v>
      </c>
      <c r="L580" t="s">
        <v>43</v>
      </c>
      <c r="M580" s="5">
        <v>4</v>
      </c>
      <c r="N580" s="4">
        <v>0.73</v>
      </c>
      <c r="O580" t="s">
        <v>39</v>
      </c>
    </row>
    <row r="581" spans="1:15" x14ac:dyDescent="0.3">
      <c r="A581" t="s">
        <v>1823</v>
      </c>
      <c r="B581" s="5">
        <v>20</v>
      </c>
      <c r="C581" s="5" t="str" cm="1">
        <f t="array" ref="C581">_xlfn.IFS(worksheet[[#This Row],[age]]&lt;25,"1. Young Adulthood (18-24)",worksheet[[#This Row],[age]]&lt; 35,"2. Early Adulthood (25-34)",worksheet[[#This Row],[age]]&lt; 45,"3. Mid Adulthood (35-44)",worksheet[[#This Row],[age]]&lt; 55,"4. Mature Adulthood (45-54)",TRUE,"5. Late Adulthood/Senior (55+)")</f>
        <v>1. Young Adulthood (18-24)</v>
      </c>
      <c r="D581" t="s">
        <v>15</v>
      </c>
      <c r="E581" t="s">
        <v>22</v>
      </c>
      <c r="F581" s="4">
        <v>0.68</v>
      </c>
      <c r="G581" s="5">
        <v>35</v>
      </c>
      <c r="H581" t="s">
        <v>70</v>
      </c>
      <c r="I581" t="s">
        <v>55</v>
      </c>
      <c r="J581" s="6">
        <v>13.99</v>
      </c>
      <c r="K581">
        <v>1</v>
      </c>
      <c r="L581" t="s">
        <v>37</v>
      </c>
      <c r="M581" s="5">
        <v>1</v>
      </c>
      <c r="N581" s="4">
        <v>0.02</v>
      </c>
      <c r="O581" t="s">
        <v>47</v>
      </c>
    </row>
    <row r="582" spans="1:15" x14ac:dyDescent="0.3">
      <c r="A582" t="s">
        <v>1824</v>
      </c>
      <c r="B582" s="5">
        <v>28</v>
      </c>
      <c r="C582" s="5" t="str" cm="1">
        <f t="array" ref="C582">_xlfn.IFS(worksheet[[#This Row],[age]]&lt;25,"1. Young Adulthood (18-24)",worksheet[[#This Row],[age]]&lt; 35,"2. Early Adulthood (25-34)",worksheet[[#This Row],[age]]&lt; 45,"3. Mid Adulthood (35-44)",worksheet[[#This Row],[age]]&lt; 55,"4. Mature Adulthood (45-54)",TRUE,"5. Late Adulthood/Senior (55+)")</f>
        <v>2. Early Adulthood (25-34)</v>
      </c>
      <c r="D582" t="s">
        <v>15</v>
      </c>
      <c r="E582" t="s">
        <v>32</v>
      </c>
      <c r="F582" s="4">
        <v>4.3</v>
      </c>
      <c r="G582" s="5">
        <v>21</v>
      </c>
      <c r="H582" t="s">
        <v>70</v>
      </c>
      <c r="I582" t="s">
        <v>46</v>
      </c>
      <c r="J582" s="6">
        <v>17.989999999999998</v>
      </c>
      <c r="K582">
        <v>1</v>
      </c>
      <c r="L582" t="s">
        <v>19</v>
      </c>
      <c r="M582" s="5">
        <v>1</v>
      </c>
      <c r="N582" s="4">
        <v>0.2</v>
      </c>
      <c r="O582" t="s">
        <v>39</v>
      </c>
    </row>
    <row r="583" spans="1:15" x14ac:dyDescent="0.3">
      <c r="A583" t="s">
        <v>1825</v>
      </c>
      <c r="B583" s="5">
        <v>34</v>
      </c>
      <c r="C583" s="5" t="str" cm="1">
        <f t="array" ref="C583">_xlfn.IFS(worksheet[[#This Row],[age]]&lt;25,"1. Young Adulthood (18-24)",worksheet[[#This Row],[age]]&lt; 35,"2. Early Adulthood (25-34)",worksheet[[#This Row],[age]]&lt; 45,"3. Mid Adulthood (35-44)",worksheet[[#This Row],[age]]&lt; 55,"4. Mature Adulthood (45-54)",TRUE,"5. Late Adulthood/Senior (55+)")</f>
        <v>2. Early Adulthood (25-34)</v>
      </c>
      <c r="D583" t="s">
        <v>27</v>
      </c>
      <c r="E583" t="s">
        <v>32</v>
      </c>
      <c r="F583" s="4">
        <v>9.5399999999999991</v>
      </c>
      <c r="G583" s="5">
        <v>16</v>
      </c>
      <c r="H583" t="s">
        <v>33</v>
      </c>
      <c r="I583" t="s">
        <v>57</v>
      </c>
      <c r="J583" s="6">
        <v>17.989999999999998</v>
      </c>
      <c r="K583">
        <v>0</v>
      </c>
      <c r="L583" t="s">
        <v>19</v>
      </c>
      <c r="M583" s="5">
        <v>4</v>
      </c>
      <c r="N583" s="4">
        <v>0.56000000000000005</v>
      </c>
      <c r="O583" t="s">
        <v>39</v>
      </c>
    </row>
    <row r="584" spans="1:15" x14ac:dyDescent="0.3">
      <c r="A584" t="s">
        <v>1828</v>
      </c>
      <c r="B584" s="5">
        <v>20</v>
      </c>
      <c r="C584" s="5" t="str" cm="1">
        <f t="array" ref="C584">_xlfn.IFS(worksheet[[#This Row],[age]]&lt;25,"1. Young Adulthood (18-24)",worksheet[[#This Row],[age]]&lt; 35,"2. Early Adulthood (25-34)",worksheet[[#This Row],[age]]&lt; 45,"3. Mid Adulthood (35-44)",worksheet[[#This Row],[age]]&lt; 55,"4. Mature Adulthood (45-54)",TRUE,"5. Late Adulthood/Senior (55+)")</f>
        <v>1. Young Adulthood (18-24)</v>
      </c>
      <c r="D584" t="s">
        <v>41</v>
      </c>
      <c r="E584" t="s">
        <v>32</v>
      </c>
      <c r="F584" s="4">
        <v>8.24</v>
      </c>
      <c r="G584" s="5">
        <v>57</v>
      </c>
      <c r="H584" t="s">
        <v>17</v>
      </c>
      <c r="I584" t="s">
        <v>18</v>
      </c>
      <c r="J584" s="6">
        <v>17.989999999999998</v>
      </c>
      <c r="K584">
        <v>1</v>
      </c>
      <c r="L584" t="s">
        <v>19</v>
      </c>
      <c r="M584" s="5">
        <v>5</v>
      </c>
      <c r="N584" s="4">
        <v>0.14000000000000001</v>
      </c>
      <c r="O584" t="s">
        <v>52</v>
      </c>
    </row>
    <row r="585" spans="1:15" x14ac:dyDescent="0.3">
      <c r="A585" t="s">
        <v>1833</v>
      </c>
      <c r="B585" s="5">
        <v>29</v>
      </c>
      <c r="C585" s="5" t="str" cm="1">
        <f t="array" ref="C585">_xlfn.IFS(worksheet[[#This Row],[age]]&lt;25,"1. Young Adulthood (18-24)",worksheet[[#This Row],[age]]&lt; 35,"2. Early Adulthood (25-34)",worksheet[[#This Row],[age]]&lt; 45,"3. Mid Adulthood (35-44)",worksheet[[#This Row],[age]]&lt; 55,"4. Mature Adulthood (45-54)",TRUE,"5. Late Adulthood/Senior (55+)")</f>
        <v>2. Early Adulthood (25-34)</v>
      </c>
      <c r="D585" t="s">
        <v>15</v>
      </c>
      <c r="E585" t="s">
        <v>16</v>
      </c>
      <c r="F585" s="4">
        <v>14.55</v>
      </c>
      <c r="G585" s="5">
        <v>18</v>
      </c>
      <c r="H585" t="s">
        <v>70</v>
      </c>
      <c r="I585" t="s">
        <v>18</v>
      </c>
      <c r="J585" s="6">
        <v>8.99</v>
      </c>
      <c r="K585">
        <v>0</v>
      </c>
      <c r="L585" t="s">
        <v>43</v>
      </c>
      <c r="M585" s="5">
        <v>3</v>
      </c>
      <c r="N585" s="4">
        <v>0.77</v>
      </c>
      <c r="O585" t="s">
        <v>47</v>
      </c>
    </row>
    <row r="586" spans="1:15" x14ac:dyDescent="0.3">
      <c r="A586" t="s">
        <v>1834</v>
      </c>
      <c r="B586" s="5">
        <v>29</v>
      </c>
      <c r="C586" s="5" t="str" cm="1">
        <f t="array" ref="C586">_xlfn.IFS(worksheet[[#This Row],[age]]&lt;25,"1. Young Adulthood (18-24)",worksheet[[#This Row],[age]]&lt; 35,"2. Early Adulthood (25-34)",worksheet[[#This Row],[age]]&lt; 45,"3. Mid Adulthood (35-44)",worksheet[[#This Row],[age]]&lt; 55,"4. Mature Adulthood (45-54)",TRUE,"5. Late Adulthood/Senior (55+)")</f>
        <v>2. Early Adulthood (25-34)</v>
      </c>
      <c r="D586" t="s">
        <v>41</v>
      </c>
      <c r="E586" t="s">
        <v>16</v>
      </c>
      <c r="F586" s="4">
        <v>5.33</v>
      </c>
      <c r="G586" s="5">
        <v>36</v>
      </c>
      <c r="H586" t="s">
        <v>28</v>
      </c>
      <c r="I586" t="s">
        <v>18</v>
      </c>
      <c r="J586" s="6">
        <v>8.99</v>
      </c>
      <c r="K586">
        <v>1</v>
      </c>
      <c r="L586" t="s">
        <v>19</v>
      </c>
      <c r="M586" s="5">
        <v>4</v>
      </c>
      <c r="N586" s="4">
        <v>0.14000000000000001</v>
      </c>
      <c r="O586" t="s">
        <v>34</v>
      </c>
    </row>
    <row r="587" spans="1:15" x14ac:dyDescent="0.3">
      <c r="A587" t="s">
        <v>1835</v>
      </c>
      <c r="B587" s="5">
        <v>33</v>
      </c>
      <c r="C587" s="5" t="str" cm="1">
        <f t="array" ref="C587">_xlfn.IFS(worksheet[[#This Row],[age]]&lt;25,"1. Young Adulthood (18-24)",worksheet[[#This Row],[age]]&lt; 35,"2. Early Adulthood (25-34)",worksheet[[#This Row],[age]]&lt; 45,"3. Mid Adulthood (35-44)",worksheet[[#This Row],[age]]&lt; 55,"4. Mature Adulthood (45-54)",TRUE,"5. Late Adulthood/Senior (55+)")</f>
        <v>2. Early Adulthood (25-34)</v>
      </c>
      <c r="D587" t="s">
        <v>15</v>
      </c>
      <c r="E587" t="s">
        <v>22</v>
      </c>
      <c r="F587" s="4">
        <v>7.06</v>
      </c>
      <c r="G587" s="5">
        <v>16</v>
      </c>
      <c r="H587" t="s">
        <v>28</v>
      </c>
      <c r="I587" t="s">
        <v>18</v>
      </c>
      <c r="J587" s="6">
        <v>13.99</v>
      </c>
      <c r="K587">
        <v>0</v>
      </c>
      <c r="L587" t="s">
        <v>37</v>
      </c>
      <c r="M587" s="5">
        <v>5</v>
      </c>
      <c r="N587" s="4">
        <v>0.42</v>
      </c>
      <c r="O587" t="s">
        <v>47</v>
      </c>
    </row>
    <row r="588" spans="1:15" x14ac:dyDescent="0.3">
      <c r="A588" t="s">
        <v>1836</v>
      </c>
      <c r="B588" s="5">
        <v>27</v>
      </c>
      <c r="C588" s="5" t="str" cm="1">
        <f t="array" ref="C588">_xlfn.IFS(worksheet[[#This Row],[age]]&lt;25,"1. Young Adulthood (18-24)",worksheet[[#This Row],[age]]&lt; 35,"2. Early Adulthood (25-34)",worksheet[[#This Row],[age]]&lt; 45,"3. Mid Adulthood (35-44)",worksheet[[#This Row],[age]]&lt; 55,"4. Mature Adulthood (45-54)",TRUE,"5. Late Adulthood/Senior (55+)")</f>
        <v>2. Early Adulthood (25-34)</v>
      </c>
      <c r="D588" t="s">
        <v>15</v>
      </c>
      <c r="E588" t="s">
        <v>22</v>
      </c>
      <c r="F588" s="4">
        <v>20.02</v>
      </c>
      <c r="G588" s="5">
        <v>53</v>
      </c>
      <c r="H588" t="s">
        <v>17</v>
      </c>
      <c r="I588" t="s">
        <v>46</v>
      </c>
      <c r="J588" s="6">
        <v>13.99</v>
      </c>
      <c r="K588">
        <v>0</v>
      </c>
      <c r="L588" t="s">
        <v>61</v>
      </c>
      <c r="M588" s="5">
        <v>4</v>
      </c>
      <c r="N588" s="4">
        <v>0.37</v>
      </c>
      <c r="O588" t="s">
        <v>20</v>
      </c>
    </row>
    <row r="589" spans="1:15" x14ac:dyDescent="0.3">
      <c r="A589" s="1" t="s">
        <v>1839</v>
      </c>
      <c r="B589" s="5">
        <v>20</v>
      </c>
      <c r="C589" s="5" t="str" cm="1">
        <f t="array" ref="C589">_xlfn.IFS(worksheet[[#This Row],[age]]&lt;25,"1. Young Adulthood (18-24)",worksheet[[#This Row],[age]]&lt; 35,"2. Early Adulthood (25-34)",worksheet[[#This Row],[age]]&lt; 45,"3. Mid Adulthood (35-44)",worksheet[[#This Row],[age]]&lt; 55,"4. Mature Adulthood (45-54)",TRUE,"5. Late Adulthood/Senior (55+)")</f>
        <v>1. Young Adulthood (18-24)</v>
      </c>
      <c r="D589" t="s">
        <v>15</v>
      </c>
      <c r="E589" t="s">
        <v>32</v>
      </c>
      <c r="F589" s="4">
        <v>11.73</v>
      </c>
      <c r="G589" s="5">
        <v>9</v>
      </c>
      <c r="H589" t="s">
        <v>17</v>
      </c>
      <c r="I589" t="s">
        <v>24</v>
      </c>
      <c r="J589" s="6">
        <v>17.989999999999998</v>
      </c>
      <c r="K589">
        <v>0</v>
      </c>
      <c r="L589" t="s">
        <v>61</v>
      </c>
      <c r="M589" s="5">
        <v>2</v>
      </c>
      <c r="N589" s="4">
        <v>1.17</v>
      </c>
      <c r="O589" t="s">
        <v>52</v>
      </c>
    </row>
    <row r="590" spans="1:15" x14ac:dyDescent="0.3">
      <c r="A590" t="s">
        <v>1840</v>
      </c>
      <c r="B590" s="5">
        <v>27</v>
      </c>
      <c r="C590" s="5" t="str" cm="1">
        <f t="array" ref="C590">_xlfn.IFS(worksheet[[#This Row],[age]]&lt;25,"1. Young Adulthood (18-24)",worksheet[[#This Row],[age]]&lt; 35,"2. Early Adulthood (25-34)",worksheet[[#This Row],[age]]&lt; 45,"3. Mid Adulthood (35-44)",worksheet[[#This Row],[age]]&lt; 55,"4. Mature Adulthood (45-54)",TRUE,"5. Late Adulthood/Senior (55+)")</f>
        <v>2. Early Adulthood (25-34)</v>
      </c>
      <c r="D590" t="s">
        <v>15</v>
      </c>
      <c r="E590" t="s">
        <v>16</v>
      </c>
      <c r="F590" s="4">
        <v>0.18</v>
      </c>
      <c r="G590" s="5">
        <v>7</v>
      </c>
      <c r="H590" t="s">
        <v>23</v>
      </c>
      <c r="I590" t="s">
        <v>57</v>
      </c>
      <c r="J590" s="6">
        <v>8.99</v>
      </c>
      <c r="K590">
        <v>1</v>
      </c>
      <c r="L590" t="s">
        <v>19</v>
      </c>
      <c r="M590" s="5">
        <v>3</v>
      </c>
      <c r="N590" s="4">
        <v>0.02</v>
      </c>
      <c r="O590" t="s">
        <v>30</v>
      </c>
    </row>
    <row r="591" spans="1:15" x14ac:dyDescent="0.3">
      <c r="A591" t="s">
        <v>1841</v>
      </c>
      <c r="B591" s="5">
        <v>24</v>
      </c>
      <c r="C591" s="5" t="str" cm="1">
        <f t="array" ref="C591">_xlfn.IFS(worksheet[[#This Row],[age]]&lt;25,"1. Young Adulthood (18-24)",worksheet[[#This Row],[age]]&lt; 35,"2. Early Adulthood (25-34)",worksheet[[#This Row],[age]]&lt; 45,"3. Mid Adulthood (35-44)",worksheet[[#This Row],[age]]&lt; 55,"4. Mature Adulthood (45-54)",TRUE,"5. Late Adulthood/Senior (55+)")</f>
        <v>1. Young Adulthood (18-24)</v>
      </c>
      <c r="D591" t="s">
        <v>41</v>
      </c>
      <c r="E591" t="s">
        <v>32</v>
      </c>
      <c r="F591" s="4">
        <v>6.01</v>
      </c>
      <c r="G591" s="5">
        <v>58</v>
      </c>
      <c r="H591" t="s">
        <v>70</v>
      </c>
      <c r="I591" t="s">
        <v>57</v>
      </c>
      <c r="J591" s="6">
        <v>17.989999999999998</v>
      </c>
      <c r="K591">
        <v>1</v>
      </c>
      <c r="L591" t="s">
        <v>37</v>
      </c>
      <c r="M591" s="5">
        <v>1</v>
      </c>
      <c r="N591" s="4">
        <v>0.1</v>
      </c>
      <c r="O591" t="s">
        <v>39</v>
      </c>
    </row>
    <row r="592" spans="1:15" x14ac:dyDescent="0.3">
      <c r="A592" t="s">
        <v>1843</v>
      </c>
      <c r="B592" s="5">
        <v>19</v>
      </c>
      <c r="C592" s="5" t="str" cm="1">
        <f t="array" ref="C592">_xlfn.IFS(worksheet[[#This Row],[age]]&lt;25,"1. Young Adulthood (18-24)",worksheet[[#This Row],[age]]&lt; 35,"2. Early Adulthood (25-34)",worksheet[[#This Row],[age]]&lt; 45,"3. Mid Adulthood (35-44)",worksheet[[#This Row],[age]]&lt; 55,"4. Mature Adulthood (45-54)",TRUE,"5. Late Adulthood/Senior (55+)")</f>
        <v>1. Young Adulthood (18-24)</v>
      </c>
      <c r="D592" t="s">
        <v>27</v>
      </c>
      <c r="E592" t="s">
        <v>22</v>
      </c>
      <c r="F592" s="4">
        <v>24.66</v>
      </c>
      <c r="G592" s="5">
        <v>27</v>
      </c>
      <c r="H592" t="s">
        <v>70</v>
      </c>
      <c r="I592" t="s">
        <v>55</v>
      </c>
      <c r="J592" s="6">
        <v>13.99</v>
      </c>
      <c r="K592">
        <v>0</v>
      </c>
      <c r="L592" t="s">
        <v>29</v>
      </c>
      <c r="M592" s="5">
        <v>2</v>
      </c>
      <c r="N592" s="4">
        <v>0.88</v>
      </c>
      <c r="O592" t="s">
        <v>34</v>
      </c>
    </row>
    <row r="593" spans="1:15" x14ac:dyDescent="0.3">
      <c r="A593" t="s">
        <v>1846</v>
      </c>
      <c r="B593" s="5">
        <v>33</v>
      </c>
      <c r="C593" s="5" t="str" cm="1">
        <f t="array" ref="C593">_xlfn.IFS(worksheet[[#This Row],[age]]&lt;25,"1. Young Adulthood (18-24)",worksheet[[#This Row],[age]]&lt; 35,"2. Early Adulthood (25-34)",worksheet[[#This Row],[age]]&lt; 45,"3. Mid Adulthood (35-44)",worksheet[[#This Row],[age]]&lt; 55,"4. Mature Adulthood (45-54)",TRUE,"5. Late Adulthood/Senior (55+)")</f>
        <v>2. Early Adulthood (25-34)</v>
      </c>
      <c r="D593" t="s">
        <v>15</v>
      </c>
      <c r="E593" t="s">
        <v>22</v>
      </c>
      <c r="F593" s="4">
        <v>8.94</v>
      </c>
      <c r="G593" s="5">
        <v>50</v>
      </c>
      <c r="H593" t="s">
        <v>17</v>
      </c>
      <c r="I593" t="s">
        <v>55</v>
      </c>
      <c r="J593" s="6">
        <v>13.99</v>
      </c>
      <c r="K593">
        <v>1</v>
      </c>
      <c r="L593" t="s">
        <v>29</v>
      </c>
      <c r="M593" s="5">
        <v>3</v>
      </c>
      <c r="N593" s="4">
        <v>0.18</v>
      </c>
      <c r="O593" t="s">
        <v>25</v>
      </c>
    </row>
    <row r="594" spans="1:15" x14ac:dyDescent="0.3">
      <c r="A594" t="s">
        <v>1851</v>
      </c>
      <c r="B594" s="5">
        <v>24</v>
      </c>
      <c r="C594" s="5" t="str" cm="1">
        <f t="array" ref="C594">_xlfn.IFS(worksheet[[#This Row],[age]]&lt;25,"1. Young Adulthood (18-24)",worksheet[[#This Row],[age]]&lt; 35,"2. Early Adulthood (25-34)",worksheet[[#This Row],[age]]&lt; 45,"3. Mid Adulthood (35-44)",worksheet[[#This Row],[age]]&lt; 55,"4. Mature Adulthood (45-54)",TRUE,"5. Late Adulthood/Senior (55+)")</f>
        <v>1. Young Adulthood (18-24)</v>
      </c>
      <c r="D594" t="s">
        <v>27</v>
      </c>
      <c r="E594" t="s">
        <v>22</v>
      </c>
      <c r="F594" s="4">
        <v>8.4</v>
      </c>
      <c r="G594" s="5">
        <v>29</v>
      </c>
      <c r="H594" t="s">
        <v>70</v>
      </c>
      <c r="I594" t="s">
        <v>57</v>
      </c>
      <c r="J594" s="6">
        <v>13.99</v>
      </c>
      <c r="K594">
        <v>0</v>
      </c>
      <c r="L594" t="s">
        <v>37</v>
      </c>
      <c r="M594" s="5">
        <v>1</v>
      </c>
      <c r="N594" s="4">
        <v>0.28000000000000003</v>
      </c>
      <c r="O594" t="s">
        <v>39</v>
      </c>
    </row>
    <row r="595" spans="1:15" x14ac:dyDescent="0.3">
      <c r="A595" t="s">
        <v>1852</v>
      </c>
      <c r="B595" s="5">
        <v>20</v>
      </c>
      <c r="C595" s="5" t="str" cm="1">
        <f t="array" ref="C595">_xlfn.IFS(worksheet[[#This Row],[age]]&lt;25,"1. Young Adulthood (18-24)",worksheet[[#This Row],[age]]&lt; 35,"2. Early Adulthood (25-34)",worksheet[[#This Row],[age]]&lt; 45,"3. Mid Adulthood (35-44)",worksheet[[#This Row],[age]]&lt; 55,"4. Mature Adulthood (45-54)",TRUE,"5. Late Adulthood/Senior (55+)")</f>
        <v>1. Young Adulthood (18-24)</v>
      </c>
      <c r="D595" t="s">
        <v>27</v>
      </c>
      <c r="E595" t="s">
        <v>16</v>
      </c>
      <c r="F595" s="4">
        <v>25.17</v>
      </c>
      <c r="G595" s="5">
        <v>3</v>
      </c>
      <c r="H595" t="s">
        <v>33</v>
      </c>
      <c r="I595" t="s">
        <v>55</v>
      </c>
      <c r="J595" s="6">
        <v>8.99</v>
      </c>
      <c r="K595">
        <v>0</v>
      </c>
      <c r="L595" t="s">
        <v>29</v>
      </c>
      <c r="M595" s="5">
        <v>2</v>
      </c>
      <c r="N595" s="4">
        <v>6.29</v>
      </c>
      <c r="O595" t="s">
        <v>52</v>
      </c>
    </row>
    <row r="596" spans="1:15" x14ac:dyDescent="0.3">
      <c r="A596" t="s">
        <v>1853</v>
      </c>
      <c r="B596" s="5">
        <v>31</v>
      </c>
      <c r="C596" s="5" t="str" cm="1">
        <f t="array" ref="C596">_xlfn.IFS(worksheet[[#This Row],[age]]&lt;25,"1. Young Adulthood (18-24)",worksheet[[#This Row],[age]]&lt; 35,"2. Early Adulthood (25-34)",worksheet[[#This Row],[age]]&lt; 45,"3. Mid Adulthood (35-44)",worksheet[[#This Row],[age]]&lt; 55,"4. Mature Adulthood (45-54)",TRUE,"5. Late Adulthood/Senior (55+)")</f>
        <v>2. Early Adulthood (25-34)</v>
      </c>
      <c r="D596" t="s">
        <v>15</v>
      </c>
      <c r="E596" t="s">
        <v>16</v>
      </c>
      <c r="F596" s="4">
        <v>2.82</v>
      </c>
      <c r="G596" s="5">
        <v>19</v>
      </c>
      <c r="H596" t="s">
        <v>17</v>
      </c>
      <c r="I596" t="s">
        <v>46</v>
      </c>
      <c r="J596" s="6">
        <v>8.99</v>
      </c>
      <c r="K596">
        <v>1</v>
      </c>
      <c r="L596" t="s">
        <v>37</v>
      </c>
      <c r="M596" s="5">
        <v>4</v>
      </c>
      <c r="N596" s="4">
        <v>0.14000000000000001</v>
      </c>
      <c r="O596" t="s">
        <v>25</v>
      </c>
    </row>
    <row r="597" spans="1:15" x14ac:dyDescent="0.3">
      <c r="A597" t="s">
        <v>1855</v>
      </c>
      <c r="B597" s="5">
        <v>22</v>
      </c>
      <c r="C597" s="5" t="str" cm="1">
        <f t="array" ref="C597">_xlfn.IFS(worksheet[[#This Row],[age]]&lt;25,"1. Young Adulthood (18-24)",worksheet[[#This Row],[age]]&lt; 35,"2. Early Adulthood (25-34)",worksheet[[#This Row],[age]]&lt; 45,"3. Mid Adulthood (35-44)",worksheet[[#This Row],[age]]&lt; 55,"4. Mature Adulthood (45-54)",TRUE,"5. Late Adulthood/Senior (55+)")</f>
        <v>1. Young Adulthood (18-24)</v>
      </c>
      <c r="D597" t="s">
        <v>41</v>
      </c>
      <c r="E597" t="s">
        <v>32</v>
      </c>
      <c r="F597" s="4">
        <v>14.69</v>
      </c>
      <c r="G597" s="5">
        <v>12</v>
      </c>
      <c r="H597" t="s">
        <v>28</v>
      </c>
      <c r="I597" t="s">
        <v>55</v>
      </c>
      <c r="J597" s="6">
        <v>17.989999999999998</v>
      </c>
      <c r="K597">
        <v>0</v>
      </c>
      <c r="L597" t="s">
        <v>43</v>
      </c>
      <c r="M597" s="5">
        <v>1</v>
      </c>
      <c r="N597" s="4">
        <v>1.1299999999999999</v>
      </c>
      <c r="O597" t="s">
        <v>39</v>
      </c>
    </row>
    <row r="598" spans="1:15" x14ac:dyDescent="0.3">
      <c r="A598" t="s">
        <v>1858</v>
      </c>
      <c r="B598" s="5">
        <v>27</v>
      </c>
      <c r="C598" s="5" t="str" cm="1">
        <f t="array" ref="C598">_xlfn.IFS(worksheet[[#This Row],[age]]&lt;25,"1. Young Adulthood (18-24)",worksheet[[#This Row],[age]]&lt; 35,"2. Early Adulthood (25-34)",worksheet[[#This Row],[age]]&lt; 45,"3. Mid Adulthood (35-44)",worksheet[[#This Row],[age]]&lt; 55,"4. Mature Adulthood (45-54)",TRUE,"5. Late Adulthood/Senior (55+)")</f>
        <v>2. Early Adulthood (25-34)</v>
      </c>
      <c r="D598" t="s">
        <v>27</v>
      </c>
      <c r="E598" t="s">
        <v>22</v>
      </c>
      <c r="F598" s="4">
        <v>5.85</v>
      </c>
      <c r="G598" s="5">
        <v>3</v>
      </c>
      <c r="H598" t="s">
        <v>33</v>
      </c>
      <c r="I598" t="s">
        <v>46</v>
      </c>
      <c r="J598" s="6">
        <v>13.99</v>
      </c>
      <c r="K598">
        <v>0</v>
      </c>
      <c r="L598" t="s">
        <v>29</v>
      </c>
      <c r="M598" s="5">
        <v>5</v>
      </c>
      <c r="N598" s="4">
        <v>1.46</v>
      </c>
      <c r="O598" t="s">
        <v>25</v>
      </c>
    </row>
    <row r="599" spans="1:15" x14ac:dyDescent="0.3">
      <c r="A599" t="s">
        <v>1860</v>
      </c>
      <c r="B599" s="5">
        <v>18</v>
      </c>
      <c r="C599" s="5" t="str" cm="1">
        <f t="array" ref="C599">_xlfn.IFS(worksheet[[#This Row],[age]]&lt;25,"1. Young Adulthood (18-24)",worksheet[[#This Row],[age]]&lt; 35,"2. Early Adulthood (25-34)",worksheet[[#This Row],[age]]&lt; 45,"3. Mid Adulthood (35-44)",worksheet[[#This Row],[age]]&lt; 55,"4. Mature Adulthood (45-54)",TRUE,"5. Late Adulthood/Senior (55+)")</f>
        <v>1. Young Adulthood (18-24)</v>
      </c>
      <c r="D599" t="s">
        <v>27</v>
      </c>
      <c r="E599" t="s">
        <v>32</v>
      </c>
      <c r="F599" s="4">
        <v>22</v>
      </c>
      <c r="G599" s="5">
        <v>15</v>
      </c>
      <c r="H599" t="s">
        <v>23</v>
      </c>
      <c r="I599" t="s">
        <v>46</v>
      </c>
      <c r="J599" s="6">
        <v>17.989999999999998</v>
      </c>
      <c r="K599">
        <v>0</v>
      </c>
      <c r="L599" t="s">
        <v>37</v>
      </c>
      <c r="M599" s="5">
        <v>5</v>
      </c>
      <c r="N599" s="4">
        <v>1.38</v>
      </c>
      <c r="O599" t="s">
        <v>25</v>
      </c>
    </row>
    <row r="600" spans="1:15" x14ac:dyDescent="0.3">
      <c r="A600" t="s">
        <v>1862</v>
      </c>
      <c r="B600" s="5">
        <v>28</v>
      </c>
      <c r="C600" s="5" t="str" cm="1">
        <f t="array" ref="C600">_xlfn.IFS(worksheet[[#This Row],[age]]&lt;25,"1. Young Adulthood (18-24)",worksheet[[#This Row],[age]]&lt; 35,"2. Early Adulthood (25-34)",worksheet[[#This Row],[age]]&lt; 45,"3. Mid Adulthood (35-44)",worksheet[[#This Row],[age]]&lt; 55,"4. Mature Adulthood (45-54)",TRUE,"5. Late Adulthood/Senior (55+)")</f>
        <v>2. Early Adulthood (25-34)</v>
      </c>
      <c r="D600" t="s">
        <v>15</v>
      </c>
      <c r="E600" t="s">
        <v>32</v>
      </c>
      <c r="F600" s="4">
        <v>11.92</v>
      </c>
      <c r="G600" s="5">
        <v>52</v>
      </c>
      <c r="H600" t="s">
        <v>33</v>
      </c>
      <c r="I600" t="s">
        <v>18</v>
      </c>
      <c r="J600" s="6">
        <v>17.989999999999998</v>
      </c>
      <c r="K600">
        <v>1</v>
      </c>
      <c r="L600" t="s">
        <v>29</v>
      </c>
      <c r="M600" s="5">
        <v>3</v>
      </c>
      <c r="N600" s="4">
        <v>0.22</v>
      </c>
      <c r="O600" t="s">
        <v>34</v>
      </c>
    </row>
    <row r="601" spans="1:15" x14ac:dyDescent="0.3">
      <c r="A601" t="s">
        <v>1865</v>
      </c>
      <c r="B601" s="5">
        <v>30</v>
      </c>
      <c r="C601" s="5" t="str" cm="1">
        <f t="array" ref="C601">_xlfn.IFS(worksheet[[#This Row],[age]]&lt;25,"1. Young Adulthood (18-24)",worksheet[[#This Row],[age]]&lt; 35,"2. Early Adulthood (25-34)",worksheet[[#This Row],[age]]&lt; 45,"3. Mid Adulthood (35-44)",worksheet[[#This Row],[age]]&lt; 55,"4. Mature Adulthood (45-54)",TRUE,"5. Late Adulthood/Senior (55+)")</f>
        <v>2. Early Adulthood (25-34)</v>
      </c>
      <c r="D601" t="s">
        <v>41</v>
      </c>
      <c r="E601" t="s">
        <v>22</v>
      </c>
      <c r="F601" s="4">
        <v>31.65</v>
      </c>
      <c r="G601" s="5">
        <v>29</v>
      </c>
      <c r="H601" t="s">
        <v>23</v>
      </c>
      <c r="I601" t="s">
        <v>24</v>
      </c>
      <c r="J601" s="6">
        <v>13.99</v>
      </c>
      <c r="K601">
        <v>0</v>
      </c>
      <c r="L601" t="s">
        <v>37</v>
      </c>
      <c r="M601" s="5">
        <v>4</v>
      </c>
      <c r="N601" s="4">
        <v>1.05</v>
      </c>
      <c r="O601" t="s">
        <v>34</v>
      </c>
    </row>
    <row r="602" spans="1:15" x14ac:dyDescent="0.3">
      <c r="A602" t="s">
        <v>1866</v>
      </c>
      <c r="B602" s="5">
        <v>29</v>
      </c>
      <c r="C602" s="5" t="str" cm="1">
        <f t="array" ref="C602">_xlfn.IFS(worksheet[[#This Row],[age]]&lt;25,"1. Young Adulthood (18-24)",worksheet[[#This Row],[age]]&lt; 35,"2. Early Adulthood (25-34)",worksheet[[#This Row],[age]]&lt; 45,"3. Mid Adulthood (35-44)",worksheet[[#This Row],[age]]&lt; 55,"4. Mature Adulthood (45-54)",TRUE,"5. Late Adulthood/Senior (55+)")</f>
        <v>2. Early Adulthood (25-34)</v>
      </c>
      <c r="D602" t="s">
        <v>27</v>
      </c>
      <c r="E602" t="s">
        <v>16</v>
      </c>
      <c r="F602" s="4">
        <v>5.55</v>
      </c>
      <c r="G602" s="5">
        <v>20</v>
      </c>
      <c r="H602" t="s">
        <v>49</v>
      </c>
      <c r="I602" t="s">
        <v>18</v>
      </c>
      <c r="J602" s="6">
        <v>8.99</v>
      </c>
      <c r="K602">
        <v>1</v>
      </c>
      <c r="L602" t="s">
        <v>19</v>
      </c>
      <c r="M602" s="5">
        <v>2</v>
      </c>
      <c r="N602" s="4">
        <v>0.26</v>
      </c>
      <c r="O602" t="s">
        <v>47</v>
      </c>
    </row>
    <row r="603" spans="1:15" x14ac:dyDescent="0.3">
      <c r="A603" t="s">
        <v>1867</v>
      </c>
      <c r="B603" s="5">
        <v>30</v>
      </c>
      <c r="C603" s="5" t="str" cm="1">
        <f t="array" ref="C603">_xlfn.IFS(worksheet[[#This Row],[age]]&lt;25,"1. Young Adulthood (18-24)",worksheet[[#This Row],[age]]&lt; 35,"2. Early Adulthood (25-34)",worksheet[[#This Row],[age]]&lt; 45,"3. Mid Adulthood (35-44)",worksheet[[#This Row],[age]]&lt; 55,"4. Mature Adulthood (45-54)",TRUE,"5. Late Adulthood/Senior (55+)")</f>
        <v>2. Early Adulthood (25-34)</v>
      </c>
      <c r="D603" t="s">
        <v>27</v>
      </c>
      <c r="E603" t="s">
        <v>22</v>
      </c>
      <c r="F603" s="4">
        <v>6.42</v>
      </c>
      <c r="G603" s="5">
        <v>26</v>
      </c>
      <c r="H603" t="s">
        <v>28</v>
      </c>
      <c r="I603" t="s">
        <v>57</v>
      </c>
      <c r="J603" s="6">
        <v>13.99</v>
      </c>
      <c r="K603">
        <v>0</v>
      </c>
      <c r="L603" t="s">
        <v>43</v>
      </c>
      <c r="M603" s="5">
        <v>1</v>
      </c>
      <c r="N603" s="4">
        <v>0.24</v>
      </c>
      <c r="O603" t="s">
        <v>34</v>
      </c>
    </row>
    <row r="604" spans="1:15" x14ac:dyDescent="0.3">
      <c r="A604" t="s">
        <v>1869</v>
      </c>
      <c r="B604" s="5">
        <v>34</v>
      </c>
      <c r="C604" s="5" t="str" cm="1">
        <f t="array" ref="C604">_xlfn.IFS(worksheet[[#This Row],[age]]&lt;25,"1. Young Adulthood (18-24)",worksheet[[#This Row],[age]]&lt; 35,"2. Early Adulthood (25-34)",worksheet[[#This Row],[age]]&lt; 45,"3. Mid Adulthood (35-44)",worksheet[[#This Row],[age]]&lt; 55,"4. Mature Adulthood (45-54)",TRUE,"5. Late Adulthood/Senior (55+)")</f>
        <v>2. Early Adulthood (25-34)</v>
      </c>
      <c r="D604" t="s">
        <v>15</v>
      </c>
      <c r="E604" t="s">
        <v>32</v>
      </c>
      <c r="F604" s="4">
        <v>29.29</v>
      </c>
      <c r="G604" s="5">
        <v>19</v>
      </c>
      <c r="H604" t="s">
        <v>17</v>
      </c>
      <c r="I604" t="s">
        <v>18</v>
      </c>
      <c r="J604" s="6">
        <v>17.989999999999998</v>
      </c>
      <c r="K604">
        <v>0</v>
      </c>
      <c r="L604" t="s">
        <v>19</v>
      </c>
      <c r="M604" s="5">
        <v>4</v>
      </c>
      <c r="N604" s="4">
        <v>1.46</v>
      </c>
      <c r="O604" t="s">
        <v>25</v>
      </c>
    </row>
    <row r="605" spans="1:15" x14ac:dyDescent="0.3">
      <c r="A605" t="s">
        <v>1880</v>
      </c>
      <c r="B605" s="5">
        <v>18</v>
      </c>
      <c r="C605" s="5" t="str" cm="1">
        <f t="array" ref="C605">_xlfn.IFS(worksheet[[#This Row],[age]]&lt;25,"1. Young Adulthood (18-24)",worksheet[[#This Row],[age]]&lt; 35,"2. Early Adulthood (25-34)",worksheet[[#This Row],[age]]&lt; 45,"3. Mid Adulthood (35-44)",worksheet[[#This Row],[age]]&lt; 55,"4. Mature Adulthood (45-54)",TRUE,"5. Late Adulthood/Senior (55+)")</f>
        <v>1. Young Adulthood (18-24)</v>
      </c>
      <c r="D605" t="s">
        <v>15</v>
      </c>
      <c r="E605" t="s">
        <v>22</v>
      </c>
      <c r="F605" s="4">
        <v>0.24</v>
      </c>
      <c r="G605" s="5">
        <v>24</v>
      </c>
      <c r="H605" t="s">
        <v>17</v>
      </c>
      <c r="I605" t="s">
        <v>24</v>
      </c>
      <c r="J605" s="6">
        <v>13.99</v>
      </c>
      <c r="K605">
        <v>1</v>
      </c>
      <c r="L605" t="s">
        <v>19</v>
      </c>
      <c r="M605" s="5">
        <v>5</v>
      </c>
      <c r="N605" s="4">
        <v>0.01</v>
      </c>
      <c r="O605" t="s">
        <v>30</v>
      </c>
    </row>
    <row r="606" spans="1:15" x14ac:dyDescent="0.3">
      <c r="A606" t="s">
        <v>1887</v>
      </c>
      <c r="B606" s="5">
        <v>32</v>
      </c>
      <c r="C606" s="5" t="str" cm="1">
        <f t="array" ref="C606">_xlfn.IFS(worksheet[[#This Row],[age]]&lt;25,"1. Young Adulthood (18-24)",worksheet[[#This Row],[age]]&lt; 35,"2. Early Adulthood (25-34)",worksheet[[#This Row],[age]]&lt; 45,"3. Mid Adulthood (35-44)",worksheet[[#This Row],[age]]&lt; 55,"4. Mature Adulthood (45-54)",TRUE,"5. Late Adulthood/Senior (55+)")</f>
        <v>2. Early Adulthood (25-34)</v>
      </c>
      <c r="D606" t="s">
        <v>15</v>
      </c>
      <c r="E606" t="s">
        <v>16</v>
      </c>
      <c r="F606" s="4">
        <v>15.46</v>
      </c>
      <c r="G606" s="5">
        <v>6</v>
      </c>
      <c r="H606" t="s">
        <v>70</v>
      </c>
      <c r="I606" t="s">
        <v>46</v>
      </c>
      <c r="J606" s="6">
        <v>8.99</v>
      </c>
      <c r="K606">
        <v>0</v>
      </c>
      <c r="L606" t="s">
        <v>61</v>
      </c>
      <c r="M606" s="5">
        <v>4</v>
      </c>
      <c r="N606" s="4">
        <v>2.21</v>
      </c>
      <c r="O606" t="s">
        <v>34</v>
      </c>
    </row>
    <row r="607" spans="1:15" x14ac:dyDescent="0.3">
      <c r="A607" t="s">
        <v>1893</v>
      </c>
      <c r="B607" s="5">
        <v>19</v>
      </c>
      <c r="C607" s="5" t="str" cm="1">
        <f t="array" ref="C607">_xlfn.IFS(worksheet[[#This Row],[age]]&lt;25,"1. Young Adulthood (18-24)",worksheet[[#This Row],[age]]&lt; 35,"2. Early Adulthood (25-34)",worksheet[[#This Row],[age]]&lt; 45,"3. Mid Adulthood (35-44)",worksheet[[#This Row],[age]]&lt; 55,"4. Mature Adulthood (45-54)",TRUE,"5. Late Adulthood/Senior (55+)")</f>
        <v>1. Young Adulthood (18-24)</v>
      </c>
      <c r="D607" t="s">
        <v>27</v>
      </c>
      <c r="E607" t="s">
        <v>16</v>
      </c>
      <c r="F607" s="4">
        <v>6.32</v>
      </c>
      <c r="G607" s="5">
        <v>3</v>
      </c>
      <c r="H607" t="s">
        <v>28</v>
      </c>
      <c r="I607" t="s">
        <v>24</v>
      </c>
      <c r="J607" s="6">
        <v>8.99</v>
      </c>
      <c r="K607">
        <v>0</v>
      </c>
      <c r="L607" t="s">
        <v>61</v>
      </c>
      <c r="M607" s="5">
        <v>2</v>
      </c>
      <c r="N607" s="4">
        <v>1.58</v>
      </c>
      <c r="O607" t="s">
        <v>30</v>
      </c>
    </row>
    <row r="608" spans="1:15" x14ac:dyDescent="0.3">
      <c r="A608" t="s">
        <v>1894</v>
      </c>
      <c r="B608" s="5">
        <v>24</v>
      </c>
      <c r="C608" s="5" t="str" cm="1">
        <f t="array" ref="C608">_xlfn.IFS(worksheet[[#This Row],[age]]&lt;25,"1. Young Adulthood (18-24)",worksheet[[#This Row],[age]]&lt; 35,"2. Early Adulthood (25-34)",worksheet[[#This Row],[age]]&lt; 45,"3. Mid Adulthood (35-44)",worksheet[[#This Row],[age]]&lt; 55,"4. Mature Adulthood (45-54)",TRUE,"5. Late Adulthood/Senior (55+)")</f>
        <v>1. Young Adulthood (18-24)</v>
      </c>
      <c r="D608" t="s">
        <v>41</v>
      </c>
      <c r="E608" t="s">
        <v>22</v>
      </c>
      <c r="F608" s="4">
        <v>22.15</v>
      </c>
      <c r="G608" s="5">
        <v>10</v>
      </c>
      <c r="H608" t="s">
        <v>23</v>
      </c>
      <c r="I608" t="s">
        <v>18</v>
      </c>
      <c r="J608" s="6">
        <v>13.99</v>
      </c>
      <c r="K608">
        <v>0</v>
      </c>
      <c r="L608" t="s">
        <v>19</v>
      </c>
      <c r="M608" s="5">
        <v>5</v>
      </c>
      <c r="N608" s="4">
        <v>2.0099999999999998</v>
      </c>
      <c r="O608" t="s">
        <v>34</v>
      </c>
    </row>
    <row r="609" spans="1:15" x14ac:dyDescent="0.3">
      <c r="A609" t="s">
        <v>1898</v>
      </c>
      <c r="B609" s="5">
        <v>31</v>
      </c>
      <c r="C609" s="5" t="str" cm="1">
        <f t="array" ref="C609">_xlfn.IFS(worksheet[[#This Row],[age]]&lt;25,"1. Young Adulthood (18-24)",worksheet[[#This Row],[age]]&lt; 35,"2. Early Adulthood (25-34)",worksheet[[#This Row],[age]]&lt; 45,"3. Mid Adulthood (35-44)",worksheet[[#This Row],[age]]&lt; 55,"4. Mature Adulthood (45-54)",TRUE,"5. Late Adulthood/Senior (55+)")</f>
        <v>2. Early Adulthood (25-34)</v>
      </c>
      <c r="D609" t="s">
        <v>15</v>
      </c>
      <c r="E609" t="s">
        <v>32</v>
      </c>
      <c r="F609" s="4">
        <v>13.34</v>
      </c>
      <c r="G609" s="5">
        <v>39</v>
      </c>
      <c r="H609" t="s">
        <v>17</v>
      </c>
      <c r="I609" t="s">
        <v>57</v>
      </c>
      <c r="J609" s="6">
        <v>17.989999999999998</v>
      </c>
      <c r="K609">
        <v>1</v>
      </c>
      <c r="L609" t="s">
        <v>29</v>
      </c>
      <c r="M609" s="5">
        <v>4</v>
      </c>
      <c r="N609" s="4">
        <v>0.33</v>
      </c>
      <c r="O609" t="s">
        <v>34</v>
      </c>
    </row>
    <row r="610" spans="1:15" x14ac:dyDescent="0.3">
      <c r="A610" t="s">
        <v>1901</v>
      </c>
      <c r="B610" s="5">
        <v>33</v>
      </c>
      <c r="C610" s="5" t="str" cm="1">
        <f t="array" ref="C610">_xlfn.IFS(worksheet[[#This Row],[age]]&lt;25,"1. Young Adulthood (18-24)",worksheet[[#This Row],[age]]&lt; 35,"2. Early Adulthood (25-34)",worksheet[[#This Row],[age]]&lt; 45,"3. Mid Adulthood (35-44)",worksheet[[#This Row],[age]]&lt; 55,"4. Mature Adulthood (45-54)",TRUE,"5. Late Adulthood/Senior (55+)")</f>
        <v>2. Early Adulthood (25-34)</v>
      </c>
      <c r="D610" t="s">
        <v>15</v>
      </c>
      <c r="E610" t="s">
        <v>22</v>
      </c>
      <c r="F610" s="4">
        <v>4.18</v>
      </c>
      <c r="G610" s="5">
        <v>10</v>
      </c>
      <c r="H610" t="s">
        <v>49</v>
      </c>
      <c r="I610" t="s">
        <v>46</v>
      </c>
      <c r="J610" s="6">
        <v>13.99</v>
      </c>
      <c r="K610">
        <v>1</v>
      </c>
      <c r="L610" t="s">
        <v>29</v>
      </c>
      <c r="M610" s="5">
        <v>5</v>
      </c>
      <c r="N610" s="4">
        <v>0.38</v>
      </c>
      <c r="O610" t="s">
        <v>34</v>
      </c>
    </row>
    <row r="611" spans="1:15" x14ac:dyDescent="0.3">
      <c r="A611" t="s">
        <v>1903</v>
      </c>
      <c r="B611" s="5">
        <v>31</v>
      </c>
      <c r="C611" s="5" t="str" cm="1">
        <f t="array" ref="C611">_xlfn.IFS(worksheet[[#This Row],[age]]&lt;25,"1. Young Adulthood (18-24)",worksheet[[#This Row],[age]]&lt; 35,"2. Early Adulthood (25-34)",worksheet[[#This Row],[age]]&lt; 45,"3. Mid Adulthood (35-44)",worksheet[[#This Row],[age]]&lt; 55,"4. Mature Adulthood (45-54)",TRUE,"5. Late Adulthood/Senior (55+)")</f>
        <v>2. Early Adulthood (25-34)</v>
      </c>
      <c r="D611" t="s">
        <v>27</v>
      </c>
      <c r="E611" t="s">
        <v>16</v>
      </c>
      <c r="F611" s="4">
        <v>3.77</v>
      </c>
      <c r="G611" s="5">
        <v>12</v>
      </c>
      <c r="H611" t="s">
        <v>49</v>
      </c>
      <c r="I611" t="s">
        <v>46</v>
      </c>
      <c r="J611" s="6">
        <v>8.99</v>
      </c>
      <c r="K611">
        <v>1</v>
      </c>
      <c r="L611" t="s">
        <v>61</v>
      </c>
      <c r="M611" s="5">
        <v>2</v>
      </c>
      <c r="N611" s="4">
        <v>0.28999999999999998</v>
      </c>
      <c r="O611" t="s">
        <v>52</v>
      </c>
    </row>
    <row r="612" spans="1:15" x14ac:dyDescent="0.3">
      <c r="A612" t="s">
        <v>1904</v>
      </c>
      <c r="B612" s="5">
        <v>29</v>
      </c>
      <c r="C612" s="5" t="str" cm="1">
        <f t="array" ref="C612">_xlfn.IFS(worksheet[[#This Row],[age]]&lt;25,"1. Young Adulthood (18-24)",worksheet[[#This Row],[age]]&lt; 35,"2. Early Adulthood (25-34)",worksheet[[#This Row],[age]]&lt; 45,"3. Mid Adulthood (35-44)",worksheet[[#This Row],[age]]&lt; 55,"4. Mature Adulthood (45-54)",TRUE,"5. Late Adulthood/Senior (55+)")</f>
        <v>2. Early Adulthood (25-34)</v>
      </c>
      <c r="D612" t="s">
        <v>15</v>
      </c>
      <c r="E612" t="s">
        <v>32</v>
      </c>
      <c r="F612" s="4">
        <v>2.06</v>
      </c>
      <c r="G612" s="5">
        <v>24</v>
      </c>
      <c r="H612" t="s">
        <v>23</v>
      </c>
      <c r="I612" t="s">
        <v>24</v>
      </c>
      <c r="J612" s="6">
        <v>17.989999999999998</v>
      </c>
      <c r="K612">
        <v>1</v>
      </c>
      <c r="L612" t="s">
        <v>19</v>
      </c>
      <c r="M612" s="5">
        <v>1</v>
      </c>
      <c r="N612" s="4">
        <v>0.08</v>
      </c>
      <c r="O612" t="s">
        <v>34</v>
      </c>
    </row>
    <row r="613" spans="1:15" x14ac:dyDescent="0.3">
      <c r="A613" t="s">
        <v>1907</v>
      </c>
      <c r="B613" s="5">
        <v>23</v>
      </c>
      <c r="C613" s="5" t="str" cm="1">
        <f t="array" ref="C613">_xlfn.IFS(worksheet[[#This Row],[age]]&lt;25,"1. Young Adulthood (18-24)",worksheet[[#This Row],[age]]&lt; 35,"2. Early Adulthood (25-34)",worksheet[[#This Row],[age]]&lt; 45,"3. Mid Adulthood (35-44)",worksheet[[#This Row],[age]]&lt; 55,"4. Mature Adulthood (45-54)",TRUE,"5. Late Adulthood/Senior (55+)")</f>
        <v>1. Young Adulthood (18-24)</v>
      </c>
      <c r="D613" t="s">
        <v>27</v>
      </c>
      <c r="E613" t="s">
        <v>16</v>
      </c>
      <c r="F613" s="4">
        <v>6.86</v>
      </c>
      <c r="G613" s="5">
        <v>59</v>
      </c>
      <c r="H613" t="s">
        <v>17</v>
      </c>
      <c r="I613" t="s">
        <v>55</v>
      </c>
      <c r="J613" s="6">
        <v>8.99</v>
      </c>
      <c r="K613">
        <v>1</v>
      </c>
      <c r="L613" t="s">
        <v>19</v>
      </c>
      <c r="M613" s="5">
        <v>4</v>
      </c>
      <c r="N613" s="4">
        <v>0.11</v>
      </c>
      <c r="O613" t="s">
        <v>20</v>
      </c>
    </row>
    <row r="614" spans="1:15" x14ac:dyDescent="0.3">
      <c r="A614" t="s">
        <v>1909</v>
      </c>
      <c r="B614" s="5">
        <v>28</v>
      </c>
      <c r="C614" s="5" t="str" cm="1">
        <f t="array" ref="C614">_xlfn.IFS(worksheet[[#This Row],[age]]&lt;25,"1. Young Adulthood (18-24)",worksheet[[#This Row],[age]]&lt; 35,"2. Early Adulthood (25-34)",worksheet[[#This Row],[age]]&lt; 45,"3. Mid Adulthood (35-44)",worksheet[[#This Row],[age]]&lt; 55,"4. Mature Adulthood (45-54)",TRUE,"5. Late Adulthood/Senior (55+)")</f>
        <v>2. Early Adulthood (25-34)</v>
      </c>
      <c r="D614" t="s">
        <v>27</v>
      </c>
      <c r="E614" t="s">
        <v>32</v>
      </c>
      <c r="F614" s="4">
        <v>0.01</v>
      </c>
      <c r="G614" s="5">
        <v>7</v>
      </c>
      <c r="H614" t="s">
        <v>49</v>
      </c>
      <c r="I614" t="s">
        <v>18</v>
      </c>
      <c r="J614" s="6">
        <v>17.989999999999998</v>
      </c>
      <c r="K614">
        <v>1</v>
      </c>
      <c r="L614" t="s">
        <v>29</v>
      </c>
      <c r="M614" s="5">
        <v>1</v>
      </c>
      <c r="N614" s="4">
        <v>0</v>
      </c>
      <c r="O614" t="s">
        <v>25</v>
      </c>
    </row>
    <row r="615" spans="1:15" x14ac:dyDescent="0.3">
      <c r="A615" t="s">
        <v>1910</v>
      </c>
      <c r="B615" s="5">
        <v>28</v>
      </c>
      <c r="C615" s="5" t="str" cm="1">
        <f t="array" ref="C615">_xlfn.IFS(worksheet[[#This Row],[age]]&lt;25,"1. Young Adulthood (18-24)",worksheet[[#This Row],[age]]&lt; 35,"2. Early Adulthood (25-34)",worksheet[[#This Row],[age]]&lt; 45,"3. Mid Adulthood (35-44)",worksheet[[#This Row],[age]]&lt; 55,"4. Mature Adulthood (45-54)",TRUE,"5. Late Adulthood/Senior (55+)")</f>
        <v>2. Early Adulthood (25-34)</v>
      </c>
      <c r="D615" t="s">
        <v>41</v>
      </c>
      <c r="E615" t="s">
        <v>22</v>
      </c>
      <c r="F615" s="4">
        <v>14.02</v>
      </c>
      <c r="G615" s="5">
        <v>33</v>
      </c>
      <c r="H615" t="s">
        <v>33</v>
      </c>
      <c r="I615" t="s">
        <v>24</v>
      </c>
      <c r="J615" s="6">
        <v>13.99</v>
      </c>
      <c r="K615">
        <v>1</v>
      </c>
      <c r="L615" t="s">
        <v>37</v>
      </c>
      <c r="M615" s="5">
        <v>1</v>
      </c>
      <c r="N615" s="4">
        <v>0.41</v>
      </c>
      <c r="O615" t="s">
        <v>30</v>
      </c>
    </row>
    <row r="616" spans="1:15" x14ac:dyDescent="0.3">
      <c r="A616" t="s">
        <v>1914</v>
      </c>
      <c r="B616" s="5">
        <v>24</v>
      </c>
      <c r="C616" s="5" t="str" cm="1">
        <f t="array" ref="C616">_xlfn.IFS(worksheet[[#This Row],[age]]&lt;25,"1. Young Adulthood (18-24)",worksheet[[#This Row],[age]]&lt; 35,"2. Early Adulthood (25-34)",worksheet[[#This Row],[age]]&lt; 45,"3. Mid Adulthood (35-44)",worksheet[[#This Row],[age]]&lt; 55,"4. Mature Adulthood (45-54)",TRUE,"5. Late Adulthood/Senior (55+)")</f>
        <v>1. Young Adulthood (18-24)</v>
      </c>
      <c r="D616" t="s">
        <v>27</v>
      </c>
      <c r="E616" t="s">
        <v>16</v>
      </c>
      <c r="F616" s="4">
        <v>9.58</v>
      </c>
      <c r="G616" s="5">
        <v>44</v>
      </c>
      <c r="H616" t="s">
        <v>49</v>
      </c>
      <c r="I616" t="s">
        <v>57</v>
      </c>
      <c r="J616" s="6">
        <v>8.99</v>
      </c>
      <c r="K616">
        <v>1</v>
      </c>
      <c r="L616" t="s">
        <v>61</v>
      </c>
      <c r="M616" s="5">
        <v>5</v>
      </c>
      <c r="N616" s="4">
        <v>0.21</v>
      </c>
      <c r="O616" t="s">
        <v>52</v>
      </c>
    </row>
    <row r="617" spans="1:15" x14ac:dyDescent="0.3">
      <c r="A617" t="s">
        <v>1915</v>
      </c>
      <c r="B617" s="5">
        <v>27</v>
      </c>
      <c r="C617" s="5" t="str" cm="1">
        <f t="array" ref="C617">_xlfn.IFS(worksheet[[#This Row],[age]]&lt;25,"1. Young Adulthood (18-24)",worksheet[[#This Row],[age]]&lt; 35,"2. Early Adulthood (25-34)",worksheet[[#This Row],[age]]&lt; 45,"3. Mid Adulthood (35-44)",worksheet[[#This Row],[age]]&lt; 55,"4. Mature Adulthood (45-54)",TRUE,"5. Late Adulthood/Senior (55+)")</f>
        <v>2. Early Adulthood (25-34)</v>
      </c>
      <c r="D617" t="s">
        <v>15</v>
      </c>
      <c r="E617" t="s">
        <v>16</v>
      </c>
      <c r="F617" s="4">
        <v>6.3</v>
      </c>
      <c r="G617" s="5">
        <v>34</v>
      </c>
      <c r="H617" t="s">
        <v>17</v>
      </c>
      <c r="I617" t="s">
        <v>57</v>
      </c>
      <c r="J617" s="6">
        <v>8.99</v>
      </c>
      <c r="K617">
        <v>1</v>
      </c>
      <c r="L617" t="s">
        <v>37</v>
      </c>
      <c r="M617" s="5">
        <v>4</v>
      </c>
      <c r="N617" s="4">
        <v>0.18</v>
      </c>
      <c r="O617" t="s">
        <v>52</v>
      </c>
    </row>
    <row r="618" spans="1:15" x14ac:dyDescent="0.3">
      <c r="A618" t="s">
        <v>1920</v>
      </c>
      <c r="B618" s="5">
        <v>31</v>
      </c>
      <c r="C618" s="5" t="str" cm="1">
        <f t="array" ref="C618">_xlfn.IFS(worksheet[[#This Row],[age]]&lt;25,"1. Young Adulthood (18-24)",worksheet[[#This Row],[age]]&lt; 35,"2. Early Adulthood (25-34)",worksheet[[#This Row],[age]]&lt; 45,"3. Mid Adulthood (35-44)",worksheet[[#This Row],[age]]&lt; 55,"4. Mature Adulthood (45-54)",TRUE,"5. Late Adulthood/Senior (55+)")</f>
        <v>2. Early Adulthood (25-34)</v>
      </c>
      <c r="D618" t="s">
        <v>15</v>
      </c>
      <c r="E618" t="s">
        <v>32</v>
      </c>
      <c r="F618" s="4">
        <v>18.73</v>
      </c>
      <c r="G618" s="5">
        <v>1</v>
      </c>
      <c r="H618" t="s">
        <v>33</v>
      </c>
      <c r="I618" t="s">
        <v>24</v>
      </c>
      <c r="J618" s="6">
        <v>17.989999999999998</v>
      </c>
      <c r="K618">
        <v>0</v>
      </c>
      <c r="L618" t="s">
        <v>29</v>
      </c>
      <c r="M618" s="5">
        <v>1</v>
      </c>
      <c r="N618" s="4">
        <v>9.3699999999999992</v>
      </c>
      <c r="O618" t="s">
        <v>20</v>
      </c>
    </row>
    <row r="619" spans="1:15" x14ac:dyDescent="0.3">
      <c r="A619" t="s">
        <v>1924</v>
      </c>
      <c r="B619" s="5">
        <v>20</v>
      </c>
      <c r="C619" s="5" t="str" cm="1">
        <f t="array" ref="C619">_xlfn.IFS(worksheet[[#This Row],[age]]&lt;25,"1. Young Adulthood (18-24)",worksheet[[#This Row],[age]]&lt; 35,"2. Early Adulthood (25-34)",worksheet[[#This Row],[age]]&lt; 45,"3. Mid Adulthood (35-44)",worksheet[[#This Row],[age]]&lt; 55,"4. Mature Adulthood (45-54)",TRUE,"5. Late Adulthood/Senior (55+)")</f>
        <v>1. Young Adulthood (18-24)</v>
      </c>
      <c r="D619" t="s">
        <v>27</v>
      </c>
      <c r="E619" t="s">
        <v>32</v>
      </c>
      <c r="F619" s="4">
        <v>49.3</v>
      </c>
      <c r="G619" s="5">
        <v>25</v>
      </c>
      <c r="H619" t="s">
        <v>33</v>
      </c>
      <c r="I619" t="s">
        <v>57</v>
      </c>
      <c r="J619" s="6">
        <v>17.989999999999998</v>
      </c>
      <c r="K619">
        <v>0</v>
      </c>
      <c r="L619" t="s">
        <v>19</v>
      </c>
      <c r="M619" s="5">
        <v>3</v>
      </c>
      <c r="N619" s="4">
        <v>1.9</v>
      </c>
      <c r="O619" t="s">
        <v>30</v>
      </c>
    </row>
    <row r="620" spans="1:15" x14ac:dyDescent="0.3">
      <c r="A620" t="s">
        <v>1929</v>
      </c>
      <c r="B620" s="5">
        <v>28</v>
      </c>
      <c r="C620" s="5" t="str" cm="1">
        <f t="array" ref="C620">_xlfn.IFS(worksheet[[#This Row],[age]]&lt;25,"1. Young Adulthood (18-24)",worksheet[[#This Row],[age]]&lt; 35,"2. Early Adulthood (25-34)",worksheet[[#This Row],[age]]&lt; 45,"3. Mid Adulthood (35-44)",worksheet[[#This Row],[age]]&lt; 55,"4. Mature Adulthood (45-54)",TRUE,"5. Late Adulthood/Senior (55+)")</f>
        <v>2. Early Adulthood (25-34)</v>
      </c>
      <c r="D620" t="s">
        <v>27</v>
      </c>
      <c r="E620" t="s">
        <v>16</v>
      </c>
      <c r="F620" s="4">
        <v>10.43</v>
      </c>
      <c r="G620" s="5">
        <v>25</v>
      </c>
      <c r="H620" t="s">
        <v>33</v>
      </c>
      <c r="I620" t="s">
        <v>57</v>
      </c>
      <c r="J620" s="6">
        <v>8.99</v>
      </c>
      <c r="K620">
        <v>0</v>
      </c>
      <c r="L620" t="s">
        <v>19</v>
      </c>
      <c r="M620" s="5">
        <v>4</v>
      </c>
      <c r="N620" s="4">
        <v>0.4</v>
      </c>
      <c r="O620" t="s">
        <v>34</v>
      </c>
    </row>
    <row r="621" spans="1:15" x14ac:dyDescent="0.3">
      <c r="A621" t="s">
        <v>1933</v>
      </c>
      <c r="B621" s="5">
        <v>19</v>
      </c>
      <c r="C621" s="5" t="str" cm="1">
        <f t="array" ref="C621">_xlfn.IFS(worksheet[[#This Row],[age]]&lt;25,"1. Young Adulthood (18-24)",worksheet[[#This Row],[age]]&lt; 35,"2. Early Adulthood (25-34)",worksheet[[#This Row],[age]]&lt; 45,"3. Mid Adulthood (35-44)",worksheet[[#This Row],[age]]&lt; 55,"4. Mature Adulthood (45-54)",TRUE,"5. Late Adulthood/Senior (55+)")</f>
        <v>1. Young Adulthood (18-24)</v>
      </c>
      <c r="D621" t="s">
        <v>15</v>
      </c>
      <c r="E621" t="s">
        <v>22</v>
      </c>
      <c r="F621" s="4">
        <v>6.31</v>
      </c>
      <c r="G621" s="5">
        <v>18</v>
      </c>
      <c r="H621" t="s">
        <v>70</v>
      </c>
      <c r="I621" t="s">
        <v>18</v>
      </c>
      <c r="J621" s="6">
        <v>13.99</v>
      </c>
      <c r="K621">
        <v>0</v>
      </c>
      <c r="L621" t="s">
        <v>29</v>
      </c>
      <c r="M621" s="5">
        <v>1</v>
      </c>
      <c r="N621" s="4">
        <v>0.33</v>
      </c>
      <c r="O621" t="s">
        <v>25</v>
      </c>
    </row>
    <row r="622" spans="1:15" x14ac:dyDescent="0.3">
      <c r="A622" t="s">
        <v>1934</v>
      </c>
      <c r="B622" s="5">
        <v>25</v>
      </c>
      <c r="C622" s="5" t="str" cm="1">
        <f t="array" ref="C622">_xlfn.IFS(worksheet[[#This Row],[age]]&lt;25,"1. Young Adulthood (18-24)",worksheet[[#This Row],[age]]&lt; 35,"2. Early Adulthood (25-34)",worksheet[[#This Row],[age]]&lt; 45,"3. Mid Adulthood (35-44)",worksheet[[#This Row],[age]]&lt; 55,"4. Mature Adulthood (45-54)",TRUE,"5. Late Adulthood/Senior (55+)")</f>
        <v>2. Early Adulthood (25-34)</v>
      </c>
      <c r="D622" t="s">
        <v>41</v>
      </c>
      <c r="E622" t="s">
        <v>32</v>
      </c>
      <c r="F622" s="4">
        <v>6.08</v>
      </c>
      <c r="G622" s="5">
        <v>33</v>
      </c>
      <c r="H622" t="s">
        <v>17</v>
      </c>
      <c r="I622" t="s">
        <v>46</v>
      </c>
      <c r="J622" s="6">
        <v>17.989999999999998</v>
      </c>
      <c r="K622">
        <v>0</v>
      </c>
      <c r="L622" t="s">
        <v>37</v>
      </c>
      <c r="M622" s="5">
        <v>5</v>
      </c>
      <c r="N622" s="4">
        <v>0.18</v>
      </c>
      <c r="O622" t="s">
        <v>52</v>
      </c>
    </row>
    <row r="623" spans="1:15" x14ac:dyDescent="0.3">
      <c r="A623" t="s">
        <v>1935</v>
      </c>
      <c r="B623" s="5">
        <v>31</v>
      </c>
      <c r="C623" s="5" t="str" cm="1">
        <f t="array" ref="C623">_xlfn.IFS(worksheet[[#This Row],[age]]&lt;25,"1. Young Adulthood (18-24)",worksheet[[#This Row],[age]]&lt; 35,"2. Early Adulthood (25-34)",worksheet[[#This Row],[age]]&lt; 45,"3. Mid Adulthood (35-44)",worksheet[[#This Row],[age]]&lt; 55,"4. Mature Adulthood (45-54)",TRUE,"5. Late Adulthood/Senior (55+)")</f>
        <v>2. Early Adulthood (25-34)</v>
      </c>
      <c r="D623" t="s">
        <v>15</v>
      </c>
      <c r="E623" t="s">
        <v>22</v>
      </c>
      <c r="F623" s="4">
        <v>6.59</v>
      </c>
      <c r="G623" s="5">
        <v>19</v>
      </c>
      <c r="H623" t="s">
        <v>17</v>
      </c>
      <c r="I623" t="s">
        <v>55</v>
      </c>
      <c r="J623" s="6">
        <v>13.99</v>
      </c>
      <c r="K623">
        <v>0</v>
      </c>
      <c r="L623" t="s">
        <v>29</v>
      </c>
      <c r="M623" s="5">
        <v>3</v>
      </c>
      <c r="N623" s="4">
        <v>0.33</v>
      </c>
      <c r="O623" t="s">
        <v>52</v>
      </c>
    </row>
    <row r="624" spans="1:15" x14ac:dyDescent="0.3">
      <c r="A624" t="s">
        <v>1938</v>
      </c>
      <c r="B624" s="5">
        <v>23</v>
      </c>
      <c r="C624" s="5" t="str" cm="1">
        <f t="array" ref="C624">_xlfn.IFS(worksheet[[#This Row],[age]]&lt;25,"1. Young Adulthood (18-24)",worksheet[[#This Row],[age]]&lt; 35,"2. Early Adulthood (25-34)",worksheet[[#This Row],[age]]&lt; 45,"3. Mid Adulthood (35-44)",worksheet[[#This Row],[age]]&lt; 55,"4. Mature Adulthood (45-54)",TRUE,"5. Late Adulthood/Senior (55+)")</f>
        <v>1. Young Adulthood (18-24)</v>
      </c>
      <c r="D624" t="s">
        <v>27</v>
      </c>
      <c r="E624" t="s">
        <v>16</v>
      </c>
      <c r="F624" s="4">
        <v>21.34</v>
      </c>
      <c r="G624" s="5">
        <v>19</v>
      </c>
      <c r="H624" t="s">
        <v>49</v>
      </c>
      <c r="I624" t="s">
        <v>18</v>
      </c>
      <c r="J624" s="6">
        <v>8.99</v>
      </c>
      <c r="K624">
        <v>0</v>
      </c>
      <c r="L624" t="s">
        <v>19</v>
      </c>
      <c r="M624" s="5">
        <v>2</v>
      </c>
      <c r="N624" s="4">
        <v>1.07</v>
      </c>
      <c r="O624" t="s">
        <v>39</v>
      </c>
    </row>
    <row r="625" spans="1:15" x14ac:dyDescent="0.3">
      <c r="A625" t="s">
        <v>1940</v>
      </c>
      <c r="B625" s="5">
        <v>29</v>
      </c>
      <c r="C625" s="5" t="str" cm="1">
        <f t="array" ref="C625">_xlfn.IFS(worksheet[[#This Row],[age]]&lt;25,"1. Young Adulthood (18-24)",worksheet[[#This Row],[age]]&lt; 35,"2. Early Adulthood (25-34)",worksheet[[#This Row],[age]]&lt; 45,"3. Mid Adulthood (35-44)",worksheet[[#This Row],[age]]&lt; 55,"4. Mature Adulthood (45-54)",TRUE,"5. Late Adulthood/Senior (55+)")</f>
        <v>2. Early Adulthood (25-34)</v>
      </c>
      <c r="D625" t="s">
        <v>15</v>
      </c>
      <c r="E625" t="s">
        <v>32</v>
      </c>
      <c r="F625" s="4">
        <v>14.26</v>
      </c>
      <c r="G625" s="5">
        <v>23</v>
      </c>
      <c r="H625" t="s">
        <v>49</v>
      </c>
      <c r="I625" t="s">
        <v>46</v>
      </c>
      <c r="J625" s="6">
        <v>17.989999999999998</v>
      </c>
      <c r="K625">
        <v>0</v>
      </c>
      <c r="L625" t="s">
        <v>43</v>
      </c>
      <c r="M625" s="5">
        <v>5</v>
      </c>
      <c r="N625" s="4">
        <v>0.59</v>
      </c>
      <c r="O625" t="s">
        <v>34</v>
      </c>
    </row>
    <row r="626" spans="1:15" x14ac:dyDescent="0.3">
      <c r="A626" t="s">
        <v>1941</v>
      </c>
      <c r="B626" s="5">
        <v>25</v>
      </c>
      <c r="C626" s="5" t="str" cm="1">
        <f t="array" ref="C626">_xlfn.IFS(worksheet[[#This Row],[age]]&lt;25,"1. Young Adulthood (18-24)",worksheet[[#This Row],[age]]&lt; 35,"2. Early Adulthood (25-34)",worksheet[[#This Row],[age]]&lt; 45,"3. Mid Adulthood (35-44)",worksheet[[#This Row],[age]]&lt; 55,"4. Mature Adulthood (45-54)",TRUE,"5. Late Adulthood/Senior (55+)")</f>
        <v>2. Early Adulthood (25-34)</v>
      </c>
      <c r="D626" t="s">
        <v>41</v>
      </c>
      <c r="E626" t="s">
        <v>32</v>
      </c>
      <c r="F626" s="4">
        <v>9.9499999999999993</v>
      </c>
      <c r="G626" s="5">
        <v>43</v>
      </c>
      <c r="H626" t="s">
        <v>49</v>
      </c>
      <c r="I626" t="s">
        <v>57</v>
      </c>
      <c r="J626" s="6">
        <v>17.989999999999998</v>
      </c>
      <c r="K626">
        <v>0</v>
      </c>
      <c r="L626" t="s">
        <v>37</v>
      </c>
      <c r="M626" s="5">
        <v>4</v>
      </c>
      <c r="N626" s="4">
        <v>0.23</v>
      </c>
      <c r="O626" t="s">
        <v>25</v>
      </c>
    </row>
    <row r="627" spans="1:15" x14ac:dyDescent="0.3">
      <c r="A627" t="s">
        <v>1945</v>
      </c>
      <c r="B627" s="5">
        <v>31</v>
      </c>
      <c r="C627" s="5" t="str" cm="1">
        <f t="array" ref="C627">_xlfn.IFS(worksheet[[#This Row],[age]]&lt;25,"1. Young Adulthood (18-24)",worksheet[[#This Row],[age]]&lt; 35,"2. Early Adulthood (25-34)",worksheet[[#This Row],[age]]&lt; 45,"3. Mid Adulthood (35-44)",worksheet[[#This Row],[age]]&lt; 55,"4. Mature Adulthood (45-54)",TRUE,"5. Late Adulthood/Senior (55+)")</f>
        <v>2. Early Adulthood (25-34)</v>
      </c>
      <c r="D627" t="s">
        <v>27</v>
      </c>
      <c r="E627" t="s">
        <v>32</v>
      </c>
      <c r="F627" s="4">
        <v>19.72</v>
      </c>
      <c r="G627" s="5">
        <v>40</v>
      </c>
      <c r="H627" t="s">
        <v>49</v>
      </c>
      <c r="I627" t="s">
        <v>18</v>
      </c>
      <c r="J627" s="6">
        <v>17.989999999999998</v>
      </c>
      <c r="K627">
        <v>1</v>
      </c>
      <c r="L627" t="s">
        <v>19</v>
      </c>
      <c r="M627" s="5">
        <v>3</v>
      </c>
      <c r="N627" s="4">
        <v>0.48</v>
      </c>
      <c r="O627" t="s">
        <v>34</v>
      </c>
    </row>
    <row r="628" spans="1:15" x14ac:dyDescent="0.3">
      <c r="A628" t="s">
        <v>1947</v>
      </c>
      <c r="B628" s="5">
        <v>26</v>
      </c>
      <c r="C628" s="5" t="str" cm="1">
        <f t="array" ref="C628">_xlfn.IFS(worksheet[[#This Row],[age]]&lt;25,"1. Young Adulthood (18-24)",worksheet[[#This Row],[age]]&lt; 35,"2. Early Adulthood (25-34)",worksheet[[#This Row],[age]]&lt; 45,"3. Mid Adulthood (35-44)",worksheet[[#This Row],[age]]&lt; 55,"4. Mature Adulthood (45-54)",TRUE,"5. Late Adulthood/Senior (55+)")</f>
        <v>2. Early Adulthood (25-34)</v>
      </c>
      <c r="D628" t="s">
        <v>41</v>
      </c>
      <c r="E628" t="s">
        <v>22</v>
      </c>
      <c r="F628" s="4">
        <v>11.26</v>
      </c>
      <c r="G628" s="5">
        <v>50</v>
      </c>
      <c r="H628" t="s">
        <v>33</v>
      </c>
      <c r="I628" t="s">
        <v>57</v>
      </c>
      <c r="J628" s="6">
        <v>13.99</v>
      </c>
      <c r="K628">
        <v>1</v>
      </c>
      <c r="L628" t="s">
        <v>61</v>
      </c>
      <c r="M628" s="5">
        <v>2</v>
      </c>
      <c r="N628" s="4">
        <v>0.22</v>
      </c>
      <c r="O628" t="s">
        <v>52</v>
      </c>
    </row>
    <row r="629" spans="1:15" x14ac:dyDescent="0.3">
      <c r="A629" t="s">
        <v>1949</v>
      </c>
      <c r="B629" s="5">
        <v>34</v>
      </c>
      <c r="C629" s="5" t="str" cm="1">
        <f t="array" ref="C629">_xlfn.IFS(worksheet[[#This Row],[age]]&lt;25,"1. Young Adulthood (18-24)",worksheet[[#This Row],[age]]&lt; 35,"2. Early Adulthood (25-34)",worksheet[[#This Row],[age]]&lt; 45,"3. Mid Adulthood (35-44)",worksheet[[#This Row],[age]]&lt; 55,"4. Mature Adulthood (45-54)",TRUE,"5. Late Adulthood/Senior (55+)")</f>
        <v>2. Early Adulthood (25-34)</v>
      </c>
      <c r="D629" t="s">
        <v>15</v>
      </c>
      <c r="E629" t="s">
        <v>22</v>
      </c>
      <c r="F629" s="4">
        <v>1.55</v>
      </c>
      <c r="G629" s="5">
        <v>15</v>
      </c>
      <c r="H629" t="s">
        <v>28</v>
      </c>
      <c r="I629" t="s">
        <v>55</v>
      </c>
      <c r="J629" s="6">
        <v>13.99</v>
      </c>
      <c r="K629">
        <v>1</v>
      </c>
      <c r="L629" t="s">
        <v>37</v>
      </c>
      <c r="M629" s="5">
        <v>3</v>
      </c>
      <c r="N629" s="4">
        <v>0.1</v>
      </c>
      <c r="O629" t="s">
        <v>25</v>
      </c>
    </row>
    <row r="630" spans="1:15" x14ac:dyDescent="0.3">
      <c r="A630" t="s">
        <v>1952</v>
      </c>
      <c r="B630" s="5">
        <v>29</v>
      </c>
      <c r="C630" s="5" t="str" cm="1">
        <f t="array" ref="C630">_xlfn.IFS(worksheet[[#This Row],[age]]&lt;25,"1. Young Adulthood (18-24)",worksheet[[#This Row],[age]]&lt; 35,"2. Early Adulthood (25-34)",worksheet[[#This Row],[age]]&lt; 45,"3. Mid Adulthood (35-44)",worksheet[[#This Row],[age]]&lt; 55,"4. Mature Adulthood (45-54)",TRUE,"5. Late Adulthood/Senior (55+)")</f>
        <v>2. Early Adulthood (25-34)</v>
      </c>
      <c r="D630" t="s">
        <v>41</v>
      </c>
      <c r="E630" t="s">
        <v>16</v>
      </c>
      <c r="F630" s="4">
        <v>13</v>
      </c>
      <c r="G630" s="5">
        <v>46</v>
      </c>
      <c r="H630" t="s">
        <v>33</v>
      </c>
      <c r="I630" t="s">
        <v>57</v>
      </c>
      <c r="J630" s="6">
        <v>8.99</v>
      </c>
      <c r="K630">
        <v>1</v>
      </c>
      <c r="L630" t="s">
        <v>61</v>
      </c>
      <c r="M630" s="5">
        <v>4</v>
      </c>
      <c r="N630" s="4">
        <v>0.28000000000000003</v>
      </c>
      <c r="O630" t="s">
        <v>30</v>
      </c>
    </row>
    <row r="631" spans="1:15" x14ac:dyDescent="0.3">
      <c r="A631" t="s">
        <v>1953</v>
      </c>
      <c r="B631" s="5">
        <v>30</v>
      </c>
      <c r="C631" s="5" t="str" cm="1">
        <f t="array" ref="C631">_xlfn.IFS(worksheet[[#This Row],[age]]&lt;25,"1. Young Adulthood (18-24)",worksheet[[#This Row],[age]]&lt; 35,"2. Early Adulthood (25-34)",worksheet[[#This Row],[age]]&lt; 45,"3. Mid Adulthood (35-44)",worksheet[[#This Row],[age]]&lt; 55,"4. Mature Adulthood (45-54)",TRUE,"5. Late Adulthood/Senior (55+)")</f>
        <v>2. Early Adulthood (25-34)</v>
      </c>
      <c r="D631" t="s">
        <v>41</v>
      </c>
      <c r="E631" t="s">
        <v>22</v>
      </c>
      <c r="F631" s="4">
        <v>0.74</v>
      </c>
      <c r="G631" s="5">
        <v>0</v>
      </c>
      <c r="H631" t="s">
        <v>49</v>
      </c>
      <c r="I631" t="s">
        <v>46</v>
      </c>
      <c r="J631" s="6">
        <v>13.99</v>
      </c>
      <c r="K631">
        <v>0</v>
      </c>
      <c r="L631" t="s">
        <v>61</v>
      </c>
      <c r="M631" s="5">
        <v>4</v>
      </c>
      <c r="N631" s="4">
        <v>0.74</v>
      </c>
      <c r="O631" t="s">
        <v>20</v>
      </c>
    </row>
    <row r="632" spans="1:15" x14ac:dyDescent="0.3">
      <c r="A632" t="s">
        <v>1955</v>
      </c>
      <c r="B632" s="5">
        <v>23</v>
      </c>
      <c r="C632" s="5" t="str" cm="1">
        <f t="array" ref="C632">_xlfn.IFS(worksheet[[#This Row],[age]]&lt;25,"1. Young Adulthood (18-24)",worksheet[[#This Row],[age]]&lt; 35,"2. Early Adulthood (25-34)",worksheet[[#This Row],[age]]&lt; 45,"3. Mid Adulthood (35-44)",worksheet[[#This Row],[age]]&lt; 55,"4. Mature Adulthood (45-54)",TRUE,"5. Late Adulthood/Senior (55+)")</f>
        <v>1. Young Adulthood (18-24)</v>
      </c>
      <c r="D632" t="s">
        <v>15</v>
      </c>
      <c r="E632" t="s">
        <v>32</v>
      </c>
      <c r="F632" s="4">
        <v>4.46</v>
      </c>
      <c r="G632" s="5">
        <v>50</v>
      </c>
      <c r="H632" t="s">
        <v>70</v>
      </c>
      <c r="I632" t="s">
        <v>55</v>
      </c>
      <c r="J632" s="6">
        <v>17.989999999999998</v>
      </c>
      <c r="K632">
        <v>1</v>
      </c>
      <c r="L632" t="s">
        <v>29</v>
      </c>
      <c r="M632" s="5">
        <v>3</v>
      </c>
      <c r="N632" s="4">
        <v>0.09</v>
      </c>
      <c r="O632" t="s">
        <v>34</v>
      </c>
    </row>
    <row r="633" spans="1:15" x14ac:dyDescent="0.3">
      <c r="A633" t="s">
        <v>1956</v>
      </c>
      <c r="B633" s="5">
        <v>34</v>
      </c>
      <c r="C633" s="5" t="str" cm="1">
        <f t="array" ref="C633">_xlfn.IFS(worksheet[[#This Row],[age]]&lt;25,"1. Young Adulthood (18-24)",worksheet[[#This Row],[age]]&lt; 35,"2. Early Adulthood (25-34)",worksheet[[#This Row],[age]]&lt; 45,"3. Mid Adulthood (35-44)",worksheet[[#This Row],[age]]&lt; 55,"4. Mature Adulthood (45-54)",TRUE,"5. Late Adulthood/Senior (55+)")</f>
        <v>2. Early Adulthood (25-34)</v>
      </c>
      <c r="D633" t="s">
        <v>41</v>
      </c>
      <c r="E633" t="s">
        <v>22</v>
      </c>
      <c r="F633" s="4">
        <v>4.26</v>
      </c>
      <c r="G633" s="5">
        <v>22</v>
      </c>
      <c r="H633" t="s">
        <v>49</v>
      </c>
      <c r="I633" t="s">
        <v>46</v>
      </c>
      <c r="J633" s="6">
        <v>13.99</v>
      </c>
      <c r="K633">
        <v>1</v>
      </c>
      <c r="L633" t="s">
        <v>61</v>
      </c>
      <c r="M633" s="5">
        <v>3</v>
      </c>
      <c r="N633" s="4">
        <v>0.19</v>
      </c>
      <c r="O633" t="s">
        <v>25</v>
      </c>
    </row>
    <row r="634" spans="1:15" x14ac:dyDescent="0.3">
      <c r="A634" t="s">
        <v>1960</v>
      </c>
      <c r="B634" s="5">
        <v>26</v>
      </c>
      <c r="C634" s="5" t="str" cm="1">
        <f t="array" ref="C634">_xlfn.IFS(worksheet[[#This Row],[age]]&lt;25,"1. Young Adulthood (18-24)",worksheet[[#This Row],[age]]&lt; 35,"2. Early Adulthood (25-34)",worksheet[[#This Row],[age]]&lt; 45,"3. Mid Adulthood (35-44)",worksheet[[#This Row],[age]]&lt; 55,"4. Mature Adulthood (45-54)",TRUE,"5. Late Adulthood/Senior (55+)")</f>
        <v>2. Early Adulthood (25-34)</v>
      </c>
      <c r="D634" t="s">
        <v>41</v>
      </c>
      <c r="E634" t="s">
        <v>32</v>
      </c>
      <c r="F634" s="4">
        <v>3.67</v>
      </c>
      <c r="G634" s="5">
        <v>2</v>
      </c>
      <c r="H634" t="s">
        <v>70</v>
      </c>
      <c r="I634" t="s">
        <v>55</v>
      </c>
      <c r="J634" s="6">
        <v>17.989999999999998</v>
      </c>
      <c r="K634">
        <v>0</v>
      </c>
      <c r="L634" t="s">
        <v>19</v>
      </c>
      <c r="M634" s="5">
        <v>1</v>
      </c>
      <c r="N634" s="4">
        <v>1.22</v>
      </c>
      <c r="O634" t="s">
        <v>52</v>
      </c>
    </row>
    <row r="635" spans="1:15" x14ac:dyDescent="0.3">
      <c r="A635" t="s">
        <v>1962</v>
      </c>
      <c r="B635" s="5">
        <v>28</v>
      </c>
      <c r="C635" s="5" t="str" cm="1">
        <f t="array" ref="C635">_xlfn.IFS(worksheet[[#This Row],[age]]&lt;25,"1. Young Adulthood (18-24)",worksheet[[#This Row],[age]]&lt; 35,"2. Early Adulthood (25-34)",worksheet[[#This Row],[age]]&lt; 45,"3. Mid Adulthood (35-44)",worksheet[[#This Row],[age]]&lt; 55,"4. Mature Adulthood (45-54)",TRUE,"5. Late Adulthood/Senior (55+)")</f>
        <v>2. Early Adulthood (25-34)</v>
      </c>
      <c r="D635" t="s">
        <v>41</v>
      </c>
      <c r="E635" t="s">
        <v>22</v>
      </c>
      <c r="F635" s="4">
        <v>1.17</v>
      </c>
      <c r="G635" s="5">
        <v>34</v>
      </c>
      <c r="H635" t="s">
        <v>28</v>
      </c>
      <c r="I635" t="s">
        <v>46</v>
      </c>
      <c r="J635" s="6">
        <v>13.99</v>
      </c>
      <c r="K635">
        <v>1</v>
      </c>
      <c r="L635" t="s">
        <v>43</v>
      </c>
      <c r="M635" s="5">
        <v>4</v>
      </c>
      <c r="N635" s="4">
        <v>0.03</v>
      </c>
      <c r="O635" t="s">
        <v>47</v>
      </c>
    </row>
    <row r="636" spans="1:15" x14ac:dyDescent="0.3">
      <c r="A636" t="s">
        <v>1965</v>
      </c>
      <c r="B636" s="5">
        <v>26</v>
      </c>
      <c r="C636" s="5" t="str" cm="1">
        <f t="array" ref="C636">_xlfn.IFS(worksheet[[#This Row],[age]]&lt;25,"1. Young Adulthood (18-24)",worksheet[[#This Row],[age]]&lt; 35,"2. Early Adulthood (25-34)",worksheet[[#This Row],[age]]&lt; 45,"3. Mid Adulthood (35-44)",worksheet[[#This Row],[age]]&lt; 55,"4. Mature Adulthood (45-54)",TRUE,"5. Late Adulthood/Senior (55+)")</f>
        <v>2. Early Adulthood (25-34)</v>
      </c>
      <c r="D636" t="s">
        <v>41</v>
      </c>
      <c r="E636" t="s">
        <v>32</v>
      </c>
      <c r="F636" s="4">
        <v>11.88</v>
      </c>
      <c r="G636" s="5">
        <v>25</v>
      </c>
      <c r="H636" t="s">
        <v>23</v>
      </c>
      <c r="I636" t="s">
        <v>46</v>
      </c>
      <c r="J636" s="6">
        <v>17.989999999999998</v>
      </c>
      <c r="K636">
        <v>0</v>
      </c>
      <c r="L636" t="s">
        <v>19</v>
      </c>
      <c r="M636" s="5">
        <v>3</v>
      </c>
      <c r="N636" s="4">
        <v>0.46</v>
      </c>
      <c r="O636" t="s">
        <v>30</v>
      </c>
    </row>
    <row r="637" spans="1:15" x14ac:dyDescent="0.3">
      <c r="A637" t="s">
        <v>1968</v>
      </c>
      <c r="B637" s="5">
        <v>29</v>
      </c>
      <c r="C637" s="5" t="str" cm="1">
        <f t="array" ref="C637">_xlfn.IFS(worksheet[[#This Row],[age]]&lt;25,"1. Young Adulthood (18-24)",worksheet[[#This Row],[age]]&lt; 35,"2. Early Adulthood (25-34)",worksheet[[#This Row],[age]]&lt; 45,"3. Mid Adulthood (35-44)",worksheet[[#This Row],[age]]&lt; 55,"4. Mature Adulthood (45-54)",TRUE,"5. Late Adulthood/Senior (55+)")</f>
        <v>2. Early Adulthood (25-34)</v>
      </c>
      <c r="D637" t="s">
        <v>41</v>
      </c>
      <c r="E637" t="s">
        <v>32</v>
      </c>
      <c r="F637" s="4">
        <v>7.54</v>
      </c>
      <c r="G637" s="5">
        <v>10</v>
      </c>
      <c r="H637" t="s">
        <v>23</v>
      </c>
      <c r="I637" t="s">
        <v>24</v>
      </c>
      <c r="J637" s="6">
        <v>17.989999999999998</v>
      </c>
      <c r="K637">
        <v>0</v>
      </c>
      <c r="L637" t="s">
        <v>37</v>
      </c>
      <c r="M637" s="5">
        <v>3</v>
      </c>
      <c r="N637" s="4">
        <v>0.69</v>
      </c>
      <c r="O637" t="s">
        <v>20</v>
      </c>
    </row>
    <row r="638" spans="1:15" x14ac:dyDescent="0.3">
      <c r="A638" t="s">
        <v>1981</v>
      </c>
      <c r="B638" s="5">
        <v>33</v>
      </c>
      <c r="C638" s="5" t="str" cm="1">
        <f t="array" ref="C638">_xlfn.IFS(worksheet[[#This Row],[age]]&lt;25,"1. Young Adulthood (18-24)",worksheet[[#This Row],[age]]&lt; 35,"2. Early Adulthood (25-34)",worksheet[[#This Row],[age]]&lt; 45,"3. Mid Adulthood (35-44)",worksheet[[#This Row],[age]]&lt; 55,"4. Mature Adulthood (45-54)",TRUE,"5. Late Adulthood/Senior (55+)")</f>
        <v>2. Early Adulthood (25-34)</v>
      </c>
      <c r="D638" t="s">
        <v>15</v>
      </c>
      <c r="E638" t="s">
        <v>16</v>
      </c>
      <c r="F638" s="4">
        <v>33.229999999999997</v>
      </c>
      <c r="G638" s="5">
        <v>58</v>
      </c>
      <c r="H638" t="s">
        <v>33</v>
      </c>
      <c r="I638" t="s">
        <v>18</v>
      </c>
      <c r="J638" s="6">
        <v>8.99</v>
      </c>
      <c r="K638">
        <v>0</v>
      </c>
      <c r="L638" t="s">
        <v>37</v>
      </c>
      <c r="M638" s="5">
        <v>5</v>
      </c>
      <c r="N638" s="4">
        <v>0.56000000000000005</v>
      </c>
      <c r="O638" t="s">
        <v>39</v>
      </c>
    </row>
    <row r="639" spans="1:15" x14ac:dyDescent="0.3">
      <c r="A639" t="s">
        <v>1982</v>
      </c>
      <c r="B639" s="5">
        <v>34</v>
      </c>
      <c r="C639" s="5" t="str" cm="1">
        <f t="array" ref="C639">_xlfn.IFS(worksheet[[#This Row],[age]]&lt;25,"1. Young Adulthood (18-24)",worksheet[[#This Row],[age]]&lt; 35,"2. Early Adulthood (25-34)",worksheet[[#This Row],[age]]&lt; 45,"3. Mid Adulthood (35-44)",worksheet[[#This Row],[age]]&lt; 55,"4. Mature Adulthood (45-54)",TRUE,"5. Late Adulthood/Senior (55+)")</f>
        <v>2. Early Adulthood (25-34)</v>
      </c>
      <c r="D639" t="s">
        <v>27</v>
      </c>
      <c r="E639" t="s">
        <v>32</v>
      </c>
      <c r="F639" s="4">
        <v>4.59</v>
      </c>
      <c r="G639" s="5">
        <v>31</v>
      </c>
      <c r="H639" t="s">
        <v>33</v>
      </c>
      <c r="I639" t="s">
        <v>55</v>
      </c>
      <c r="J639" s="6">
        <v>17.989999999999998</v>
      </c>
      <c r="K639">
        <v>1</v>
      </c>
      <c r="L639" t="s">
        <v>19</v>
      </c>
      <c r="M639" s="5">
        <v>2</v>
      </c>
      <c r="N639" s="4">
        <v>0.14000000000000001</v>
      </c>
      <c r="O639" t="s">
        <v>25</v>
      </c>
    </row>
    <row r="640" spans="1:15" x14ac:dyDescent="0.3">
      <c r="A640" t="s">
        <v>1984</v>
      </c>
      <c r="B640" s="5">
        <v>25</v>
      </c>
      <c r="C640" s="5" t="str" cm="1">
        <f t="array" ref="C640">_xlfn.IFS(worksheet[[#This Row],[age]]&lt;25,"1. Young Adulthood (18-24)",worksheet[[#This Row],[age]]&lt; 35,"2. Early Adulthood (25-34)",worksheet[[#This Row],[age]]&lt; 45,"3. Mid Adulthood (35-44)",worksheet[[#This Row],[age]]&lt; 55,"4. Mature Adulthood (45-54)",TRUE,"5. Late Adulthood/Senior (55+)")</f>
        <v>2. Early Adulthood (25-34)</v>
      </c>
      <c r="D640" t="s">
        <v>41</v>
      </c>
      <c r="E640" t="s">
        <v>22</v>
      </c>
      <c r="F640" s="4">
        <v>2.96</v>
      </c>
      <c r="G640" s="5">
        <v>25</v>
      </c>
      <c r="H640" t="s">
        <v>17</v>
      </c>
      <c r="I640" t="s">
        <v>46</v>
      </c>
      <c r="J640" s="6">
        <v>13.99</v>
      </c>
      <c r="K640">
        <v>1</v>
      </c>
      <c r="L640" t="s">
        <v>61</v>
      </c>
      <c r="M640" s="5">
        <v>1</v>
      </c>
      <c r="N640" s="4">
        <v>0.11</v>
      </c>
      <c r="O640" t="s">
        <v>47</v>
      </c>
    </row>
    <row r="641" spans="1:15" x14ac:dyDescent="0.3">
      <c r="A641" t="s">
        <v>1990</v>
      </c>
      <c r="B641" s="5">
        <v>28</v>
      </c>
      <c r="C641" s="5" t="str" cm="1">
        <f t="array" ref="C641">_xlfn.IFS(worksheet[[#This Row],[age]]&lt;25,"1. Young Adulthood (18-24)",worksheet[[#This Row],[age]]&lt; 35,"2. Early Adulthood (25-34)",worksheet[[#This Row],[age]]&lt; 45,"3. Mid Adulthood (35-44)",worksheet[[#This Row],[age]]&lt; 55,"4. Mature Adulthood (45-54)",TRUE,"5. Late Adulthood/Senior (55+)")</f>
        <v>2. Early Adulthood (25-34)</v>
      </c>
      <c r="D641" t="s">
        <v>41</v>
      </c>
      <c r="E641" t="s">
        <v>16</v>
      </c>
      <c r="F641" s="4">
        <v>3.72</v>
      </c>
      <c r="G641" s="5">
        <v>56</v>
      </c>
      <c r="H641" t="s">
        <v>28</v>
      </c>
      <c r="I641" t="s">
        <v>46</v>
      </c>
      <c r="J641" s="6">
        <v>8.99</v>
      </c>
      <c r="K641">
        <v>1</v>
      </c>
      <c r="L641" t="s">
        <v>37</v>
      </c>
      <c r="M641" s="5">
        <v>3</v>
      </c>
      <c r="N641" s="4">
        <v>7.0000000000000007E-2</v>
      </c>
      <c r="O641" t="s">
        <v>34</v>
      </c>
    </row>
    <row r="642" spans="1:15" x14ac:dyDescent="0.3">
      <c r="A642" t="s">
        <v>1995</v>
      </c>
      <c r="B642" s="5">
        <v>34</v>
      </c>
      <c r="C642" s="5" t="str" cm="1">
        <f t="array" ref="C642">_xlfn.IFS(worksheet[[#This Row],[age]]&lt;25,"1. Young Adulthood (18-24)",worksheet[[#This Row],[age]]&lt; 35,"2. Early Adulthood (25-34)",worksheet[[#This Row],[age]]&lt; 45,"3. Mid Adulthood (35-44)",worksheet[[#This Row],[age]]&lt; 55,"4. Mature Adulthood (45-54)",TRUE,"5. Late Adulthood/Senior (55+)")</f>
        <v>2. Early Adulthood (25-34)</v>
      </c>
      <c r="D642" t="s">
        <v>15</v>
      </c>
      <c r="E642" t="s">
        <v>16</v>
      </c>
      <c r="F642" s="4">
        <v>5.95</v>
      </c>
      <c r="G642" s="5">
        <v>37</v>
      </c>
      <c r="H642" t="s">
        <v>49</v>
      </c>
      <c r="I642" t="s">
        <v>57</v>
      </c>
      <c r="J642" s="6">
        <v>8.99</v>
      </c>
      <c r="K642">
        <v>1</v>
      </c>
      <c r="L642" t="s">
        <v>29</v>
      </c>
      <c r="M642" s="5">
        <v>2</v>
      </c>
      <c r="N642" s="4">
        <v>0.16</v>
      </c>
      <c r="O642" t="s">
        <v>47</v>
      </c>
    </row>
    <row r="643" spans="1:15" x14ac:dyDescent="0.3">
      <c r="A643" t="s">
        <v>2004</v>
      </c>
      <c r="B643" s="5">
        <v>23</v>
      </c>
      <c r="C643" s="5" t="str" cm="1">
        <f t="array" ref="C643">_xlfn.IFS(worksheet[[#This Row],[age]]&lt;25,"1. Young Adulthood (18-24)",worksheet[[#This Row],[age]]&lt; 35,"2. Early Adulthood (25-34)",worksheet[[#This Row],[age]]&lt; 45,"3. Mid Adulthood (35-44)",worksheet[[#This Row],[age]]&lt; 55,"4. Mature Adulthood (45-54)",TRUE,"5. Late Adulthood/Senior (55+)")</f>
        <v>1. Young Adulthood (18-24)</v>
      </c>
      <c r="D643" t="s">
        <v>41</v>
      </c>
      <c r="E643" t="s">
        <v>32</v>
      </c>
      <c r="F643" s="4">
        <v>22.77</v>
      </c>
      <c r="G643" s="5">
        <v>10</v>
      </c>
      <c r="H643" t="s">
        <v>49</v>
      </c>
      <c r="I643" t="s">
        <v>18</v>
      </c>
      <c r="J643" s="6">
        <v>17.989999999999998</v>
      </c>
      <c r="K643">
        <v>0</v>
      </c>
      <c r="L643" t="s">
        <v>61</v>
      </c>
      <c r="M643" s="5">
        <v>1</v>
      </c>
      <c r="N643" s="4">
        <v>2.0699999999999998</v>
      </c>
      <c r="O643" t="s">
        <v>25</v>
      </c>
    </row>
    <row r="644" spans="1:15" x14ac:dyDescent="0.3">
      <c r="A644" t="s">
        <v>2006</v>
      </c>
      <c r="B644" s="5">
        <v>30</v>
      </c>
      <c r="C644" s="5" t="str" cm="1">
        <f t="array" ref="C644">_xlfn.IFS(worksheet[[#This Row],[age]]&lt;25,"1. Young Adulthood (18-24)",worksheet[[#This Row],[age]]&lt; 35,"2. Early Adulthood (25-34)",worksheet[[#This Row],[age]]&lt; 45,"3. Mid Adulthood (35-44)",worksheet[[#This Row],[age]]&lt; 55,"4. Mature Adulthood (45-54)",TRUE,"5. Late Adulthood/Senior (55+)")</f>
        <v>2. Early Adulthood (25-34)</v>
      </c>
      <c r="D644" t="s">
        <v>41</v>
      </c>
      <c r="E644" t="s">
        <v>16</v>
      </c>
      <c r="F644" s="4">
        <v>1.5</v>
      </c>
      <c r="G644" s="5">
        <v>41</v>
      </c>
      <c r="H644" t="s">
        <v>23</v>
      </c>
      <c r="I644" t="s">
        <v>57</v>
      </c>
      <c r="J644" s="6">
        <v>8.99</v>
      </c>
      <c r="K644">
        <v>1</v>
      </c>
      <c r="L644" t="s">
        <v>29</v>
      </c>
      <c r="M644" s="5">
        <v>1</v>
      </c>
      <c r="N644" s="4">
        <v>0.04</v>
      </c>
      <c r="O644" t="s">
        <v>39</v>
      </c>
    </row>
    <row r="645" spans="1:15" x14ac:dyDescent="0.3">
      <c r="A645" t="s">
        <v>2013</v>
      </c>
      <c r="B645" s="5">
        <v>20</v>
      </c>
      <c r="C645" s="5" t="str" cm="1">
        <f t="array" ref="C645">_xlfn.IFS(worksheet[[#This Row],[age]]&lt;25,"1. Young Adulthood (18-24)",worksheet[[#This Row],[age]]&lt; 35,"2. Early Adulthood (25-34)",worksheet[[#This Row],[age]]&lt; 45,"3. Mid Adulthood (35-44)",worksheet[[#This Row],[age]]&lt; 55,"4. Mature Adulthood (45-54)",TRUE,"5. Late Adulthood/Senior (55+)")</f>
        <v>1. Young Adulthood (18-24)</v>
      </c>
      <c r="D645" t="s">
        <v>41</v>
      </c>
      <c r="E645" t="s">
        <v>16</v>
      </c>
      <c r="F645" s="4">
        <v>3.02</v>
      </c>
      <c r="G645" s="5">
        <v>2</v>
      </c>
      <c r="H645" t="s">
        <v>17</v>
      </c>
      <c r="I645" t="s">
        <v>57</v>
      </c>
      <c r="J645" s="6">
        <v>8.99</v>
      </c>
      <c r="K645">
        <v>0</v>
      </c>
      <c r="L645" t="s">
        <v>37</v>
      </c>
      <c r="M645" s="5">
        <v>5</v>
      </c>
      <c r="N645" s="4">
        <v>1.01</v>
      </c>
      <c r="O645" t="s">
        <v>20</v>
      </c>
    </row>
    <row r="646" spans="1:15" x14ac:dyDescent="0.3">
      <c r="A646" t="s">
        <v>2019</v>
      </c>
      <c r="B646" s="5">
        <v>19</v>
      </c>
      <c r="C646" s="5" t="str" cm="1">
        <f t="array" ref="C646">_xlfn.IFS(worksheet[[#This Row],[age]]&lt;25,"1. Young Adulthood (18-24)",worksheet[[#This Row],[age]]&lt; 35,"2. Early Adulthood (25-34)",worksheet[[#This Row],[age]]&lt; 45,"3. Mid Adulthood (35-44)",worksheet[[#This Row],[age]]&lt; 55,"4. Mature Adulthood (45-54)",TRUE,"5. Late Adulthood/Senior (55+)")</f>
        <v>1. Young Adulthood (18-24)</v>
      </c>
      <c r="D646" t="s">
        <v>27</v>
      </c>
      <c r="E646" t="s">
        <v>22</v>
      </c>
      <c r="F646" s="4">
        <v>6.61</v>
      </c>
      <c r="G646" s="5">
        <v>18</v>
      </c>
      <c r="H646" t="s">
        <v>33</v>
      </c>
      <c r="I646" t="s">
        <v>55</v>
      </c>
      <c r="J646" s="6">
        <v>13.99</v>
      </c>
      <c r="K646">
        <v>0</v>
      </c>
      <c r="L646" t="s">
        <v>29</v>
      </c>
      <c r="M646" s="5">
        <v>1</v>
      </c>
      <c r="N646" s="4">
        <v>0.35</v>
      </c>
      <c r="O646" t="s">
        <v>52</v>
      </c>
    </row>
    <row r="647" spans="1:15" x14ac:dyDescent="0.3">
      <c r="A647" t="s">
        <v>2020</v>
      </c>
      <c r="B647" s="5">
        <v>25</v>
      </c>
      <c r="C647" s="5" t="str" cm="1">
        <f t="array" ref="C647">_xlfn.IFS(worksheet[[#This Row],[age]]&lt;25,"1. Young Adulthood (18-24)",worksheet[[#This Row],[age]]&lt; 35,"2. Early Adulthood (25-34)",worksheet[[#This Row],[age]]&lt; 45,"3. Mid Adulthood (35-44)",worksheet[[#This Row],[age]]&lt; 55,"4. Mature Adulthood (45-54)",TRUE,"5. Late Adulthood/Senior (55+)")</f>
        <v>2. Early Adulthood (25-34)</v>
      </c>
      <c r="D647" t="s">
        <v>41</v>
      </c>
      <c r="E647" t="s">
        <v>32</v>
      </c>
      <c r="F647" s="4">
        <v>0.98</v>
      </c>
      <c r="G647" s="5">
        <v>30</v>
      </c>
      <c r="H647" t="s">
        <v>70</v>
      </c>
      <c r="I647" t="s">
        <v>24</v>
      </c>
      <c r="J647" s="6">
        <v>17.989999999999998</v>
      </c>
      <c r="K647">
        <v>1</v>
      </c>
      <c r="L647" t="s">
        <v>29</v>
      </c>
      <c r="M647" s="5">
        <v>1</v>
      </c>
      <c r="N647" s="4">
        <v>0.03</v>
      </c>
      <c r="O647" t="s">
        <v>34</v>
      </c>
    </row>
    <row r="648" spans="1:15" x14ac:dyDescent="0.3">
      <c r="A648" t="s">
        <v>2021</v>
      </c>
      <c r="B648" s="5">
        <v>25</v>
      </c>
      <c r="C648" s="5" t="str" cm="1">
        <f t="array" ref="C648">_xlfn.IFS(worksheet[[#This Row],[age]]&lt;25,"1. Young Adulthood (18-24)",worksheet[[#This Row],[age]]&lt; 35,"2. Early Adulthood (25-34)",worksheet[[#This Row],[age]]&lt; 45,"3. Mid Adulthood (35-44)",worksheet[[#This Row],[age]]&lt; 55,"4. Mature Adulthood (45-54)",TRUE,"5. Late Adulthood/Senior (55+)")</f>
        <v>2. Early Adulthood (25-34)</v>
      </c>
      <c r="D648" t="s">
        <v>41</v>
      </c>
      <c r="E648" t="s">
        <v>22</v>
      </c>
      <c r="F648" s="4">
        <v>0.45</v>
      </c>
      <c r="G648" s="5">
        <v>2</v>
      </c>
      <c r="H648" t="s">
        <v>33</v>
      </c>
      <c r="I648" t="s">
        <v>18</v>
      </c>
      <c r="J648" s="6">
        <v>13.99</v>
      </c>
      <c r="K648">
        <v>1</v>
      </c>
      <c r="L648" t="s">
        <v>37</v>
      </c>
      <c r="M648" s="5">
        <v>1</v>
      </c>
      <c r="N648" s="4">
        <v>0.15</v>
      </c>
      <c r="O648" t="s">
        <v>47</v>
      </c>
    </row>
    <row r="649" spans="1:15" x14ac:dyDescent="0.3">
      <c r="A649" t="s">
        <v>2023</v>
      </c>
      <c r="B649" s="5">
        <v>30</v>
      </c>
      <c r="C649" s="5" t="str" cm="1">
        <f t="array" ref="C649">_xlfn.IFS(worksheet[[#This Row],[age]]&lt;25,"1. Young Adulthood (18-24)",worksheet[[#This Row],[age]]&lt; 35,"2. Early Adulthood (25-34)",worksheet[[#This Row],[age]]&lt; 45,"3. Mid Adulthood (35-44)",worksheet[[#This Row],[age]]&lt; 55,"4. Mature Adulthood (45-54)",TRUE,"5. Late Adulthood/Senior (55+)")</f>
        <v>2. Early Adulthood (25-34)</v>
      </c>
      <c r="D649" t="s">
        <v>41</v>
      </c>
      <c r="E649" t="s">
        <v>22</v>
      </c>
      <c r="F649" s="4">
        <v>1.65</v>
      </c>
      <c r="G649" s="5">
        <v>58</v>
      </c>
      <c r="H649" t="s">
        <v>23</v>
      </c>
      <c r="I649" t="s">
        <v>24</v>
      </c>
      <c r="J649" s="6">
        <v>13.99</v>
      </c>
      <c r="K649">
        <v>1</v>
      </c>
      <c r="L649" t="s">
        <v>29</v>
      </c>
      <c r="M649" s="5">
        <v>5</v>
      </c>
      <c r="N649" s="4">
        <v>0.03</v>
      </c>
      <c r="O649" t="s">
        <v>34</v>
      </c>
    </row>
    <row r="650" spans="1:15" x14ac:dyDescent="0.3">
      <c r="A650" t="s">
        <v>2026</v>
      </c>
      <c r="B650" s="5">
        <v>23</v>
      </c>
      <c r="C650" s="5" t="str" cm="1">
        <f t="array" ref="C650">_xlfn.IFS(worksheet[[#This Row],[age]]&lt;25,"1. Young Adulthood (18-24)",worksheet[[#This Row],[age]]&lt; 35,"2. Early Adulthood (25-34)",worksheet[[#This Row],[age]]&lt; 45,"3. Mid Adulthood (35-44)",worksheet[[#This Row],[age]]&lt; 55,"4. Mature Adulthood (45-54)",TRUE,"5. Late Adulthood/Senior (55+)")</f>
        <v>1. Young Adulthood (18-24)</v>
      </c>
      <c r="D650" t="s">
        <v>27</v>
      </c>
      <c r="E650" t="s">
        <v>22</v>
      </c>
      <c r="F650" s="4">
        <v>6.25</v>
      </c>
      <c r="G650" s="5">
        <v>54</v>
      </c>
      <c r="H650" t="s">
        <v>70</v>
      </c>
      <c r="I650" t="s">
        <v>18</v>
      </c>
      <c r="J650" s="6">
        <v>13.99</v>
      </c>
      <c r="K650">
        <v>0</v>
      </c>
      <c r="L650" t="s">
        <v>43</v>
      </c>
      <c r="M650" s="5">
        <v>4</v>
      </c>
      <c r="N650" s="4">
        <v>0.11</v>
      </c>
      <c r="O650" t="s">
        <v>52</v>
      </c>
    </row>
    <row r="651" spans="1:15" x14ac:dyDescent="0.3">
      <c r="A651" t="s">
        <v>2027</v>
      </c>
      <c r="B651" s="5">
        <v>28</v>
      </c>
      <c r="C651" s="5" t="str" cm="1">
        <f t="array" ref="C651">_xlfn.IFS(worksheet[[#This Row],[age]]&lt;25,"1. Young Adulthood (18-24)",worksheet[[#This Row],[age]]&lt; 35,"2. Early Adulthood (25-34)",worksheet[[#This Row],[age]]&lt; 45,"3. Mid Adulthood (35-44)",worksheet[[#This Row],[age]]&lt; 55,"4. Mature Adulthood (45-54)",TRUE,"5. Late Adulthood/Senior (55+)")</f>
        <v>2. Early Adulthood (25-34)</v>
      </c>
      <c r="D651" t="s">
        <v>41</v>
      </c>
      <c r="E651" t="s">
        <v>16</v>
      </c>
      <c r="F651" s="4">
        <v>15.79</v>
      </c>
      <c r="G651" s="5">
        <v>12</v>
      </c>
      <c r="H651" t="s">
        <v>49</v>
      </c>
      <c r="I651" t="s">
        <v>55</v>
      </c>
      <c r="J651" s="6">
        <v>8.99</v>
      </c>
      <c r="K651">
        <v>0</v>
      </c>
      <c r="L651" t="s">
        <v>19</v>
      </c>
      <c r="M651" s="5">
        <v>2</v>
      </c>
      <c r="N651" s="4">
        <v>1.21</v>
      </c>
      <c r="O651" t="s">
        <v>20</v>
      </c>
    </row>
    <row r="652" spans="1:15" x14ac:dyDescent="0.3">
      <c r="A652" t="s">
        <v>2035</v>
      </c>
      <c r="B652" s="5">
        <v>27</v>
      </c>
      <c r="C652" s="5" t="str" cm="1">
        <f t="array" ref="C652">_xlfn.IFS(worksheet[[#This Row],[age]]&lt;25,"1. Young Adulthood (18-24)",worksheet[[#This Row],[age]]&lt; 35,"2. Early Adulthood (25-34)",worksheet[[#This Row],[age]]&lt; 45,"3. Mid Adulthood (35-44)",worksheet[[#This Row],[age]]&lt; 55,"4. Mature Adulthood (45-54)",TRUE,"5. Late Adulthood/Senior (55+)")</f>
        <v>2. Early Adulthood (25-34)</v>
      </c>
      <c r="D652" t="s">
        <v>27</v>
      </c>
      <c r="E652" t="s">
        <v>16</v>
      </c>
      <c r="F652" s="4">
        <v>0.67</v>
      </c>
      <c r="G652" s="5">
        <v>22</v>
      </c>
      <c r="H652" t="s">
        <v>17</v>
      </c>
      <c r="I652" t="s">
        <v>24</v>
      </c>
      <c r="J652" s="6">
        <v>8.99</v>
      </c>
      <c r="K652">
        <v>1</v>
      </c>
      <c r="L652" t="s">
        <v>29</v>
      </c>
      <c r="M652" s="5">
        <v>2</v>
      </c>
      <c r="N652" s="4">
        <v>0.03</v>
      </c>
      <c r="O652" t="s">
        <v>30</v>
      </c>
    </row>
    <row r="653" spans="1:15" x14ac:dyDescent="0.3">
      <c r="A653" t="s">
        <v>2036</v>
      </c>
      <c r="B653" s="5">
        <v>18</v>
      </c>
      <c r="C653" s="5" t="str" cm="1">
        <f t="array" ref="C653">_xlfn.IFS(worksheet[[#This Row],[age]]&lt;25,"1. Young Adulthood (18-24)",worksheet[[#This Row],[age]]&lt; 35,"2. Early Adulthood (25-34)",worksheet[[#This Row],[age]]&lt; 45,"3. Mid Adulthood (35-44)",worksheet[[#This Row],[age]]&lt; 55,"4. Mature Adulthood (45-54)",TRUE,"5. Late Adulthood/Senior (55+)")</f>
        <v>1. Young Adulthood (18-24)</v>
      </c>
      <c r="D653" t="s">
        <v>27</v>
      </c>
      <c r="E653" t="s">
        <v>32</v>
      </c>
      <c r="F653" s="4">
        <v>4.9400000000000004</v>
      </c>
      <c r="G653" s="5">
        <v>39</v>
      </c>
      <c r="H653" t="s">
        <v>49</v>
      </c>
      <c r="I653" t="s">
        <v>24</v>
      </c>
      <c r="J653" s="6">
        <v>17.989999999999998</v>
      </c>
      <c r="K653">
        <v>1</v>
      </c>
      <c r="L653" t="s">
        <v>29</v>
      </c>
      <c r="M653" s="5">
        <v>5</v>
      </c>
      <c r="N653" s="4">
        <v>0.12</v>
      </c>
      <c r="O653" t="s">
        <v>34</v>
      </c>
    </row>
    <row r="654" spans="1:15" x14ac:dyDescent="0.3">
      <c r="A654" t="s">
        <v>2038</v>
      </c>
      <c r="B654" s="5">
        <v>24</v>
      </c>
      <c r="C654" s="5" t="str" cm="1">
        <f t="array" ref="C654">_xlfn.IFS(worksheet[[#This Row],[age]]&lt;25,"1. Young Adulthood (18-24)",worksheet[[#This Row],[age]]&lt; 35,"2. Early Adulthood (25-34)",worksheet[[#This Row],[age]]&lt; 45,"3. Mid Adulthood (35-44)",worksheet[[#This Row],[age]]&lt; 55,"4. Mature Adulthood (45-54)",TRUE,"5. Late Adulthood/Senior (55+)")</f>
        <v>1. Young Adulthood (18-24)</v>
      </c>
      <c r="D654" t="s">
        <v>41</v>
      </c>
      <c r="E654" t="s">
        <v>22</v>
      </c>
      <c r="F654" s="4">
        <v>16.21</v>
      </c>
      <c r="G654" s="5">
        <v>6</v>
      </c>
      <c r="H654" t="s">
        <v>28</v>
      </c>
      <c r="I654" t="s">
        <v>24</v>
      </c>
      <c r="J654" s="6">
        <v>13.99</v>
      </c>
      <c r="K654">
        <v>0</v>
      </c>
      <c r="L654" t="s">
        <v>19</v>
      </c>
      <c r="M654" s="5">
        <v>1</v>
      </c>
      <c r="N654" s="4">
        <v>2.3199999999999998</v>
      </c>
      <c r="O654" t="s">
        <v>52</v>
      </c>
    </row>
    <row r="655" spans="1:15" x14ac:dyDescent="0.3">
      <c r="A655" t="s">
        <v>2040</v>
      </c>
      <c r="B655" s="5">
        <v>19</v>
      </c>
      <c r="C655" s="5" t="str" cm="1">
        <f t="array" ref="C655">_xlfn.IFS(worksheet[[#This Row],[age]]&lt;25,"1. Young Adulthood (18-24)",worksheet[[#This Row],[age]]&lt; 35,"2. Early Adulthood (25-34)",worksheet[[#This Row],[age]]&lt; 45,"3. Mid Adulthood (35-44)",worksheet[[#This Row],[age]]&lt; 55,"4. Mature Adulthood (45-54)",TRUE,"5. Late Adulthood/Senior (55+)")</f>
        <v>1. Young Adulthood (18-24)</v>
      </c>
      <c r="D655" t="s">
        <v>27</v>
      </c>
      <c r="E655" t="s">
        <v>32</v>
      </c>
      <c r="F655" s="4">
        <v>3.9</v>
      </c>
      <c r="G655" s="5">
        <v>9</v>
      </c>
      <c r="H655" t="s">
        <v>70</v>
      </c>
      <c r="I655" t="s">
        <v>46</v>
      </c>
      <c r="J655" s="6">
        <v>17.989999999999998</v>
      </c>
      <c r="K655">
        <v>0</v>
      </c>
      <c r="L655" t="s">
        <v>61</v>
      </c>
      <c r="M655" s="5">
        <v>5</v>
      </c>
      <c r="N655" s="4">
        <v>0.39</v>
      </c>
      <c r="O655" t="s">
        <v>39</v>
      </c>
    </row>
    <row r="656" spans="1:15" x14ac:dyDescent="0.3">
      <c r="A656" t="s">
        <v>2044</v>
      </c>
      <c r="B656" s="5">
        <v>18</v>
      </c>
      <c r="C656" s="5" t="str" cm="1">
        <f t="array" ref="C656">_xlfn.IFS(worksheet[[#This Row],[age]]&lt;25,"1. Young Adulthood (18-24)",worksheet[[#This Row],[age]]&lt; 35,"2. Early Adulthood (25-34)",worksheet[[#This Row],[age]]&lt; 45,"3. Mid Adulthood (35-44)",worksheet[[#This Row],[age]]&lt; 55,"4. Mature Adulthood (45-54)",TRUE,"5. Late Adulthood/Senior (55+)")</f>
        <v>1. Young Adulthood (18-24)</v>
      </c>
      <c r="D656" t="s">
        <v>41</v>
      </c>
      <c r="E656" t="s">
        <v>32</v>
      </c>
      <c r="F656" s="4">
        <v>36.340000000000003</v>
      </c>
      <c r="G656" s="5">
        <v>15</v>
      </c>
      <c r="H656" t="s">
        <v>49</v>
      </c>
      <c r="I656" t="s">
        <v>55</v>
      </c>
      <c r="J656" s="6">
        <v>17.989999999999998</v>
      </c>
      <c r="K656">
        <v>0</v>
      </c>
      <c r="L656" t="s">
        <v>37</v>
      </c>
      <c r="M656" s="5">
        <v>3</v>
      </c>
      <c r="N656" s="4">
        <v>2.27</v>
      </c>
      <c r="O656" t="s">
        <v>20</v>
      </c>
    </row>
    <row r="657" spans="1:15" x14ac:dyDescent="0.3">
      <c r="A657" t="s">
        <v>2049</v>
      </c>
      <c r="B657" s="5">
        <v>30</v>
      </c>
      <c r="C657" s="5" t="str" cm="1">
        <f t="array" ref="C657">_xlfn.IFS(worksheet[[#This Row],[age]]&lt;25,"1. Young Adulthood (18-24)",worksheet[[#This Row],[age]]&lt; 35,"2. Early Adulthood (25-34)",worksheet[[#This Row],[age]]&lt; 45,"3. Mid Adulthood (35-44)",worksheet[[#This Row],[age]]&lt; 55,"4. Mature Adulthood (45-54)",TRUE,"5. Late Adulthood/Senior (55+)")</f>
        <v>2. Early Adulthood (25-34)</v>
      </c>
      <c r="D657" t="s">
        <v>41</v>
      </c>
      <c r="E657" t="s">
        <v>22</v>
      </c>
      <c r="F657" s="4">
        <v>13.25</v>
      </c>
      <c r="G657" s="5">
        <v>47</v>
      </c>
      <c r="H657" t="s">
        <v>28</v>
      </c>
      <c r="I657" t="s">
        <v>46</v>
      </c>
      <c r="J657" s="6">
        <v>13.99</v>
      </c>
      <c r="K657">
        <v>0</v>
      </c>
      <c r="L657" t="s">
        <v>61</v>
      </c>
      <c r="M657" s="5">
        <v>4</v>
      </c>
      <c r="N657" s="4">
        <v>0.28000000000000003</v>
      </c>
      <c r="O657" t="s">
        <v>30</v>
      </c>
    </row>
    <row r="658" spans="1:15" x14ac:dyDescent="0.3">
      <c r="A658" t="s">
        <v>2051</v>
      </c>
      <c r="B658" s="5">
        <v>31</v>
      </c>
      <c r="C658" s="5" t="str" cm="1">
        <f t="array" ref="C658">_xlfn.IFS(worksheet[[#This Row],[age]]&lt;25,"1. Young Adulthood (18-24)",worksheet[[#This Row],[age]]&lt; 35,"2. Early Adulthood (25-34)",worksheet[[#This Row],[age]]&lt; 45,"3. Mid Adulthood (35-44)",worksheet[[#This Row],[age]]&lt; 55,"4. Mature Adulthood (45-54)",TRUE,"5. Late Adulthood/Senior (55+)")</f>
        <v>2. Early Adulthood (25-34)</v>
      </c>
      <c r="D658" t="s">
        <v>27</v>
      </c>
      <c r="E658" t="s">
        <v>16</v>
      </c>
      <c r="F658" s="4">
        <v>35.35</v>
      </c>
      <c r="G658" s="5">
        <v>14</v>
      </c>
      <c r="H658" t="s">
        <v>23</v>
      </c>
      <c r="I658" t="s">
        <v>24</v>
      </c>
      <c r="J658" s="6">
        <v>8.99</v>
      </c>
      <c r="K658">
        <v>0</v>
      </c>
      <c r="L658" t="s">
        <v>29</v>
      </c>
      <c r="M658" s="5">
        <v>5</v>
      </c>
      <c r="N658" s="4">
        <v>2.36</v>
      </c>
      <c r="O658" t="s">
        <v>39</v>
      </c>
    </row>
    <row r="659" spans="1:15" x14ac:dyDescent="0.3">
      <c r="A659" t="s">
        <v>2052</v>
      </c>
      <c r="B659" s="5">
        <v>26</v>
      </c>
      <c r="C659" s="5" t="str" cm="1">
        <f t="array" ref="C659">_xlfn.IFS(worksheet[[#This Row],[age]]&lt;25,"1. Young Adulthood (18-24)",worksheet[[#This Row],[age]]&lt; 35,"2. Early Adulthood (25-34)",worksheet[[#This Row],[age]]&lt; 45,"3. Mid Adulthood (35-44)",worksheet[[#This Row],[age]]&lt; 55,"4. Mature Adulthood (45-54)",TRUE,"5. Late Adulthood/Senior (55+)")</f>
        <v>2. Early Adulthood (25-34)</v>
      </c>
      <c r="D659" t="s">
        <v>15</v>
      </c>
      <c r="E659" t="s">
        <v>22</v>
      </c>
      <c r="F659" s="4">
        <v>24.89</v>
      </c>
      <c r="G659" s="5">
        <v>16</v>
      </c>
      <c r="H659" t="s">
        <v>28</v>
      </c>
      <c r="I659" t="s">
        <v>55</v>
      </c>
      <c r="J659" s="6">
        <v>13.99</v>
      </c>
      <c r="K659">
        <v>0</v>
      </c>
      <c r="L659" t="s">
        <v>43</v>
      </c>
      <c r="M659" s="5">
        <v>4</v>
      </c>
      <c r="N659" s="4">
        <v>1.46</v>
      </c>
      <c r="O659" t="s">
        <v>39</v>
      </c>
    </row>
    <row r="660" spans="1:15" x14ac:dyDescent="0.3">
      <c r="A660" t="s">
        <v>2053</v>
      </c>
      <c r="B660" s="5">
        <v>30</v>
      </c>
      <c r="C660" s="5" t="str" cm="1">
        <f t="array" ref="C660">_xlfn.IFS(worksheet[[#This Row],[age]]&lt;25,"1. Young Adulthood (18-24)",worksheet[[#This Row],[age]]&lt; 35,"2. Early Adulthood (25-34)",worksheet[[#This Row],[age]]&lt; 45,"3. Mid Adulthood (35-44)",worksheet[[#This Row],[age]]&lt; 55,"4. Mature Adulthood (45-54)",TRUE,"5. Late Adulthood/Senior (55+)")</f>
        <v>2. Early Adulthood (25-34)</v>
      </c>
      <c r="D660" t="s">
        <v>41</v>
      </c>
      <c r="E660" t="s">
        <v>22</v>
      </c>
      <c r="F660" s="4">
        <v>45.29</v>
      </c>
      <c r="G660" s="5">
        <v>29</v>
      </c>
      <c r="H660" t="s">
        <v>49</v>
      </c>
      <c r="I660" t="s">
        <v>57</v>
      </c>
      <c r="J660" s="6">
        <v>13.99</v>
      </c>
      <c r="K660">
        <v>0</v>
      </c>
      <c r="L660" t="s">
        <v>61</v>
      </c>
      <c r="M660" s="5">
        <v>5</v>
      </c>
      <c r="N660" s="4">
        <v>1.51</v>
      </c>
      <c r="O660" t="s">
        <v>52</v>
      </c>
    </row>
    <row r="661" spans="1:15" x14ac:dyDescent="0.3">
      <c r="A661" t="s">
        <v>2058</v>
      </c>
      <c r="B661" s="5">
        <v>31</v>
      </c>
      <c r="C661" s="5" t="str" cm="1">
        <f t="array" ref="C661">_xlfn.IFS(worksheet[[#This Row],[age]]&lt;25,"1. Young Adulthood (18-24)",worksheet[[#This Row],[age]]&lt; 35,"2. Early Adulthood (25-34)",worksheet[[#This Row],[age]]&lt; 45,"3. Mid Adulthood (35-44)",worksheet[[#This Row],[age]]&lt; 55,"4. Mature Adulthood (45-54)",TRUE,"5. Late Adulthood/Senior (55+)")</f>
        <v>2. Early Adulthood (25-34)</v>
      </c>
      <c r="D661" t="s">
        <v>27</v>
      </c>
      <c r="E661" t="s">
        <v>22</v>
      </c>
      <c r="F661" s="4">
        <v>7.48</v>
      </c>
      <c r="G661" s="5">
        <v>3</v>
      </c>
      <c r="H661" t="s">
        <v>17</v>
      </c>
      <c r="I661" t="s">
        <v>57</v>
      </c>
      <c r="J661" s="6">
        <v>13.99</v>
      </c>
      <c r="K661">
        <v>0</v>
      </c>
      <c r="L661" t="s">
        <v>19</v>
      </c>
      <c r="M661" s="5">
        <v>2</v>
      </c>
      <c r="N661" s="4">
        <v>1.87</v>
      </c>
      <c r="O661" t="s">
        <v>25</v>
      </c>
    </row>
    <row r="662" spans="1:15" x14ac:dyDescent="0.3">
      <c r="A662" t="s">
        <v>2063</v>
      </c>
      <c r="B662" s="5">
        <v>28</v>
      </c>
      <c r="C662" s="5" t="str" cm="1">
        <f t="array" ref="C662">_xlfn.IFS(worksheet[[#This Row],[age]]&lt;25,"1. Young Adulthood (18-24)",worksheet[[#This Row],[age]]&lt; 35,"2. Early Adulthood (25-34)",worksheet[[#This Row],[age]]&lt; 45,"3. Mid Adulthood (35-44)",worksheet[[#This Row],[age]]&lt; 55,"4. Mature Adulthood (45-54)",TRUE,"5. Late Adulthood/Senior (55+)")</f>
        <v>2. Early Adulthood (25-34)</v>
      </c>
      <c r="D662" t="s">
        <v>27</v>
      </c>
      <c r="E662" t="s">
        <v>22</v>
      </c>
      <c r="F662" s="4">
        <v>14.34</v>
      </c>
      <c r="G662" s="5">
        <v>11</v>
      </c>
      <c r="H662" t="s">
        <v>28</v>
      </c>
      <c r="I662" t="s">
        <v>55</v>
      </c>
      <c r="J662" s="6">
        <v>13.99</v>
      </c>
      <c r="K662">
        <v>0</v>
      </c>
      <c r="L662" t="s">
        <v>61</v>
      </c>
      <c r="M662" s="5">
        <v>5</v>
      </c>
      <c r="N662" s="4">
        <v>1.2</v>
      </c>
      <c r="O662" t="s">
        <v>47</v>
      </c>
    </row>
    <row r="663" spans="1:15" x14ac:dyDescent="0.3">
      <c r="A663" t="s">
        <v>2065</v>
      </c>
      <c r="B663" s="5">
        <v>21</v>
      </c>
      <c r="C663" s="5" t="str" cm="1">
        <f t="array" ref="C663">_xlfn.IFS(worksheet[[#This Row],[age]]&lt;25,"1. Young Adulthood (18-24)",worksheet[[#This Row],[age]]&lt; 35,"2. Early Adulthood (25-34)",worksheet[[#This Row],[age]]&lt; 45,"3. Mid Adulthood (35-44)",worksheet[[#This Row],[age]]&lt; 55,"4. Mature Adulthood (45-54)",TRUE,"5. Late Adulthood/Senior (55+)")</f>
        <v>1. Young Adulthood (18-24)</v>
      </c>
      <c r="D663" t="s">
        <v>15</v>
      </c>
      <c r="E663" t="s">
        <v>22</v>
      </c>
      <c r="F663" s="4">
        <v>17.63</v>
      </c>
      <c r="G663" s="5">
        <v>28</v>
      </c>
      <c r="H663" t="s">
        <v>49</v>
      </c>
      <c r="I663" t="s">
        <v>46</v>
      </c>
      <c r="J663" s="6">
        <v>13.99</v>
      </c>
      <c r="K663">
        <v>0</v>
      </c>
      <c r="L663" t="s">
        <v>61</v>
      </c>
      <c r="M663" s="5">
        <v>1</v>
      </c>
      <c r="N663" s="4">
        <v>0.61</v>
      </c>
      <c r="O663" t="s">
        <v>52</v>
      </c>
    </row>
    <row r="664" spans="1:15" x14ac:dyDescent="0.3">
      <c r="A664" t="s">
        <v>2069</v>
      </c>
      <c r="B664" s="5">
        <v>20</v>
      </c>
      <c r="C664" s="5" t="str" cm="1">
        <f t="array" ref="C664">_xlfn.IFS(worksheet[[#This Row],[age]]&lt;25,"1. Young Adulthood (18-24)",worksheet[[#This Row],[age]]&lt; 35,"2. Early Adulthood (25-34)",worksheet[[#This Row],[age]]&lt; 45,"3. Mid Adulthood (35-44)",worksheet[[#This Row],[age]]&lt; 55,"4. Mature Adulthood (45-54)",TRUE,"5. Late Adulthood/Senior (55+)")</f>
        <v>1. Young Adulthood (18-24)</v>
      </c>
      <c r="D664" t="s">
        <v>41</v>
      </c>
      <c r="E664" t="s">
        <v>16</v>
      </c>
      <c r="F664" s="4">
        <v>8.91</v>
      </c>
      <c r="G664" s="5">
        <v>28</v>
      </c>
      <c r="H664" t="s">
        <v>17</v>
      </c>
      <c r="I664" t="s">
        <v>18</v>
      </c>
      <c r="J664" s="6">
        <v>8.99</v>
      </c>
      <c r="K664">
        <v>1</v>
      </c>
      <c r="L664" t="s">
        <v>29</v>
      </c>
      <c r="M664" s="5">
        <v>2</v>
      </c>
      <c r="N664" s="4">
        <v>0.31</v>
      </c>
      <c r="O664" t="s">
        <v>47</v>
      </c>
    </row>
    <row r="665" spans="1:15" x14ac:dyDescent="0.3">
      <c r="A665" t="s">
        <v>2071</v>
      </c>
      <c r="B665" s="5">
        <v>30</v>
      </c>
      <c r="C665" s="5" t="str" cm="1">
        <f t="array" ref="C665">_xlfn.IFS(worksheet[[#This Row],[age]]&lt;25,"1. Young Adulthood (18-24)",worksheet[[#This Row],[age]]&lt; 35,"2. Early Adulthood (25-34)",worksheet[[#This Row],[age]]&lt; 45,"3. Mid Adulthood (35-44)",worksheet[[#This Row],[age]]&lt; 55,"4. Mature Adulthood (45-54)",TRUE,"5. Late Adulthood/Senior (55+)")</f>
        <v>2. Early Adulthood (25-34)</v>
      </c>
      <c r="D665" t="s">
        <v>15</v>
      </c>
      <c r="E665" t="s">
        <v>32</v>
      </c>
      <c r="F665" s="4">
        <v>12.88</v>
      </c>
      <c r="G665" s="5">
        <v>54</v>
      </c>
      <c r="H665" t="s">
        <v>33</v>
      </c>
      <c r="I665" t="s">
        <v>55</v>
      </c>
      <c r="J665" s="6">
        <v>17.989999999999998</v>
      </c>
      <c r="K665">
        <v>1</v>
      </c>
      <c r="L665" t="s">
        <v>19</v>
      </c>
      <c r="M665" s="5">
        <v>4</v>
      </c>
      <c r="N665" s="4">
        <v>0.23</v>
      </c>
      <c r="O665" t="s">
        <v>52</v>
      </c>
    </row>
    <row r="666" spans="1:15" x14ac:dyDescent="0.3">
      <c r="A666" t="s">
        <v>2072</v>
      </c>
      <c r="B666" s="5">
        <v>33</v>
      </c>
      <c r="C666" s="5" t="str" cm="1">
        <f t="array" ref="C666">_xlfn.IFS(worksheet[[#This Row],[age]]&lt;25,"1. Young Adulthood (18-24)",worksheet[[#This Row],[age]]&lt; 35,"2. Early Adulthood (25-34)",worksheet[[#This Row],[age]]&lt; 45,"3. Mid Adulthood (35-44)",worksheet[[#This Row],[age]]&lt; 55,"4. Mature Adulthood (45-54)",TRUE,"5. Late Adulthood/Senior (55+)")</f>
        <v>2. Early Adulthood (25-34)</v>
      </c>
      <c r="D666" t="s">
        <v>15</v>
      </c>
      <c r="E666" t="s">
        <v>16</v>
      </c>
      <c r="F666" s="4">
        <v>24.5</v>
      </c>
      <c r="G666" s="5">
        <v>46</v>
      </c>
      <c r="H666" t="s">
        <v>17</v>
      </c>
      <c r="I666" t="s">
        <v>18</v>
      </c>
      <c r="J666" s="6">
        <v>8.99</v>
      </c>
      <c r="K666">
        <v>0</v>
      </c>
      <c r="L666" t="s">
        <v>61</v>
      </c>
      <c r="M666" s="5">
        <v>3</v>
      </c>
      <c r="N666" s="4">
        <v>0.52</v>
      </c>
      <c r="O666" t="s">
        <v>25</v>
      </c>
    </row>
    <row r="667" spans="1:15" x14ac:dyDescent="0.3">
      <c r="A667" t="s">
        <v>2087</v>
      </c>
      <c r="B667" s="5">
        <v>31</v>
      </c>
      <c r="C667" s="5" t="str" cm="1">
        <f t="array" ref="C667">_xlfn.IFS(worksheet[[#This Row],[age]]&lt;25,"1. Young Adulthood (18-24)",worksheet[[#This Row],[age]]&lt; 35,"2. Early Adulthood (25-34)",worksheet[[#This Row],[age]]&lt; 45,"3. Mid Adulthood (35-44)",worksheet[[#This Row],[age]]&lt; 55,"4. Mature Adulthood (45-54)",TRUE,"5. Late Adulthood/Senior (55+)")</f>
        <v>2. Early Adulthood (25-34)</v>
      </c>
      <c r="D667" t="s">
        <v>41</v>
      </c>
      <c r="E667" t="s">
        <v>22</v>
      </c>
      <c r="F667" s="4">
        <v>18.75</v>
      </c>
      <c r="G667" s="5">
        <v>43</v>
      </c>
      <c r="H667" t="s">
        <v>33</v>
      </c>
      <c r="I667" t="s">
        <v>24</v>
      </c>
      <c r="J667" s="6">
        <v>13.99</v>
      </c>
      <c r="K667">
        <v>1</v>
      </c>
      <c r="L667" t="s">
        <v>19</v>
      </c>
      <c r="M667" s="5">
        <v>3</v>
      </c>
      <c r="N667" s="4">
        <v>0.43</v>
      </c>
      <c r="O667" t="s">
        <v>20</v>
      </c>
    </row>
    <row r="668" spans="1:15" x14ac:dyDescent="0.3">
      <c r="A668" t="s">
        <v>2091</v>
      </c>
      <c r="B668" s="5">
        <v>31</v>
      </c>
      <c r="C668" s="5" t="str" cm="1">
        <f t="array" ref="C668">_xlfn.IFS(worksheet[[#This Row],[age]]&lt;25,"1. Young Adulthood (18-24)",worksheet[[#This Row],[age]]&lt; 35,"2. Early Adulthood (25-34)",worksheet[[#This Row],[age]]&lt; 45,"3. Mid Adulthood (35-44)",worksheet[[#This Row],[age]]&lt; 55,"4. Mature Adulthood (45-54)",TRUE,"5. Late Adulthood/Senior (55+)")</f>
        <v>2. Early Adulthood (25-34)</v>
      </c>
      <c r="D668" t="s">
        <v>41</v>
      </c>
      <c r="E668" t="s">
        <v>32</v>
      </c>
      <c r="F668" s="4">
        <v>5.69</v>
      </c>
      <c r="G668" s="5">
        <v>22</v>
      </c>
      <c r="H668" t="s">
        <v>70</v>
      </c>
      <c r="I668" t="s">
        <v>24</v>
      </c>
      <c r="J668" s="6">
        <v>17.989999999999998</v>
      </c>
      <c r="K668">
        <v>0</v>
      </c>
      <c r="L668" t="s">
        <v>37</v>
      </c>
      <c r="M668" s="5">
        <v>4</v>
      </c>
      <c r="N668" s="4">
        <v>0.25</v>
      </c>
      <c r="O668" t="s">
        <v>34</v>
      </c>
    </row>
    <row r="669" spans="1:15" x14ac:dyDescent="0.3">
      <c r="A669" t="s">
        <v>2094</v>
      </c>
      <c r="B669" s="5">
        <v>20</v>
      </c>
      <c r="C669" s="5" t="str" cm="1">
        <f t="array" ref="C669">_xlfn.IFS(worksheet[[#This Row],[age]]&lt;25,"1. Young Adulthood (18-24)",worksheet[[#This Row],[age]]&lt; 35,"2. Early Adulthood (25-34)",worksheet[[#This Row],[age]]&lt; 45,"3. Mid Adulthood (35-44)",worksheet[[#This Row],[age]]&lt; 55,"4. Mature Adulthood (45-54)",TRUE,"5. Late Adulthood/Senior (55+)")</f>
        <v>1. Young Adulthood (18-24)</v>
      </c>
      <c r="D669" t="s">
        <v>27</v>
      </c>
      <c r="E669" t="s">
        <v>32</v>
      </c>
      <c r="F669" s="4">
        <v>11.48</v>
      </c>
      <c r="G669" s="5">
        <v>30</v>
      </c>
      <c r="H669" t="s">
        <v>49</v>
      </c>
      <c r="I669" t="s">
        <v>57</v>
      </c>
      <c r="J669" s="6">
        <v>17.989999999999998</v>
      </c>
      <c r="K669">
        <v>0</v>
      </c>
      <c r="L669" t="s">
        <v>37</v>
      </c>
      <c r="M669" s="5">
        <v>1</v>
      </c>
      <c r="N669" s="4">
        <v>0.37</v>
      </c>
      <c r="O669" t="s">
        <v>39</v>
      </c>
    </row>
    <row r="670" spans="1:15" x14ac:dyDescent="0.3">
      <c r="A670" t="s">
        <v>2097</v>
      </c>
      <c r="B670" s="5">
        <v>32</v>
      </c>
      <c r="C670" s="5" t="str" cm="1">
        <f t="array" ref="C670">_xlfn.IFS(worksheet[[#This Row],[age]]&lt;25,"1. Young Adulthood (18-24)",worksheet[[#This Row],[age]]&lt; 35,"2. Early Adulthood (25-34)",worksheet[[#This Row],[age]]&lt; 45,"3. Mid Adulthood (35-44)",worksheet[[#This Row],[age]]&lt; 55,"4. Mature Adulthood (45-54)",TRUE,"5. Late Adulthood/Senior (55+)")</f>
        <v>2. Early Adulthood (25-34)</v>
      </c>
      <c r="D670" t="s">
        <v>41</v>
      </c>
      <c r="E670" t="s">
        <v>16</v>
      </c>
      <c r="F670" s="4">
        <v>11.91</v>
      </c>
      <c r="G670" s="5">
        <v>36</v>
      </c>
      <c r="H670" t="s">
        <v>28</v>
      </c>
      <c r="I670" t="s">
        <v>18</v>
      </c>
      <c r="J670" s="6">
        <v>8.99</v>
      </c>
      <c r="K670">
        <v>1</v>
      </c>
      <c r="L670" t="s">
        <v>61</v>
      </c>
      <c r="M670" s="5">
        <v>5</v>
      </c>
      <c r="N670" s="4">
        <v>0.32</v>
      </c>
      <c r="O670" t="s">
        <v>30</v>
      </c>
    </row>
    <row r="671" spans="1:15" x14ac:dyDescent="0.3">
      <c r="A671" t="s">
        <v>2104</v>
      </c>
      <c r="B671" s="5">
        <v>18</v>
      </c>
      <c r="C671" s="5" t="str" cm="1">
        <f t="array" ref="C671">_xlfn.IFS(worksheet[[#This Row],[age]]&lt;25,"1. Young Adulthood (18-24)",worksheet[[#This Row],[age]]&lt; 35,"2. Early Adulthood (25-34)",worksheet[[#This Row],[age]]&lt; 45,"3. Mid Adulthood (35-44)",worksheet[[#This Row],[age]]&lt; 55,"4. Mature Adulthood (45-54)",TRUE,"5. Late Adulthood/Senior (55+)")</f>
        <v>1. Young Adulthood (18-24)</v>
      </c>
      <c r="D671" t="s">
        <v>15</v>
      </c>
      <c r="E671" t="s">
        <v>32</v>
      </c>
      <c r="F671" s="4">
        <v>1.63</v>
      </c>
      <c r="G671" s="5">
        <v>10</v>
      </c>
      <c r="H671" t="s">
        <v>17</v>
      </c>
      <c r="I671" t="s">
        <v>55</v>
      </c>
      <c r="J671" s="6">
        <v>17.989999999999998</v>
      </c>
      <c r="K671">
        <v>0</v>
      </c>
      <c r="L671" t="s">
        <v>61</v>
      </c>
      <c r="M671" s="5">
        <v>4</v>
      </c>
      <c r="N671" s="4">
        <v>0.15</v>
      </c>
      <c r="O671" t="s">
        <v>47</v>
      </c>
    </row>
    <row r="672" spans="1:15" x14ac:dyDescent="0.3">
      <c r="A672" t="s">
        <v>2113</v>
      </c>
      <c r="B672" s="5">
        <v>18</v>
      </c>
      <c r="C672" s="5" t="str" cm="1">
        <f t="array" ref="C672">_xlfn.IFS(worksheet[[#This Row],[age]]&lt;25,"1. Young Adulthood (18-24)",worksheet[[#This Row],[age]]&lt; 35,"2. Early Adulthood (25-34)",worksheet[[#This Row],[age]]&lt; 45,"3. Mid Adulthood (35-44)",worksheet[[#This Row],[age]]&lt; 55,"4. Mature Adulthood (45-54)",TRUE,"5. Late Adulthood/Senior (55+)")</f>
        <v>1. Young Adulthood (18-24)</v>
      </c>
      <c r="D672" t="s">
        <v>15</v>
      </c>
      <c r="E672" t="s">
        <v>32</v>
      </c>
      <c r="F672" s="4">
        <v>5.09</v>
      </c>
      <c r="G672" s="5">
        <v>13</v>
      </c>
      <c r="H672" t="s">
        <v>28</v>
      </c>
      <c r="I672" t="s">
        <v>55</v>
      </c>
      <c r="J672" s="6">
        <v>17.989999999999998</v>
      </c>
      <c r="K672">
        <v>0</v>
      </c>
      <c r="L672" t="s">
        <v>19</v>
      </c>
      <c r="M672" s="5">
        <v>2</v>
      </c>
      <c r="N672" s="4">
        <v>0.36</v>
      </c>
      <c r="O672" t="s">
        <v>30</v>
      </c>
    </row>
    <row r="673" spans="1:15" x14ac:dyDescent="0.3">
      <c r="A673" t="s">
        <v>2122</v>
      </c>
      <c r="B673" s="5">
        <v>22</v>
      </c>
      <c r="C673" s="5" t="str" cm="1">
        <f t="array" ref="C673">_xlfn.IFS(worksheet[[#This Row],[age]]&lt;25,"1. Young Adulthood (18-24)",worksheet[[#This Row],[age]]&lt; 35,"2. Early Adulthood (25-34)",worksheet[[#This Row],[age]]&lt; 45,"3. Mid Adulthood (35-44)",worksheet[[#This Row],[age]]&lt; 55,"4. Mature Adulthood (45-54)",TRUE,"5. Late Adulthood/Senior (55+)")</f>
        <v>1. Young Adulthood (18-24)</v>
      </c>
      <c r="D673" t="s">
        <v>27</v>
      </c>
      <c r="E673" t="s">
        <v>32</v>
      </c>
      <c r="F673" s="4">
        <v>26.81</v>
      </c>
      <c r="G673" s="5">
        <v>4</v>
      </c>
      <c r="H673" t="s">
        <v>28</v>
      </c>
      <c r="I673" t="s">
        <v>18</v>
      </c>
      <c r="J673" s="6">
        <v>17.989999999999998</v>
      </c>
      <c r="K673">
        <v>0</v>
      </c>
      <c r="L673" t="s">
        <v>37</v>
      </c>
      <c r="M673" s="5">
        <v>5</v>
      </c>
      <c r="N673" s="4">
        <v>5.36</v>
      </c>
      <c r="O673" t="s">
        <v>39</v>
      </c>
    </row>
    <row r="674" spans="1:15" x14ac:dyDescent="0.3">
      <c r="A674" t="s">
        <v>2125</v>
      </c>
      <c r="B674" s="5">
        <v>28</v>
      </c>
      <c r="C674" s="5" t="str" cm="1">
        <f t="array" ref="C674">_xlfn.IFS(worksheet[[#This Row],[age]]&lt;25,"1. Young Adulthood (18-24)",worksheet[[#This Row],[age]]&lt; 35,"2. Early Adulthood (25-34)",worksheet[[#This Row],[age]]&lt; 45,"3. Mid Adulthood (35-44)",worksheet[[#This Row],[age]]&lt; 55,"4. Mature Adulthood (45-54)",TRUE,"5. Late Adulthood/Senior (55+)")</f>
        <v>2. Early Adulthood (25-34)</v>
      </c>
      <c r="D674" t="s">
        <v>41</v>
      </c>
      <c r="E674" t="s">
        <v>32</v>
      </c>
      <c r="F674" s="4">
        <v>4.49</v>
      </c>
      <c r="G674" s="5">
        <v>50</v>
      </c>
      <c r="H674" t="s">
        <v>33</v>
      </c>
      <c r="I674" t="s">
        <v>55</v>
      </c>
      <c r="J674" s="6">
        <v>17.989999999999998</v>
      </c>
      <c r="K674">
        <v>1</v>
      </c>
      <c r="L674" t="s">
        <v>29</v>
      </c>
      <c r="M674" s="5">
        <v>4</v>
      </c>
      <c r="N674" s="4">
        <v>0.09</v>
      </c>
      <c r="O674" t="s">
        <v>30</v>
      </c>
    </row>
    <row r="675" spans="1:15" x14ac:dyDescent="0.3">
      <c r="A675" t="s">
        <v>2126</v>
      </c>
      <c r="B675" s="5">
        <v>23</v>
      </c>
      <c r="C675" s="5" t="str" cm="1">
        <f t="array" ref="C675">_xlfn.IFS(worksheet[[#This Row],[age]]&lt;25,"1. Young Adulthood (18-24)",worksheet[[#This Row],[age]]&lt; 35,"2. Early Adulthood (25-34)",worksheet[[#This Row],[age]]&lt; 45,"3. Mid Adulthood (35-44)",worksheet[[#This Row],[age]]&lt; 55,"4. Mature Adulthood (45-54)",TRUE,"5. Late Adulthood/Senior (55+)")</f>
        <v>1. Young Adulthood (18-24)</v>
      </c>
      <c r="D675" t="s">
        <v>27</v>
      </c>
      <c r="E675" t="s">
        <v>22</v>
      </c>
      <c r="F675" s="4">
        <v>2.63</v>
      </c>
      <c r="G675" s="5">
        <v>4</v>
      </c>
      <c r="H675" t="s">
        <v>33</v>
      </c>
      <c r="I675" t="s">
        <v>24</v>
      </c>
      <c r="J675" s="6">
        <v>13.99</v>
      </c>
      <c r="K675">
        <v>0</v>
      </c>
      <c r="L675" t="s">
        <v>43</v>
      </c>
      <c r="M675" s="5">
        <v>3</v>
      </c>
      <c r="N675" s="4">
        <v>0.53</v>
      </c>
      <c r="O675" t="s">
        <v>47</v>
      </c>
    </row>
    <row r="676" spans="1:15" x14ac:dyDescent="0.3">
      <c r="A676" t="s">
        <v>2130</v>
      </c>
      <c r="B676" s="5">
        <v>25</v>
      </c>
      <c r="C676" s="5" t="str" cm="1">
        <f t="array" ref="C676">_xlfn.IFS(worksheet[[#This Row],[age]]&lt;25,"1. Young Adulthood (18-24)",worksheet[[#This Row],[age]]&lt; 35,"2. Early Adulthood (25-34)",worksheet[[#This Row],[age]]&lt; 45,"3. Mid Adulthood (35-44)",worksheet[[#This Row],[age]]&lt; 55,"4. Mature Adulthood (45-54)",TRUE,"5. Late Adulthood/Senior (55+)")</f>
        <v>2. Early Adulthood (25-34)</v>
      </c>
      <c r="D676" t="s">
        <v>27</v>
      </c>
      <c r="E676" t="s">
        <v>32</v>
      </c>
      <c r="F676" s="4">
        <v>4.05</v>
      </c>
      <c r="G676" s="5">
        <v>34</v>
      </c>
      <c r="H676" t="s">
        <v>28</v>
      </c>
      <c r="I676" t="s">
        <v>55</v>
      </c>
      <c r="J676" s="6">
        <v>17.989999999999998</v>
      </c>
      <c r="K676">
        <v>1</v>
      </c>
      <c r="L676" t="s">
        <v>19</v>
      </c>
      <c r="M676" s="5">
        <v>2</v>
      </c>
      <c r="N676" s="4">
        <v>0.12</v>
      </c>
      <c r="O676" t="s">
        <v>52</v>
      </c>
    </row>
    <row r="677" spans="1:15" x14ac:dyDescent="0.3">
      <c r="A677" t="s">
        <v>2131</v>
      </c>
      <c r="B677" s="5">
        <v>25</v>
      </c>
      <c r="C677" s="5" t="str" cm="1">
        <f t="array" ref="C677">_xlfn.IFS(worksheet[[#This Row],[age]]&lt;25,"1. Young Adulthood (18-24)",worksheet[[#This Row],[age]]&lt; 35,"2. Early Adulthood (25-34)",worksheet[[#This Row],[age]]&lt; 45,"3. Mid Adulthood (35-44)",worksheet[[#This Row],[age]]&lt; 55,"4. Mature Adulthood (45-54)",TRUE,"5. Late Adulthood/Senior (55+)")</f>
        <v>2. Early Adulthood (25-34)</v>
      </c>
      <c r="D677" t="s">
        <v>41</v>
      </c>
      <c r="E677" t="s">
        <v>16</v>
      </c>
      <c r="F677" s="4">
        <v>14.39</v>
      </c>
      <c r="G677" s="5">
        <v>53</v>
      </c>
      <c r="H677" t="s">
        <v>70</v>
      </c>
      <c r="I677" t="s">
        <v>57</v>
      </c>
      <c r="J677" s="6">
        <v>8.99</v>
      </c>
      <c r="K677">
        <v>1</v>
      </c>
      <c r="L677" t="s">
        <v>19</v>
      </c>
      <c r="M677" s="5">
        <v>4</v>
      </c>
      <c r="N677" s="4">
        <v>0.27</v>
      </c>
      <c r="O677" t="s">
        <v>52</v>
      </c>
    </row>
    <row r="678" spans="1:15" x14ac:dyDescent="0.3">
      <c r="A678" t="s">
        <v>2135</v>
      </c>
      <c r="B678" s="5">
        <v>24</v>
      </c>
      <c r="C678" s="5" t="str" cm="1">
        <f t="array" ref="C678">_xlfn.IFS(worksheet[[#This Row],[age]]&lt;25,"1. Young Adulthood (18-24)",worksheet[[#This Row],[age]]&lt; 35,"2. Early Adulthood (25-34)",worksheet[[#This Row],[age]]&lt; 45,"3. Mid Adulthood (35-44)",worksheet[[#This Row],[age]]&lt; 55,"4. Mature Adulthood (45-54)",TRUE,"5. Late Adulthood/Senior (55+)")</f>
        <v>1. Young Adulthood (18-24)</v>
      </c>
      <c r="D678" t="s">
        <v>15</v>
      </c>
      <c r="E678" t="s">
        <v>22</v>
      </c>
      <c r="F678" s="4">
        <v>5.81</v>
      </c>
      <c r="G678" s="5">
        <v>32</v>
      </c>
      <c r="H678" t="s">
        <v>70</v>
      </c>
      <c r="I678" t="s">
        <v>18</v>
      </c>
      <c r="J678" s="6">
        <v>13.99</v>
      </c>
      <c r="K678">
        <v>0</v>
      </c>
      <c r="L678" t="s">
        <v>43</v>
      </c>
      <c r="M678" s="5">
        <v>4</v>
      </c>
      <c r="N678" s="4">
        <v>0.18</v>
      </c>
      <c r="O678" t="s">
        <v>39</v>
      </c>
    </row>
    <row r="679" spans="1:15" x14ac:dyDescent="0.3">
      <c r="A679" t="s">
        <v>2136</v>
      </c>
      <c r="B679" s="5">
        <v>23</v>
      </c>
      <c r="C679" s="5" t="str" cm="1">
        <f t="array" ref="C679">_xlfn.IFS(worksheet[[#This Row],[age]]&lt;25,"1. Young Adulthood (18-24)",worksheet[[#This Row],[age]]&lt; 35,"2. Early Adulthood (25-34)",worksheet[[#This Row],[age]]&lt; 45,"3. Mid Adulthood (35-44)",worksheet[[#This Row],[age]]&lt; 55,"4. Mature Adulthood (45-54)",TRUE,"5. Late Adulthood/Senior (55+)")</f>
        <v>1. Young Adulthood (18-24)</v>
      </c>
      <c r="D679" t="s">
        <v>41</v>
      </c>
      <c r="E679" t="s">
        <v>22</v>
      </c>
      <c r="F679" s="4">
        <v>0.28999999999999998</v>
      </c>
      <c r="G679" s="5">
        <v>58</v>
      </c>
      <c r="H679" t="s">
        <v>23</v>
      </c>
      <c r="I679" t="s">
        <v>55</v>
      </c>
      <c r="J679" s="6">
        <v>13.99</v>
      </c>
      <c r="K679">
        <v>1</v>
      </c>
      <c r="L679" t="s">
        <v>19</v>
      </c>
      <c r="M679" s="5">
        <v>2</v>
      </c>
      <c r="N679" s="4">
        <v>0</v>
      </c>
      <c r="O679" t="s">
        <v>52</v>
      </c>
    </row>
    <row r="680" spans="1:15" x14ac:dyDescent="0.3">
      <c r="A680" t="s">
        <v>2139</v>
      </c>
      <c r="B680" s="5">
        <v>23</v>
      </c>
      <c r="C680" s="5" t="str" cm="1">
        <f t="array" ref="C680">_xlfn.IFS(worksheet[[#This Row],[age]]&lt;25,"1. Young Adulthood (18-24)",worksheet[[#This Row],[age]]&lt; 35,"2. Early Adulthood (25-34)",worksheet[[#This Row],[age]]&lt; 45,"3. Mid Adulthood (35-44)",worksheet[[#This Row],[age]]&lt; 55,"4. Mature Adulthood (45-54)",TRUE,"5. Late Adulthood/Senior (55+)")</f>
        <v>1. Young Adulthood (18-24)</v>
      </c>
      <c r="D680" t="s">
        <v>15</v>
      </c>
      <c r="E680" t="s">
        <v>16</v>
      </c>
      <c r="F680" s="4">
        <v>0.03</v>
      </c>
      <c r="G680" s="5">
        <v>60</v>
      </c>
      <c r="H680" t="s">
        <v>70</v>
      </c>
      <c r="I680" t="s">
        <v>18</v>
      </c>
      <c r="J680" s="6">
        <v>8.99</v>
      </c>
      <c r="K680">
        <v>1</v>
      </c>
      <c r="L680" t="s">
        <v>43</v>
      </c>
      <c r="M680" s="5">
        <v>1</v>
      </c>
      <c r="N680" s="4">
        <v>0</v>
      </c>
      <c r="O680" t="s">
        <v>47</v>
      </c>
    </row>
    <row r="681" spans="1:15" x14ac:dyDescent="0.3">
      <c r="A681" t="s">
        <v>2141</v>
      </c>
      <c r="B681" s="5">
        <v>21</v>
      </c>
      <c r="C681" s="5" t="str" cm="1">
        <f t="array" ref="C681">_xlfn.IFS(worksheet[[#This Row],[age]]&lt;25,"1. Young Adulthood (18-24)",worksheet[[#This Row],[age]]&lt; 35,"2. Early Adulthood (25-34)",worksheet[[#This Row],[age]]&lt; 45,"3. Mid Adulthood (35-44)",worksheet[[#This Row],[age]]&lt; 55,"4. Mature Adulthood (45-54)",TRUE,"5. Late Adulthood/Senior (55+)")</f>
        <v>1. Young Adulthood (18-24)</v>
      </c>
      <c r="D681" t="s">
        <v>41</v>
      </c>
      <c r="E681" t="s">
        <v>22</v>
      </c>
      <c r="F681" s="4">
        <v>13.79</v>
      </c>
      <c r="G681" s="5">
        <v>39</v>
      </c>
      <c r="H681" t="s">
        <v>28</v>
      </c>
      <c r="I681" t="s">
        <v>24</v>
      </c>
      <c r="J681" s="6">
        <v>13.99</v>
      </c>
      <c r="K681">
        <v>0</v>
      </c>
      <c r="L681" t="s">
        <v>43</v>
      </c>
      <c r="M681" s="5">
        <v>5</v>
      </c>
      <c r="N681" s="4">
        <v>0.34</v>
      </c>
      <c r="O681" t="s">
        <v>34</v>
      </c>
    </row>
    <row r="682" spans="1:15" x14ac:dyDescent="0.3">
      <c r="A682" t="s">
        <v>2142</v>
      </c>
      <c r="B682" s="5">
        <v>27</v>
      </c>
      <c r="C682" s="5" t="str" cm="1">
        <f t="array" ref="C682">_xlfn.IFS(worksheet[[#This Row],[age]]&lt;25,"1. Young Adulthood (18-24)",worksheet[[#This Row],[age]]&lt; 35,"2. Early Adulthood (25-34)",worksheet[[#This Row],[age]]&lt; 45,"3. Mid Adulthood (35-44)",worksheet[[#This Row],[age]]&lt; 55,"4. Mature Adulthood (45-54)",TRUE,"5. Late Adulthood/Senior (55+)")</f>
        <v>2. Early Adulthood (25-34)</v>
      </c>
      <c r="D682" t="s">
        <v>41</v>
      </c>
      <c r="E682" t="s">
        <v>32</v>
      </c>
      <c r="F682" s="4">
        <v>18.170000000000002</v>
      </c>
      <c r="G682" s="5">
        <v>60</v>
      </c>
      <c r="H682" t="s">
        <v>70</v>
      </c>
      <c r="I682" t="s">
        <v>24</v>
      </c>
      <c r="J682" s="6">
        <v>17.989999999999998</v>
      </c>
      <c r="K682">
        <v>1</v>
      </c>
      <c r="L682" t="s">
        <v>43</v>
      </c>
      <c r="M682" s="5">
        <v>2</v>
      </c>
      <c r="N682" s="4">
        <v>0.3</v>
      </c>
      <c r="O682" t="s">
        <v>52</v>
      </c>
    </row>
    <row r="683" spans="1:15" x14ac:dyDescent="0.3">
      <c r="A683" t="s">
        <v>2146</v>
      </c>
      <c r="B683" s="5">
        <v>25</v>
      </c>
      <c r="C683" s="5" t="str" cm="1">
        <f t="array" ref="C683">_xlfn.IFS(worksheet[[#This Row],[age]]&lt;25,"1. Young Adulthood (18-24)",worksheet[[#This Row],[age]]&lt; 35,"2. Early Adulthood (25-34)",worksheet[[#This Row],[age]]&lt; 45,"3. Mid Adulthood (35-44)",worksheet[[#This Row],[age]]&lt; 55,"4. Mature Adulthood (45-54)",TRUE,"5. Late Adulthood/Senior (55+)")</f>
        <v>2. Early Adulthood (25-34)</v>
      </c>
      <c r="D683" t="s">
        <v>27</v>
      </c>
      <c r="E683" t="s">
        <v>32</v>
      </c>
      <c r="F683" s="4">
        <v>28.54</v>
      </c>
      <c r="G683" s="5">
        <v>50</v>
      </c>
      <c r="H683" t="s">
        <v>23</v>
      </c>
      <c r="I683" t="s">
        <v>57</v>
      </c>
      <c r="J683" s="6">
        <v>17.989999999999998</v>
      </c>
      <c r="K683">
        <v>0</v>
      </c>
      <c r="L683" t="s">
        <v>43</v>
      </c>
      <c r="M683" s="5">
        <v>2</v>
      </c>
      <c r="N683" s="4">
        <v>0.56000000000000005</v>
      </c>
      <c r="O683" t="s">
        <v>52</v>
      </c>
    </row>
    <row r="684" spans="1:15" x14ac:dyDescent="0.3">
      <c r="A684" t="s">
        <v>2149</v>
      </c>
      <c r="B684" s="5">
        <v>19</v>
      </c>
      <c r="C684" s="5" t="str" cm="1">
        <f t="array" ref="C684">_xlfn.IFS(worksheet[[#This Row],[age]]&lt;25,"1. Young Adulthood (18-24)",worksheet[[#This Row],[age]]&lt; 35,"2. Early Adulthood (25-34)",worksheet[[#This Row],[age]]&lt; 45,"3. Mid Adulthood (35-44)",worksheet[[#This Row],[age]]&lt; 55,"4. Mature Adulthood (45-54)",TRUE,"5. Late Adulthood/Senior (55+)")</f>
        <v>1. Young Adulthood (18-24)</v>
      </c>
      <c r="D684" t="s">
        <v>27</v>
      </c>
      <c r="E684" t="s">
        <v>22</v>
      </c>
      <c r="F684" s="4">
        <v>10.38</v>
      </c>
      <c r="G684" s="5">
        <v>58</v>
      </c>
      <c r="H684" t="s">
        <v>23</v>
      </c>
      <c r="I684" t="s">
        <v>46</v>
      </c>
      <c r="J684" s="6">
        <v>13.99</v>
      </c>
      <c r="K684">
        <v>0</v>
      </c>
      <c r="L684" t="s">
        <v>43</v>
      </c>
      <c r="M684" s="5">
        <v>5</v>
      </c>
      <c r="N684" s="4">
        <v>0.18</v>
      </c>
      <c r="O684" t="s">
        <v>52</v>
      </c>
    </row>
    <row r="685" spans="1:15" x14ac:dyDescent="0.3">
      <c r="A685" t="s">
        <v>2152</v>
      </c>
      <c r="B685" s="5">
        <v>26</v>
      </c>
      <c r="C685" s="5" t="str" cm="1">
        <f t="array" ref="C685">_xlfn.IFS(worksheet[[#This Row],[age]]&lt;25,"1. Young Adulthood (18-24)",worksheet[[#This Row],[age]]&lt; 35,"2. Early Adulthood (25-34)",worksheet[[#This Row],[age]]&lt; 45,"3. Mid Adulthood (35-44)",worksheet[[#This Row],[age]]&lt; 55,"4. Mature Adulthood (45-54)",TRUE,"5. Late Adulthood/Senior (55+)")</f>
        <v>2. Early Adulthood (25-34)</v>
      </c>
      <c r="D685" t="s">
        <v>27</v>
      </c>
      <c r="E685" t="s">
        <v>32</v>
      </c>
      <c r="F685" s="4">
        <v>0.97</v>
      </c>
      <c r="G685" s="5">
        <v>49</v>
      </c>
      <c r="H685" t="s">
        <v>49</v>
      </c>
      <c r="I685" t="s">
        <v>24</v>
      </c>
      <c r="J685" s="6">
        <v>17.989999999999998</v>
      </c>
      <c r="K685">
        <v>1</v>
      </c>
      <c r="L685" t="s">
        <v>43</v>
      </c>
      <c r="M685" s="5">
        <v>1</v>
      </c>
      <c r="N685" s="4">
        <v>0.02</v>
      </c>
      <c r="O685" t="s">
        <v>20</v>
      </c>
    </row>
    <row r="686" spans="1:15" x14ac:dyDescent="0.3">
      <c r="A686" t="s">
        <v>2157</v>
      </c>
      <c r="B686" s="5">
        <v>18</v>
      </c>
      <c r="C686" s="5" t="str" cm="1">
        <f t="array" ref="C686">_xlfn.IFS(worksheet[[#This Row],[age]]&lt;25,"1. Young Adulthood (18-24)",worksheet[[#This Row],[age]]&lt; 35,"2. Early Adulthood (25-34)",worksheet[[#This Row],[age]]&lt; 45,"3. Mid Adulthood (35-44)",worksheet[[#This Row],[age]]&lt; 55,"4. Mature Adulthood (45-54)",TRUE,"5. Late Adulthood/Senior (55+)")</f>
        <v>1. Young Adulthood (18-24)</v>
      </c>
      <c r="D686" t="s">
        <v>15</v>
      </c>
      <c r="E686" t="s">
        <v>32</v>
      </c>
      <c r="F686" s="4">
        <v>2.19</v>
      </c>
      <c r="G686" s="5">
        <v>24</v>
      </c>
      <c r="H686" t="s">
        <v>17</v>
      </c>
      <c r="I686" t="s">
        <v>24</v>
      </c>
      <c r="J686" s="6">
        <v>17.989999999999998</v>
      </c>
      <c r="K686">
        <v>1</v>
      </c>
      <c r="L686" t="s">
        <v>29</v>
      </c>
      <c r="M686" s="5">
        <v>1</v>
      </c>
      <c r="N686" s="4">
        <v>0.09</v>
      </c>
      <c r="O686" t="s">
        <v>52</v>
      </c>
    </row>
    <row r="687" spans="1:15" x14ac:dyDescent="0.3">
      <c r="A687" t="s">
        <v>2160</v>
      </c>
      <c r="B687" s="5">
        <v>25</v>
      </c>
      <c r="C687" s="5" t="str" cm="1">
        <f t="array" ref="C687">_xlfn.IFS(worksheet[[#This Row],[age]]&lt;25,"1. Young Adulthood (18-24)",worksheet[[#This Row],[age]]&lt; 35,"2. Early Adulthood (25-34)",worksheet[[#This Row],[age]]&lt; 45,"3. Mid Adulthood (35-44)",worksheet[[#This Row],[age]]&lt; 55,"4. Mature Adulthood (45-54)",TRUE,"5. Late Adulthood/Senior (55+)")</f>
        <v>2. Early Adulthood (25-34)</v>
      </c>
      <c r="D687" t="s">
        <v>27</v>
      </c>
      <c r="E687" t="s">
        <v>32</v>
      </c>
      <c r="F687" s="4">
        <v>0.27</v>
      </c>
      <c r="G687" s="5">
        <v>60</v>
      </c>
      <c r="H687" t="s">
        <v>70</v>
      </c>
      <c r="I687" t="s">
        <v>57</v>
      </c>
      <c r="J687" s="6">
        <v>17.989999999999998</v>
      </c>
      <c r="K687">
        <v>1</v>
      </c>
      <c r="L687" t="s">
        <v>19</v>
      </c>
      <c r="M687" s="5">
        <v>1</v>
      </c>
      <c r="N687" s="4">
        <v>0</v>
      </c>
      <c r="O687" t="s">
        <v>30</v>
      </c>
    </row>
    <row r="688" spans="1:15" x14ac:dyDescent="0.3">
      <c r="A688" t="s">
        <v>2161</v>
      </c>
      <c r="B688" s="5">
        <v>25</v>
      </c>
      <c r="C688" s="5" t="str" cm="1">
        <f t="array" ref="C688">_xlfn.IFS(worksheet[[#This Row],[age]]&lt;25,"1. Young Adulthood (18-24)",worksheet[[#This Row],[age]]&lt; 35,"2. Early Adulthood (25-34)",worksheet[[#This Row],[age]]&lt; 45,"3. Mid Adulthood (35-44)",worksheet[[#This Row],[age]]&lt; 55,"4. Mature Adulthood (45-54)",TRUE,"5. Late Adulthood/Senior (55+)")</f>
        <v>2. Early Adulthood (25-34)</v>
      </c>
      <c r="D688" t="s">
        <v>15</v>
      </c>
      <c r="E688" t="s">
        <v>16</v>
      </c>
      <c r="F688" s="4">
        <v>17.899999999999999</v>
      </c>
      <c r="G688" s="5">
        <v>3</v>
      </c>
      <c r="H688" t="s">
        <v>33</v>
      </c>
      <c r="I688" t="s">
        <v>57</v>
      </c>
      <c r="J688" s="6">
        <v>8.99</v>
      </c>
      <c r="K688">
        <v>0</v>
      </c>
      <c r="L688" t="s">
        <v>29</v>
      </c>
      <c r="M688" s="5">
        <v>3</v>
      </c>
      <c r="N688" s="4">
        <v>4.47</v>
      </c>
      <c r="O688" t="s">
        <v>39</v>
      </c>
    </row>
    <row r="689" spans="1:15" x14ac:dyDescent="0.3">
      <c r="A689" t="s">
        <v>2163</v>
      </c>
      <c r="B689" s="5">
        <v>26</v>
      </c>
      <c r="C689" s="5" t="str" cm="1">
        <f t="array" ref="C689">_xlfn.IFS(worksheet[[#This Row],[age]]&lt;25,"1. Young Adulthood (18-24)",worksheet[[#This Row],[age]]&lt; 35,"2. Early Adulthood (25-34)",worksheet[[#This Row],[age]]&lt; 45,"3. Mid Adulthood (35-44)",worksheet[[#This Row],[age]]&lt; 55,"4. Mature Adulthood (45-54)",TRUE,"5. Late Adulthood/Senior (55+)")</f>
        <v>2. Early Adulthood (25-34)</v>
      </c>
      <c r="D689" t="s">
        <v>15</v>
      </c>
      <c r="E689" t="s">
        <v>16</v>
      </c>
      <c r="F689" s="4">
        <v>0.75</v>
      </c>
      <c r="G689" s="5">
        <v>59</v>
      </c>
      <c r="H689" t="s">
        <v>70</v>
      </c>
      <c r="I689" t="s">
        <v>57</v>
      </c>
      <c r="J689" s="6">
        <v>8.99</v>
      </c>
      <c r="K689">
        <v>1</v>
      </c>
      <c r="L689" t="s">
        <v>29</v>
      </c>
      <c r="M689" s="5">
        <v>2</v>
      </c>
      <c r="N689" s="4">
        <v>0.01</v>
      </c>
      <c r="O689" t="s">
        <v>34</v>
      </c>
    </row>
    <row r="690" spans="1:15" x14ac:dyDescent="0.3">
      <c r="A690" t="s">
        <v>2164</v>
      </c>
      <c r="B690" s="5">
        <v>25</v>
      </c>
      <c r="C690" s="5" t="str" cm="1">
        <f t="array" ref="C690">_xlfn.IFS(worksheet[[#This Row],[age]]&lt;25,"1. Young Adulthood (18-24)",worksheet[[#This Row],[age]]&lt; 35,"2. Early Adulthood (25-34)",worksheet[[#This Row],[age]]&lt; 45,"3. Mid Adulthood (35-44)",worksheet[[#This Row],[age]]&lt; 55,"4. Mature Adulthood (45-54)",TRUE,"5. Late Adulthood/Senior (55+)")</f>
        <v>2. Early Adulthood (25-34)</v>
      </c>
      <c r="D690" t="s">
        <v>41</v>
      </c>
      <c r="E690" t="s">
        <v>22</v>
      </c>
      <c r="F690" s="4">
        <v>4.45</v>
      </c>
      <c r="G690" s="5">
        <v>41</v>
      </c>
      <c r="H690" t="s">
        <v>70</v>
      </c>
      <c r="I690" t="s">
        <v>18</v>
      </c>
      <c r="J690" s="6">
        <v>13.99</v>
      </c>
      <c r="K690">
        <v>1</v>
      </c>
      <c r="L690" t="s">
        <v>19</v>
      </c>
      <c r="M690" s="5">
        <v>2</v>
      </c>
      <c r="N690" s="4">
        <v>0.11</v>
      </c>
      <c r="O690" t="s">
        <v>52</v>
      </c>
    </row>
    <row r="691" spans="1:15" x14ac:dyDescent="0.3">
      <c r="A691" t="s">
        <v>2166</v>
      </c>
      <c r="B691" s="5">
        <v>33</v>
      </c>
      <c r="C691" s="5" t="str" cm="1">
        <f t="array" ref="C691">_xlfn.IFS(worksheet[[#This Row],[age]]&lt;25,"1. Young Adulthood (18-24)",worksheet[[#This Row],[age]]&lt; 35,"2. Early Adulthood (25-34)",worksheet[[#This Row],[age]]&lt; 45,"3. Mid Adulthood (35-44)",worksheet[[#This Row],[age]]&lt; 55,"4. Mature Adulthood (45-54)",TRUE,"5. Late Adulthood/Senior (55+)")</f>
        <v>2. Early Adulthood (25-34)</v>
      </c>
      <c r="D691" t="s">
        <v>27</v>
      </c>
      <c r="E691" t="s">
        <v>16</v>
      </c>
      <c r="F691" s="4">
        <v>0.6</v>
      </c>
      <c r="G691" s="5">
        <v>41</v>
      </c>
      <c r="H691" t="s">
        <v>49</v>
      </c>
      <c r="I691" t="s">
        <v>57</v>
      </c>
      <c r="J691" s="6">
        <v>8.99</v>
      </c>
      <c r="K691">
        <v>1</v>
      </c>
      <c r="L691" t="s">
        <v>37</v>
      </c>
      <c r="M691" s="5">
        <v>3</v>
      </c>
      <c r="N691" s="4">
        <v>0.01</v>
      </c>
      <c r="O691" t="s">
        <v>52</v>
      </c>
    </row>
    <row r="692" spans="1:15" x14ac:dyDescent="0.3">
      <c r="A692" t="s">
        <v>2176</v>
      </c>
      <c r="B692" s="5">
        <v>31</v>
      </c>
      <c r="C692" s="5" t="str" cm="1">
        <f t="array" ref="C692">_xlfn.IFS(worksheet[[#This Row],[age]]&lt;25,"1. Young Adulthood (18-24)",worksheet[[#This Row],[age]]&lt; 35,"2. Early Adulthood (25-34)",worksheet[[#This Row],[age]]&lt; 45,"3. Mid Adulthood (35-44)",worksheet[[#This Row],[age]]&lt; 55,"4. Mature Adulthood (45-54)",TRUE,"5. Late Adulthood/Senior (55+)")</f>
        <v>2. Early Adulthood (25-34)</v>
      </c>
      <c r="D692" t="s">
        <v>41</v>
      </c>
      <c r="E692" t="s">
        <v>22</v>
      </c>
      <c r="F692" s="4">
        <v>6.29</v>
      </c>
      <c r="G692" s="5">
        <v>24</v>
      </c>
      <c r="H692" t="s">
        <v>28</v>
      </c>
      <c r="I692" t="s">
        <v>46</v>
      </c>
      <c r="J692" s="6">
        <v>13.99</v>
      </c>
      <c r="K692">
        <v>0</v>
      </c>
      <c r="L692" t="s">
        <v>19</v>
      </c>
      <c r="M692" s="5">
        <v>3</v>
      </c>
      <c r="N692" s="4">
        <v>0.25</v>
      </c>
      <c r="O692" t="s">
        <v>25</v>
      </c>
    </row>
    <row r="693" spans="1:15" x14ac:dyDescent="0.3">
      <c r="A693" t="s">
        <v>2177</v>
      </c>
      <c r="B693" s="5">
        <v>34</v>
      </c>
      <c r="C693" s="5" t="str" cm="1">
        <f t="array" ref="C693">_xlfn.IFS(worksheet[[#This Row],[age]]&lt;25,"1. Young Adulthood (18-24)",worksheet[[#This Row],[age]]&lt; 35,"2. Early Adulthood (25-34)",worksheet[[#This Row],[age]]&lt; 45,"3. Mid Adulthood (35-44)",worksheet[[#This Row],[age]]&lt; 55,"4. Mature Adulthood (45-54)",TRUE,"5. Late Adulthood/Senior (55+)")</f>
        <v>2. Early Adulthood (25-34)</v>
      </c>
      <c r="D693" t="s">
        <v>41</v>
      </c>
      <c r="E693" t="s">
        <v>22</v>
      </c>
      <c r="F693" s="4">
        <v>45.52</v>
      </c>
      <c r="G693" s="5">
        <v>52</v>
      </c>
      <c r="H693" t="s">
        <v>49</v>
      </c>
      <c r="I693" t="s">
        <v>46</v>
      </c>
      <c r="J693" s="6">
        <v>13.99</v>
      </c>
      <c r="K693">
        <v>0</v>
      </c>
      <c r="L693" t="s">
        <v>61</v>
      </c>
      <c r="M693" s="5">
        <v>3</v>
      </c>
      <c r="N693" s="4">
        <v>0.86</v>
      </c>
      <c r="O693" t="s">
        <v>20</v>
      </c>
    </row>
    <row r="694" spans="1:15" x14ac:dyDescent="0.3">
      <c r="A694" t="s">
        <v>2178</v>
      </c>
      <c r="B694" s="5">
        <v>21</v>
      </c>
      <c r="C694" s="5" t="str" cm="1">
        <f t="array" ref="C694">_xlfn.IFS(worksheet[[#This Row],[age]]&lt;25,"1. Young Adulthood (18-24)",worksheet[[#This Row],[age]]&lt; 35,"2. Early Adulthood (25-34)",worksheet[[#This Row],[age]]&lt; 45,"3. Mid Adulthood (35-44)",worksheet[[#This Row],[age]]&lt; 55,"4. Mature Adulthood (45-54)",TRUE,"5. Late Adulthood/Senior (55+)")</f>
        <v>1. Young Adulthood (18-24)</v>
      </c>
      <c r="D694" t="s">
        <v>15</v>
      </c>
      <c r="E694" t="s">
        <v>16</v>
      </c>
      <c r="F694" s="4">
        <v>0.15</v>
      </c>
      <c r="G694" s="5">
        <v>48</v>
      </c>
      <c r="H694" t="s">
        <v>28</v>
      </c>
      <c r="I694" t="s">
        <v>24</v>
      </c>
      <c r="J694" s="6">
        <v>8.99</v>
      </c>
      <c r="K694">
        <v>1</v>
      </c>
      <c r="L694" t="s">
        <v>61</v>
      </c>
      <c r="M694" s="5">
        <v>4</v>
      </c>
      <c r="N694" s="4">
        <v>0</v>
      </c>
      <c r="O694" t="s">
        <v>20</v>
      </c>
    </row>
    <row r="695" spans="1:15" x14ac:dyDescent="0.3">
      <c r="A695" t="s">
        <v>2180</v>
      </c>
      <c r="B695" s="5">
        <v>30</v>
      </c>
      <c r="C695" s="5" t="str" cm="1">
        <f t="array" ref="C695">_xlfn.IFS(worksheet[[#This Row],[age]]&lt;25,"1. Young Adulthood (18-24)",worksheet[[#This Row],[age]]&lt; 35,"2. Early Adulthood (25-34)",worksheet[[#This Row],[age]]&lt; 45,"3. Mid Adulthood (35-44)",worksheet[[#This Row],[age]]&lt; 55,"4. Mature Adulthood (45-54)",TRUE,"5. Late Adulthood/Senior (55+)")</f>
        <v>2. Early Adulthood (25-34)</v>
      </c>
      <c r="D695" t="s">
        <v>41</v>
      </c>
      <c r="E695" t="s">
        <v>22</v>
      </c>
      <c r="F695" s="4">
        <v>2.27</v>
      </c>
      <c r="G695" s="5">
        <v>0</v>
      </c>
      <c r="H695" t="s">
        <v>70</v>
      </c>
      <c r="I695" t="s">
        <v>57</v>
      </c>
      <c r="J695" s="6">
        <v>13.99</v>
      </c>
      <c r="K695">
        <v>0</v>
      </c>
      <c r="L695" t="s">
        <v>29</v>
      </c>
      <c r="M695" s="5">
        <v>2</v>
      </c>
      <c r="N695" s="4">
        <v>2.27</v>
      </c>
      <c r="O695" t="s">
        <v>20</v>
      </c>
    </row>
    <row r="696" spans="1:15" x14ac:dyDescent="0.3">
      <c r="A696" t="s">
        <v>2182</v>
      </c>
      <c r="B696" s="5">
        <v>20</v>
      </c>
      <c r="C696" s="5" t="str" cm="1">
        <f t="array" ref="C696">_xlfn.IFS(worksheet[[#This Row],[age]]&lt;25,"1. Young Adulthood (18-24)",worksheet[[#This Row],[age]]&lt; 35,"2. Early Adulthood (25-34)",worksheet[[#This Row],[age]]&lt; 45,"3. Mid Adulthood (35-44)",worksheet[[#This Row],[age]]&lt; 55,"4. Mature Adulthood (45-54)",TRUE,"5. Late Adulthood/Senior (55+)")</f>
        <v>1. Young Adulthood (18-24)</v>
      </c>
      <c r="D696" t="s">
        <v>41</v>
      </c>
      <c r="E696" t="s">
        <v>22</v>
      </c>
      <c r="F696" s="4">
        <v>2.89</v>
      </c>
      <c r="G696" s="5">
        <v>13</v>
      </c>
      <c r="H696" t="s">
        <v>49</v>
      </c>
      <c r="I696" t="s">
        <v>55</v>
      </c>
      <c r="J696" s="6">
        <v>13.99</v>
      </c>
      <c r="K696">
        <v>1</v>
      </c>
      <c r="L696" t="s">
        <v>37</v>
      </c>
      <c r="M696" s="5">
        <v>2</v>
      </c>
      <c r="N696" s="4">
        <v>0.21</v>
      </c>
      <c r="O696" t="s">
        <v>25</v>
      </c>
    </row>
    <row r="697" spans="1:15" x14ac:dyDescent="0.3">
      <c r="A697" t="s">
        <v>2185</v>
      </c>
      <c r="B697" s="5">
        <v>31</v>
      </c>
      <c r="C697" s="5" t="str" cm="1">
        <f t="array" ref="C697">_xlfn.IFS(worksheet[[#This Row],[age]]&lt;25,"1. Young Adulthood (18-24)",worksheet[[#This Row],[age]]&lt; 35,"2. Early Adulthood (25-34)",worksheet[[#This Row],[age]]&lt; 45,"3. Mid Adulthood (35-44)",worksheet[[#This Row],[age]]&lt; 55,"4. Mature Adulthood (45-54)",TRUE,"5. Late Adulthood/Senior (55+)")</f>
        <v>2. Early Adulthood (25-34)</v>
      </c>
      <c r="D697" t="s">
        <v>41</v>
      </c>
      <c r="E697" t="s">
        <v>16</v>
      </c>
      <c r="F697" s="4">
        <v>7.69</v>
      </c>
      <c r="G697" s="5">
        <v>57</v>
      </c>
      <c r="H697" t="s">
        <v>23</v>
      </c>
      <c r="I697" t="s">
        <v>55</v>
      </c>
      <c r="J697" s="6">
        <v>8.99</v>
      </c>
      <c r="K697">
        <v>1</v>
      </c>
      <c r="L697" t="s">
        <v>19</v>
      </c>
      <c r="M697" s="5">
        <v>5</v>
      </c>
      <c r="N697" s="4">
        <v>0.13</v>
      </c>
      <c r="O697" t="s">
        <v>52</v>
      </c>
    </row>
    <row r="698" spans="1:15" x14ac:dyDescent="0.3">
      <c r="A698" t="s">
        <v>2188</v>
      </c>
      <c r="B698" s="5">
        <v>29</v>
      </c>
      <c r="C698" s="5" t="str" cm="1">
        <f t="array" ref="C698">_xlfn.IFS(worksheet[[#This Row],[age]]&lt;25,"1. Young Adulthood (18-24)",worksheet[[#This Row],[age]]&lt; 35,"2. Early Adulthood (25-34)",worksheet[[#This Row],[age]]&lt; 45,"3. Mid Adulthood (35-44)",worksheet[[#This Row],[age]]&lt; 55,"4. Mature Adulthood (45-54)",TRUE,"5. Late Adulthood/Senior (55+)")</f>
        <v>2. Early Adulthood (25-34)</v>
      </c>
      <c r="D698" t="s">
        <v>15</v>
      </c>
      <c r="E698" t="s">
        <v>32</v>
      </c>
      <c r="F698" s="4">
        <v>4.1900000000000004</v>
      </c>
      <c r="G698" s="5">
        <v>54</v>
      </c>
      <c r="H698" t="s">
        <v>49</v>
      </c>
      <c r="I698" t="s">
        <v>55</v>
      </c>
      <c r="J698" s="6">
        <v>17.989999999999998</v>
      </c>
      <c r="K698">
        <v>1</v>
      </c>
      <c r="L698" t="s">
        <v>61</v>
      </c>
      <c r="M698" s="5">
        <v>1</v>
      </c>
      <c r="N698" s="4">
        <v>0.08</v>
      </c>
      <c r="O698" t="s">
        <v>25</v>
      </c>
    </row>
    <row r="699" spans="1:15" x14ac:dyDescent="0.3">
      <c r="A699" t="s">
        <v>2189</v>
      </c>
      <c r="B699" s="5">
        <v>34</v>
      </c>
      <c r="C699" s="5" t="str" cm="1">
        <f t="array" ref="C699">_xlfn.IFS(worksheet[[#This Row],[age]]&lt;25,"1. Young Adulthood (18-24)",worksheet[[#This Row],[age]]&lt; 35,"2. Early Adulthood (25-34)",worksheet[[#This Row],[age]]&lt; 45,"3. Mid Adulthood (35-44)",worksheet[[#This Row],[age]]&lt; 55,"4. Mature Adulthood (45-54)",TRUE,"5. Late Adulthood/Senior (55+)")</f>
        <v>2. Early Adulthood (25-34)</v>
      </c>
      <c r="D699" t="s">
        <v>41</v>
      </c>
      <c r="E699" t="s">
        <v>22</v>
      </c>
      <c r="F699" s="4">
        <v>16.36</v>
      </c>
      <c r="G699" s="5">
        <v>22</v>
      </c>
      <c r="H699" t="s">
        <v>33</v>
      </c>
      <c r="I699" t="s">
        <v>55</v>
      </c>
      <c r="J699" s="6">
        <v>13.99</v>
      </c>
      <c r="K699">
        <v>0</v>
      </c>
      <c r="L699" t="s">
        <v>19</v>
      </c>
      <c r="M699" s="5">
        <v>2</v>
      </c>
      <c r="N699" s="4">
        <v>0.71</v>
      </c>
      <c r="O699" t="s">
        <v>39</v>
      </c>
    </row>
    <row r="700" spans="1:15" x14ac:dyDescent="0.3">
      <c r="A700" t="s">
        <v>2193</v>
      </c>
      <c r="B700" s="5">
        <v>27</v>
      </c>
      <c r="C700" s="5" t="str" cm="1">
        <f t="array" ref="C700">_xlfn.IFS(worksheet[[#This Row],[age]]&lt;25,"1. Young Adulthood (18-24)",worksheet[[#This Row],[age]]&lt; 35,"2. Early Adulthood (25-34)",worksheet[[#This Row],[age]]&lt; 45,"3. Mid Adulthood (35-44)",worksheet[[#This Row],[age]]&lt; 55,"4. Mature Adulthood (45-54)",TRUE,"5. Late Adulthood/Senior (55+)")</f>
        <v>2. Early Adulthood (25-34)</v>
      </c>
      <c r="D700" t="s">
        <v>41</v>
      </c>
      <c r="E700" t="s">
        <v>32</v>
      </c>
      <c r="F700" s="4">
        <v>6.31</v>
      </c>
      <c r="G700" s="5">
        <v>55</v>
      </c>
      <c r="H700" t="s">
        <v>17</v>
      </c>
      <c r="I700" t="s">
        <v>57</v>
      </c>
      <c r="J700" s="6">
        <v>17.989999999999998</v>
      </c>
      <c r="K700">
        <v>0</v>
      </c>
      <c r="L700" t="s">
        <v>43</v>
      </c>
      <c r="M700" s="5">
        <v>4</v>
      </c>
      <c r="N700" s="4">
        <v>0.11</v>
      </c>
      <c r="O700" t="s">
        <v>47</v>
      </c>
    </row>
    <row r="701" spans="1:15" x14ac:dyDescent="0.3">
      <c r="A701" t="s">
        <v>2197</v>
      </c>
      <c r="B701" s="5">
        <v>32</v>
      </c>
      <c r="C701" s="5" t="str" cm="1">
        <f t="array" ref="C701">_xlfn.IFS(worksheet[[#This Row],[age]]&lt;25,"1. Young Adulthood (18-24)",worksheet[[#This Row],[age]]&lt; 35,"2. Early Adulthood (25-34)",worksheet[[#This Row],[age]]&lt; 45,"3. Mid Adulthood (35-44)",worksheet[[#This Row],[age]]&lt; 55,"4. Mature Adulthood (45-54)",TRUE,"5. Late Adulthood/Senior (55+)")</f>
        <v>2. Early Adulthood (25-34)</v>
      </c>
      <c r="D701" t="s">
        <v>41</v>
      </c>
      <c r="E701" t="s">
        <v>32</v>
      </c>
      <c r="F701" s="4">
        <v>28.92</v>
      </c>
      <c r="G701" s="5">
        <v>15</v>
      </c>
      <c r="H701" t="s">
        <v>23</v>
      </c>
      <c r="I701" t="s">
        <v>57</v>
      </c>
      <c r="J701" s="6">
        <v>17.989999999999998</v>
      </c>
      <c r="K701">
        <v>0</v>
      </c>
      <c r="L701" t="s">
        <v>29</v>
      </c>
      <c r="M701" s="5">
        <v>4</v>
      </c>
      <c r="N701" s="4">
        <v>1.81</v>
      </c>
      <c r="O701" t="s">
        <v>39</v>
      </c>
    </row>
    <row r="702" spans="1:15" x14ac:dyDescent="0.3">
      <c r="A702" t="s">
        <v>2199</v>
      </c>
      <c r="B702" s="5">
        <v>27</v>
      </c>
      <c r="C702" s="5" t="str" cm="1">
        <f t="array" ref="C702">_xlfn.IFS(worksheet[[#This Row],[age]]&lt;25,"1. Young Adulthood (18-24)",worksheet[[#This Row],[age]]&lt; 35,"2. Early Adulthood (25-34)",worksheet[[#This Row],[age]]&lt; 45,"3. Mid Adulthood (35-44)",worksheet[[#This Row],[age]]&lt; 55,"4. Mature Adulthood (45-54)",TRUE,"5. Late Adulthood/Senior (55+)")</f>
        <v>2. Early Adulthood (25-34)</v>
      </c>
      <c r="D702" t="s">
        <v>27</v>
      </c>
      <c r="E702" t="s">
        <v>16</v>
      </c>
      <c r="F702" s="4">
        <v>35.36</v>
      </c>
      <c r="G702" s="5">
        <v>58</v>
      </c>
      <c r="H702" t="s">
        <v>28</v>
      </c>
      <c r="I702" t="s">
        <v>55</v>
      </c>
      <c r="J702" s="6">
        <v>8.99</v>
      </c>
      <c r="K702">
        <v>0</v>
      </c>
      <c r="L702" t="s">
        <v>43</v>
      </c>
      <c r="M702" s="5">
        <v>4</v>
      </c>
      <c r="N702" s="4">
        <v>0.6</v>
      </c>
      <c r="O702" t="s">
        <v>30</v>
      </c>
    </row>
    <row r="703" spans="1:15" x14ac:dyDescent="0.3">
      <c r="A703" t="s">
        <v>2203</v>
      </c>
      <c r="B703" s="5">
        <v>23</v>
      </c>
      <c r="C703" s="5" t="str" cm="1">
        <f t="array" ref="C703">_xlfn.IFS(worksheet[[#This Row],[age]]&lt;25,"1. Young Adulthood (18-24)",worksheet[[#This Row],[age]]&lt; 35,"2. Early Adulthood (25-34)",worksheet[[#This Row],[age]]&lt; 45,"3. Mid Adulthood (35-44)",worksheet[[#This Row],[age]]&lt; 55,"4. Mature Adulthood (45-54)",TRUE,"5. Late Adulthood/Senior (55+)")</f>
        <v>1. Young Adulthood (18-24)</v>
      </c>
      <c r="D703" t="s">
        <v>15</v>
      </c>
      <c r="E703" t="s">
        <v>32</v>
      </c>
      <c r="F703" s="4">
        <v>1.43</v>
      </c>
      <c r="G703" s="5">
        <v>30</v>
      </c>
      <c r="H703" t="s">
        <v>23</v>
      </c>
      <c r="I703" t="s">
        <v>18</v>
      </c>
      <c r="J703" s="6">
        <v>17.989999999999998</v>
      </c>
      <c r="K703">
        <v>1</v>
      </c>
      <c r="L703" t="s">
        <v>19</v>
      </c>
      <c r="M703" s="5">
        <v>5</v>
      </c>
      <c r="N703" s="4">
        <v>0.05</v>
      </c>
      <c r="O703" t="s">
        <v>25</v>
      </c>
    </row>
    <row r="704" spans="1:15" x14ac:dyDescent="0.3">
      <c r="A704" t="s">
        <v>2204</v>
      </c>
      <c r="B704" s="5">
        <v>21</v>
      </c>
      <c r="C704" s="5" t="str" cm="1">
        <f t="array" ref="C704">_xlfn.IFS(worksheet[[#This Row],[age]]&lt;25,"1. Young Adulthood (18-24)",worksheet[[#This Row],[age]]&lt; 35,"2. Early Adulthood (25-34)",worksheet[[#This Row],[age]]&lt; 45,"3. Mid Adulthood (35-44)",worksheet[[#This Row],[age]]&lt; 55,"4. Mature Adulthood (45-54)",TRUE,"5. Late Adulthood/Senior (55+)")</f>
        <v>1. Young Adulthood (18-24)</v>
      </c>
      <c r="D704" t="s">
        <v>41</v>
      </c>
      <c r="E704" t="s">
        <v>16</v>
      </c>
      <c r="F704" s="4">
        <v>0.92</v>
      </c>
      <c r="G704" s="5">
        <v>57</v>
      </c>
      <c r="H704" t="s">
        <v>17</v>
      </c>
      <c r="I704" t="s">
        <v>46</v>
      </c>
      <c r="J704" s="6">
        <v>8.99</v>
      </c>
      <c r="K704">
        <v>1</v>
      </c>
      <c r="L704" t="s">
        <v>29</v>
      </c>
      <c r="M704" s="5">
        <v>2</v>
      </c>
      <c r="N704" s="4">
        <v>0.02</v>
      </c>
      <c r="O704" t="s">
        <v>20</v>
      </c>
    </row>
    <row r="705" spans="1:15" x14ac:dyDescent="0.3">
      <c r="A705" t="s">
        <v>2207</v>
      </c>
      <c r="B705" s="5">
        <v>34</v>
      </c>
      <c r="C705" s="5" t="str" cm="1">
        <f t="array" ref="C705">_xlfn.IFS(worksheet[[#This Row],[age]]&lt;25,"1. Young Adulthood (18-24)",worksheet[[#This Row],[age]]&lt; 35,"2. Early Adulthood (25-34)",worksheet[[#This Row],[age]]&lt; 45,"3. Mid Adulthood (35-44)",worksheet[[#This Row],[age]]&lt; 55,"4. Mature Adulthood (45-54)",TRUE,"5. Late Adulthood/Senior (55+)")</f>
        <v>2. Early Adulthood (25-34)</v>
      </c>
      <c r="D705" t="s">
        <v>41</v>
      </c>
      <c r="E705" t="s">
        <v>32</v>
      </c>
      <c r="F705" s="4">
        <v>18.98</v>
      </c>
      <c r="G705" s="5">
        <v>40</v>
      </c>
      <c r="H705" t="s">
        <v>17</v>
      </c>
      <c r="I705" t="s">
        <v>57</v>
      </c>
      <c r="J705" s="6">
        <v>17.989999999999998</v>
      </c>
      <c r="K705">
        <v>0</v>
      </c>
      <c r="L705" t="s">
        <v>61</v>
      </c>
      <c r="M705" s="5">
        <v>5</v>
      </c>
      <c r="N705" s="4">
        <v>0.46</v>
      </c>
      <c r="O705" t="s">
        <v>52</v>
      </c>
    </row>
    <row r="706" spans="1:15" x14ac:dyDescent="0.3">
      <c r="A706" t="s">
        <v>2211</v>
      </c>
      <c r="B706" s="5">
        <v>22</v>
      </c>
      <c r="C706" s="5" t="str" cm="1">
        <f t="array" ref="C706">_xlfn.IFS(worksheet[[#This Row],[age]]&lt;25,"1. Young Adulthood (18-24)",worksheet[[#This Row],[age]]&lt; 35,"2. Early Adulthood (25-34)",worksheet[[#This Row],[age]]&lt; 45,"3. Mid Adulthood (35-44)",worksheet[[#This Row],[age]]&lt; 55,"4. Mature Adulthood (45-54)",TRUE,"5. Late Adulthood/Senior (55+)")</f>
        <v>1. Young Adulthood (18-24)</v>
      </c>
      <c r="D706" t="s">
        <v>27</v>
      </c>
      <c r="E706" t="s">
        <v>22</v>
      </c>
      <c r="F706" s="4">
        <v>0.48</v>
      </c>
      <c r="G706" s="5">
        <v>24</v>
      </c>
      <c r="H706" t="s">
        <v>70</v>
      </c>
      <c r="I706" t="s">
        <v>55</v>
      </c>
      <c r="J706" s="6">
        <v>13.99</v>
      </c>
      <c r="K706">
        <v>1</v>
      </c>
      <c r="L706" t="s">
        <v>19</v>
      </c>
      <c r="M706" s="5">
        <v>2</v>
      </c>
      <c r="N706" s="4">
        <v>0.02</v>
      </c>
      <c r="O706" t="s">
        <v>39</v>
      </c>
    </row>
    <row r="707" spans="1:15" x14ac:dyDescent="0.3">
      <c r="A707" t="s">
        <v>2215</v>
      </c>
      <c r="B707" s="5">
        <v>21</v>
      </c>
      <c r="C707" s="5" t="str" cm="1">
        <f t="array" ref="C707">_xlfn.IFS(worksheet[[#This Row],[age]]&lt;25,"1. Young Adulthood (18-24)",worksheet[[#This Row],[age]]&lt; 35,"2. Early Adulthood (25-34)",worksheet[[#This Row],[age]]&lt; 45,"3. Mid Adulthood (35-44)",worksheet[[#This Row],[age]]&lt; 55,"4. Mature Adulthood (45-54)",TRUE,"5. Late Adulthood/Senior (55+)")</f>
        <v>1. Young Adulthood (18-24)</v>
      </c>
      <c r="D707" t="s">
        <v>15</v>
      </c>
      <c r="E707" t="s">
        <v>32</v>
      </c>
      <c r="F707" s="4">
        <v>0.2</v>
      </c>
      <c r="G707" s="5">
        <v>21</v>
      </c>
      <c r="H707" t="s">
        <v>33</v>
      </c>
      <c r="I707" t="s">
        <v>24</v>
      </c>
      <c r="J707" s="6">
        <v>17.989999999999998</v>
      </c>
      <c r="K707">
        <v>0</v>
      </c>
      <c r="L707" t="s">
        <v>37</v>
      </c>
      <c r="M707" s="5">
        <v>5</v>
      </c>
      <c r="N707" s="4">
        <v>0.01</v>
      </c>
      <c r="O707" t="s">
        <v>30</v>
      </c>
    </row>
    <row r="708" spans="1:15" x14ac:dyDescent="0.3">
      <c r="A708" t="s">
        <v>2217</v>
      </c>
      <c r="B708" s="5">
        <v>33</v>
      </c>
      <c r="C708" s="5" t="str" cm="1">
        <f t="array" ref="C708">_xlfn.IFS(worksheet[[#This Row],[age]]&lt;25,"1. Young Adulthood (18-24)",worksheet[[#This Row],[age]]&lt; 35,"2. Early Adulthood (25-34)",worksheet[[#This Row],[age]]&lt; 45,"3. Mid Adulthood (35-44)",worksheet[[#This Row],[age]]&lt; 55,"4. Mature Adulthood (45-54)",TRUE,"5. Late Adulthood/Senior (55+)")</f>
        <v>2. Early Adulthood (25-34)</v>
      </c>
      <c r="D708" t="s">
        <v>27</v>
      </c>
      <c r="E708" t="s">
        <v>32</v>
      </c>
      <c r="F708" s="4">
        <v>18.3</v>
      </c>
      <c r="G708" s="5">
        <v>14</v>
      </c>
      <c r="H708" t="s">
        <v>23</v>
      </c>
      <c r="I708" t="s">
        <v>57</v>
      </c>
      <c r="J708" s="6">
        <v>17.989999999999998</v>
      </c>
      <c r="K708">
        <v>0</v>
      </c>
      <c r="L708" t="s">
        <v>29</v>
      </c>
      <c r="M708" s="5">
        <v>1</v>
      </c>
      <c r="N708" s="4">
        <v>1.22</v>
      </c>
      <c r="O708" t="s">
        <v>25</v>
      </c>
    </row>
    <row r="709" spans="1:15" x14ac:dyDescent="0.3">
      <c r="A709" t="s">
        <v>2221</v>
      </c>
      <c r="B709" s="5">
        <v>25</v>
      </c>
      <c r="C709" s="5" t="str" cm="1">
        <f t="array" ref="C709">_xlfn.IFS(worksheet[[#This Row],[age]]&lt;25,"1. Young Adulthood (18-24)",worksheet[[#This Row],[age]]&lt; 35,"2. Early Adulthood (25-34)",worksheet[[#This Row],[age]]&lt; 45,"3. Mid Adulthood (35-44)",worksheet[[#This Row],[age]]&lt; 55,"4. Mature Adulthood (45-54)",TRUE,"5. Late Adulthood/Senior (55+)")</f>
        <v>2. Early Adulthood (25-34)</v>
      </c>
      <c r="D709" t="s">
        <v>41</v>
      </c>
      <c r="E709" t="s">
        <v>16</v>
      </c>
      <c r="F709" s="4">
        <v>5.88</v>
      </c>
      <c r="G709" s="5">
        <v>0</v>
      </c>
      <c r="H709" t="s">
        <v>23</v>
      </c>
      <c r="I709" t="s">
        <v>24</v>
      </c>
      <c r="J709" s="6">
        <v>8.99</v>
      </c>
      <c r="K709">
        <v>0</v>
      </c>
      <c r="L709" t="s">
        <v>61</v>
      </c>
      <c r="M709" s="5">
        <v>3</v>
      </c>
      <c r="N709" s="4">
        <v>5.88</v>
      </c>
      <c r="O709" t="s">
        <v>30</v>
      </c>
    </row>
    <row r="710" spans="1:15" x14ac:dyDescent="0.3">
      <c r="A710" t="s">
        <v>2223</v>
      </c>
      <c r="B710" s="5">
        <v>18</v>
      </c>
      <c r="C710" s="5" t="str" cm="1">
        <f t="array" ref="C710">_xlfn.IFS(worksheet[[#This Row],[age]]&lt;25,"1. Young Adulthood (18-24)",worksheet[[#This Row],[age]]&lt; 35,"2. Early Adulthood (25-34)",worksheet[[#This Row],[age]]&lt; 45,"3. Mid Adulthood (35-44)",worksheet[[#This Row],[age]]&lt; 55,"4. Mature Adulthood (45-54)",TRUE,"5. Late Adulthood/Senior (55+)")</f>
        <v>1. Young Adulthood (18-24)</v>
      </c>
      <c r="D710" t="s">
        <v>41</v>
      </c>
      <c r="E710" t="s">
        <v>32</v>
      </c>
      <c r="F710" s="4">
        <v>28.08</v>
      </c>
      <c r="G710" s="5">
        <v>11</v>
      </c>
      <c r="H710" t="s">
        <v>33</v>
      </c>
      <c r="I710" t="s">
        <v>46</v>
      </c>
      <c r="J710" s="6">
        <v>17.989999999999998</v>
      </c>
      <c r="K710">
        <v>0</v>
      </c>
      <c r="L710" t="s">
        <v>19</v>
      </c>
      <c r="M710" s="5">
        <v>2</v>
      </c>
      <c r="N710" s="4">
        <v>2.34</v>
      </c>
      <c r="O710" t="s">
        <v>39</v>
      </c>
    </row>
    <row r="711" spans="1:15" x14ac:dyDescent="0.3">
      <c r="A711" t="s">
        <v>2237</v>
      </c>
      <c r="B711" s="5">
        <v>22</v>
      </c>
      <c r="C711" s="5" t="str" cm="1">
        <f t="array" ref="C711">_xlfn.IFS(worksheet[[#This Row],[age]]&lt;25,"1. Young Adulthood (18-24)",worksheet[[#This Row],[age]]&lt; 35,"2. Early Adulthood (25-34)",worksheet[[#This Row],[age]]&lt; 45,"3. Mid Adulthood (35-44)",worksheet[[#This Row],[age]]&lt; 55,"4. Mature Adulthood (45-54)",TRUE,"5. Late Adulthood/Senior (55+)")</f>
        <v>1. Young Adulthood (18-24)</v>
      </c>
      <c r="D711" t="s">
        <v>15</v>
      </c>
      <c r="E711" t="s">
        <v>22</v>
      </c>
      <c r="F711" s="4">
        <v>5.32</v>
      </c>
      <c r="G711" s="5">
        <v>16</v>
      </c>
      <c r="H711" t="s">
        <v>28</v>
      </c>
      <c r="I711" t="s">
        <v>46</v>
      </c>
      <c r="J711" s="6">
        <v>13.99</v>
      </c>
      <c r="K711">
        <v>0</v>
      </c>
      <c r="L711" t="s">
        <v>61</v>
      </c>
      <c r="M711" s="5">
        <v>3</v>
      </c>
      <c r="N711" s="4">
        <v>0.31</v>
      </c>
      <c r="O711" t="s">
        <v>47</v>
      </c>
    </row>
    <row r="712" spans="1:15" x14ac:dyDescent="0.3">
      <c r="A712" t="s">
        <v>2239</v>
      </c>
      <c r="B712" s="5">
        <v>18</v>
      </c>
      <c r="C712" s="5" t="str" cm="1">
        <f t="array" ref="C712">_xlfn.IFS(worksheet[[#This Row],[age]]&lt;25,"1. Young Adulthood (18-24)",worksheet[[#This Row],[age]]&lt; 35,"2. Early Adulthood (25-34)",worksheet[[#This Row],[age]]&lt; 45,"3. Mid Adulthood (35-44)",worksheet[[#This Row],[age]]&lt; 55,"4. Mature Adulthood (45-54)",TRUE,"5. Late Adulthood/Senior (55+)")</f>
        <v>1. Young Adulthood (18-24)</v>
      </c>
      <c r="D712" t="s">
        <v>15</v>
      </c>
      <c r="E712" t="s">
        <v>32</v>
      </c>
      <c r="F712" s="4">
        <v>25.3</v>
      </c>
      <c r="G712" s="5">
        <v>51</v>
      </c>
      <c r="H712" t="s">
        <v>70</v>
      </c>
      <c r="I712" t="s">
        <v>18</v>
      </c>
      <c r="J712" s="6">
        <v>17.989999999999998</v>
      </c>
      <c r="K712">
        <v>0</v>
      </c>
      <c r="L712" t="s">
        <v>29</v>
      </c>
      <c r="M712" s="5">
        <v>3</v>
      </c>
      <c r="N712" s="4">
        <v>0.49</v>
      </c>
      <c r="O712" t="s">
        <v>34</v>
      </c>
    </row>
    <row r="713" spans="1:15" x14ac:dyDescent="0.3">
      <c r="A713" t="s">
        <v>2240</v>
      </c>
      <c r="B713" s="5">
        <v>22</v>
      </c>
      <c r="C713" s="5" t="str" cm="1">
        <f t="array" ref="C713">_xlfn.IFS(worksheet[[#This Row],[age]]&lt;25,"1. Young Adulthood (18-24)",worksheet[[#This Row],[age]]&lt; 35,"2. Early Adulthood (25-34)",worksheet[[#This Row],[age]]&lt; 45,"3. Mid Adulthood (35-44)",worksheet[[#This Row],[age]]&lt; 55,"4. Mature Adulthood (45-54)",TRUE,"5. Late Adulthood/Senior (55+)")</f>
        <v>1. Young Adulthood (18-24)</v>
      </c>
      <c r="D713" t="s">
        <v>27</v>
      </c>
      <c r="E713" t="s">
        <v>16</v>
      </c>
      <c r="F713" s="4">
        <v>16.66</v>
      </c>
      <c r="G713" s="5">
        <v>18</v>
      </c>
      <c r="H713" t="s">
        <v>49</v>
      </c>
      <c r="I713" t="s">
        <v>24</v>
      </c>
      <c r="J713" s="6">
        <v>8.99</v>
      </c>
      <c r="K713">
        <v>0</v>
      </c>
      <c r="L713" t="s">
        <v>43</v>
      </c>
      <c r="M713" s="5">
        <v>1</v>
      </c>
      <c r="N713" s="4">
        <v>0.88</v>
      </c>
      <c r="O713" t="s">
        <v>47</v>
      </c>
    </row>
    <row r="714" spans="1:15" x14ac:dyDescent="0.3">
      <c r="A714" t="s">
        <v>2241</v>
      </c>
      <c r="B714" s="5">
        <v>18</v>
      </c>
      <c r="C714" s="5" t="str" cm="1">
        <f t="array" ref="C714">_xlfn.IFS(worksheet[[#This Row],[age]]&lt;25,"1. Young Adulthood (18-24)",worksheet[[#This Row],[age]]&lt; 35,"2. Early Adulthood (25-34)",worksheet[[#This Row],[age]]&lt; 45,"3. Mid Adulthood (35-44)",worksheet[[#This Row],[age]]&lt; 55,"4. Mature Adulthood (45-54)",TRUE,"5. Late Adulthood/Senior (55+)")</f>
        <v>1. Young Adulthood (18-24)</v>
      </c>
      <c r="D714" t="s">
        <v>41</v>
      </c>
      <c r="E714" t="s">
        <v>22</v>
      </c>
      <c r="F714" s="4">
        <v>1.68</v>
      </c>
      <c r="G714" s="5">
        <v>19</v>
      </c>
      <c r="H714" t="s">
        <v>49</v>
      </c>
      <c r="I714" t="s">
        <v>46</v>
      </c>
      <c r="J714" s="6">
        <v>13.99</v>
      </c>
      <c r="K714">
        <v>1</v>
      </c>
      <c r="L714" t="s">
        <v>29</v>
      </c>
      <c r="M714" s="5">
        <v>4</v>
      </c>
      <c r="N714" s="4">
        <v>0.08</v>
      </c>
      <c r="O714" t="s">
        <v>25</v>
      </c>
    </row>
    <row r="715" spans="1:15" x14ac:dyDescent="0.3">
      <c r="A715" t="s">
        <v>2247</v>
      </c>
      <c r="B715" s="5">
        <v>19</v>
      </c>
      <c r="C715" s="5" t="str" cm="1">
        <f t="array" ref="C715">_xlfn.IFS(worksheet[[#This Row],[age]]&lt;25,"1. Young Adulthood (18-24)",worksheet[[#This Row],[age]]&lt; 35,"2. Early Adulthood (25-34)",worksheet[[#This Row],[age]]&lt; 45,"3. Mid Adulthood (35-44)",worksheet[[#This Row],[age]]&lt; 55,"4. Mature Adulthood (45-54)",TRUE,"5. Late Adulthood/Senior (55+)")</f>
        <v>1. Young Adulthood (18-24)</v>
      </c>
      <c r="D715" t="s">
        <v>41</v>
      </c>
      <c r="E715" t="s">
        <v>32</v>
      </c>
      <c r="F715" s="4">
        <v>0.17</v>
      </c>
      <c r="G715" s="5">
        <v>9</v>
      </c>
      <c r="H715" t="s">
        <v>49</v>
      </c>
      <c r="I715" t="s">
        <v>55</v>
      </c>
      <c r="J715" s="6">
        <v>17.989999999999998</v>
      </c>
      <c r="K715">
        <v>0</v>
      </c>
      <c r="L715" t="s">
        <v>37</v>
      </c>
      <c r="M715" s="5">
        <v>4</v>
      </c>
      <c r="N715" s="4">
        <v>0.02</v>
      </c>
      <c r="O715" t="s">
        <v>34</v>
      </c>
    </row>
    <row r="716" spans="1:15" x14ac:dyDescent="0.3">
      <c r="A716" t="s">
        <v>2250</v>
      </c>
      <c r="B716" s="5">
        <v>25</v>
      </c>
      <c r="C716" s="5" t="str" cm="1">
        <f t="array" ref="C716">_xlfn.IFS(worksheet[[#This Row],[age]]&lt;25,"1. Young Adulthood (18-24)",worksheet[[#This Row],[age]]&lt; 35,"2. Early Adulthood (25-34)",worksheet[[#This Row],[age]]&lt; 45,"3. Mid Adulthood (35-44)",worksheet[[#This Row],[age]]&lt; 55,"4. Mature Adulthood (45-54)",TRUE,"5. Late Adulthood/Senior (55+)")</f>
        <v>2. Early Adulthood (25-34)</v>
      </c>
      <c r="D716" t="s">
        <v>27</v>
      </c>
      <c r="E716" t="s">
        <v>32</v>
      </c>
      <c r="F716" s="4">
        <v>36.4</v>
      </c>
      <c r="G716" s="5">
        <v>28</v>
      </c>
      <c r="H716" t="s">
        <v>23</v>
      </c>
      <c r="I716" t="s">
        <v>24</v>
      </c>
      <c r="J716" s="6">
        <v>17.989999999999998</v>
      </c>
      <c r="K716">
        <v>0</v>
      </c>
      <c r="L716" t="s">
        <v>29</v>
      </c>
      <c r="M716" s="5">
        <v>5</v>
      </c>
      <c r="N716" s="4">
        <v>1.26</v>
      </c>
      <c r="O716" t="s">
        <v>30</v>
      </c>
    </row>
    <row r="717" spans="1:15" x14ac:dyDescent="0.3">
      <c r="A717" t="s">
        <v>2251</v>
      </c>
      <c r="B717" s="5">
        <v>23</v>
      </c>
      <c r="C717" s="5" t="str" cm="1">
        <f t="array" ref="C717">_xlfn.IFS(worksheet[[#This Row],[age]]&lt;25,"1. Young Adulthood (18-24)",worksheet[[#This Row],[age]]&lt; 35,"2. Early Adulthood (25-34)",worksheet[[#This Row],[age]]&lt; 45,"3. Mid Adulthood (35-44)",worksheet[[#This Row],[age]]&lt; 55,"4. Mature Adulthood (45-54)",TRUE,"5. Late Adulthood/Senior (55+)")</f>
        <v>1. Young Adulthood (18-24)</v>
      </c>
      <c r="D717" t="s">
        <v>27</v>
      </c>
      <c r="E717" t="s">
        <v>22</v>
      </c>
      <c r="F717" s="4">
        <v>51.87</v>
      </c>
      <c r="G717" s="5">
        <v>25</v>
      </c>
      <c r="H717" t="s">
        <v>28</v>
      </c>
      <c r="I717" t="s">
        <v>55</v>
      </c>
      <c r="J717" s="6">
        <v>13.99</v>
      </c>
      <c r="K717">
        <v>0</v>
      </c>
      <c r="L717" t="s">
        <v>29</v>
      </c>
      <c r="M717" s="5">
        <v>2</v>
      </c>
      <c r="N717" s="4">
        <v>1.99</v>
      </c>
      <c r="O717" t="s">
        <v>20</v>
      </c>
    </row>
    <row r="718" spans="1:15" x14ac:dyDescent="0.3">
      <c r="A718" t="s">
        <v>2252</v>
      </c>
      <c r="B718" s="5">
        <v>21</v>
      </c>
      <c r="C718" s="5" t="str" cm="1">
        <f t="array" ref="C718">_xlfn.IFS(worksheet[[#This Row],[age]]&lt;25,"1. Young Adulthood (18-24)",worksheet[[#This Row],[age]]&lt; 35,"2. Early Adulthood (25-34)",worksheet[[#This Row],[age]]&lt; 45,"3. Mid Adulthood (35-44)",worksheet[[#This Row],[age]]&lt; 55,"4. Mature Adulthood (45-54)",TRUE,"5. Late Adulthood/Senior (55+)")</f>
        <v>1. Young Adulthood (18-24)</v>
      </c>
      <c r="D718" t="s">
        <v>27</v>
      </c>
      <c r="E718" t="s">
        <v>22</v>
      </c>
      <c r="F718" s="4">
        <v>14.17</v>
      </c>
      <c r="G718" s="5">
        <v>60</v>
      </c>
      <c r="H718" t="s">
        <v>70</v>
      </c>
      <c r="I718" t="s">
        <v>18</v>
      </c>
      <c r="J718" s="6">
        <v>13.99</v>
      </c>
      <c r="K718">
        <v>1</v>
      </c>
      <c r="L718" t="s">
        <v>19</v>
      </c>
      <c r="M718" s="5">
        <v>5</v>
      </c>
      <c r="N718" s="4">
        <v>0.23</v>
      </c>
      <c r="O718" t="s">
        <v>52</v>
      </c>
    </row>
    <row r="719" spans="1:15" x14ac:dyDescent="0.3">
      <c r="A719" t="s">
        <v>2253</v>
      </c>
      <c r="B719" s="5">
        <v>29</v>
      </c>
      <c r="C719" s="5" t="str" cm="1">
        <f t="array" ref="C719">_xlfn.IFS(worksheet[[#This Row],[age]]&lt;25,"1. Young Adulthood (18-24)",worksheet[[#This Row],[age]]&lt; 35,"2. Early Adulthood (25-34)",worksheet[[#This Row],[age]]&lt; 45,"3. Mid Adulthood (35-44)",worksheet[[#This Row],[age]]&lt; 55,"4. Mature Adulthood (45-54)",TRUE,"5. Late Adulthood/Senior (55+)")</f>
        <v>2. Early Adulthood (25-34)</v>
      </c>
      <c r="D719" t="s">
        <v>27</v>
      </c>
      <c r="E719" t="s">
        <v>16</v>
      </c>
      <c r="F719" s="4">
        <v>0.39</v>
      </c>
      <c r="G719" s="5">
        <v>45</v>
      </c>
      <c r="H719" t="s">
        <v>17</v>
      </c>
      <c r="I719" t="s">
        <v>18</v>
      </c>
      <c r="J719" s="6">
        <v>8.99</v>
      </c>
      <c r="K719">
        <v>1</v>
      </c>
      <c r="L719" t="s">
        <v>37</v>
      </c>
      <c r="M719" s="5">
        <v>5</v>
      </c>
      <c r="N719" s="4">
        <v>0.01</v>
      </c>
      <c r="O719" t="s">
        <v>47</v>
      </c>
    </row>
    <row r="720" spans="1:15" x14ac:dyDescent="0.3">
      <c r="A720" t="s">
        <v>2254</v>
      </c>
      <c r="B720" s="5">
        <v>34</v>
      </c>
      <c r="C720" s="5" t="str" cm="1">
        <f t="array" ref="C720">_xlfn.IFS(worksheet[[#This Row],[age]]&lt;25,"1. Young Adulthood (18-24)",worksheet[[#This Row],[age]]&lt; 35,"2. Early Adulthood (25-34)",worksheet[[#This Row],[age]]&lt; 45,"3. Mid Adulthood (35-44)",worksheet[[#This Row],[age]]&lt; 55,"4. Mature Adulthood (45-54)",TRUE,"5. Late Adulthood/Senior (55+)")</f>
        <v>2. Early Adulthood (25-34)</v>
      </c>
      <c r="D720" t="s">
        <v>27</v>
      </c>
      <c r="E720" t="s">
        <v>22</v>
      </c>
      <c r="F720" s="4">
        <v>5.67</v>
      </c>
      <c r="G720" s="5">
        <v>20</v>
      </c>
      <c r="H720" t="s">
        <v>49</v>
      </c>
      <c r="I720" t="s">
        <v>24</v>
      </c>
      <c r="J720" s="6">
        <v>13.99</v>
      </c>
      <c r="K720">
        <v>0</v>
      </c>
      <c r="L720" t="s">
        <v>29</v>
      </c>
      <c r="M720" s="5">
        <v>4</v>
      </c>
      <c r="N720" s="4">
        <v>0.27</v>
      </c>
      <c r="O720" t="s">
        <v>25</v>
      </c>
    </row>
    <row r="721" spans="1:15" x14ac:dyDescent="0.3">
      <c r="A721" t="s">
        <v>2257</v>
      </c>
      <c r="B721" s="5">
        <v>31</v>
      </c>
      <c r="C721" s="5" t="str" cm="1">
        <f t="array" ref="C721">_xlfn.IFS(worksheet[[#This Row],[age]]&lt;25,"1. Young Adulthood (18-24)",worksheet[[#This Row],[age]]&lt; 35,"2. Early Adulthood (25-34)",worksheet[[#This Row],[age]]&lt; 45,"3. Mid Adulthood (35-44)",worksheet[[#This Row],[age]]&lt; 55,"4. Mature Adulthood (45-54)",TRUE,"5. Late Adulthood/Senior (55+)")</f>
        <v>2. Early Adulthood (25-34)</v>
      </c>
      <c r="D721" t="s">
        <v>41</v>
      </c>
      <c r="E721" t="s">
        <v>22</v>
      </c>
      <c r="F721" s="4">
        <v>6.11</v>
      </c>
      <c r="G721" s="5">
        <v>17</v>
      </c>
      <c r="H721" t="s">
        <v>23</v>
      </c>
      <c r="I721" t="s">
        <v>24</v>
      </c>
      <c r="J721" s="6">
        <v>13.99</v>
      </c>
      <c r="K721">
        <v>0</v>
      </c>
      <c r="L721" t="s">
        <v>61</v>
      </c>
      <c r="M721" s="5">
        <v>5</v>
      </c>
      <c r="N721" s="4">
        <v>0.34</v>
      </c>
      <c r="O721" t="s">
        <v>25</v>
      </c>
    </row>
    <row r="722" spans="1:15" x14ac:dyDescent="0.3">
      <c r="A722" t="s">
        <v>2260</v>
      </c>
      <c r="B722" s="5">
        <v>26</v>
      </c>
      <c r="C722" s="5" t="str" cm="1">
        <f t="array" ref="C722">_xlfn.IFS(worksheet[[#This Row],[age]]&lt;25,"1. Young Adulthood (18-24)",worksheet[[#This Row],[age]]&lt; 35,"2. Early Adulthood (25-34)",worksheet[[#This Row],[age]]&lt; 45,"3. Mid Adulthood (35-44)",worksheet[[#This Row],[age]]&lt; 55,"4. Mature Adulthood (45-54)",TRUE,"5. Late Adulthood/Senior (55+)")</f>
        <v>2. Early Adulthood (25-34)</v>
      </c>
      <c r="D722" t="s">
        <v>27</v>
      </c>
      <c r="E722" t="s">
        <v>22</v>
      </c>
      <c r="F722" s="4">
        <v>5.67</v>
      </c>
      <c r="G722" s="5">
        <v>36</v>
      </c>
      <c r="H722" t="s">
        <v>49</v>
      </c>
      <c r="I722" t="s">
        <v>18</v>
      </c>
      <c r="J722" s="6">
        <v>13.99</v>
      </c>
      <c r="K722">
        <v>0</v>
      </c>
      <c r="L722" t="s">
        <v>43</v>
      </c>
      <c r="M722" s="5">
        <v>5</v>
      </c>
      <c r="N722" s="4">
        <v>0.15</v>
      </c>
      <c r="O722" t="s">
        <v>25</v>
      </c>
    </row>
    <row r="723" spans="1:15" x14ac:dyDescent="0.3">
      <c r="A723" t="s">
        <v>2261</v>
      </c>
      <c r="B723" s="5">
        <v>30</v>
      </c>
      <c r="C723" s="5" t="str" cm="1">
        <f t="array" ref="C723">_xlfn.IFS(worksheet[[#This Row],[age]]&lt;25,"1. Young Adulthood (18-24)",worksheet[[#This Row],[age]]&lt; 35,"2. Early Adulthood (25-34)",worksheet[[#This Row],[age]]&lt; 45,"3. Mid Adulthood (35-44)",worksheet[[#This Row],[age]]&lt; 55,"4. Mature Adulthood (45-54)",TRUE,"5. Late Adulthood/Senior (55+)")</f>
        <v>2. Early Adulthood (25-34)</v>
      </c>
      <c r="D723" t="s">
        <v>15</v>
      </c>
      <c r="E723" t="s">
        <v>16</v>
      </c>
      <c r="F723" s="4">
        <v>0.28000000000000003</v>
      </c>
      <c r="G723" s="5">
        <v>56</v>
      </c>
      <c r="H723" t="s">
        <v>17</v>
      </c>
      <c r="I723" t="s">
        <v>24</v>
      </c>
      <c r="J723" s="6">
        <v>8.99</v>
      </c>
      <c r="K723">
        <v>1</v>
      </c>
      <c r="L723" t="s">
        <v>43</v>
      </c>
      <c r="M723" s="5">
        <v>2</v>
      </c>
      <c r="N723" s="4">
        <v>0</v>
      </c>
      <c r="O723" t="s">
        <v>34</v>
      </c>
    </row>
    <row r="724" spans="1:15" x14ac:dyDescent="0.3">
      <c r="A724" t="s">
        <v>2263</v>
      </c>
      <c r="B724" s="5">
        <v>24</v>
      </c>
      <c r="C724" s="5" t="str" cm="1">
        <f t="array" ref="C724">_xlfn.IFS(worksheet[[#This Row],[age]]&lt;25,"1. Young Adulthood (18-24)",worksheet[[#This Row],[age]]&lt; 35,"2. Early Adulthood (25-34)",worksheet[[#This Row],[age]]&lt; 45,"3. Mid Adulthood (35-44)",worksheet[[#This Row],[age]]&lt; 55,"4. Mature Adulthood (45-54)",TRUE,"5. Late Adulthood/Senior (55+)")</f>
        <v>1. Young Adulthood (18-24)</v>
      </c>
      <c r="D724" t="s">
        <v>41</v>
      </c>
      <c r="E724" t="s">
        <v>16</v>
      </c>
      <c r="F724" s="4">
        <v>3.55</v>
      </c>
      <c r="G724" s="5">
        <v>59</v>
      </c>
      <c r="H724" t="s">
        <v>28</v>
      </c>
      <c r="I724" t="s">
        <v>46</v>
      </c>
      <c r="J724" s="6">
        <v>8.99</v>
      </c>
      <c r="K724">
        <v>1</v>
      </c>
      <c r="L724" t="s">
        <v>43</v>
      </c>
      <c r="M724" s="5">
        <v>3</v>
      </c>
      <c r="N724" s="4">
        <v>0.06</v>
      </c>
      <c r="O724" t="s">
        <v>30</v>
      </c>
    </row>
    <row r="725" spans="1:15" x14ac:dyDescent="0.3">
      <c r="A725" t="s">
        <v>2264</v>
      </c>
      <c r="B725" s="5">
        <v>20</v>
      </c>
      <c r="C725" s="5" t="str" cm="1">
        <f t="array" ref="C725">_xlfn.IFS(worksheet[[#This Row],[age]]&lt;25,"1. Young Adulthood (18-24)",worksheet[[#This Row],[age]]&lt; 35,"2. Early Adulthood (25-34)",worksheet[[#This Row],[age]]&lt; 45,"3. Mid Adulthood (35-44)",worksheet[[#This Row],[age]]&lt; 55,"4. Mature Adulthood (45-54)",TRUE,"5. Late Adulthood/Senior (55+)")</f>
        <v>1. Young Adulthood (18-24)</v>
      </c>
      <c r="D725" t="s">
        <v>27</v>
      </c>
      <c r="E725" t="s">
        <v>16</v>
      </c>
      <c r="F725" s="4">
        <v>14.05</v>
      </c>
      <c r="G725" s="5">
        <v>7</v>
      </c>
      <c r="H725" t="s">
        <v>17</v>
      </c>
      <c r="I725" t="s">
        <v>24</v>
      </c>
      <c r="J725" s="6">
        <v>8.99</v>
      </c>
      <c r="K725">
        <v>0</v>
      </c>
      <c r="L725" t="s">
        <v>61</v>
      </c>
      <c r="M725" s="5">
        <v>3</v>
      </c>
      <c r="N725" s="4">
        <v>1.76</v>
      </c>
      <c r="O725" t="s">
        <v>20</v>
      </c>
    </row>
    <row r="726" spans="1:15" x14ac:dyDescent="0.3">
      <c r="A726" t="s">
        <v>2265</v>
      </c>
      <c r="B726" s="5">
        <v>22</v>
      </c>
      <c r="C726" s="5" t="str" cm="1">
        <f t="array" ref="C726">_xlfn.IFS(worksheet[[#This Row],[age]]&lt;25,"1. Young Adulthood (18-24)",worksheet[[#This Row],[age]]&lt; 35,"2. Early Adulthood (25-34)",worksheet[[#This Row],[age]]&lt; 45,"3. Mid Adulthood (35-44)",worksheet[[#This Row],[age]]&lt; 55,"4. Mature Adulthood (45-54)",TRUE,"5. Late Adulthood/Senior (55+)")</f>
        <v>1. Young Adulthood (18-24)</v>
      </c>
      <c r="D726" t="s">
        <v>27</v>
      </c>
      <c r="E726" t="s">
        <v>32</v>
      </c>
      <c r="F726" s="4">
        <v>1.03</v>
      </c>
      <c r="G726" s="5">
        <v>44</v>
      </c>
      <c r="H726" t="s">
        <v>17</v>
      </c>
      <c r="I726" t="s">
        <v>18</v>
      </c>
      <c r="J726" s="6">
        <v>17.989999999999998</v>
      </c>
      <c r="K726">
        <v>1</v>
      </c>
      <c r="L726" t="s">
        <v>37</v>
      </c>
      <c r="M726" s="5">
        <v>2</v>
      </c>
      <c r="N726" s="4">
        <v>0.02</v>
      </c>
      <c r="O726" t="s">
        <v>30</v>
      </c>
    </row>
    <row r="727" spans="1:15" x14ac:dyDescent="0.3">
      <c r="A727" t="s">
        <v>2268</v>
      </c>
      <c r="B727" s="5">
        <v>22</v>
      </c>
      <c r="C727" s="5" t="str" cm="1">
        <f t="array" ref="C727">_xlfn.IFS(worksheet[[#This Row],[age]]&lt;25,"1. Young Adulthood (18-24)",worksheet[[#This Row],[age]]&lt; 35,"2. Early Adulthood (25-34)",worksheet[[#This Row],[age]]&lt; 45,"3. Mid Adulthood (35-44)",worksheet[[#This Row],[age]]&lt; 55,"4. Mature Adulthood (45-54)",TRUE,"5. Late Adulthood/Senior (55+)")</f>
        <v>1. Young Adulthood (18-24)</v>
      </c>
      <c r="D727" t="s">
        <v>15</v>
      </c>
      <c r="E727" t="s">
        <v>16</v>
      </c>
      <c r="F727" s="4">
        <v>2.59</v>
      </c>
      <c r="G727" s="5">
        <v>2</v>
      </c>
      <c r="H727" t="s">
        <v>17</v>
      </c>
      <c r="I727" t="s">
        <v>18</v>
      </c>
      <c r="J727" s="6">
        <v>8.99</v>
      </c>
      <c r="K727">
        <v>1</v>
      </c>
      <c r="L727" t="s">
        <v>19</v>
      </c>
      <c r="M727" s="5">
        <v>1</v>
      </c>
      <c r="N727" s="4">
        <v>0.86</v>
      </c>
      <c r="O727" t="s">
        <v>52</v>
      </c>
    </row>
    <row r="728" spans="1:15" x14ac:dyDescent="0.3">
      <c r="A728" t="s">
        <v>2275</v>
      </c>
      <c r="B728" s="5">
        <v>31</v>
      </c>
      <c r="C728" s="5" t="str" cm="1">
        <f t="array" ref="C728">_xlfn.IFS(worksheet[[#This Row],[age]]&lt;25,"1. Young Adulthood (18-24)",worksheet[[#This Row],[age]]&lt; 35,"2. Early Adulthood (25-34)",worksheet[[#This Row],[age]]&lt; 45,"3. Mid Adulthood (35-44)",worksheet[[#This Row],[age]]&lt; 55,"4. Mature Adulthood (45-54)",TRUE,"5. Late Adulthood/Senior (55+)")</f>
        <v>2. Early Adulthood (25-34)</v>
      </c>
      <c r="D728" t="s">
        <v>41</v>
      </c>
      <c r="E728" t="s">
        <v>16</v>
      </c>
      <c r="F728" s="4">
        <v>9.7100000000000009</v>
      </c>
      <c r="G728" s="5">
        <v>16</v>
      </c>
      <c r="H728" t="s">
        <v>70</v>
      </c>
      <c r="I728" t="s">
        <v>18</v>
      </c>
      <c r="J728" s="6">
        <v>8.99</v>
      </c>
      <c r="K728">
        <v>0</v>
      </c>
      <c r="L728" t="s">
        <v>29</v>
      </c>
      <c r="M728" s="5">
        <v>3</v>
      </c>
      <c r="N728" s="4">
        <v>0.56999999999999995</v>
      </c>
      <c r="O728" t="s">
        <v>25</v>
      </c>
    </row>
    <row r="729" spans="1:15" x14ac:dyDescent="0.3">
      <c r="A729" t="s">
        <v>2276</v>
      </c>
      <c r="B729" s="5">
        <v>29</v>
      </c>
      <c r="C729" s="5" t="str" cm="1">
        <f t="array" ref="C729">_xlfn.IFS(worksheet[[#This Row],[age]]&lt;25,"1. Young Adulthood (18-24)",worksheet[[#This Row],[age]]&lt; 35,"2. Early Adulthood (25-34)",worksheet[[#This Row],[age]]&lt; 45,"3. Mid Adulthood (35-44)",worksheet[[#This Row],[age]]&lt; 55,"4. Mature Adulthood (45-54)",TRUE,"5. Late Adulthood/Senior (55+)")</f>
        <v>2. Early Adulthood (25-34)</v>
      </c>
      <c r="D729" t="s">
        <v>27</v>
      </c>
      <c r="E729" t="s">
        <v>32</v>
      </c>
      <c r="F729" s="4">
        <v>5.29</v>
      </c>
      <c r="G729" s="5">
        <v>8</v>
      </c>
      <c r="H729" t="s">
        <v>33</v>
      </c>
      <c r="I729" t="s">
        <v>57</v>
      </c>
      <c r="J729" s="6">
        <v>17.989999999999998</v>
      </c>
      <c r="K729">
        <v>0</v>
      </c>
      <c r="L729" t="s">
        <v>37</v>
      </c>
      <c r="M729" s="5">
        <v>3</v>
      </c>
      <c r="N729" s="4">
        <v>0.59</v>
      </c>
      <c r="O729" t="s">
        <v>34</v>
      </c>
    </row>
    <row r="730" spans="1:15" x14ac:dyDescent="0.3">
      <c r="A730" t="s">
        <v>2277</v>
      </c>
      <c r="B730" s="5">
        <v>33</v>
      </c>
      <c r="C730" s="5" t="str" cm="1">
        <f t="array" ref="C730">_xlfn.IFS(worksheet[[#This Row],[age]]&lt;25,"1. Young Adulthood (18-24)",worksheet[[#This Row],[age]]&lt; 35,"2. Early Adulthood (25-34)",worksheet[[#This Row],[age]]&lt; 45,"3. Mid Adulthood (35-44)",worksheet[[#This Row],[age]]&lt; 55,"4. Mature Adulthood (45-54)",TRUE,"5. Late Adulthood/Senior (55+)")</f>
        <v>2. Early Adulthood (25-34)</v>
      </c>
      <c r="D730" t="s">
        <v>27</v>
      </c>
      <c r="E730" t="s">
        <v>16</v>
      </c>
      <c r="F730" s="4">
        <v>9.81</v>
      </c>
      <c r="G730" s="5">
        <v>39</v>
      </c>
      <c r="H730" t="s">
        <v>70</v>
      </c>
      <c r="I730" t="s">
        <v>57</v>
      </c>
      <c r="J730" s="6">
        <v>8.99</v>
      </c>
      <c r="K730">
        <v>1</v>
      </c>
      <c r="L730" t="s">
        <v>19</v>
      </c>
      <c r="M730" s="5">
        <v>3</v>
      </c>
      <c r="N730" s="4">
        <v>0.25</v>
      </c>
      <c r="O730" t="s">
        <v>25</v>
      </c>
    </row>
    <row r="731" spans="1:15" x14ac:dyDescent="0.3">
      <c r="A731" t="s">
        <v>2278</v>
      </c>
      <c r="B731" s="5">
        <v>30</v>
      </c>
      <c r="C731" s="5" t="str" cm="1">
        <f t="array" ref="C731">_xlfn.IFS(worksheet[[#This Row],[age]]&lt;25,"1. Young Adulthood (18-24)",worksheet[[#This Row],[age]]&lt; 35,"2. Early Adulthood (25-34)",worksheet[[#This Row],[age]]&lt; 45,"3. Mid Adulthood (35-44)",worksheet[[#This Row],[age]]&lt; 55,"4. Mature Adulthood (45-54)",TRUE,"5. Late Adulthood/Senior (55+)")</f>
        <v>2. Early Adulthood (25-34)</v>
      </c>
      <c r="D731" t="s">
        <v>15</v>
      </c>
      <c r="E731" t="s">
        <v>22</v>
      </c>
      <c r="F731" s="4">
        <v>5.21</v>
      </c>
      <c r="G731" s="5">
        <v>11</v>
      </c>
      <c r="H731" t="s">
        <v>33</v>
      </c>
      <c r="I731" t="s">
        <v>57</v>
      </c>
      <c r="J731" s="6">
        <v>13.99</v>
      </c>
      <c r="K731">
        <v>0</v>
      </c>
      <c r="L731" t="s">
        <v>43</v>
      </c>
      <c r="M731" s="5">
        <v>3</v>
      </c>
      <c r="N731" s="4">
        <v>0.43</v>
      </c>
      <c r="O731" t="s">
        <v>39</v>
      </c>
    </row>
    <row r="732" spans="1:15" x14ac:dyDescent="0.3">
      <c r="A732" t="s">
        <v>2287</v>
      </c>
      <c r="B732" s="5">
        <v>30</v>
      </c>
      <c r="C732" s="5" t="str" cm="1">
        <f t="array" ref="C732">_xlfn.IFS(worksheet[[#This Row],[age]]&lt;25,"1. Young Adulthood (18-24)",worksheet[[#This Row],[age]]&lt; 35,"2. Early Adulthood (25-34)",worksheet[[#This Row],[age]]&lt; 45,"3. Mid Adulthood (35-44)",worksheet[[#This Row],[age]]&lt; 55,"4. Mature Adulthood (45-54)",TRUE,"5. Late Adulthood/Senior (55+)")</f>
        <v>2. Early Adulthood (25-34)</v>
      </c>
      <c r="D732" t="s">
        <v>15</v>
      </c>
      <c r="E732" t="s">
        <v>22</v>
      </c>
      <c r="F732" s="4">
        <v>3.36</v>
      </c>
      <c r="G732" s="5">
        <v>2</v>
      </c>
      <c r="H732" t="s">
        <v>33</v>
      </c>
      <c r="I732" t="s">
        <v>46</v>
      </c>
      <c r="J732" s="6">
        <v>13.99</v>
      </c>
      <c r="K732">
        <v>0</v>
      </c>
      <c r="L732" t="s">
        <v>29</v>
      </c>
      <c r="M732" s="5">
        <v>2</v>
      </c>
      <c r="N732" s="4">
        <v>1.1200000000000001</v>
      </c>
      <c r="O732" t="s">
        <v>25</v>
      </c>
    </row>
    <row r="733" spans="1:15" x14ac:dyDescent="0.3">
      <c r="A733" t="s">
        <v>2294</v>
      </c>
      <c r="B733" s="5">
        <v>28</v>
      </c>
      <c r="C733" s="5" t="str" cm="1">
        <f t="array" ref="C733">_xlfn.IFS(worksheet[[#This Row],[age]]&lt;25,"1. Young Adulthood (18-24)",worksheet[[#This Row],[age]]&lt; 35,"2. Early Adulthood (25-34)",worksheet[[#This Row],[age]]&lt; 45,"3. Mid Adulthood (35-44)",worksheet[[#This Row],[age]]&lt; 55,"4. Mature Adulthood (45-54)",TRUE,"5. Late Adulthood/Senior (55+)")</f>
        <v>2. Early Adulthood (25-34)</v>
      </c>
      <c r="D733" t="s">
        <v>41</v>
      </c>
      <c r="E733" t="s">
        <v>22</v>
      </c>
      <c r="F733" s="4">
        <v>5.29</v>
      </c>
      <c r="G733" s="5">
        <v>18</v>
      </c>
      <c r="H733" t="s">
        <v>23</v>
      </c>
      <c r="I733" t="s">
        <v>55</v>
      </c>
      <c r="J733" s="6">
        <v>13.99</v>
      </c>
      <c r="K733">
        <v>0</v>
      </c>
      <c r="L733" t="s">
        <v>37</v>
      </c>
      <c r="M733" s="5">
        <v>1</v>
      </c>
      <c r="N733" s="4">
        <v>0.28000000000000003</v>
      </c>
      <c r="O733" t="s">
        <v>34</v>
      </c>
    </row>
    <row r="734" spans="1:15" x14ac:dyDescent="0.3">
      <c r="A734" t="s">
        <v>2295</v>
      </c>
      <c r="B734" s="5">
        <v>32</v>
      </c>
      <c r="C734" s="5" t="str" cm="1">
        <f t="array" ref="C734">_xlfn.IFS(worksheet[[#This Row],[age]]&lt;25,"1. Young Adulthood (18-24)",worksheet[[#This Row],[age]]&lt; 35,"2. Early Adulthood (25-34)",worksheet[[#This Row],[age]]&lt; 45,"3. Mid Adulthood (35-44)",worksheet[[#This Row],[age]]&lt; 55,"4. Mature Adulthood (45-54)",TRUE,"5. Late Adulthood/Senior (55+)")</f>
        <v>2. Early Adulthood (25-34)</v>
      </c>
      <c r="D734" t="s">
        <v>27</v>
      </c>
      <c r="E734" t="s">
        <v>22</v>
      </c>
      <c r="F734" s="4">
        <v>1.7</v>
      </c>
      <c r="G734" s="5">
        <v>45</v>
      </c>
      <c r="H734" t="s">
        <v>17</v>
      </c>
      <c r="I734" t="s">
        <v>24</v>
      </c>
      <c r="J734" s="6">
        <v>13.99</v>
      </c>
      <c r="K734">
        <v>1</v>
      </c>
      <c r="L734" t="s">
        <v>19</v>
      </c>
      <c r="M734" s="5">
        <v>5</v>
      </c>
      <c r="N734" s="4">
        <v>0.04</v>
      </c>
      <c r="O734" t="s">
        <v>47</v>
      </c>
    </row>
    <row r="735" spans="1:15" x14ac:dyDescent="0.3">
      <c r="A735" t="s">
        <v>2298</v>
      </c>
      <c r="B735" s="5">
        <v>18</v>
      </c>
      <c r="C735" s="5" t="str" cm="1">
        <f t="array" ref="C735">_xlfn.IFS(worksheet[[#This Row],[age]]&lt;25,"1. Young Adulthood (18-24)",worksheet[[#This Row],[age]]&lt; 35,"2. Early Adulthood (25-34)",worksheet[[#This Row],[age]]&lt; 45,"3. Mid Adulthood (35-44)",worksheet[[#This Row],[age]]&lt; 55,"4. Mature Adulthood (45-54)",TRUE,"5. Late Adulthood/Senior (55+)")</f>
        <v>1. Young Adulthood (18-24)</v>
      </c>
      <c r="D735" t="s">
        <v>15</v>
      </c>
      <c r="E735" t="s">
        <v>22</v>
      </c>
      <c r="F735" s="4">
        <v>5.41</v>
      </c>
      <c r="G735" s="5">
        <v>20</v>
      </c>
      <c r="H735" t="s">
        <v>17</v>
      </c>
      <c r="I735" t="s">
        <v>57</v>
      </c>
      <c r="J735" s="6">
        <v>13.99</v>
      </c>
      <c r="K735">
        <v>0</v>
      </c>
      <c r="L735" t="s">
        <v>29</v>
      </c>
      <c r="M735" s="5">
        <v>3</v>
      </c>
      <c r="N735" s="4">
        <v>0.26</v>
      </c>
      <c r="O735" t="s">
        <v>20</v>
      </c>
    </row>
    <row r="736" spans="1:15" x14ac:dyDescent="0.3">
      <c r="A736" t="s">
        <v>2299</v>
      </c>
      <c r="B736" s="5">
        <v>18</v>
      </c>
      <c r="C736" s="5" t="str" cm="1">
        <f t="array" ref="C736">_xlfn.IFS(worksheet[[#This Row],[age]]&lt;25,"1. Young Adulthood (18-24)",worksheet[[#This Row],[age]]&lt; 35,"2. Early Adulthood (25-34)",worksheet[[#This Row],[age]]&lt; 45,"3. Mid Adulthood (35-44)",worksheet[[#This Row],[age]]&lt; 55,"4. Mature Adulthood (45-54)",TRUE,"5. Late Adulthood/Senior (55+)")</f>
        <v>1. Young Adulthood (18-24)</v>
      </c>
      <c r="D736" t="s">
        <v>41</v>
      </c>
      <c r="E736" t="s">
        <v>16</v>
      </c>
      <c r="F736" s="4">
        <v>10.17</v>
      </c>
      <c r="G736" s="5">
        <v>46</v>
      </c>
      <c r="H736" t="s">
        <v>23</v>
      </c>
      <c r="I736" t="s">
        <v>24</v>
      </c>
      <c r="J736" s="6">
        <v>8.99</v>
      </c>
      <c r="K736">
        <v>1</v>
      </c>
      <c r="L736" t="s">
        <v>37</v>
      </c>
      <c r="M736" s="5">
        <v>1</v>
      </c>
      <c r="N736" s="4">
        <v>0.22</v>
      </c>
      <c r="O736" t="s">
        <v>30</v>
      </c>
    </row>
    <row r="737" spans="1:15" x14ac:dyDescent="0.3">
      <c r="A737" t="s">
        <v>2300</v>
      </c>
      <c r="B737" s="5">
        <v>21</v>
      </c>
      <c r="C737" s="5" t="str" cm="1">
        <f t="array" ref="C737">_xlfn.IFS(worksheet[[#This Row],[age]]&lt;25,"1. Young Adulthood (18-24)",worksheet[[#This Row],[age]]&lt; 35,"2. Early Adulthood (25-34)",worksheet[[#This Row],[age]]&lt; 45,"3. Mid Adulthood (35-44)",worksheet[[#This Row],[age]]&lt; 55,"4. Mature Adulthood (45-54)",TRUE,"5. Late Adulthood/Senior (55+)")</f>
        <v>1. Young Adulthood (18-24)</v>
      </c>
      <c r="D737" t="s">
        <v>27</v>
      </c>
      <c r="E737" t="s">
        <v>22</v>
      </c>
      <c r="F737" s="4">
        <v>16.739999999999998</v>
      </c>
      <c r="G737" s="5">
        <v>39</v>
      </c>
      <c r="H737" t="s">
        <v>33</v>
      </c>
      <c r="I737" t="s">
        <v>46</v>
      </c>
      <c r="J737" s="6">
        <v>13.99</v>
      </c>
      <c r="K737">
        <v>1</v>
      </c>
      <c r="L737" t="s">
        <v>19</v>
      </c>
      <c r="M737" s="5">
        <v>3</v>
      </c>
      <c r="N737" s="4">
        <v>0.42</v>
      </c>
      <c r="O737" t="s">
        <v>20</v>
      </c>
    </row>
    <row r="738" spans="1:15" x14ac:dyDescent="0.3">
      <c r="A738" t="s">
        <v>2301</v>
      </c>
      <c r="B738" s="5">
        <v>29</v>
      </c>
      <c r="C738" s="5" t="str" cm="1">
        <f t="array" ref="C738">_xlfn.IFS(worksheet[[#This Row],[age]]&lt;25,"1. Young Adulthood (18-24)",worksheet[[#This Row],[age]]&lt; 35,"2. Early Adulthood (25-34)",worksheet[[#This Row],[age]]&lt; 45,"3. Mid Adulthood (35-44)",worksheet[[#This Row],[age]]&lt; 55,"4. Mature Adulthood (45-54)",TRUE,"5. Late Adulthood/Senior (55+)")</f>
        <v>2. Early Adulthood (25-34)</v>
      </c>
      <c r="D738" t="s">
        <v>27</v>
      </c>
      <c r="E738" t="s">
        <v>32</v>
      </c>
      <c r="F738" s="4">
        <v>1.38</v>
      </c>
      <c r="G738" s="5">
        <v>4</v>
      </c>
      <c r="H738" t="s">
        <v>23</v>
      </c>
      <c r="I738" t="s">
        <v>46</v>
      </c>
      <c r="J738" s="6">
        <v>17.989999999999998</v>
      </c>
      <c r="K738">
        <v>1</v>
      </c>
      <c r="L738" t="s">
        <v>19</v>
      </c>
      <c r="M738" s="5">
        <v>3</v>
      </c>
      <c r="N738" s="4">
        <v>0.28000000000000003</v>
      </c>
      <c r="O738" t="s">
        <v>25</v>
      </c>
    </row>
    <row r="739" spans="1:15" x14ac:dyDescent="0.3">
      <c r="A739" t="s">
        <v>2304</v>
      </c>
      <c r="B739" s="5">
        <v>21</v>
      </c>
      <c r="C739" s="5" t="str" cm="1">
        <f t="array" ref="C739">_xlfn.IFS(worksheet[[#This Row],[age]]&lt;25,"1. Young Adulthood (18-24)",worksheet[[#This Row],[age]]&lt; 35,"2. Early Adulthood (25-34)",worksheet[[#This Row],[age]]&lt; 45,"3. Mid Adulthood (35-44)",worksheet[[#This Row],[age]]&lt; 55,"4. Mature Adulthood (45-54)",TRUE,"5. Late Adulthood/Senior (55+)")</f>
        <v>1. Young Adulthood (18-24)</v>
      </c>
      <c r="D739" t="s">
        <v>27</v>
      </c>
      <c r="E739" t="s">
        <v>32</v>
      </c>
      <c r="F739" s="4">
        <v>20.56</v>
      </c>
      <c r="G739" s="5">
        <v>0</v>
      </c>
      <c r="H739" t="s">
        <v>17</v>
      </c>
      <c r="I739" t="s">
        <v>46</v>
      </c>
      <c r="J739" s="6">
        <v>17.989999999999998</v>
      </c>
      <c r="K739">
        <v>0</v>
      </c>
      <c r="L739" t="s">
        <v>29</v>
      </c>
      <c r="M739" s="5">
        <v>5</v>
      </c>
      <c r="N739" s="4">
        <v>20.56</v>
      </c>
      <c r="O739" t="s">
        <v>52</v>
      </c>
    </row>
    <row r="740" spans="1:15" x14ac:dyDescent="0.3">
      <c r="A740" t="s">
        <v>2306</v>
      </c>
      <c r="B740" s="5">
        <v>23</v>
      </c>
      <c r="C740" s="5" t="str" cm="1">
        <f t="array" ref="C740">_xlfn.IFS(worksheet[[#This Row],[age]]&lt;25,"1. Young Adulthood (18-24)",worksheet[[#This Row],[age]]&lt; 35,"2. Early Adulthood (25-34)",worksheet[[#This Row],[age]]&lt; 45,"3. Mid Adulthood (35-44)",worksheet[[#This Row],[age]]&lt; 55,"4. Mature Adulthood (45-54)",TRUE,"5. Late Adulthood/Senior (55+)")</f>
        <v>1. Young Adulthood (18-24)</v>
      </c>
      <c r="D740" t="s">
        <v>27</v>
      </c>
      <c r="E740" t="s">
        <v>22</v>
      </c>
      <c r="F740" s="4">
        <v>12.14</v>
      </c>
      <c r="G740" s="5">
        <v>9</v>
      </c>
      <c r="H740" t="s">
        <v>70</v>
      </c>
      <c r="I740" t="s">
        <v>18</v>
      </c>
      <c r="J740" s="6">
        <v>13.99</v>
      </c>
      <c r="K740">
        <v>0</v>
      </c>
      <c r="L740" t="s">
        <v>29</v>
      </c>
      <c r="M740" s="5">
        <v>3</v>
      </c>
      <c r="N740" s="4">
        <v>1.21</v>
      </c>
      <c r="O740" t="s">
        <v>39</v>
      </c>
    </row>
    <row r="741" spans="1:15" x14ac:dyDescent="0.3">
      <c r="A741" t="s">
        <v>2309</v>
      </c>
      <c r="B741" s="5">
        <v>29</v>
      </c>
      <c r="C741" s="5" t="str" cm="1">
        <f t="array" ref="C741">_xlfn.IFS(worksheet[[#This Row],[age]]&lt;25,"1. Young Adulthood (18-24)",worksheet[[#This Row],[age]]&lt; 35,"2. Early Adulthood (25-34)",worksheet[[#This Row],[age]]&lt; 45,"3. Mid Adulthood (35-44)",worksheet[[#This Row],[age]]&lt; 55,"4. Mature Adulthood (45-54)",TRUE,"5. Late Adulthood/Senior (55+)")</f>
        <v>2. Early Adulthood (25-34)</v>
      </c>
      <c r="D741" t="s">
        <v>27</v>
      </c>
      <c r="E741" t="s">
        <v>22</v>
      </c>
      <c r="F741" s="4">
        <v>0.24</v>
      </c>
      <c r="G741" s="5">
        <v>23</v>
      </c>
      <c r="H741" t="s">
        <v>33</v>
      </c>
      <c r="I741" t="s">
        <v>18</v>
      </c>
      <c r="J741" s="6">
        <v>13.99</v>
      </c>
      <c r="K741">
        <v>1</v>
      </c>
      <c r="L741" t="s">
        <v>61</v>
      </c>
      <c r="M741" s="5">
        <v>2</v>
      </c>
      <c r="N741" s="4">
        <v>0.01</v>
      </c>
      <c r="O741" t="s">
        <v>52</v>
      </c>
    </row>
    <row r="742" spans="1:15" x14ac:dyDescent="0.3">
      <c r="A742" t="s">
        <v>2313</v>
      </c>
      <c r="B742" s="5">
        <v>24</v>
      </c>
      <c r="C742" s="5" t="str" cm="1">
        <f t="array" ref="C742">_xlfn.IFS(worksheet[[#This Row],[age]]&lt;25,"1. Young Adulthood (18-24)",worksheet[[#This Row],[age]]&lt; 35,"2. Early Adulthood (25-34)",worksheet[[#This Row],[age]]&lt; 45,"3. Mid Adulthood (35-44)",worksheet[[#This Row],[age]]&lt; 55,"4. Mature Adulthood (45-54)",TRUE,"5. Late Adulthood/Senior (55+)")</f>
        <v>1. Young Adulthood (18-24)</v>
      </c>
      <c r="D742" t="s">
        <v>15</v>
      </c>
      <c r="E742" t="s">
        <v>16</v>
      </c>
      <c r="F742" s="4">
        <v>3.05</v>
      </c>
      <c r="G742" s="5">
        <v>54</v>
      </c>
      <c r="H742" t="s">
        <v>33</v>
      </c>
      <c r="I742" t="s">
        <v>55</v>
      </c>
      <c r="J742" s="6">
        <v>8.99</v>
      </c>
      <c r="K742">
        <v>1</v>
      </c>
      <c r="L742" t="s">
        <v>19</v>
      </c>
      <c r="M742" s="5">
        <v>3</v>
      </c>
      <c r="N742" s="4">
        <v>0.06</v>
      </c>
      <c r="O742" t="s">
        <v>30</v>
      </c>
    </row>
    <row r="743" spans="1:15" x14ac:dyDescent="0.3">
      <c r="A743" t="s">
        <v>2314</v>
      </c>
      <c r="B743" s="5">
        <v>22</v>
      </c>
      <c r="C743" s="5" t="str" cm="1">
        <f t="array" ref="C743">_xlfn.IFS(worksheet[[#This Row],[age]]&lt;25,"1. Young Adulthood (18-24)",worksheet[[#This Row],[age]]&lt; 35,"2. Early Adulthood (25-34)",worksheet[[#This Row],[age]]&lt; 45,"3. Mid Adulthood (35-44)",worksheet[[#This Row],[age]]&lt; 55,"4. Mature Adulthood (45-54)",TRUE,"5. Late Adulthood/Senior (55+)")</f>
        <v>1. Young Adulthood (18-24)</v>
      </c>
      <c r="D743" t="s">
        <v>41</v>
      </c>
      <c r="E743" t="s">
        <v>16</v>
      </c>
      <c r="F743" s="4">
        <v>5.15</v>
      </c>
      <c r="G743" s="5">
        <v>25</v>
      </c>
      <c r="H743" t="s">
        <v>17</v>
      </c>
      <c r="I743" t="s">
        <v>46</v>
      </c>
      <c r="J743" s="6">
        <v>8.99</v>
      </c>
      <c r="K743">
        <v>0</v>
      </c>
      <c r="L743" t="s">
        <v>29</v>
      </c>
      <c r="M743" s="5">
        <v>4</v>
      </c>
      <c r="N743" s="4">
        <v>0.2</v>
      </c>
      <c r="O743" t="s">
        <v>52</v>
      </c>
    </row>
    <row r="744" spans="1:15" x14ac:dyDescent="0.3">
      <c r="A744" t="s">
        <v>2315</v>
      </c>
      <c r="B744" s="5">
        <v>34</v>
      </c>
      <c r="C744" s="5" t="str" cm="1">
        <f t="array" ref="C744">_xlfn.IFS(worksheet[[#This Row],[age]]&lt;25,"1. Young Adulthood (18-24)",worksheet[[#This Row],[age]]&lt; 35,"2. Early Adulthood (25-34)",worksheet[[#This Row],[age]]&lt; 45,"3. Mid Adulthood (35-44)",worksheet[[#This Row],[age]]&lt; 55,"4. Mature Adulthood (45-54)",TRUE,"5. Late Adulthood/Senior (55+)")</f>
        <v>2. Early Adulthood (25-34)</v>
      </c>
      <c r="D744" t="s">
        <v>41</v>
      </c>
      <c r="E744" t="s">
        <v>32</v>
      </c>
      <c r="F744" s="4">
        <v>26.14</v>
      </c>
      <c r="G744" s="5">
        <v>15</v>
      </c>
      <c r="H744" t="s">
        <v>33</v>
      </c>
      <c r="I744" t="s">
        <v>24</v>
      </c>
      <c r="J744" s="6">
        <v>17.989999999999998</v>
      </c>
      <c r="K744">
        <v>0</v>
      </c>
      <c r="L744" t="s">
        <v>37</v>
      </c>
      <c r="M744" s="5">
        <v>3</v>
      </c>
      <c r="N744" s="4">
        <v>1.63</v>
      </c>
      <c r="O744" t="s">
        <v>39</v>
      </c>
    </row>
    <row r="745" spans="1:15" x14ac:dyDescent="0.3">
      <c r="A745" t="s">
        <v>2320</v>
      </c>
      <c r="B745" s="5">
        <v>31</v>
      </c>
      <c r="C745" s="5" t="str" cm="1">
        <f t="array" ref="C745">_xlfn.IFS(worksheet[[#This Row],[age]]&lt;25,"1. Young Adulthood (18-24)",worksheet[[#This Row],[age]]&lt; 35,"2. Early Adulthood (25-34)",worksheet[[#This Row],[age]]&lt; 45,"3. Mid Adulthood (35-44)",worksheet[[#This Row],[age]]&lt; 55,"4. Mature Adulthood (45-54)",TRUE,"5. Late Adulthood/Senior (55+)")</f>
        <v>2. Early Adulthood (25-34)</v>
      </c>
      <c r="D745" t="s">
        <v>41</v>
      </c>
      <c r="E745" t="s">
        <v>16</v>
      </c>
      <c r="F745" s="4">
        <v>1.04</v>
      </c>
      <c r="G745" s="5">
        <v>46</v>
      </c>
      <c r="H745" t="s">
        <v>49</v>
      </c>
      <c r="I745" t="s">
        <v>18</v>
      </c>
      <c r="J745" s="6">
        <v>8.99</v>
      </c>
      <c r="K745">
        <v>1</v>
      </c>
      <c r="L745" t="s">
        <v>43</v>
      </c>
      <c r="M745" s="5">
        <v>1</v>
      </c>
      <c r="N745" s="4">
        <v>0.02</v>
      </c>
      <c r="O745" t="s">
        <v>39</v>
      </c>
    </row>
    <row r="746" spans="1:15" x14ac:dyDescent="0.3">
      <c r="A746" t="s">
        <v>2327</v>
      </c>
      <c r="B746" s="5">
        <v>32</v>
      </c>
      <c r="C746" s="5" t="str" cm="1">
        <f t="array" ref="C746">_xlfn.IFS(worksheet[[#This Row],[age]]&lt;25,"1. Young Adulthood (18-24)",worksheet[[#This Row],[age]]&lt; 35,"2. Early Adulthood (25-34)",worksheet[[#This Row],[age]]&lt; 45,"3. Mid Adulthood (35-44)",worksheet[[#This Row],[age]]&lt; 55,"4. Mature Adulthood (45-54)",TRUE,"5. Late Adulthood/Senior (55+)")</f>
        <v>2. Early Adulthood (25-34)</v>
      </c>
      <c r="D746" t="s">
        <v>41</v>
      </c>
      <c r="E746" t="s">
        <v>32</v>
      </c>
      <c r="F746" s="4">
        <v>24.08</v>
      </c>
      <c r="G746" s="5">
        <v>37</v>
      </c>
      <c r="H746" t="s">
        <v>33</v>
      </c>
      <c r="I746" t="s">
        <v>57</v>
      </c>
      <c r="J746" s="6">
        <v>17.989999999999998</v>
      </c>
      <c r="K746">
        <v>0</v>
      </c>
      <c r="L746" t="s">
        <v>37</v>
      </c>
      <c r="M746" s="5">
        <v>3</v>
      </c>
      <c r="N746" s="4">
        <v>0.63</v>
      </c>
      <c r="O746" t="s">
        <v>20</v>
      </c>
    </row>
    <row r="747" spans="1:15" x14ac:dyDescent="0.3">
      <c r="A747" t="s">
        <v>2329</v>
      </c>
      <c r="B747" s="5">
        <v>32</v>
      </c>
      <c r="C747" s="5" t="str" cm="1">
        <f t="array" ref="C747">_xlfn.IFS(worksheet[[#This Row],[age]]&lt;25,"1. Young Adulthood (18-24)",worksheet[[#This Row],[age]]&lt; 35,"2. Early Adulthood (25-34)",worksheet[[#This Row],[age]]&lt; 45,"3. Mid Adulthood (35-44)",worksheet[[#This Row],[age]]&lt; 55,"4. Mature Adulthood (45-54)",TRUE,"5. Late Adulthood/Senior (55+)")</f>
        <v>2. Early Adulthood (25-34)</v>
      </c>
      <c r="D747" t="s">
        <v>27</v>
      </c>
      <c r="E747" t="s">
        <v>22</v>
      </c>
      <c r="F747" s="4">
        <v>9.8000000000000007</v>
      </c>
      <c r="G747" s="5">
        <v>5</v>
      </c>
      <c r="H747" t="s">
        <v>70</v>
      </c>
      <c r="I747" t="s">
        <v>57</v>
      </c>
      <c r="J747" s="6">
        <v>13.99</v>
      </c>
      <c r="K747">
        <v>0</v>
      </c>
      <c r="L747" t="s">
        <v>61</v>
      </c>
      <c r="M747" s="5">
        <v>3</v>
      </c>
      <c r="N747" s="4">
        <v>1.63</v>
      </c>
      <c r="O747" t="s">
        <v>30</v>
      </c>
    </row>
    <row r="748" spans="1:15" x14ac:dyDescent="0.3">
      <c r="A748" t="s">
        <v>2346</v>
      </c>
      <c r="B748" s="5">
        <v>26</v>
      </c>
      <c r="C748" s="5" t="str" cm="1">
        <f t="array" ref="C748">_xlfn.IFS(worksheet[[#This Row],[age]]&lt;25,"1. Young Adulthood (18-24)",worksheet[[#This Row],[age]]&lt; 35,"2. Early Adulthood (25-34)",worksheet[[#This Row],[age]]&lt; 45,"3. Mid Adulthood (35-44)",worksheet[[#This Row],[age]]&lt; 55,"4. Mature Adulthood (45-54)",TRUE,"5. Late Adulthood/Senior (55+)")</f>
        <v>2. Early Adulthood (25-34)</v>
      </c>
      <c r="D748" t="s">
        <v>27</v>
      </c>
      <c r="E748" t="s">
        <v>22</v>
      </c>
      <c r="F748" s="4">
        <v>8.8800000000000008</v>
      </c>
      <c r="G748" s="5">
        <v>42</v>
      </c>
      <c r="H748" t="s">
        <v>17</v>
      </c>
      <c r="I748" t="s">
        <v>55</v>
      </c>
      <c r="J748" s="6">
        <v>13.99</v>
      </c>
      <c r="K748">
        <v>1</v>
      </c>
      <c r="L748" t="s">
        <v>37</v>
      </c>
      <c r="M748" s="5">
        <v>1</v>
      </c>
      <c r="N748" s="4">
        <v>0.21</v>
      </c>
      <c r="O748" t="s">
        <v>52</v>
      </c>
    </row>
    <row r="749" spans="1:15" x14ac:dyDescent="0.3">
      <c r="A749" t="s">
        <v>2347</v>
      </c>
      <c r="B749" s="5">
        <v>28</v>
      </c>
      <c r="C749" s="5" t="str" cm="1">
        <f t="array" ref="C749">_xlfn.IFS(worksheet[[#This Row],[age]]&lt;25,"1. Young Adulthood (18-24)",worksheet[[#This Row],[age]]&lt; 35,"2. Early Adulthood (25-34)",worksheet[[#This Row],[age]]&lt; 45,"3. Mid Adulthood (35-44)",worksheet[[#This Row],[age]]&lt; 55,"4. Mature Adulthood (45-54)",TRUE,"5. Late Adulthood/Senior (55+)")</f>
        <v>2. Early Adulthood (25-34)</v>
      </c>
      <c r="D749" t="s">
        <v>27</v>
      </c>
      <c r="E749" t="s">
        <v>32</v>
      </c>
      <c r="F749" s="4">
        <v>25.32</v>
      </c>
      <c r="G749" s="5">
        <v>6</v>
      </c>
      <c r="H749" t="s">
        <v>49</v>
      </c>
      <c r="I749" t="s">
        <v>46</v>
      </c>
      <c r="J749" s="6">
        <v>17.989999999999998</v>
      </c>
      <c r="K749">
        <v>0</v>
      </c>
      <c r="L749" t="s">
        <v>19</v>
      </c>
      <c r="M749" s="5">
        <v>1</v>
      </c>
      <c r="N749" s="4">
        <v>3.62</v>
      </c>
      <c r="O749" t="s">
        <v>20</v>
      </c>
    </row>
    <row r="750" spans="1:15" x14ac:dyDescent="0.3">
      <c r="A750" t="s">
        <v>2349</v>
      </c>
      <c r="B750" s="5">
        <v>28</v>
      </c>
      <c r="C750" s="5" t="str" cm="1">
        <f t="array" ref="C750">_xlfn.IFS(worksheet[[#This Row],[age]]&lt;25,"1. Young Adulthood (18-24)",worksheet[[#This Row],[age]]&lt; 35,"2. Early Adulthood (25-34)",worksheet[[#This Row],[age]]&lt; 45,"3. Mid Adulthood (35-44)",worksheet[[#This Row],[age]]&lt; 55,"4. Mature Adulthood (45-54)",TRUE,"5. Late Adulthood/Senior (55+)")</f>
        <v>2. Early Adulthood (25-34)</v>
      </c>
      <c r="D750" t="s">
        <v>41</v>
      </c>
      <c r="E750" t="s">
        <v>32</v>
      </c>
      <c r="F750" s="4">
        <v>2.0099999999999998</v>
      </c>
      <c r="G750" s="5">
        <v>35</v>
      </c>
      <c r="H750" t="s">
        <v>23</v>
      </c>
      <c r="I750" t="s">
        <v>57</v>
      </c>
      <c r="J750" s="6">
        <v>17.989999999999998</v>
      </c>
      <c r="K750">
        <v>1</v>
      </c>
      <c r="L750" t="s">
        <v>19</v>
      </c>
      <c r="M750" s="5">
        <v>2</v>
      </c>
      <c r="N750" s="4">
        <v>0.06</v>
      </c>
      <c r="O750" t="s">
        <v>52</v>
      </c>
    </row>
    <row r="751" spans="1:15" x14ac:dyDescent="0.3">
      <c r="A751" t="s">
        <v>2350</v>
      </c>
      <c r="B751" s="5">
        <v>24</v>
      </c>
      <c r="C751" s="5" t="str" cm="1">
        <f t="array" ref="C751">_xlfn.IFS(worksheet[[#This Row],[age]]&lt;25,"1. Young Adulthood (18-24)",worksheet[[#This Row],[age]]&lt; 35,"2. Early Adulthood (25-34)",worksheet[[#This Row],[age]]&lt; 45,"3. Mid Adulthood (35-44)",worksheet[[#This Row],[age]]&lt; 55,"4. Mature Adulthood (45-54)",TRUE,"5. Late Adulthood/Senior (55+)")</f>
        <v>1. Young Adulthood (18-24)</v>
      </c>
      <c r="D751" t="s">
        <v>41</v>
      </c>
      <c r="E751" t="s">
        <v>32</v>
      </c>
      <c r="F751" s="4">
        <v>9.24</v>
      </c>
      <c r="G751" s="5">
        <v>23</v>
      </c>
      <c r="H751" t="s">
        <v>33</v>
      </c>
      <c r="I751" t="s">
        <v>55</v>
      </c>
      <c r="J751" s="6">
        <v>17.989999999999998</v>
      </c>
      <c r="K751">
        <v>0</v>
      </c>
      <c r="L751" t="s">
        <v>37</v>
      </c>
      <c r="M751" s="5">
        <v>3</v>
      </c>
      <c r="N751" s="4">
        <v>0.39</v>
      </c>
      <c r="O751" t="s">
        <v>52</v>
      </c>
    </row>
    <row r="752" spans="1:15" x14ac:dyDescent="0.3">
      <c r="A752" t="s">
        <v>2356</v>
      </c>
      <c r="B752" s="5">
        <v>33</v>
      </c>
      <c r="C752" s="5" t="str" cm="1">
        <f t="array" ref="C752">_xlfn.IFS(worksheet[[#This Row],[age]]&lt;25,"1. Young Adulthood (18-24)",worksheet[[#This Row],[age]]&lt; 35,"2. Early Adulthood (25-34)",worksheet[[#This Row],[age]]&lt; 45,"3. Mid Adulthood (35-44)",worksheet[[#This Row],[age]]&lt; 55,"4. Mature Adulthood (45-54)",TRUE,"5. Late Adulthood/Senior (55+)")</f>
        <v>2. Early Adulthood (25-34)</v>
      </c>
      <c r="D752" t="s">
        <v>27</v>
      </c>
      <c r="E752" t="s">
        <v>22</v>
      </c>
      <c r="F752" s="4">
        <v>1.32</v>
      </c>
      <c r="G752" s="5">
        <v>36</v>
      </c>
      <c r="H752" t="s">
        <v>49</v>
      </c>
      <c r="I752" t="s">
        <v>46</v>
      </c>
      <c r="J752" s="6">
        <v>13.99</v>
      </c>
      <c r="K752">
        <v>1</v>
      </c>
      <c r="L752" t="s">
        <v>29</v>
      </c>
      <c r="M752" s="5">
        <v>1</v>
      </c>
      <c r="N752" s="4">
        <v>0.04</v>
      </c>
      <c r="O752" t="s">
        <v>30</v>
      </c>
    </row>
    <row r="753" spans="1:15" x14ac:dyDescent="0.3">
      <c r="A753" t="s">
        <v>2358</v>
      </c>
      <c r="B753" s="5">
        <v>32</v>
      </c>
      <c r="C753" s="5" t="str" cm="1">
        <f t="array" ref="C753">_xlfn.IFS(worksheet[[#This Row],[age]]&lt;25,"1. Young Adulthood (18-24)",worksheet[[#This Row],[age]]&lt; 35,"2. Early Adulthood (25-34)",worksheet[[#This Row],[age]]&lt; 45,"3. Mid Adulthood (35-44)",worksheet[[#This Row],[age]]&lt; 55,"4. Mature Adulthood (45-54)",TRUE,"5. Late Adulthood/Senior (55+)")</f>
        <v>2. Early Adulthood (25-34)</v>
      </c>
      <c r="D753" t="s">
        <v>27</v>
      </c>
      <c r="E753" t="s">
        <v>16</v>
      </c>
      <c r="F753" s="4">
        <v>0.54</v>
      </c>
      <c r="G753" s="5">
        <v>5</v>
      </c>
      <c r="H753" t="s">
        <v>33</v>
      </c>
      <c r="I753" t="s">
        <v>46</v>
      </c>
      <c r="J753" s="6">
        <v>8.99</v>
      </c>
      <c r="K753">
        <v>1</v>
      </c>
      <c r="L753" t="s">
        <v>43</v>
      </c>
      <c r="M753" s="5">
        <v>2</v>
      </c>
      <c r="N753" s="4">
        <v>0.09</v>
      </c>
      <c r="O753" t="s">
        <v>30</v>
      </c>
    </row>
    <row r="754" spans="1:15" x14ac:dyDescent="0.3">
      <c r="A754" t="s">
        <v>2362</v>
      </c>
      <c r="B754" s="5">
        <v>22</v>
      </c>
      <c r="C754" s="5" t="str" cm="1">
        <f t="array" ref="C754">_xlfn.IFS(worksheet[[#This Row],[age]]&lt;25,"1. Young Adulthood (18-24)",worksheet[[#This Row],[age]]&lt; 35,"2. Early Adulthood (25-34)",worksheet[[#This Row],[age]]&lt; 45,"3. Mid Adulthood (35-44)",worksheet[[#This Row],[age]]&lt; 55,"4. Mature Adulthood (45-54)",TRUE,"5. Late Adulthood/Senior (55+)")</f>
        <v>1. Young Adulthood (18-24)</v>
      </c>
      <c r="D754" t="s">
        <v>41</v>
      </c>
      <c r="E754" t="s">
        <v>32</v>
      </c>
      <c r="F754" s="4">
        <v>12.87</v>
      </c>
      <c r="G754" s="5">
        <v>59</v>
      </c>
      <c r="H754" t="s">
        <v>23</v>
      </c>
      <c r="I754" t="s">
        <v>57</v>
      </c>
      <c r="J754" s="6">
        <v>17.989999999999998</v>
      </c>
      <c r="K754">
        <v>1</v>
      </c>
      <c r="L754" t="s">
        <v>19</v>
      </c>
      <c r="M754" s="5">
        <v>4</v>
      </c>
      <c r="N754" s="4">
        <v>0.21</v>
      </c>
      <c r="O754" t="s">
        <v>39</v>
      </c>
    </row>
    <row r="755" spans="1:15" x14ac:dyDescent="0.3">
      <c r="A755" t="s">
        <v>2363</v>
      </c>
      <c r="B755" s="5">
        <v>31</v>
      </c>
      <c r="C755" s="5" t="str" cm="1">
        <f t="array" ref="C755">_xlfn.IFS(worksheet[[#This Row],[age]]&lt;25,"1. Young Adulthood (18-24)",worksheet[[#This Row],[age]]&lt; 35,"2. Early Adulthood (25-34)",worksheet[[#This Row],[age]]&lt; 45,"3. Mid Adulthood (35-44)",worksheet[[#This Row],[age]]&lt; 55,"4. Mature Adulthood (45-54)",TRUE,"5. Late Adulthood/Senior (55+)")</f>
        <v>2. Early Adulthood (25-34)</v>
      </c>
      <c r="D755" t="s">
        <v>41</v>
      </c>
      <c r="E755" t="s">
        <v>22</v>
      </c>
      <c r="F755" s="4">
        <v>11.93</v>
      </c>
      <c r="G755" s="5">
        <v>15</v>
      </c>
      <c r="H755" t="s">
        <v>17</v>
      </c>
      <c r="I755" t="s">
        <v>57</v>
      </c>
      <c r="J755" s="6">
        <v>13.99</v>
      </c>
      <c r="K755">
        <v>0</v>
      </c>
      <c r="L755" t="s">
        <v>19</v>
      </c>
      <c r="M755" s="5">
        <v>4</v>
      </c>
      <c r="N755" s="4">
        <v>0.75</v>
      </c>
      <c r="O755" t="s">
        <v>34</v>
      </c>
    </row>
    <row r="756" spans="1:15" x14ac:dyDescent="0.3">
      <c r="A756" t="s">
        <v>2367</v>
      </c>
      <c r="B756" s="5">
        <v>21</v>
      </c>
      <c r="C756" s="5" t="str" cm="1">
        <f t="array" ref="C756">_xlfn.IFS(worksheet[[#This Row],[age]]&lt;25,"1. Young Adulthood (18-24)",worksheet[[#This Row],[age]]&lt; 35,"2. Early Adulthood (25-34)",worksheet[[#This Row],[age]]&lt; 45,"3. Mid Adulthood (35-44)",worksheet[[#This Row],[age]]&lt; 55,"4. Mature Adulthood (45-54)",TRUE,"5. Late Adulthood/Senior (55+)")</f>
        <v>1. Young Adulthood (18-24)</v>
      </c>
      <c r="D756" t="s">
        <v>27</v>
      </c>
      <c r="E756" t="s">
        <v>22</v>
      </c>
      <c r="F756" s="4">
        <v>8.6</v>
      </c>
      <c r="G756" s="5">
        <v>46</v>
      </c>
      <c r="H756" t="s">
        <v>23</v>
      </c>
      <c r="I756" t="s">
        <v>24</v>
      </c>
      <c r="J756" s="6">
        <v>13.99</v>
      </c>
      <c r="K756">
        <v>0</v>
      </c>
      <c r="L756" t="s">
        <v>43</v>
      </c>
      <c r="M756" s="5">
        <v>4</v>
      </c>
      <c r="N756" s="4">
        <v>0.18</v>
      </c>
      <c r="O756" t="s">
        <v>20</v>
      </c>
    </row>
    <row r="757" spans="1:15" x14ac:dyDescent="0.3">
      <c r="A757" t="s">
        <v>2370</v>
      </c>
      <c r="B757" s="5">
        <v>18</v>
      </c>
      <c r="C757" s="5" t="str" cm="1">
        <f t="array" ref="C757">_xlfn.IFS(worksheet[[#This Row],[age]]&lt;25,"1. Young Adulthood (18-24)",worksheet[[#This Row],[age]]&lt; 35,"2. Early Adulthood (25-34)",worksheet[[#This Row],[age]]&lt; 45,"3. Mid Adulthood (35-44)",worksheet[[#This Row],[age]]&lt; 55,"4. Mature Adulthood (45-54)",TRUE,"5. Late Adulthood/Senior (55+)")</f>
        <v>1. Young Adulthood (18-24)</v>
      </c>
      <c r="D757" t="s">
        <v>27</v>
      </c>
      <c r="E757" t="s">
        <v>16</v>
      </c>
      <c r="F757" s="4">
        <v>47.29</v>
      </c>
      <c r="G757" s="5">
        <v>23</v>
      </c>
      <c r="H757" t="s">
        <v>28</v>
      </c>
      <c r="I757" t="s">
        <v>18</v>
      </c>
      <c r="J757" s="6">
        <v>8.99</v>
      </c>
      <c r="K757">
        <v>0</v>
      </c>
      <c r="L757" t="s">
        <v>43</v>
      </c>
      <c r="M757" s="5">
        <v>3</v>
      </c>
      <c r="N757" s="4">
        <v>1.97</v>
      </c>
      <c r="O757" t="s">
        <v>39</v>
      </c>
    </row>
    <row r="758" spans="1:15" x14ac:dyDescent="0.3">
      <c r="A758" t="s">
        <v>2371</v>
      </c>
      <c r="B758" s="5">
        <v>28</v>
      </c>
      <c r="C758" s="5" t="str" cm="1">
        <f t="array" ref="C758">_xlfn.IFS(worksheet[[#This Row],[age]]&lt;25,"1. Young Adulthood (18-24)",worksheet[[#This Row],[age]]&lt; 35,"2. Early Adulthood (25-34)",worksheet[[#This Row],[age]]&lt; 45,"3. Mid Adulthood (35-44)",worksheet[[#This Row],[age]]&lt; 55,"4. Mature Adulthood (45-54)",TRUE,"5. Late Adulthood/Senior (55+)")</f>
        <v>2. Early Adulthood (25-34)</v>
      </c>
      <c r="D758" t="s">
        <v>27</v>
      </c>
      <c r="E758" t="s">
        <v>16</v>
      </c>
      <c r="F758" s="4">
        <v>2.66</v>
      </c>
      <c r="G758" s="5">
        <v>55</v>
      </c>
      <c r="H758" t="s">
        <v>17</v>
      </c>
      <c r="I758" t="s">
        <v>46</v>
      </c>
      <c r="J758" s="6">
        <v>8.99</v>
      </c>
      <c r="K758">
        <v>1</v>
      </c>
      <c r="L758" t="s">
        <v>29</v>
      </c>
      <c r="M758" s="5">
        <v>5</v>
      </c>
      <c r="N758" s="4">
        <v>0.05</v>
      </c>
      <c r="O758" t="s">
        <v>20</v>
      </c>
    </row>
    <row r="759" spans="1:15" x14ac:dyDescent="0.3">
      <c r="A759" t="s">
        <v>2377</v>
      </c>
      <c r="B759" s="5">
        <v>25</v>
      </c>
      <c r="C759" s="5" t="str" cm="1">
        <f t="array" ref="C759">_xlfn.IFS(worksheet[[#This Row],[age]]&lt;25,"1. Young Adulthood (18-24)",worksheet[[#This Row],[age]]&lt; 35,"2. Early Adulthood (25-34)",worksheet[[#This Row],[age]]&lt; 45,"3. Mid Adulthood (35-44)",worksheet[[#This Row],[age]]&lt; 55,"4. Mature Adulthood (45-54)",TRUE,"5. Late Adulthood/Senior (55+)")</f>
        <v>2. Early Adulthood (25-34)</v>
      </c>
      <c r="D759" t="s">
        <v>27</v>
      </c>
      <c r="E759" t="s">
        <v>22</v>
      </c>
      <c r="F759" s="4">
        <v>9.64</v>
      </c>
      <c r="G759" s="5">
        <v>54</v>
      </c>
      <c r="H759" t="s">
        <v>33</v>
      </c>
      <c r="I759" t="s">
        <v>18</v>
      </c>
      <c r="J759" s="6">
        <v>13.99</v>
      </c>
      <c r="K759">
        <v>1</v>
      </c>
      <c r="L759" t="s">
        <v>61</v>
      </c>
      <c r="M759" s="5">
        <v>3</v>
      </c>
      <c r="N759" s="4">
        <v>0.18</v>
      </c>
      <c r="O759" t="s">
        <v>30</v>
      </c>
    </row>
    <row r="760" spans="1:15" x14ac:dyDescent="0.3">
      <c r="A760" t="s">
        <v>2382</v>
      </c>
      <c r="B760" s="5">
        <v>21</v>
      </c>
      <c r="C760" s="5" t="str" cm="1">
        <f t="array" ref="C760">_xlfn.IFS(worksheet[[#This Row],[age]]&lt;25,"1. Young Adulthood (18-24)",worksheet[[#This Row],[age]]&lt; 35,"2. Early Adulthood (25-34)",worksheet[[#This Row],[age]]&lt; 45,"3. Mid Adulthood (35-44)",worksheet[[#This Row],[age]]&lt; 55,"4. Mature Adulthood (45-54)",TRUE,"5. Late Adulthood/Senior (55+)")</f>
        <v>1. Young Adulthood (18-24)</v>
      </c>
      <c r="D760" t="s">
        <v>41</v>
      </c>
      <c r="E760" t="s">
        <v>32</v>
      </c>
      <c r="F760" s="4">
        <v>1.83</v>
      </c>
      <c r="G760" s="5">
        <v>21</v>
      </c>
      <c r="H760" t="s">
        <v>70</v>
      </c>
      <c r="I760" t="s">
        <v>18</v>
      </c>
      <c r="J760" s="6">
        <v>17.989999999999998</v>
      </c>
      <c r="K760">
        <v>1</v>
      </c>
      <c r="L760" t="s">
        <v>19</v>
      </c>
      <c r="M760" s="5">
        <v>1</v>
      </c>
      <c r="N760" s="4">
        <v>0.08</v>
      </c>
      <c r="O760" t="s">
        <v>47</v>
      </c>
    </row>
    <row r="761" spans="1:15" x14ac:dyDescent="0.3">
      <c r="A761" t="s">
        <v>2383</v>
      </c>
      <c r="B761" s="5">
        <v>31</v>
      </c>
      <c r="C761" s="5" t="str" cm="1">
        <f t="array" ref="C761">_xlfn.IFS(worksheet[[#This Row],[age]]&lt;25,"1. Young Adulthood (18-24)",worksheet[[#This Row],[age]]&lt; 35,"2. Early Adulthood (25-34)",worksheet[[#This Row],[age]]&lt; 45,"3. Mid Adulthood (35-44)",worksheet[[#This Row],[age]]&lt; 55,"4. Mature Adulthood (45-54)",TRUE,"5. Late Adulthood/Senior (55+)")</f>
        <v>2. Early Adulthood (25-34)</v>
      </c>
      <c r="D761" t="s">
        <v>15</v>
      </c>
      <c r="E761" t="s">
        <v>22</v>
      </c>
      <c r="F761" s="4">
        <v>3.9</v>
      </c>
      <c r="G761" s="5">
        <v>33</v>
      </c>
      <c r="H761" t="s">
        <v>33</v>
      </c>
      <c r="I761" t="s">
        <v>46</v>
      </c>
      <c r="J761" s="6">
        <v>13.99</v>
      </c>
      <c r="K761">
        <v>1</v>
      </c>
      <c r="L761" t="s">
        <v>37</v>
      </c>
      <c r="M761" s="5">
        <v>3</v>
      </c>
      <c r="N761" s="4">
        <v>0.11</v>
      </c>
      <c r="O761" t="s">
        <v>20</v>
      </c>
    </row>
    <row r="762" spans="1:15" x14ac:dyDescent="0.3">
      <c r="A762" t="s">
        <v>2385</v>
      </c>
      <c r="B762" s="5">
        <v>32</v>
      </c>
      <c r="C762" s="5" t="str" cm="1">
        <f t="array" ref="C762">_xlfn.IFS(worksheet[[#This Row],[age]]&lt;25,"1. Young Adulthood (18-24)",worksheet[[#This Row],[age]]&lt; 35,"2. Early Adulthood (25-34)",worksheet[[#This Row],[age]]&lt; 45,"3. Mid Adulthood (35-44)",worksheet[[#This Row],[age]]&lt; 55,"4. Mature Adulthood (45-54)",TRUE,"5. Late Adulthood/Senior (55+)")</f>
        <v>2. Early Adulthood (25-34)</v>
      </c>
      <c r="D762" t="s">
        <v>41</v>
      </c>
      <c r="E762" t="s">
        <v>32</v>
      </c>
      <c r="F762" s="4">
        <v>2.38</v>
      </c>
      <c r="G762" s="5">
        <v>3</v>
      </c>
      <c r="H762" t="s">
        <v>28</v>
      </c>
      <c r="I762" t="s">
        <v>24</v>
      </c>
      <c r="J762" s="6">
        <v>17.989999999999998</v>
      </c>
      <c r="K762">
        <v>0</v>
      </c>
      <c r="L762" t="s">
        <v>19</v>
      </c>
      <c r="M762" s="5">
        <v>4</v>
      </c>
      <c r="N762" s="4">
        <v>0.59</v>
      </c>
      <c r="O762" t="s">
        <v>30</v>
      </c>
    </row>
    <row r="763" spans="1:15" x14ac:dyDescent="0.3">
      <c r="A763" t="s">
        <v>2386</v>
      </c>
      <c r="B763" s="5">
        <v>20</v>
      </c>
      <c r="C763" s="5" t="str" cm="1">
        <f t="array" ref="C763">_xlfn.IFS(worksheet[[#This Row],[age]]&lt;25,"1. Young Adulthood (18-24)",worksheet[[#This Row],[age]]&lt; 35,"2. Early Adulthood (25-34)",worksheet[[#This Row],[age]]&lt; 45,"3. Mid Adulthood (35-44)",worksheet[[#This Row],[age]]&lt; 55,"4. Mature Adulthood (45-54)",TRUE,"5. Late Adulthood/Senior (55+)")</f>
        <v>1. Young Adulthood (18-24)</v>
      </c>
      <c r="D763" t="s">
        <v>27</v>
      </c>
      <c r="E763" t="s">
        <v>16</v>
      </c>
      <c r="F763" s="4">
        <v>1.27</v>
      </c>
      <c r="G763" s="5">
        <v>46</v>
      </c>
      <c r="H763" t="s">
        <v>28</v>
      </c>
      <c r="I763" t="s">
        <v>55</v>
      </c>
      <c r="J763" s="6">
        <v>8.99</v>
      </c>
      <c r="K763">
        <v>1</v>
      </c>
      <c r="L763" t="s">
        <v>43</v>
      </c>
      <c r="M763" s="5">
        <v>1</v>
      </c>
      <c r="N763" s="4">
        <v>0.03</v>
      </c>
      <c r="O763" t="s">
        <v>34</v>
      </c>
    </row>
    <row r="764" spans="1:15" x14ac:dyDescent="0.3">
      <c r="A764" t="s">
        <v>2388</v>
      </c>
      <c r="B764" s="5">
        <v>18</v>
      </c>
      <c r="C764" s="5" t="str" cm="1">
        <f t="array" ref="C764">_xlfn.IFS(worksheet[[#This Row],[age]]&lt;25,"1. Young Adulthood (18-24)",worksheet[[#This Row],[age]]&lt; 35,"2. Early Adulthood (25-34)",worksheet[[#This Row],[age]]&lt; 45,"3. Mid Adulthood (35-44)",worksheet[[#This Row],[age]]&lt; 55,"4. Mature Adulthood (45-54)",TRUE,"5. Late Adulthood/Senior (55+)")</f>
        <v>1. Young Adulthood (18-24)</v>
      </c>
      <c r="D764" t="s">
        <v>41</v>
      </c>
      <c r="E764" t="s">
        <v>16</v>
      </c>
      <c r="F764" s="4">
        <v>3.11</v>
      </c>
      <c r="G764" s="5">
        <v>48</v>
      </c>
      <c r="H764" t="s">
        <v>23</v>
      </c>
      <c r="I764" t="s">
        <v>18</v>
      </c>
      <c r="J764" s="6">
        <v>8.99</v>
      </c>
      <c r="K764">
        <v>1</v>
      </c>
      <c r="L764" t="s">
        <v>61</v>
      </c>
      <c r="M764" s="5">
        <v>2</v>
      </c>
      <c r="N764" s="4">
        <v>0.06</v>
      </c>
      <c r="O764" t="s">
        <v>25</v>
      </c>
    </row>
    <row r="765" spans="1:15" x14ac:dyDescent="0.3">
      <c r="A765" t="s">
        <v>2390</v>
      </c>
      <c r="B765" s="5">
        <v>28</v>
      </c>
      <c r="C765" s="5" t="str" cm="1">
        <f t="array" ref="C765">_xlfn.IFS(worksheet[[#This Row],[age]]&lt;25,"1. Young Adulthood (18-24)",worksheet[[#This Row],[age]]&lt; 35,"2. Early Adulthood (25-34)",worksheet[[#This Row],[age]]&lt; 45,"3. Mid Adulthood (35-44)",worksheet[[#This Row],[age]]&lt; 55,"4. Mature Adulthood (45-54)",TRUE,"5. Late Adulthood/Senior (55+)")</f>
        <v>2. Early Adulthood (25-34)</v>
      </c>
      <c r="D765" t="s">
        <v>27</v>
      </c>
      <c r="E765" t="s">
        <v>22</v>
      </c>
      <c r="F765" s="4">
        <v>0.61</v>
      </c>
      <c r="G765" s="5">
        <v>59</v>
      </c>
      <c r="H765" t="s">
        <v>17</v>
      </c>
      <c r="I765" t="s">
        <v>46</v>
      </c>
      <c r="J765" s="6">
        <v>13.99</v>
      </c>
      <c r="K765">
        <v>1</v>
      </c>
      <c r="L765" t="s">
        <v>19</v>
      </c>
      <c r="M765" s="5">
        <v>5</v>
      </c>
      <c r="N765" s="4">
        <v>0.01</v>
      </c>
      <c r="O765" t="s">
        <v>39</v>
      </c>
    </row>
    <row r="766" spans="1:15" x14ac:dyDescent="0.3">
      <c r="A766" t="s">
        <v>2392</v>
      </c>
      <c r="B766" s="5">
        <v>22</v>
      </c>
      <c r="C766" s="5" t="str" cm="1">
        <f t="array" ref="C766">_xlfn.IFS(worksheet[[#This Row],[age]]&lt;25,"1. Young Adulthood (18-24)",worksheet[[#This Row],[age]]&lt; 35,"2. Early Adulthood (25-34)",worksheet[[#This Row],[age]]&lt; 45,"3. Mid Adulthood (35-44)",worksheet[[#This Row],[age]]&lt; 55,"4. Mature Adulthood (45-54)",TRUE,"5. Late Adulthood/Senior (55+)")</f>
        <v>1. Young Adulthood (18-24)</v>
      </c>
      <c r="D766" t="s">
        <v>41</v>
      </c>
      <c r="E766" t="s">
        <v>22</v>
      </c>
      <c r="F766" s="4">
        <v>10.96</v>
      </c>
      <c r="G766" s="5">
        <v>50</v>
      </c>
      <c r="H766" t="s">
        <v>28</v>
      </c>
      <c r="I766" t="s">
        <v>46</v>
      </c>
      <c r="J766" s="6">
        <v>13.99</v>
      </c>
      <c r="K766">
        <v>1</v>
      </c>
      <c r="L766" t="s">
        <v>29</v>
      </c>
      <c r="M766" s="5">
        <v>4</v>
      </c>
      <c r="N766" s="4">
        <v>0.21</v>
      </c>
      <c r="O766" t="s">
        <v>30</v>
      </c>
    </row>
    <row r="767" spans="1:15" x14ac:dyDescent="0.3">
      <c r="A767" t="s">
        <v>2393</v>
      </c>
      <c r="B767" s="5">
        <v>29</v>
      </c>
      <c r="C767" s="5" t="str" cm="1">
        <f t="array" ref="C767">_xlfn.IFS(worksheet[[#This Row],[age]]&lt;25,"1. Young Adulthood (18-24)",worksheet[[#This Row],[age]]&lt; 35,"2. Early Adulthood (25-34)",worksheet[[#This Row],[age]]&lt; 45,"3. Mid Adulthood (35-44)",worksheet[[#This Row],[age]]&lt; 55,"4. Mature Adulthood (45-54)",TRUE,"5. Late Adulthood/Senior (55+)")</f>
        <v>2. Early Adulthood (25-34)</v>
      </c>
      <c r="D767" t="s">
        <v>15</v>
      </c>
      <c r="E767" t="s">
        <v>32</v>
      </c>
      <c r="F767" s="4">
        <v>16.95</v>
      </c>
      <c r="G767" s="5">
        <v>53</v>
      </c>
      <c r="H767" t="s">
        <v>17</v>
      </c>
      <c r="I767" t="s">
        <v>24</v>
      </c>
      <c r="J767" s="6">
        <v>17.989999999999998</v>
      </c>
      <c r="K767">
        <v>1</v>
      </c>
      <c r="L767" t="s">
        <v>43</v>
      </c>
      <c r="M767" s="5">
        <v>3</v>
      </c>
      <c r="N767" s="4">
        <v>0.31</v>
      </c>
      <c r="O767" t="s">
        <v>39</v>
      </c>
    </row>
    <row r="768" spans="1:15" x14ac:dyDescent="0.3">
      <c r="A768" t="s">
        <v>2395</v>
      </c>
      <c r="B768" s="5">
        <v>34</v>
      </c>
      <c r="C768" s="5" t="str" cm="1">
        <f t="array" ref="C768">_xlfn.IFS(worksheet[[#This Row],[age]]&lt;25,"1. Young Adulthood (18-24)",worksheet[[#This Row],[age]]&lt; 35,"2. Early Adulthood (25-34)",worksheet[[#This Row],[age]]&lt; 45,"3. Mid Adulthood (35-44)",worksheet[[#This Row],[age]]&lt; 55,"4. Mature Adulthood (45-54)",TRUE,"5. Late Adulthood/Senior (55+)")</f>
        <v>2. Early Adulthood (25-34)</v>
      </c>
      <c r="D768" t="s">
        <v>15</v>
      </c>
      <c r="E768" t="s">
        <v>22</v>
      </c>
      <c r="F768" s="4">
        <v>8.59</v>
      </c>
      <c r="G768" s="5">
        <v>20</v>
      </c>
      <c r="H768" t="s">
        <v>23</v>
      </c>
      <c r="I768" t="s">
        <v>18</v>
      </c>
      <c r="J768" s="6">
        <v>13.99</v>
      </c>
      <c r="K768">
        <v>0</v>
      </c>
      <c r="L768" t="s">
        <v>19</v>
      </c>
      <c r="M768" s="5">
        <v>1</v>
      </c>
      <c r="N768" s="4">
        <v>0.41</v>
      </c>
      <c r="O768" t="s">
        <v>39</v>
      </c>
    </row>
    <row r="769" spans="1:15" x14ac:dyDescent="0.3">
      <c r="A769" t="s">
        <v>2398</v>
      </c>
      <c r="B769" s="5">
        <v>33</v>
      </c>
      <c r="C769" s="5" t="str" cm="1">
        <f t="array" ref="C769">_xlfn.IFS(worksheet[[#This Row],[age]]&lt;25,"1. Young Adulthood (18-24)",worksheet[[#This Row],[age]]&lt; 35,"2. Early Adulthood (25-34)",worksheet[[#This Row],[age]]&lt; 45,"3. Mid Adulthood (35-44)",worksheet[[#This Row],[age]]&lt; 55,"4. Mature Adulthood (45-54)",TRUE,"5. Late Adulthood/Senior (55+)")</f>
        <v>2. Early Adulthood (25-34)</v>
      </c>
      <c r="D769" t="s">
        <v>15</v>
      </c>
      <c r="E769" t="s">
        <v>16</v>
      </c>
      <c r="F769" s="4">
        <v>24.94</v>
      </c>
      <c r="G769" s="5">
        <v>16</v>
      </c>
      <c r="H769" t="s">
        <v>49</v>
      </c>
      <c r="I769" t="s">
        <v>24</v>
      </c>
      <c r="J769" s="6">
        <v>8.99</v>
      </c>
      <c r="K769">
        <v>0</v>
      </c>
      <c r="L769" t="s">
        <v>61</v>
      </c>
      <c r="M769" s="5">
        <v>1</v>
      </c>
      <c r="N769" s="4">
        <v>1.47</v>
      </c>
      <c r="O769" t="s">
        <v>30</v>
      </c>
    </row>
    <row r="770" spans="1:15" x14ac:dyDescent="0.3">
      <c r="A770" t="s">
        <v>2399</v>
      </c>
      <c r="B770" s="5">
        <v>26</v>
      </c>
      <c r="C770" s="5" t="str" cm="1">
        <f t="array" ref="C770">_xlfn.IFS(worksheet[[#This Row],[age]]&lt;25,"1. Young Adulthood (18-24)",worksheet[[#This Row],[age]]&lt; 35,"2. Early Adulthood (25-34)",worksheet[[#This Row],[age]]&lt; 45,"3. Mid Adulthood (35-44)",worksheet[[#This Row],[age]]&lt; 55,"4. Mature Adulthood (45-54)",TRUE,"5. Late Adulthood/Senior (55+)")</f>
        <v>2. Early Adulthood (25-34)</v>
      </c>
      <c r="D770" t="s">
        <v>41</v>
      </c>
      <c r="E770" t="s">
        <v>22</v>
      </c>
      <c r="F770" s="4">
        <v>26.4</v>
      </c>
      <c r="G770" s="5">
        <v>22</v>
      </c>
      <c r="H770" t="s">
        <v>70</v>
      </c>
      <c r="I770" t="s">
        <v>18</v>
      </c>
      <c r="J770" s="6">
        <v>13.99</v>
      </c>
      <c r="K770">
        <v>0</v>
      </c>
      <c r="L770" t="s">
        <v>61</v>
      </c>
      <c r="M770" s="5">
        <v>1</v>
      </c>
      <c r="N770" s="4">
        <v>1.1499999999999999</v>
      </c>
      <c r="O770" t="s">
        <v>39</v>
      </c>
    </row>
    <row r="771" spans="1:15" x14ac:dyDescent="0.3">
      <c r="A771" t="s">
        <v>2400</v>
      </c>
      <c r="B771" s="5">
        <v>28</v>
      </c>
      <c r="C771" s="5" t="str" cm="1">
        <f t="array" ref="C771">_xlfn.IFS(worksheet[[#This Row],[age]]&lt;25,"1. Young Adulthood (18-24)",worksheet[[#This Row],[age]]&lt; 35,"2. Early Adulthood (25-34)",worksheet[[#This Row],[age]]&lt; 45,"3. Mid Adulthood (35-44)",worksheet[[#This Row],[age]]&lt; 55,"4. Mature Adulthood (45-54)",TRUE,"5. Late Adulthood/Senior (55+)")</f>
        <v>2. Early Adulthood (25-34)</v>
      </c>
      <c r="D771" t="s">
        <v>15</v>
      </c>
      <c r="E771" t="s">
        <v>22</v>
      </c>
      <c r="F771" s="4">
        <v>14.45</v>
      </c>
      <c r="G771" s="5">
        <v>4</v>
      </c>
      <c r="H771" t="s">
        <v>23</v>
      </c>
      <c r="I771" t="s">
        <v>46</v>
      </c>
      <c r="J771" s="6">
        <v>13.99</v>
      </c>
      <c r="K771">
        <v>0</v>
      </c>
      <c r="L771" t="s">
        <v>61</v>
      </c>
      <c r="M771" s="5">
        <v>5</v>
      </c>
      <c r="N771" s="4">
        <v>2.89</v>
      </c>
      <c r="O771" t="s">
        <v>34</v>
      </c>
    </row>
    <row r="772" spans="1:15" x14ac:dyDescent="0.3">
      <c r="A772" t="s">
        <v>2404</v>
      </c>
      <c r="B772" s="5">
        <v>28</v>
      </c>
      <c r="C772" s="5" t="str" cm="1">
        <f t="array" ref="C772">_xlfn.IFS(worksheet[[#This Row],[age]]&lt;25,"1. Young Adulthood (18-24)",worksheet[[#This Row],[age]]&lt; 35,"2. Early Adulthood (25-34)",worksheet[[#This Row],[age]]&lt; 45,"3. Mid Adulthood (35-44)",worksheet[[#This Row],[age]]&lt; 55,"4. Mature Adulthood (45-54)",TRUE,"5. Late Adulthood/Senior (55+)")</f>
        <v>2. Early Adulthood (25-34)</v>
      </c>
      <c r="D772" t="s">
        <v>15</v>
      </c>
      <c r="E772" t="s">
        <v>22</v>
      </c>
      <c r="F772" s="4">
        <v>1.07</v>
      </c>
      <c r="G772" s="5">
        <v>9</v>
      </c>
      <c r="H772" t="s">
        <v>17</v>
      </c>
      <c r="I772" t="s">
        <v>24</v>
      </c>
      <c r="J772" s="6">
        <v>13.99</v>
      </c>
      <c r="K772">
        <v>1</v>
      </c>
      <c r="L772" t="s">
        <v>43</v>
      </c>
      <c r="M772" s="5">
        <v>1</v>
      </c>
      <c r="N772" s="4">
        <v>0.11</v>
      </c>
      <c r="O772" t="s">
        <v>47</v>
      </c>
    </row>
    <row r="773" spans="1:15" x14ac:dyDescent="0.3">
      <c r="A773" t="s">
        <v>2406</v>
      </c>
      <c r="B773" s="5">
        <v>20</v>
      </c>
      <c r="C773" s="5" t="str" cm="1">
        <f t="array" ref="C773">_xlfn.IFS(worksheet[[#This Row],[age]]&lt;25,"1. Young Adulthood (18-24)",worksheet[[#This Row],[age]]&lt; 35,"2. Early Adulthood (25-34)",worksheet[[#This Row],[age]]&lt; 45,"3. Mid Adulthood (35-44)",worksheet[[#This Row],[age]]&lt; 55,"4. Mature Adulthood (45-54)",TRUE,"5. Late Adulthood/Senior (55+)")</f>
        <v>1. Young Adulthood (18-24)</v>
      </c>
      <c r="D773" t="s">
        <v>41</v>
      </c>
      <c r="E773" t="s">
        <v>16</v>
      </c>
      <c r="F773" s="4">
        <v>1.4</v>
      </c>
      <c r="G773" s="5">
        <v>51</v>
      </c>
      <c r="H773" t="s">
        <v>49</v>
      </c>
      <c r="I773" t="s">
        <v>18</v>
      </c>
      <c r="J773" s="6">
        <v>8.99</v>
      </c>
      <c r="K773">
        <v>1</v>
      </c>
      <c r="L773" t="s">
        <v>19</v>
      </c>
      <c r="M773" s="5">
        <v>4</v>
      </c>
      <c r="N773" s="4">
        <v>0.03</v>
      </c>
      <c r="O773" t="s">
        <v>47</v>
      </c>
    </row>
    <row r="774" spans="1:15" x14ac:dyDescent="0.3">
      <c r="A774" t="s">
        <v>2411</v>
      </c>
      <c r="B774" s="5">
        <v>29</v>
      </c>
      <c r="C774" s="5" t="str" cm="1">
        <f t="array" ref="C774">_xlfn.IFS(worksheet[[#This Row],[age]]&lt;25,"1. Young Adulthood (18-24)",worksheet[[#This Row],[age]]&lt; 35,"2. Early Adulthood (25-34)",worksheet[[#This Row],[age]]&lt; 45,"3. Mid Adulthood (35-44)",worksheet[[#This Row],[age]]&lt; 55,"4. Mature Adulthood (45-54)",TRUE,"5. Late Adulthood/Senior (55+)")</f>
        <v>2. Early Adulthood (25-34)</v>
      </c>
      <c r="D774" t="s">
        <v>27</v>
      </c>
      <c r="E774" t="s">
        <v>22</v>
      </c>
      <c r="F774" s="4">
        <v>17.260000000000002</v>
      </c>
      <c r="G774" s="5">
        <v>17</v>
      </c>
      <c r="H774" t="s">
        <v>33</v>
      </c>
      <c r="I774" t="s">
        <v>57</v>
      </c>
      <c r="J774" s="6">
        <v>13.99</v>
      </c>
      <c r="K774">
        <v>0</v>
      </c>
      <c r="L774" t="s">
        <v>19</v>
      </c>
      <c r="M774" s="5">
        <v>2</v>
      </c>
      <c r="N774" s="4">
        <v>0.96</v>
      </c>
      <c r="O774" t="s">
        <v>30</v>
      </c>
    </row>
    <row r="775" spans="1:15" x14ac:dyDescent="0.3">
      <c r="A775" t="s">
        <v>2413</v>
      </c>
      <c r="B775" s="5">
        <v>28</v>
      </c>
      <c r="C775" s="5" t="str" cm="1">
        <f t="array" ref="C775">_xlfn.IFS(worksheet[[#This Row],[age]]&lt;25,"1. Young Adulthood (18-24)",worksheet[[#This Row],[age]]&lt; 35,"2. Early Adulthood (25-34)",worksheet[[#This Row],[age]]&lt; 45,"3. Mid Adulthood (35-44)",worksheet[[#This Row],[age]]&lt; 55,"4. Mature Adulthood (45-54)",TRUE,"5. Late Adulthood/Senior (55+)")</f>
        <v>2. Early Adulthood (25-34)</v>
      </c>
      <c r="D775" t="s">
        <v>15</v>
      </c>
      <c r="E775" t="s">
        <v>22</v>
      </c>
      <c r="F775" s="4">
        <v>6.97</v>
      </c>
      <c r="G775" s="5">
        <v>9</v>
      </c>
      <c r="H775" t="s">
        <v>17</v>
      </c>
      <c r="I775" t="s">
        <v>55</v>
      </c>
      <c r="J775" s="6">
        <v>13.99</v>
      </c>
      <c r="K775">
        <v>0</v>
      </c>
      <c r="L775" t="s">
        <v>37</v>
      </c>
      <c r="M775" s="5">
        <v>4</v>
      </c>
      <c r="N775" s="4">
        <v>0.7</v>
      </c>
      <c r="O775" t="s">
        <v>34</v>
      </c>
    </row>
    <row r="776" spans="1:15" x14ac:dyDescent="0.3">
      <c r="A776" t="s">
        <v>2414</v>
      </c>
      <c r="B776" s="5">
        <v>29</v>
      </c>
      <c r="C776" s="5" t="str" cm="1">
        <f t="array" ref="C776">_xlfn.IFS(worksheet[[#This Row],[age]]&lt;25,"1. Young Adulthood (18-24)",worksheet[[#This Row],[age]]&lt; 35,"2. Early Adulthood (25-34)",worksheet[[#This Row],[age]]&lt; 45,"3. Mid Adulthood (35-44)",worksheet[[#This Row],[age]]&lt; 55,"4. Mature Adulthood (45-54)",TRUE,"5. Late Adulthood/Senior (55+)")</f>
        <v>2. Early Adulthood (25-34)</v>
      </c>
      <c r="D776" t="s">
        <v>27</v>
      </c>
      <c r="E776" t="s">
        <v>32</v>
      </c>
      <c r="F776" s="4">
        <v>14.87</v>
      </c>
      <c r="G776" s="5">
        <v>12</v>
      </c>
      <c r="H776" t="s">
        <v>70</v>
      </c>
      <c r="I776" t="s">
        <v>46</v>
      </c>
      <c r="J776" s="6">
        <v>17.989999999999998</v>
      </c>
      <c r="K776">
        <v>0</v>
      </c>
      <c r="L776" t="s">
        <v>61</v>
      </c>
      <c r="M776" s="5">
        <v>4</v>
      </c>
      <c r="N776" s="4">
        <v>1.1399999999999999</v>
      </c>
      <c r="O776" t="s">
        <v>20</v>
      </c>
    </row>
    <row r="777" spans="1:15" x14ac:dyDescent="0.3">
      <c r="A777" t="s">
        <v>2418</v>
      </c>
      <c r="B777" s="5">
        <v>21</v>
      </c>
      <c r="C777" s="5" t="str" cm="1">
        <f t="array" ref="C777">_xlfn.IFS(worksheet[[#This Row],[age]]&lt;25,"1. Young Adulthood (18-24)",worksheet[[#This Row],[age]]&lt; 35,"2. Early Adulthood (25-34)",worksheet[[#This Row],[age]]&lt; 45,"3. Mid Adulthood (35-44)",worksheet[[#This Row],[age]]&lt; 55,"4. Mature Adulthood (45-54)",TRUE,"5. Late Adulthood/Senior (55+)")</f>
        <v>1. Young Adulthood (18-24)</v>
      </c>
      <c r="D777" t="s">
        <v>27</v>
      </c>
      <c r="E777" t="s">
        <v>22</v>
      </c>
      <c r="F777" s="4">
        <v>25.32</v>
      </c>
      <c r="G777" s="5">
        <v>60</v>
      </c>
      <c r="H777" t="s">
        <v>23</v>
      </c>
      <c r="I777" t="s">
        <v>24</v>
      </c>
      <c r="J777" s="6">
        <v>13.99</v>
      </c>
      <c r="K777">
        <v>0</v>
      </c>
      <c r="L777" t="s">
        <v>29</v>
      </c>
      <c r="M777" s="5">
        <v>4</v>
      </c>
      <c r="N777" s="4">
        <v>0.42</v>
      </c>
      <c r="O777" t="s">
        <v>47</v>
      </c>
    </row>
    <row r="778" spans="1:15" x14ac:dyDescent="0.3">
      <c r="A778" t="s">
        <v>2420</v>
      </c>
      <c r="B778" s="5">
        <v>19</v>
      </c>
      <c r="C778" s="5" t="str" cm="1">
        <f t="array" ref="C778">_xlfn.IFS(worksheet[[#This Row],[age]]&lt;25,"1. Young Adulthood (18-24)",worksheet[[#This Row],[age]]&lt; 35,"2. Early Adulthood (25-34)",worksheet[[#This Row],[age]]&lt; 45,"3. Mid Adulthood (35-44)",worksheet[[#This Row],[age]]&lt; 55,"4. Mature Adulthood (45-54)",TRUE,"5. Late Adulthood/Senior (55+)")</f>
        <v>1. Young Adulthood (18-24)</v>
      </c>
      <c r="D778" t="s">
        <v>27</v>
      </c>
      <c r="E778" t="s">
        <v>22</v>
      </c>
      <c r="F778" s="4">
        <v>16.260000000000002</v>
      </c>
      <c r="G778" s="5">
        <v>17</v>
      </c>
      <c r="H778" t="s">
        <v>23</v>
      </c>
      <c r="I778" t="s">
        <v>57</v>
      </c>
      <c r="J778" s="6">
        <v>13.99</v>
      </c>
      <c r="K778">
        <v>0</v>
      </c>
      <c r="L778" t="s">
        <v>61</v>
      </c>
      <c r="M778" s="5">
        <v>1</v>
      </c>
      <c r="N778" s="4">
        <v>0.9</v>
      </c>
      <c r="O778" t="s">
        <v>30</v>
      </c>
    </row>
    <row r="779" spans="1:15" x14ac:dyDescent="0.3">
      <c r="A779" t="s">
        <v>2430</v>
      </c>
      <c r="B779" s="5">
        <v>32</v>
      </c>
      <c r="C779" s="5" t="str" cm="1">
        <f t="array" ref="C779">_xlfn.IFS(worksheet[[#This Row],[age]]&lt;25,"1. Young Adulthood (18-24)",worksheet[[#This Row],[age]]&lt; 35,"2. Early Adulthood (25-34)",worksheet[[#This Row],[age]]&lt; 45,"3. Mid Adulthood (35-44)",worksheet[[#This Row],[age]]&lt; 55,"4. Mature Adulthood (45-54)",TRUE,"5. Late Adulthood/Senior (55+)")</f>
        <v>2. Early Adulthood (25-34)</v>
      </c>
      <c r="D779" t="s">
        <v>15</v>
      </c>
      <c r="E779" t="s">
        <v>16</v>
      </c>
      <c r="F779" s="4">
        <v>12.06</v>
      </c>
      <c r="G779" s="5">
        <v>26</v>
      </c>
      <c r="H779" t="s">
        <v>28</v>
      </c>
      <c r="I779" t="s">
        <v>46</v>
      </c>
      <c r="J779" s="6">
        <v>8.99</v>
      </c>
      <c r="K779">
        <v>0</v>
      </c>
      <c r="L779" t="s">
        <v>43</v>
      </c>
      <c r="M779" s="5">
        <v>3</v>
      </c>
      <c r="N779" s="4">
        <v>0.45</v>
      </c>
      <c r="O779" t="s">
        <v>30</v>
      </c>
    </row>
    <row r="780" spans="1:15" x14ac:dyDescent="0.3">
      <c r="A780" t="s">
        <v>2434</v>
      </c>
      <c r="B780" s="5">
        <v>19</v>
      </c>
      <c r="C780" s="5" t="str" cm="1">
        <f t="array" ref="C780">_xlfn.IFS(worksheet[[#This Row],[age]]&lt;25,"1. Young Adulthood (18-24)",worksheet[[#This Row],[age]]&lt; 35,"2. Early Adulthood (25-34)",worksheet[[#This Row],[age]]&lt; 45,"3. Mid Adulthood (35-44)",worksheet[[#This Row],[age]]&lt; 55,"4. Mature Adulthood (45-54)",TRUE,"5. Late Adulthood/Senior (55+)")</f>
        <v>1. Young Adulthood (18-24)</v>
      </c>
      <c r="D780" t="s">
        <v>41</v>
      </c>
      <c r="E780" t="s">
        <v>16</v>
      </c>
      <c r="F780" s="4">
        <v>2.79</v>
      </c>
      <c r="G780" s="5">
        <v>33</v>
      </c>
      <c r="H780" t="s">
        <v>33</v>
      </c>
      <c r="I780" t="s">
        <v>57</v>
      </c>
      <c r="J780" s="6">
        <v>8.99</v>
      </c>
      <c r="K780">
        <v>1</v>
      </c>
      <c r="L780" t="s">
        <v>43</v>
      </c>
      <c r="M780" s="5">
        <v>4</v>
      </c>
      <c r="N780" s="4">
        <v>0.08</v>
      </c>
      <c r="O780" t="s">
        <v>25</v>
      </c>
    </row>
    <row r="781" spans="1:15" x14ac:dyDescent="0.3">
      <c r="A781" t="s">
        <v>2435</v>
      </c>
      <c r="B781" s="5">
        <v>33</v>
      </c>
      <c r="C781" s="5" t="str" cm="1">
        <f t="array" ref="C781">_xlfn.IFS(worksheet[[#This Row],[age]]&lt;25,"1. Young Adulthood (18-24)",worksheet[[#This Row],[age]]&lt; 35,"2. Early Adulthood (25-34)",worksheet[[#This Row],[age]]&lt; 45,"3. Mid Adulthood (35-44)",worksheet[[#This Row],[age]]&lt; 55,"4. Mature Adulthood (45-54)",TRUE,"5. Late Adulthood/Senior (55+)")</f>
        <v>2. Early Adulthood (25-34)</v>
      </c>
      <c r="D781" t="s">
        <v>27</v>
      </c>
      <c r="E781" t="s">
        <v>16</v>
      </c>
      <c r="F781" s="4">
        <v>9.64</v>
      </c>
      <c r="G781" s="5">
        <v>30</v>
      </c>
      <c r="H781" t="s">
        <v>28</v>
      </c>
      <c r="I781" t="s">
        <v>24</v>
      </c>
      <c r="J781" s="6">
        <v>8.99</v>
      </c>
      <c r="K781">
        <v>0</v>
      </c>
      <c r="L781" t="s">
        <v>29</v>
      </c>
      <c r="M781" s="5">
        <v>5</v>
      </c>
      <c r="N781" s="4">
        <v>0.31</v>
      </c>
      <c r="O781" t="s">
        <v>52</v>
      </c>
    </row>
    <row r="782" spans="1:15" x14ac:dyDescent="0.3">
      <c r="A782" t="s">
        <v>2437</v>
      </c>
      <c r="B782" s="5">
        <v>18</v>
      </c>
      <c r="C782" s="5" t="str" cm="1">
        <f t="array" ref="C782">_xlfn.IFS(worksheet[[#This Row],[age]]&lt;25,"1. Young Adulthood (18-24)",worksheet[[#This Row],[age]]&lt; 35,"2. Early Adulthood (25-34)",worksheet[[#This Row],[age]]&lt; 45,"3. Mid Adulthood (35-44)",worksheet[[#This Row],[age]]&lt; 55,"4. Mature Adulthood (45-54)",TRUE,"5. Late Adulthood/Senior (55+)")</f>
        <v>1. Young Adulthood (18-24)</v>
      </c>
      <c r="D782" t="s">
        <v>15</v>
      </c>
      <c r="E782" t="s">
        <v>16</v>
      </c>
      <c r="F782" s="4">
        <v>2.13</v>
      </c>
      <c r="G782" s="5">
        <v>20</v>
      </c>
      <c r="H782" t="s">
        <v>33</v>
      </c>
      <c r="I782" t="s">
        <v>46</v>
      </c>
      <c r="J782" s="6">
        <v>8.99</v>
      </c>
      <c r="K782">
        <v>1</v>
      </c>
      <c r="L782" t="s">
        <v>61</v>
      </c>
      <c r="M782" s="5">
        <v>1</v>
      </c>
      <c r="N782" s="4">
        <v>0.1</v>
      </c>
      <c r="O782" t="s">
        <v>25</v>
      </c>
    </row>
    <row r="783" spans="1:15" x14ac:dyDescent="0.3">
      <c r="A783" t="s">
        <v>2438</v>
      </c>
      <c r="B783" s="5">
        <v>22</v>
      </c>
      <c r="C783" s="5" t="str" cm="1">
        <f t="array" ref="C783">_xlfn.IFS(worksheet[[#This Row],[age]]&lt;25,"1. Young Adulthood (18-24)",worksheet[[#This Row],[age]]&lt; 35,"2. Early Adulthood (25-34)",worksheet[[#This Row],[age]]&lt; 45,"3. Mid Adulthood (35-44)",worksheet[[#This Row],[age]]&lt; 55,"4. Mature Adulthood (45-54)",TRUE,"5. Late Adulthood/Senior (55+)")</f>
        <v>1. Young Adulthood (18-24)</v>
      </c>
      <c r="D783" t="s">
        <v>15</v>
      </c>
      <c r="E783" t="s">
        <v>32</v>
      </c>
      <c r="F783" s="4">
        <v>32.64</v>
      </c>
      <c r="G783" s="5">
        <v>30</v>
      </c>
      <c r="H783" t="s">
        <v>33</v>
      </c>
      <c r="I783" t="s">
        <v>24</v>
      </c>
      <c r="J783" s="6">
        <v>17.989999999999998</v>
      </c>
      <c r="K783">
        <v>0</v>
      </c>
      <c r="L783" t="s">
        <v>61</v>
      </c>
      <c r="M783" s="5">
        <v>5</v>
      </c>
      <c r="N783" s="4">
        <v>1.05</v>
      </c>
      <c r="O783" t="s">
        <v>25</v>
      </c>
    </row>
    <row r="784" spans="1:15" x14ac:dyDescent="0.3">
      <c r="A784" t="s">
        <v>2441</v>
      </c>
      <c r="B784" s="5">
        <v>24</v>
      </c>
      <c r="C784" s="5" t="str" cm="1">
        <f t="array" ref="C784">_xlfn.IFS(worksheet[[#This Row],[age]]&lt;25,"1. Young Adulthood (18-24)",worksheet[[#This Row],[age]]&lt; 35,"2. Early Adulthood (25-34)",worksheet[[#This Row],[age]]&lt; 45,"3. Mid Adulthood (35-44)",worksheet[[#This Row],[age]]&lt; 55,"4. Mature Adulthood (45-54)",TRUE,"5. Late Adulthood/Senior (55+)")</f>
        <v>1. Young Adulthood (18-24)</v>
      </c>
      <c r="D784" t="s">
        <v>27</v>
      </c>
      <c r="E784" t="s">
        <v>16</v>
      </c>
      <c r="F784" s="4">
        <v>14.8</v>
      </c>
      <c r="G784" s="5">
        <v>28</v>
      </c>
      <c r="H784" t="s">
        <v>70</v>
      </c>
      <c r="I784" t="s">
        <v>46</v>
      </c>
      <c r="J784" s="6">
        <v>8.99</v>
      </c>
      <c r="K784">
        <v>0</v>
      </c>
      <c r="L784" t="s">
        <v>37</v>
      </c>
      <c r="M784" s="5">
        <v>5</v>
      </c>
      <c r="N784" s="4">
        <v>0.51</v>
      </c>
      <c r="O784" t="s">
        <v>30</v>
      </c>
    </row>
    <row r="785" spans="1:15" x14ac:dyDescent="0.3">
      <c r="A785" t="s">
        <v>2442</v>
      </c>
      <c r="B785" s="5">
        <v>30</v>
      </c>
      <c r="C785" s="5" t="str" cm="1">
        <f t="array" ref="C785">_xlfn.IFS(worksheet[[#This Row],[age]]&lt;25,"1. Young Adulthood (18-24)",worksheet[[#This Row],[age]]&lt; 35,"2. Early Adulthood (25-34)",worksheet[[#This Row],[age]]&lt; 45,"3. Mid Adulthood (35-44)",worksheet[[#This Row],[age]]&lt; 55,"4. Mature Adulthood (45-54)",TRUE,"5. Late Adulthood/Senior (55+)")</f>
        <v>2. Early Adulthood (25-34)</v>
      </c>
      <c r="D785" t="s">
        <v>27</v>
      </c>
      <c r="E785" t="s">
        <v>16</v>
      </c>
      <c r="F785" s="4">
        <v>4.3899999999999997</v>
      </c>
      <c r="G785" s="5">
        <v>52</v>
      </c>
      <c r="H785" t="s">
        <v>70</v>
      </c>
      <c r="I785" t="s">
        <v>18</v>
      </c>
      <c r="J785" s="6">
        <v>8.99</v>
      </c>
      <c r="K785">
        <v>1</v>
      </c>
      <c r="L785" t="s">
        <v>61</v>
      </c>
      <c r="M785" s="5">
        <v>3</v>
      </c>
      <c r="N785" s="4">
        <v>0.08</v>
      </c>
      <c r="O785" t="s">
        <v>30</v>
      </c>
    </row>
    <row r="786" spans="1:15" x14ac:dyDescent="0.3">
      <c r="A786" t="s">
        <v>2443</v>
      </c>
      <c r="B786" s="5">
        <v>22</v>
      </c>
      <c r="C786" s="5" t="str" cm="1">
        <f t="array" ref="C786">_xlfn.IFS(worksheet[[#This Row],[age]]&lt;25,"1. Young Adulthood (18-24)",worksheet[[#This Row],[age]]&lt; 35,"2. Early Adulthood (25-34)",worksheet[[#This Row],[age]]&lt; 45,"3. Mid Adulthood (35-44)",worksheet[[#This Row],[age]]&lt; 55,"4. Mature Adulthood (45-54)",TRUE,"5. Late Adulthood/Senior (55+)")</f>
        <v>1. Young Adulthood (18-24)</v>
      </c>
      <c r="D786" t="s">
        <v>41</v>
      </c>
      <c r="E786" t="s">
        <v>32</v>
      </c>
      <c r="F786" s="4">
        <v>5.45</v>
      </c>
      <c r="G786" s="5">
        <v>16</v>
      </c>
      <c r="H786" t="s">
        <v>70</v>
      </c>
      <c r="I786" t="s">
        <v>55</v>
      </c>
      <c r="J786" s="6">
        <v>17.989999999999998</v>
      </c>
      <c r="K786">
        <v>0</v>
      </c>
      <c r="L786" t="s">
        <v>61</v>
      </c>
      <c r="M786" s="5">
        <v>1</v>
      </c>
      <c r="N786" s="4">
        <v>0.32</v>
      </c>
      <c r="O786" t="s">
        <v>39</v>
      </c>
    </row>
    <row r="787" spans="1:15" x14ac:dyDescent="0.3">
      <c r="A787" t="s">
        <v>2449</v>
      </c>
      <c r="B787" s="5">
        <v>32</v>
      </c>
      <c r="C787" s="5" t="str" cm="1">
        <f t="array" ref="C787">_xlfn.IFS(worksheet[[#This Row],[age]]&lt;25,"1. Young Adulthood (18-24)",worksheet[[#This Row],[age]]&lt; 35,"2. Early Adulthood (25-34)",worksheet[[#This Row],[age]]&lt; 45,"3. Mid Adulthood (35-44)",worksheet[[#This Row],[age]]&lt; 55,"4. Mature Adulthood (45-54)",TRUE,"5. Late Adulthood/Senior (55+)")</f>
        <v>2. Early Adulthood (25-34)</v>
      </c>
      <c r="D787" t="s">
        <v>27</v>
      </c>
      <c r="E787" t="s">
        <v>16</v>
      </c>
      <c r="F787" s="4">
        <v>9.14</v>
      </c>
      <c r="G787" s="5">
        <v>51</v>
      </c>
      <c r="H787" t="s">
        <v>70</v>
      </c>
      <c r="I787" t="s">
        <v>24</v>
      </c>
      <c r="J787" s="6">
        <v>8.99</v>
      </c>
      <c r="K787">
        <v>1</v>
      </c>
      <c r="L787" t="s">
        <v>37</v>
      </c>
      <c r="M787" s="5">
        <v>2</v>
      </c>
      <c r="N787" s="4">
        <v>0.18</v>
      </c>
      <c r="O787" t="s">
        <v>39</v>
      </c>
    </row>
    <row r="788" spans="1:15" x14ac:dyDescent="0.3">
      <c r="A788" t="s">
        <v>2452</v>
      </c>
      <c r="B788" s="5">
        <v>29</v>
      </c>
      <c r="C788" s="5" t="str" cm="1">
        <f t="array" ref="C788">_xlfn.IFS(worksheet[[#This Row],[age]]&lt;25,"1. Young Adulthood (18-24)",worksheet[[#This Row],[age]]&lt; 35,"2. Early Adulthood (25-34)",worksheet[[#This Row],[age]]&lt; 45,"3. Mid Adulthood (35-44)",worksheet[[#This Row],[age]]&lt; 55,"4. Mature Adulthood (45-54)",TRUE,"5. Late Adulthood/Senior (55+)")</f>
        <v>2. Early Adulthood (25-34)</v>
      </c>
      <c r="D788" t="s">
        <v>41</v>
      </c>
      <c r="E788" t="s">
        <v>32</v>
      </c>
      <c r="F788" s="4">
        <v>0.69</v>
      </c>
      <c r="G788" s="5">
        <v>41</v>
      </c>
      <c r="H788" t="s">
        <v>33</v>
      </c>
      <c r="I788" t="s">
        <v>57</v>
      </c>
      <c r="J788" s="6">
        <v>17.989999999999998</v>
      </c>
      <c r="K788">
        <v>1</v>
      </c>
      <c r="L788" t="s">
        <v>37</v>
      </c>
      <c r="M788" s="5">
        <v>5</v>
      </c>
      <c r="N788" s="4">
        <v>0.02</v>
      </c>
      <c r="O788" t="s">
        <v>20</v>
      </c>
    </row>
    <row r="789" spans="1:15" x14ac:dyDescent="0.3">
      <c r="A789" t="s">
        <v>2458</v>
      </c>
      <c r="B789" s="5">
        <v>26</v>
      </c>
      <c r="C789" s="5" t="str" cm="1">
        <f t="array" ref="C789">_xlfn.IFS(worksheet[[#This Row],[age]]&lt;25,"1. Young Adulthood (18-24)",worksheet[[#This Row],[age]]&lt; 35,"2. Early Adulthood (25-34)",worksheet[[#This Row],[age]]&lt; 45,"3. Mid Adulthood (35-44)",worksheet[[#This Row],[age]]&lt; 55,"4. Mature Adulthood (45-54)",TRUE,"5. Late Adulthood/Senior (55+)")</f>
        <v>2. Early Adulthood (25-34)</v>
      </c>
      <c r="D789" t="s">
        <v>41</v>
      </c>
      <c r="E789" t="s">
        <v>22</v>
      </c>
      <c r="F789" s="4">
        <v>67.5</v>
      </c>
      <c r="G789" s="5">
        <v>29</v>
      </c>
      <c r="H789" t="s">
        <v>49</v>
      </c>
      <c r="I789" t="s">
        <v>24</v>
      </c>
      <c r="J789" s="6">
        <v>13.99</v>
      </c>
      <c r="K789">
        <v>0</v>
      </c>
      <c r="L789" t="s">
        <v>43</v>
      </c>
      <c r="M789" s="5">
        <v>4</v>
      </c>
      <c r="N789" s="4">
        <v>2.25</v>
      </c>
      <c r="O789" t="s">
        <v>39</v>
      </c>
    </row>
    <row r="790" spans="1:15" x14ac:dyDescent="0.3">
      <c r="A790" t="s">
        <v>2459</v>
      </c>
      <c r="B790" s="5">
        <v>26</v>
      </c>
      <c r="C790" s="5" t="str" cm="1">
        <f t="array" ref="C790">_xlfn.IFS(worksheet[[#This Row],[age]]&lt;25,"1. Young Adulthood (18-24)",worksheet[[#This Row],[age]]&lt; 35,"2. Early Adulthood (25-34)",worksheet[[#This Row],[age]]&lt; 45,"3. Mid Adulthood (35-44)",worksheet[[#This Row],[age]]&lt; 55,"4. Mature Adulthood (45-54)",TRUE,"5. Late Adulthood/Senior (55+)")</f>
        <v>2. Early Adulthood (25-34)</v>
      </c>
      <c r="D790" t="s">
        <v>15</v>
      </c>
      <c r="E790" t="s">
        <v>22</v>
      </c>
      <c r="F790" s="4">
        <v>4.3099999999999996</v>
      </c>
      <c r="G790" s="5">
        <v>13</v>
      </c>
      <c r="H790" t="s">
        <v>49</v>
      </c>
      <c r="I790" t="s">
        <v>24</v>
      </c>
      <c r="J790" s="6">
        <v>13.99</v>
      </c>
      <c r="K790">
        <v>1</v>
      </c>
      <c r="L790" t="s">
        <v>37</v>
      </c>
      <c r="M790" s="5">
        <v>1</v>
      </c>
      <c r="N790" s="4">
        <v>0.31</v>
      </c>
      <c r="O790" t="s">
        <v>47</v>
      </c>
    </row>
    <row r="791" spans="1:15" x14ac:dyDescent="0.3">
      <c r="A791" t="s">
        <v>2463</v>
      </c>
      <c r="B791" s="5">
        <v>24</v>
      </c>
      <c r="C791" s="5" t="str" cm="1">
        <f t="array" ref="C791">_xlfn.IFS(worksheet[[#This Row],[age]]&lt;25,"1. Young Adulthood (18-24)",worksheet[[#This Row],[age]]&lt; 35,"2. Early Adulthood (25-34)",worksheet[[#This Row],[age]]&lt; 45,"3. Mid Adulthood (35-44)",worksheet[[#This Row],[age]]&lt; 55,"4. Mature Adulthood (45-54)",TRUE,"5. Late Adulthood/Senior (55+)")</f>
        <v>1. Young Adulthood (18-24)</v>
      </c>
      <c r="D791" t="s">
        <v>27</v>
      </c>
      <c r="E791" t="s">
        <v>16</v>
      </c>
      <c r="F791" s="4">
        <v>5.59</v>
      </c>
      <c r="G791" s="5">
        <v>0</v>
      </c>
      <c r="H791" t="s">
        <v>70</v>
      </c>
      <c r="I791" t="s">
        <v>57</v>
      </c>
      <c r="J791" s="6">
        <v>8.99</v>
      </c>
      <c r="K791">
        <v>0</v>
      </c>
      <c r="L791" t="s">
        <v>29</v>
      </c>
      <c r="M791" s="5">
        <v>5</v>
      </c>
      <c r="N791" s="4">
        <v>5.59</v>
      </c>
      <c r="O791" t="s">
        <v>52</v>
      </c>
    </row>
    <row r="792" spans="1:15" x14ac:dyDescent="0.3">
      <c r="A792" t="s">
        <v>2464</v>
      </c>
      <c r="B792" s="5">
        <v>19</v>
      </c>
      <c r="C792" s="5" t="str" cm="1">
        <f t="array" ref="C792">_xlfn.IFS(worksheet[[#This Row],[age]]&lt;25,"1. Young Adulthood (18-24)",worksheet[[#This Row],[age]]&lt; 35,"2. Early Adulthood (25-34)",worksheet[[#This Row],[age]]&lt; 45,"3. Mid Adulthood (35-44)",worksheet[[#This Row],[age]]&lt; 55,"4. Mature Adulthood (45-54)",TRUE,"5. Late Adulthood/Senior (55+)")</f>
        <v>1. Young Adulthood (18-24)</v>
      </c>
      <c r="D792" t="s">
        <v>41</v>
      </c>
      <c r="E792" t="s">
        <v>32</v>
      </c>
      <c r="F792" s="4">
        <v>11.32</v>
      </c>
      <c r="G792" s="5">
        <v>31</v>
      </c>
      <c r="H792" t="s">
        <v>28</v>
      </c>
      <c r="I792" t="s">
        <v>55</v>
      </c>
      <c r="J792" s="6">
        <v>17.989999999999998</v>
      </c>
      <c r="K792">
        <v>0</v>
      </c>
      <c r="L792" t="s">
        <v>37</v>
      </c>
      <c r="M792" s="5">
        <v>4</v>
      </c>
      <c r="N792" s="4">
        <v>0.35</v>
      </c>
      <c r="O792" t="s">
        <v>20</v>
      </c>
    </row>
    <row r="793" spans="1:15" x14ac:dyDescent="0.3">
      <c r="A793" t="s">
        <v>2473</v>
      </c>
      <c r="B793" s="5">
        <v>32</v>
      </c>
      <c r="C793" s="5" t="str" cm="1">
        <f t="array" ref="C793">_xlfn.IFS(worksheet[[#This Row],[age]]&lt;25,"1. Young Adulthood (18-24)",worksheet[[#This Row],[age]]&lt; 35,"2. Early Adulthood (25-34)",worksheet[[#This Row],[age]]&lt; 45,"3. Mid Adulthood (35-44)",worksheet[[#This Row],[age]]&lt; 55,"4. Mature Adulthood (45-54)",TRUE,"5. Late Adulthood/Senior (55+)")</f>
        <v>2. Early Adulthood (25-34)</v>
      </c>
      <c r="D793" t="s">
        <v>15</v>
      </c>
      <c r="E793" t="s">
        <v>22</v>
      </c>
      <c r="F793" s="4">
        <v>17.48</v>
      </c>
      <c r="G793" s="5">
        <v>4</v>
      </c>
      <c r="H793" t="s">
        <v>70</v>
      </c>
      <c r="I793" t="s">
        <v>46</v>
      </c>
      <c r="J793" s="6">
        <v>13.99</v>
      </c>
      <c r="K793">
        <v>0</v>
      </c>
      <c r="L793" t="s">
        <v>29</v>
      </c>
      <c r="M793" s="5">
        <v>4</v>
      </c>
      <c r="N793" s="4">
        <v>3.5</v>
      </c>
      <c r="O793" t="s">
        <v>34</v>
      </c>
    </row>
    <row r="794" spans="1:15" x14ac:dyDescent="0.3">
      <c r="A794" t="s">
        <v>2475</v>
      </c>
      <c r="B794" s="5">
        <v>28</v>
      </c>
      <c r="C794" s="5" t="str" cm="1">
        <f t="array" ref="C794">_xlfn.IFS(worksheet[[#This Row],[age]]&lt;25,"1. Young Adulthood (18-24)",worksheet[[#This Row],[age]]&lt; 35,"2. Early Adulthood (25-34)",worksheet[[#This Row],[age]]&lt; 45,"3. Mid Adulthood (35-44)",worksheet[[#This Row],[age]]&lt; 55,"4. Mature Adulthood (45-54)",TRUE,"5. Late Adulthood/Senior (55+)")</f>
        <v>2. Early Adulthood (25-34)</v>
      </c>
      <c r="D794" t="s">
        <v>15</v>
      </c>
      <c r="E794" t="s">
        <v>22</v>
      </c>
      <c r="F794" s="4">
        <v>50.73</v>
      </c>
      <c r="G794" s="5">
        <v>12</v>
      </c>
      <c r="H794" t="s">
        <v>70</v>
      </c>
      <c r="I794" t="s">
        <v>55</v>
      </c>
      <c r="J794" s="6">
        <v>13.99</v>
      </c>
      <c r="K794">
        <v>0</v>
      </c>
      <c r="L794" t="s">
        <v>61</v>
      </c>
      <c r="M794" s="5">
        <v>4</v>
      </c>
      <c r="N794" s="4">
        <v>3.9</v>
      </c>
      <c r="O794" t="s">
        <v>52</v>
      </c>
    </row>
    <row r="795" spans="1:15" x14ac:dyDescent="0.3">
      <c r="A795" t="s">
        <v>2480</v>
      </c>
      <c r="B795" s="5">
        <v>19</v>
      </c>
      <c r="C795" s="5" t="str" cm="1">
        <f t="array" ref="C795">_xlfn.IFS(worksheet[[#This Row],[age]]&lt;25,"1. Young Adulthood (18-24)",worksheet[[#This Row],[age]]&lt; 35,"2. Early Adulthood (25-34)",worksheet[[#This Row],[age]]&lt; 45,"3. Mid Adulthood (35-44)",worksheet[[#This Row],[age]]&lt; 55,"4. Mature Adulthood (45-54)",TRUE,"5. Late Adulthood/Senior (55+)")</f>
        <v>1. Young Adulthood (18-24)</v>
      </c>
      <c r="D795" t="s">
        <v>41</v>
      </c>
      <c r="E795" t="s">
        <v>32</v>
      </c>
      <c r="F795" s="4">
        <v>5.34</v>
      </c>
      <c r="G795" s="5">
        <v>3</v>
      </c>
      <c r="H795" t="s">
        <v>70</v>
      </c>
      <c r="I795" t="s">
        <v>57</v>
      </c>
      <c r="J795" s="6">
        <v>17.989999999999998</v>
      </c>
      <c r="K795">
        <v>0</v>
      </c>
      <c r="L795" t="s">
        <v>37</v>
      </c>
      <c r="M795" s="5">
        <v>1</v>
      </c>
      <c r="N795" s="4">
        <v>1.33</v>
      </c>
      <c r="O795" t="s">
        <v>20</v>
      </c>
    </row>
    <row r="796" spans="1:15" x14ac:dyDescent="0.3">
      <c r="A796" t="s">
        <v>2481</v>
      </c>
      <c r="B796" s="5">
        <v>25</v>
      </c>
      <c r="C796" s="5" t="str" cm="1">
        <f t="array" ref="C796">_xlfn.IFS(worksheet[[#This Row],[age]]&lt;25,"1. Young Adulthood (18-24)",worksheet[[#This Row],[age]]&lt; 35,"2. Early Adulthood (25-34)",worksheet[[#This Row],[age]]&lt; 45,"3. Mid Adulthood (35-44)",worksheet[[#This Row],[age]]&lt; 55,"4. Mature Adulthood (45-54)",TRUE,"5. Late Adulthood/Senior (55+)")</f>
        <v>2. Early Adulthood (25-34)</v>
      </c>
      <c r="D796" t="s">
        <v>15</v>
      </c>
      <c r="E796" t="s">
        <v>22</v>
      </c>
      <c r="F796" s="4">
        <v>5.36</v>
      </c>
      <c r="G796" s="5">
        <v>23</v>
      </c>
      <c r="H796" t="s">
        <v>17</v>
      </c>
      <c r="I796" t="s">
        <v>24</v>
      </c>
      <c r="J796" s="6">
        <v>13.99</v>
      </c>
      <c r="K796">
        <v>0</v>
      </c>
      <c r="L796" t="s">
        <v>29</v>
      </c>
      <c r="M796" s="5">
        <v>4</v>
      </c>
      <c r="N796" s="4">
        <v>0.22</v>
      </c>
      <c r="O796" t="s">
        <v>47</v>
      </c>
    </row>
    <row r="797" spans="1:15" x14ac:dyDescent="0.3">
      <c r="A797" t="s">
        <v>2485</v>
      </c>
      <c r="B797" s="5">
        <v>21</v>
      </c>
      <c r="C797" s="5" t="str" cm="1">
        <f t="array" ref="C797">_xlfn.IFS(worksheet[[#This Row],[age]]&lt;25,"1. Young Adulthood (18-24)",worksheet[[#This Row],[age]]&lt; 35,"2. Early Adulthood (25-34)",worksheet[[#This Row],[age]]&lt; 45,"3. Mid Adulthood (35-44)",worksheet[[#This Row],[age]]&lt; 55,"4. Mature Adulthood (45-54)",TRUE,"5. Late Adulthood/Senior (55+)")</f>
        <v>1. Young Adulthood (18-24)</v>
      </c>
      <c r="D797" t="s">
        <v>41</v>
      </c>
      <c r="E797" t="s">
        <v>16</v>
      </c>
      <c r="F797" s="4">
        <v>24.12</v>
      </c>
      <c r="G797" s="5">
        <v>18</v>
      </c>
      <c r="H797" t="s">
        <v>49</v>
      </c>
      <c r="I797" t="s">
        <v>46</v>
      </c>
      <c r="J797" s="6">
        <v>8.99</v>
      </c>
      <c r="K797">
        <v>0</v>
      </c>
      <c r="L797" t="s">
        <v>29</v>
      </c>
      <c r="M797" s="5">
        <v>1</v>
      </c>
      <c r="N797" s="4">
        <v>1.27</v>
      </c>
      <c r="O797" t="s">
        <v>20</v>
      </c>
    </row>
    <row r="798" spans="1:15" x14ac:dyDescent="0.3">
      <c r="A798" t="s">
        <v>2488</v>
      </c>
      <c r="B798" s="5">
        <v>18</v>
      </c>
      <c r="C798" s="5" t="str" cm="1">
        <f t="array" ref="C798">_xlfn.IFS(worksheet[[#This Row],[age]]&lt;25,"1. Young Adulthood (18-24)",worksheet[[#This Row],[age]]&lt; 35,"2. Early Adulthood (25-34)",worksheet[[#This Row],[age]]&lt; 45,"3. Mid Adulthood (35-44)",worksheet[[#This Row],[age]]&lt; 55,"4. Mature Adulthood (45-54)",TRUE,"5. Late Adulthood/Senior (55+)")</f>
        <v>1. Young Adulthood (18-24)</v>
      </c>
      <c r="D798" t="s">
        <v>41</v>
      </c>
      <c r="E798" t="s">
        <v>16</v>
      </c>
      <c r="F798" s="4">
        <v>32.68</v>
      </c>
      <c r="G798" s="5">
        <v>58</v>
      </c>
      <c r="H798" t="s">
        <v>17</v>
      </c>
      <c r="I798" t="s">
        <v>18</v>
      </c>
      <c r="J798" s="6">
        <v>8.99</v>
      </c>
      <c r="K798">
        <v>0</v>
      </c>
      <c r="L798" t="s">
        <v>19</v>
      </c>
      <c r="M798" s="5">
        <v>5</v>
      </c>
      <c r="N798" s="4">
        <v>0.55000000000000004</v>
      </c>
      <c r="O798" t="s">
        <v>39</v>
      </c>
    </row>
    <row r="799" spans="1:15" x14ac:dyDescent="0.3">
      <c r="A799" t="s">
        <v>2490</v>
      </c>
      <c r="B799" s="5">
        <v>19</v>
      </c>
      <c r="C799" s="5" t="str" cm="1">
        <f t="array" ref="C799">_xlfn.IFS(worksheet[[#This Row],[age]]&lt;25,"1. Young Adulthood (18-24)",worksheet[[#This Row],[age]]&lt; 35,"2. Early Adulthood (25-34)",worksheet[[#This Row],[age]]&lt; 45,"3. Mid Adulthood (35-44)",worksheet[[#This Row],[age]]&lt; 55,"4. Mature Adulthood (45-54)",TRUE,"5. Late Adulthood/Senior (55+)")</f>
        <v>1. Young Adulthood (18-24)</v>
      </c>
      <c r="D799" t="s">
        <v>27</v>
      </c>
      <c r="E799" t="s">
        <v>32</v>
      </c>
      <c r="F799" s="4">
        <v>1.8</v>
      </c>
      <c r="G799" s="5">
        <v>4</v>
      </c>
      <c r="H799" t="s">
        <v>17</v>
      </c>
      <c r="I799" t="s">
        <v>57</v>
      </c>
      <c r="J799" s="6">
        <v>17.989999999999998</v>
      </c>
      <c r="K799">
        <v>0</v>
      </c>
      <c r="L799" t="s">
        <v>37</v>
      </c>
      <c r="M799" s="5">
        <v>2</v>
      </c>
      <c r="N799" s="4">
        <v>0.36</v>
      </c>
      <c r="O799" t="s">
        <v>52</v>
      </c>
    </row>
    <row r="800" spans="1:15" x14ac:dyDescent="0.3">
      <c r="A800" t="s">
        <v>2492</v>
      </c>
      <c r="B800" s="5">
        <v>24</v>
      </c>
      <c r="C800" s="5" t="str" cm="1">
        <f t="array" ref="C800">_xlfn.IFS(worksheet[[#This Row],[age]]&lt;25,"1. Young Adulthood (18-24)",worksheet[[#This Row],[age]]&lt; 35,"2. Early Adulthood (25-34)",worksheet[[#This Row],[age]]&lt; 45,"3. Mid Adulthood (35-44)",worksheet[[#This Row],[age]]&lt; 55,"4. Mature Adulthood (45-54)",TRUE,"5. Late Adulthood/Senior (55+)")</f>
        <v>1. Young Adulthood (18-24)</v>
      </c>
      <c r="D800" t="s">
        <v>27</v>
      </c>
      <c r="E800" t="s">
        <v>22</v>
      </c>
      <c r="F800" s="4">
        <v>1.68</v>
      </c>
      <c r="G800" s="5">
        <v>45</v>
      </c>
      <c r="H800" t="s">
        <v>28</v>
      </c>
      <c r="I800" t="s">
        <v>24</v>
      </c>
      <c r="J800" s="6">
        <v>13.99</v>
      </c>
      <c r="K800">
        <v>1</v>
      </c>
      <c r="L800" t="s">
        <v>61</v>
      </c>
      <c r="M800" s="5">
        <v>3</v>
      </c>
      <c r="N800" s="4">
        <v>0.04</v>
      </c>
      <c r="O800" t="s">
        <v>47</v>
      </c>
    </row>
    <row r="801" spans="1:15" x14ac:dyDescent="0.3">
      <c r="A801" t="s">
        <v>2498</v>
      </c>
      <c r="B801" s="5">
        <v>24</v>
      </c>
      <c r="C801" s="5" t="str" cm="1">
        <f t="array" ref="C801">_xlfn.IFS(worksheet[[#This Row],[age]]&lt;25,"1. Young Adulthood (18-24)",worksheet[[#This Row],[age]]&lt; 35,"2. Early Adulthood (25-34)",worksheet[[#This Row],[age]]&lt; 45,"3. Mid Adulthood (35-44)",worksheet[[#This Row],[age]]&lt; 55,"4. Mature Adulthood (45-54)",TRUE,"5. Late Adulthood/Senior (55+)")</f>
        <v>1. Young Adulthood (18-24)</v>
      </c>
      <c r="D801" t="s">
        <v>41</v>
      </c>
      <c r="E801" t="s">
        <v>32</v>
      </c>
      <c r="F801" s="4">
        <v>33.35</v>
      </c>
      <c r="G801" s="5">
        <v>38</v>
      </c>
      <c r="H801" t="s">
        <v>17</v>
      </c>
      <c r="I801" t="s">
        <v>18</v>
      </c>
      <c r="J801" s="6">
        <v>17.989999999999998</v>
      </c>
      <c r="K801">
        <v>0</v>
      </c>
      <c r="L801" t="s">
        <v>61</v>
      </c>
      <c r="M801" s="5">
        <v>1</v>
      </c>
      <c r="N801" s="4">
        <v>0.86</v>
      </c>
      <c r="O801" t="s">
        <v>52</v>
      </c>
    </row>
    <row r="802" spans="1:15" x14ac:dyDescent="0.3">
      <c r="A802" t="s">
        <v>2499</v>
      </c>
      <c r="B802" s="5">
        <v>30</v>
      </c>
      <c r="C802" s="5" t="str" cm="1">
        <f t="array" ref="C802">_xlfn.IFS(worksheet[[#This Row],[age]]&lt;25,"1. Young Adulthood (18-24)",worksheet[[#This Row],[age]]&lt; 35,"2. Early Adulthood (25-34)",worksheet[[#This Row],[age]]&lt; 45,"3. Mid Adulthood (35-44)",worksheet[[#This Row],[age]]&lt; 55,"4. Mature Adulthood (45-54)",TRUE,"5. Late Adulthood/Senior (55+)")</f>
        <v>2. Early Adulthood (25-34)</v>
      </c>
      <c r="D802" t="s">
        <v>27</v>
      </c>
      <c r="E802" t="s">
        <v>32</v>
      </c>
      <c r="F802" s="4">
        <v>3.63</v>
      </c>
      <c r="G802" s="5">
        <v>35</v>
      </c>
      <c r="H802" t="s">
        <v>23</v>
      </c>
      <c r="I802" t="s">
        <v>55</v>
      </c>
      <c r="J802" s="6">
        <v>17.989999999999998</v>
      </c>
      <c r="K802">
        <v>1</v>
      </c>
      <c r="L802" t="s">
        <v>43</v>
      </c>
      <c r="M802" s="5">
        <v>3</v>
      </c>
      <c r="N802" s="4">
        <v>0.1</v>
      </c>
      <c r="O802" t="s">
        <v>30</v>
      </c>
    </row>
    <row r="803" spans="1:15" x14ac:dyDescent="0.3">
      <c r="A803" t="s">
        <v>2506</v>
      </c>
      <c r="B803" s="5">
        <v>26</v>
      </c>
      <c r="C803" s="5" t="str" cm="1">
        <f t="array" ref="C803">_xlfn.IFS(worksheet[[#This Row],[age]]&lt;25,"1. Young Adulthood (18-24)",worksheet[[#This Row],[age]]&lt; 35,"2. Early Adulthood (25-34)",worksheet[[#This Row],[age]]&lt; 45,"3. Mid Adulthood (35-44)",worksheet[[#This Row],[age]]&lt; 55,"4. Mature Adulthood (45-54)",TRUE,"5. Late Adulthood/Senior (55+)")</f>
        <v>2. Early Adulthood (25-34)</v>
      </c>
      <c r="D803" t="s">
        <v>15</v>
      </c>
      <c r="E803" t="s">
        <v>22</v>
      </c>
      <c r="F803" s="4">
        <v>13.02</v>
      </c>
      <c r="G803" s="5">
        <v>41</v>
      </c>
      <c r="H803" t="s">
        <v>70</v>
      </c>
      <c r="I803" t="s">
        <v>57</v>
      </c>
      <c r="J803" s="6">
        <v>13.99</v>
      </c>
      <c r="K803">
        <v>1</v>
      </c>
      <c r="L803" t="s">
        <v>29</v>
      </c>
      <c r="M803" s="5">
        <v>1</v>
      </c>
      <c r="N803" s="4">
        <v>0.31</v>
      </c>
      <c r="O803" t="s">
        <v>25</v>
      </c>
    </row>
    <row r="804" spans="1:15" x14ac:dyDescent="0.3">
      <c r="A804" t="s">
        <v>2507</v>
      </c>
      <c r="B804" s="5">
        <v>22</v>
      </c>
      <c r="C804" s="5" t="str" cm="1">
        <f t="array" ref="C804">_xlfn.IFS(worksheet[[#This Row],[age]]&lt;25,"1. Young Adulthood (18-24)",worksheet[[#This Row],[age]]&lt; 35,"2. Early Adulthood (25-34)",worksheet[[#This Row],[age]]&lt; 45,"3. Mid Adulthood (35-44)",worksheet[[#This Row],[age]]&lt; 55,"4. Mature Adulthood (45-54)",TRUE,"5. Late Adulthood/Senior (55+)")</f>
        <v>1. Young Adulthood (18-24)</v>
      </c>
      <c r="D804" t="s">
        <v>41</v>
      </c>
      <c r="E804" t="s">
        <v>22</v>
      </c>
      <c r="F804" s="4">
        <v>0.12</v>
      </c>
      <c r="G804" s="5">
        <v>4</v>
      </c>
      <c r="H804" t="s">
        <v>28</v>
      </c>
      <c r="I804" t="s">
        <v>46</v>
      </c>
      <c r="J804" s="6">
        <v>13.99</v>
      </c>
      <c r="K804">
        <v>0</v>
      </c>
      <c r="L804" t="s">
        <v>43</v>
      </c>
      <c r="M804" s="5">
        <v>5</v>
      </c>
      <c r="N804" s="4">
        <v>0.02</v>
      </c>
      <c r="O804" t="s">
        <v>30</v>
      </c>
    </row>
    <row r="805" spans="1:15" x14ac:dyDescent="0.3">
      <c r="A805" t="s">
        <v>2508</v>
      </c>
      <c r="B805" s="5">
        <v>32</v>
      </c>
      <c r="C805" s="5" t="str" cm="1">
        <f t="array" ref="C805">_xlfn.IFS(worksheet[[#This Row],[age]]&lt;25,"1. Young Adulthood (18-24)",worksheet[[#This Row],[age]]&lt; 35,"2. Early Adulthood (25-34)",worksheet[[#This Row],[age]]&lt; 45,"3. Mid Adulthood (35-44)",worksheet[[#This Row],[age]]&lt; 55,"4. Mature Adulthood (45-54)",TRUE,"5. Late Adulthood/Senior (55+)")</f>
        <v>2. Early Adulthood (25-34)</v>
      </c>
      <c r="D805" t="s">
        <v>41</v>
      </c>
      <c r="E805" t="s">
        <v>22</v>
      </c>
      <c r="F805" s="4">
        <v>5.6</v>
      </c>
      <c r="G805" s="5">
        <v>44</v>
      </c>
      <c r="H805" t="s">
        <v>23</v>
      </c>
      <c r="I805" t="s">
        <v>24</v>
      </c>
      <c r="J805" s="6">
        <v>13.99</v>
      </c>
      <c r="K805">
        <v>1</v>
      </c>
      <c r="L805" t="s">
        <v>43</v>
      </c>
      <c r="M805" s="5">
        <v>3</v>
      </c>
      <c r="N805" s="4">
        <v>0.12</v>
      </c>
      <c r="O805" t="s">
        <v>34</v>
      </c>
    </row>
    <row r="806" spans="1:15" x14ac:dyDescent="0.3">
      <c r="A806" t="s">
        <v>2509</v>
      </c>
      <c r="B806" s="5">
        <v>28</v>
      </c>
      <c r="C806" s="5" t="str" cm="1">
        <f t="array" ref="C806">_xlfn.IFS(worksheet[[#This Row],[age]]&lt;25,"1. Young Adulthood (18-24)",worksheet[[#This Row],[age]]&lt; 35,"2. Early Adulthood (25-34)",worksheet[[#This Row],[age]]&lt; 45,"3. Mid Adulthood (35-44)",worksheet[[#This Row],[age]]&lt; 55,"4. Mature Adulthood (45-54)",TRUE,"5. Late Adulthood/Senior (55+)")</f>
        <v>2. Early Adulthood (25-34)</v>
      </c>
      <c r="D806" t="s">
        <v>15</v>
      </c>
      <c r="E806" t="s">
        <v>32</v>
      </c>
      <c r="F806" s="4">
        <v>0.68</v>
      </c>
      <c r="G806" s="5">
        <v>53</v>
      </c>
      <c r="H806" t="s">
        <v>70</v>
      </c>
      <c r="I806" t="s">
        <v>46</v>
      </c>
      <c r="J806" s="6">
        <v>17.989999999999998</v>
      </c>
      <c r="K806">
        <v>1</v>
      </c>
      <c r="L806" t="s">
        <v>29</v>
      </c>
      <c r="M806" s="5">
        <v>1</v>
      </c>
      <c r="N806" s="4">
        <v>0.01</v>
      </c>
      <c r="O806" t="s">
        <v>47</v>
      </c>
    </row>
    <row r="807" spans="1:15" x14ac:dyDescent="0.3">
      <c r="A807" t="s">
        <v>2511</v>
      </c>
      <c r="B807" s="5">
        <v>25</v>
      </c>
      <c r="C807" s="5" t="str" cm="1">
        <f t="array" ref="C807">_xlfn.IFS(worksheet[[#This Row],[age]]&lt;25,"1. Young Adulthood (18-24)",worksheet[[#This Row],[age]]&lt; 35,"2. Early Adulthood (25-34)",worksheet[[#This Row],[age]]&lt; 45,"3. Mid Adulthood (35-44)",worksheet[[#This Row],[age]]&lt; 55,"4. Mature Adulthood (45-54)",TRUE,"5. Late Adulthood/Senior (55+)")</f>
        <v>2. Early Adulthood (25-34)</v>
      </c>
      <c r="D807" t="s">
        <v>15</v>
      </c>
      <c r="E807" t="s">
        <v>16</v>
      </c>
      <c r="F807" s="4">
        <v>6.38</v>
      </c>
      <c r="G807" s="5">
        <v>58</v>
      </c>
      <c r="H807" t="s">
        <v>23</v>
      </c>
      <c r="I807" t="s">
        <v>55</v>
      </c>
      <c r="J807" s="6">
        <v>8.99</v>
      </c>
      <c r="K807">
        <v>1</v>
      </c>
      <c r="L807" t="s">
        <v>43</v>
      </c>
      <c r="M807" s="5">
        <v>3</v>
      </c>
      <c r="N807" s="4">
        <v>0.11</v>
      </c>
      <c r="O807" t="s">
        <v>52</v>
      </c>
    </row>
    <row r="808" spans="1:15" x14ac:dyDescent="0.3">
      <c r="A808" t="s">
        <v>2524</v>
      </c>
      <c r="B808" s="5">
        <v>33</v>
      </c>
      <c r="C808" s="5" t="str" cm="1">
        <f t="array" ref="C808">_xlfn.IFS(worksheet[[#This Row],[age]]&lt;25,"1. Young Adulthood (18-24)",worksheet[[#This Row],[age]]&lt; 35,"2. Early Adulthood (25-34)",worksheet[[#This Row],[age]]&lt; 45,"3. Mid Adulthood (35-44)",worksheet[[#This Row],[age]]&lt; 55,"4. Mature Adulthood (45-54)",TRUE,"5. Late Adulthood/Senior (55+)")</f>
        <v>2. Early Adulthood (25-34)</v>
      </c>
      <c r="D808" t="s">
        <v>27</v>
      </c>
      <c r="E808" t="s">
        <v>22</v>
      </c>
      <c r="F808" s="4">
        <v>6.82</v>
      </c>
      <c r="G808" s="5">
        <v>17</v>
      </c>
      <c r="H808" t="s">
        <v>17</v>
      </c>
      <c r="I808" t="s">
        <v>57</v>
      </c>
      <c r="J808" s="6">
        <v>13.99</v>
      </c>
      <c r="K808">
        <v>0</v>
      </c>
      <c r="L808" t="s">
        <v>43</v>
      </c>
      <c r="M808" s="5">
        <v>3</v>
      </c>
      <c r="N808" s="4">
        <v>0.38</v>
      </c>
      <c r="O808" t="s">
        <v>25</v>
      </c>
    </row>
    <row r="809" spans="1:15" x14ac:dyDescent="0.3">
      <c r="A809" t="s">
        <v>2525</v>
      </c>
      <c r="B809" s="5">
        <v>18</v>
      </c>
      <c r="C809" s="5" t="str" cm="1">
        <f t="array" ref="C809">_xlfn.IFS(worksheet[[#This Row],[age]]&lt;25,"1. Young Adulthood (18-24)",worksheet[[#This Row],[age]]&lt; 35,"2. Early Adulthood (25-34)",worksheet[[#This Row],[age]]&lt; 45,"3. Mid Adulthood (35-44)",worksheet[[#This Row],[age]]&lt; 55,"4. Mature Adulthood (45-54)",TRUE,"5. Late Adulthood/Senior (55+)")</f>
        <v>1. Young Adulthood (18-24)</v>
      </c>
      <c r="D809" t="s">
        <v>27</v>
      </c>
      <c r="E809" t="s">
        <v>32</v>
      </c>
      <c r="F809" s="4">
        <v>11.82</v>
      </c>
      <c r="G809" s="5">
        <v>59</v>
      </c>
      <c r="H809" t="s">
        <v>17</v>
      </c>
      <c r="I809" t="s">
        <v>46</v>
      </c>
      <c r="J809" s="6">
        <v>17.989999999999998</v>
      </c>
      <c r="K809">
        <v>1</v>
      </c>
      <c r="L809" t="s">
        <v>61</v>
      </c>
      <c r="M809" s="5">
        <v>2</v>
      </c>
      <c r="N809" s="4">
        <v>0.2</v>
      </c>
      <c r="O809" t="s">
        <v>30</v>
      </c>
    </row>
    <row r="810" spans="1:15" x14ac:dyDescent="0.3">
      <c r="A810" t="s">
        <v>2527</v>
      </c>
      <c r="B810" s="5">
        <v>20</v>
      </c>
      <c r="C810" s="5" t="str" cm="1">
        <f t="array" ref="C810">_xlfn.IFS(worksheet[[#This Row],[age]]&lt;25,"1. Young Adulthood (18-24)",worksheet[[#This Row],[age]]&lt; 35,"2. Early Adulthood (25-34)",worksheet[[#This Row],[age]]&lt; 45,"3. Mid Adulthood (35-44)",worksheet[[#This Row],[age]]&lt; 55,"4. Mature Adulthood (45-54)",TRUE,"5. Late Adulthood/Senior (55+)")</f>
        <v>1. Young Adulthood (18-24)</v>
      </c>
      <c r="D810" t="s">
        <v>41</v>
      </c>
      <c r="E810" t="s">
        <v>32</v>
      </c>
      <c r="F810" s="4">
        <v>2.04</v>
      </c>
      <c r="G810" s="5">
        <v>52</v>
      </c>
      <c r="H810" t="s">
        <v>17</v>
      </c>
      <c r="I810" t="s">
        <v>46</v>
      </c>
      <c r="J810" s="6">
        <v>17.989999999999998</v>
      </c>
      <c r="K810">
        <v>1</v>
      </c>
      <c r="L810" t="s">
        <v>37</v>
      </c>
      <c r="M810" s="5">
        <v>5</v>
      </c>
      <c r="N810" s="4">
        <v>0.04</v>
      </c>
      <c r="O810" t="s">
        <v>20</v>
      </c>
    </row>
    <row r="811" spans="1:15" x14ac:dyDescent="0.3">
      <c r="A811" t="s">
        <v>2529</v>
      </c>
      <c r="B811" s="5">
        <v>24</v>
      </c>
      <c r="C811" s="5" t="str" cm="1">
        <f t="array" ref="C811">_xlfn.IFS(worksheet[[#This Row],[age]]&lt;25,"1. Young Adulthood (18-24)",worksheet[[#This Row],[age]]&lt; 35,"2. Early Adulthood (25-34)",worksheet[[#This Row],[age]]&lt; 45,"3. Mid Adulthood (35-44)",worksheet[[#This Row],[age]]&lt; 55,"4. Mature Adulthood (45-54)",TRUE,"5. Late Adulthood/Senior (55+)")</f>
        <v>1. Young Adulthood (18-24)</v>
      </c>
      <c r="D811" t="s">
        <v>27</v>
      </c>
      <c r="E811" t="s">
        <v>32</v>
      </c>
      <c r="F811" s="4">
        <v>0.98</v>
      </c>
      <c r="G811" s="5">
        <v>46</v>
      </c>
      <c r="H811" t="s">
        <v>23</v>
      </c>
      <c r="I811" t="s">
        <v>46</v>
      </c>
      <c r="J811" s="6">
        <v>17.989999999999998</v>
      </c>
      <c r="K811">
        <v>1</v>
      </c>
      <c r="L811" t="s">
        <v>37</v>
      </c>
      <c r="M811" s="5">
        <v>4</v>
      </c>
      <c r="N811" s="4">
        <v>0.02</v>
      </c>
      <c r="O811" t="s">
        <v>39</v>
      </c>
    </row>
    <row r="812" spans="1:15" x14ac:dyDescent="0.3">
      <c r="A812" t="s">
        <v>2533</v>
      </c>
      <c r="B812" s="5">
        <v>30</v>
      </c>
      <c r="C812" s="5" t="str" cm="1">
        <f t="array" ref="C812">_xlfn.IFS(worksheet[[#This Row],[age]]&lt;25,"1. Young Adulthood (18-24)",worksheet[[#This Row],[age]]&lt; 35,"2. Early Adulthood (25-34)",worksheet[[#This Row],[age]]&lt; 45,"3. Mid Adulthood (35-44)",worksheet[[#This Row],[age]]&lt; 55,"4. Mature Adulthood (45-54)",TRUE,"5. Late Adulthood/Senior (55+)")</f>
        <v>2. Early Adulthood (25-34)</v>
      </c>
      <c r="D812" t="s">
        <v>41</v>
      </c>
      <c r="E812" t="s">
        <v>32</v>
      </c>
      <c r="F812" s="4">
        <v>2.19</v>
      </c>
      <c r="G812" s="5">
        <v>24</v>
      </c>
      <c r="H812" t="s">
        <v>28</v>
      </c>
      <c r="I812" t="s">
        <v>46</v>
      </c>
      <c r="J812" s="6">
        <v>17.989999999999998</v>
      </c>
      <c r="K812">
        <v>1</v>
      </c>
      <c r="L812" t="s">
        <v>19</v>
      </c>
      <c r="M812" s="5">
        <v>5</v>
      </c>
      <c r="N812" s="4">
        <v>0.09</v>
      </c>
      <c r="O812" t="s">
        <v>39</v>
      </c>
    </row>
    <row r="813" spans="1:15" x14ac:dyDescent="0.3">
      <c r="A813" t="s">
        <v>2534</v>
      </c>
      <c r="B813" s="5">
        <v>29</v>
      </c>
      <c r="C813" s="5" t="str" cm="1">
        <f t="array" ref="C813">_xlfn.IFS(worksheet[[#This Row],[age]]&lt;25,"1. Young Adulthood (18-24)",worksheet[[#This Row],[age]]&lt; 35,"2. Early Adulthood (25-34)",worksheet[[#This Row],[age]]&lt; 45,"3. Mid Adulthood (35-44)",worksheet[[#This Row],[age]]&lt; 55,"4. Mature Adulthood (45-54)",TRUE,"5. Late Adulthood/Senior (55+)")</f>
        <v>2. Early Adulthood (25-34)</v>
      </c>
      <c r="D813" t="s">
        <v>15</v>
      </c>
      <c r="E813" t="s">
        <v>16</v>
      </c>
      <c r="F813" s="4">
        <v>7.83</v>
      </c>
      <c r="G813" s="5">
        <v>39</v>
      </c>
      <c r="H813" t="s">
        <v>33</v>
      </c>
      <c r="I813" t="s">
        <v>24</v>
      </c>
      <c r="J813" s="6">
        <v>8.99</v>
      </c>
      <c r="K813">
        <v>1</v>
      </c>
      <c r="L813" t="s">
        <v>43</v>
      </c>
      <c r="M813" s="5">
        <v>1</v>
      </c>
      <c r="N813" s="4">
        <v>0.2</v>
      </c>
      <c r="O813" t="s">
        <v>39</v>
      </c>
    </row>
    <row r="814" spans="1:15" x14ac:dyDescent="0.3">
      <c r="A814" t="s">
        <v>2541</v>
      </c>
      <c r="B814" s="5">
        <v>18</v>
      </c>
      <c r="C814" s="5" t="str" cm="1">
        <f t="array" ref="C814">_xlfn.IFS(worksheet[[#This Row],[age]]&lt;25,"1. Young Adulthood (18-24)",worksheet[[#This Row],[age]]&lt; 35,"2. Early Adulthood (25-34)",worksheet[[#This Row],[age]]&lt; 45,"3. Mid Adulthood (35-44)",worksheet[[#This Row],[age]]&lt; 55,"4. Mature Adulthood (45-54)",TRUE,"5. Late Adulthood/Senior (55+)")</f>
        <v>1. Young Adulthood (18-24)</v>
      </c>
      <c r="D814" t="s">
        <v>15</v>
      </c>
      <c r="E814" t="s">
        <v>32</v>
      </c>
      <c r="F814" s="4">
        <v>8.3000000000000007</v>
      </c>
      <c r="G814" s="5">
        <v>41</v>
      </c>
      <c r="H814" t="s">
        <v>33</v>
      </c>
      <c r="I814" t="s">
        <v>24</v>
      </c>
      <c r="J814" s="6">
        <v>17.989999999999998</v>
      </c>
      <c r="K814">
        <v>1</v>
      </c>
      <c r="L814" t="s">
        <v>29</v>
      </c>
      <c r="M814" s="5">
        <v>5</v>
      </c>
      <c r="N814" s="4">
        <v>0.2</v>
      </c>
      <c r="O814" t="s">
        <v>39</v>
      </c>
    </row>
    <row r="815" spans="1:15" x14ac:dyDescent="0.3">
      <c r="A815" t="s">
        <v>2545</v>
      </c>
      <c r="B815" s="5">
        <v>24</v>
      </c>
      <c r="C815" s="5" t="str" cm="1">
        <f t="array" ref="C815">_xlfn.IFS(worksheet[[#This Row],[age]]&lt;25,"1. Young Adulthood (18-24)",worksheet[[#This Row],[age]]&lt; 35,"2. Early Adulthood (25-34)",worksheet[[#This Row],[age]]&lt; 45,"3. Mid Adulthood (35-44)",worksheet[[#This Row],[age]]&lt; 55,"4. Mature Adulthood (45-54)",TRUE,"5. Late Adulthood/Senior (55+)")</f>
        <v>1. Young Adulthood (18-24)</v>
      </c>
      <c r="D815" t="s">
        <v>15</v>
      </c>
      <c r="E815" t="s">
        <v>32</v>
      </c>
      <c r="F815" s="4">
        <v>15.55</v>
      </c>
      <c r="G815" s="5">
        <v>30</v>
      </c>
      <c r="H815" t="s">
        <v>17</v>
      </c>
      <c r="I815" t="s">
        <v>57</v>
      </c>
      <c r="J815" s="6">
        <v>17.989999999999998</v>
      </c>
      <c r="K815">
        <v>0</v>
      </c>
      <c r="L815" t="s">
        <v>19</v>
      </c>
      <c r="M815" s="5">
        <v>1</v>
      </c>
      <c r="N815" s="4">
        <v>0.5</v>
      </c>
      <c r="O815" t="s">
        <v>34</v>
      </c>
    </row>
    <row r="816" spans="1:15" x14ac:dyDescent="0.3">
      <c r="A816" t="s">
        <v>2547</v>
      </c>
      <c r="B816" s="5">
        <v>27</v>
      </c>
      <c r="C816" s="5" t="str" cm="1">
        <f t="array" ref="C816">_xlfn.IFS(worksheet[[#This Row],[age]]&lt;25,"1. Young Adulthood (18-24)",worksheet[[#This Row],[age]]&lt; 35,"2. Early Adulthood (25-34)",worksheet[[#This Row],[age]]&lt; 45,"3. Mid Adulthood (35-44)",worksheet[[#This Row],[age]]&lt; 55,"4. Mature Adulthood (45-54)",TRUE,"5. Late Adulthood/Senior (55+)")</f>
        <v>2. Early Adulthood (25-34)</v>
      </c>
      <c r="D816" t="s">
        <v>15</v>
      </c>
      <c r="E816" t="s">
        <v>32</v>
      </c>
      <c r="F816" s="4">
        <v>2.2999999999999998</v>
      </c>
      <c r="G816" s="5">
        <v>1</v>
      </c>
      <c r="H816" t="s">
        <v>23</v>
      </c>
      <c r="I816" t="s">
        <v>24</v>
      </c>
      <c r="J816" s="6">
        <v>17.989999999999998</v>
      </c>
      <c r="K816">
        <v>0</v>
      </c>
      <c r="L816" t="s">
        <v>61</v>
      </c>
      <c r="M816" s="5">
        <v>5</v>
      </c>
      <c r="N816" s="4">
        <v>1.1499999999999999</v>
      </c>
      <c r="O816" t="s">
        <v>39</v>
      </c>
    </row>
    <row r="817" spans="1:15" x14ac:dyDescent="0.3">
      <c r="A817" t="s">
        <v>2549</v>
      </c>
      <c r="B817" s="5">
        <v>22</v>
      </c>
      <c r="C817" s="5" t="str" cm="1">
        <f t="array" ref="C817">_xlfn.IFS(worksheet[[#This Row],[age]]&lt;25,"1. Young Adulthood (18-24)",worksheet[[#This Row],[age]]&lt; 35,"2. Early Adulthood (25-34)",worksheet[[#This Row],[age]]&lt; 45,"3. Mid Adulthood (35-44)",worksheet[[#This Row],[age]]&lt; 55,"4. Mature Adulthood (45-54)",TRUE,"5. Late Adulthood/Senior (55+)")</f>
        <v>1. Young Adulthood (18-24)</v>
      </c>
      <c r="D817" t="s">
        <v>27</v>
      </c>
      <c r="E817" t="s">
        <v>32</v>
      </c>
      <c r="F817" s="4">
        <v>26.78</v>
      </c>
      <c r="G817" s="5">
        <v>38</v>
      </c>
      <c r="H817" t="s">
        <v>23</v>
      </c>
      <c r="I817" t="s">
        <v>55</v>
      </c>
      <c r="J817" s="6">
        <v>17.989999999999998</v>
      </c>
      <c r="K817">
        <v>0</v>
      </c>
      <c r="L817" t="s">
        <v>43</v>
      </c>
      <c r="M817" s="5">
        <v>4</v>
      </c>
      <c r="N817" s="4">
        <v>0.69</v>
      </c>
      <c r="O817" t="s">
        <v>47</v>
      </c>
    </row>
    <row r="818" spans="1:15" x14ac:dyDescent="0.3">
      <c r="A818" t="s">
        <v>2551</v>
      </c>
      <c r="B818" s="5">
        <v>29</v>
      </c>
      <c r="C818" s="5" t="str" cm="1">
        <f t="array" ref="C818">_xlfn.IFS(worksheet[[#This Row],[age]]&lt;25,"1. Young Adulthood (18-24)",worksheet[[#This Row],[age]]&lt; 35,"2. Early Adulthood (25-34)",worksheet[[#This Row],[age]]&lt; 45,"3. Mid Adulthood (35-44)",worksheet[[#This Row],[age]]&lt; 55,"4. Mature Adulthood (45-54)",TRUE,"5. Late Adulthood/Senior (55+)")</f>
        <v>2. Early Adulthood (25-34)</v>
      </c>
      <c r="D818" t="s">
        <v>27</v>
      </c>
      <c r="E818" t="s">
        <v>22</v>
      </c>
      <c r="F818" s="4">
        <v>3.69</v>
      </c>
      <c r="G818" s="5">
        <v>1</v>
      </c>
      <c r="H818" t="s">
        <v>70</v>
      </c>
      <c r="I818" t="s">
        <v>57</v>
      </c>
      <c r="J818" s="6">
        <v>13.99</v>
      </c>
      <c r="K818">
        <v>0</v>
      </c>
      <c r="L818" t="s">
        <v>61</v>
      </c>
      <c r="M818" s="5">
        <v>1</v>
      </c>
      <c r="N818" s="4">
        <v>1.84</v>
      </c>
      <c r="O818" t="s">
        <v>52</v>
      </c>
    </row>
    <row r="819" spans="1:15" x14ac:dyDescent="0.3">
      <c r="A819" t="s">
        <v>2553</v>
      </c>
      <c r="B819" s="5">
        <v>34</v>
      </c>
      <c r="C819" s="5" t="str" cm="1">
        <f t="array" ref="C819">_xlfn.IFS(worksheet[[#This Row],[age]]&lt;25,"1. Young Adulthood (18-24)",worksheet[[#This Row],[age]]&lt; 35,"2. Early Adulthood (25-34)",worksheet[[#This Row],[age]]&lt; 45,"3. Mid Adulthood (35-44)",worksheet[[#This Row],[age]]&lt; 55,"4. Mature Adulthood (45-54)",TRUE,"5. Late Adulthood/Senior (55+)")</f>
        <v>2. Early Adulthood (25-34)</v>
      </c>
      <c r="D819" t="s">
        <v>41</v>
      </c>
      <c r="E819" t="s">
        <v>22</v>
      </c>
      <c r="F819" s="4">
        <v>15.02</v>
      </c>
      <c r="G819" s="5">
        <v>13</v>
      </c>
      <c r="H819" t="s">
        <v>23</v>
      </c>
      <c r="I819" t="s">
        <v>24</v>
      </c>
      <c r="J819" s="6">
        <v>13.99</v>
      </c>
      <c r="K819">
        <v>0</v>
      </c>
      <c r="L819" t="s">
        <v>43</v>
      </c>
      <c r="M819" s="5">
        <v>2</v>
      </c>
      <c r="N819" s="4">
        <v>1.07</v>
      </c>
      <c r="O819" t="s">
        <v>39</v>
      </c>
    </row>
    <row r="820" spans="1:15" x14ac:dyDescent="0.3">
      <c r="A820" t="s">
        <v>2554</v>
      </c>
      <c r="B820" s="5">
        <v>21</v>
      </c>
      <c r="C820" s="5" t="str" cm="1">
        <f t="array" ref="C820">_xlfn.IFS(worksheet[[#This Row],[age]]&lt;25,"1. Young Adulthood (18-24)",worksheet[[#This Row],[age]]&lt; 35,"2. Early Adulthood (25-34)",worksheet[[#This Row],[age]]&lt; 45,"3. Mid Adulthood (35-44)",worksheet[[#This Row],[age]]&lt; 55,"4. Mature Adulthood (45-54)",TRUE,"5. Late Adulthood/Senior (55+)")</f>
        <v>1. Young Adulthood (18-24)</v>
      </c>
      <c r="D820" t="s">
        <v>15</v>
      </c>
      <c r="E820" t="s">
        <v>22</v>
      </c>
      <c r="F820" s="4">
        <v>3.18</v>
      </c>
      <c r="G820" s="5">
        <v>41</v>
      </c>
      <c r="H820" t="s">
        <v>23</v>
      </c>
      <c r="I820" t="s">
        <v>46</v>
      </c>
      <c r="J820" s="6">
        <v>13.99</v>
      </c>
      <c r="K820">
        <v>1</v>
      </c>
      <c r="L820" t="s">
        <v>43</v>
      </c>
      <c r="M820" s="5">
        <v>1</v>
      </c>
      <c r="N820" s="4">
        <v>0.08</v>
      </c>
      <c r="O820" t="s">
        <v>52</v>
      </c>
    </row>
    <row r="821" spans="1:15" x14ac:dyDescent="0.3">
      <c r="A821" t="s">
        <v>2563</v>
      </c>
      <c r="B821" s="5">
        <v>27</v>
      </c>
      <c r="C821" s="5" t="str" cm="1">
        <f t="array" ref="C821">_xlfn.IFS(worksheet[[#This Row],[age]]&lt;25,"1. Young Adulthood (18-24)",worksheet[[#This Row],[age]]&lt; 35,"2. Early Adulthood (25-34)",worksheet[[#This Row],[age]]&lt; 45,"3. Mid Adulthood (35-44)",worksheet[[#This Row],[age]]&lt; 55,"4. Mature Adulthood (45-54)",TRUE,"5. Late Adulthood/Senior (55+)")</f>
        <v>2. Early Adulthood (25-34)</v>
      </c>
      <c r="D821" t="s">
        <v>27</v>
      </c>
      <c r="E821" t="s">
        <v>16</v>
      </c>
      <c r="F821" s="4">
        <v>5.3</v>
      </c>
      <c r="G821" s="5">
        <v>1</v>
      </c>
      <c r="H821" t="s">
        <v>17</v>
      </c>
      <c r="I821" t="s">
        <v>24</v>
      </c>
      <c r="J821" s="6">
        <v>8.99</v>
      </c>
      <c r="K821">
        <v>0</v>
      </c>
      <c r="L821" t="s">
        <v>43</v>
      </c>
      <c r="M821" s="5">
        <v>2</v>
      </c>
      <c r="N821" s="4">
        <v>2.65</v>
      </c>
      <c r="O821" t="s">
        <v>52</v>
      </c>
    </row>
    <row r="822" spans="1:15" x14ac:dyDescent="0.3">
      <c r="A822" t="s">
        <v>2564</v>
      </c>
      <c r="B822" s="5">
        <v>28</v>
      </c>
      <c r="C822" s="5" t="str" cm="1">
        <f t="array" ref="C822">_xlfn.IFS(worksheet[[#This Row],[age]]&lt;25,"1. Young Adulthood (18-24)",worksheet[[#This Row],[age]]&lt; 35,"2. Early Adulthood (25-34)",worksheet[[#This Row],[age]]&lt; 45,"3. Mid Adulthood (35-44)",worksheet[[#This Row],[age]]&lt; 55,"4. Mature Adulthood (45-54)",TRUE,"5. Late Adulthood/Senior (55+)")</f>
        <v>2. Early Adulthood (25-34)</v>
      </c>
      <c r="D822" t="s">
        <v>15</v>
      </c>
      <c r="E822" t="s">
        <v>32</v>
      </c>
      <c r="F822" s="4">
        <v>9.9</v>
      </c>
      <c r="G822" s="5">
        <v>19</v>
      </c>
      <c r="H822" t="s">
        <v>23</v>
      </c>
      <c r="I822" t="s">
        <v>57</v>
      </c>
      <c r="J822" s="6">
        <v>17.989999999999998</v>
      </c>
      <c r="K822">
        <v>0</v>
      </c>
      <c r="L822" t="s">
        <v>19</v>
      </c>
      <c r="M822" s="5">
        <v>5</v>
      </c>
      <c r="N822" s="4">
        <v>0.49</v>
      </c>
      <c r="O822" t="s">
        <v>25</v>
      </c>
    </row>
    <row r="823" spans="1:15" x14ac:dyDescent="0.3">
      <c r="A823" t="s">
        <v>2565</v>
      </c>
      <c r="B823" s="5">
        <v>18</v>
      </c>
      <c r="C823" s="5" t="str" cm="1">
        <f t="array" ref="C823">_xlfn.IFS(worksheet[[#This Row],[age]]&lt;25,"1. Young Adulthood (18-24)",worksheet[[#This Row],[age]]&lt; 35,"2. Early Adulthood (25-34)",worksheet[[#This Row],[age]]&lt; 45,"3. Mid Adulthood (35-44)",worksheet[[#This Row],[age]]&lt; 55,"4. Mature Adulthood (45-54)",TRUE,"5. Late Adulthood/Senior (55+)")</f>
        <v>1. Young Adulthood (18-24)</v>
      </c>
      <c r="D823" t="s">
        <v>27</v>
      </c>
      <c r="E823" t="s">
        <v>16</v>
      </c>
      <c r="F823" s="4">
        <v>5.64</v>
      </c>
      <c r="G823" s="5">
        <v>44</v>
      </c>
      <c r="H823" t="s">
        <v>23</v>
      </c>
      <c r="I823" t="s">
        <v>57</v>
      </c>
      <c r="J823" s="6">
        <v>8.99</v>
      </c>
      <c r="K823">
        <v>1</v>
      </c>
      <c r="L823" t="s">
        <v>19</v>
      </c>
      <c r="M823" s="5">
        <v>4</v>
      </c>
      <c r="N823" s="4">
        <v>0.13</v>
      </c>
      <c r="O823" t="s">
        <v>34</v>
      </c>
    </row>
    <row r="824" spans="1:15" x14ac:dyDescent="0.3">
      <c r="A824" t="s">
        <v>2566</v>
      </c>
      <c r="B824" s="5">
        <v>22</v>
      </c>
      <c r="C824" s="5" t="str" cm="1">
        <f t="array" ref="C824">_xlfn.IFS(worksheet[[#This Row],[age]]&lt;25,"1. Young Adulthood (18-24)",worksheet[[#This Row],[age]]&lt; 35,"2. Early Adulthood (25-34)",worksheet[[#This Row],[age]]&lt; 45,"3. Mid Adulthood (35-44)",worksheet[[#This Row],[age]]&lt; 55,"4. Mature Adulthood (45-54)",TRUE,"5. Late Adulthood/Senior (55+)")</f>
        <v>1. Young Adulthood (18-24)</v>
      </c>
      <c r="D824" t="s">
        <v>15</v>
      </c>
      <c r="E824" t="s">
        <v>16</v>
      </c>
      <c r="F824" s="4">
        <v>7.06</v>
      </c>
      <c r="G824" s="5">
        <v>58</v>
      </c>
      <c r="H824" t="s">
        <v>28</v>
      </c>
      <c r="I824" t="s">
        <v>24</v>
      </c>
      <c r="J824" s="6">
        <v>8.99</v>
      </c>
      <c r="K824">
        <v>1</v>
      </c>
      <c r="L824" t="s">
        <v>61</v>
      </c>
      <c r="M824" s="5">
        <v>3</v>
      </c>
      <c r="N824" s="4">
        <v>0.12</v>
      </c>
      <c r="O824" t="s">
        <v>52</v>
      </c>
    </row>
    <row r="825" spans="1:15" x14ac:dyDescent="0.3">
      <c r="A825" t="s">
        <v>2570</v>
      </c>
      <c r="B825" s="5">
        <v>24</v>
      </c>
      <c r="C825" s="5" t="str" cm="1">
        <f t="array" ref="C825">_xlfn.IFS(worksheet[[#This Row],[age]]&lt;25,"1. Young Adulthood (18-24)",worksheet[[#This Row],[age]]&lt; 35,"2. Early Adulthood (25-34)",worksheet[[#This Row],[age]]&lt; 45,"3. Mid Adulthood (35-44)",worksheet[[#This Row],[age]]&lt; 55,"4. Mature Adulthood (45-54)",TRUE,"5. Late Adulthood/Senior (55+)")</f>
        <v>1. Young Adulthood (18-24)</v>
      </c>
      <c r="D825" t="s">
        <v>41</v>
      </c>
      <c r="E825" t="s">
        <v>32</v>
      </c>
      <c r="F825" s="4">
        <v>26.44</v>
      </c>
      <c r="G825" s="5">
        <v>28</v>
      </c>
      <c r="H825" t="s">
        <v>17</v>
      </c>
      <c r="I825" t="s">
        <v>24</v>
      </c>
      <c r="J825" s="6">
        <v>17.989999999999998</v>
      </c>
      <c r="K825">
        <v>0</v>
      </c>
      <c r="L825" t="s">
        <v>19</v>
      </c>
      <c r="M825" s="5">
        <v>1</v>
      </c>
      <c r="N825" s="4">
        <v>0.91</v>
      </c>
      <c r="O825" t="s">
        <v>52</v>
      </c>
    </row>
    <row r="826" spans="1:15" x14ac:dyDescent="0.3">
      <c r="A826" t="s">
        <v>2574</v>
      </c>
      <c r="B826" s="5">
        <v>23</v>
      </c>
      <c r="C826" s="5" t="str" cm="1">
        <f t="array" ref="C826">_xlfn.IFS(worksheet[[#This Row],[age]]&lt;25,"1. Young Adulthood (18-24)",worksheet[[#This Row],[age]]&lt; 35,"2. Early Adulthood (25-34)",worksheet[[#This Row],[age]]&lt; 45,"3. Mid Adulthood (35-44)",worksheet[[#This Row],[age]]&lt; 55,"4. Mature Adulthood (45-54)",TRUE,"5. Late Adulthood/Senior (55+)")</f>
        <v>1. Young Adulthood (18-24)</v>
      </c>
      <c r="D826" t="s">
        <v>27</v>
      </c>
      <c r="E826" t="s">
        <v>16</v>
      </c>
      <c r="F826" s="4">
        <v>5.22</v>
      </c>
      <c r="G826" s="5">
        <v>12</v>
      </c>
      <c r="H826" t="s">
        <v>17</v>
      </c>
      <c r="I826" t="s">
        <v>18</v>
      </c>
      <c r="J826" s="6">
        <v>8.99</v>
      </c>
      <c r="K826">
        <v>0</v>
      </c>
      <c r="L826" t="s">
        <v>43</v>
      </c>
      <c r="M826" s="5">
        <v>2</v>
      </c>
      <c r="N826" s="4">
        <v>0.4</v>
      </c>
      <c r="O826" t="s">
        <v>34</v>
      </c>
    </row>
    <row r="827" spans="1:15" x14ac:dyDescent="0.3">
      <c r="A827" t="s">
        <v>2575</v>
      </c>
      <c r="B827" s="5">
        <v>22</v>
      </c>
      <c r="C827" s="5" t="str" cm="1">
        <f t="array" ref="C827">_xlfn.IFS(worksheet[[#This Row],[age]]&lt;25,"1. Young Adulthood (18-24)",worksheet[[#This Row],[age]]&lt; 35,"2. Early Adulthood (25-34)",worksheet[[#This Row],[age]]&lt; 45,"3. Mid Adulthood (35-44)",worksheet[[#This Row],[age]]&lt; 55,"4. Mature Adulthood (45-54)",TRUE,"5. Late Adulthood/Senior (55+)")</f>
        <v>1. Young Adulthood (18-24)</v>
      </c>
      <c r="D827" t="s">
        <v>41</v>
      </c>
      <c r="E827" t="s">
        <v>32</v>
      </c>
      <c r="F827" s="4">
        <v>23.15</v>
      </c>
      <c r="G827" s="5">
        <v>42</v>
      </c>
      <c r="H827" t="s">
        <v>49</v>
      </c>
      <c r="I827" t="s">
        <v>18</v>
      </c>
      <c r="J827" s="6">
        <v>17.989999999999998</v>
      </c>
      <c r="K827">
        <v>0</v>
      </c>
      <c r="L827" t="s">
        <v>19</v>
      </c>
      <c r="M827" s="5">
        <v>1</v>
      </c>
      <c r="N827" s="4">
        <v>0.54</v>
      </c>
      <c r="O827" t="s">
        <v>25</v>
      </c>
    </row>
    <row r="828" spans="1:15" x14ac:dyDescent="0.3">
      <c r="A828" t="s">
        <v>2576</v>
      </c>
      <c r="B828" s="5">
        <v>23</v>
      </c>
      <c r="C828" s="5" t="str" cm="1">
        <f t="array" ref="C828">_xlfn.IFS(worksheet[[#This Row],[age]]&lt;25,"1. Young Adulthood (18-24)",worksheet[[#This Row],[age]]&lt; 35,"2. Early Adulthood (25-34)",worksheet[[#This Row],[age]]&lt; 45,"3. Mid Adulthood (35-44)",worksheet[[#This Row],[age]]&lt; 55,"4. Mature Adulthood (45-54)",TRUE,"5. Late Adulthood/Senior (55+)")</f>
        <v>1. Young Adulthood (18-24)</v>
      </c>
      <c r="D828" t="s">
        <v>15</v>
      </c>
      <c r="E828" t="s">
        <v>16</v>
      </c>
      <c r="F828" s="4">
        <v>11.07</v>
      </c>
      <c r="G828" s="5">
        <v>28</v>
      </c>
      <c r="H828" t="s">
        <v>49</v>
      </c>
      <c r="I828" t="s">
        <v>55</v>
      </c>
      <c r="J828" s="6">
        <v>8.99</v>
      </c>
      <c r="K828">
        <v>1</v>
      </c>
      <c r="L828" t="s">
        <v>43</v>
      </c>
      <c r="M828" s="5">
        <v>1</v>
      </c>
      <c r="N828" s="4">
        <v>0.38</v>
      </c>
      <c r="O828" t="s">
        <v>25</v>
      </c>
    </row>
    <row r="829" spans="1:15" x14ac:dyDescent="0.3">
      <c r="A829" t="s">
        <v>2578</v>
      </c>
      <c r="B829" s="5">
        <v>18</v>
      </c>
      <c r="C829" s="5" t="str" cm="1">
        <f t="array" ref="C829">_xlfn.IFS(worksheet[[#This Row],[age]]&lt;25,"1. Young Adulthood (18-24)",worksheet[[#This Row],[age]]&lt; 35,"2. Early Adulthood (25-34)",worksheet[[#This Row],[age]]&lt; 45,"3. Mid Adulthood (35-44)",worksheet[[#This Row],[age]]&lt; 55,"4. Mature Adulthood (45-54)",TRUE,"5. Late Adulthood/Senior (55+)")</f>
        <v>1. Young Adulthood (18-24)</v>
      </c>
      <c r="D829" t="s">
        <v>15</v>
      </c>
      <c r="E829" t="s">
        <v>16</v>
      </c>
      <c r="F829" s="4">
        <v>20.149999999999999</v>
      </c>
      <c r="G829" s="5">
        <v>4</v>
      </c>
      <c r="H829" t="s">
        <v>49</v>
      </c>
      <c r="I829" t="s">
        <v>18</v>
      </c>
      <c r="J829" s="6">
        <v>8.99</v>
      </c>
      <c r="K829">
        <v>0</v>
      </c>
      <c r="L829" t="s">
        <v>29</v>
      </c>
      <c r="M829" s="5">
        <v>4</v>
      </c>
      <c r="N829" s="4">
        <v>4.03</v>
      </c>
      <c r="O829" t="s">
        <v>34</v>
      </c>
    </row>
    <row r="830" spans="1:15" x14ac:dyDescent="0.3">
      <c r="A830" t="s">
        <v>2580</v>
      </c>
      <c r="B830" s="5">
        <v>26</v>
      </c>
      <c r="C830" s="5" t="str" cm="1">
        <f t="array" ref="C830">_xlfn.IFS(worksheet[[#This Row],[age]]&lt;25,"1. Young Adulthood (18-24)",worksheet[[#This Row],[age]]&lt; 35,"2. Early Adulthood (25-34)",worksheet[[#This Row],[age]]&lt; 45,"3. Mid Adulthood (35-44)",worksheet[[#This Row],[age]]&lt; 55,"4. Mature Adulthood (45-54)",TRUE,"5. Late Adulthood/Senior (55+)")</f>
        <v>2. Early Adulthood (25-34)</v>
      </c>
      <c r="D830" t="s">
        <v>27</v>
      </c>
      <c r="E830" t="s">
        <v>16</v>
      </c>
      <c r="F830" s="4">
        <v>2.58</v>
      </c>
      <c r="G830" s="5">
        <v>16</v>
      </c>
      <c r="H830" t="s">
        <v>28</v>
      </c>
      <c r="I830" t="s">
        <v>55</v>
      </c>
      <c r="J830" s="6">
        <v>8.99</v>
      </c>
      <c r="K830">
        <v>1</v>
      </c>
      <c r="L830" t="s">
        <v>61</v>
      </c>
      <c r="M830" s="5">
        <v>5</v>
      </c>
      <c r="N830" s="4">
        <v>0.15</v>
      </c>
      <c r="O830" t="s">
        <v>34</v>
      </c>
    </row>
    <row r="831" spans="1:15" x14ac:dyDescent="0.3">
      <c r="A831" t="s">
        <v>2581</v>
      </c>
      <c r="B831" s="5">
        <v>33</v>
      </c>
      <c r="C831" s="5" t="str" cm="1">
        <f t="array" ref="C831">_xlfn.IFS(worksheet[[#This Row],[age]]&lt;25,"1. Young Adulthood (18-24)",worksheet[[#This Row],[age]]&lt; 35,"2. Early Adulthood (25-34)",worksheet[[#This Row],[age]]&lt; 45,"3. Mid Adulthood (35-44)",worksheet[[#This Row],[age]]&lt; 55,"4. Mature Adulthood (45-54)",TRUE,"5. Late Adulthood/Senior (55+)")</f>
        <v>2. Early Adulthood (25-34)</v>
      </c>
      <c r="D831" t="s">
        <v>41</v>
      </c>
      <c r="E831" t="s">
        <v>22</v>
      </c>
      <c r="F831" s="4">
        <v>8.27</v>
      </c>
      <c r="G831" s="5">
        <v>58</v>
      </c>
      <c r="H831" t="s">
        <v>17</v>
      </c>
      <c r="I831" t="s">
        <v>24</v>
      </c>
      <c r="J831" s="6">
        <v>13.99</v>
      </c>
      <c r="K831">
        <v>1</v>
      </c>
      <c r="L831" t="s">
        <v>19</v>
      </c>
      <c r="M831" s="5">
        <v>4</v>
      </c>
      <c r="N831" s="4">
        <v>0.14000000000000001</v>
      </c>
      <c r="O831" t="s">
        <v>39</v>
      </c>
    </row>
    <row r="832" spans="1:15" x14ac:dyDescent="0.3">
      <c r="A832" t="s">
        <v>2583</v>
      </c>
      <c r="B832" s="5">
        <v>34</v>
      </c>
      <c r="C832" s="5" t="str" cm="1">
        <f t="array" ref="C832">_xlfn.IFS(worksheet[[#This Row],[age]]&lt;25,"1. Young Adulthood (18-24)",worksheet[[#This Row],[age]]&lt; 35,"2. Early Adulthood (25-34)",worksheet[[#This Row],[age]]&lt; 45,"3. Mid Adulthood (35-44)",worksheet[[#This Row],[age]]&lt; 55,"4. Mature Adulthood (45-54)",TRUE,"5. Late Adulthood/Senior (55+)")</f>
        <v>2. Early Adulthood (25-34)</v>
      </c>
      <c r="D832" t="s">
        <v>41</v>
      </c>
      <c r="E832" t="s">
        <v>16</v>
      </c>
      <c r="F832" s="4">
        <v>31.66</v>
      </c>
      <c r="G832" s="5">
        <v>60</v>
      </c>
      <c r="H832" t="s">
        <v>17</v>
      </c>
      <c r="I832" t="s">
        <v>18</v>
      </c>
      <c r="J832" s="6">
        <v>8.99</v>
      </c>
      <c r="K832">
        <v>0</v>
      </c>
      <c r="L832" t="s">
        <v>19</v>
      </c>
      <c r="M832" s="5">
        <v>5</v>
      </c>
      <c r="N832" s="4">
        <v>0.52</v>
      </c>
      <c r="O832" t="s">
        <v>25</v>
      </c>
    </row>
    <row r="833" spans="1:15" x14ac:dyDescent="0.3">
      <c r="A833" t="s">
        <v>2584</v>
      </c>
      <c r="B833" s="5">
        <v>22</v>
      </c>
      <c r="C833" s="5" t="str" cm="1">
        <f t="array" ref="C833">_xlfn.IFS(worksheet[[#This Row],[age]]&lt;25,"1. Young Adulthood (18-24)",worksheet[[#This Row],[age]]&lt; 35,"2. Early Adulthood (25-34)",worksheet[[#This Row],[age]]&lt; 45,"3. Mid Adulthood (35-44)",worksheet[[#This Row],[age]]&lt; 55,"4. Mature Adulthood (45-54)",TRUE,"5. Late Adulthood/Senior (55+)")</f>
        <v>1. Young Adulthood (18-24)</v>
      </c>
      <c r="D833" t="s">
        <v>15</v>
      </c>
      <c r="E833" t="s">
        <v>32</v>
      </c>
      <c r="F833" s="4">
        <v>0.76</v>
      </c>
      <c r="G833" s="5">
        <v>52</v>
      </c>
      <c r="H833" t="s">
        <v>49</v>
      </c>
      <c r="I833" t="s">
        <v>18</v>
      </c>
      <c r="J833" s="6">
        <v>17.989999999999998</v>
      </c>
      <c r="K833">
        <v>1</v>
      </c>
      <c r="L833" t="s">
        <v>61</v>
      </c>
      <c r="M833" s="5">
        <v>1</v>
      </c>
      <c r="N833" s="4">
        <v>0.01</v>
      </c>
      <c r="O833" t="s">
        <v>47</v>
      </c>
    </row>
    <row r="834" spans="1:15" x14ac:dyDescent="0.3">
      <c r="A834" t="s">
        <v>2586</v>
      </c>
      <c r="B834" s="5">
        <v>30</v>
      </c>
      <c r="C834" s="5" t="str" cm="1">
        <f t="array" ref="C834">_xlfn.IFS(worksheet[[#This Row],[age]]&lt;25,"1. Young Adulthood (18-24)",worksheet[[#This Row],[age]]&lt; 35,"2. Early Adulthood (25-34)",worksheet[[#This Row],[age]]&lt; 45,"3. Mid Adulthood (35-44)",worksheet[[#This Row],[age]]&lt; 55,"4. Mature Adulthood (45-54)",TRUE,"5. Late Adulthood/Senior (55+)")</f>
        <v>2. Early Adulthood (25-34)</v>
      </c>
      <c r="D834" t="s">
        <v>27</v>
      </c>
      <c r="E834" t="s">
        <v>16</v>
      </c>
      <c r="F834" s="4">
        <v>2.56</v>
      </c>
      <c r="G834" s="5">
        <v>32</v>
      </c>
      <c r="H834" t="s">
        <v>33</v>
      </c>
      <c r="I834" t="s">
        <v>57</v>
      </c>
      <c r="J834" s="6">
        <v>8.99</v>
      </c>
      <c r="K834">
        <v>1</v>
      </c>
      <c r="L834" t="s">
        <v>29</v>
      </c>
      <c r="M834" s="5">
        <v>1</v>
      </c>
      <c r="N834" s="4">
        <v>0.08</v>
      </c>
      <c r="O834" t="s">
        <v>34</v>
      </c>
    </row>
    <row r="835" spans="1:15" x14ac:dyDescent="0.3">
      <c r="A835" t="s">
        <v>2587</v>
      </c>
      <c r="B835" s="5">
        <v>32</v>
      </c>
      <c r="C835" s="5" t="str" cm="1">
        <f t="array" ref="C835">_xlfn.IFS(worksheet[[#This Row],[age]]&lt;25,"1. Young Adulthood (18-24)",worksheet[[#This Row],[age]]&lt; 35,"2. Early Adulthood (25-34)",worksheet[[#This Row],[age]]&lt; 45,"3. Mid Adulthood (35-44)",worksheet[[#This Row],[age]]&lt; 55,"4. Mature Adulthood (45-54)",TRUE,"5. Late Adulthood/Senior (55+)")</f>
        <v>2. Early Adulthood (25-34)</v>
      </c>
      <c r="D835" t="s">
        <v>27</v>
      </c>
      <c r="E835" t="s">
        <v>16</v>
      </c>
      <c r="F835" s="4">
        <v>17.670000000000002</v>
      </c>
      <c r="G835" s="5">
        <v>14</v>
      </c>
      <c r="H835" t="s">
        <v>28</v>
      </c>
      <c r="I835" t="s">
        <v>18</v>
      </c>
      <c r="J835" s="6">
        <v>8.99</v>
      </c>
      <c r="K835">
        <v>0</v>
      </c>
      <c r="L835" t="s">
        <v>43</v>
      </c>
      <c r="M835" s="5">
        <v>4</v>
      </c>
      <c r="N835" s="4">
        <v>1.18</v>
      </c>
      <c r="O835" t="s">
        <v>39</v>
      </c>
    </row>
    <row r="836" spans="1:15" x14ac:dyDescent="0.3">
      <c r="A836" t="s">
        <v>2592</v>
      </c>
      <c r="B836" s="5">
        <v>24</v>
      </c>
      <c r="C836" s="5" t="str" cm="1">
        <f t="array" ref="C836">_xlfn.IFS(worksheet[[#This Row],[age]]&lt;25,"1. Young Adulthood (18-24)",worksheet[[#This Row],[age]]&lt; 35,"2. Early Adulthood (25-34)",worksheet[[#This Row],[age]]&lt; 45,"3. Mid Adulthood (35-44)",worksheet[[#This Row],[age]]&lt; 55,"4. Mature Adulthood (45-54)",TRUE,"5. Late Adulthood/Senior (55+)")</f>
        <v>1. Young Adulthood (18-24)</v>
      </c>
      <c r="D836" t="s">
        <v>15</v>
      </c>
      <c r="E836" t="s">
        <v>32</v>
      </c>
      <c r="F836" s="4">
        <v>2.4300000000000002</v>
      </c>
      <c r="G836" s="5">
        <v>32</v>
      </c>
      <c r="H836" t="s">
        <v>33</v>
      </c>
      <c r="I836" t="s">
        <v>18</v>
      </c>
      <c r="J836" s="6">
        <v>17.989999999999998</v>
      </c>
      <c r="K836">
        <v>1</v>
      </c>
      <c r="L836" t="s">
        <v>37</v>
      </c>
      <c r="M836" s="5">
        <v>2</v>
      </c>
      <c r="N836" s="4">
        <v>7.0000000000000007E-2</v>
      </c>
      <c r="O836" t="s">
        <v>52</v>
      </c>
    </row>
    <row r="837" spans="1:15" x14ac:dyDescent="0.3">
      <c r="A837" s="1" t="s">
        <v>2597</v>
      </c>
      <c r="B837" s="5">
        <v>20</v>
      </c>
      <c r="C837" s="5" t="str" cm="1">
        <f t="array" ref="C837">_xlfn.IFS(worksheet[[#This Row],[age]]&lt;25,"1. Young Adulthood (18-24)",worksheet[[#This Row],[age]]&lt; 35,"2. Early Adulthood (25-34)",worksheet[[#This Row],[age]]&lt; 45,"3. Mid Adulthood (35-44)",worksheet[[#This Row],[age]]&lt; 55,"4. Mature Adulthood (45-54)",TRUE,"5. Late Adulthood/Senior (55+)")</f>
        <v>1. Young Adulthood (18-24)</v>
      </c>
      <c r="D837" t="s">
        <v>15</v>
      </c>
      <c r="E837" t="s">
        <v>22</v>
      </c>
      <c r="F837" s="4">
        <v>2.13</v>
      </c>
      <c r="G837" s="5">
        <v>8</v>
      </c>
      <c r="H837" t="s">
        <v>33</v>
      </c>
      <c r="I837" t="s">
        <v>55</v>
      </c>
      <c r="J837" s="6">
        <v>13.99</v>
      </c>
      <c r="K837">
        <v>1</v>
      </c>
      <c r="L837" t="s">
        <v>19</v>
      </c>
      <c r="M837" s="5">
        <v>3</v>
      </c>
      <c r="N837" s="4">
        <v>0.24</v>
      </c>
      <c r="O837" t="s">
        <v>34</v>
      </c>
    </row>
    <row r="838" spans="1:15" x14ac:dyDescent="0.3">
      <c r="A838" t="s">
        <v>2601</v>
      </c>
      <c r="B838" s="5">
        <v>29</v>
      </c>
      <c r="C838" s="5" t="str" cm="1">
        <f t="array" ref="C838">_xlfn.IFS(worksheet[[#This Row],[age]]&lt;25,"1. Young Adulthood (18-24)",worksheet[[#This Row],[age]]&lt; 35,"2. Early Adulthood (25-34)",worksheet[[#This Row],[age]]&lt; 45,"3. Mid Adulthood (35-44)",worksheet[[#This Row],[age]]&lt; 55,"4. Mature Adulthood (45-54)",TRUE,"5. Late Adulthood/Senior (55+)")</f>
        <v>2. Early Adulthood (25-34)</v>
      </c>
      <c r="D838" t="s">
        <v>27</v>
      </c>
      <c r="E838" t="s">
        <v>32</v>
      </c>
      <c r="F838" s="4">
        <v>4.53</v>
      </c>
      <c r="G838" s="5">
        <v>15</v>
      </c>
      <c r="H838" t="s">
        <v>70</v>
      </c>
      <c r="I838" t="s">
        <v>24</v>
      </c>
      <c r="J838" s="6">
        <v>17.989999999999998</v>
      </c>
      <c r="K838">
        <v>0</v>
      </c>
      <c r="L838" t="s">
        <v>61</v>
      </c>
      <c r="M838" s="5">
        <v>4</v>
      </c>
      <c r="N838" s="4">
        <v>0.28000000000000003</v>
      </c>
      <c r="O838" t="s">
        <v>34</v>
      </c>
    </row>
    <row r="839" spans="1:15" x14ac:dyDescent="0.3">
      <c r="A839" t="s">
        <v>2604</v>
      </c>
      <c r="B839" s="5">
        <v>25</v>
      </c>
      <c r="C839" s="5" t="str" cm="1">
        <f t="array" ref="C839">_xlfn.IFS(worksheet[[#This Row],[age]]&lt;25,"1. Young Adulthood (18-24)",worksheet[[#This Row],[age]]&lt; 35,"2. Early Adulthood (25-34)",worksheet[[#This Row],[age]]&lt; 45,"3. Mid Adulthood (35-44)",worksheet[[#This Row],[age]]&lt; 55,"4. Mature Adulthood (45-54)",TRUE,"5. Late Adulthood/Senior (55+)")</f>
        <v>2. Early Adulthood (25-34)</v>
      </c>
      <c r="D839" t="s">
        <v>41</v>
      </c>
      <c r="E839" t="s">
        <v>32</v>
      </c>
      <c r="F839" s="4">
        <v>5.62</v>
      </c>
      <c r="G839" s="5">
        <v>49</v>
      </c>
      <c r="H839" t="s">
        <v>17</v>
      </c>
      <c r="I839" t="s">
        <v>57</v>
      </c>
      <c r="J839" s="6">
        <v>17.989999999999998</v>
      </c>
      <c r="K839">
        <v>0</v>
      </c>
      <c r="L839" t="s">
        <v>61</v>
      </c>
      <c r="M839" s="5">
        <v>5</v>
      </c>
      <c r="N839" s="4">
        <v>0.11</v>
      </c>
      <c r="O839" t="s">
        <v>34</v>
      </c>
    </row>
    <row r="840" spans="1:15" x14ac:dyDescent="0.3">
      <c r="A840" t="s">
        <v>2609</v>
      </c>
      <c r="B840" s="5">
        <v>28</v>
      </c>
      <c r="C840" s="5" t="str" cm="1">
        <f t="array" ref="C840">_xlfn.IFS(worksheet[[#This Row],[age]]&lt;25,"1. Young Adulthood (18-24)",worksheet[[#This Row],[age]]&lt; 35,"2. Early Adulthood (25-34)",worksheet[[#This Row],[age]]&lt; 45,"3. Mid Adulthood (35-44)",worksheet[[#This Row],[age]]&lt; 55,"4. Mature Adulthood (45-54)",TRUE,"5. Late Adulthood/Senior (55+)")</f>
        <v>2. Early Adulthood (25-34)</v>
      </c>
      <c r="D840" t="s">
        <v>27</v>
      </c>
      <c r="E840" t="s">
        <v>22</v>
      </c>
      <c r="F840" s="4">
        <v>28.8</v>
      </c>
      <c r="G840" s="5">
        <v>49</v>
      </c>
      <c r="H840" t="s">
        <v>49</v>
      </c>
      <c r="I840" t="s">
        <v>46</v>
      </c>
      <c r="J840" s="6">
        <v>13.99</v>
      </c>
      <c r="K840">
        <v>0</v>
      </c>
      <c r="L840" t="s">
        <v>61</v>
      </c>
      <c r="M840" s="5">
        <v>3</v>
      </c>
      <c r="N840" s="4">
        <v>0.57999999999999996</v>
      </c>
      <c r="O840" t="s">
        <v>52</v>
      </c>
    </row>
    <row r="841" spans="1:15" x14ac:dyDescent="0.3">
      <c r="A841" t="s">
        <v>2619</v>
      </c>
      <c r="B841" s="5">
        <v>28</v>
      </c>
      <c r="C841" s="5" t="str" cm="1">
        <f t="array" ref="C841">_xlfn.IFS(worksheet[[#This Row],[age]]&lt;25,"1. Young Adulthood (18-24)",worksheet[[#This Row],[age]]&lt; 35,"2. Early Adulthood (25-34)",worksheet[[#This Row],[age]]&lt; 45,"3. Mid Adulthood (35-44)",worksheet[[#This Row],[age]]&lt; 55,"4. Mature Adulthood (45-54)",TRUE,"5. Late Adulthood/Senior (55+)")</f>
        <v>2. Early Adulthood (25-34)</v>
      </c>
      <c r="D841" t="s">
        <v>27</v>
      </c>
      <c r="E841" t="s">
        <v>32</v>
      </c>
      <c r="F841" s="4">
        <v>1.79</v>
      </c>
      <c r="G841" s="5">
        <v>5</v>
      </c>
      <c r="H841" t="s">
        <v>33</v>
      </c>
      <c r="I841" t="s">
        <v>18</v>
      </c>
      <c r="J841" s="6">
        <v>17.989999999999998</v>
      </c>
      <c r="K841">
        <v>0</v>
      </c>
      <c r="L841" t="s">
        <v>19</v>
      </c>
      <c r="M841" s="5">
        <v>5</v>
      </c>
      <c r="N841" s="4">
        <v>0.3</v>
      </c>
      <c r="O841" t="s">
        <v>30</v>
      </c>
    </row>
    <row r="842" spans="1:15" x14ac:dyDescent="0.3">
      <c r="A842" t="s">
        <v>2626</v>
      </c>
      <c r="B842" s="5">
        <v>34</v>
      </c>
      <c r="C842" s="5" t="str" cm="1">
        <f t="array" ref="C842">_xlfn.IFS(worksheet[[#This Row],[age]]&lt;25,"1. Young Adulthood (18-24)",worksheet[[#This Row],[age]]&lt; 35,"2. Early Adulthood (25-34)",worksheet[[#This Row],[age]]&lt; 45,"3. Mid Adulthood (35-44)",worksheet[[#This Row],[age]]&lt; 55,"4. Mature Adulthood (45-54)",TRUE,"5. Late Adulthood/Senior (55+)")</f>
        <v>2. Early Adulthood (25-34)</v>
      </c>
      <c r="D842" t="s">
        <v>27</v>
      </c>
      <c r="E842" t="s">
        <v>22</v>
      </c>
      <c r="F842" s="4">
        <v>1.28</v>
      </c>
      <c r="G842" s="5">
        <v>57</v>
      </c>
      <c r="H842" t="s">
        <v>17</v>
      </c>
      <c r="I842" t="s">
        <v>57</v>
      </c>
      <c r="J842" s="6">
        <v>13.99</v>
      </c>
      <c r="K842">
        <v>1</v>
      </c>
      <c r="L842" t="s">
        <v>29</v>
      </c>
      <c r="M842" s="5">
        <v>4</v>
      </c>
      <c r="N842" s="4">
        <v>0.02</v>
      </c>
      <c r="O842" t="s">
        <v>39</v>
      </c>
    </row>
    <row r="843" spans="1:15" x14ac:dyDescent="0.3">
      <c r="A843" t="s">
        <v>2627</v>
      </c>
      <c r="B843" s="5">
        <v>20</v>
      </c>
      <c r="C843" s="5" t="str" cm="1">
        <f t="array" ref="C843">_xlfn.IFS(worksheet[[#This Row],[age]]&lt;25,"1. Young Adulthood (18-24)",worksheet[[#This Row],[age]]&lt; 35,"2. Early Adulthood (25-34)",worksheet[[#This Row],[age]]&lt; 45,"3. Mid Adulthood (35-44)",worksheet[[#This Row],[age]]&lt; 55,"4. Mature Adulthood (45-54)",TRUE,"5. Late Adulthood/Senior (55+)")</f>
        <v>1. Young Adulthood (18-24)</v>
      </c>
      <c r="D843" t="s">
        <v>41</v>
      </c>
      <c r="E843" t="s">
        <v>32</v>
      </c>
      <c r="F843" s="4">
        <v>32.04</v>
      </c>
      <c r="G843" s="5">
        <v>26</v>
      </c>
      <c r="H843" t="s">
        <v>23</v>
      </c>
      <c r="I843" t="s">
        <v>57</v>
      </c>
      <c r="J843" s="6">
        <v>17.989999999999998</v>
      </c>
      <c r="K843">
        <v>0</v>
      </c>
      <c r="L843" t="s">
        <v>43</v>
      </c>
      <c r="M843" s="5">
        <v>3</v>
      </c>
      <c r="N843" s="4">
        <v>1.19</v>
      </c>
      <c r="O843" t="s">
        <v>20</v>
      </c>
    </row>
    <row r="844" spans="1:15" x14ac:dyDescent="0.3">
      <c r="A844" t="s">
        <v>2628</v>
      </c>
      <c r="B844" s="5">
        <v>28</v>
      </c>
      <c r="C844" s="5" t="str" cm="1">
        <f t="array" ref="C844">_xlfn.IFS(worksheet[[#This Row],[age]]&lt;25,"1. Young Adulthood (18-24)",worksheet[[#This Row],[age]]&lt; 35,"2. Early Adulthood (25-34)",worksheet[[#This Row],[age]]&lt; 45,"3. Mid Adulthood (35-44)",worksheet[[#This Row],[age]]&lt; 55,"4. Mature Adulthood (45-54)",TRUE,"5. Late Adulthood/Senior (55+)")</f>
        <v>2. Early Adulthood (25-34)</v>
      </c>
      <c r="D844" t="s">
        <v>27</v>
      </c>
      <c r="E844" t="s">
        <v>32</v>
      </c>
      <c r="F844" s="4">
        <v>0.12</v>
      </c>
      <c r="G844" s="5">
        <v>2</v>
      </c>
      <c r="H844" t="s">
        <v>70</v>
      </c>
      <c r="I844" t="s">
        <v>46</v>
      </c>
      <c r="J844" s="6">
        <v>17.989999999999998</v>
      </c>
      <c r="K844">
        <v>0</v>
      </c>
      <c r="L844" t="s">
        <v>43</v>
      </c>
      <c r="M844" s="5">
        <v>5</v>
      </c>
      <c r="N844" s="4">
        <v>0.04</v>
      </c>
      <c r="O844" t="s">
        <v>47</v>
      </c>
    </row>
    <row r="845" spans="1:15" x14ac:dyDescent="0.3">
      <c r="A845" t="s">
        <v>2629</v>
      </c>
      <c r="B845" s="5">
        <v>18</v>
      </c>
      <c r="C845" s="5" t="str" cm="1">
        <f t="array" ref="C845">_xlfn.IFS(worksheet[[#This Row],[age]]&lt;25,"1. Young Adulthood (18-24)",worksheet[[#This Row],[age]]&lt; 35,"2. Early Adulthood (25-34)",worksheet[[#This Row],[age]]&lt; 45,"3. Mid Adulthood (35-44)",worksheet[[#This Row],[age]]&lt; 55,"4. Mature Adulthood (45-54)",TRUE,"5. Late Adulthood/Senior (55+)")</f>
        <v>1. Young Adulthood (18-24)</v>
      </c>
      <c r="D845" t="s">
        <v>27</v>
      </c>
      <c r="E845" t="s">
        <v>22</v>
      </c>
      <c r="F845" s="4">
        <v>0.25</v>
      </c>
      <c r="G845" s="5">
        <v>37</v>
      </c>
      <c r="H845" t="s">
        <v>17</v>
      </c>
      <c r="I845" t="s">
        <v>46</v>
      </c>
      <c r="J845" s="6">
        <v>13.99</v>
      </c>
      <c r="K845">
        <v>1</v>
      </c>
      <c r="L845" t="s">
        <v>37</v>
      </c>
      <c r="M845" s="5">
        <v>5</v>
      </c>
      <c r="N845" s="4">
        <v>0.01</v>
      </c>
      <c r="O845" t="s">
        <v>25</v>
      </c>
    </row>
    <row r="846" spans="1:15" x14ac:dyDescent="0.3">
      <c r="A846" t="s">
        <v>2630</v>
      </c>
      <c r="B846" s="5">
        <v>19</v>
      </c>
      <c r="C846" s="5" t="str" cm="1">
        <f t="array" ref="C846">_xlfn.IFS(worksheet[[#This Row],[age]]&lt;25,"1. Young Adulthood (18-24)",worksheet[[#This Row],[age]]&lt; 35,"2. Early Adulthood (25-34)",worksheet[[#This Row],[age]]&lt; 45,"3. Mid Adulthood (35-44)",worksheet[[#This Row],[age]]&lt; 55,"4. Mature Adulthood (45-54)",TRUE,"5. Late Adulthood/Senior (55+)")</f>
        <v>1. Young Adulthood (18-24)</v>
      </c>
      <c r="D846" t="s">
        <v>41</v>
      </c>
      <c r="E846" t="s">
        <v>16</v>
      </c>
      <c r="F846" s="4">
        <v>4.46</v>
      </c>
      <c r="G846" s="5">
        <v>50</v>
      </c>
      <c r="H846" t="s">
        <v>17</v>
      </c>
      <c r="I846" t="s">
        <v>55</v>
      </c>
      <c r="J846" s="6">
        <v>8.99</v>
      </c>
      <c r="K846">
        <v>1</v>
      </c>
      <c r="L846" t="s">
        <v>61</v>
      </c>
      <c r="M846" s="5">
        <v>3</v>
      </c>
      <c r="N846" s="4">
        <v>0.09</v>
      </c>
      <c r="O846" t="s">
        <v>52</v>
      </c>
    </row>
    <row r="847" spans="1:15" x14ac:dyDescent="0.3">
      <c r="A847" t="s">
        <v>2631</v>
      </c>
      <c r="B847" s="5">
        <v>32</v>
      </c>
      <c r="C847" s="5" t="str" cm="1">
        <f t="array" ref="C847">_xlfn.IFS(worksheet[[#This Row],[age]]&lt;25,"1. Young Adulthood (18-24)",worksheet[[#This Row],[age]]&lt; 35,"2. Early Adulthood (25-34)",worksheet[[#This Row],[age]]&lt; 45,"3. Mid Adulthood (35-44)",worksheet[[#This Row],[age]]&lt; 55,"4. Mature Adulthood (45-54)",TRUE,"5. Late Adulthood/Senior (55+)")</f>
        <v>2. Early Adulthood (25-34)</v>
      </c>
      <c r="D847" t="s">
        <v>15</v>
      </c>
      <c r="E847" t="s">
        <v>32</v>
      </c>
      <c r="F847" s="4">
        <v>4.24</v>
      </c>
      <c r="G847" s="5">
        <v>14</v>
      </c>
      <c r="H847" t="s">
        <v>17</v>
      </c>
      <c r="I847" t="s">
        <v>18</v>
      </c>
      <c r="J847" s="6">
        <v>17.989999999999998</v>
      </c>
      <c r="K847">
        <v>1</v>
      </c>
      <c r="L847" t="s">
        <v>19</v>
      </c>
      <c r="M847" s="5">
        <v>2</v>
      </c>
      <c r="N847" s="4">
        <v>0.28000000000000003</v>
      </c>
      <c r="O847" t="s">
        <v>30</v>
      </c>
    </row>
    <row r="848" spans="1:15" x14ac:dyDescent="0.3">
      <c r="A848" t="s">
        <v>2632</v>
      </c>
      <c r="B848" s="5">
        <v>19</v>
      </c>
      <c r="C848" s="5" t="str" cm="1">
        <f t="array" ref="C848">_xlfn.IFS(worksheet[[#This Row],[age]]&lt;25,"1. Young Adulthood (18-24)",worksheet[[#This Row],[age]]&lt; 35,"2. Early Adulthood (25-34)",worksheet[[#This Row],[age]]&lt; 45,"3. Mid Adulthood (35-44)",worksheet[[#This Row],[age]]&lt; 55,"4. Mature Adulthood (45-54)",TRUE,"5. Late Adulthood/Senior (55+)")</f>
        <v>1. Young Adulthood (18-24)</v>
      </c>
      <c r="D848" t="s">
        <v>27</v>
      </c>
      <c r="E848" t="s">
        <v>22</v>
      </c>
      <c r="F848" s="4">
        <v>8.6199999999999992</v>
      </c>
      <c r="G848" s="5">
        <v>57</v>
      </c>
      <c r="H848" t="s">
        <v>28</v>
      </c>
      <c r="I848" t="s">
        <v>46</v>
      </c>
      <c r="J848" s="6">
        <v>13.99</v>
      </c>
      <c r="K848">
        <v>1</v>
      </c>
      <c r="L848" t="s">
        <v>43</v>
      </c>
      <c r="M848" s="5">
        <v>3</v>
      </c>
      <c r="N848" s="4">
        <v>0.15</v>
      </c>
      <c r="O848" t="s">
        <v>20</v>
      </c>
    </row>
    <row r="849" spans="1:15" x14ac:dyDescent="0.3">
      <c r="A849" t="s">
        <v>2633</v>
      </c>
      <c r="B849" s="5">
        <v>22</v>
      </c>
      <c r="C849" s="5" t="str" cm="1">
        <f t="array" ref="C849">_xlfn.IFS(worksheet[[#This Row],[age]]&lt;25,"1. Young Adulthood (18-24)",worksheet[[#This Row],[age]]&lt; 35,"2. Early Adulthood (25-34)",worksheet[[#This Row],[age]]&lt; 45,"3. Mid Adulthood (35-44)",worksheet[[#This Row],[age]]&lt; 55,"4. Mature Adulthood (45-54)",TRUE,"5. Late Adulthood/Senior (55+)")</f>
        <v>1. Young Adulthood (18-24)</v>
      </c>
      <c r="D849" t="s">
        <v>27</v>
      </c>
      <c r="E849" t="s">
        <v>16</v>
      </c>
      <c r="F849" s="4">
        <v>11.96</v>
      </c>
      <c r="G849" s="5">
        <v>45</v>
      </c>
      <c r="H849" t="s">
        <v>23</v>
      </c>
      <c r="I849" t="s">
        <v>24</v>
      </c>
      <c r="J849" s="6">
        <v>8.99</v>
      </c>
      <c r="K849">
        <v>1</v>
      </c>
      <c r="L849" t="s">
        <v>43</v>
      </c>
      <c r="M849" s="5">
        <v>2</v>
      </c>
      <c r="N849" s="4">
        <v>0.26</v>
      </c>
      <c r="O849" t="s">
        <v>20</v>
      </c>
    </row>
    <row r="850" spans="1:15" x14ac:dyDescent="0.3">
      <c r="A850" t="s">
        <v>2635</v>
      </c>
      <c r="B850" s="5">
        <v>21</v>
      </c>
      <c r="C850" s="5" t="str" cm="1">
        <f t="array" ref="C850">_xlfn.IFS(worksheet[[#This Row],[age]]&lt;25,"1. Young Adulthood (18-24)",worksheet[[#This Row],[age]]&lt; 35,"2. Early Adulthood (25-34)",worksheet[[#This Row],[age]]&lt; 45,"3. Mid Adulthood (35-44)",worksheet[[#This Row],[age]]&lt; 55,"4. Mature Adulthood (45-54)",TRUE,"5. Late Adulthood/Senior (55+)")</f>
        <v>1. Young Adulthood (18-24)</v>
      </c>
      <c r="D850" t="s">
        <v>27</v>
      </c>
      <c r="E850" t="s">
        <v>22</v>
      </c>
      <c r="F850" s="4">
        <v>0.44</v>
      </c>
      <c r="G850" s="5">
        <v>1</v>
      </c>
      <c r="H850" t="s">
        <v>28</v>
      </c>
      <c r="I850" t="s">
        <v>57</v>
      </c>
      <c r="J850" s="6">
        <v>13.99</v>
      </c>
      <c r="K850">
        <v>1</v>
      </c>
      <c r="L850" t="s">
        <v>43</v>
      </c>
      <c r="M850" s="5">
        <v>1</v>
      </c>
      <c r="N850" s="4">
        <v>0.22</v>
      </c>
      <c r="O850" t="s">
        <v>39</v>
      </c>
    </row>
    <row r="851" spans="1:15" x14ac:dyDescent="0.3">
      <c r="A851" t="s">
        <v>2638</v>
      </c>
      <c r="B851" s="5">
        <v>27</v>
      </c>
      <c r="C851" s="5" t="str" cm="1">
        <f t="array" ref="C851">_xlfn.IFS(worksheet[[#This Row],[age]]&lt;25,"1. Young Adulthood (18-24)",worksheet[[#This Row],[age]]&lt; 35,"2. Early Adulthood (25-34)",worksheet[[#This Row],[age]]&lt; 45,"3. Mid Adulthood (35-44)",worksheet[[#This Row],[age]]&lt; 55,"4. Mature Adulthood (45-54)",TRUE,"5. Late Adulthood/Senior (55+)")</f>
        <v>2. Early Adulthood (25-34)</v>
      </c>
      <c r="D851" t="s">
        <v>15</v>
      </c>
      <c r="E851" t="s">
        <v>32</v>
      </c>
      <c r="F851" s="4">
        <v>30.8</v>
      </c>
      <c r="G851" s="5">
        <v>16</v>
      </c>
      <c r="H851" t="s">
        <v>23</v>
      </c>
      <c r="I851" t="s">
        <v>55</v>
      </c>
      <c r="J851" s="6">
        <v>17.989999999999998</v>
      </c>
      <c r="K851">
        <v>0</v>
      </c>
      <c r="L851" t="s">
        <v>43</v>
      </c>
      <c r="M851" s="5">
        <v>2</v>
      </c>
      <c r="N851" s="4">
        <v>1.81</v>
      </c>
      <c r="O851" t="s">
        <v>20</v>
      </c>
    </row>
    <row r="852" spans="1:15" x14ac:dyDescent="0.3">
      <c r="A852" t="s">
        <v>2639</v>
      </c>
      <c r="B852" s="5">
        <v>29</v>
      </c>
      <c r="C852" s="5" t="str" cm="1">
        <f t="array" ref="C852">_xlfn.IFS(worksheet[[#This Row],[age]]&lt;25,"1. Young Adulthood (18-24)",worksheet[[#This Row],[age]]&lt; 35,"2. Early Adulthood (25-34)",worksheet[[#This Row],[age]]&lt; 45,"3. Mid Adulthood (35-44)",worksheet[[#This Row],[age]]&lt; 55,"4. Mature Adulthood (45-54)",TRUE,"5. Late Adulthood/Senior (55+)")</f>
        <v>2. Early Adulthood (25-34)</v>
      </c>
      <c r="D852" t="s">
        <v>15</v>
      </c>
      <c r="E852" t="s">
        <v>22</v>
      </c>
      <c r="F852" s="4">
        <v>10.74</v>
      </c>
      <c r="G852" s="5">
        <v>27</v>
      </c>
      <c r="H852" t="s">
        <v>49</v>
      </c>
      <c r="I852" t="s">
        <v>57</v>
      </c>
      <c r="J852" s="6">
        <v>13.99</v>
      </c>
      <c r="K852">
        <v>0</v>
      </c>
      <c r="L852" t="s">
        <v>43</v>
      </c>
      <c r="M852" s="5">
        <v>5</v>
      </c>
      <c r="N852" s="4">
        <v>0.38</v>
      </c>
      <c r="O852" t="s">
        <v>30</v>
      </c>
    </row>
    <row r="853" spans="1:15" x14ac:dyDescent="0.3">
      <c r="A853" t="s">
        <v>2642</v>
      </c>
      <c r="B853" s="5">
        <v>26</v>
      </c>
      <c r="C853" s="5" t="str" cm="1">
        <f t="array" ref="C853">_xlfn.IFS(worksheet[[#This Row],[age]]&lt;25,"1. Young Adulthood (18-24)",worksheet[[#This Row],[age]]&lt; 35,"2. Early Adulthood (25-34)",worksheet[[#This Row],[age]]&lt; 45,"3. Mid Adulthood (35-44)",worksheet[[#This Row],[age]]&lt; 55,"4. Mature Adulthood (45-54)",TRUE,"5. Late Adulthood/Senior (55+)")</f>
        <v>2. Early Adulthood (25-34)</v>
      </c>
      <c r="D853" t="s">
        <v>15</v>
      </c>
      <c r="E853" t="s">
        <v>32</v>
      </c>
      <c r="F853" s="4">
        <v>9.23</v>
      </c>
      <c r="G853" s="5">
        <v>10</v>
      </c>
      <c r="H853" t="s">
        <v>70</v>
      </c>
      <c r="I853" t="s">
        <v>55</v>
      </c>
      <c r="J853" s="6">
        <v>17.989999999999998</v>
      </c>
      <c r="K853">
        <v>0</v>
      </c>
      <c r="L853" t="s">
        <v>19</v>
      </c>
      <c r="M853" s="5">
        <v>3</v>
      </c>
      <c r="N853" s="4">
        <v>0.84</v>
      </c>
      <c r="O853" t="s">
        <v>52</v>
      </c>
    </row>
    <row r="854" spans="1:15" x14ac:dyDescent="0.3">
      <c r="A854" t="s">
        <v>2648</v>
      </c>
      <c r="B854" s="5">
        <v>34</v>
      </c>
      <c r="C854" s="5" t="str" cm="1">
        <f t="array" ref="C854">_xlfn.IFS(worksheet[[#This Row],[age]]&lt;25,"1. Young Adulthood (18-24)",worksheet[[#This Row],[age]]&lt; 35,"2. Early Adulthood (25-34)",worksheet[[#This Row],[age]]&lt; 45,"3. Mid Adulthood (35-44)",worksheet[[#This Row],[age]]&lt; 55,"4. Mature Adulthood (45-54)",TRUE,"5. Late Adulthood/Senior (55+)")</f>
        <v>2. Early Adulthood (25-34)</v>
      </c>
      <c r="D854" t="s">
        <v>41</v>
      </c>
      <c r="E854" t="s">
        <v>16</v>
      </c>
      <c r="F854" s="4">
        <v>9.9600000000000009</v>
      </c>
      <c r="G854" s="5">
        <v>8</v>
      </c>
      <c r="H854" t="s">
        <v>70</v>
      </c>
      <c r="I854" t="s">
        <v>57</v>
      </c>
      <c r="J854" s="6">
        <v>8.99</v>
      </c>
      <c r="K854">
        <v>0</v>
      </c>
      <c r="L854" t="s">
        <v>61</v>
      </c>
      <c r="M854" s="5">
        <v>2</v>
      </c>
      <c r="N854" s="4">
        <v>1.1100000000000001</v>
      </c>
      <c r="O854" t="s">
        <v>20</v>
      </c>
    </row>
    <row r="855" spans="1:15" x14ac:dyDescent="0.3">
      <c r="A855" t="s">
        <v>2649</v>
      </c>
      <c r="B855" s="5">
        <v>26</v>
      </c>
      <c r="C855" s="5" t="str" cm="1">
        <f t="array" ref="C855">_xlfn.IFS(worksheet[[#This Row],[age]]&lt;25,"1. Young Adulthood (18-24)",worksheet[[#This Row],[age]]&lt; 35,"2. Early Adulthood (25-34)",worksheet[[#This Row],[age]]&lt; 45,"3. Mid Adulthood (35-44)",worksheet[[#This Row],[age]]&lt; 55,"4. Mature Adulthood (45-54)",TRUE,"5. Late Adulthood/Senior (55+)")</f>
        <v>2. Early Adulthood (25-34)</v>
      </c>
      <c r="D855" t="s">
        <v>41</v>
      </c>
      <c r="E855" t="s">
        <v>16</v>
      </c>
      <c r="F855" s="4">
        <v>4.2699999999999996</v>
      </c>
      <c r="G855" s="5">
        <v>36</v>
      </c>
      <c r="H855" t="s">
        <v>33</v>
      </c>
      <c r="I855" t="s">
        <v>46</v>
      </c>
      <c r="J855" s="6">
        <v>8.99</v>
      </c>
      <c r="K855">
        <v>1</v>
      </c>
      <c r="L855" t="s">
        <v>43</v>
      </c>
      <c r="M855" s="5">
        <v>3</v>
      </c>
      <c r="N855" s="4">
        <v>0.12</v>
      </c>
      <c r="O855" t="s">
        <v>20</v>
      </c>
    </row>
    <row r="856" spans="1:15" x14ac:dyDescent="0.3">
      <c r="A856" t="s">
        <v>2651</v>
      </c>
      <c r="B856" s="5">
        <v>32</v>
      </c>
      <c r="C856" s="5" t="str" cm="1">
        <f t="array" ref="C856">_xlfn.IFS(worksheet[[#This Row],[age]]&lt;25,"1. Young Adulthood (18-24)",worksheet[[#This Row],[age]]&lt; 35,"2. Early Adulthood (25-34)",worksheet[[#This Row],[age]]&lt; 45,"3. Mid Adulthood (35-44)",worksheet[[#This Row],[age]]&lt; 55,"4. Mature Adulthood (45-54)",TRUE,"5. Late Adulthood/Senior (55+)")</f>
        <v>2. Early Adulthood (25-34)</v>
      </c>
      <c r="D856" t="s">
        <v>15</v>
      </c>
      <c r="E856" t="s">
        <v>22</v>
      </c>
      <c r="F856" s="4">
        <v>27.77</v>
      </c>
      <c r="G856" s="5">
        <v>2</v>
      </c>
      <c r="H856" t="s">
        <v>33</v>
      </c>
      <c r="I856" t="s">
        <v>57</v>
      </c>
      <c r="J856" s="6">
        <v>13.99</v>
      </c>
      <c r="K856">
        <v>0</v>
      </c>
      <c r="L856" t="s">
        <v>29</v>
      </c>
      <c r="M856" s="5">
        <v>3</v>
      </c>
      <c r="N856" s="4">
        <v>9.26</v>
      </c>
      <c r="O856" t="s">
        <v>25</v>
      </c>
    </row>
    <row r="857" spans="1:15" x14ac:dyDescent="0.3">
      <c r="A857" t="s">
        <v>2652</v>
      </c>
      <c r="B857" s="5">
        <v>24</v>
      </c>
      <c r="C857" s="5" t="str" cm="1">
        <f t="array" ref="C857">_xlfn.IFS(worksheet[[#This Row],[age]]&lt;25,"1. Young Adulthood (18-24)",worksheet[[#This Row],[age]]&lt; 35,"2. Early Adulthood (25-34)",worksheet[[#This Row],[age]]&lt; 45,"3. Mid Adulthood (35-44)",worksheet[[#This Row],[age]]&lt; 55,"4. Mature Adulthood (45-54)",TRUE,"5. Late Adulthood/Senior (55+)")</f>
        <v>1. Young Adulthood (18-24)</v>
      </c>
      <c r="D857" t="s">
        <v>15</v>
      </c>
      <c r="E857" t="s">
        <v>22</v>
      </c>
      <c r="F857" s="4">
        <v>1.57</v>
      </c>
      <c r="G857" s="5">
        <v>16</v>
      </c>
      <c r="H857" t="s">
        <v>17</v>
      </c>
      <c r="I857" t="s">
        <v>46</v>
      </c>
      <c r="J857" s="6">
        <v>13.99</v>
      </c>
      <c r="K857">
        <v>0</v>
      </c>
      <c r="L857" t="s">
        <v>43</v>
      </c>
      <c r="M857" s="5">
        <v>5</v>
      </c>
      <c r="N857" s="4">
        <v>0.09</v>
      </c>
      <c r="O857" t="s">
        <v>52</v>
      </c>
    </row>
    <row r="858" spans="1:15" x14ac:dyDescent="0.3">
      <c r="A858" t="s">
        <v>2653</v>
      </c>
      <c r="B858" s="5">
        <v>24</v>
      </c>
      <c r="C858" s="5" t="str" cm="1">
        <f t="array" ref="C858">_xlfn.IFS(worksheet[[#This Row],[age]]&lt;25,"1. Young Adulthood (18-24)",worksheet[[#This Row],[age]]&lt; 35,"2. Early Adulthood (25-34)",worksheet[[#This Row],[age]]&lt; 45,"3. Mid Adulthood (35-44)",worksheet[[#This Row],[age]]&lt; 55,"4. Mature Adulthood (45-54)",TRUE,"5. Late Adulthood/Senior (55+)")</f>
        <v>1. Young Adulthood (18-24)</v>
      </c>
      <c r="D858" t="s">
        <v>15</v>
      </c>
      <c r="E858" t="s">
        <v>22</v>
      </c>
      <c r="F858" s="4">
        <v>5.4</v>
      </c>
      <c r="G858" s="5">
        <v>7</v>
      </c>
      <c r="H858" t="s">
        <v>28</v>
      </c>
      <c r="I858" t="s">
        <v>46</v>
      </c>
      <c r="J858" s="6">
        <v>13.99</v>
      </c>
      <c r="K858">
        <v>0</v>
      </c>
      <c r="L858" t="s">
        <v>19</v>
      </c>
      <c r="M858" s="5">
        <v>5</v>
      </c>
      <c r="N858" s="4">
        <v>0.68</v>
      </c>
      <c r="O858" t="s">
        <v>25</v>
      </c>
    </row>
    <row r="859" spans="1:15" x14ac:dyDescent="0.3">
      <c r="A859" t="s">
        <v>2654</v>
      </c>
      <c r="B859" s="5">
        <v>31</v>
      </c>
      <c r="C859" s="5" t="str" cm="1">
        <f t="array" ref="C859">_xlfn.IFS(worksheet[[#This Row],[age]]&lt;25,"1. Young Adulthood (18-24)",worksheet[[#This Row],[age]]&lt; 35,"2. Early Adulthood (25-34)",worksheet[[#This Row],[age]]&lt; 45,"3. Mid Adulthood (35-44)",worksheet[[#This Row],[age]]&lt; 55,"4. Mature Adulthood (45-54)",TRUE,"5. Late Adulthood/Senior (55+)")</f>
        <v>2. Early Adulthood (25-34)</v>
      </c>
      <c r="D859" t="s">
        <v>41</v>
      </c>
      <c r="E859" t="s">
        <v>16</v>
      </c>
      <c r="F859" s="4">
        <v>3.86</v>
      </c>
      <c r="G859" s="5">
        <v>8</v>
      </c>
      <c r="H859" t="s">
        <v>23</v>
      </c>
      <c r="I859" t="s">
        <v>18</v>
      </c>
      <c r="J859" s="6">
        <v>8.99</v>
      </c>
      <c r="K859">
        <v>1</v>
      </c>
      <c r="L859" t="s">
        <v>43</v>
      </c>
      <c r="M859" s="5">
        <v>4</v>
      </c>
      <c r="N859" s="4">
        <v>0.43</v>
      </c>
      <c r="O859" t="s">
        <v>20</v>
      </c>
    </row>
    <row r="860" spans="1:15" x14ac:dyDescent="0.3">
      <c r="A860" t="s">
        <v>2655</v>
      </c>
      <c r="B860" s="5">
        <v>34</v>
      </c>
      <c r="C860" s="5" t="str" cm="1">
        <f t="array" ref="C860">_xlfn.IFS(worksheet[[#This Row],[age]]&lt;25,"1. Young Adulthood (18-24)",worksheet[[#This Row],[age]]&lt; 35,"2. Early Adulthood (25-34)",worksheet[[#This Row],[age]]&lt; 45,"3. Mid Adulthood (35-44)",worksheet[[#This Row],[age]]&lt; 55,"4. Mature Adulthood (45-54)",TRUE,"5. Late Adulthood/Senior (55+)")</f>
        <v>2. Early Adulthood (25-34)</v>
      </c>
      <c r="D860" t="s">
        <v>15</v>
      </c>
      <c r="E860" t="s">
        <v>32</v>
      </c>
      <c r="F860" s="4">
        <v>10.51</v>
      </c>
      <c r="G860" s="5">
        <v>13</v>
      </c>
      <c r="H860" t="s">
        <v>23</v>
      </c>
      <c r="I860" t="s">
        <v>55</v>
      </c>
      <c r="J860" s="6">
        <v>17.989999999999998</v>
      </c>
      <c r="K860">
        <v>0</v>
      </c>
      <c r="L860" t="s">
        <v>61</v>
      </c>
      <c r="M860" s="5">
        <v>5</v>
      </c>
      <c r="N860" s="4">
        <v>0.75</v>
      </c>
      <c r="O860" t="s">
        <v>34</v>
      </c>
    </row>
    <row r="861" spans="1:15" x14ac:dyDescent="0.3">
      <c r="A861" t="s">
        <v>2657</v>
      </c>
      <c r="B861" s="5">
        <v>18</v>
      </c>
      <c r="C861" s="5" t="str" cm="1">
        <f t="array" ref="C861">_xlfn.IFS(worksheet[[#This Row],[age]]&lt;25,"1. Young Adulthood (18-24)",worksheet[[#This Row],[age]]&lt; 35,"2. Early Adulthood (25-34)",worksheet[[#This Row],[age]]&lt; 45,"3. Mid Adulthood (35-44)",worksheet[[#This Row],[age]]&lt; 55,"4. Mature Adulthood (45-54)",TRUE,"5. Late Adulthood/Senior (55+)")</f>
        <v>1. Young Adulthood (18-24)</v>
      </c>
      <c r="D861" t="s">
        <v>41</v>
      </c>
      <c r="E861" t="s">
        <v>32</v>
      </c>
      <c r="F861" s="4">
        <v>0.72</v>
      </c>
      <c r="G861" s="5">
        <v>47</v>
      </c>
      <c r="H861" t="s">
        <v>33</v>
      </c>
      <c r="I861" t="s">
        <v>18</v>
      </c>
      <c r="J861" s="6">
        <v>17.989999999999998</v>
      </c>
      <c r="K861">
        <v>1</v>
      </c>
      <c r="L861" t="s">
        <v>29</v>
      </c>
      <c r="M861" s="5">
        <v>3</v>
      </c>
      <c r="N861" s="4">
        <v>0.01</v>
      </c>
      <c r="O861" t="s">
        <v>52</v>
      </c>
    </row>
    <row r="862" spans="1:15" x14ac:dyDescent="0.3">
      <c r="A862" t="s">
        <v>2659</v>
      </c>
      <c r="B862" s="5">
        <v>25</v>
      </c>
      <c r="C862" s="5" t="str" cm="1">
        <f t="array" ref="C862">_xlfn.IFS(worksheet[[#This Row],[age]]&lt;25,"1. Young Adulthood (18-24)",worksheet[[#This Row],[age]]&lt; 35,"2. Early Adulthood (25-34)",worksheet[[#This Row],[age]]&lt; 45,"3. Mid Adulthood (35-44)",worksheet[[#This Row],[age]]&lt; 55,"4. Mature Adulthood (45-54)",TRUE,"5. Late Adulthood/Senior (55+)")</f>
        <v>2. Early Adulthood (25-34)</v>
      </c>
      <c r="D862" t="s">
        <v>27</v>
      </c>
      <c r="E862" t="s">
        <v>16</v>
      </c>
      <c r="F862" s="4">
        <v>4.0199999999999996</v>
      </c>
      <c r="G862" s="5">
        <v>48</v>
      </c>
      <c r="H862" t="s">
        <v>70</v>
      </c>
      <c r="I862" t="s">
        <v>55</v>
      </c>
      <c r="J862" s="6">
        <v>8.99</v>
      </c>
      <c r="K862">
        <v>1</v>
      </c>
      <c r="L862" t="s">
        <v>61</v>
      </c>
      <c r="M862" s="5">
        <v>4</v>
      </c>
      <c r="N862" s="4">
        <v>0.08</v>
      </c>
      <c r="O862" t="s">
        <v>25</v>
      </c>
    </row>
    <row r="863" spans="1:15" x14ac:dyDescent="0.3">
      <c r="A863" t="s">
        <v>2660</v>
      </c>
      <c r="B863" s="5">
        <v>23</v>
      </c>
      <c r="C863" s="5" t="str" cm="1">
        <f t="array" ref="C863">_xlfn.IFS(worksheet[[#This Row],[age]]&lt;25,"1. Young Adulthood (18-24)",worksheet[[#This Row],[age]]&lt; 35,"2. Early Adulthood (25-34)",worksheet[[#This Row],[age]]&lt; 45,"3. Mid Adulthood (35-44)",worksheet[[#This Row],[age]]&lt; 55,"4. Mature Adulthood (45-54)",TRUE,"5. Late Adulthood/Senior (55+)")</f>
        <v>1. Young Adulthood (18-24)</v>
      </c>
      <c r="D863" t="s">
        <v>27</v>
      </c>
      <c r="E863" t="s">
        <v>16</v>
      </c>
      <c r="F863" s="4">
        <v>13.62</v>
      </c>
      <c r="G863" s="5">
        <v>33</v>
      </c>
      <c r="H863" t="s">
        <v>33</v>
      </c>
      <c r="I863" t="s">
        <v>55</v>
      </c>
      <c r="J863" s="6">
        <v>8.99</v>
      </c>
      <c r="K863">
        <v>1</v>
      </c>
      <c r="L863" t="s">
        <v>19</v>
      </c>
      <c r="M863" s="5">
        <v>2</v>
      </c>
      <c r="N863" s="4">
        <v>0.4</v>
      </c>
      <c r="O863" t="s">
        <v>47</v>
      </c>
    </row>
    <row r="864" spans="1:15" x14ac:dyDescent="0.3">
      <c r="A864" t="s">
        <v>2661</v>
      </c>
      <c r="B864" s="5">
        <v>32</v>
      </c>
      <c r="C864" s="5" t="str" cm="1">
        <f t="array" ref="C864">_xlfn.IFS(worksheet[[#This Row],[age]]&lt;25,"1. Young Adulthood (18-24)",worksheet[[#This Row],[age]]&lt; 35,"2. Early Adulthood (25-34)",worksheet[[#This Row],[age]]&lt; 45,"3. Mid Adulthood (35-44)",worksheet[[#This Row],[age]]&lt; 55,"4. Mature Adulthood (45-54)",TRUE,"5. Late Adulthood/Senior (55+)")</f>
        <v>2. Early Adulthood (25-34)</v>
      </c>
      <c r="D864" t="s">
        <v>27</v>
      </c>
      <c r="E864" t="s">
        <v>22</v>
      </c>
      <c r="F864" s="4">
        <v>4.6900000000000004</v>
      </c>
      <c r="G864" s="5">
        <v>48</v>
      </c>
      <c r="H864" t="s">
        <v>49</v>
      </c>
      <c r="I864" t="s">
        <v>46</v>
      </c>
      <c r="J864" s="6">
        <v>13.99</v>
      </c>
      <c r="K864">
        <v>1</v>
      </c>
      <c r="L864" t="s">
        <v>61</v>
      </c>
      <c r="M864" s="5">
        <v>4</v>
      </c>
      <c r="N864" s="4">
        <v>0.1</v>
      </c>
      <c r="O864" t="s">
        <v>25</v>
      </c>
    </row>
    <row r="865" spans="1:15" x14ac:dyDescent="0.3">
      <c r="A865" t="s">
        <v>2662</v>
      </c>
      <c r="B865" s="5">
        <v>19</v>
      </c>
      <c r="C865" s="5" t="str" cm="1">
        <f t="array" ref="C865">_xlfn.IFS(worksheet[[#This Row],[age]]&lt;25,"1. Young Adulthood (18-24)",worksheet[[#This Row],[age]]&lt; 35,"2. Early Adulthood (25-34)",worksheet[[#This Row],[age]]&lt; 45,"3. Mid Adulthood (35-44)",worksheet[[#This Row],[age]]&lt; 55,"4. Mature Adulthood (45-54)",TRUE,"5. Late Adulthood/Senior (55+)")</f>
        <v>1. Young Adulthood (18-24)</v>
      </c>
      <c r="D865" t="s">
        <v>27</v>
      </c>
      <c r="E865" t="s">
        <v>22</v>
      </c>
      <c r="F865" s="4">
        <v>1.68</v>
      </c>
      <c r="G865" s="5">
        <v>6</v>
      </c>
      <c r="H865" t="s">
        <v>70</v>
      </c>
      <c r="I865" t="s">
        <v>46</v>
      </c>
      <c r="J865" s="6">
        <v>13.99</v>
      </c>
      <c r="K865">
        <v>0</v>
      </c>
      <c r="L865" t="s">
        <v>61</v>
      </c>
      <c r="M865" s="5">
        <v>3</v>
      </c>
      <c r="N865" s="4">
        <v>0.24</v>
      </c>
      <c r="O865" t="s">
        <v>52</v>
      </c>
    </row>
    <row r="866" spans="1:15" x14ac:dyDescent="0.3">
      <c r="A866" t="s">
        <v>2663</v>
      </c>
      <c r="B866" s="5">
        <v>21</v>
      </c>
      <c r="C866" s="5" t="str" cm="1">
        <f t="array" ref="C866">_xlfn.IFS(worksheet[[#This Row],[age]]&lt;25,"1. Young Adulthood (18-24)",worksheet[[#This Row],[age]]&lt; 35,"2. Early Adulthood (25-34)",worksheet[[#This Row],[age]]&lt; 45,"3. Mid Adulthood (35-44)",worksheet[[#This Row],[age]]&lt; 55,"4. Mature Adulthood (45-54)",TRUE,"5. Late Adulthood/Senior (55+)")</f>
        <v>1. Young Adulthood (18-24)</v>
      </c>
      <c r="D866" t="s">
        <v>41</v>
      </c>
      <c r="E866" t="s">
        <v>22</v>
      </c>
      <c r="F866" s="4">
        <v>8.69</v>
      </c>
      <c r="G866" s="5">
        <v>22</v>
      </c>
      <c r="H866" t="s">
        <v>49</v>
      </c>
      <c r="I866" t="s">
        <v>55</v>
      </c>
      <c r="J866" s="6">
        <v>13.99</v>
      </c>
      <c r="K866">
        <v>0</v>
      </c>
      <c r="L866" t="s">
        <v>61</v>
      </c>
      <c r="M866" s="5">
        <v>2</v>
      </c>
      <c r="N866" s="4">
        <v>0.38</v>
      </c>
      <c r="O866" t="s">
        <v>34</v>
      </c>
    </row>
    <row r="867" spans="1:15" x14ac:dyDescent="0.3">
      <c r="A867" t="s">
        <v>2668</v>
      </c>
      <c r="B867" s="5">
        <v>33</v>
      </c>
      <c r="C867" s="5" t="str" cm="1">
        <f t="array" ref="C867">_xlfn.IFS(worksheet[[#This Row],[age]]&lt;25,"1. Young Adulthood (18-24)",worksheet[[#This Row],[age]]&lt; 35,"2. Early Adulthood (25-34)",worksheet[[#This Row],[age]]&lt; 45,"3. Mid Adulthood (35-44)",worksheet[[#This Row],[age]]&lt; 55,"4. Mature Adulthood (45-54)",TRUE,"5. Late Adulthood/Senior (55+)")</f>
        <v>2. Early Adulthood (25-34)</v>
      </c>
      <c r="D867" t="s">
        <v>41</v>
      </c>
      <c r="E867" t="s">
        <v>16</v>
      </c>
      <c r="F867" s="4">
        <v>24.4</v>
      </c>
      <c r="G867" s="5">
        <v>35</v>
      </c>
      <c r="H867" t="s">
        <v>23</v>
      </c>
      <c r="I867" t="s">
        <v>18</v>
      </c>
      <c r="J867" s="6">
        <v>8.99</v>
      </c>
      <c r="K867">
        <v>0</v>
      </c>
      <c r="L867" t="s">
        <v>43</v>
      </c>
      <c r="M867" s="5">
        <v>2</v>
      </c>
      <c r="N867" s="4">
        <v>0.68</v>
      </c>
      <c r="O867" t="s">
        <v>30</v>
      </c>
    </row>
    <row r="868" spans="1:15" x14ac:dyDescent="0.3">
      <c r="A868" t="s">
        <v>2669</v>
      </c>
      <c r="B868" s="5">
        <v>23</v>
      </c>
      <c r="C868" s="5" t="str" cm="1">
        <f t="array" ref="C868">_xlfn.IFS(worksheet[[#This Row],[age]]&lt;25,"1. Young Adulthood (18-24)",worksheet[[#This Row],[age]]&lt; 35,"2. Early Adulthood (25-34)",worksheet[[#This Row],[age]]&lt; 45,"3. Mid Adulthood (35-44)",worksheet[[#This Row],[age]]&lt; 55,"4. Mature Adulthood (45-54)",TRUE,"5. Late Adulthood/Senior (55+)")</f>
        <v>1. Young Adulthood (18-24)</v>
      </c>
      <c r="D868" t="s">
        <v>27</v>
      </c>
      <c r="E868" t="s">
        <v>32</v>
      </c>
      <c r="F868" s="4">
        <v>3</v>
      </c>
      <c r="G868" s="5">
        <v>59</v>
      </c>
      <c r="H868" t="s">
        <v>49</v>
      </c>
      <c r="I868" t="s">
        <v>55</v>
      </c>
      <c r="J868" s="6">
        <v>17.989999999999998</v>
      </c>
      <c r="K868">
        <v>1</v>
      </c>
      <c r="L868" t="s">
        <v>29</v>
      </c>
      <c r="M868" s="5">
        <v>5</v>
      </c>
      <c r="N868" s="4">
        <v>0.05</v>
      </c>
      <c r="O868" t="s">
        <v>25</v>
      </c>
    </row>
    <row r="869" spans="1:15" x14ac:dyDescent="0.3">
      <c r="A869" t="s">
        <v>2672</v>
      </c>
      <c r="B869" s="5">
        <v>24</v>
      </c>
      <c r="C869" s="5" t="str" cm="1">
        <f t="array" ref="C869">_xlfn.IFS(worksheet[[#This Row],[age]]&lt;25,"1. Young Adulthood (18-24)",worksheet[[#This Row],[age]]&lt; 35,"2. Early Adulthood (25-34)",worksheet[[#This Row],[age]]&lt; 45,"3. Mid Adulthood (35-44)",worksheet[[#This Row],[age]]&lt; 55,"4. Mature Adulthood (45-54)",TRUE,"5. Late Adulthood/Senior (55+)")</f>
        <v>1. Young Adulthood (18-24)</v>
      </c>
      <c r="D869" t="s">
        <v>27</v>
      </c>
      <c r="E869" t="s">
        <v>22</v>
      </c>
      <c r="F869" s="4">
        <v>12.3</v>
      </c>
      <c r="G869" s="5">
        <v>32</v>
      </c>
      <c r="H869" t="s">
        <v>28</v>
      </c>
      <c r="I869" t="s">
        <v>46</v>
      </c>
      <c r="J869" s="6">
        <v>13.99</v>
      </c>
      <c r="K869">
        <v>1</v>
      </c>
      <c r="L869" t="s">
        <v>19</v>
      </c>
      <c r="M869" s="5">
        <v>4</v>
      </c>
      <c r="N869" s="4">
        <v>0.37</v>
      </c>
      <c r="O869" t="s">
        <v>47</v>
      </c>
    </row>
    <row r="870" spans="1:15" x14ac:dyDescent="0.3">
      <c r="A870" t="s">
        <v>2678</v>
      </c>
      <c r="B870" s="5">
        <v>26</v>
      </c>
      <c r="C870" s="5" t="str" cm="1">
        <f t="array" ref="C870">_xlfn.IFS(worksheet[[#This Row],[age]]&lt;25,"1. Young Adulthood (18-24)",worksheet[[#This Row],[age]]&lt; 35,"2. Early Adulthood (25-34)",worksheet[[#This Row],[age]]&lt; 45,"3. Mid Adulthood (35-44)",worksheet[[#This Row],[age]]&lt; 55,"4. Mature Adulthood (45-54)",TRUE,"5. Late Adulthood/Senior (55+)")</f>
        <v>2. Early Adulthood (25-34)</v>
      </c>
      <c r="D870" t="s">
        <v>41</v>
      </c>
      <c r="E870" t="s">
        <v>22</v>
      </c>
      <c r="F870" s="4">
        <v>24.88</v>
      </c>
      <c r="G870" s="5">
        <v>15</v>
      </c>
      <c r="H870" t="s">
        <v>28</v>
      </c>
      <c r="I870" t="s">
        <v>57</v>
      </c>
      <c r="J870" s="6">
        <v>13.99</v>
      </c>
      <c r="K870">
        <v>0</v>
      </c>
      <c r="L870" t="s">
        <v>19</v>
      </c>
      <c r="M870" s="5">
        <v>1</v>
      </c>
      <c r="N870" s="4">
        <v>1.55</v>
      </c>
      <c r="O870" t="s">
        <v>20</v>
      </c>
    </row>
    <row r="871" spans="1:15" x14ac:dyDescent="0.3">
      <c r="A871" t="s">
        <v>2680</v>
      </c>
      <c r="B871" s="5">
        <v>27</v>
      </c>
      <c r="C871" s="5" t="str" cm="1">
        <f t="array" ref="C871">_xlfn.IFS(worksheet[[#This Row],[age]]&lt;25,"1. Young Adulthood (18-24)",worksheet[[#This Row],[age]]&lt; 35,"2. Early Adulthood (25-34)",worksheet[[#This Row],[age]]&lt; 45,"3. Mid Adulthood (35-44)",worksheet[[#This Row],[age]]&lt; 55,"4. Mature Adulthood (45-54)",TRUE,"5. Late Adulthood/Senior (55+)")</f>
        <v>2. Early Adulthood (25-34)</v>
      </c>
      <c r="D871" t="s">
        <v>27</v>
      </c>
      <c r="E871" t="s">
        <v>16</v>
      </c>
      <c r="F871" s="4">
        <v>7.52</v>
      </c>
      <c r="G871" s="5">
        <v>34</v>
      </c>
      <c r="H871" t="s">
        <v>33</v>
      </c>
      <c r="I871" t="s">
        <v>24</v>
      </c>
      <c r="J871" s="6">
        <v>8.99</v>
      </c>
      <c r="K871">
        <v>1</v>
      </c>
      <c r="L871" t="s">
        <v>29</v>
      </c>
      <c r="M871" s="5">
        <v>5</v>
      </c>
      <c r="N871" s="4">
        <v>0.21</v>
      </c>
      <c r="O871" t="s">
        <v>39</v>
      </c>
    </row>
    <row r="872" spans="1:15" x14ac:dyDescent="0.3">
      <c r="A872" t="s">
        <v>2681</v>
      </c>
      <c r="B872" s="5">
        <v>24</v>
      </c>
      <c r="C872" s="5" t="str" cm="1">
        <f t="array" ref="C872">_xlfn.IFS(worksheet[[#This Row],[age]]&lt;25,"1. Young Adulthood (18-24)",worksheet[[#This Row],[age]]&lt; 35,"2. Early Adulthood (25-34)",worksheet[[#This Row],[age]]&lt; 45,"3. Mid Adulthood (35-44)",worksheet[[#This Row],[age]]&lt; 55,"4. Mature Adulthood (45-54)",TRUE,"5. Late Adulthood/Senior (55+)")</f>
        <v>1. Young Adulthood (18-24)</v>
      </c>
      <c r="D872" t="s">
        <v>15</v>
      </c>
      <c r="E872" t="s">
        <v>22</v>
      </c>
      <c r="F872" s="4">
        <v>17.37</v>
      </c>
      <c r="G872" s="5">
        <v>17</v>
      </c>
      <c r="H872" t="s">
        <v>17</v>
      </c>
      <c r="I872" t="s">
        <v>55</v>
      </c>
      <c r="J872" s="6">
        <v>13.99</v>
      </c>
      <c r="K872">
        <v>0</v>
      </c>
      <c r="L872" t="s">
        <v>37</v>
      </c>
      <c r="M872" s="5">
        <v>1</v>
      </c>
      <c r="N872" s="4">
        <v>0.97</v>
      </c>
      <c r="O872" t="s">
        <v>34</v>
      </c>
    </row>
    <row r="873" spans="1:15" x14ac:dyDescent="0.3">
      <c r="A873" t="s">
        <v>2682</v>
      </c>
      <c r="B873" s="5">
        <v>28</v>
      </c>
      <c r="C873" s="5" t="str" cm="1">
        <f t="array" ref="C873">_xlfn.IFS(worksheet[[#This Row],[age]]&lt;25,"1. Young Adulthood (18-24)",worksheet[[#This Row],[age]]&lt; 35,"2. Early Adulthood (25-34)",worksheet[[#This Row],[age]]&lt; 45,"3. Mid Adulthood (35-44)",worksheet[[#This Row],[age]]&lt; 55,"4. Mature Adulthood (45-54)",TRUE,"5. Late Adulthood/Senior (55+)")</f>
        <v>2. Early Adulthood (25-34)</v>
      </c>
      <c r="D873" t="s">
        <v>41</v>
      </c>
      <c r="E873" t="s">
        <v>16</v>
      </c>
      <c r="F873" s="4">
        <v>25.3</v>
      </c>
      <c r="G873" s="5">
        <v>8</v>
      </c>
      <c r="H873" t="s">
        <v>70</v>
      </c>
      <c r="I873" t="s">
        <v>57</v>
      </c>
      <c r="J873" s="6">
        <v>8.99</v>
      </c>
      <c r="K873">
        <v>0</v>
      </c>
      <c r="L873" t="s">
        <v>19</v>
      </c>
      <c r="M873" s="5">
        <v>5</v>
      </c>
      <c r="N873" s="4">
        <v>2.81</v>
      </c>
      <c r="O873" t="s">
        <v>34</v>
      </c>
    </row>
    <row r="874" spans="1:15" x14ac:dyDescent="0.3">
      <c r="A874" t="s">
        <v>2685</v>
      </c>
      <c r="B874" s="5">
        <v>22</v>
      </c>
      <c r="C874" s="5" t="str" cm="1">
        <f t="array" ref="C874">_xlfn.IFS(worksheet[[#This Row],[age]]&lt;25,"1. Young Adulthood (18-24)",worksheet[[#This Row],[age]]&lt; 35,"2. Early Adulthood (25-34)",worksheet[[#This Row],[age]]&lt; 45,"3. Mid Adulthood (35-44)",worksheet[[#This Row],[age]]&lt; 55,"4. Mature Adulthood (45-54)",TRUE,"5. Late Adulthood/Senior (55+)")</f>
        <v>1. Young Adulthood (18-24)</v>
      </c>
      <c r="D874" t="s">
        <v>15</v>
      </c>
      <c r="E874" t="s">
        <v>16</v>
      </c>
      <c r="F874" s="4">
        <v>11.74</v>
      </c>
      <c r="G874" s="5">
        <v>33</v>
      </c>
      <c r="H874" t="s">
        <v>17</v>
      </c>
      <c r="I874" t="s">
        <v>55</v>
      </c>
      <c r="J874" s="6">
        <v>8.99</v>
      </c>
      <c r="K874">
        <v>1</v>
      </c>
      <c r="L874" t="s">
        <v>29</v>
      </c>
      <c r="M874" s="5">
        <v>2</v>
      </c>
      <c r="N874" s="4">
        <v>0.35</v>
      </c>
      <c r="O874" t="s">
        <v>52</v>
      </c>
    </row>
    <row r="875" spans="1:15" x14ac:dyDescent="0.3">
      <c r="A875" t="s">
        <v>2688</v>
      </c>
      <c r="B875" s="5">
        <v>30</v>
      </c>
      <c r="C875" s="5" t="str" cm="1">
        <f t="array" ref="C875">_xlfn.IFS(worksheet[[#This Row],[age]]&lt;25,"1. Young Adulthood (18-24)",worksheet[[#This Row],[age]]&lt; 35,"2. Early Adulthood (25-34)",worksheet[[#This Row],[age]]&lt; 45,"3. Mid Adulthood (35-44)",worksheet[[#This Row],[age]]&lt; 55,"4. Mature Adulthood (45-54)",TRUE,"5. Late Adulthood/Senior (55+)")</f>
        <v>2. Early Adulthood (25-34)</v>
      </c>
      <c r="D875" t="s">
        <v>41</v>
      </c>
      <c r="E875" t="s">
        <v>16</v>
      </c>
      <c r="F875" s="4">
        <v>1.3</v>
      </c>
      <c r="G875" s="5">
        <v>56</v>
      </c>
      <c r="H875" t="s">
        <v>17</v>
      </c>
      <c r="I875" t="s">
        <v>18</v>
      </c>
      <c r="J875" s="6">
        <v>8.99</v>
      </c>
      <c r="K875">
        <v>1</v>
      </c>
      <c r="L875" t="s">
        <v>61</v>
      </c>
      <c r="M875" s="5">
        <v>1</v>
      </c>
      <c r="N875" s="4">
        <v>0.02</v>
      </c>
      <c r="O875" t="s">
        <v>52</v>
      </c>
    </row>
    <row r="876" spans="1:15" x14ac:dyDescent="0.3">
      <c r="A876" t="s">
        <v>2689</v>
      </c>
      <c r="B876" s="5">
        <v>21</v>
      </c>
      <c r="C876" s="5" t="str" cm="1">
        <f t="array" ref="C876">_xlfn.IFS(worksheet[[#This Row],[age]]&lt;25,"1. Young Adulthood (18-24)",worksheet[[#This Row],[age]]&lt; 35,"2. Early Adulthood (25-34)",worksheet[[#This Row],[age]]&lt; 45,"3. Mid Adulthood (35-44)",worksheet[[#This Row],[age]]&lt; 55,"4. Mature Adulthood (45-54)",TRUE,"5. Late Adulthood/Senior (55+)")</f>
        <v>1. Young Adulthood (18-24)</v>
      </c>
      <c r="D876" t="s">
        <v>41</v>
      </c>
      <c r="E876" t="s">
        <v>22</v>
      </c>
      <c r="F876" s="4">
        <v>51.45</v>
      </c>
      <c r="G876" s="5">
        <v>24</v>
      </c>
      <c r="H876" t="s">
        <v>28</v>
      </c>
      <c r="I876" t="s">
        <v>46</v>
      </c>
      <c r="J876" s="6">
        <v>13.99</v>
      </c>
      <c r="K876">
        <v>0</v>
      </c>
      <c r="L876" t="s">
        <v>61</v>
      </c>
      <c r="M876" s="5">
        <v>1</v>
      </c>
      <c r="N876" s="4">
        <v>2.06</v>
      </c>
      <c r="O876" t="s">
        <v>39</v>
      </c>
    </row>
    <row r="877" spans="1:15" x14ac:dyDescent="0.3">
      <c r="A877" t="s">
        <v>2692</v>
      </c>
      <c r="B877" s="5">
        <v>29</v>
      </c>
      <c r="C877" s="5" t="str" cm="1">
        <f t="array" ref="C877">_xlfn.IFS(worksheet[[#This Row],[age]]&lt;25,"1. Young Adulthood (18-24)",worksheet[[#This Row],[age]]&lt; 35,"2. Early Adulthood (25-34)",worksheet[[#This Row],[age]]&lt; 45,"3. Mid Adulthood (35-44)",worksheet[[#This Row],[age]]&lt; 55,"4. Mature Adulthood (45-54)",TRUE,"5. Late Adulthood/Senior (55+)")</f>
        <v>2. Early Adulthood (25-34)</v>
      </c>
      <c r="D877" t="s">
        <v>15</v>
      </c>
      <c r="E877" t="s">
        <v>16</v>
      </c>
      <c r="F877" s="4">
        <v>15.49</v>
      </c>
      <c r="G877" s="5">
        <v>31</v>
      </c>
      <c r="H877" t="s">
        <v>17</v>
      </c>
      <c r="I877" t="s">
        <v>46</v>
      </c>
      <c r="J877" s="6">
        <v>8.99</v>
      </c>
      <c r="K877">
        <v>1</v>
      </c>
      <c r="L877" t="s">
        <v>19</v>
      </c>
      <c r="M877" s="5">
        <v>3</v>
      </c>
      <c r="N877" s="4">
        <v>0.48</v>
      </c>
      <c r="O877" t="s">
        <v>52</v>
      </c>
    </row>
    <row r="878" spans="1:15" x14ac:dyDescent="0.3">
      <c r="A878" t="s">
        <v>2696</v>
      </c>
      <c r="B878" s="5">
        <v>19</v>
      </c>
      <c r="C878" s="5" t="str" cm="1">
        <f t="array" ref="C878">_xlfn.IFS(worksheet[[#This Row],[age]]&lt;25,"1. Young Adulthood (18-24)",worksheet[[#This Row],[age]]&lt; 35,"2. Early Adulthood (25-34)",worksheet[[#This Row],[age]]&lt; 45,"3. Mid Adulthood (35-44)",worksheet[[#This Row],[age]]&lt; 55,"4. Mature Adulthood (45-54)",TRUE,"5. Late Adulthood/Senior (55+)")</f>
        <v>1. Young Adulthood (18-24)</v>
      </c>
      <c r="D878" t="s">
        <v>27</v>
      </c>
      <c r="E878" t="s">
        <v>22</v>
      </c>
      <c r="F878" s="4">
        <v>8.5399999999999991</v>
      </c>
      <c r="G878" s="5">
        <v>6</v>
      </c>
      <c r="H878" t="s">
        <v>17</v>
      </c>
      <c r="I878" t="s">
        <v>18</v>
      </c>
      <c r="J878" s="6">
        <v>13.99</v>
      </c>
      <c r="K878">
        <v>0</v>
      </c>
      <c r="L878" t="s">
        <v>61</v>
      </c>
      <c r="M878" s="5">
        <v>3</v>
      </c>
      <c r="N878" s="4">
        <v>1.22</v>
      </c>
      <c r="O878" t="s">
        <v>39</v>
      </c>
    </row>
    <row r="879" spans="1:15" x14ac:dyDescent="0.3">
      <c r="A879" t="s">
        <v>2699</v>
      </c>
      <c r="B879" s="5">
        <v>31</v>
      </c>
      <c r="C879" s="5" t="str" cm="1">
        <f t="array" ref="C879">_xlfn.IFS(worksheet[[#This Row],[age]]&lt;25,"1. Young Adulthood (18-24)",worksheet[[#This Row],[age]]&lt; 35,"2. Early Adulthood (25-34)",worksheet[[#This Row],[age]]&lt; 45,"3. Mid Adulthood (35-44)",worksheet[[#This Row],[age]]&lt; 55,"4. Mature Adulthood (45-54)",TRUE,"5. Late Adulthood/Senior (55+)")</f>
        <v>2. Early Adulthood (25-34)</v>
      </c>
      <c r="D879" t="s">
        <v>15</v>
      </c>
      <c r="E879" t="s">
        <v>22</v>
      </c>
      <c r="F879" s="4">
        <v>4.1100000000000003</v>
      </c>
      <c r="G879" s="5">
        <v>33</v>
      </c>
      <c r="H879" t="s">
        <v>70</v>
      </c>
      <c r="I879" t="s">
        <v>18</v>
      </c>
      <c r="J879" s="6">
        <v>13.99</v>
      </c>
      <c r="K879">
        <v>1</v>
      </c>
      <c r="L879" t="s">
        <v>29</v>
      </c>
      <c r="M879" s="5">
        <v>5</v>
      </c>
      <c r="N879" s="4">
        <v>0.12</v>
      </c>
      <c r="O879" t="s">
        <v>30</v>
      </c>
    </row>
    <row r="880" spans="1:15" x14ac:dyDescent="0.3">
      <c r="A880" t="s">
        <v>2712</v>
      </c>
      <c r="B880" s="5">
        <v>33</v>
      </c>
      <c r="C880" s="5" t="str" cm="1">
        <f t="array" ref="C880">_xlfn.IFS(worksheet[[#This Row],[age]]&lt;25,"1. Young Adulthood (18-24)",worksheet[[#This Row],[age]]&lt; 35,"2. Early Adulthood (25-34)",worksheet[[#This Row],[age]]&lt; 45,"3. Mid Adulthood (35-44)",worksheet[[#This Row],[age]]&lt; 55,"4. Mature Adulthood (45-54)",TRUE,"5. Late Adulthood/Senior (55+)")</f>
        <v>2. Early Adulthood (25-34)</v>
      </c>
      <c r="D880" t="s">
        <v>27</v>
      </c>
      <c r="E880" t="s">
        <v>16</v>
      </c>
      <c r="F880" s="4">
        <v>1.96</v>
      </c>
      <c r="G880" s="5">
        <v>18</v>
      </c>
      <c r="H880" t="s">
        <v>23</v>
      </c>
      <c r="I880" t="s">
        <v>57</v>
      </c>
      <c r="J880" s="6">
        <v>8.99</v>
      </c>
      <c r="K880">
        <v>1</v>
      </c>
      <c r="L880" t="s">
        <v>37</v>
      </c>
      <c r="M880" s="5">
        <v>2</v>
      </c>
      <c r="N880" s="4">
        <v>0.1</v>
      </c>
      <c r="O880" t="s">
        <v>20</v>
      </c>
    </row>
    <row r="881" spans="1:15" x14ac:dyDescent="0.3">
      <c r="A881" t="s">
        <v>2713</v>
      </c>
      <c r="B881" s="5">
        <v>24</v>
      </c>
      <c r="C881" s="5" t="str" cm="1">
        <f t="array" ref="C881">_xlfn.IFS(worksheet[[#This Row],[age]]&lt;25,"1. Young Adulthood (18-24)",worksheet[[#This Row],[age]]&lt; 35,"2. Early Adulthood (25-34)",worksheet[[#This Row],[age]]&lt; 45,"3. Mid Adulthood (35-44)",worksheet[[#This Row],[age]]&lt; 55,"4. Mature Adulthood (45-54)",TRUE,"5. Late Adulthood/Senior (55+)")</f>
        <v>1. Young Adulthood (18-24)</v>
      </c>
      <c r="D881" t="s">
        <v>15</v>
      </c>
      <c r="E881" t="s">
        <v>16</v>
      </c>
      <c r="F881" s="4">
        <v>1.97</v>
      </c>
      <c r="G881" s="5">
        <v>39</v>
      </c>
      <c r="H881" t="s">
        <v>33</v>
      </c>
      <c r="I881" t="s">
        <v>24</v>
      </c>
      <c r="J881" s="6">
        <v>8.99</v>
      </c>
      <c r="K881">
        <v>1</v>
      </c>
      <c r="L881" t="s">
        <v>61</v>
      </c>
      <c r="M881" s="5">
        <v>3</v>
      </c>
      <c r="N881" s="4">
        <v>0.05</v>
      </c>
      <c r="O881" t="s">
        <v>34</v>
      </c>
    </row>
    <row r="882" spans="1:15" x14ac:dyDescent="0.3">
      <c r="A882" t="s">
        <v>2715</v>
      </c>
      <c r="B882" s="5">
        <v>25</v>
      </c>
      <c r="C882" s="5" t="str" cm="1">
        <f t="array" ref="C882">_xlfn.IFS(worksheet[[#This Row],[age]]&lt;25,"1. Young Adulthood (18-24)",worksheet[[#This Row],[age]]&lt; 35,"2. Early Adulthood (25-34)",worksheet[[#This Row],[age]]&lt; 45,"3. Mid Adulthood (35-44)",worksheet[[#This Row],[age]]&lt; 55,"4. Mature Adulthood (45-54)",TRUE,"5. Late Adulthood/Senior (55+)")</f>
        <v>2. Early Adulthood (25-34)</v>
      </c>
      <c r="D882" t="s">
        <v>27</v>
      </c>
      <c r="E882" t="s">
        <v>22</v>
      </c>
      <c r="F882" s="4">
        <v>0.09</v>
      </c>
      <c r="G882" s="5">
        <v>40</v>
      </c>
      <c r="H882" t="s">
        <v>70</v>
      </c>
      <c r="I882" t="s">
        <v>18</v>
      </c>
      <c r="J882" s="6">
        <v>13.99</v>
      </c>
      <c r="K882">
        <v>1</v>
      </c>
      <c r="L882" t="s">
        <v>61</v>
      </c>
      <c r="M882" s="5">
        <v>1</v>
      </c>
      <c r="N882" s="4">
        <v>0</v>
      </c>
      <c r="O882" t="s">
        <v>34</v>
      </c>
    </row>
    <row r="883" spans="1:15" x14ac:dyDescent="0.3">
      <c r="A883" t="s">
        <v>2719</v>
      </c>
      <c r="B883" s="5">
        <v>20</v>
      </c>
      <c r="C883" s="5" t="str" cm="1">
        <f t="array" ref="C883">_xlfn.IFS(worksheet[[#This Row],[age]]&lt;25,"1. Young Adulthood (18-24)",worksheet[[#This Row],[age]]&lt; 35,"2. Early Adulthood (25-34)",worksheet[[#This Row],[age]]&lt; 45,"3. Mid Adulthood (35-44)",worksheet[[#This Row],[age]]&lt; 55,"4. Mature Adulthood (45-54)",TRUE,"5. Late Adulthood/Senior (55+)")</f>
        <v>1. Young Adulthood (18-24)</v>
      </c>
      <c r="D883" t="s">
        <v>41</v>
      </c>
      <c r="E883" t="s">
        <v>22</v>
      </c>
      <c r="F883" s="4">
        <v>17.28</v>
      </c>
      <c r="G883" s="5">
        <v>50</v>
      </c>
      <c r="H883" t="s">
        <v>49</v>
      </c>
      <c r="I883" t="s">
        <v>55</v>
      </c>
      <c r="J883" s="6">
        <v>13.99</v>
      </c>
      <c r="K883">
        <v>0</v>
      </c>
      <c r="L883" t="s">
        <v>43</v>
      </c>
      <c r="M883" s="5">
        <v>5</v>
      </c>
      <c r="N883" s="4">
        <v>0.34</v>
      </c>
      <c r="O883" t="s">
        <v>47</v>
      </c>
    </row>
    <row r="884" spans="1:15" x14ac:dyDescent="0.3">
      <c r="A884" t="s">
        <v>2720</v>
      </c>
      <c r="B884" s="5">
        <v>22</v>
      </c>
      <c r="C884" s="5" t="str" cm="1">
        <f t="array" ref="C884">_xlfn.IFS(worksheet[[#This Row],[age]]&lt;25,"1. Young Adulthood (18-24)",worksheet[[#This Row],[age]]&lt; 35,"2. Early Adulthood (25-34)",worksheet[[#This Row],[age]]&lt; 45,"3. Mid Adulthood (35-44)",worksheet[[#This Row],[age]]&lt; 55,"4. Mature Adulthood (45-54)",TRUE,"5. Late Adulthood/Senior (55+)")</f>
        <v>1. Young Adulthood (18-24)</v>
      </c>
      <c r="D884" t="s">
        <v>41</v>
      </c>
      <c r="E884" t="s">
        <v>32</v>
      </c>
      <c r="F884" s="4">
        <v>13.87</v>
      </c>
      <c r="G884" s="5">
        <v>24</v>
      </c>
      <c r="H884" t="s">
        <v>70</v>
      </c>
      <c r="I884" t="s">
        <v>55</v>
      </c>
      <c r="J884" s="6">
        <v>17.989999999999998</v>
      </c>
      <c r="K884">
        <v>0</v>
      </c>
      <c r="L884" t="s">
        <v>61</v>
      </c>
      <c r="M884" s="5">
        <v>5</v>
      </c>
      <c r="N884" s="4">
        <v>0.55000000000000004</v>
      </c>
      <c r="O884" t="s">
        <v>47</v>
      </c>
    </row>
    <row r="885" spans="1:15" x14ac:dyDescent="0.3">
      <c r="A885" t="s">
        <v>2724</v>
      </c>
      <c r="B885" s="5">
        <v>20</v>
      </c>
      <c r="C885" s="5" t="str" cm="1">
        <f t="array" ref="C885">_xlfn.IFS(worksheet[[#This Row],[age]]&lt;25,"1. Young Adulthood (18-24)",worksheet[[#This Row],[age]]&lt; 35,"2. Early Adulthood (25-34)",worksheet[[#This Row],[age]]&lt; 45,"3. Mid Adulthood (35-44)",worksheet[[#This Row],[age]]&lt; 55,"4. Mature Adulthood (45-54)",TRUE,"5. Late Adulthood/Senior (55+)")</f>
        <v>1. Young Adulthood (18-24)</v>
      </c>
      <c r="D885" t="s">
        <v>41</v>
      </c>
      <c r="E885" t="s">
        <v>16</v>
      </c>
      <c r="F885" s="4">
        <v>6.06</v>
      </c>
      <c r="G885" s="5">
        <v>37</v>
      </c>
      <c r="H885" t="s">
        <v>70</v>
      </c>
      <c r="I885" t="s">
        <v>18</v>
      </c>
      <c r="J885" s="6">
        <v>8.99</v>
      </c>
      <c r="K885">
        <v>1</v>
      </c>
      <c r="L885" t="s">
        <v>37</v>
      </c>
      <c r="M885" s="5">
        <v>5</v>
      </c>
      <c r="N885" s="4">
        <v>0.16</v>
      </c>
      <c r="O885" t="s">
        <v>47</v>
      </c>
    </row>
    <row r="886" spans="1:15" x14ac:dyDescent="0.3">
      <c r="A886" t="s">
        <v>2728</v>
      </c>
      <c r="B886" s="5">
        <v>30</v>
      </c>
      <c r="C886" s="5" t="str" cm="1">
        <f t="array" ref="C886">_xlfn.IFS(worksheet[[#This Row],[age]]&lt;25,"1. Young Adulthood (18-24)",worksheet[[#This Row],[age]]&lt; 35,"2. Early Adulthood (25-34)",worksheet[[#This Row],[age]]&lt; 45,"3. Mid Adulthood (35-44)",worksheet[[#This Row],[age]]&lt; 55,"4. Mature Adulthood (45-54)",TRUE,"5. Late Adulthood/Senior (55+)")</f>
        <v>2. Early Adulthood (25-34)</v>
      </c>
      <c r="D886" t="s">
        <v>27</v>
      </c>
      <c r="E886" t="s">
        <v>16</v>
      </c>
      <c r="F886" s="4">
        <v>6.53</v>
      </c>
      <c r="G886" s="5">
        <v>49</v>
      </c>
      <c r="H886" t="s">
        <v>17</v>
      </c>
      <c r="I886" t="s">
        <v>57</v>
      </c>
      <c r="J886" s="6">
        <v>8.99</v>
      </c>
      <c r="K886">
        <v>1</v>
      </c>
      <c r="L886" t="s">
        <v>19</v>
      </c>
      <c r="M886" s="5">
        <v>5</v>
      </c>
      <c r="N886" s="4">
        <v>0.13</v>
      </c>
      <c r="O886" t="s">
        <v>25</v>
      </c>
    </row>
    <row r="887" spans="1:15" x14ac:dyDescent="0.3">
      <c r="A887" t="s">
        <v>2730</v>
      </c>
      <c r="B887" s="5">
        <v>18</v>
      </c>
      <c r="C887" s="5" t="str" cm="1">
        <f t="array" ref="C887">_xlfn.IFS(worksheet[[#This Row],[age]]&lt;25,"1. Young Adulthood (18-24)",worksheet[[#This Row],[age]]&lt; 35,"2. Early Adulthood (25-34)",worksheet[[#This Row],[age]]&lt; 45,"3. Mid Adulthood (35-44)",worksheet[[#This Row],[age]]&lt; 55,"4. Mature Adulthood (45-54)",TRUE,"5. Late Adulthood/Senior (55+)")</f>
        <v>1. Young Adulthood (18-24)</v>
      </c>
      <c r="D887" t="s">
        <v>15</v>
      </c>
      <c r="E887" t="s">
        <v>16</v>
      </c>
      <c r="F887" s="4">
        <v>2.02</v>
      </c>
      <c r="G887" s="5">
        <v>2</v>
      </c>
      <c r="H887" t="s">
        <v>33</v>
      </c>
      <c r="I887" t="s">
        <v>24</v>
      </c>
      <c r="J887" s="6">
        <v>8.99</v>
      </c>
      <c r="K887">
        <v>0</v>
      </c>
      <c r="L887" t="s">
        <v>29</v>
      </c>
      <c r="M887" s="5">
        <v>5</v>
      </c>
      <c r="N887" s="4">
        <v>0.67</v>
      </c>
      <c r="O887" t="s">
        <v>52</v>
      </c>
    </row>
    <row r="888" spans="1:15" x14ac:dyDescent="0.3">
      <c r="A888" t="s">
        <v>2731</v>
      </c>
      <c r="B888" s="5">
        <v>23</v>
      </c>
      <c r="C888" s="5" t="str" cm="1">
        <f t="array" ref="C888">_xlfn.IFS(worksheet[[#This Row],[age]]&lt;25,"1. Young Adulthood (18-24)",worksheet[[#This Row],[age]]&lt; 35,"2. Early Adulthood (25-34)",worksheet[[#This Row],[age]]&lt; 45,"3. Mid Adulthood (35-44)",worksheet[[#This Row],[age]]&lt; 55,"4. Mature Adulthood (45-54)",TRUE,"5. Late Adulthood/Senior (55+)")</f>
        <v>1. Young Adulthood (18-24)</v>
      </c>
      <c r="D888" t="s">
        <v>15</v>
      </c>
      <c r="E888" t="s">
        <v>32</v>
      </c>
      <c r="F888" s="4">
        <v>11.18</v>
      </c>
      <c r="G888" s="5">
        <v>46</v>
      </c>
      <c r="H888" t="s">
        <v>28</v>
      </c>
      <c r="I888" t="s">
        <v>57</v>
      </c>
      <c r="J888" s="6">
        <v>17.989999999999998</v>
      </c>
      <c r="K888">
        <v>0</v>
      </c>
      <c r="L888" t="s">
        <v>37</v>
      </c>
      <c r="M888" s="5">
        <v>4</v>
      </c>
      <c r="N888" s="4">
        <v>0.24</v>
      </c>
      <c r="O888" t="s">
        <v>20</v>
      </c>
    </row>
    <row r="889" spans="1:15" x14ac:dyDescent="0.3">
      <c r="A889" t="s">
        <v>2733</v>
      </c>
      <c r="B889" s="5">
        <v>30</v>
      </c>
      <c r="C889" s="5" t="str" cm="1">
        <f t="array" ref="C889">_xlfn.IFS(worksheet[[#This Row],[age]]&lt;25,"1. Young Adulthood (18-24)",worksheet[[#This Row],[age]]&lt; 35,"2. Early Adulthood (25-34)",worksheet[[#This Row],[age]]&lt; 45,"3. Mid Adulthood (35-44)",worksheet[[#This Row],[age]]&lt; 55,"4. Mature Adulthood (45-54)",TRUE,"5. Late Adulthood/Senior (55+)")</f>
        <v>2. Early Adulthood (25-34)</v>
      </c>
      <c r="D889" t="s">
        <v>41</v>
      </c>
      <c r="E889" t="s">
        <v>32</v>
      </c>
      <c r="F889" s="4">
        <v>24.6</v>
      </c>
      <c r="G889" s="5">
        <v>9</v>
      </c>
      <c r="H889" t="s">
        <v>70</v>
      </c>
      <c r="I889" t="s">
        <v>57</v>
      </c>
      <c r="J889" s="6">
        <v>17.989999999999998</v>
      </c>
      <c r="K889">
        <v>0</v>
      </c>
      <c r="L889" t="s">
        <v>61</v>
      </c>
      <c r="M889" s="5">
        <v>4</v>
      </c>
      <c r="N889" s="4">
        <v>2.46</v>
      </c>
      <c r="O889" t="s">
        <v>52</v>
      </c>
    </row>
    <row r="890" spans="1:15" x14ac:dyDescent="0.3">
      <c r="A890" t="s">
        <v>2735</v>
      </c>
      <c r="B890" s="5">
        <v>31</v>
      </c>
      <c r="C890" s="5" t="str" cm="1">
        <f t="array" ref="C890">_xlfn.IFS(worksheet[[#This Row],[age]]&lt;25,"1. Young Adulthood (18-24)",worksheet[[#This Row],[age]]&lt; 35,"2. Early Adulthood (25-34)",worksheet[[#This Row],[age]]&lt; 45,"3. Mid Adulthood (35-44)",worksheet[[#This Row],[age]]&lt; 55,"4. Mature Adulthood (45-54)",TRUE,"5. Late Adulthood/Senior (55+)")</f>
        <v>2. Early Adulthood (25-34)</v>
      </c>
      <c r="D890" t="s">
        <v>15</v>
      </c>
      <c r="E890" t="s">
        <v>32</v>
      </c>
      <c r="F890" s="4">
        <v>0.62</v>
      </c>
      <c r="G890" s="5">
        <v>39</v>
      </c>
      <c r="H890" t="s">
        <v>23</v>
      </c>
      <c r="I890" t="s">
        <v>57</v>
      </c>
      <c r="J890" s="6">
        <v>17.989999999999998</v>
      </c>
      <c r="K890">
        <v>1</v>
      </c>
      <c r="L890" t="s">
        <v>19</v>
      </c>
      <c r="M890" s="5">
        <v>2</v>
      </c>
      <c r="N890" s="4">
        <v>0.02</v>
      </c>
      <c r="O890" t="s">
        <v>20</v>
      </c>
    </row>
    <row r="891" spans="1:15" x14ac:dyDescent="0.3">
      <c r="A891" t="s">
        <v>2737</v>
      </c>
      <c r="B891" s="5">
        <v>26</v>
      </c>
      <c r="C891" s="5" t="str" cm="1">
        <f t="array" ref="C891">_xlfn.IFS(worksheet[[#This Row],[age]]&lt;25,"1. Young Adulthood (18-24)",worksheet[[#This Row],[age]]&lt; 35,"2. Early Adulthood (25-34)",worksheet[[#This Row],[age]]&lt; 45,"3. Mid Adulthood (35-44)",worksheet[[#This Row],[age]]&lt; 55,"4. Mature Adulthood (45-54)",TRUE,"5. Late Adulthood/Senior (55+)")</f>
        <v>2. Early Adulthood (25-34)</v>
      </c>
      <c r="D891" t="s">
        <v>41</v>
      </c>
      <c r="E891" t="s">
        <v>22</v>
      </c>
      <c r="F891" s="4">
        <v>6.52</v>
      </c>
      <c r="G891" s="5">
        <v>23</v>
      </c>
      <c r="H891" t="s">
        <v>49</v>
      </c>
      <c r="I891" t="s">
        <v>55</v>
      </c>
      <c r="J891" s="6">
        <v>13.99</v>
      </c>
      <c r="K891">
        <v>0</v>
      </c>
      <c r="L891" t="s">
        <v>43</v>
      </c>
      <c r="M891" s="5">
        <v>2</v>
      </c>
      <c r="N891" s="4">
        <v>0.27</v>
      </c>
      <c r="O891" t="s">
        <v>47</v>
      </c>
    </row>
    <row r="892" spans="1:15" x14ac:dyDescent="0.3">
      <c r="A892" t="s">
        <v>2742</v>
      </c>
      <c r="B892" s="5">
        <v>26</v>
      </c>
      <c r="C892" s="5" t="str" cm="1">
        <f t="array" ref="C892">_xlfn.IFS(worksheet[[#This Row],[age]]&lt;25,"1. Young Adulthood (18-24)",worksheet[[#This Row],[age]]&lt; 35,"2. Early Adulthood (25-34)",worksheet[[#This Row],[age]]&lt; 45,"3. Mid Adulthood (35-44)",worksheet[[#This Row],[age]]&lt; 55,"4. Mature Adulthood (45-54)",TRUE,"5. Late Adulthood/Senior (55+)")</f>
        <v>2. Early Adulthood (25-34)</v>
      </c>
      <c r="D892" t="s">
        <v>15</v>
      </c>
      <c r="E892" t="s">
        <v>16</v>
      </c>
      <c r="F892" s="4">
        <v>0.94</v>
      </c>
      <c r="G892" s="5">
        <v>30</v>
      </c>
      <c r="H892" t="s">
        <v>23</v>
      </c>
      <c r="I892" t="s">
        <v>55</v>
      </c>
      <c r="J892" s="6">
        <v>8.99</v>
      </c>
      <c r="K892">
        <v>1</v>
      </c>
      <c r="L892" t="s">
        <v>61</v>
      </c>
      <c r="M892" s="5">
        <v>4</v>
      </c>
      <c r="N892" s="4">
        <v>0.03</v>
      </c>
      <c r="O892" t="s">
        <v>30</v>
      </c>
    </row>
    <row r="893" spans="1:15" x14ac:dyDescent="0.3">
      <c r="A893" t="s">
        <v>2746</v>
      </c>
      <c r="B893" s="5">
        <v>28</v>
      </c>
      <c r="C893" s="5" t="str" cm="1">
        <f t="array" ref="C893">_xlfn.IFS(worksheet[[#This Row],[age]]&lt;25,"1. Young Adulthood (18-24)",worksheet[[#This Row],[age]]&lt; 35,"2. Early Adulthood (25-34)",worksheet[[#This Row],[age]]&lt; 45,"3. Mid Adulthood (35-44)",worksheet[[#This Row],[age]]&lt; 55,"4. Mature Adulthood (45-54)",TRUE,"5. Late Adulthood/Senior (55+)")</f>
        <v>2. Early Adulthood (25-34)</v>
      </c>
      <c r="D893" t="s">
        <v>41</v>
      </c>
      <c r="E893" t="s">
        <v>32</v>
      </c>
      <c r="F893" s="4">
        <v>16.88</v>
      </c>
      <c r="G893" s="5">
        <v>20</v>
      </c>
      <c r="H893" t="s">
        <v>33</v>
      </c>
      <c r="I893" t="s">
        <v>24</v>
      </c>
      <c r="J893" s="6">
        <v>17.989999999999998</v>
      </c>
      <c r="K893">
        <v>0</v>
      </c>
      <c r="L893" t="s">
        <v>43</v>
      </c>
      <c r="M893" s="5">
        <v>2</v>
      </c>
      <c r="N893" s="4">
        <v>0.8</v>
      </c>
      <c r="O893" t="s">
        <v>25</v>
      </c>
    </row>
    <row r="894" spans="1:15" x14ac:dyDescent="0.3">
      <c r="A894" t="s">
        <v>2748</v>
      </c>
      <c r="B894" s="5">
        <v>19</v>
      </c>
      <c r="C894" s="5" t="str" cm="1">
        <f t="array" ref="C894">_xlfn.IFS(worksheet[[#This Row],[age]]&lt;25,"1. Young Adulthood (18-24)",worksheet[[#This Row],[age]]&lt; 35,"2. Early Adulthood (25-34)",worksheet[[#This Row],[age]]&lt; 45,"3. Mid Adulthood (35-44)",worksheet[[#This Row],[age]]&lt; 55,"4. Mature Adulthood (45-54)",TRUE,"5. Late Adulthood/Senior (55+)")</f>
        <v>1. Young Adulthood (18-24)</v>
      </c>
      <c r="D894" t="s">
        <v>41</v>
      </c>
      <c r="E894" t="s">
        <v>16</v>
      </c>
      <c r="F894" s="4">
        <v>23.08</v>
      </c>
      <c r="G894" s="5">
        <v>15</v>
      </c>
      <c r="H894" t="s">
        <v>17</v>
      </c>
      <c r="I894" t="s">
        <v>55</v>
      </c>
      <c r="J894" s="6">
        <v>8.99</v>
      </c>
      <c r="K894">
        <v>0</v>
      </c>
      <c r="L894" t="s">
        <v>19</v>
      </c>
      <c r="M894" s="5">
        <v>3</v>
      </c>
      <c r="N894" s="4">
        <v>1.44</v>
      </c>
      <c r="O894" t="s">
        <v>47</v>
      </c>
    </row>
    <row r="895" spans="1:15" x14ac:dyDescent="0.3">
      <c r="A895" s="1" t="s">
        <v>2749</v>
      </c>
      <c r="B895" s="5">
        <v>32</v>
      </c>
      <c r="C895" s="5" t="str" cm="1">
        <f t="array" ref="C895">_xlfn.IFS(worksheet[[#This Row],[age]]&lt;25,"1. Young Adulthood (18-24)",worksheet[[#This Row],[age]]&lt; 35,"2. Early Adulthood (25-34)",worksheet[[#This Row],[age]]&lt; 45,"3. Mid Adulthood (35-44)",worksheet[[#This Row],[age]]&lt; 55,"4. Mature Adulthood (45-54)",TRUE,"5. Late Adulthood/Senior (55+)")</f>
        <v>2. Early Adulthood (25-34)</v>
      </c>
      <c r="D895" t="s">
        <v>15</v>
      </c>
      <c r="E895" t="s">
        <v>16</v>
      </c>
      <c r="F895" s="4">
        <v>14.84</v>
      </c>
      <c r="G895" s="5">
        <v>10</v>
      </c>
      <c r="H895" t="s">
        <v>23</v>
      </c>
      <c r="I895" t="s">
        <v>55</v>
      </c>
      <c r="J895" s="6">
        <v>8.99</v>
      </c>
      <c r="K895">
        <v>0</v>
      </c>
      <c r="L895" t="s">
        <v>29</v>
      </c>
      <c r="M895" s="5">
        <v>2</v>
      </c>
      <c r="N895" s="4">
        <v>1.35</v>
      </c>
      <c r="O895" t="s">
        <v>25</v>
      </c>
    </row>
    <row r="896" spans="1:15" x14ac:dyDescent="0.3">
      <c r="A896" t="s">
        <v>2752</v>
      </c>
      <c r="B896" s="5">
        <v>24</v>
      </c>
      <c r="C896" s="5" t="str" cm="1">
        <f t="array" ref="C896">_xlfn.IFS(worksheet[[#This Row],[age]]&lt;25,"1. Young Adulthood (18-24)",worksheet[[#This Row],[age]]&lt; 35,"2. Early Adulthood (25-34)",worksheet[[#This Row],[age]]&lt; 45,"3. Mid Adulthood (35-44)",worksheet[[#This Row],[age]]&lt; 55,"4. Mature Adulthood (45-54)",TRUE,"5. Late Adulthood/Senior (55+)")</f>
        <v>1. Young Adulthood (18-24)</v>
      </c>
      <c r="D896" t="s">
        <v>27</v>
      </c>
      <c r="E896" t="s">
        <v>16</v>
      </c>
      <c r="F896" s="4">
        <v>1.42</v>
      </c>
      <c r="G896" s="5">
        <v>40</v>
      </c>
      <c r="H896" t="s">
        <v>33</v>
      </c>
      <c r="I896" t="s">
        <v>24</v>
      </c>
      <c r="J896" s="6">
        <v>8.99</v>
      </c>
      <c r="K896">
        <v>1</v>
      </c>
      <c r="L896" t="s">
        <v>37</v>
      </c>
      <c r="M896" s="5">
        <v>4</v>
      </c>
      <c r="N896" s="4">
        <v>0.03</v>
      </c>
      <c r="O896" t="s">
        <v>39</v>
      </c>
    </row>
    <row r="897" spans="1:15" x14ac:dyDescent="0.3">
      <c r="A897" t="s">
        <v>2753</v>
      </c>
      <c r="B897" s="5">
        <v>24</v>
      </c>
      <c r="C897" s="5" t="str" cm="1">
        <f t="array" ref="C897">_xlfn.IFS(worksheet[[#This Row],[age]]&lt;25,"1. Young Adulthood (18-24)",worksheet[[#This Row],[age]]&lt; 35,"2. Early Adulthood (25-34)",worksheet[[#This Row],[age]]&lt; 45,"3. Mid Adulthood (35-44)",worksheet[[#This Row],[age]]&lt; 55,"4. Mature Adulthood (45-54)",TRUE,"5. Late Adulthood/Senior (55+)")</f>
        <v>1. Young Adulthood (18-24)</v>
      </c>
      <c r="D897" t="s">
        <v>41</v>
      </c>
      <c r="E897" t="s">
        <v>16</v>
      </c>
      <c r="F897" s="4">
        <v>0.9</v>
      </c>
      <c r="G897" s="5">
        <v>40</v>
      </c>
      <c r="H897" t="s">
        <v>23</v>
      </c>
      <c r="I897" t="s">
        <v>46</v>
      </c>
      <c r="J897" s="6">
        <v>8.99</v>
      </c>
      <c r="K897">
        <v>1</v>
      </c>
      <c r="L897" t="s">
        <v>19</v>
      </c>
      <c r="M897" s="5">
        <v>5</v>
      </c>
      <c r="N897" s="4">
        <v>0.02</v>
      </c>
      <c r="O897" t="s">
        <v>52</v>
      </c>
    </row>
    <row r="898" spans="1:15" x14ac:dyDescent="0.3">
      <c r="A898" t="s">
        <v>2757</v>
      </c>
      <c r="B898" s="5">
        <v>32</v>
      </c>
      <c r="C898" s="5" t="str" cm="1">
        <f t="array" ref="C898">_xlfn.IFS(worksheet[[#This Row],[age]]&lt;25,"1. Young Adulthood (18-24)",worksheet[[#This Row],[age]]&lt; 35,"2. Early Adulthood (25-34)",worksheet[[#This Row],[age]]&lt; 45,"3. Mid Adulthood (35-44)",worksheet[[#This Row],[age]]&lt; 55,"4. Mature Adulthood (45-54)",TRUE,"5. Late Adulthood/Senior (55+)")</f>
        <v>2. Early Adulthood (25-34)</v>
      </c>
      <c r="D898" t="s">
        <v>15</v>
      </c>
      <c r="E898" t="s">
        <v>32</v>
      </c>
      <c r="F898" s="4">
        <v>4.6900000000000004</v>
      </c>
      <c r="G898" s="5">
        <v>12</v>
      </c>
      <c r="H898" t="s">
        <v>28</v>
      </c>
      <c r="I898" t="s">
        <v>24</v>
      </c>
      <c r="J898" s="6">
        <v>17.989999999999998</v>
      </c>
      <c r="K898">
        <v>1</v>
      </c>
      <c r="L898" t="s">
        <v>61</v>
      </c>
      <c r="M898" s="5">
        <v>3</v>
      </c>
      <c r="N898" s="4">
        <v>0.36</v>
      </c>
      <c r="O898" t="s">
        <v>52</v>
      </c>
    </row>
    <row r="899" spans="1:15" x14ac:dyDescent="0.3">
      <c r="A899" t="s">
        <v>2760</v>
      </c>
      <c r="B899" s="5">
        <v>34</v>
      </c>
      <c r="C899" s="5" t="str" cm="1">
        <f t="array" ref="C899">_xlfn.IFS(worksheet[[#This Row],[age]]&lt;25,"1. Young Adulthood (18-24)",worksheet[[#This Row],[age]]&lt; 35,"2. Early Adulthood (25-34)",worksheet[[#This Row],[age]]&lt; 45,"3. Mid Adulthood (35-44)",worksheet[[#This Row],[age]]&lt; 55,"4. Mature Adulthood (45-54)",TRUE,"5. Late Adulthood/Senior (55+)")</f>
        <v>2. Early Adulthood (25-34)</v>
      </c>
      <c r="D899" t="s">
        <v>41</v>
      </c>
      <c r="E899" t="s">
        <v>22</v>
      </c>
      <c r="F899" s="4">
        <v>2.89</v>
      </c>
      <c r="G899" s="5">
        <v>36</v>
      </c>
      <c r="H899" t="s">
        <v>70</v>
      </c>
      <c r="I899" t="s">
        <v>18</v>
      </c>
      <c r="J899" s="6">
        <v>13.99</v>
      </c>
      <c r="K899">
        <v>1</v>
      </c>
      <c r="L899" t="s">
        <v>37</v>
      </c>
      <c r="M899" s="5">
        <v>3</v>
      </c>
      <c r="N899" s="4">
        <v>0.08</v>
      </c>
      <c r="O899" t="s">
        <v>25</v>
      </c>
    </row>
    <row r="900" spans="1:15" x14ac:dyDescent="0.3">
      <c r="A900" t="s">
        <v>2761</v>
      </c>
      <c r="B900" s="5">
        <v>21</v>
      </c>
      <c r="C900" s="5" t="str" cm="1">
        <f t="array" ref="C900">_xlfn.IFS(worksheet[[#This Row],[age]]&lt;25,"1. Young Adulthood (18-24)",worksheet[[#This Row],[age]]&lt; 35,"2. Early Adulthood (25-34)",worksheet[[#This Row],[age]]&lt; 45,"3. Mid Adulthood (35-44)",worksheet[[#This Row],[age]]&lt; 55,"4. Mature Adulthood (45-54)",TRUE,"5. Late Adulthood/Senior (55+)")</f>
        <v>1. Young Adulthood (18-24)</v>
      </c>
      <c r="D900" t="s">
        <v>27</v>
      </c>
      <c r="E900" t="s">
        <v>16</v>
      </c>
      <c r="F900" s="4">
        <v>23.78</v>
      </c>
      <c r="G900" s="5">
        <v>9</v>
      </c>
      <c r="H900" t="s">
        <v>33</v>
      </c>
      <c r="I900" t="s">
        <v>46</v>
      </c>
      <c r="J900" s="6">
        <v>8.99</v>
      </c>
      <c r="K900">
        <v>0</v>
      </c>
      <c r="L900" t="s">
        <v>61</v>
      </c>
      <c r="M900" s="5">
        <v>3</v>
      </c>
      <c r="N900" s="4">
        <v>2.38</v>
      </c>
      <c r="O900" t="s">
        <v>39</v>
      </c>
    </row>
    <row r="901" spans="1:15" x14ac:dyDescent="0.3">
      <c r="A901" t="s">
        <v>2769</v>
      </c>
      <c r="B901" s="5">
        <v>33</v>
      </c>
      <c r="C901" s="5" t="str" cm="1">
        <f t="array" ref="C901">_xlfn.IFS(worksheet[[#This Row],[age]]&lt;25,"1. Young Adulthood (18-24)",worksheet[[#This Row],[age]]&lt; 35,"2. Early Adulthood (25-34)",worksheet[[#This Row],[age]]&lt; 45,"3. Mid Adulthood (35-44)",worksheet[[#This Row],[age]]&lt; 55,"4. Mature Adulthood (45-54)",TRUE,"5. Late Adulthood/Senior (55+)")</f>
        <v>2. Early Adulthood (25-34)</v>
      </c>
      <c r="D901" t="s">
        <v>27</v>
      </c>
      <c r="E901" t="s">
        <v>22</v>
      </c>
      <c r="F901" s="4">
        <v>26.73</v>
      </c>
      <c r="G901" s="5">
        <v>28</v>
      </c>
      <c r="H901" t="s">
        <v>28</v>
      </c>
      <c r="I901" t="s">
        <v>55</v>
      </c>
      <c r="J901" s="6">
        <v>13.99</v>
      </c>
      <c r="K901">
        <v>0</v>
      </c>
      <c r="L901" t="s">
        <v>19</v>
      </c>
      <c r="M901" s="5">
        <v>3</v>
      </c>
      <c r="N901" s="4">
        <v>0.92</v>
      </c>
      <c r="O901" t="s">
        <v>34</v>
      </c>
    </row>
    <row r="902" spans="1:15" x14ac:dyDescent="0.3">
      <c r="A902" t="s">
        <v>2772</v>
      </c>
      <c r="B902" s="5">
        <v>30</v>
      </c>
      <c r="C902" s="5" t="str" cm="1">
        <f t="array" ref="C902">_xlfn.IFS(worksheet[[#This Row],[age]]&lt;25,"1. Young Adulthood (18-24)",worksheet[[#This Row],[age]]&lt; 35,"2. Early Adulthood (25-34)",worksheet[[#This Row],[age]]&lt; 45,"3. Mid Adulthood (35-44)",worksheet[[#This Row],[age]]&lt; 55,"4. Mature Adulthood (45-54)",TRUE,"5. Late Adulthood/Senior (55+)")</f>
        <v>2. Early Adulthood (25-34)</v>
      </c>
      <c r="D902" t="s">
        <v>27</v>
      </c>
      <c r="E902" t="s">
        <v>22</v>
      </c>
      <c r="F902" s="4">
        <v>19.84</v>
      </c>
      <c r="G902" s="5">
        <v>29</v>
      </c>
      <c r="H902" t="s">
        <v>17</v>
      </c>
      <c r="I902" t="s">
        <v>18</v>
      </c>
      <c r="J902" s="6">
        <v>13.99</v>
      </c>
      <c r="K902">
        <v>0</v>
      </c>
      <c r="L902" t="s">
        <v>37</v>
      </c>
      <c r="M902" s="5">
        <v>1</v>
      </c>
      <c r="N902" s="4">
        <v>0.66</v>
      </c>
      <c r="O902" t="s">
        <v>30</v>
      </c>
    </row>
    <row r="903" spans="1:15" x14ac:dyDescent="0.3">
      <c r="A903" t="s">
        <v>2775</v>
      </c>
      <c r="B903" s="5">
        <v>22</v>
      </c>
      <c r="C903" s="5" t="str" cm="1">
        <f t="array" ref="C903">_xlfn.IFS(worksheet[[#This Row],[age]]&lt;25,"1. Young Adulthood (18-24)",worksheet[[#This Row],[age]]&lt; 35,"2. Early Adulthood (25-34)",worksheet[[#This Row],[age]]&lt; 45,"3. Mid Adulthood (35-44)",worksheet[[#This Row],[age]]&lt; 55,"4. Mature Adulthood (45-54)",TRUE,"5. Late Adulthood/Senior (55+)")</f>
        <v>1. Young Adulthood (18-24)</v>
      </c>
      <c r="D903" t="s">
        <v>15</v>
      </c>
      <c r="E903" t="s">
        <v>16</v>
      </c>
      <c r="F903" s="4">
        <v>29.96</v>
      </c>
      <c r="G903" s="5">
        <v>43</v>
      </c>
      <c r="H903" t="s">
        <v>70</v>
      </c>
      <c r="I903" t="s">
        <v>18</v>
      </c>
      <c r="J903" s="6">
        <v>8.99</v>
      </c>
      <c r="K903">
        <v>0</v>
      </c>
      <c r="L903" t="s">
        <v>29</v>
      </c>
      <c r="M903" s="5">
        <v>5</v>
      </c>
      <c r="N903" s="4">
        <v>0.68</v>
      </c>
      <c r="O903" t="s">
        <v>39</v>
      </c>
    </row>
    <row r="904" spans="1:15" x14ac:dyDescent="0.3">
      <c r="A904" t="s">
        <v>2779</v>
      </c>
      <c r="B904" s="5">
        <v>27</v>
      </c>
      <c r="C904" s="5" t="str" cm="1">
        <f t="array" ref="C904">_xlfn.IFS(worksheet[[#This Row],[age]]&lt;25,"1. Young Adulthood (18-24)",worksheet[[#This Row],[age]]&lt; 35,"2. Early Adulthood (25-34)",worksheet[[#This Row],[age]]&lt; 45,"3. Mid Adulthood (35-44)",worksheet[[#This Row],[age]]&lt; 55,"4. Mature Adulthood (45-54)",TRUE,"5. Late Adulthood/Senior (55+)")</f>
        <v>2. Early Adulthood (25-34)</v>
      </c>
      <c r="D904" t="s">
        <v>15</v>
      </c>
      <c r="E904" t="s">
        <v>22</v>
      </c>
      <c r="F904" s="4">
        <v>3.92</v>
      </c>
      <c r="G904" s="5">
        <v>56</v>
      </c>
      <c r="H904" t="s">
        <v>33</v>
      </c>
      <c r="I904" t="s">
        <v>55</v>
      </c>
      <c r="J904" s="6">
        <v>13.99</v>
      </c>
      <c r="K904">
        <v>1</v>
      </c>
      <c r="L904" t="s">
        <v>37</v>
      </c>
      <c r="M904" s="5">
        <v>1</v>
      </c>
      <c r="N904" s="4">
        <v>7.0000000000000007E-2</v>
      </c>
      <c r="O904" t="s">
        <v>30</v>
      </c>
    </row>
    <row r="905" spans="1:15" x14ac:dyDescent="0.3">
      <c r="A905" t="s">
        <v>2782</v>
      </c>
      <c r="B905" s="5">
        <v>19</v>
      </c>
      <c r="C905" s="5" t="str" cm="1">
        <f t="array" ref="C905">_xlfn.IFS(worksheet[[#This Row],[age]]&lt;25,"1. Young Adulthood (18-24)",worksheet[[#This Row],[age]]&lt; 35,"2. Early Adulthood (25-34)",worksheet[[#This Row],[age]]&lt; 45,"3. Mid Adulthood (35-44)",worksheet[[#This Row],[age]]&lt; 55,"4. Mature Adulthood (45-54)",TRUE,"5. Late Adulthood/Senior (55+)")</f>
        <v>1. Young Adulthood (18-24)</v>
      </c>
      <c r="D905" t="s">
        <v>15</v>
      </c>
      <c r="E905" t="s">
        <v>32</v>
      </c>
      <c r="F905" s="4">
        <v>0.4</v>
      </c>
      <c r="G905" s="5">
        <v>15</v>
      </c>
      <c r="H905" t="s">
        <v>49</v>
      </c>
      <c r="I905" t="s">
        <v>24</v>
      </c>
      <c r="J905" s="6">
        <v>17.989999999999998</v>
      </c>
      <c r="K905">
        <v>1</v>
      </c>
      <c r="L905" t="s">
        <v>19</v>
      </c>
      <c r="M905" s="5">
        <v>1</v>
      </c>
      <c r="N905" s="4">
        <v>0.03</v>
      </c>
      <c r="O905" t="s">
        <v>25</v>
      </c>
    </row>
    <row r="906" spans="1:15" x14ac:dyDescent="0.3">
      <c r="A906" t="s">
        <v>2783</v>
      </c>
      <c r="B906" s="5">
        <v>29</v>
      </c>
      <c r="C906" s="5" t="str" cm="1">
        <f t="array" ref="C906">_xlfn.IFS(worksheet[[#This Row],[age]]&lt;25,"1. Young Adulthood (18-24)",worksheet[[#This Row],[age]]&lt; 35,"2. Early Adulthood (25-34)",worksheet[[#This Row],[age]]&lt; 45,"3. Mid Adulthood (35-44)",worksheet[[#This Row],[age]]&lt; 55,"4. Mature Adulthood (45-54)",TRUE,"5. Late Adulthood/Senior (55+)")</f>
        <v>2. Early Adulthood (25-34)</v>
      </c>
      <c r="D906" t="s">
        <v>15</v>
      </c>
      <c r="E906" t="s">
        <v>22</v>
      </c>
      <c r="F906" s="4">
        <v>2.33</v>
      </c>
      <c r="G906" s="5">
        <v>56</v>
      </c>
      <c r="H906" t="s">
        <v>28</v>
      </c>
      <c r="I906" t="s">
        <v>55</v>
      </c>
      <c r="J906" s="6">
        <v>13.99</v>
      </c>
      <c r="K906">
        <v>1</v>
      </c>
      <c r="L906" t="s">
        <v>29</v>
      </c>
      <c r="M906" s="5">
        <v>2</v>
      </c>
      <c r="N906" s="4">
        <v>0.04</v>
      </c>
      <c r="O906" t="s">
        <v>25</v>
      </c>
    </row>
    <row r="907" spans="1:15" x14ac:dyDescent="0.3">
      <c r="A907" t="s">
        <v>2784</v>
      </c>
      <c r="B907" s="5">
        <v>33</v>
      </c>
      <c r="C907" s="5" t="str" cm="1">
        <f t="array" ref="C907">_xlfn.IFS(worksheet[[#This Row],[age]]&lt;25,"1. Young Adulthood (18-24)",worksheet[[#This Row],[age]]&lt; 35,"2. Early Adulthood (25-34)",worksheet[[#This Row],[age]]&lt; 45,"3. Mid Adulthood (35-44)",worksheet[[#This Row],[age]]&lt; 55,"4. Mature Adulthood (45-54)",TRUE,"5. Late Adulthood/Senior (55+)")</f>
        <v>2. Early Adulthood (25-34)</v>
      </c>
      <c r="D907" t="s">
        <v>41</v>
      </c>
      <c r="E907" t="s">
        <v>32</v>
      </c>
      <c r="F907" s="4">
        <v>1.98</v>
      </c>
      <c r="G907" s="5">
        <v>5</v>
      </c>
      <c r="H907" t="s">
        <v>23</v>
      </c>
      <c r="I907" t="s">
        <v>55</v>
      </c>
      <c r="J907" s="6">
        <v>17.989999999999998</v>
      </c>
      <c r="K907">
        <v>0</v>
      </c>
      <c r="L907" t="s">
        <v>61</v>
      </c>
      <c r="M907" s="5">
        <v>2</v>
      </c>
      <c r="N907" s="4">
        <v>0.33</v>
      </c>
      <c r="O907" t="s">
        <v>25</v>
      </c>
    </row>
    <row r="908" spans="1:15" x14ac:dyDescent="0.3">
      <c r="A908" t="s">
        <v>2788</v>
      </c>
      <c r="B908" s="5">
        <v>19</v>
      </c>
      <c r="C908" s="5" t="str" cm="1">
        <f t="array" ref="C908">_xlfn.IFS(worksheet[[#This Row],[age]]&lt;25,"1. Young Adulthood (18-24)",worksheet[[#This Row],[age]]&lt; 35,"2. Early Adulthood (25-34)",worksheet[[#This Row],[age]]&lt; 45,"3. Mid Adulthood (35-44)",worksheet[[#This Row],[age]]&lt; 55,"4. Mature Adulthood (45-54)",TRUE,"5. Late Adulthood/Senior (55+)")</f>
        <v>1. Young Adulthood (18-24)</v>
      </c>
      <c r="D908" t="s">
        <v>41</v>
      </c>
      <c r="E908" t="s">
        <v>16</v>
      </c>
      <c r="F908" s="4">
        <v>15.61</v>
      </c>
      <c r="G908" s="5">
        <v>8</v>
      </c>
      <c r="H908" t="s">
        <v>17</v>
      </c>
      <c r="I908" t="s">
        <v>57</v>
      </c>
      <c r="J908" s="6">
        <v>8.99</v>
      </c>
      <c r="K908">
        <v>0</v>
      </c>
      <c r="L908" t="s">
        <v>29</v>
      </c>
      <c r="M908" s="5">
        <v>2</v>
      </c>
      <c r="N908" s="4">
        <v>1.73</v>
      </c>
      <c r="O908" t="s">
        <v>34</v>
      </c>
    </row>
    <row r="909" spans="1:15" x14ac:dyDescent="0.3">
      <c r="A909" t="s">
        <v>2789</v>
      </c>
      <c r="B909" s="5">
        <v>20</v>
      </c>
      <c r="C909" s="5" t="str" cm="1">
        <f t="array" ref="C909">_xlfn.IFS(worksheet[[#This Row],[age]]&lt;25,"1. Young Adulthood (18-24)",worksheet[[#This Row],[age]]&lt; 35,"2. Early Adulthood (25-34)",worksheet[[#This Row],[age]]&lt; 45,"3. Mid Adulthood (35-44)",worksheet[[#This Row],[age]]&lt; 55,"4. Mature Adulthood (45-54)",TRUE,"5. Late Adulthood/Senior (55+)")</f>
        <v>1. Young Adulthood (18-24)</v>
      </c>
      <c r="D909" t="s">
        <v>27</v>
      </c>
      <c r="E909" t="s">
        <v>32</v>
      </c>
      <c r="F909" s="4">
        <v>27.16</v>
      </c>
      <c r="G909" s="5">
        <v>53</v>
      </c>
      <c r="H909" t="s">
        <v>49</v>
      </c>
      <c r="I909" t="s">
        <v>57</v>
      </c>
      <c r="J909" s="6">
        <v>17.989999999999998</v>
      </c>
      <c r="K909">
        <v>0</v>
      </c>
      <c r="L909" t="s">
        <v>61</v>
      </c>
      <c r="M909" s="5">
        <v>1</v>
      </c>
      <c r="N909" s="4">
        <v>0.5</v>
      </c>
      <c r="O909" t="s">
        <v>52</v>
      </c>
    </row>
    <row r="910" spans="1:15" x14ac:dyDescent="0.3">
      <c r="A910" t="s">
        <v>2795</v>
      </c>
      <c r="B910" s="5">
        <v>33</v>
      </c>
      <c r="C910" s="5" t="str" cm="1">
        <f t="array" ref="C910">_xlfn.IFS(worksheet[[#This Row],[age]]&lt;25,"1. Young Adulthood (18-24)",worksheet[[#This Row],[age]]&lt; 35,"2. Early Adulthood (25-34)",worksheet[[#This Row],[age]]&lt; 45,"3. Mid Adulthood (35-44)",worksheet[[#This Row],[age]]&lt; 55,"4. Mature Adulthood (45-54)",TRUE,"5. Late Adulthood/Senior (55+)")</f>
        <v>2. Early Adulthood (25-34)</v>
      </c>
      <c r="D910" t="s">
        <v>27</v>
      </c>
      <c r="E910" t="s">
        <v>16</v>
      </c>
      <c r="F910" s="4">
        <v>1.18</v>
      </c>
      <c r="G910" s="5">
        <v>42</v>
      </c>
      <c r="H910" t="s">
        <v>28</v>
      </c>
      <c r="I910" t="s">
        <v>18</v>
      </c>
      <c r="J910" s="6">
        <v>8.99</v>
      </c>
      <c r="K910">
        <v>1</v>
      </c>
      <c r="L910" t="s">
        <v>37</v>
      </c>
      <c r="M910" s="5">
        <v>5</v>
      </c>
      <c r="N910" s="4">
        <v>0.03</v>
      </c>
      <c r="O910" t="s">
        <v>34</v>
      </c>
    </row>
    <row r="911" spans="1:15" x14ac:dyDescent="0.3">
      <c r="A911" t="s">
        <v>2796</v>
      </c>
      <c r="B911" s="5">
        <v>21</v>
      </c>
      <c r="C911" s="5" t="str" cm="1">
        <f t="array" ref="C911">_xlfn.IFS(worksheet[[#This Row],[age]]&lt;25,"1. Young Adulthood (18-24)",worksheet[[#This Row],[age]]&lt; 35,"2. Early Adulthood (25-34)",worksheet[[#This Row],[age]]&lt; 45,"3. Mid Adulthood (35-44)",worksheet[[#This Row],[age]]&lt; 55,"4. Mature Adulthood (45-54)",TRUE,"5. Late Adulthood/Senior (55+)")</f>
        <v>1. Young Adulthood (18-24)</v>
      </c>
      <c r="D911" t="s">
        <v>41</v>
      </c>
      <c r="E911" t="s">
        <v>32</v>
      </c>
      <c r="F911" s="4">
        <v>11.78</v>
      </c>
      <c r="G911" s="5">
        <v>4</v>
      </c>
      <c r="H911" t="s">
        <v>33</v>
      </c>
      <c r="I911" t="s">
        <v>46</v>
      </c>
      <c r="J911" s="6">
        <v>17.989999999999998</v>
      </c>
      <c r="K911">
        <v>0</v>
      </c>
      <c r="L911" t="s">
        <v>29</v>
      </c>
      <c r="M911" s="5">
        <v>3</v>
      </c>
      <c r="N911" s="4">
        <v>2.36</v>
      </c>
      <c r="O911" t="s">
        <v>30</v>
      </c>
    </row>
    <row r="912" spans="1:15" x14ac:dyDescent="0.3">
      <c r="A912" t="s">
        <v>2803</v>
      </c>
      <c r="B912" s="5">
        <v>20</v>
      </c>
      <c r="C912" s="5" t="str" cm="1">
        <f t="array" ref="C912">_xlfn.IFS(worksheet[[#This Row],[age]]&lt;25,"1. Young Adulthood (18-24)",worksheet[[#This Row],[age]]&lt; 35,"2. Early Adulthood (25-34)",worksheet[[#This Row],[age]]&lt; 45,"3. Mid Adulthood (35-44)",worksheet[[#This Row],[age]]&lt; 55,"4. Mature Adulthood (45-54)",TRUE,"5. Late Adulthood/Senior (55+)")</f>
        <v>1. Young Adulthood (18-24)</v>
      </c>
      <c r="D912" t="s">
        <v>15</v>
      </c>
      <c r="E912" t="s">
        <v>22</v>
      </c>
      <c r="F912" s="4">
        <v>22.07</v>
      </c>
      <c r="G912" s="5">
        <v>59</v>
      </c>
      <c r="H912" t="s">
        <v>33</v>
      </c>
      <c r="I912" t="s">
        <v>55</v>
      </c>
      <c r="J912" s="6">
        <v>13.99</v>
      </c>
      <c r="K912">
        <v>0</v>
      </c>
      <c r="L912" t="s">
        <v>37</v>
      </c>
      <c r="M912" s="5">
        <v>1</v>
      </c>
      <c r="N912" s="4">
        <v>0.37</v>
      </c>
      <c r="O912" t="s">
        <v>47</v>
      </c>
    </row>
    <row r="913" spans="1:15" x14ac:dyDescent="0.3">
      <c r="A913" t="s">
        <v>2804</v>
      </c>
      <c r="B913" s="5">
        <v>25</v>
      </c>
      <c r="C913" s="5" t="str" cm="1">
        <f t="array" ref="C913">_xlfn.IFS(worksheet[[#This Row],[age]]&lt;25,"1. Young Adulthood (18-24)",worksheet[[#This Row],[age]]&lt; 35,"2. Early Adulthood (25-34)",worksheet[[#This Row],[age]]&lt; 45,"3. Mid Adulthood (35-44)",worksheet[[#This Row],[age]]&lt; 55,"4. Mature Adulthood (45-54)",TRUE,"5. Late Adulthood/Senior (55+)")</f>
        <v>2. Early Adulthood (25-34)</v>
      </c>
      <c r="D913" t="s">
        <v>27</v>
      </c>
      <c r="E913" t="s">
        <v>22</v>
      </c>
      <c r="F913" s="4">
        <v>10.7</v>
      </c>
      <c r="G913" s="5">
        <v>39</v>
      </c>
      <c r="H913" t="s">
        <v>23</v>
      </c>
      <c r="I913" t="s">
        <v>18</v>
      </c>
      <c r="J913" s="6">
        <v>13.99</v>
      </c>
      <c r="K913">
        <v>1</v>
      </c>
      <c r="L913" t="s">
        <v>29</v>
      </c>
      <c r="M913" s="5">
        <v>1</v>
      </c>
      <c r="N913" s="4">
        <v>0.27</v>
      </c>
      <c r="O913" t="s">
        <v>39</v>
      </c>
    </row>
    <row r="914" spans="1:15" x14ac:dyDescent="0.3">
      <c r="A914" t="s">
        <v>2805</v>
      </c>
      <c r="B914" s="5">
        <v>32</v>
      </c>
      <c r="C914" s="5" t="str" cm="1">
        <f t="array" ref="C914">_xlfn.IFS(worksheet[[#This Row],[age]]&lt;25,"1. Young Adulthood (18-24)",worksheet[[#This Row],[age]]&lt; 35,"2. Early Adulthood (25-34)",worksheet[[#This Row],[age]]&lt; 45,"3. Mid Adulthood (35-44)",worksheet[[#This Row],[age]]&lt; 55,"4. Mature Adulthood (45-54)",TRUE,"5. Late Adulthood/Senior (55+)")</f>
        <v>2. Early Adulthood (25-34)</v>
      </c>
      <c r="D914" t="s">
        <v>41</v>
      </c>
      <c r="E914" t="s">
        <v>22</v>
      </c>
      <c r="F914" s="4">
        <v>1.88</v>
      </c>
      <c r="G914" s="5">
        <v>40</v>
      </c>
      <c r="H914" t="s">
        <v>70</v>
      </c>
      <c r="I914" t="s">
        <v>57</v>
      </c>
      <c r="J914" s="6">
        <v>13.99</v>
      </c>
      <c r="K914">
        <v>1</v>
      </c>
      <c r="L914" t="s">
        <v>29</v>
      </c>
      <c r="M914" s="5">
        <v>4</v>
      </c>
      <c r="N914" s="4">
        <v>0.05</v>
      </c>
      <c r="O914" t="s">
        <v>39</v>
      </c>
    </row>
    <row r="915" spans="1:15" x14ac:dyDescent="0.3">
      <c r="A915" t="s">
        <v>2807</v>
      </c>
      <c r="B915" s="5">
        <v>34</v>
      </c>
      <c r="C915" s="5" t="str" cm="1">
        <f t="array" ref="C915">_xlfn.IFS(worksheet[[#This Row],[age]]&lt;25,"1. Young Adulthood (18-24)",worksheet[[#This Row],[age]]&lt; 35,"2. Early Adulthood (25-34)",worksheet[[#This Row],[age]]&lt; 45,"3. Mid Adulthood (35-44)",worksheet[[#This Row],[age]]&lt; 55,"4. Mature Adulthood (45-54)",TRUE,"5. Late Adulthood/Senior (55+)")</f>
        <v>2. Early Adulthood (25-34)</v>
      </c>
      <c r="D915" t="s">
        <v>27</v>
      </c>
      <c r="E915" t="s">
        <v>16</v>
      </c>
      <c r="F915" s="4">
        <v>16.43</v>
      </c>
      <c r="G915" s="5">
        <v>56</v>
      </c>
      <c r="H915" t="s">
        <v>23</v>
      </c>
      <c r="I915" t="s">
        <v>18</v>
      </c>
      <c r="J915" s="6">
        <v>8.99</v>
      </c>
      <c r="K915">
        <v>1</v>
      </c>
      <c r="L915" t="s">
        <v>37</v>
      </c>
      <c r="M915" s="5">
        <v>2</v>
      </c>
      <c r="N915" s="4">
        <v>0.28999999999999998</v>
      </c>
      <c r="O915" t="s">
        <v>39</v>
      </c>
    </row>
    <row r="916" spans="1:15" x14ac:dyDescent="0.3">
      <c r="A916" t="s">
        <v>2812</v>
      </c>
      <c r="B916" s="5">
        <v>29</v>
      </c>
      <c r="C916" s="5" t="str" cm="1">
        <f t="array" ref="C916">_xlfn.IFS(worksheet[[#This Row],[age]]&lt;25,"1. Young Adulthood (18-24)",worksheet[[#This Row],[age]]&lt; 35,"2. Early Adulthood (25-34)",worksheet[[#This Row],[age]]&lt; 45,"3. Mid Adulthood (35-44)",worksheet[[#This Row],[age]]&lt; 55,"4. Mature Adulthood (45-54)",TRUE,"5. Late Adulthood/Senior (55+)")</f>
        <v>2. Early Adulthood (25-34)</v>
      </c>
      <c r="D916" t="s">
        <v>15</v>
      </c>
      <c r="E916" t="s">
        <v>32</v>
      </c>
      <c r="F916" s="4">
        <v>1.78</v>
      </c>
      <c r="G916" s="5">
        <v>51</v>
      </c>
      <c r="H916" t="s">
        <v>33</v>
      </c>
      <c r="I916" t="s">
        <v>24</v>
      </c>
      <c r="J916" s="6">
        <v>17.989999999999998</v>
      </c>
      <c r="K916">
        <v>1</v>
      </c>
      <c r="L916" t="s">
        <v>29</v>
      </c>
      <c r="M916" s="5">
        <v>5</v>
      </c>
      <c r="N916" s="4">
        <v>0.03</v>
      </c>
      <c r="O916" t="s">
        <v>34</v>
      </c>
    </row>
    <row r="917" spans="1:15" x14ac:dyDescent="0.3">
      <c r="A917" t="s">
        <v>2820</v>
      </c>
      <c r="B917" s="5">
        <v>21</v>
      </c>
      <c r="C917" s="5" t="str" cm="1">
        <f t="array" ref="C917">_xlfn.IFS(worksheet[[#This Row],[age]]&lt;25,"1. Young Adulthood (18-24)",worksheet[[#This Row],[age]]&lt; 35,"2. Early Adulthood (25-34)",worksheet[[#This Row],[age]]&lt; 45,"3. Mid Adulthood (35-44)",worksheet[[#This Row],[age]]&lt; 55,"4. Mature Adulthood (45-54)",TRUE,"5. Late Adulthood/Senior (55+)")</f>
        <v>1. Young Adulthood (18-24)</v>
      </c>
      <c r="D917" t="s">
        <v>27</v>
      </c>
      <c r="E917" t="s">
        <v>16</v>
      </c>
      <c r="F917" s="4">
        <v>2.29</v>
      </c>
      <c r="G917" s="5">
        <v>26</v>
      </c>
      <c r="H917" t="s">
        <v>28</v>
      </c>
      <c r="I917" t="s">
        <v>18</v>
      </c>
      <c r="J917" s="6">
        <v>8.99</v>
      </c>
      <c r="K917">
        <v>1</v>
      </c>
      <c r="L917" t="s">
        <v>29</v>
      </c>
      <c r="M917" s="5">
        <v>4</v>
      </c>
      <c r="N917" s="4">
        <v>0.08</v>
      </c>
      <c r="O917" t="s">
        <v>52</v>
      </c>
    </row>
    <row r="918" spans="1:15" x14ac:dyDescent="0.3">
      <c r="A918" t="s">
        <v>2824</v>
      </c>
      <c r="B918" s="5">
        <v>22</v>
      </c>
      <c r="C918" s="5" t="str" cm="1">
        <f t="array" ref="C918">_xlfn.IFS(worksheet[[#This Row],[age]]&lt;25,"1. Young Adulthood (18-24)",worksheet[[#This Row],[age]]&lt; 35,"2. Early Adulthood (25-34)",worksheet[[#This Row],[age]]&lt; 45,"3. Mid Adulthood (35-44)",worksheet[[#This Row],[age]]&lt; 55,"4. Mature Adulthood (45-54)",TRUE,"5. Late Adulthood/Senior (55+)")</f>
        <v>1. Young Adulthood (18-24)</v>
      </c>
      <c r="D918" t="s">
        <v>27</v>
      </c>
      <c r="E918" t="s">
        <v>22</v>
      </c>
      <c r="F918" s="4">
        <v>10.29</v>
      </c>
      <c r="G918" s="5">
        <v>17</v>
      </c>
      <c r="H918" t="s">
        <v>49</v>
      </c>
      <c r="I918" t="s">
        <v>55</v>
      </c>
      <c r="J918" s="6">
        <v>13.99</v>
      </c>
      <c r="K918">
        <v>0</v>
      </c>
      <c r="L918" t="s">
        <v>19</v>
      </c>
      <c r="M918" s="5">
        <v>5</v>
      </c>
      <c r="N918" s="4">
        <v>0.56999999999999995</v>
      </c>
      <c r="O918" t="s">
        <v>47</v>
      </c>
    </row>
    <row r="919" spans="1:15" x14ac:dyDescent="0.3">
      <c r="A919" t="s">
        <v>2825</v>
      </c>
      <c r="B919" s="5">
        <v>33</v>
      </c>
      <c r="C919" s="5" t="str" cm="1">
        <f t="array" ref="C919">_xlfn.IFS(worksheet[[#This Row],[age]]&lt;25,"1. Young Adulthood (18-24)",worksheet[[#This Row],[age]]&lt; 35,"2. Early Adulthood (25-34)",worksheet[[#This Row],[age]]&lt; 45,"3. Mid Adulthood (35-44)",worksheet[[#This Row],[age]]&lt; 55,"4. Mature Adulthood (45-54)",TRUE,"5. Late Adulthood/Senior (55+)")</f>
        <v>2. Early Adulthood (25-34)</v>
      </c>
      <c r="D919" t="s">
        <v>41</v>
      </c>
      <c r="E919" t="s">
        <v>22</v>
      </c>
      <c r="F919" s="4">
        <v>7.45</v>
      </c>
      <c r="G919" s="5">
        <v>0</v>
      </c>
      <c r="H919" t="s">
        <v>23</v>
      </c>
      <c r="I919" t="s">
        <v>24</v>
      </c>
      <c r="J919" s="6">
        <v>13.99</v>
      </c>
      <c r="K919">
        <v>0</v>
      </c>
      <c r="L919" t="s">
        <v>43</v>
      </c>
      <c r="M919" s="5">
        <v>4</v>
      </c>
      <c r="N919" s="4">
        <v>7.45</v>
      </c>
      <c r="O919" t="s">
        <v>20</v>
      </c>
    </row>
    <row r="920" spans="1:15" x14ac:dyDescent="0.3">
      <c r="A920" t="s">
        <v>2826</v>
      </c>
      <c r="B920" s="5">
        <v>28</v>
      </c>
      <c r="C920" s="5" t="str" cm="1">
        <f t="array" ref="C920">_xlfn.IFS(worksheet[[#This Row],[age]]&lt;25,"1. Young Adulthood (18-24)",worksheet[[#This Row],[age]]&lt; 35,"2. Early Adulthood (25-34)",worksheet[[#This Row],[age]]&lt; 45,"3. Mid Adulthood (35-44)",worksheet[[#This Row],[age]]&lt; 55,"4. Mature Adulthood (45-54)",TRUE,"5. Late Adulthood/Senior (55+)")</f>
        <v>2. Early Adulthood (25-34)</v>
      </c>
      <c r="D920" t="s">
        <v>27</v>
      </c>
      <c r="E920" t="s">
        <v>16</v>
      </c>
      <c r="F920" s="4">
        <v>2.63</v>
      </c>
      <c r="G920" s="5">
        <v>54</v>
      </c>
      <c r="H920" t="s">
        <v>23</v>
      </c>
      <c r="I920" t="s">
        <v>18</v>
      </c>
      <c r="J920" s="6">
        <v>8.99</v>
      </c>
      <c r="K920">
        <v>1</v>
      </c>
      <c r="L920" t="s">
        <v>61</v>
      </c>
      <c r="M920" s="5">
        <v>4</v>
      </c>
      <c r="N920" s="4">
        <v>0.05</v>
      </c>
      <c r="O920" t="s">
        <v>20</v>
      </c>
    </row>
    <row r="921" spans="1:15" x14ac:dyDescent="0.3">
      <c r="A921" t="s">
        <v>2827</v>
      </c>
      <c r="B921" s="5">
        <v>22</v>
      </c>
      <c r="C921" s="5" t="str" cm="1">
        <f t="array" ref="C921">_xlfn.IFS(worksheet[[#This Row],[age]]&lt;25,"1. Young Adulthood (18-24)",worksheet[[#This Row],[age]]&lt; 35,"2. Early Adulthood (25-34)",worksheet[[#This Row],[age]]&lt; 45,"3. Mid Adulthood (35-44)",worksheet[[#This Row],[age]]&lt; 55,"4. Mature Adulthood (45-54)",TRUE,"5. Late Adulthood/Senior (55+)")</f>
        <v>1. Young Adulthood (18-24)</v>
      </c>
      <c r="D921" t="s">
        <v>27</v>
      </c>
      <c r="E921" t="s">
        <v>32</v>
      </c>
      <c r="F921" s="4">
        <v>14.27</v>
      </c>
      <c r="G921" s="5">
        <v>17</v>
      </c>
      <c r="H921" t="s">
        <v>70</v>
      </c>
      <c r="I921" t="s">
        <v>55</v>
      </c>
      <c r="J921" s="6">
        <v>17.989999999999998</v>
      </c>
      <c r="K921">
        <v>0</v>
      </c>
      <c r="L921" t="s">
        <v>61</v>
      </c>
      <c r="M921" s="5">
        <v>4</v>
      </c>
      <c r="N921" s="4">
        <v>0.79</v>
      </c>
      <c r="O921" t="s">
        <v>47</v>
      </c>
    </row>
    <row r="922" spans="1:15" x14ac:dyDescent="0.3">
      <c r="A922" t="s">
        <v>2828</v>
      </c>
      <c r="B922" s="5">
        <v>22</v>
      </c>
      <c r="C922" s="5" t="str" cm="1">
        <f t="array" ref="C922">_xlfn.IFS(worksheet[[#This Row],[age]]&lt;25,"1. Young Adulthood (18-24)",worksheet[[#This Row],[age]]&lt; 35,"2. Early Adulthood (25-34)",worksheet[[#This Row],[age]]&lt; 45,"3. Mid Adulthood (35-44)",worksheet[[#This Row],[age]]&lt; 55,"4. Mature Adulthood (45-54)",TRUE,"5. Late Adulthood/Senior (55+)")</f>
        <v>1. Young Adulthood (18-24)</v>
      </c>
      <c r="D922" t="s">
        <v>41</v>
      </c>
      <c r="E922" t="s">
        <v>32</v>
      </c>
      <c r="F922" s="4">
        <v>4.9000000000000004</v>
      </c>
      <c r="G922" s="5">
        <v>1</v>
      </c>
      <c r="H922" t="s">
        <v>70</v>
      </c>
      <c r="I922" t="s">
        <v>18</v>
      </c>
      <c r="J922" s="6">
        <v>17.989999999999998</v>
      </c>
      <c r="K922">
        <v>0</v>
      </c>
      <c r="L922" t="s">
        <v>19</v>
      </c>
      <c r="M922" s="5">
        <v>5</v>
      </c>
      <c r="N922" s="4">
        <v>2.4500000000000002</v>
      </c>
      <c r="O922" t="s">
        <v>30</v>
      </c>
    </row>
    <row r="923" spans="1:15" x14ac:dyDescent="0.3">
      <c r="A923" t="s">
        <v>2829</v>
      </c>
      <c r="B923" s="5">
        <v>18</v>
      </c>
      <c r="C923" s="5" t="str" cm="1">
        <f t="array" ref="C923">_xlfn.IFS(worksheet[[#This Row],[age]]&lt;25,"1. Young Adulthood (18-24)",worksheet[[#This Row],[age]]&lt; 35,"2. Early Adulthood (25-34)",worksheet[[#This Row],[age]]&lt; 45,"3. Mid Adulthood (35-44)",worksheet[[#This Row],[age]]&lt; 55,"4. Mature Adulthood (45-54)",TRUE,"5. Late Adulthood/Senior (55+)")</f>
        <v>1. Young Adulthood (18-24)</v>
      </c>
      <c r="D923" t="s">
        <v>15</v>
      </c>
      <c r="E923" t="s">
        <v>16</v>
      </c>
      <c r="F923" s="4">
        <v>2.48</v>
      </c>
      <c r="G923" s="5">
        <v>45</v>
      </c>
      <c r="H923" t="s">
        <v>17</v>
      </c>
      <c r="I923" t="s">
        <v>46</v>
      </c>
      <c r="J923" s="6">
        <v>8.99</v>
      </c>
      <c r="K923">
        <v>1</v>
      </c>
      <c r="L923" t="s">
        <v>19</v>
      </c>
      <c r="M923" s="5">
        <v>2</v>
      </c>
      <c r="N923" s="4">
        <v>0.05</v>
      </c>
      <c r="O923" t="s">
        <v>34</v>
      </c>
    </row>
    <row r="924" spans="1:15" x14ac:dyDescent="0.3">
      <c r="A924" t="s">
        <v>2831</v>
      </c>
      <c r="B924" s="5">
        <v>23</v>
      </c>
      <c r="C924" s="5" t="str" cm="1">
        <f t="array" ref="C924">_xlfn.IFS(worksheet[[#This Row],[age]]&lt;25,"1. Young Adulthood (18-24)",worksheet[[#This Row],[age]]&lt; 35,"2. Early Adulthood (25-34)",worksheet[[#This Row],[age]]&lt; 45,"3. Mid Adulthood (35-44)",worksheet[[#This Row],[age]]&lt; 55,"4. Mature Adulthood (45-54)",TRUE,"5. Late Adulthood/Senior (55+)")</f>
        <v>1. Young Adulthood (18-24)</v>
      </c>
      <c r="D924" t="s">
        <v>41</v>
      </c>
      <c r="E924" t="s">
        <v>32</v>
      </c>
      <c r="F924" s="4">
        <v>12.6</v>
      </c>
      <c r="G924" s="5">
        <v>54</v>
      </c>
      <c r="H924" t="s">
        <v>28</v>
      </c>
      <c r="I924" t="s">
        <v>18</v>
      </c>
      <c r="J924" s="6">
        <v>17.989999999999998</v>
      </c>
      <c r="K924">
        <v>1</v>
      </c>
      <c r="L924" t="s">
        <v>29</v>
      </c>
      <c r="M924" s="5">
        <v>1</v>
      </c>
      <c r="N924" s="4">
        <v>0.23</v>
      </c>
      <c r="O924" t="s">
        <v>52</v>
      </c>
    </row>
    <row r="925" spans="1:15" x14ac:dyDescent="0.3">
      <c r="A925" t="s">
        <v>2835</v>
      </c>
      <c r="B925" s="5">
        <v>26</v>
      </c>
      <c r="C925" s="5" t="str" cm="1">
        <f t="array" ref="C925">_xlfn.IFS(worksheet[[#This Row],[age]]&lt;25,"1. Young Adulthood (18-24)",worksheet[[#This Row],[age]]&lt; 35,"2. Early Adulthood (25-34)",worksheet[[#This Row],[age]]&lt; 45,"3. Mid Adulthood (35-44)",worksheet[[#This Row],[age]]&lt; 55,"4. Mature Adulthood (45-54)",TRUE,"5. Late Adulthood/Senior (55+)")</f>
        <v>2. Early Adulthood (25-34)</v>
      </c>
      <c r="D925" t="s">
        <v>41</v>
      </c>
      <c r="E925" t="s">
        <v>22</v>
      </c>
      <c r="F925" s="4">
        <v>24.13</v>
      </c>
      <c r="G925" s="5">
        <v>27</v>
      </c>
      <c r="H925" t="s">
        <v>17</v>
      </c>
      <c r="I925" t="s">
        <v>57</v>
      </c>
      <c r="J925" s="6">
        <v>13.99</v>
      </c>
      <c r="K925">
        <v>0</v>
      </c>
      <c r="L925" t="s">
        <v>61</v>
      </c>
      <c r="M925" s="5">
        <v>3</v>
      </c>
      <c r="N925" s="4">
        <v>0.86</v>
      </c>
      <c r="O925" t="s">
        <v>47</v>
      </c>
    </row>
    <row r="926" spans="1:15" x14ac:dyDescent="0.3">
      <c r="A926" t="s">
        <v>2837</v>
      </c>
      <c r="B926" s="5">
        <v>19</v>
      </c>
      <c r="C926" s="5" t="str" cm="1">
        <f t="array" ref="C926">_xlfn.IFS(worksheet[[#This Row],[age]]&lt;25,"1. Young Adulthood (18-24)",worksheet[[#This Row],[age]]&lt; 35,"2. Early Adulthood (25-34)",worksheet[[#This Row],[age]]&lt; 45,"3. Mid Adulthood (35-44)",worksheet[[#This Row],[age]]&lt; 55,"4. Mature Adulthood (45-54)",TRUE,"5. Late Adulthood/Senior (55+)")</f>
        <v>1. Young Adulthood (18-24)</v>
      </c>
      <c r="D926" t="s">
        <v>41</v>
      </c>
      <c r="E926" t="s">
        <v>22</v>
      </c>
      <c r="F926" s="4">
        <v>10.58</v>
      </c>
      <c r="G926" s="5">
        <v>9</v>
      </c>
      <c r="H926" t="s">
        <v>49</v>
      </c>
      <c r="I926" t="s">
        <v>55</v>
      </c>
      <c r="J926" s="6">
        <v>13.99</v>
      </c>
      <c r="K926">
        <v>0</v>
      </c>
      <c r="L926" t="s">
        <v>61</v>
      </c>
      <c r="M926" s="5">
        <v>1</v>
      </c>
      <c r="N926" s="4">
        <v>1.06</v>
      </c>
      <c r="O926" t="s">
        <v>52</v>
      </c>
    </row>
    <row r="927" spans="1:15" x14ac:dyDescent="0.3">
      <c r="A927" t="s">
        <v>2838</v>
      </c>
      <c r="B927" s="5">
        <v>26</v>
      </c>
      <c r="C927" s="5" t="str" cm="1">
        <f t="array" ref="C927">_xlfn.IFS(worksheet[[#This Row],[age]]&lt;25,"1. Young Adulthood (18-24)",worksheet[[#This Row],[age]]&lt; 35,"2. Early Adulthood (25-34)",worksheet[[#This Row],[age]]&lt; 45,"3. Mid Adulthood (35-44)",worksheet[[#This Row],[age]]&lt; 55,"4. Mature Adulthood (45-54)",TRUE,"5. Late Adulthood/Senior (55+)")</f>
        <v>2. Early Adulthood (25-34)</v>
      </c>
      <c r="D927" t="s">
        <v>41</v>
      </c>
      <c r="E927" t="s">
        <v>32</v>
      </c>
      <c r="F927" s="4">
        <v>0.73</v>
      </c>
      <c r="G927" s="5">
        <v>44</v>
      </c>
      <c r="H927" t="s">
        <v>33</v>
      </c>
      <c r="I927" t="s">
        <v>55</v>
      </c>
      <c r="J927" s="6">
        <v>17.989999999999998</v>
      </c>
      <c r="K927">
        <v>1</v>
      </c>
      <c r="L927" t="s">
        <v>19</v>
      </c>
      <c r="M927" s="5">
        <v>5</v>
      </c>
      <c r="N927" s="4">
        <v>0.02</v>
      </c>
      <c r="O927" t="s">
        <v>25</v>
      </c>
    </row>
    <row r="928" spans="1:15" x14ac:dyDescent="0.3">
      <c r="A928" t="s">
        <v>2839</v>
      </c>
      <c r="B928" s="5">
        <v>27</v>
      </c>
      <c r="C928" s="5" t="str" cm="1">
        <f t="array" ref="C928">_xlfn.IFS(worksheet[[#This Row],[age]]&lt;25,"1. Young Adulthood (18-24)",worksheet[[#This Row],[age]]&lt; 35,"2. Early Adulthood (25-34)",worksheet[[#This Row],[age]]&lt; 45,"3. Mid Adulthood (35-44)",worksheet[[#This Row],[age]]&lt; 55,"4. Mature Adulthood (45-54)",TRUE,"5. Late Adulthood/Senior (55+)")</f>
        <v>2. Early Adulthood (25-34)</v>
      </c>
      <c r="D928" t="s">
        <v>27</v>
      </c>
      <c r="E928" t="s">
        <v>32</v>
      </c>
      <c r="F928" s="4">
        <v>2.66</v>
      </c>
      <c r="G928" s="5">
        <v>32</v>
      </c>
      <c r="H928" t="s">
        <v>28</v>
      </c>
      <c r="I928" t="s">
        <v>18</v>
      </c>
      <c r="J928" s="6">
        <v>17.989999999999998</v>
      </c>
      <c r="K928">
        <v>1</v>
      </c>
      <c r="L928" t="s">
        <v>19</v>
      </c>
      <c r="M928" s="5">
        <v>3</v>
      </c>
      <c r="N928" s="4">
        <v>0.08</v>
      </c>
      <c r="O928" t="s">
        <v>47</v>
      </c>
    </row>
    <row r="929" spans="1:15" x14ac:dyDescent="0.3">
      <c r="A929" t="s">
        <v>2844</v>
      </c>
      <c r="B929" s="5">
        <v>24</v>
      </c>
      <c r="C929" s="5" t="str" cm="1">
        <f t="array" ref="C929">_xlfn.IFS(worksheet[[#This Row],[age]]&lt;25,"1. Young Adulthood (18-24)",worksheet[[#This Row],[age]]&lt; 35,"2. Early Adulthood (25-34)",worksheet[[#This Row],[age]]&lt; 45,"3. Mid Adulthood (35-44)",worksheet[[#This Row],[age]]&lt; 55,"4. Mature Adulthood (45-54)",TRUE,"5. Late Adulthood/Senior (55+)")</f>
        <v>1. Young Adulthood (18-24)</v>
      </c>
      <c r="D929" t="s">
        <v>27</v>
      </c>
      <c r="E929" t="s">
        <v>22</v>
      </c>
      <c r="F929" s="4">
        <v>4.0999999999999996</v>
      </c>
      <c r="G929" s="5">
        <v>21</v>
      </c>
      <c r="H929" t="s">
        <v>23</v>
      </c>
      <c r="I929" t="s">
        <v>24</v>
      </c>
      <c r="J929" s="6">
        <v>13.99</v>
      </c>
      <c r="K929">
        <v>0</v>
      </c>
      <c r="L929" t="s">
        <v>61</v>
      </c>
      <c r="M929" s="5">
        <v>5</v>
      </c>
      <c r="N929" s="4">
        <v>0.19</v>
      </c>
      <c r="O929" t="s">
        <v>39</v>
      </c>
    </row>
    <row r="930" spans="1:15" x14ac:dyDescent="0.3">
      <c r="A930" t="s">
        <v>2846</v>
      </c>
      <c r="B930" s="5">
        <v>26</v>
      </c>
      <c r="C930" s="5" t="str" cm="1">
        <f t="array" ref="C930">_xlfn.IFS(worksheet[[#This Row],[age]]&lt;25,"1. Young Adulthood (18-24)",worksheet[[#This Row],[age]]&lt; 35,"2. Early Adulthood (25-34)",worksheet[[#This Row],[age]]&lt; 45,"3. Mid Adulthood (35-44)",worksheet[[#This Row],[age]]&lt; 55,"4. Mature Adulthood (45-54)",TRUE,"5. Late Adulthood/Senior (55+)")</f>
        <v>2. Early Adulthood (25-34)</v>
      </c>
      <c r="D930" t="s">
        <v>27</v>
      </c>
      <c r="E930" t="s">
        <v>32</v>
      </c>
      <c r="F930" s="4">
        <v>22.8</v>
      </c>
      <c r="G930" s="5">
        <v>24</v>
      </c>
      <c r="H930" t="s">
        <v>28</v>
      </c>
      <c r="I930" t="s">
        <v>46</v>
      </c>
      <c r="J930" s="6">
        <v>17.989999999999998</v>
      </c>
      <c r="K930">
        <v>0</v>
      </c>
      <c r="L930" t="s">
        <v>61</v>
      </c>
      <c r="M930" s="5">
        <v>4</v>
      </c>
      <c r="N930" s="4">
        <v>0.91</v>
      </c>
      <c r="O930" t="s">
        <v>25</v>
      </c>
    </row>
    <row r="931" spans="1:15" x14ac:dyDescent="0.3">
      <c r="A931" t="s">
        <v>2853</v>
      </c>
      <c r="B931" s="5">
        <v>22</v>
      </c>
      <c r="C931" s="5" t="str" cm="1">
        <f t="array" ref="C931">_xlfn.IFS(worksheet[[#This Row],[age]]&lt;25,"1. Young Adulthood (18-24)",worksheet[[#This Row],[age]]&lt; 35,"2. Early Adulthood (25-34)",worksheet[[#This Row],[age]]&lt; 45,"3. Mid Adulthood (35-44)",worksheet[[#This Row],[age]]&lt; 55,"4. Mature Adulthood (45-54)",TRUE,"5. Late Adulthood/Senior (55+)")</f>
        <v>1. Young Adulthood (18-24)</v>
      </c>
      <c r="D931" t="s">
        <v>27</v>
      </c>
      <c r="E931" t="s">
        <v>22</v>
      </c>
      <c r="F931" s="4">
        <v>0.76</v>
      </c>
      <c r="G931" s="5">
        <v>24</v>
      </c>
      <c r="H931" t="s">
        <v>17</v>
      </c>
      <c r="I931" t="s">
        <v>55</v>
      </c>
      <c r="J931" s="6">
        <v>13.99</v>
      </c>
      <c r="K931">
        <v>1</v>
      </c>
      <c r="L931" t="s">
        <v>19</v>
      </c>
      <c r="M931" s="5">
        <v>2</v>
      </c>
      <c r="N931" s="4">
        <v>0.03</v>
      </c>
      <c r="O931" t="s">
        <v>25</v>
      </c>
    </row>
    <row r="932" spans="1:15" x14ac:dyDescent="0.3">
      <c r="A932" t="s">
        <v>2857</v>
      </c>
      <c r="B932" s="5">
        <v>31</v>
      </c>
      <c r="C932" s="5" t="str" cm="1">
        <f t="array" ref="C932">_xlfn.IFS(worksheet[[#This Row],[age]]&lt;25,"1. Young Adulthood (18-24)",worksheet[[#This Row],[age]]&lt; 35,"2. Early Adulthood (25-34)",worksheet[[#This Row],[age]]&lt; 45,"3. Mid Adulthood (35-44)",worksheet[[#This Row],[age]]&lt; 55,"4. Mature Adulthood (45-54)",TRUE,"5. Late Adulthood/Senior (55+)")</f>
        <v>2. Early Adulthood (25-34)</v>
      </c>
      <c r="D932" t="s">
        <v>15</v>
      </c>
      <c r="E932" t="s">
        <v>22</v>
      </c>
      <c r="F932" s="4">
        <v>9.9</v>
      </c>
      <c r="G932" s="5">
        <v>46</v>
      </c>
      <c r="H932" t="s">
        <v>28</v>
      </c>
      <c r="I932" t="s">
        <v>46</v>
      </c>
      <c r="J932" s="6">
        <v>13.99</v>
      </c>
      <c r="K932">
        <v>0</v>
      </c>
      <c r="L932" t="s">
        <v>43</v>
      </c>
      <c r="M932" s="5">
        <v>5</v>
      </c>
      <c r="N932" s="4">
        <v>0.21</v>
      </c>
      <c r="O932" t="s">
        <v>20</v>
      </c>
    </row>
    <row r="933" spans="1:15" x14ac:dyDescent="0.3">
      <c r="A933" t="s">
        <v>2859</v>
      </c>
      <c r="B933" s="5">
        <v>29</v>
      </c>
      <c r="C933" s="5" t="str" cm="1">
        <f t="array" ref="C933">_xlfn.IFS(worksheet[[#This Row],[age]]&lt;25,"1. Young Adulthood (18-24)",worksheet[[#This Row],[age]]&lt; 35,"2. Early Adulthood (25-34)",worksheet[[#This Row],[age]]&lt; 45,"3. Mid Adulthood (35-44)",worksheet[[#This Row],[age]]&lt; 55,"4. Mature Adulthood (45-54)",TRUE,"5. Late Adulthood/Senior (55+)")</f>
        <v>2. Early Adulthood (25-34)</v>
      </c>
      <c r="D933" t="s">
        <v>27</v>
      </c>
      <c r="E933" t="s">
        <v>16</v>
      </c>
      <c r="F933" s="4">
        <v>1.77</v>
      </c>
      <c r="G933" s="5">
        <v>47</v>
      </c>
      <c r="H933" t="s">
        <v>33</v>
      </c>
      <c r="I933" t="s">
        <v>46</v>
      </c>
      <c r="J933" s="6">
        <v>8.99</v>
      </c>
      <c r="K933">
        <v>1</v>
      </c>
      <c r="L933" t="s">
        <v>61</v>
      </c>
      <c r="M933" s="5">
        <v>3</v>
      </c>
      <c r="N933" s="4">
        <v>0.04</v>
      </c>
      <c r="O933" t="s">
        <v>52</v>
      </c>
    </row>
    <row r="934" spans="1:15" x14ac:dyDescent="0.3">
      <c r="A934" t="s">
        <v>2860</v>
      </c>
      <c r="B934" s="5">
        <v>26</v>
      </c>
      <c r="C934" s="5" t="str" cm="1">
        <f t="array" ref="C934">_xlfn.IFS(worksheet[[#This Row],[age]]&lt;25,"1. Young Adulthood (18-24)",worksheet[[#This Row],[age]]&lt; 35,"2. Early Adulthood (25-34)",worksheet[[#This Row],[age]]&lt; 45,"3. Mid Adulthood (35-44)",worksheet[[#This Row],[age]]&lt; 55,"4. Mature Adulthood (45-54)",TRUE,"5. Late Adulthood/Senior (55+)")</f>
        <v>2. Early Adulthood (25-34)</v>
      </c>
      <c r="D934" t="s">
        <v>41</v>
      </c>
      <c r="E934" t="s">
        <v>22</v>
      </c>
      <c r="F934" s="4">
        <v>33.1</v>
      </c>
      <c r="G934" s="5">
        <v>21</v>
      </c>
      <c r="H934" t="s">
        <v>33</v>
      </c>
      <c r="I934" t="s">
        <v>46</v>
      </c>
      <c r="J934" s="6">
        <v>13.99</v>
      </c>
      <c r="K934">
        <v>0</v>
      </c>
      <c r="L934" t="s">
        <v>43</v>
      </c>
      <c r="M934" s="5">
        <v>5</v>
      </c>
      <c r="N934" s="4">
        <v>1.5</v>
      </c>
      <c r="O934" t="s">
        <v>52</v>
      </c>
    </row>
    <row r="935" spans="1:15" x14ac:dyDescent="0.3">
      <c r="A935" t="s">
        <v>2862</v>
      </c>
      <c r="B935" s="5">
        <v>33</v>
      </c>
      <c r="C935" s="5" t="str" cm="1">
        <f t="array" ref="C935">_xlfn.IFS(worksheet[[#This Row],[age]]&lt;25,"1. Young Adulthood (18-24)",worksheet[[#This Row],[age]]&lt; 35,"2. Early Adulthood (25-34)",worksheet[[#This Row],[age]]&lt; 45,"3. Mid Adulthood (35-44)",worksheet[[#This Row],[age]]&lt; 55,"4. Mature Adulthood (45-54)",TRUE,"5. Late Adulthood/Senior (55+)")</f>
        <v>2. Early Adulthood (25-34)</v>
      </c>
      <c r="D935" t="s">
        <v>41</v>
      </c>
      <c r="E935" t="s">
        <v>22</v>
      </c>
      <c r="F935" s="4">
        <v>14.96</v>
      </c>
      <c r="G935" s="5">
        <v>16</v>
      </c>
      <c r="H935" t="s">
        <v>70</v>
      </c>
      <c r="I935" t="s">
        <v>57</v>
      </c>
      <c r="J935" s="6">
        <v>13.99</v>
      </c>
      <c r="K935">
        <v>0</v>
      </c>
      <c r="L935" t="s">
        <v>29</v>
      </c>
      <c r="M935" s="5">
        <v>5</v>
      </c>
      <c r="N935" s="4">
        <v>0.88</v>
      </c>
      <c r="O935" t="s">
        <v>39</v>
      </c>
    </row>
    <row r="936" spans="1:15" x14ac:dyDescent="0.3">
      <c r="A936" t="s">
        <v>2869</v>
      </c>
      <c r="B936" s="5">
        <v>31</v>
      </c>
      <c r="C936" s="5" t="str" cm="1">
        <f t="array" ref="C936">_xlfn.IFS(worksheet[[#This Row],[age]]&lt;25,"1. Young Adulthood (18-24)",worksheet[[#This Row],[age]]&lt; 35,"2. Early Adulthood (25-34)",worksheet[[#This Row],[age]]&lt; 45,"3. Mid Adulthood (35-44)",worksheet[[#This Row],[age]]&lt; 55,"4. Mature Adulthood (45-54)",TRUE,"5. Late Adulthood/Senior (55+)")</f>
        <v>2. Early Adulthood (25-34)</v>
      </c>
      <c r="D936" t="s">
        <v>41</v>
      </c>
      <c r="E936" t="s">
        <v>16</v>
      </c>
      <c r="F936" s="4">
        <v>1.79</v>
      </c>
      <c r="G936" s="5">
        <v>18</v>
      </c>
      <c r="H936" t="s">
        <v>28</v>
      </c>
      <c r="I936" t="s">
        <v>46</v>
      </c>
      <c r="J936" s="6">
        <v>8.99</v>
      </c>
      <c r="K936">
        <v>1</v>
      </c>
      <c r="L936" t="s">
        <v>19</v>
      </c>
      <c r="M936" s="5">
        <v>5</v>
      </c>
      <c r="N936" s="4">
        <v>0.09</v>
      </c>
      <c r="O936" t="s">
        <v>30</v>
      </c>
    </row>
    <row r="937" spans="1:15" x14ac:dyDescent="0.3">
      <c r="A937" t="s">
        <v>2873</v>
      </c>
      <c r="B937" s="5">
        <v>24</v>
      </c>
      <c r="C937" s="5" t="str" cm="1">
        <f t="array" ref="C937">_xlfn.IFS(worksheet[[#This Row],[age]]&lt;25,"1. Young Adulthood (18-24)",worksheet[[#This Row],[age]]&lt; 35,"2. Early Adulthood (25-34)",worksheet[[#This Row],[age]]&lt; 45,"3. Mid Adulthood (35-44)",worksheet[[#This Row],[age]]&lt; 55,"4. Mature Adulthood (45-54)",TRUE,"5. Late Adulthood/Senior (55+)")</f>
        <v>1. Young Adulthood (18-24)</v>
      </c>
      <c r="D937" t="s">
        <v>27</v>
      </c>
      <c r="E937" t="s">
        <v>32</v>
      </c>
      <c r="F937" s="4">
        <v>1.03</v>
      </c>
      <c r="G937" s="5">
        <v>30</v>
      </c>
      <c r="H937" t="s">
        <v>33</v>
      </c>
      <c r="I937" t="s">
        <v>57</v>
      </c>
      <c r="J937" s="6">
        <v>17.989999999999998</v>
      </c>
      <c r="K937">
        <v>1</v>
      </c>
      <c r="L937" t="s">
        <v>61</v>
      </c>
      <c r="M937" s="5">
        <v>1</v>
      </c>
      <c r="N937" s="4">
        <v>0.03</v>
      </c>
      <c r="O937" t="s">
        <v>25</v>
      </c>
    </row>
    <row r="938" spans="1:15" x14ac:dyDescent="0.3">
      <c r="A938" t="s">
        <v>2874</v>
      </c>
      <c r="B938" s="5">
        <v>30</v>
      </c>
      <c r="C938" s="5" t="str" cm="1">
        <f t="array" ref="C938">_xlfn.IFS(worksheet[[#This Row],[age]]&lt;25,"1. Young Adulthood (18-24)",worksheet[[#This Row],[age]]&lt; 35,"2. Early Adulthood (25-34)",worksheet[[#This Row],[age]]&lt; 45,"3. Mid Adulthood (35-44)",worksheet[[#This Row],[age]]&lt; 55,"4. Mature Adulthood (45-54)",TRUE,"5. Late Adulthood/Senior (55+)")</f>
        <v>2. Early Adulthood (25-34)</v>
      </c>
      <c r="D938" t="s">
        <v>27</v>
      </c>
      <c r="E938" t="s">
        <v>22</v>
      </c>
      <c r="F938" s="4">
        <v>6.23</v>
      </c>
      <c r="G938" s="5">
        <v>49</v>
      </c>
      <c r="H938" t="s">
        <v>23</v>
      </c>
      <c r="I938" t="s">
        <v>18</v>
      </c>
      <c r="J938" s="6">
        <v>13.99</v>
      </c>
      <c r="K938">
        <v>1</v>
      </c>
      <c r="L938" t="s">
        <v>37</v>
      </c>
      <c r="M938" s="5">
        <v>3</v>
      </c>
      <c r="N938" s="4">
        <v>0.12</v>
      </c>
      <c r="O938" t="s">
        <v>47</v>
      </c>
    </row>
    <row r="939" spans="1:15" x14ac:dyDescent="0.3">
      <c r="A939" t="s">
        <v>2876</v>
      </c>
      <c r="B939" s="5">
        <v>25</v>
      </c>
      <c r="C939" s="5" t="str" cm="1">
        <f t="array" ref="C939">_xlfn.IFS(worksheet[[#This Row],[age]]&lt;25,"1. Young Adulthood (18-24)",worksheet[[#This Row],[age]]&lt; 35,"2. Early Adulthood (25-34)",worksheet[[#This Row],[age]]&lt; 45,"3. Mid Adulthood (35-44)",worksheet[[#This Row],[age]]&lt; 55,"4. Mature Adulthood (45-54)",TRUE,"5. Late Adulthood/Senior (55+)")</f>
        <v>2. Early Adulthood (25-34)</v>
      </c>
      <c r="D939" t="s">
        <v>41</v>
      </c>
      <c r="E939" t="s">
        <v>16</v>
      </c>
      <c r="F939" s="4">
        <v>2.95</v>
      </c>
      <c r="G939" s="5">
        <v>37</v>
      </c>
      <c r="H939" t="s">
        <v>70</v>
      </c>
      <c r="I939" t="s">
        <v>18</v>
      </c>
      <c r="J939" s="6">
        <v>8.99</v>
      </c>
      <c r="K939">
        <v>1</v>
      </c>
      <c r="L939" t="s">
        <v>43</v>
      </c>
      <c r="M939" s="5">
        <v>4</v>
      </c>
      <c r="N939" s="4">
        <v>0.08</v>
      </c>
      <c r="O939" t="s">
        <v>34</v>
      </c>
    </row>
    <row r="940" spans="1:15" x14ac:dyDescent="0.3">
      <c r="A940" t="s">
        <v>2879</v>
      </c>
      <c r="B940" s="5">
        <v>27</v>
      </c>
      <c r="C940" s="5" t="str" cm="1">
        <f t="array" ref="C940">_xlfn.IFS(worksheet[[#This Row],[age]]&lt;25,"1. Young Adulthood (18-24)",worksheet[[#This Row],[age]]&lt; 35,"2. Early Adulthood (25-34)",worksheet[[#This Row],[age]]&lt; 45,"3. Mid Adulthood (35-44)",worksheet[[#This Row],[age]]&lt; 55,"4. Mature Adulthood (45-54)",TRUE,"5. Late Adulthood/Senior (55+)")</f>
        <v>2. Early Adulthood (25-34)</v>
      </c>
      <c r="D940" t="s">
        <v>27</v>
      </c>
      <c r="E940" t="s">
        <v>22</v>
      </c>
      <c r="F940" s="4">
        <v>19.23</v>
      </c>
      <c r="G940" s="5">
        <v>56</v>
      </c>
      <c r="H940" t="s">
        <v>70</v>
      </c>
      <c r="I940" t="s">
        <v>57</v>
      </c>
      <c r="J940" s="6">
        <v>13.99</v>
      </c>
      <c r="K940">
        <v>1</v>
      </c>
      <c r="L940" t="s">
        <v>19</v>
      </c>
      <c r="M940" s="5">
        <v>2</v>
      </c>
      <c r="N940" s="4">
        <v>0.34</v>
      </c>
      <c r="O940" t="s">
        <v>39</v>
      </c>
    </row>
    <row r="941" spans="1:15" x14ac:dyDescent="0.3">
      <c r="A941" t="s">
        <v>2880</v>
      </c>
      <c r="B941" s="5">
        <v>33</v>
      </c>
      <c r="C941" s="5" t="str" cm="1">
        <f t="array" ref="C941">_xlfn.IFS(worksheet[[#This Row],[age]]&lt;25,"1. Young Adulthood (18-24)",worksheet[[#This Row],[age]]&lt; 35,"2. Early Adulthood (25-34)",worksheet[[#This Row],[age]]&lt; 45,"3. Mid Adulthood (35-44)",worksheet[[#This Row],[age]]&lt; 55,"4. Mature Adulthood (45-54)",TRUE,"5. Late Adulthood/Senior (55+)")</f>
        <v>2. Early Adulthood (25-34)</v>
      </c>
      <c r="D941" t="s">
        <v>15</v>
      </c>
      <c r="E941" t="s">
        <v>32</v>
      </c>
      <c r="F941" s="4">
        <v>27.1</v>
      </c>
      <c r="G941" s="5">
        <v>57</v>
      </c>
      <c r="H941" t="s">
        <v>17</v>
      </c>
      <c r="I941" t="s">
        <v>55</v>
      </c>
      <c r="J941" s="6">
        <v>17.989999999999998</v>
      </c>
      <c r="K941">
        <v>0</v>
      </c>
      <c r="L941" t="s">
        <v>19</v>
      </c>
      <c r="M941" s="5">
        <v>4</v>
      </c>
      <c r="N941" s="4">
        <v>0.47</v>
      </c>
      <c r="O941" t="s">
        <v>30</v>
      </c>
    </row>
    <row r="942" spans="1:15" x14ac:dyDescent="0.3">
      <c r="A942" t="s">
        <v>2885</v>
      </c>
      <c r="B942" s="5">
        <v>22</v>
      </c>
      <c r="C942" s="5" t="str" cm="1">
        <f t="array" ref="C942">_xlfn.IFS(worksheet[[#This Row],[age]]&lt;25,"1. Young Adulthood (18-24)",worksheet[[#This Row],[age]]&lt; 35,"2. Early Adulthood (25-34)",worksheet[[#This Row],[age]]&lt; 45,"3. Mid Adulthood (35-44)",worksheet[[#This Row],[age]]&lt; 55,"4. Mature Adulthood (45-54)",TRUE,"5. Late Adulthood/Senior (55+)")</f>
        <v>1. Young Adulthood (18-24)</v>
      </c>
      <c r="D942" t="s">
        <v>27</v>
      </c>
      <c r="E942" t="s">
        <v>32</v>
      </c>
      <c r="F942" s="4">
        <v>5.22</v>
      </c>
      <c r="G942" s="5">
        <v>33</v>
      </c>
      <c r="H942" t="s">
        <v>33</v>
      </c>
      <c r="I942" t="s">
        <v>55</v>
      </c>
      <c r="J942" s="6">
        <v>17.989999999999998</v>
      </c>
      <c r="K942">
        <v>0</v>
      </c>
      <c r="L942" t="s">
        <v>61</v>
      </c>
      <c r="M942" s="5">
        <v>5</v>
      </c>
      <c r="N942" s="4">
        <v>0.15</v>
      </c>
      <c r="O942" t="s">
        <v>52</v>
      </c>
    </row>
    <row r="943" spans="1:15" x14ac:dyDescent="0.3">
      <c r="A943" t="s">
        <v>2891</v>
      </c>
      <c r="B943" s="5">
        <v>25</v>
      </c>
      <c r="C943" s="5" t="str" cm="1">
        <f t="array" ref="C943">_xlfn.IFS(worksheet[[#This Row],[age]]&lt;25,"1. Young Adulthood (18-24)",worksheet[[#This Row],[age]]&lt; 35,"2. Early Adulthood (25-34)",worksheet[[#This Row],[age]]&lt; 45,"3. Mid Adulthood (35-44)",worksheet[[#This Row],[age]]&lt; 55,"4. Mature Adulthood (45-54)",TRUE,"5. Late Adulthood/Senior (55+)")</f>
        <v>2. Early Adulthood (25-34)</v>
      </c>
      <c r="D943" t="s">
        <v>41</v>
      </c>
      <c r="E943" t="s">
        <v>16</v>
      </c>
      <c r="F943" s="4">
        <v>0.24</v>
      </c>
      <c r="G943" s="5">
        <v>43</v>
      </c>
      <c r="H943" t="s">
        <v>28</v>
      </c>
      <c r="I943" t="s">
        <v>55</v>
      </c>
      <c r="J943" s="6">
        <v>8.99</v>
      </c>
      <c r="K943">
        <v>1</v>
      </c>
      <c r="L943" t="s">
        <v>37</v>
      </c>
      <c r="M943" s="5">
        <v>3</v>
      </c>
      <c r="N943" s="4">
        <v>0.01</v>
      </c>
      <c r="O943" t="s">
        <v>39</v>
      </c>
    </row>
    <row r="944" spans="1:15" x14ac:dyDescent="0.3">
      <c r="A944" t="s">
        <v>2893</v>
      </c>
      <c r="B944" s="5">
        <v>34</v>
      </c>
      <c r="C944" s="5" t="str" cm="1">
        <f t="array" ref="C944">_xlfn.IFS(worksheet[[#This Row],[age]]&lt;25,"1. Young Adulthood (18-24)",worksheet[[#This Row],[age]]&lt; 35,"2. Early Adulthood (25-34)",worksheet[[#This Row],[age]]&lt; 45,"3. Mid Adulthood (35-44)",worksheet[[#This Row],[age]]&lt; 55,"4. Mature Adulthood (45-54)",TRUE,"5. Late Adulthood/Senior (55+)")</f>
        <v>2. Early Adulthood (25-34)</v>
      </c>
      <c r="D944" t="s">
        <v>41</v>
      </c>
      <c r="E944" t="s">
        <v>22</v>
      </c>
      <c r="F944" s="4">
        <v>2.94</v>
      </c>
      <c r="G944" s="5">
        <v>43</v>
      </c>
      <c r="H944" t="s">
        <v>33</v>
      </c>
      <c r="I944" t="s">
        <v>55</v>
      </c>
      <c r="J944" s="6">
        <v>13.99</v>
      </c>
      <c r="K944">
        <v>1</v>
      </c>
      <c r="L944" t="s">
        <v>61</v>
      </c>
      <c r="M944" s="5">
        <v>2</v>
      </c>
      <c r="N944" s="4">
        <v>7.0000000000000007E-2</v>
      </c>
      <c r="O944" t="s">
        <v>25</v>
      </c>
    </row>
    <row r="945" spans="1:15" x14ac:dyDescent="0.3">
      <c r="A945" t="s">
        <v>2898</v>
      </c>
      <c r="B945" s="5">
        <v>21</v>
      </c>
      <c r="C945" s="5" t="str" cm="1">
        <f t="array" ref="C945">_xlfn.IFS(worksheet[[#This Row],[age]]&lt;25,"1. Young Adulthood (18-24)",worksheet[[#This Row],[age]]&lt; 35,"2. Early Adulthood (25-34)",worksheet[[#This Row],[age]]&lt; 45,"3. Mid Adulthood (35-44)",worksheet[[#This Row],[age]]&lt; 55,"4. Mature Adulthood (45-54)",TRUE,"5. Late Adulthood/Senior (55+)")</f>
        <v>1. Young Adulthood (18-24)</v>
      </c>
      <c r="D945" t="s">
        <v>27</v>
      </c>
      <c r="E945" t="s">
        <v>32</v>
      </c>
      <c r="F945" s="4">
        <v>7.72</v>
      </c>
      <c r="G945" s="5">
        <v>51</v>
      </c>
      <c r="H945" t="s">
        <v>33</v>
      </c>
      <c r="I945" t="s">
        <v>18</v>
      </c>
      <c r="J945" s="6">
        <v>17.989999999999998</v>
      </c>
      <c r="K945">
        <v>1</v>
      </c>
      <c r="L945" t="s">
        <v>37</v>
      </c>
      <c r="M945" s="5">
        <v>3</v>
      </c>
      <c r="N945" s="4">
        <v>0.15</v>
      </c>
      <c r="O945" t="s">
        <v>39</v>
      </c>
    </row>
    <row r="946" spans="1:15" x14ac:dyDescent="0.3">
      <c r="A946" t="s">
        <v>2904</v>
      </c>
      <c r="B946" s="5">
        <v>32</v>
      </c>
      <c r="C946" s="5" t="str" cm="1">
        <f t="array" ref="C946">_xlfn.IFS(worksheet[[#This Row],[age]]&lt;25,"1. Young Adulthood (18-24)",worksheet[[#This Row],[age]]&lt; 35,"2. Early Adulthood (25-34)",worksheet[[#This Row],[age]]&lt; 45,"3. Mid Adulthood (35-44)",worksheet[[#This Row],[age]]&lt; 55,"4. Mature Adulthood (45-54)",TRUE,"5. Late Adulthood/Senior (55+)")</f>
        <v>2. Early Adulthood (25-34)</v>
      </c>
      <c r="D946" t="s">
        <v>27</v>
      </c>
      <c r="E946" t="s">
        <v>22</v>
      </c>
      <c r="F946" s="4">
        <v>6.86</v>
      </c>
      <c r="G946" s="5">
        <v>49</v>
      </c>
      <c r="H946" t="s">
        <v>17</v>
      </c>
      <c r="I946" t="s">
        <v>18</v>
      </c>
      <c r="J946" s="6">
        <v>13.99</v>
      </c>
      <c r="K946">
        <v>1</v>
      </c>
      <c r="L946" t="s">
        <v>37</v>
      </c>
      <c r="M946" s="5">
        <v>2</v>
      </c>
      <c r="N946" s="4">
        <v>0.14000000000000001</v>
      </c>
      <c r="O946" t="s">
        <v>25</v>
      </c>
    </row>
    <row r="947" spans="1:15" x14ac:dyDescent="0.3">
      <c r="A947" t="s">
        <v>2905</v>
      </c>
      <c r="B947" s="5">
        <v>22</v>
      </c>
      <c r="C947" s="5" t="str" cm="1">
        <f t="array" ref="C947">_xlfn.IFS(worksheet[[#This Row],[age]]&lt;25,"1. Young Adulthood (18-24)",worksheet[[#This Row],[age]]&lt; 35,"2. Early Adulthood (25-34)",worksheet[[#This Row],[age]]&lt; 45,"3. Mid Adulthood (35-44)",worksheet[[#This Row],[age]]&lt; 55,"4. Mature Adulthood (45-54)",TRUE,"5. Late Adulthood/Senior (55+)")</f>
        <v>1. Young Adulthood (18-24)</v>
      </c>
      <c r="D947" t="s">
        <v>15</v>
      </c>
      <c r="E947" t="s">
        <v>16</v>
      </c>
      <c r="F947" s="4">
        <v>2.36</v>
      </c>
      <c r="G947" s="5">
        <v>27</v>
      </c>
      <c r="H947" t="s">
        <v>33</v>
      </c>
      <c r="I947" t="s">
        <v>46</v>
      </c>
      <c r="J947" s="6">
        <v>8.99</v>
      </c>
      <c r="K947">
        <v>1</v>
      </c>
      <c r="L947" t="s">
        <v>29</v>
      </c>
      <c r="M947" s="5">
        <v>3</v>
      </c>
      <c r="N947" s="4">
        <v>0.08</v>
      </c>
      <c r="O947" t="s">
        <v>20</v>
      </c>
    </row>
    <row r="948" spans="1:15" x14ac:dyDescent="0.3">
      <c r="A948" t="s">
        <v>2914</v>
      </c>
      <c r="B948" s="5">
        <v>30</v>
      </c>
      <c r="C948" s="5" t="str" cm="1">
        <f t="array" ref="C948">_xlfn.IFS(worksheet[[#This Row],[age]]&lt;25,"1. Young Adulthood (18-24)",worksheet[[#This Row],[age]]&lt; 35,"2. Early Adulthood (25-34)",worksheet[[#This Row],[age]]&lt; 45,"3. Mid Adulthood (35-44)",worksheet[[#This Row],[age]]&lt; 55,"4. Mature Adulthood (45-54)",TRUE,"5. Late Adulthood/Senior (55+)")</f>
        <v>2. Early Adulthood (25-34)</v>
      </c>
      <c r="D948" t="s">
        <v>15</v>
      </c>
      <c r="E948" t="s">
        <v>22</v>
      </c>
      <c r="F948" s="4">
        <v>12.85</v>
      </c>
      <c r="G948" s="5">
        <v>39</v>
      </c>
      <c r="H948" t="s">
        <v>28</v>
      </c>
      <c r="I948" t="s">
        <v>57</v>
      </c>
      <c r="J948" s="6">
        <v>13.99</v>
      </c>
      <c r="K948">
        <v>1</v>
      </c>
      <c r="L948" t="s">
        <v>37</v>
      </c>
      <c r="M948" s="5">
        <v>3</v>
      </c>
      <c r="N948" s="4">
        <v>0.32</v>
      </c>
      <c r="O948" t="s">
        <v>47</v>
      </c>
    </row>
    <row r="949" spans="1:15" x14ac:dyDescent="0.3">
      <c r="A949" t="s">
        <v>2919</v>
      </c>
      <c r="B949" s="5">
        <v>27</v>
      </c>
      <c r="C949" s="5" t="str" cm="1">
        <f t="array" ref="C949">_xlfn.IFS(worksheet[[#This Row],[age]]&lt;25,"1. Young Adulthood (18-24)",worksheet[[#This Row],[age]]&lt; 35,"2. Early Adulthood (25-34)",worksheet[[#This Row],[age]]&lt; 45,"3. Mid Adulthood (35-44)",worksheet[[#This Row],[age]]&lt; 55,"4. Mature Adulthood (45-54)",TRUE,"5. Late Adulthood/Senior (55+)")</f>
        <v>2. Early Adulthood (25-34)</v>
      </c>
      <c r="D949" t="s">
        <v>27</v>
      </c>
      <c r="E949" t="s">
        <v>16</v>
      </c>
      <c r="F949" s="4">
        <v>11.62</v>
      </c>
      <c r="G949" s="5">
        <v>50</v>
      </c>
      <c r="H949" t="s">
        <v>28</v>
      </c>
      <c r="I949" t="s">
        <v>18</v>
      </c>
      <c r="J949" s="6">
        <v>8.99</v>
      </c>
      <c r="K949">
        <v>1</v>
      </c>
      <c r="L949" t="s">
        <v>61</v>
      </c>
      <c r="M949" s="5">
        <v>2</v>
      </c>
      <c r="N949" s="4">
        <v>0.23</v>
      </c>
      <c r="O949" t="s">
        <v>52</v>
      </c>
    </row>
    <row r="950" spans="1:15" x14ac:dyDescent="0.3">
      <c r="A950" t="s">
        <v>2920</v>
      </c>
      <c r="B950" s="5">
        <v>23</v>
      </c>
      <c r="C950" s="5" t="str" cm="1">
        <f t="array" ref="C950">_xlfn.IFS(worksheet[[#This Row],[age]]&lt;25,"1. Young Adulthood (18-24)",worksheet[[#This Row],[age]]&lt; 35,"2. Early Adulthood (25-34)",worksheet[[#This Row],[age]]&lt; 45,"3. Mid Adulthood (35-44)",worksheet[[#This Row],[age]]&lt; 55,"4. Mature Adulthood (45-54)",TRUE,"5. Late Adulthood/Senior (55+)")</f>
        <v>1. Young Adulthood (18-24)</v>
      </c>
      <c r="D950" t="s">
        <v>27</v>
      </c>
      <c r="E950" t="s">
        <v>16</v>
      </c>
      <c r="F950" s="4">
        <v>5.0599999999999996</v>
      </c>
      <c r="G950" s="5">
        <v>36</v>
      </c>
      <c r="H950" t="s">
        <v>23</v>
      </c>
      <c r="I950" t="s">
        <v>57</v>
      </c>
      <c r="J950" s="6">
        <v>8.99</v>
      </c>
      <c r="K950">
        <v>1</v>
      </c>
      <c r="L950" t="s">
        <v>37</v>
      </c>
      <c r="M950" s="5">
        <v>3</v>
      </c>
      <c r="N950" s="4">
        <v>0.14000000000000001</v>
      </c>
      <c r="O950" t="s">
        <v>47</v>
      </c>
    </row>
    <row r="951" spans="1:15" x14ac:dyDescent="0.3">
      <c r="A951" t="s">
        <v>2924</v>
      </c>
      <c r="B951" s="5">
        <v>20</v>
      </c>
      <c r="C951" s="5" t="str" cm="1">
        <f t="array" ref="C951">_xlfn.IFS(worksheet[[#This Row],[age]]&lt;25,"1. Young Adulthood (18-24)",worksheet[[#This Row],[age]]&lt; 35,"2. Early Adulthood (25-34)",worksheet[[#This Row],[age]]&lt; 45,"3. Mid Adulthood (35-44)",worksheet[[#This Row],[age]]&lt; 55,"4. Mature Adulthood (45-54)",TRUE,"5. Late Adulthood/Senior (55+)")</f>
        <v>1. Young Adulthood (18-24)</v>
      </c>
      <c r="D951" t="s">
        <v>41</v>
      </c>
      <c r="E951" t="s">
        <v>32</v>
      </c>
      <c r="F951" s="4">
        <v>12.72</v>
      </c>
      <c r="G951" s="5">
        <v>13</v>
      </c>
      <c r="H951" t="s">
        <v>33</v>
      </c>
      <c r="I951" t="s">
        <v>24</v>
      </c>
      <c r="J951" s="6">
        <v>17.989999999999998</v>
      </c>
      <c r="K951">
        <v>0</v>
      </c>
      <c r="L951" t="s">
        <v>61</v>
      </c>
      <c r="M951" s="5">
        <v>2</v>
      </c>
      <c r="N951" s="4">
        <v>0.91</v>
      </c>
      <c r="O951" t="s">
        <v>34</v>
      </c>
    </row>
    <row r="952" spans="1:15" x14ac:dyDescent="0.3">
      <c r="A952" t="s">
        <v>2926</v>
      </c>
      <c r="B952" s="5">
        <v>34</v>
      </c>
      <c r="C952" s="5" t="str" cm="1">
        <f t="array" ref="C952">_xlfn.IFS(worksheet[[#This Row],[age]]&lt;25,"1. Young Adulthood (18-24)",worksheet[[#This Row],[age]]&lt; 35,"2. Early Adulthood (25-34)",worksheet[[#This Row],[age]]&lt; 45,"3. Mid Adulthood (35-44)",worksheet[[#This Row],[age]]&lt; 55,"4. Mature Adulthood (45-54)",TRUE,"5. Late Adulthood/Senior (55+)")</f>
        <v>2. Early Adulthood (25-34)</v>
      </c>
      <c r="D952" t="s">
        <v>27</v>
      </c>
      <c r="E952" t="s">
        <v>32</v>
      </c>
      <c r="F952" s="4">
        <v>19.54</v>
      </c>
      <c r="G952" s="5">
        <v>10</v>
      </c>
      <c r="H952" t="s">
        <v>28</v>
      </c>
      <c r="I952" t="s">
        <v>46</v>
      </c>
      <c r="J952" s="6">
        <v>17.989999999999998</v>
      </c>
      <c r="K952">
        <v>0</v>
      </c>
      <c r="L952" t="s">
        <v>37</v>
      </c>
      <c r="M952" s="5">
        <v>2</v>
      </c>
      <c r="N952" s="4">
        <v>1.78</v>
      </c>
      <c r="O952" t="s">
        <v>25</v>
      </c>
    </row>
    <row r="953" spans="1:15" x14ac:dyDescent="0.3">
      <c r="A953" t="s">
        <v>2933</v>
      </c>
      <c r="B953" s="5">
        <v>22</v>
      </c>
      <c r="C953" s="5" t="str" cm="1">
        <f t="array" ref="C953">_xlfn.IFS(worksheet[[#This Row],[age]]&lt;25,"1. Young Adulthood (18-24)",worksheet[[#This Row],[age]]&lt; 35,"2. Early Adulthood (25-34)",worksheet[[#This Row],[age]]&lt; 45,"3. Mid Adulthood (35-44)",worksheet[[#This Row],[age]]&lt; 55,"4. Mature Adulthood (45-54)",TRUE,"5. Late Adulthood/Senior (55+)")</f>
        <v>1. Young Adulthood (18-24)</v>
      </c>
      <c r="D953" t="s">
        <v>15</v>
      </c>
      <c r="E953" t="s">
        <v>22</v>
      </c>
      <c r="F953" s="4">
        <v>14.04</v>
      </c>
      <c r="G953" s="5">
        <v>19</v>
      </c>
      <c r="H953" t="s">
        <v>70</v>
      </c>
      <c r="I953" t="s">
        <v>24</v>
      </c>
      <c r="J953" s="6">
        <v>13.99</v>
      </c>
      <c r="K953">
        <v>0</v>
      </c>
      <c r="L953" t="s">
        <v>19</v>
      </c>
      <c r="M953" s="5">
        <v>2</v>
      </c>
      <c r="N953" s="4">
        <v>0.7</v>
      </c>
      <c r="O953" t="s">
        <v>25</v>
      </c>
    </row>
    <row r="954" spans="1:15" x14ac:dyDescent="0.3">
      <c r="A954" t="s">
        <v>2935</v>
      </c>
      <c r="B954" s="5">
        <v>21</v>
      </c>
      <c r="C954" s="5" t="str" cm="1">
        <f t="array" ref="C954">_xlfn.IFS(worksheet[[#This Row],[age]]&lt;25,"1. Young Adulthood (18-24)",worksheet[[#This Row],[age]]&lt; 35,"2. Early Adulthood (25-34)",worksheet[[#This Row],[age]]&lt; 45,"3. Mid Adulthood (35-44)",worksheet[[#This Row],[age]]&lt; 55,"4. Mature Adulthood (45-54)",TRUE,"5. Late Adulthood/Senior (55+)")</f>
        <v>1. Young Adulthood (18-24)</v>
      </c>
      <c r="D954" t="s">
        <v>15</v>
      </c>
      <c r="E954" t="s">
        <v>22</v>
      </c>
      <c r="F954" s="4">
        <v>0.06</v>
      </c>
      <c r="G954" s="5">
        <v>13</v>
      </c>
      <c r="H954" t="s">
        <v>33</v>
      </c>
      <c r="I954" t="s">
        <v>55</v>
      </c>
      <c r="J954" s="6">
        <v>13.99</v>
      </c>
      <c r="K954">
        <v>0</v>
      </c>
      <c r="L954" t="s">
        <v>43</v>
      </c>
      <c r="M954" s="5">
        <v>5</v>
      </c>
      <c r="N954" s="4">
        <v>0</v>
      </c>
      <c r="O954" t="s">
        <v>30</v>
      </c>
    </row>
    <row r="955" spans="1:15" x14ac:dyDescent="0.3">
      <c r="A955" t="s">
        <v>2940</v>
      </c>
      <c r="B955" s="5">
        <v>33</v>
      </c>
      <c r="C955" s="5" t="str" cm="1">
        <f t="array" ref="C955">_xlfn.IFS(worksheet[[#This Row],[age]]&lt;25,"1. Young Adulthood (18-24)",worksheet[[#This Row],[age]]&lt; 35,"2. Early Adulthood (25-34)",worksheet[[#This Row],[age]]&lt; 45,"3. Mid Adulthood (35-44)",worksheet[[#This Row],[age]]&lt; 55,"4. Mature Adulthood (45-54)",TRUE,"5. Late Adulthood/Senior (55+)")</f>
        <v>2. Early Adulthood (25-34)</v>
      </c>
      <c r="D955" t="s">
        <v>27</v>
      </c>
      <c r="E955" t="s">
        <v>32</v>
      </c>
      <c r="F955" s="4">
        <v>2.08</v>
      </c>
      <c r="G955" s="5">
        <v>7</v>
      </c>
      <c r="H955" t="s">
        <v>70</v>
      </c>
      <c r="I955" t="s">
        <v>18</v>
      </c>
      <c r="J955" s="6">
        <v>17.989999999999998</v>
      </c>
      <c r="K955">
        <v>0</v>
      </c>
      <c r="L955" t="s">
        <v>37</v>
      </c>
      <c r="M955" s="5">
        <v>4</v>
      </c>
      <c r="N955" s="4">
        <v>0.26</v>
      </c>
      <c r="O955" t="s">
        <v>39</v>
      </c>
    </row>
    <row r="956" spans="1:15" x14ac:dyDescent="0.3">
      <c r="A956" t="s">
        <v>2941</v>
      </c>
      <c r="B956" s="5">
        <v>32</v>
      </c>
      <c r="C956" s="5" t="str" cm="1">
        <f t="array" ref="C956">_xlfn.IFS(worksheet[[#This Row],[age]]&lt;25,"1. Young Adulthood (18-24)",worksheet[[#This Row],[age]]&lt; 35,"2. Early Adulthood (25-34)",worksheet[[#This Row],[age]]&lt; 45,"3. Mid Adulthood (35-44)",worksheet[[#This Row],[age]]&lt; 55,"4. Mature Adulthood (45-54)",TRUE,"5. Late Adulthood/Senior (55+)")</f>
        <v>2. Early Adulthood (25-34)</v>
      </c>
      <c r="D956" t="s">
        <v>41</v>
      </c>
      <c r="E956" t="s">
        <v>16</v>
      </c>
      <c r="F956" s="4">
        <v>10.130000000000001</v>
      </c>
      <c r="G956" s="5">
        <v>8</v>
      </c>
      <c r="H956" t="s">
        <v>33</v>
      </c>
      <c r="I956" t="s">
        <v>57</v>
      </c>
      <c r="J956" s="6">
        <v>8.99</v>
      </c>
      <c r="K956">
        <v>0</v>
      </c>
      <c r="L956" t="s">
        <v>61</v>
      </c>
      <c r="M956" s="5">
        <v>5</v>
      </c>
      <c r="N956" s="4">
        <v>1.1299999999999999</v>
      </c>
      <c r="O956" t="s">
        <v>34</v>
      </c>
    </row>
    <row r="957" spans="1:15" x14ac:dyDescent="0.3">
      <c r="A957" t="s">
        <v>2942</v>
      </c>
      <c r="B957" s="5">
        <v>23</v>
      </c>
      <c r="C957" s="5" t="str" cm="1">
        <f t="array" ref="C957">_xlfn.IFS(worksheet[[#This Row],[age]]&lt;25,"1. Young Adulthood (18-24)",worksheet[[#This Row],[age]]&lt; 35,"2. Early Adulthood (25-34)",worksheet[[#This Row],[age]]&lt; 45,"3. Mid Adulthood (35-44)",worksheet[[#This Row],[age]]&lt; 55,"4. Mature Adulthood (45-54)",TRUE,"5. Late Adulthood/Senior (55+)")</f>
        <v>1. Young Adulthood (18-24)</v>
      </c>
      <c r="D957" t="s">
        <v>27</v>
      </c>
      <c r="E957" t="s">
        <v>16</v>
      </c>
      <c r="F957" s="4">
        <v>11.07</v>
      </c>
      <c r="G957" s="5">
        <v>47</v>
      </c>
      <c r="H957" t="s">
        <v>23</v>
      </c>
      <c r="I957" t="s">
        <v>46</v>
      </c>
      <c r="J957" s="6">
        <v>8.99</v>
      </c>
      <c r="K957">
        <v>1</v>
      </c>
      <c r="L957" t="s">
        <v>29</v>
      </c>
      <c r="M957" s="5">
        <v>4</v>
      </c>
      <c r="N957" s="4">
        <v>0.23</v>
      </c>
      <c r="O957" t="s">
        <v>20</v>
      </c>
    </row>
    <row r="958" spans="1:15" x14ac:dyDescent="0.3">
      <c r="A958" t="s">
        <v>2944</v>
      </c>
      <c r="B958" s="5">
        <v>33</v>
      </c>
      <c r="C958" s="5" t="str" cm="1">
        <f t="array" ref="C958">_xlfn.IFS(worksheet[[#This Row],[age]]&lt;25,"1. Young Adulthood (18-24)",worksheet[[#This Row],[age]]&lt; 35,"2. Early Adulthood (25-34)",worksheet[[#This Row],[age]]&lt; 45,"3. Mid Adulthood (35-44)",worksheet[[#This Row],[age]]&lt; 55,"4. Mature Adulthood (45-54)",TRUE,"5. Late Adulthood/Senior (55+)")</f>
        <v>2. Early Adulthood (25-34)</v>
      </c>
      <c r="D958" t="s">
        <v>41</v>
      </c>
      <c r="E958" t="s">
        <v>32</v>
      </c>
      <c r="F958" s="4">
        <v>17.72</v>
      </c>
      <c r="G958" s="5">
        <v>5</v>
      </c>
      <c r="H958" t="s">
        <v>70</v>
      </c>
      <c r="I958" t="s">
        <v>46</v>
      </c>
      <c r="J958" s="6">
        <v>17.989999999999998</v>
      </c>
      <c r="K958">
        <v>0</v>
      </c>
      <c r="L958" t="s">
        <v>61</v>
      </c>
      <c r="M958" s="5">
        <v>5</v>
      </c>
      <c r="N958" s="4">
        <v>2.95</v>
      </c>
      <c r="O958" t="s">
        <v>39</v>
      </c>
    </row>
    <row r="959" spans="1:15" x14ac:dyDescent="0.3">
      <c r="A959" t="s">
        <v>2946</v>
      </c>
      <c r="B959" s="5">
        <v>23</v>
      </c>
      <c r="C959" s="5" t="str" cm="1">
        <f t="array" ref="C959">_xlfn.IFS(worksheet[[#This Row],[age]]&lt;25,"1. Young Adulthood (18-24)",worksheet[[#This Row],[age]]&lt; 35,"2. Early Adulthood (25-34)",worksheet[[#This Row],[age]]&lt; 45,"3. Mid Adulthood (35-44)",worksheet[[#This Row],[age]]&lt; 55,"4. Mature Adulthood (45-54)",TRUE,"5. Late Adulthood/Senior (55+)")</f>
        <v>1. Young Adulthood (18-24)</v>
      </c>
      <c r="D959" t="s">
        <v>27</v>
      </c>
      <c r="E959" t="s">
        <v>22</v>
      </c>
      <c r="F959" s="4">
        <v>14.92</v>
      </c>
      <c r="G959" s="5">
        <v>13</v>
      </c>
      <c r="H959" t="s">
        <v>70</v>
      </c>
      <c r="I959" t="s">
        <v>18</v>
      </c>
      <c r="J959" s="6">
        <v>13.99</v>
      </c>
      <c r="K959">
        <v>0</v>
      </c>
      <c r="L959" t="s">
        <v>19</v>
      </c>
      <c r="M959" s="5">
        <v>2</v>
      </c>
      <c r="N959" s="4">
        <v>1.07</v>
      </c>
      <c r="O959" t="s">
        <v>52</v>
      </c>
    </row>
    <row r="960" spans="1:15" x14ac:dyDescent="0.3">
      <c r="A960" t="s">
        <v>2950</v>
      </c>
      <c r="B960" s="5">
        <v>22</v>
      </c>
      <c r="C960" s="5" t="str" cm="1">
        <f t="array" ref="C960">_xlfn.IFS(worksheet[[#This Row],[age]]&lt;25,"1. Young Adulthood (18-24)",worksheet[[#This Row],[age]]&lt; 35,"2. Early Adulthood (25-34)",worksheet[[#This Row],[age]]&lt; 45,"3. Mid Adulthood (35-44)",worksheet[[#This Row],[age]]&lt; 55,"4. Mature Adulthood (45-54)",TRUE,"5. Late Adulthood/Senior (55+)")</f>
        <v>1. Young Adulthood (18-24)</v>
      </c>
      <c r="D960" t="s">
        <v>15</v>
      </c>
      <c r="E960" t="s">
        <v>32</v>
      </c>
      <c r="F960" s="4">
        <v>0.85</v>
      </c>
      <c r="G960" s="5">
        <v>26</v>
      </c>
      <c r="H960" t="s">
        <v>33</v>
      </c>
      <c r="I960" t="s">
        <v>18</v>
      </c>
      <c r="J960" s="6">
        <v>17.989999999999998</v>
      </c>
      <c r="K960">
        <v>1</v>
      </c>
      <c r="L960" t="s">
        <v>37</v>
      </c>
      <c r="M960" s="5">
        <v>3</v>
      </c>
      <c r="N960" s="4">
        <v>0.03</v>
      </c>
      <c r="O960" t="s">
        <v>47</v>
      </c>
    </row>
    <row r="961" spans="1:15" x14ac:dyDescent="0.3">
      <c r="A961" t="s">
        <v>2958</v>
      </c>
      <c r="B961" s="5">
        <v>19</v>
      </c>
      <c r="C961" s="5" t="str" cm="1">
        <f t="array" ref="C961">_xlfn.IFS(worksheet[[#This Row],[age]]&lt;25,"1. Young Adulthood (18-24)",worksheet[[#This Row],[age]]&lt; 35,"2. Early Adulthood (25-34)",worksheet[[#This Row],[age]]&lt; 45,"3. Mid Adulthood (35-44)",worksheet[[#This Row],[age]]&lt; 55,"4. Mature Adulthood (45-54)",TRUE,"5. Late Adulthood/Senior (55+)")</f>
        <v>1. Young Adulthood (18-24)</v>
      </c>
      <c r="D961" t="s">
        <v>27</v>
      </c>
      <c r="E961" t="s">
        <v>22</v>
      </c>
      <c r="F961" s="4">
        <v>6.51</v>
      </c>
      <c r="G961" s="5">
        <v>51</v>
      </c>
      <c r="H961" t="s">
        <v>28</v>
      </c>
      <c r="I961" t="s">
        <v>57</v>
      </c>
      <c r="J961" s="6">
        <v>13.99</v>
      </c>
      <c r="K961">
        <v>1</v>
      </c>
      <c r="L961" t="s">
        <v>29</v>
      </c>
      <c r="M961" s="5">
        <v>1</v>
      </c>
      <c r="N961" s="4">
        <v>0.13</v>
      </c>
      <c r="O961" t="s">
        <v>47</v>
      </c>
    </row>
    <row r="962" spans="1:15" x14ac:dyDescent="0.3">
      <c r="A962" t="s">
        <v>2960</v>
      </c>
      <c r="B962" s="5">
        <v>24</v>
      </c>
      <c r="C962" s="5" t="str" cm="1">
        <f t="array" ref="C962">_xlfn.IFS(worksheet[[#This Row],[age]]&lt;25,"1. Young Adulthood (18-24)",worksheet[[#This Row],[age]]&lt; 35,"2. Early Adulthood (25-34)",worksheet[[#This Row],[age]]&lt; 45,"3. Mid Adulthood (35-44)",worksheet[[#This Row],[age]]&lt; 55,"4. Mature Adulthood (45-54)",TRUE,"5. Late Adulthood/Senior (55+)")</f>
        <v>1. Young Adulthood (18-24)</v>
      </c>
      <c r="D962" t="s">
        <v>15</v>
      </c>
      <c r="E962" t="s">
        <v>32</v>
      </c>
      <c r="F962" s="4">
        <v>18.05</v>
      </c>
      <c r="G962" s="5">
        <v>41</v>
      </c>
      <c r="H962" t="s">
        <v>17</v>
      </c>
      <c r="I962" t="s">
        <v>24</v>
      </c>
      <c r="J962" s="6">
        <v>17.989999999999998</v>
      </c>
      <c r="K962">
        <v>0</v>
      </c>
      <c r="L962" t="s">
        <v>61</v>
      </c>
      <c r="M962" s="5">
        <v>5</v>
      </c>
      <c r="N962" s="4">
        <v>0.43</v>
      </c>
      <c r="O962" t="s">
        <v>39</v>
      </c>
    </row>
    <row r="963" spans="1:15" x14ac:dyDescent="0.3">
      <c r="A963" t="s">
        <v>2966</v>
      </c>
      <c r="B963" s="5">
        <v>18</v>
      </c>
      <c r="C963" s="5" t="str" cm="1">
        <f t="array" ref="C963">_xlfn.IFS(worksheet[[#This Row],[age]]&lt;25,"1. Young Adulthood (18-24)",worksheet[[#This Row],[age]]&lt; 35,"2. Early Adulthood (25-34)",worksheet[[#This Row],[age]]&lt; 45,"3. Mid Adulthood (35-44)",worksheet[[#This Row],[age]]&lt; 55,"4. Mature Adulthood (45-54)",TRUE,"5. Late Adulthood/Senior (55+)")</f>
        <v>1. Young Adulthood (18-24)</v>
      </c>
      <c r="D963" t="s">
        <v>15</v>
      </c>
      <c r="E963" t="s">
        <v>16</v>
      </c>
      <c r="F963" s="4">
        <v>3.17</v>
      </c>
      <c r="G963" s="5">
        <v>0</v>
      </c>
      <c r="H963" t="s">
        <v>28</v>
      </c>
      <c r="I963" t="s">
        <v>46</v>
      </c>
      <c r="J963" s="6">
        <v>8.99</v>
      </c>
      <c r="K963">
        <v>1</v>
      </c>
      <c r="L963" t="s">
        <v>61</v>
      </c>
      <c r="M963" s="5">
        <v>1</v>
      </c>
      <c r="N963" s="4">
        <v>3.17</v>
      </c>
      <c r="O963" t="s">
        <v>20</v>
      </c>
    </row>
    <row r="964" spans="1:15" x14ac:dyDescent="0.3">
      <c r="A964" t="s">
        <v>2967</v>
      </c>
      <c r="B964" s="5">
        <v>28</v>
      </c>
      <c r="C964" s="5" t="str" cm="1">
        <f t="array" ref="C964">_xlfn.IFS(worksheet[[#This Row],[age]]&lt;25,"1. Young Adulthood (18-24)",worksheet[[#This Row],[age]]&lt; 35,"2. Early Adulthood (25-34)",worksheet[[#This Row],[age]]&lt; 45,"3. Mid Adulthood (35-44)",worksheet[[#This Row],[age]]&lt; 55,"4. Mature Adulthood (45-54)",TRUE,"5. Late Adulthood/Senior (55+)")</f>
        <v>2. Early Adulthood (25-34)</v>
      </c>
      <c r="D964" t="s">
        <v>41</v>
      </c>
      <c r="E964" t="s">
        <v>32</v>
      </c>
      <c r="F964" s="4">
        <v>8.75</v>
      </c>
      <c r="G964" s="5">
        <v>46</v>
      </c>
      <c r="H964" t="s">
        <v>28</v>
      </c>
      <c r="I964" t="s">
        <v>55</v>
      </c>
      <c r="J964" s="6">
        <v>17.989999999999998</v>
      </c>
      <c r="K964">
        <v>1</v>
      </c>
      <c r="L964" t="s">
        <v>61</v>
      </c>
      <c r="M964" s="5">
        <v>3</v>
      </c>
      <c r="N964" s="4">
        <v>0.19</v>
      </c>
      <c r="O964" t="s">
        <v>47</v>
      </c>
    </row>
    <row r="965" spans="1:15" x14ac:dyDescent="0.3">
      <c r="A965" t="s">
        <v>2973</v>
      </c>
      <c r="B965" s="5">
        <v>34</v>
      </c>
      <c r="C965" s="5" t="str" cm="1">
        <f t="array" ref="C965">_xlfn.IFS(worksheet[[#This Row],[age]]&lt;25,"1. Young Adulthood (18-24)",worksheet[[#This Row],[age]]&lt; 35,"2. Early Adulthood (25-34)",worksheet[[#This Row],[age]]&lt; 45,"3. Mid Adulthood (35-44)",worksheet[[#This Row],[age]]&lt; 55,"4. Mature Adulthood (45-54)",TRUE,"5. Late Adulthood/Senior (55+)")</f>
        <v>2. Early Adulthood (25-34)</v>
      </c>
      <c r="D965" t="s">
        <v>27</v>
      </c>
      <c r="E965" t="s">
        <v>16</v>
      </c>
      <c r="F965" s="4">
        <v>28.06</v>
      </c>
      <c r="G965" s="5">
        <v>33</v>
      </c>
      <c r="H965" t="s">
        <v>33</v>
      </c>
      <c r="I965" t="s">
        <v>18</v>
      </c>
      <c r="J965" s="6">
        <v>8.99</v>
      </c>
      <c r="K965">
        <v>0</v>
      </c>
      <c r="L965" t="s">
        <v>43</v>
      </c>
      <c r="M965" s="5">
        <v>4</v>
      </c>
      <c r="N965" s="4">
        <v>0.83</v>
      </c>
      <c r="O965" t="s">
        <v>52</v>
      </c>
    </row>
    <row r="966" spans="1:15" x14ac:dyDescent="0.3">
      <c r="A966" t="s">
        <v>2974</v>
      </c>
      <c r="B966" s="5">
        <v>21</v>
      </c>
      <c r="C966" s="5" t="str" cm="1">
        <f t="array" ref="C966">_xlfn.IFS(worksheet[[#This Row],[age]]&lt;25,"1. Young Adulthood (18-24)",worksheet[[#This Row],[age]]&lt; 35,"2. Early Adulthood (25-34)",worksheet[[#This Row],[age]]&lt; 45,"3. Mid Adulthood (35-44)",worksheet[[#This Row],[age]]&lt; 55,"4. Mature Adulthood (45-54)",TRUE,"5. Late Adulthood/Senior (55+)")</f>
        <v>1. Young Adulthood (18-24)</v>
      </c>
      <c r="D966" t="s">
        <v>41</v>
      </c>
      <c r="E966" t="s">
        <v>32</v>
      </c>
      <c r="F966" s="4">
        <v>16.09</v>
      </c>
      <c r="G966" s="5">
        <v>2</v>
      </c>
      <c r="H966" t="s">
        <v>70</v>
      </c>
      <c r="I966" t="s">
        <v>57</v>
      </c>
      <c r="J966" s="6">
        <v>17.989999999999998</v>
      </c>
      <c r="K966">
        <v>0</v>
      </c>
      <c r="L966" t="s">
        <v>29</v>
      </c>
      <c r="M966" s="5">
        <v>4</v>
      </c>
      <c r="N966" s="4">
        <v>5.36</v>
      </c>
      <c r="O966" t="s">
        <v>25</v>
      </c>
    </row>
    <row r="967" spans="1:15" x14ac:dyDescent="0.3">
      <c r="A967" t="s">
        <v>2977</v>
      </c>
      <c r="B967" s="5">
        <v>23</v>
      </c>
      <c r="C967" s="5" t="str" cm="1">
        <f t="array" ref="C967">_xlfn.IFS(worksheet[[#This Row],[age]]&lt;25,"1. Young Adulthood (18-24)",worksheet[[#This Row],[age]]&lt; 35,"2. Early Adulthood (25-34)",worksheet[[#This Row],[age]]&lt; 45,"3. Mid Adulthood (35-44)",worksheet[[#This Row],[age]]&lt; 55,"4. Mature Adulthood (45-54)",TRUE,"5. Late Adulthood/Senior (55+)")</f>
        <v>1. Young Adulthood (18-24)</v>
      </c>
      <c r="D967" t="s">
        <v>15</v>
      </c>
      <c r="E967" t="s">
        <v>16</v>
      </c>
      <c r="F967" s="4">
        <v>2.91</v>
      </c>
      <c r="G967" s="5">
        <v>40</v>
      </c>
      <c r="H967" t="s">
        <v>33</v>
      </c>
      <c r="I967" t="s">
        <v>57</v>
      </c>
      <c r="J967" s="6">
        <v>8.99</v>
      </c>
      <c r="K967">
        <v>1</v>
      </c>
      <c r="L967" t="s">
        <v>43</v>
      </c>
      <c r="M967" s="5">
        <v>3</v>
      </c>
      <c r="N967" s="4">
        <v>7.0000000000000007E-2</v>
      </c>
      <c r="O967" t="s">
        <v>30</v>
      </c>
    </row>
    <row r="968" spans="1:15" x14ac:dyDescent="0.3">
      <c r="A968" t="s">
        <v>2979</v>
      </c>
      <c r="B968" s="5">
        <v>30</v>
      </c>
      <c r="C968" s="5" t="str" cm="1">
        <f t="array" ref="C968">_xlfn.IFS(worksheet[[#This Row],[age]]&lt;25,"1. Young Adulthood (18-24)",worksheet[[#This Row],[age]]&lt; 35,"2. Early Adulthood (25-34)",worksheet[[#This Row],[age]]&lt; 45,"3. Mid Adulthood (35-44)",worksheet[[#This Row],[age]]&lt; 55,"4. Mature Adulthood (45-54)",TRUE,"5. Late Adulthood/Senior (55+)")</f>
        <v>2. Early Adulthood (25-34)</v>
      </c>
      <c r="D968" t="s">
        <v>41</v>
      </c>
      <c r="E968" t="s">
        <v>32</v>
      </c>
      <c r="F968" s="4">
        <v>5.43</v>
      </c>
      <c r="G968" s="5">
        <v>56</v>
      </c>
      <c r="H968" t="s">
        <v>17</v>
      </c>
      <c r="I968" t="s">
        <v>18</v>
      </c>
      <c r="J968" s="6">
        <v>17.989999999999998</v>
      </c>
      <c r="K968">
        <v>1</v>
      </c>
      <c r="L968" t="s">
        <v>19</v>
      </c>
      <c r="M968" s="5">
        <v>4</v>
      </c>
      <c r="N968" s="4">
        <v>0.1</v>
      </c>
      <c r="O968" t="s">
        <v>52</v>
      </c>
    </row>
    <row r="969" spans="1:15" x14ac:dyDescent="0.3">
      <c r="A969" t="s">
        <v>2980</v>
      </c>
      <c r="B969" s="5">
        <v>25</v>
      </c>
      <c r="C969" s="5" t="str" cm="1">
        <f t="array" ref="C969">_xlfn.IFS(worksheet[[#This Row],[age]]&lt;25,"1. Young Adulthood (18-24)",worksheet[[#This Row],[age]]&lt; 35,"2. Early Adulthood (25-34)",worksheet[[#This Row],[age]]&lt; 45,"3. Mid Adulthood (35-44)",worksheet[[#This Row],[age]]&lt; 55,"4. Mature Adulthood (45-54)",TRUE,"5. Late Adulthood/Senior (55+)")</f>
        <v>2. Early Adulthood (25-34)</v>
      </c>
      <c r="D969" t="s">
        <v>15</v>
      </c>
      <c r="E969" t="s">
        <v>32</v>
      </c>
      <c r="F969" s="4">
        <v>2.5099999999999998</v>
      </c>
      <c r="G969" s="5">
        <v>18</v>
      </c>
      <c r="H969" t="s">
        <v>28</v>
      </c>
      <c r="I969" t="s">
        <v>18</v>
      </c>
      <c r="J969" s="6">
        <v>17.989999999999998</v>
      </c>
      <c r="K969">
        <v>0</v>
      </c>
      <c r="L969" t="s">
        <v>43</v>
      </c>
      <c r="M969" s="5">
        <v>5</v>
      </c>
      <c r="N969" s="4">
        <v>0.13</v>
      </c>
      <c r="O969" t="s">
        <v>25</v>
      </c>
    </row>
    <row r="970" spans="1:15" x14ac:dyDescent="0.3">
      <c r="A970" t="s">
        <v>2981</v>
      </c>
      <c r="B970" s="5">
        <v>32</v>
      </c>
      <c r="C970" s="5" t="str" cm="1">
        <f t="array" ref="C970">_xlfn.IFS(worksheet[[#This Row],[age]]&lt;25,"1. Young Adulthood (18-24)",worksheet[[#This Row],[age]]&lt; 35,"2. Early Adulthood (25-34)",worksheet[[#This Row],[age]]&lt; 45,"3. Mid Adulthood (35-44)",worksheet[[#This Row],[age]]&lt; 55,"4. Mature Adulthood (45-54)",TRUE,"5. Late Adulthood/Senior (55+)")</f>
        <v>2. Early Adulthood (25-34)</v>
      </c>
      <c r="D970" t="s">
        <v>27</v>
      </c>
      <c r="E970" t="s">
        <v>16</v>
      </c>
      <c r="F970" s="4">
        <v>7.17</v>
      </c>
      <c r="G970" s="5">
        <v>3</v>
      </c>
      <c r="H970" t="s">
        <v>28</v>
      </c>
      <c r="I970" t="s">
        <v>57</v>
      </c>
      <c r="J970" s="6">
        <v>8.99</v>
      </c>
      <c r="K970">
        <v>0</v>
      </c>
      <c r="L970" t="s">
        <v>37</v>
      </c>
      <c r="M970" s="5">
        <v>5</v>
      </c>
      <c r="N970" s="4">
        <v>1.79</v>
      </c>
      <c r="O970" t="s">
        <v>34</v>
      </c>
    </row>
    <row r="971" spans="1:15" x14ac:dyDescent="0.3">
      <c r="A971" t="s">
        <v>2982</v>
      </c>
      <c r="B971" s="5">
        <v>29</v>
      </c>
      <c r="C971" s="5" t="str" cm="1">
        <f t="array" ref="C971">_xlfn.IFS(worksheet[[#This Row],[age]]&lt;25,"1. Young Adulthood (18-24)",worksheet[[#This Row],[age]]&lt; 35,"2. Early Adulthood (25-34)",worksheet[[#This Row],[age]]&lt; 45,"3. Mid Adulthood (35-44)",worksheet[[#This Row],[age]]&lt; 55,"4. Mature Adulthood (45-54)",TRUE,"5. Late Adulthood/Senior (55+)")</f>
        <v>2. Early Adulthood (25-34)</v>
      </c>
      <c r="D971" t="s">
        <v>27</v>
      </c>
      <c r="E971" t="s">
        <v>16</v>
      </c>
      <c r="F971" s="4">
        <v>10.64</v>
      </c>
      <c r="G971" s="5">
        <v>36</v>
      </c>
      <c r="H971" t="s">
        <v>23</v>
      </c>
      <c r="I971" t="s">
        <v>57</v>
      </c>
      <c r="J971" s="6">
        <v>8.99</v>
      </c>
      <c r="K971">
        <v>1</v>
      </c>
      <c r="L971" t="s">
        <v>43</v>
      </c>
      <c r="M971" s="5">
        <v>1</v>
      </c>
      <c r="N971" s="4">
        <v>0.28999999999999998</v>
      </c>
      <c r="O971" t="s">
        <v>20</v>
      </c>
    </row>
    <row r="972" spans="1:15" x14ac:dyDescent="0.3">
      <c r="A972" t="s">
        <v>2985</v>
      </c>
      <c r="B972" s="5">
        <v>23</v>
      </c>
      <c r="C972" s="5" t="str" cm="1">
        <f t="array" ref="C972">_xlfn.IFS(worksheet[[#This Row],[age]]&lt;25,"1. Young Adulthood (18-24)",worksheet[[#This Row],[age]]&lt; 35,"2. Early Adulthood (25-34)",worksheet[[#This Row],[age]]&lt; 45,"3. Mid Adulthood (35-44)",worksheet[[#This Row],[age]]&lt; 55,"4. Mature Adulthood (45-54)",TRUE,"5. Late Adulthood/Senior (55+)")</f>
        <v>1. Young Adulthood (18-24)</v>
      </c>
      <c r="D972" t="s">
        <v>27</v>
      </c>
      <c r="E972" t="s">
        <v>16</v>
      </c>
      <c r="F972" s="4">
        <v>11.25</v>
      </c>
      <c r="G972" s="5">
        <v>24</v>
      </c>
      <c r="H972" t="s">
        <v>28</v>
      </c>
      <c r="I972" t="s">
        <v>55</v>
      </c>
      <c r="J972" s="6">
        <v>8.99</v>
      </c>
      <c r="K972">
        <v>0</v>
      </c>
      <c r="L972" t="s">
        <v>29</v>
      </c>
      <c r="M972" s="5">
        <v>5</v>
      </c>
      <c r="N972" s="4">
        <v>0.45</v>
      </c>
      <c r="O972" t="s">
        <v>47</v>
      </c>
    </row>
    <row r="973" spans="1:15" x14ac:dyDescent="0.3">
      <c r="A973" t="s">
        <v>2990</v>
      </c>
      <c r="B973" s="5">
        <v>33</v>
      </c>
      <c r="C973" s="5" t="str" cm="1">
        <f t="array" ref="C973">_xlfn.IFS(worksheet[[#This Row],[age]]&lt;25,"1. Young Adulthood (18-24)",worksheet[[#This Row],[age]]&lt; 35,"2. Early Adulthood (25-34)",worksheet[[#This Row],[age]]&lt; 45,"3. Mid Adulthood (35-44)",worksheet[[#This Row],[age]]&lt; 55,"4. Mature Adulthood (45-54)",TRUE,"5. Late Adulthood/Senior (55+)")</f>
        <v>2. Early Adulthood (25-34)</v>
      </c>
      <c r="D973" t="s">
        <v>27</v>
      </c>
      <c r="E973" t="s">
        <v>16</v>
      </c>
      <c r="F973" s="4">
        <v>11.36</v>
      </c>
      <c r="G973" s="5">
        <v>51</v>
      </c>
      <c r="H973" t="s">
        <v>23</v>
      </c>
      <c r="I973" t="s">
        <v>55</v>
      </c>
      <c r="J973" s="6">
        <v>8.99</v>
      </c>
      <c r="K973">
        <v>1</v>
      </c>
      <c r="L973" t="s">
        <v>43</v>
      </c>
      <c r="M973" s="5">
        <v>1</v>
      </c>
      <c r="N973" s="4">
        <v>0.22</v>
      </c>
      <c r="O973" t="s">
        <v>30</v>
      </c>
    </row>
    <row r="974" spans="1:15" x14ac:dyDescent="0.3">
      <c r="A974" t="s">
        <v>2993</v>
      </c>
      <c r="B974" s="5">
        <v>24</v>
      </c>
      <c r="C974" s="5" t="str" cm="1">
        <f t="array" ref="C974">_xlfn.IFS(worksheet[[#This Row],[age]]&lt;25,"1. Young Adulthood (18-24)",worksheet[[#This Row],[age]]&lt; 35,"2. Early Adulthood (25-34)",worksheet[[#This Row],[age]]&lt; 45,"3. Mid Adulthood (35-44)",worksheet[[#This Row],[age]]&lt; 55,"4. Mature Adulthood (45-54)",TRUE,"5. Late Adulthood/Senior (55+)")</f>
        <v>1. Young Adulthood (18-24)</v>
      </c>
      <c r="D974" t="s">
        <v>15</v>
      </c>
      <c r="E974" t="s">
        <v>16</v>
      </c>
      <c r="F974" s="4">
        <v>17.559999999999999</v>
      </c>
      <c r="G974" s="5">
        <v>10</v>
      </c>
      <c r="H974" t="s">
        <v>33</v>
      </c>
      <c r="I974" t="s">
        <v>24</v>
      </c>
      <c r="J974" s="6">
        <v>8.99</v>
      </c>
      <c r="K974">
        <v>0</v>
      </c>
      <c r="L974" t="s">
        <v>19</v>
      </c>
      <c r="M974" s="5">
        <v>5</v>
      </c>
      <c r="N974" s="4">
        <v>1.6</v>
      </c>
      <c r="O974" t="s">
        <v>20</v>
      </c>
    </row>
    <row r="975" spans="1:15" x14ac:dyDescent="0.3">
      <c r="A975" t="s">
        <v>2998</v>
      </c>
      <c r="B975" s="5">
        <v>25</v>
      </c>
      <c r="C975" s="5" t="str" cm="1">
        <f t="array" ref="C975">_xlfn.IFS(worksheet[[#This Row],[age]]&lt;25,"1. Young Adulthood (18-24)",worksheet[[#This Row],[age]]&lt; 35,"2. Early Adulthood (25-34)",worksheet[[#This Row],[age]]&lt; 45,"3. Mid Adulthood (35-44)",worksheet[[#This Row],[age]]&lt; 55,"4. Mature Adulthood (45-54)",TRUE,"5. Late Adulthood/Senior (55+)")</f>
        <v>2. Early Adulthood (25-34)</v>
      </c>
      <c r="D975" t="s">
        <v>15</v>
      </c>
      <c r="E975" t="s">
        <v>22</v>
      </c>
      <c r="F975" s="4">
        <v>0.9</v>
      </c>
      <c r="G975" s="5">
        <v>27</v>
      </c>
      <c r="H975" t="s">
        <v>70</v>
      </c>
      <c r="I975" t="s">
        <v>24</v>
      </c>
      <c r="J975" s="6">
        <v>13.99</v>
      </c>
      <c r="K975">
        <v>1</v>
      </c>
      <c r="L975" t="s">
        <v>43</v>
      </c>
      <c r="M975" s="5">
        <v>3</v>
      </c>
      <c r="N975" s="4">
        <v>0.03</v>
      </c>
      <c r="O975" t="s">
        <v>34</v>
      </c>
    </row>
    <row r="976" spans="1:15" x14ac:dyDescent="0.3">
      <c r="A976" t="s">
        <v>3004</v>
      </c>
      <c r="B976" s="5">
        <v>26</v>
      </c>
      <c r="C976" s="5" t="str" cm="1">
        <f t="array" ref="C976">_xlfn.IFS(worksheet[[#This Row],[age]]&lt;25,"1. Young Adulthood (18-24)",worksheet[[#This Row],[age]]&lt; 35,"2. Early Adulthood (25-34)",worksheet[[#This Row],[age]]&lt; 45,"3. Mid Adulthood (35-44)",worksheet[[#This Row],[age]]&lt; 55,"4. Mature Adulthood (45-54)",TRUE,"5. Late Adulthood/Senior (55+)")</f>
        <v>2. Early Adulthood (25-34)</v>
      </c>
      <c r="D976" t="s">
        <v>15</v>
      </c>
      <c r="E976" t="s">
        <v>22</v>
      </c>
      <c r="F976" s="4">
        <v>1.24</v>
      </c>
      <c r="G976" s="5">
        <v>56</v>
      </c>
      <c r="H976" t="s">
        <v>28</v>
      </c>
      <c r="I976" t="s">
        <v>18</v>
      </c>
      <c r="J976" s="6">
        <v>13.99</v>
      </c>
      <c r="K976">
        <v>1</v>
      </c>
      <c r="L976" t="s">
        <v>37</v>
      </c>
      <c r="M976" s="5">
        <v>1</v>
      </c>
      <c r="N976" s="4">
        <v>0.02</v>
      </c>
      <c r="O976" t="s">
        <v>25</v>
      </c>
    </row>
    <row r="977" spans="1:15" x14ac:dyDescent="0.3">
      <c r="A977" t="s">
        <v>3013</v>
      </c>
      <c r="B977" s="5">
        <v>31</v>
      </c>
      <c r="C977" s="5" t="str" cm="1">
        <f t="array" ref="C977">_xlfn.IFS(worksheet[[#This Row],[age]]&lt;25,"1. Young Adulthood (18-24)",worksheet[[#This Row],[age]]&lt; 35,"2. Early Adulthood (25-34)",worksheet[[#This Row],[age]]&lt; 45,"3. Mid Adulthood (35-44)",worksheet[[#This Row],[age]]&lt; 55,"4. Mature Adulthood (45-54)",TRUE,"5. Late Adulthood/Senior (55+)")</f>
        <v>2. Early Adulthood (25-34)</v>
      </c>
      <c r="D977" t="s">
        <v>15</v>
      </c>
      <c r="E977" t="s">
        <v>16</v>
      </c>
      <c r="F977" s="4">
        <v>5.16</v>
      </c>
      <c r="G977" s="5">
        <v>41</v>
      </c>
      <c r="H977" t="s">
        <v>23</v>
      </c>
      <c r="I977" t="s">
        <v>24</v>
      </c>
      <c r="J977" s="6">
        <v>8.99</v>
      </c>
      <c r="K977">
        <v>1</v>
      </c>
      <c r="L977" t="s">
        <v>37</v>
      </c>
      <c r="M977" s="5">
        <v>2</v>
      </c>
      <c r="N977" s="4">
        <v>0.12</v>
      </c>
      <c r="O977" t="s">
        <v>39</v>
      </c>
    </row>
    <row r="978" spans="1:15" x14ac:dyDescent="0.3">
      <c r="A978" t="s">
        <v>3014</v>
      </c>
      <c r="B978" s="5">
        <v>27</v>
      </c>
      <c r="C978" s="5" t="str" cm="1">
        <f t="array" ref="C978">_xlfn.IFS(worksheet[[#This Row],[age]]&lt;25,"1. Young Adulthood (18-24)",worksheet[[#This Row],[age]]&lt; 35,"2. Early Adulthood (25-34)",worksheet[[#This Row],[age]]&lt; 45,"3. Mid Adulthood (35-44)",worksheet[[#This Row],[age]]&lt; 55,"4. Mature Adulthood (45-54)",TRUE,"5. Late Adulthood/Senior (55+)")</f>
        <v>2. Early Adulthood (25-34)</v>
      </c>
      <c r="D978" t="s">
        <v>41</v>
      </c>
      <c r="E978" t="s">
        <v>16</v>
      </c>
      <c r="F978" s="4">
        <v>1.41</v>
      </c>
      <c r="G978" s="5">
        <v>0</v>
      </c>
      <c r="H978" t="s">
        <v>70</v>
      </c>
      <c r="I978" t="s">
        <v>57</v>
      </c>
      <c r="J978" s="6">
        <v>8.99</v>
      </c>
      <c r="K978">
        <v>0</v>
      </c>
      <c r="L978" t="s">
        <v>37</v>
      </c>
      <c r="M978" s="5">
        <v>5</v>
      </c>
      <c r="N978" s="4">
        <v>1.41</v>
      </c>
      <c r="O978" t="s">
        <v>20</v>
      </c>
    </row>
    <row r="979" spans="1:15" x14ac:dyDescent="0.3">
      <c r="A979" t="s">
        <v>3017</v>
      </c>
      <c r="B979" s="5">
        <v>31</v>
      </c>
      <c r="C979" s="5" t="str" cm="1">
        <f t="array" ref="C979">_xlfn.IFS(worksheet[[#This Row],[age]]&lt;25,"1. Young Adulthood (18-24)",worksheet[[#This Row],[age]]&lt; 35,"2. Early Adulthood (25-34)",worksheet[[#This Row],[age]]&lt; 45,"3. Mid Adulthood (35-44)",worksheet[[#This Row],[age]]&lt; 55,"4. Mature Adulthood (45-54)",TRUE,"5. Late Adulthood/Senior (55+)")</f>
        <v>2. Early Adulthood (25-34)</v>
      </c>
      <c r="D979" t="s">
        <v>27</v>
      </c>
      <c r="E979" t="s">
        <v>22</v>
      </c>
      <c r="F979" s="4">
        <v>8.58</v>
      </c>
      <c r="G979" s="5">
        <v>16</v>
      </c>
      <c r="H979" t="s">
        <v>49</v>
      </c>
      <c r="I979" t="s">
        <v>46</v>
      </c>
      <c r="J979" s="6">
        <v>13.99</v>
      </c>
      <c r="K979">
        <v>0</v>
      </c>
      <c r="L979" t="s">
        <v>61</v>
      </c>
      <c r="M979" s="5">
        <v>2</v>
      </c>
      <c r="N979" s="4">
        <v>0.5</v>
      </c>
      <c r="O979" t="s">
        <v>30</v>
      </c>
    </row>
    <row r="980" spans="1:15" x14ac:dyDescent="0.3">
      <c r="A980" t="s">
        <v>3019</v>
      </c>
      <c r="B980" s="5">
        <v>27</v>
      </c>
      <c r="C980" s="5" t="str" cm="1">
        <f t="array" ref="C980">_xlfn.IFS(worksheet[[#This Row],[age]]&lt;25,"1. Young Adulthood (18-24)",worksheet[[#This Row],[age]]&lt; 35,"2. Early Adulthood (25-34)",worksheet[[#This Row],[age]]&lt; 45,"3. Mid Adulthood (35-44)",worksheet[[#This Row],[age]]&lt; 55,"4. Mature Adulthood (45-54)",TRUE,"5. Late Adulthood/Senior (55+)")</f>
        <v>2. Early Adulthood (25-34)</v>
      </c>
      <c r="D980" t="s">
        <v>15</v>
      </c>
      <c r="E980" t="s">
        <v>16</v>
      </c>
      <c r="F980" s="4">
        <v>0.14000000000000001</v>
      </c>
      <c r="G980" s="5">
        <v>57</v>
      </c>
      <c r="H980" t="s">
        <v>70</v>
      </c>
      <c r="I980" t="s">
        <v>46</v>
      </c>
      <c r="J980" s="6">
        <v>8.99</v>
      </c>
      <c r="K980">
        <v>1</v>
      </c>
      <c r="L980" t="s">
        <v>37</v>
      </c>
      <c r="M980" s="5">
        <v>5</v>
      </c>
      <c r="N980" s="4">
        <v>0</v>
      </c>
      <c r="O980" t="s">
        <v>30</v>
      </c>
    </row>
    <row r="981" spans="1:15" x14ac:dyDescent="0.3">
      <c r="A981" t="s">
        <v>3021</v>
      </c>
      <c r="B981" s="5">
        <v>30</v>
      </c>
      <c r="C981" s="5" t="str" cm="1">
        <f t="array" ref="C981">_xlfn.IFS(worksheet[[#This Row],[age]]&lt;25,"1. Young Adulthood (18-24)",worksheet[[#This Row],[age]]&lt; 35,"2. Early Adulthood (25-34)",worksheet[[#This Row],[age]]&lt; 45,"3. Mid Adulthood (35-44)",worksheet[[#This Row],[age]]&lt; 55,"4. Mature Adulthood (45-54)",TRUE,"5. Late Adulthood/Senior (55+)")</f>
        <v>2. Early Adulthood (25-34)</v>
      </c>
      <c r="D981" t="s">
        <v>15</v>
      </c>
      <c r="E981" t="s">
        <v>16</v>
      </c>
      <c r="F981" s="4">
        <v>14.86</v>
      </c>
      <c r="G981" s="5">
        <v>55</v>
      </c>
      <c r="H981" t="s">
        <v>33</v>
      </c>
      <c r="I981" t="s">
        <v>55</v>
      </c>
      <c r="J981" s="6">
        <v>8.99</v>
      </c>
      <c r="K981">
        <v>1</v>
      </c>
      <c r="L981" t="s">
        <v>37</v>
      </c>
      <c r="M981" s="5">
        <v>2</v>
      </c>
      <c r="N981" s="4">
        <v>0.27</v>
      </c>
      <c r="O981" t="s">
        <v>52</v>
      </c>
    </row>
    <row r="982" spans="1:15" x14ac:dyDescent="0.3">
      <c r="A982" t="s">
        <v>3024</v>
      </c>
      <c r="B982" s="5">
        <v>31</v>
      </c>
      <c r="C982" s="5" t="str" cm="1">
        <f t="array" ref="C982">_xlfn.IFS(worksheet[[#This Row],[age]]&lt;25,"1. Young Adulthood (18-24)",worksheet[[#This Row],[age]]&lt; 35,"2. Early Adulthood (25-34)",worksheet[[#This Row],[age]]&lt; 45,"3. Mid Adulthood (35-44)",worksheet[[#This Row],[age]]&lt; 55,"4. Mature Adulthood (45-54)",TRUE,"5. Late Adulthood/Senior (55+)")</f>
        <v>2. Early Adulthood (25-34)</v>
      </c>
      <c r="D982" t="s">
        <v>15</v>
      </c>
      <c r="E982" t="s">
        <v>22</v>
      </c>
      <c r="F982" s="4">
        <v>2.44</v>
      </c>
      <c r="G982" s="5">
        <v>17</v>
      </c>
      <c r="H982" t="s">
        <v>49</v>
      </c>
      <c r="I982" t="s">
        <v>18</v>
      </c>
      <c r="J982" s="6">
        <v>13.99</v>
      </c>
      <c r="K982">
        <v>1</v>
      </c>
      <c r="L982" t="s">
        <v>61</v>
      </c>
      <c r="M982" s="5">
        <v>3</v>
      </c>
      <c r="N982" s="4">
        <v>0.14000000000000001</v>
      </c>
      <c r="O982" t="s">
        <v>25</v>
      </c>
    </row>
    <row r="983" spans="1:15" x14ac:dyDescent="0.3">
      <c r="A983" t="s">
        <v>3027</v>
      </c>
      <c r="B983" s="5">
        <v>32</v>
      </c>
      <c r="C983" s="5" t="str" cm="1">
        <f t="array" ref="C983">_xlfn.IFS(worksheet[[#This Row],[age]]&lt;25,"1. Young Adulthood (18-24)",worksheet[[#This Row],[age]]&lt; 35,"2. Early Adulthood (25-34)",worksheet[[#This Row],[age]]&lt; 45,"3. Mid Adulthood (35-44)",worksheet[[#This Row],[age]]&lt; 55,"4. Mature Adulthood (45-54)",TRUE,"5. Late Adulthood/Senior (55+)")</f>
        <v>2. Early Adulthood (25-34)</v>
      </c>
      <c r="D983" t="s">
        <v>41</v>
      </c>
      <c r="E983" t="s">
        <v>22</v>
      </c>
      <c r="F983" s="4">
        <v>7.57</v>
      </c>
      <c r="G983" s="5">
        <v>18</v>
      </c>
      <c r="H983" t="s">
        <v>17</v>
      </c>
      <c r="I983" t="s">
        <v>57</v>
      </c>
      <c r="J983" s="6">
        <v>13.99</v>
      </c>
      <c r="K983">
        <v>0</v>
      </c>
      <c r="L983" t="s">
        <v>29</v>
      </c>
      <c r="M983" s="5">
        <v>5</v>
      </c>
      <c r="N983" s="4">
        <v>0.4</v>
      </c>
      <c r="O983" t="s">
        <v>47</v>
      </c>
    </row>
    <row r="984" spans="1:15" x14ac:dyDescent="0.3">
      <c r="A984" t="s">
        <v>3030</v>
      </c>
      <c r="B984" s="5">
        <v>20</v>
      </c>
      <c r="C984" s="5" t="str" cm="1">
        <f t="array" ref="C984">_xlfn.IFS(worksheet[[#This Row],[age]]&lt;25,"1. Young Adulthood (18-24)",worksheet[[#This Row],[age]]&lt; 35,"2. Early Adulthood (25-34)",worksheet[[#This Row],[age]]&lt; 45,"3. Mid Adulthood (35-44)",worksheet[[#This Row],[age]]&lt; 55,"4. Mature Adulthood (45-54)",TRUE,"5. Late Adulthood/Senior (55+)")</f>
        <v>1. Young Adulthood (18-24)</v>
      </c>
      <c r="D984" t="s">
        <v>41</v>
      </c>
      <c r="E984" t="s">
        <v>32</v>
      </c>
      <c r="F984" s="4">
        <v>36.39</v>
      </c>
      <c r="G984" s="5">
        <v>49</v>
      </c>
      <c r="H984" t="s">
        <v>49</v>
      </c>
      <c r="I984" t="s">
        <v>18</v>
      </c>
      <c r="J984" s="6">
        <v>17.989999999999998</v>
      </c>
      <c r="K984">
        <v>0</v>
      </c>
      <c r="L984" t="s">
        <v>37</v>
      </c>
      <c r="M984" s="5">
        <v>4</v>
      </c>
      <c r="N984" s="4">
        <v>0.73</v>
      </c>
      <c r="O984" t="s">
        <v>47</v>
      </c>
    </row>
    <row r="985" spans="1:15" x14ac:dyDescent="0.3">
      <c r="A985" t="s">
        <v>3036</v>
      </c>
      <c r="B985" s="5">
        <v>23</v>
      </c>
      <c r="C985" s="5" t="str" cm="1">
        <f t="array" ref="C985">_xlfn.IFS(worksheet[[#This Row],[age]]&lt;25,"1. Young Adulthood (18-24)",worksheet[[#This Row],[age]]&lt; 35,"2. Early Adulthood (25-34)",worksheet[[#This Row],[age]]&lt; 45,"3. Mid Adulthood (35-44)",worksheet[[#This Row],[age]]&lt; 55,"4. Mature Adulthood (45-54)",TRUE,"5. Late Adulthood/Senior (55+)")</f>
        <v>1. Young Adulthood (18-24)</v>
      </c>
      <c r="D985" t="s">
        <v>27</v>
      </c>
      <c r="E985" t="s">
        <v>16</v>
      </c>
      <c r="F985" s="4">
        <v>4.2699999999999996</v>
      </c>
      <c r="G985" s="5">
        <v>23</v>
      </c>
      <c r="H985" t="s">
        <v>70</v>
      </c>
      <c r="I985" t="s">
        <v>18</v>
      </c>
      <c r="J985" s="6">
        <v>8.99</v>
      </c>
      <c r="K985">
        <v>1</v>
      </c>
      <c r="L985" t="s">
        <v>37</v>
      </c>
      <c r="M985" s="5">
        <v>1</v>
      </c>
      <c r="N985" s="4">
        <v>0.18</v>
      </c>
      <c r="O985" t="s">
        <v>25</v>
      </c>
    </row>
    <row r="986" spans="1:15" x14ac:dyDescent="0.3">
      <c r="A986" t="s">
        <v>3038</v>
      </c>
      <c r="B986" s="5">
        <v>21</v>
      </c>
      <c r="C986" s="5" t="str" cm="1">
        <f t="array" ref="C986">_xlfn.IFS(worksheet[[#This Row],[age]]&lt;25,"1. Young Adulthood (18-24)",worksheet[[#This Row],[age]]&lt; 35,"2. Early Adulthood (25-34)",worksheet[[#This Row],[age]]&lt; 45,"3. Mid Adulthood (35-44)",worksheet[[#This Row],[age]]&lt; 55,"4. Mature Adulthood (45-54)",TRUE,"5. Late Adulthood/Senior (55+)")</f>
        <v>1. Young Adulthood (18-24)</v>
      </c>
      <c r="D986" t="s">
        <v>27</v>
      </c>
      <c r="E986" t="s">
        <v>22</v>
      </c>
      <c r="F986" s="4">
        <v>6.43</v>
      </c>
      <c r="G986" s="5">
        <v>39</v>
      </c>
      <c r="H986" t="s">
        <v>17</v>
      </c>
      <c r="I986" t="s">
        <v>24</v>
      </c>
      <c r="J986" s="6">
        <v>13.99</v>
      </c>
      <c r="K986">
        <v>0</v>
      </c>
      <c r="L986" t="s">
        <v>61</v>
      </c>
      <c r="M986" s="5">
        <v>5</v>
      </c>
      <c r="N986" s="4">
        <v>0.16</v>
      </c>
      <c r="O986" t="s">
        <v>34</v>
      </c>
    </row>
    <row r="987" spans="1:15" x14ac:dyDescent="0.3">
      <c r="A987" t="s">
        <v>3040</v>
      </c>
      <c r="B987" s="5">
        <v>19</v>
      </c>
      <c r="C987" s="5" t="str" cm="1">
        <f t="array" ref="C987">_xlfn.IFS(worksheet[[#This Row],[age]]&lt;25,"1. Young Adulthood (18-24)",worksheet[[#This Row],[age]]&lt; 35,"2. Early Adulthood (25-34)",worksheet[[#This Row],[age]]&lt; 45,"3. Mid Adulthood (35-44)",worksheet[[#This Row],[age]]&lt; 55,"4. Mature Adulthood (45-54)",TRUE,"5. Late Adulthood/Senior (55+)")</f>
        <v>1. Young Adulthood (18-24)</v>
      </c>
      <c r="D987" t="s">
        <v>41</v>
      </c>
      <c r="E987" t="s">
        <v>32</v>
      </c>
      <c r="F987" s="4">
        <v>9.32</v>
      </c>
      <c r="G987" s="5">
        <v>0</v>
      </c>
      <c r="H987" t="s">
        <v>33</v>
      </c>
      <c r="I987" t="s">
        <v>55</v>
      </c>
      <c r="J987" s="6">
        <v>17.989999999999998</v>
      </c>
      <c r="K987">
        <v>0</v>
      </c>
      <c r="L987" t="s">
        <v>37</v>
      </c>
      <c r="M987" s="5">
        <v>2</v>
      </c>
      <c r="N987" s="4">
        <v>9.32</v>
      </c>
      <c r="O987" t="s">
        <v>52</v>
      </c>
    </row>
    <row r="988" spans="1:15" x14ac:dyDescent="0.3">
      <c r="A988" t="s">
        <v>3042</v>
      </c>
      <c r="B988" s="5">
        <v>27</v>
      </c>
      <c r="C988" s="5" t="str" cm="1">
        <f t="array" ref="C988">_xlfn.IFS(worksheet[[#This Row],[age]]&lt;25,"1. Young Adulthood (18-24)",worksheet[[#This Row],[age]]&lt; 35,"2. Early Adulthood (25-34)",worksheet[[#This Row],[age]]&lt; 45,"3. Mid Adulthood (35-44)",worksheet[[#This Row],[age]]&lt; 55,"4. Mature Adulthood (45-54)",TRUE,"5. Late Adulthood/Senior (55+)")</f>
        <v>2. Early Adulthood (25-34)</v>
      </c>
      <c r="D988" t="s">
        <v>15</v>
      </c>
      <c r="E988" t="s">
        <v>22</v>
      </c>
      <c r="F988" s="4">
        <v>5.08</v>
      </c>
      <c r="G988" s="5">
        <v>25</v>
      </c>
      <c r="H988" t="s">
        <v>28</v>
      </c>
      <c r="I988" t="s">
        <v>57</v>
      </c>
      <c r="J988" s="6">
        <v>13.99</v>
      </c>
      <c r="K988">
        <v>0</v>
      </c>
      <c r="L988" t="s">
        <v>19</v>
      </c>
      <c r="M988" s="5">
        <v>1</v>
      </c>
      <c r="N988" s="4">
        <v>0.2</v>
      </c>
      <c r="O988" t="s">
        <v>39</v>
      </c>
    </row>
    <row r="989" spans="1:15" x14ac:dyDescent="0.3">
      <c r="A989" t="s">
        <v>3047</v>
      </c>
      <c r="B989" s="5">
        <v>22</v>
      </c>
      <c r="C989" s="5" t="str" cm="1">
        <f t="array" ref="C989">_xlfn.IFS(worksheet[[#This Row],[age]]&lt;25,"1. Young Adulthood (18-24)",worksheet[[#This Row],[age]]&lt; 35,"2. Early Adulthood (25-34)",worksheet[[#This Row],[age]]&lt; 45,"3. Mid Adulthood (35-44)",worksheet[[#This Row],[age]]&lt; 55,"4. Mature Adulthood (45-54)",TRUE,"5. Late Adulthood/Senior (55+)")</f>
        <v>1. Young Adulthood (18-24)</v>
      </c>
      <c r="D989" t="s">
        <v>41</v>
      </c>
      <c r="E989" t="s">
        <v>22</v>
      </c>
      <c r="F989" s="4">
        <v>1.41</v>
      </c>
      <c r="G989" s="5">
        <v>28</v>
      </c>
      <c r="H989" t="s">
        <v>49</v>
      </c>
      <c r="I989" t="s">
        <v>46</v>
      </c>
      <c r="J989" s="6">
        <v>13.99</v>
      </c>
      <c r="K989">
        <v>1</v>
      </c>
      <c r="L989" t="s">
        <v>19</v>
      </c>
      <c r="M989" s="5">
        <v>4</v>
      </c>
      <c r="N989" s="4">
        <v>0.05</v>
      </c>
      <c r="O989" t="s">
        <v>25</v>
      </c>
    </row>
    <row r="990" spans="1:15" x14ac:dyDescent="0.3">
      <c r="A990" t="s">
        <v>3049</v>
      </c>
      <c r="B990" s="5">
        <v>31</v>
      </c>
      <c r="C990" s="5" t="str" cm="1">
        <f t="array" ref="C990">_xlfn.IFS(worksheet[[#This Row],[age]]&lt;25,"1. Young Adulthood (18-24)",worksheet[[#This Row],[age]]&lt; 35,"2. Early Adulthood (25-34)",worksheet[[#This Row],[age]]&lt; 45,"3. Mid Adulthood (35-44)",worksheet[[#This Row],[age]]&lt; 55,"4. Mature Adulthood (45-54)",TRUE,"5. Late Adulthood/Senior (55+)")</f>
        <v>2. Early Adulthood (25-34)</v>
      </c>
      <c r="D990" t="s">
        <v>41</v>
      </c>
      <c r="E990" t="s">
        <v>16</v>
      </c>
      <c r="F990" s="4">
        <v>10.99</v>
      </c>
      <c r="G990" s="5">
        <v>33</v>
      </c>
      <c r="H990" t="s">
        <v>28</v>
      </c>
      <c r="I990" t="s">
        <v>46</v>
      </c>
      <c r="J990" s="6">
        <v>8.99</v>
      </c>
      <c r="K990">
        <v>1</v>
      </c>
      <c r="L990" t="s">
        <v>61</v>
      </c>
      <c r="M990" s="5">
        <v>3</v>
      </c>
      <c r="N990" s="4">
        <v>0.32</v>
      </c>
      <c r="O990" t="s">
        <v>25</v>
      </c>
    </row>
    <row r="991" spans="1:15" x14ac:dyDescent="0.3">
      <c r="A991" t="s">
        <v>3051</v>
      </c>
      <c r="B991" s="5">
        <v>18</v>
      </c>
      <c r="C991" s="5" t="str" cm="1">
        <f t="array" ref="C991">_xlfn.IFS(worksheet[[#This Row],[age]]&lt;25,"1. Young Adulthood (18-24)",worksheet[[#This Row],[age]]&lt; 35,"2. Early Adulthood (25-34)",worksheet[[#This Row],[age]]&lt; 45,"3. Mid Adulthood (35-44)",worksheet[[#This Row],[age]]&lt; 55,"4. Mature Adulthood (45-54)",TRUE,"5. Late Adulthood/Senior (55+)")</f>
        <v>1. Young Adulthood (18-24)</v>
      </c>
      <c r="D991" t="s">
        <v>41</v>
      </c>
      <c r="E991" t="s">
        <v>16</v>
      </c>
      <c r="F991" s="4">
        <v>12.68</v>
      </c>
      <c r="G991" s="5">
        <v>18</v>
      </c>
      <c r="H991" t="s">
        <v>23</v>
      </c>
      <c r="I991" t="s">
        <v>18</v>
      </c>
      <c r="J991" s="6">
        <v>8.99</v>
      </c>
      <c r="K991">
        <v>0</v>
      </c>
      <c r="L991" t="s">
        <v>37</v>
      </c>
      <c r="M991" s="5">
        <v>3</v>
      </c>
      <c r="N991" s="4">
        <v>0.67</v>
      </c>
      <c r="O991" t="s">
        <v>30</v>
      </c>
    </row>
    <row r="992" spans="1:15" x14ac:dyDescent="0.3">
      <c r="A992" t="s">
        <v>3052</v>
      </c>
      <c r="B992" s="5">
        <v>25</v>
      </c>
      <c r="C992" s="5" t="str" cm="1">
        <f t="array" ref="C992">_xlfn.IFS(worksheet[[#This Row],[age]]&lt;25,"1. Young Adulthood (18-24)",worksheet[[#This Row],[age]]&lt; 35,"2. Early Adulthood (25-34)",worksheet[[#This Row],[age]]&lt; 45,"3. Mid Adulthood (35-44)",worksheet[[#This Row],[age]]&lt; 55,"4. Mature Adulthood (45-54)",TRUE,"5. Late Adulthood/Senior (55+)")</f>
        <v>2. Early Adulthood (25-34)</v>
      </c>
      <c r="D992" t="s">
        <v>27</v>
      </c>
      <c r="E992" t="s">
        <v>16</v>
      </c>
      <c r="F992" s="4">
        <v>1.91</v>
      </c>
      <c r="G992" s="5">
        <v>18</v>
      </c>
      <c r="H992" t="s">
        <v>17</v>
      </c>
      <c r="I992" t="s">
        <v>55</v>
      </c>
      <c r="J992" s="6">
        <v>8.99</v>
      </c>
      <c r="K992">
        <v>1</v>
      </c>
      <c r="L992" t="s">
        <v>29</v>
      </c>
      <c r="M992" s="5">
        <v>3</v>
      </c>
      <c r="N992" s="4">
        <v>0.1</v>
      </c>
      <c r="O992" t="s">
        <v>52</v>
      </c>
    </row>
    <row r="993" spans="1:15" x14ac:dyDescent="0.3">
      <c r="A993" t="s">
        <v>3053</v>
      </c>
      <c r="B993" s="5">
        <v>24</v>
      </c>
      <c r="C993" s="5" t="str" cm="1">
        <f t="array" ref="C993">_xlfn.IFS(worksheet[[#This Row],[age]]&lt;25,"1. Young Adulthood (18-24)",worksheet[[#This Row],[age]]&lt; 35,"2. Early Adulthood (25-34)",worksheet[[#This Row],[age]]&lt; 45,"3. Mid Adulthood (35-44)",worksheet[[#This Row],[age]]&lt; 55,"4. Mature Adulthood (45-54)",TRUE,"5. Late Adulthood/Senior (55+)")</f>
        <v>1. Young Adulthood (18-24)</v>
      </c>
      <c r="D993" t="s">
        <v>41</v>
      </c>
      <c r="E993" t="s">
        <v>22</v>
      </c>
      <c r="F993" s="4">
        <v>5.37</v>
      </c>
      <c r="G993" s="5">
        <v>2</v>
      </c>
      <c r="H993" t="s">
        <v>70</v>
      </c>
      <c r="I993" t="s">
        <v>18</v>
      </c>
      <c r="J993" s="6">
        <v>13.99</v>
      </c>
      <c r="K993">
        <v>0</v>
      </c>
      <c r="L993" t="s">
        <v>19</v>
      </c>
      <c r="M993" s="5">
        <v>2</v>
      </c>
      <c r="N993" s="4">
        <v>1.79</v>
      </c>
      <c r="O993" t="s">
        <v>47</v>
      </c>
    </row>
    <row r="994" spans="1:15" x14ac:dyDescent="0.3">
      <c r="A994" t="s">
        <v>3057</v>
      </c>
      <c r="B994" s="5">
        <v>30</v>
      </c>
      <c r="C994" s="5" t="str" cm="1">
        <f t="array" ref="C994">_xlfn.IFS(worksheet[[#This Row],[age]]&lt;25,"1. Young Adulthood (18-24)",worksheet[[#This Row],[age]]&lt; 35,"2. Early Adulthood (25-34)",worksheet[[#This Row],[age]]&lt; 45,"3. Mid Adulthood (35-44)",worksheet[[#This Row],[age]]&lt; 55,"4. Mature Adulthood (45-54)",TRUE,"5. Late Adulthood/Senior (55+)")</f>
        <v>2. Early Adulthood (25-34)</v>
      </c>
      <c r="D994" t="s">
        <v>41</v>
      </c>
      <c r="E994" t="s">
        <v>16</v>
      </c>
      <c r="F994" s="4">
        <v>5.73</v>
      </c>
      <c r="G994" s="5">
        <v>41</v>
      </c>
      <c r="H994" t="s">
        <v>33</v>
      </c>
      <c r="I994" t="s">
        <v>46</v>
      </c>
      <c r="J994" s="6">
        <v>8.99</v>
      </c>
      <c r="K994">
        <v>1</v>
      </c>
      <c r="L994" t="s">
        <v>19</v>
      </c>
      <c r="M994" s="5">
        <v>3</v>
      </c>
      <c r="N994" s="4">
        <v>0.14000000000000001</v>
      </c>
      <c r="O994" t="s">
        <v>39</v>
      </c>
    </row>
    <row r="995" spans="1:15" x14ac:dyDescent="0.3">
      <c r="A995" t="s">
        <v>3059</v>
      </c>
      <c r="B995" s="5">
        <v>19</v>
      </c>
      <c r="C995" s="5" t="str" cm="1">
        <f t="array" ref="C995">_xlfn.IFS(worksheet[[#This Row],[age]]&lt;25,"1. Young Adulthood (18-24)",worksheet[[#This Row],[age]]&lt; 35,"2. Early Adulthood (25-34)",worksheet[[#This Row],[age]]&lt; 45,"3. Mid Adulthood (35-44)",worksheet[[#This Row],[age]]&lt; 55,"4. Mature Adulthood (45-54)",TRUE,"5. Late Adulthood/Senior (55+)")</f>
        <v>1. Young Adulthood (18-24)</v>
      </c>
      <c r="D995" t="s">
        <v>15</v>
      </c>
      <c r="E995" t="s">
        <v>32</v>
      </c>
      <c r="F995" s="4">
        <v>8.11</v>
      </c>
      <c r="G995" s="5">
        <v>56</v>
      </c>
      <c r="H995" t="s">
        <v>70</v>
      </c>
      <c r="I995" t="s">
        <v>46</v>
      </c>
      <c r="J995" s="6">
        <v>17.989999999999998</v>
      </c>
      <c r="K995">
        <v>0</v>
      </c>
      <c r="L995" t="s">
        <v>43</v>
      </c>
      <c r="M995" s="5">
        <v>5</v>
      </c>
      <c r="N995" s="4">
        <v>0.14000000000000001</v>
      </c>
      <c r="O995" t="s">
        <v>34</v>
      </c>
    </row>
    <row r="996" spans="1:15" x14ac:dyDescent="0.3">
      <c r="A996" t="s">
        <v>3062</v>
      </c>
      <c r="B996" s="5">
        <v>30</v>
      </c>
      <c r="C996" s="5" t="str" cm="1">
        <f t="array" ref="C996">_xlfn.IFS(worksheet[[#This Row],[age]]&lt;25,"1. Young Adulthood (18-24)",worksheet[[#This Row],[age]]&lt; 35,"2. Early Adulthood (25-34)",worksheet[[#This Row],[age]]&lt; 45,"3. Mid Adulthood (35-44)",worksheet[[#This Row],[age]]&lt; 55,"4. Mature Adulthood (45-54)",TRUE,"5. Late Adulthood/Senior (55+)")</f>
        <v>2. Early Adulthood (25-34)</v>
      </c>
      <c r="D996" t="s">
        <v>41</v>
      </c>
      <c r="E996" t="s">
        <v>22</v>
      </c>
      <c r="F996" s="4">
        <v>9.6999999999999993</v>
      </c>
      <c r="G996" s="5">
        <v>37</v>
      </c>
      <c r="H996" t="s">
        <v>70</v>
      </c>
      <c r="I996" t="s">
        <v>24</v>
      </c>
      <c r="J996" s="6">
        <v>13.99</v>
      </c>
      <c r="K996">
        <v>1</v>
      </c>
      <c r="L996" t="s">
        <v>29</v>
      </c>
      <c r="M996" s="5">
        <v>1</v>
      </c>
      <c r="N996" s="4">
        <v>0.26</v>
      </c>
      <c r="O996" t="s">
        <v>20</v>
      </c>
    </row>
    <row r="997" spans="1:15" x14ac:dyDescent="0.3">
      <c r="A997" t="s">
        <v>3063</v>
      </c>
      <c r="B997" s="5">
        <v>24</v>
      </c>
      <c r="C997" s="5" t="str" cm="1">
        <f t="array" ref="C997">_xlfn.IFS(worksheet[[#This Row],[age]]&lt;25,"1. Young Adulthood (18-24)",worksheet[[#This Row],[age]]&lt; 35,"2. Early Adulthood (25-34)",worksheet[[#This Row],[age]]&lt; 45,"3. Mid Adulthood (35-44)",worksheet[[#This Row],[age]]&lt; 55,"4. Mature Adulthood (45-54)",TRUE,"5. Late Adulthood/Senior (55+)")</f>
        <v>1. Young Adulthood (18-24)</v>
      </c>
      <c r="D997" t="s">
        <v>15</v>
      </c>
      <c r="E997" t="s">
        <v>16</v>
      </c>
      <c r="F997" s="4">
        <v>15.34</v>
      </c>
      <c r="G997" s="5">
        <v>43</v>
      </c>
      <c r="H997" t="s">
        <v>23</v>
      </c>
      <c r="I997" t="s">
        <v>55</v>
      </c>
      <c r="J997" s="6">
        <v>8.99</v>
      </c>
      <c r="K997">
        <v>1</v>
      </c>
      <c r="L997" t="s">
        <v>29</v>
      </c>
      <c r="M997" s="5">
        <v>3</v>
      </c>
      <c r="N997" s="4">
        <v>0.35</v>
      </c>
      <c r="O997" t="s">
        <v>47</v>
      </c>
    </row>
    <row r="998" spans="1:15" x14ac:dyDescent="0.3">
      <c r="A998" t="s">
        <v>3067</v>
      </c>
      <c r="B998" s="5">
        <v>19</v>
      </c>
      <c r="C998" s="5" t="str" cm="1">
        <f t="array" ref="C998">_xlfn.IFS(worksheet[[#This Row],[age]]&lt;25,"1. Young Adulthood (18-24)",worksheet[[#This Row],[age]]&lt; 35,"2. Early Adulthood (25-34)",worksheet[[#This Row],[age]]&lt; 45,"3. Mid Adulthood (35-44)",worksheet[[#This Row],[age]]&lt; 55,"4. Mature Adulthood (45-54)",TRUE,"5. Late Adulthood/Senior (55+)")</f>
        <v>1. Young Adulthood (18-24)</v>
      </c>
      <c r="D998" t="s">
        <v>41</v>
      </c>
      <c r="E998" t="s">
        <v>22</v>
      </c>
      <c r="F998" s="4">
        <v>8.32</v>
      </c>
      <c r="G998" s="5">
        <v>2</v>
      </c>
      <c r="H998" t="s">
        <v>28</v>
      </c>
      <c r="I998" t="s">
        <v>46</v>
      </c>
      <c r="J998" s="6">
        <v>13.99</v>
      </c>
      <c r="K998">
        <v>0</v>
      </c>
      <c r="L998" t="s">
        <v>43</v>
      </c>
      <c r="M998" s="5">
        <v>2</v>
      </c>
      <c r="N998" s="4">
        <v>2.77</v>
      </c>
      <c r="O998" t="s">
        <v>34</v>
      </c>
    </row>
    <row r="999" spans="1:15" x14ac:dyDescent="0.3">
      <c r="A999" t="s">
        <v>3074</v>
      </c>
      <c r="B999" s="5">
        <v>20</v>
      </c>
      <c r="C999" s="5" t="str" cm="1">
        <f t="array" ref="C999">_xlfn.IFS(worksheet[[#This Row],[age]]&lt;25,"1. Young Adulthood (18-24)",worksheet[[#This Row],[age]]&lt; 35,"2. Early Adulthood (25-34)",worksheet[[#This Row],[age]]&lt; 45,"3. Mid Adulthood (35-44)",worksheet[[#This Row],[age]]&lt; 55,"4. Mature Adulthood (45-54)",TRUE,"5. Late Adulthood/Senior (55+)")</f>
        <v>1. Young Adulthood (18-24)</v>
      </c>
      <c r="D999" t="s">
        <v>27</v>
      </c>
      <c r="E999" t="s">
        <v>22</v>
      </c>
      <c r="F999" s="4">
        <v>7.66</v>
      </c>
      <c r="G999" s="5">
        <v>36</v>
      </c>
      <c r="H999" t="s">
        <v>70</v>
      </c>
      <c r="I999" t="s">
        <v>55</v>
      </c>
      <c r="J999" s="6">
        <v>13.99</v>
      </c>
      <c r="K999">
        <v>0</v>
      </c>
      <c r="L999" t="s">
        <v>37</v>
      </c>
      <c r="M999" s="5">
        <v>5</v>
      </c>
      <c r="N999" s="4">
        <v>0.21</v>
      </c>
      <c r="O999" t="s">
        <v>25</v>
      </c>
    </row>
    <row r="1000" spans="1:15" x14ac:dyDescent="0.3">
      <c r="A1000" t="s">
        <v>3075</v>
      </c>
      <c r="B1000" s="5">
        <v>22</v>
      </c>
      <c r="C1000" s="5" t="str" cm="1">
        <f t="array" ref="C1000">_xlfn.IFS(worksheet[[#This Row],[age]]&lt;25,"1. Young Adulthood (18-24)",worksheet[[#This Row],[age]]&lt; 35,"2. Early Adulthood (25-34)",worksheet[[#This Row],[age]]&lt; 45,"3. Mid Adulthood (35-44)",worksheet[[#This Row],[age]]&lt; 55,"4. Mature Adulthood (45-54)",TRUE,"5. Late Adulthood/Senior (55+)")</f>
        <v>1. Young Adulthood (18-24)</v>
      </c>
      <c r="D1000" t="s">
        <v>15</v>
      </c>
      <c r="E1000" t="s">
        <v>16</v>
      </c>
      <c r="F1000" s="4">
        <v>10.85</v>
      </c>
      <c r="G1000" s="5">
        <v>44</v>
      </c>
      <c r="H1000" t="s">
        <v>70</v>
      </c>
      <c r="I1000" t="s">
        <v>46</v>
      </c>
      <c r="J1000" s="6">
        <v>8.99</v>
      </c>
      <c r="K1000">
        <v>1</v>
      </c>
      <c r="L1000" t="s">
        <v>19</v>
      </c>
      <c r="M1000" s="5">
        <v>4</v>
      </c>
      <c r="N1000" s="4">
        <v>0.24</v>
      </c>
      <c r="O1000" t="s">
        <v>30</v>
      </c>
    </row>
    <row r="1001" spans="1:15" x14ac:dyDescent="0.3">
      <c r="A1001" t="s">
        <v>3077</v>
      </c>
      <c r="B1001" s="5">
        <v>24</v>
      </c>
      <c r="C1001" s="5" t="str" cm="1">
        <f t="array" ref="C1001">_xlfn.IFS(worksheet[[#This Row],[age]]&lt;25,"1. Young Adulthood (18-24)",worksheet[[#This Row],[age]]&lt; 35,"2. Early Adulthood (25-34)",worksheet[[#This Row],[age]]&lt; 45,"3. Mid Adulthood (35-44)",worksheet[[#This Row],[age]]&lt; 55,"4. Mature Adulthood (45-54)",TRUE,"5. Late Adulthood/Senior (55+)")</f>
        <v>1. Young Adulthood (18-24)</v>
      </c>
      <c r="D1001" t="s">
        <v>41</v>
      </c>
      <c r="E1001" t="s">
        <v>16</v>
      </c>
      <c r="F1001" s="4">
        <v>7.95</v>
      </c>
      <c r="G1001" s="5">
        <v>33</v>
      </c>
      <c r="H1001" t="s">
        <v>17</v>
      </c>
      <c r="I1001" t="s">
        <v>57</v>
      </c>
      <c r="J1001" s="6">
        <v>8.99</v>
      </c>
      <c r="K1001">
        <v>1</v>
      </c>
      <c r="L1001" t="s">
        <v>43</v>
      </c>
      <c r="M1001" s="5">
        <v>3</v>
      </c>
      <c r="N1001" s="4">
        <v>0.23</v>
      </c>
      <c r="O1001" t="s">
        <v>30</v>
      </c>
    </row>
    <row r="1002" spans="1:15" x14ac:dyDescent="0.3">
      <c r="A1002" t="s">
        <v>3086</v>
      </c>
      <c r="B1002" s="5">
        <v>26</v>
      </c>
      <c r="C1002" s="5" t="str" cm="1">
        <f t="array" ref="C1002">_xlfn.IFS(worksheet[[#This Row],[age]]&lt;25,"1. Young Adulthood (18-24)",worksheet[[#This Row],[age]]&lt; 35,"2. Early Adulthood (25-34)",worksheet[[#This Row],[age]]&lt; 45,"3. Mid Adulthood (35-44)",worksheet[[#This Row],[age]]&lt; 55,"4. Mature Adulthood (45-54)",TRUE,"5. Late Adulthood/Senior (55+)")</f>
        <v>2. Early Adulthood (25-34)</v>
      </c>
      <c r="D1002" t="s">
        <v>15</v>
      </c>
      <c r="E1002" t="s">
        <v>22</v>
      </c>
      <c r="F1002" s="4">
        <v>11.13</v>
      </c>
      <c r="G1002" s="5">
        <v>2</v>
      </c>
      <c r="H1002" t="s">
        <v>49</v>
      </c>
      <c r="I1002" t="s">
        <v>46</v>
      </c>
      <c r="J1002" s="6">
        <v>13.99</v>
      </c>
      <c r="K1002">
        <v>0</v>
      </c>
      <c r="L1002" t="s">
        <v>61</v>
      </c>
      <c r="M1002" s="5">
        <v>2</v>
      </c>
      <c r="N1002" s="4">
        <v>3.71</v>
      </c>
      <c r="O1002" t="s">
        <v>25</v>
      </c>
    </row>
    <row r="1003" spans="1:15" x14ac:dyDescent="0.3">
      <c r="A1003" t="s">
        <v>3087</v>
      </c>
      <c r="B1003" s="5">
        <v>21</v>
      </c>
      <c r="C1003" s="5" t="str" cm="1">
        <f t="array" ref="C1003">_xlfn.IFS(worksheet[[#This Row],[age]]&lt;25,"1. Young Adulthood (18-24)",worksheet[[#This Row],[age]]&lt; 35,"2. Early Adulthood (25-34)",worksheet[[#This Row],[age]]&lt; 45,"3. Mid Adulthood (35-44)",worksheet[[#This Row],[age]]&lt; 55,"4. Mature Adulthood (45-54)",TRUE,"5. Late Adulthood/Senior (55+)")</f>
        <v>1. Young Adulthood (18-24)</v>
      </c>
      <c r="D1003" t="s">
        <v>41</v>
      </c>
      <c r="E1003" t="s">
        <v>16</v>
      </c>
      <c r="F1003" s="4">
        <v>24.86</v>
      </c>
      <c r="G1003" s="5">
        <v>54</v>
      </c>
      <c r="H1003" t="s">
        <v>70</v>
      </c>
      <c r="I1003" t="s">
        <v>18</v>
      </c>
      <c r="J1003" s="6">
        <v>8.99</v>
      </c>
      <c r="K1003">
        <v>1</v>
      </c>
      <c r="L1003" t="s">
        <v>43</v>
      </c>
      <c r="M1003" s="5">
        <v>2</v>
      </c>
      <c r="N1003" s="4">
        <v>0.45</v>
      </c>
      <c r="O1003" t="s">
        <v>47</v>
      </c>
    </row>
    <row r="1004" spans="1:15" x14ac:dyDescent="0.3">
      <c r="A1004" t="s">
        <v>3088</v>
      </c>
      <c r="B1004" s="5">
        <v>20</v>
      </c>
      <c r="C1004" s="5" t="str" cm="1">
        <f t="array" ref="C1004">_xlfn.IFS(worksheet[[#This Row],[age]]&lt;25,"1. Young Adulthood (18-24)",worksheet[[#This Row],[age]]&lt; 35,"2. Early Adulthood (25-34)",worksheet[[#This Row],[age]]&lt; 45,"3. Mid Adulthood (35-44)",worksheet[[#This Row],[age]]&lt; 55,"4. Mature Adulthood (45-54)",TRUE,"5. Late Adulthood/Senior (55+)")</f>
        <v>1. Young Adulthood (18-24)</v>
      </c>
      <c r="D1004" t="s">
        <v>27</v>
      </c>
      <c r="E1004" t="s">
        <v>22</v>
      </c>
      <c r="F1004" s="4">
        <v>22.67</v>
      </c>
      <c r="G1004" s="5">
        <v>55</v>
      </c>
      <c r="H1004" t="s">
        <v>23</v>
      </c>
      <c r="I1004" t="s">
        <v>57</v>
      </c>
      <c r="J1004" s="6">
        <v>13.99</v>
      </c>
      <c r="K1004">
        <v>1</v>
      </c>
      <c r="L1004" t="s">
        <v>19</v>
      </c>
      <c r="M1004" s="5">
        <v>1</v>
      </c>
      <c r="N1004" s="4">
        <v>0.4</v>
      </c>
      <c r="O1004" t="s">
        <v>52</v>
      </c>
    </row>
    <row r="1005" spans="1:15" x14ac:dyDescent="0.3">
      <c r="A1005" t="s">
        <v>3093</v>
      </c>
      <c r="B1005" s="5">
        <v>22</v>
      </c>
      <c r="C1005" s="5" t="str" cm="1">
        <f t="array" ref="C1005">_xlfn.IFS(worksheet[[#This Row],[age]]&lt;25,"1. Young Adulthood (18-24)",worksheet[[#This Row],[age]]&lt; 35,"2. Early Adulthood (25-34)",worksheet[[#This Row],[age]]&lt; 45,"3. Mid Adulthood (35-44)",worksheet[[#This Row],[age]]&lt; 55,"4. Mature Adulthood (45-54)",TRUE,"5. Late Adulthood/Senior (55+)")</f>
        <v>1. Young Adulthood (18-24)</v>
      </c>
      <c r="D1005" t="s">
        <v>15</v>
      </c>
      <c r="E1005" t="s">
        <v>22</v>
      </c>
      <c r="F1005" s="4">
        <v>1.42</v>
      </c>
      <c r="G1005" s="5">
        <v>37</v>
      </c>
      <c r="H1005" t="s">
        <v>70</v>
      </c>
      <c r="I1005" t="s">
        <v>57</v>
      </c>
      <c r="J1005" s="6">
        <v>13.99</v>
      </c>
      <c r="K1005">
        <v>1</v>
      </c>
      <c r="L1005" t="s">
        <v>19</v>
      </c>
      <c r="M1005" s="5">
        <v>2</v>
      </c>
      <c r="N1005" s="4">
        <v>0.04</v>
      </c>
      <c r="O1005" t="s">
        <v>25</v>
      </c>
    </row>
    <row r="1006" spans="1:15" x14ac:dyDescent="0.3">
      <c r="A1006" t="s">
        <v>3098</v>
      </c>
      <c r="B1006" s="5">
        <v>23</v>
      </c>
      <c r="C1006" s="5" t="str" cm="1">
        <f t="array" ref="C1006">_xlfn.IFS(worksheet[[#This Row],[age]]&lt;25,"1. Young Adulthood (18-24)",worksheet[[#This Row],[age]]&lt; 35,"2. Early Adulthood (25-34)",worksheet[[#This Row],[age]]&lt; 45,"3. Mid Adulthood (35-44)",worksheet[[#This Row],[age]]&lt; 55,"4. Mature Adulthood (45-54)",TRUE,"5. Late Adulthood/Senior (55+)")</f>
        <v>1. Young Adulthood (18-24)</v>
      </c>
      <c r="D1006" t="s">
        <v>41</v>
      </c>
      <c r="E1006" t="s">
        <v>32</v>
      </c>
      <c r="F1006" s="4">
        <v>4.2300000000000004</v>
      </c>
      <c r="G1006" s="5">
        <v>14</v>
      </c>
      <c r="H1006" t="s">
        <v>49</v>
      </c>
      <c r="I1006" t="s">
        <v>55</v>
      </c>
      <c r="J1006" s="6">
        <v>17.989999999999998</v>
      </c>
      <c r="K1006">
        <v>0</v>
      </c>
      <c r="L1006" t="s">
        <v>61</v>
      </c>
      <c r="M1006" s="5">
        <v>5</v>
      </c>
      <c r="N1006" s="4">
        <v>0.28000000000000003</v>
      </c>
      <c r="O1006" t="s">
        <v>52</v>
      </c>
    </row>
    <row r="1007" spans="1:15" x14ac:dyDescent="0.3">
      <c r="A1007" t="s">
        <v>3107</v>
      </c>
      <c r="B1007" s="5">
        <v>32</v>
      </c>
      <c r="C1007" s="5" t="str" cm="1">
        <f t="array" ref="C1007">_xlfn.IFS(worksheet[[#This Row],[age]]&lt;25,"1. Young Adulthood (18-24)",worksheet[[#This Row],[age]]&lt; 35,"2. Early Adulthood (25-34)",worksheet[[#This Row],[age]]&lt; 45,"3. Mid Adulthood (35-44)",worksheet[[#This Row],[age]]&lt; 55,"4. Mature Adulthood (45-54)",TRUE,"5. Late Adulthood/Senior (55+)")</f>
        <v>2. Early Adulthood (25-34)</v>
      </c>
      <c r="D1007" t="s">
        <v>15</v>
      </c>
      <c r="E1007" t="s">
        <v>16</v>
      </c>
      <c r="F1007" s="4">
        <v>0.49</v>
      </c>
      <c r="G1007" s="5">
        <v>4</v>
      </c>
      <c r="H1007" t="s">
        <v>70</v>
      </c>
      <c r="I1007" t="s">
        <v>55</v>
      </c>
      <c r="J1007" s="6">
        <v>8.99</v>
      </c>
      <c r="K1007">
        <v>1</v>
      </c>
      <c r="L1007" t="s">
        <v>19</v>
      </c>
      <c r="M1007" s="5">
        <v>2</v>
      </c>
      <c r="N1007" s="4">
        <v>0.1</v>
      </c>
      <c r="O1007" t="s">
        <v>52</v>
      </c>
    </row>
    <row r="1008" spans="1:15" x14ac:dyDescent="0.3">
      <c r="A1008" t="s">
        <v>3108</v>
      </c>
      <c r="B1008" s="5">
        <v>27</v>
      </c>
      <c r="C1008" s="5" t="str" cm="1">
        <f t="array" ref="C1008">_xlfn.IFS(worksheet[[#This Row],[age]]&lt;25,"1. Young Adulthood (18-24)",worksheet[[#This Row],[age]]&lt; 35,"2. Early Adulthood (25-34)",worksheet[[#This Row],[age]]&lt; 45,"3. Mid Adulthood (35-44)",worksheet[[#This Row],[age]]&lt; 55,"4. Mature Adulthood (45-54)",TRUE,"5. Late Adulthood/Senior (55+)")</f>
        <v>2. Early Adulthood (25-34)</v>
      </c>
      <c r="D1008" t="s">
        <v>15</v>
      </c>
      <c r="E1008" t="s">
        <v>32</v>
      </c>
      <c r="F1008" s="4">
        <v>11.61</v>
      </c>
      <c r="G1008" s="5">
        <v>21</v>
      </c>
      <c r="H1008" t="s">
        <v>23</v>
      </c>
      <c r="I1008" t="s">
        <v>46</v>
      </c>
      <c r="J1008" s="6">
        <v>17.989999999999998</v>
      </c>
      <c r="K1008">
        <v>0</v>
      </c>
      <c r="L1008" t="s">
        <v>61</v>
      </c>
      <c r="M1008" s="5">
        <v>4</v>
      </c>
      <c r="N1008" s="4">
        <v>0.53</v>
      </c>
      <c r="O1008" t="s">
        <v>34</v>
      </c>
    </row>
    <row r="1009" spans="1:15" x14ac:dyDescent="0.3">
      <c r="A1009" t="s">
        <v>3114</v>
      </c>
      <c r="B1009" s="5">
        <v>25</v>
      </c>
      <c r="C1009" s="5" t="str" cm="1">
        <f t="array" ref="C1009">_xlfn.IFS(worksheet[[#This Row],[age]]&lt;25,"1. Young Adulthood (18-24)",worksheet[[#This Row],[age]]&lt; 35,"2. Early Adulthood (25-34)",worksheet[[#This Row],[age]]&lt; 45,"3. Mid Adulthood (35-44)",worksheet[[#This Row],[age]]&lt; 55,"4. Mature Adulthood (45-54)",TRUE,"5. Late Adulthood/Senior (55+)")</f>
        <v>2. Early Adulthood (25-34)</v>
      </c>
      <c r="D1009" t="s">
        <v>41</v>
      </c>
      <c r="E1009" t="s">
        <v>32</v>
      </c>
      <c r="F1009" s="4">
        <v>13.12</v>
      </c>
      <c r="G1009" s="5">
        <v>47</v>
      </c>
      <c r="H1009" t="s">
        <v>28</v>
      </c>
      <c r="I1009" t="s">
        <v>24</v>
      </c>
      <c r="J1009" s="6">
        <v>17.989999999999998</v>
      </c>
      <c r="K1009">
        <v>1</v>
      </c>
      <c r="L1009" t="s">
        <v>29</v>
      </c>
      <c r="M1009" s="5">
        <v>5</v>
      </c>
      <c r="N1009" s="4">
        <v>0.27</v>
      </c>
      <c r="O1009" t="s">
        <v>30</v>
      </c>
    </row>
    <row r="1010" spans="1:15" x14ac:dyDescent="0.3">
      <c r="A1010" t="s">
        <v>3118</v>
      </c>
      <c r="B1010" s="5">
        <v>23</v>
      </c>
      <c r="C1010" s="5" t="str" cm="1">
        <f t="array" ref="C1010">_xlfn.IFS(worksheet[[#This Row],[age]]&lt;25,"1. Young Adulthood (18-24)",worksheet[[#This Row],[age]]&lt; 35,"2. Early Adulthood (25-34)",worksheet[[#This Row],[age]]&lt; 45,"3. Mid Adulthood (35-44)",worksheet[[#This Row],[age]]&lt; 55,"4. Mature Adulthood (45-54)",TRUE,"5. Late Adulthood/Senior (55+)")</f>
        <v>1. Young Adulthood (18-24)</v>
      </c>
      <c r="D1010" t="s">
        <v>27</v>
      </c>
      <c r="E1010" t="s">
        <v>16</v>
      </c>
      <c r="F1010" s="4">
        <v>25.79</v>
      </c>
      <c r="G1010" s="5">
        <v>55</v>
      </c>
      <c r="H1010" t="s">
        <v>28</v>
      </c>
      <c r="I1010" t="s">
        <v>57</v>
      </c>
      <c r="J1010" s="6">
        <v>8.99</v>
      </c>
      <c r="K1010">
        <v>1</v>
      </c>
      <c r="L1010" t="s">
        <v>37</v>
      </c>
      <c r="M1010" s="5">
        <v>2</v>
      </c>
      <c r="N1010" s="4">
        <v>0.46</v>
      </c>
      <c r="O1010" t="s">
        <v>20</v>
      </c>
    </row>
    <row r="1011" spans="1:15" x14ac:dyDescent="0.3">
      <c r="A1011" t="s">
        <v>3119</v>
      </c>
      <c r="B1011" s="5">
        <v>26</v>
      </c>
      <c r="C1011" s="5" t="str" cm="1">
        <f t="array" ref="C1011">_xlfn.IFS(worksheet[[#This Row],[age]]&lt;25,"1. Young Adulthood (18-24)",worksheet[[#This Row],[age]]&lt; 35,"2. Early Adulthood (25-34)",worksheet[[#This Row],[age]]&lt; 45,"3. Mid Adulthood (35-44)",worksheet[[#This Row],[age]]&lt; 55,"4. Mature Adulthood (45-54)",TRUE,"5. Late Adulthood/Senior (55+)")</f>
        <v>2. Early Adulthood (25-34)</v>
      </c>
      <c r="D1011" t="s">
        <v>41</v>
      </c>
      <c r="E1011" t="s">
        <v>16</v>
      </c>
      <c r="F1011" s="4">
        <v>25.49</v>
      </c>
      <c r="G1011" s="5">
        <v>35</v>
      </c>
      <c r="H1011" t="s">
        <v>49</v>
      </c>
      <c r="I1011" t="s">
        <v>24</v>
      </c>
      <c r="J1011" s="6">
        <v>8.99</v>
      </c>
      <c r="K1011">
        <v>0</v>
      </c>
      <c r="L1011" t="s">
        <v>29</v>
      </c>
      <c r="M1011" s="5">
        <v>3</v>
      </c>
      <c r="N1011" s="4">
        <v>0.71</v>
      </c>
      <c r="O1011" t="s">
        <v>39</v>
      </c>
    </row>
    <row r="1012" spans="1:15" x14ac:dyDescent="0.3">
      <c r="A1012" t="s">
        <v>3120</v>
      </c>
      <c r="B1012" s="5">
        <v>26</v>
      </c>
      <c r="C1012" s="5" t="str" cm="1">
        <f t="array" ref="C1012">_xlfn.IFS(worksheet[[#This Row],[age]]&lt;25,"1. Young Adulthood (18-24)",worksheet[[#This Row],[age]]&lt; 35,"2. Early Adulthood (25-34)",worksheet[[#This Row],[age]]&lt; 45,"3. Mid Adulthood (35-44)",worksheet[[#This Row],[age]]&lt; 55,"4. Mature Adulthood (45-54)",TRUE,"5. Late Adulthood/Senior (55+)")</f>
        <v>2. Early Adulthood (25-34)</v>
      </c>
      <c r="D1012" t="s">
        <v>41</v>
      </c>
      <c r="E1012" t="s">
        <v>22</v>
      </c>
      <c r="F1012" s="4">
        <v>4.87</v>
      </c>
      <c r="G1012" s="5">
        <v>59</v>
      </c>
      <c r="H1012" t="s">
        <v>33</v>
      </c>
      <c r="I1012" t="s">
        <v>24</v>
      </c>
      <c r="J1012" s="6">
        <v>13.99</v>
      </c>
      <c r="K1012">
        <v>1</v>
      </c>
      <c r="L1012" t="s">
        <v>61</v>
      </c>
      <c r="M1012" s="5">
        <v>3</v>
      </c>
      <c r="N1012" s="4">
        <v>0.08</v>
      </c>
      <c r="O1012" t="s">
        <v>20</v>
      </c>
    </row>
    <row r="1013" spans="1:15" x14ac:dyDescent="0.3">
      <c r="A1013" t="s">
        <v>3121</v>
      </c>
      <c r="B1013" s="5">
        <v>28</v>
      </c>
      <c r="C1013" s="5" t="str" cm="1">
        <f t="array" ref="C1013">_xlfn.IFS(worksheet[[#This Row],[age]]&lt;25,"1. Young Adulthood (18-24)",worksheet[[#This Row],[age]]&lt; 35,"2. Early Adulthood (25-34)",worksheet[[#This Row],[age]]&lt; 45,"3. Mid Adulthood (35-44)",worksheet[[#This Row],[age]]&lt; 55,"4. Mature Adulthood (45-54)",TRUE,"5. Late Adulthood/Senior (55+)")</f>
        <v>2. Early Adulthood (25-34)</v>
      </c>
      <c r="D1013" t="s">
        <v>15</v>
      </c>
      <c r="E1013" t="s">
        <v>32</v>
      </c>
      <c r="F1013" s="4">
        <v>17.100000000000001</v>
      </c>
      <c r="G1013" s="5">
        <v>28</v>
      </c>
      <c r="H1013" t="s">
        <v>17</v>
      </c>
      <c r="I1013" t="s">
        <v>18</v>
      </c>
      <c r="J1013" s="6">
        <v>17.989999999999998</v>
      </c>
      <c r="K1013">
        <v>0</v>
      </c>
      <c r="L1013" t="s">
        <v>37</v>
      </c>
      <c r="M1013" s="5">
        <v>4</v>
      </c>
      <c r="N1013" s="4">
        <v>0.59</v>
      </c>
      <c r="O1013" t="s">
        <v>20</v>
      </c>
    </row>
    <row r="1014" spans="1:15" x14ac:dyDescent="0.3">
      <c r="A1014" t="s">
        <v>3125</v>
      </c>
      <c r="B1014" s="5">
        <v>22</v>
      </c>
      <c r="C1014" s="5" t="str" cm="1">
        <f t="array" ref="C1014">_xlfn.IFS(worksheet[[#This Row],[age]]&lt;25,"1. Young Adulthood (18-24)",worksheet[[#This Row],[age]]&lt; 35,"2. Early Adulthood (25-34)",worksheet[[#This Row],[age]]&lt; 45,"3. Mid Adulthood (35-44)",worksheet[[#This Row],[age]]&lt; 55,"4. Mature Adulthood (45-54)",TRUE,"5. Late Adulthood/Senior (55+)")</f>
        <v>1. Young Adulthood (18-24)</v>
      </c>
      <c r="D1014" t="s">
        <v>15</v>
      </c>
      <c r="E1014" t="s">
        <v>16</v>
      </c>
      <c r="F1014" s="4">
        <v>11.84</v>
      </c>
      <c r="G1014" s="5">
        <v>40</v>
      </c>
      <c r="H1014" t="s">
        <v>17</v>
      </c>
      <c r="I1014" t="s">
        <v>18</v>
      </c>
      <c r="J1014" s="6">
        <v>8.99</v>
      </c>
      <c r="K1014">
        <v>1</v>
      </c>
      <c r="L1014" t="s">
        <v>37</v>
      </c>
      <c r="M1014" s="5">
        <v>1</v>
      </c>
      <c r="N1014" s="4">
        <v>0.28999999999999998</v>
      </c>
      <c r="O1014" t="s">
        <v>20</v>
      </c>
    </row>
    <row r="1015" spans="1:15" x14ac:dyDescent="0.3">
      <c r="A1015" t="s">
        <v>3132</v>
      </c>
      <c r="B1015" s="5">
        <v>32</v>
      </c>
      <c r="C1015" s="5" t="str" cm="1">
        <f t="array" ref="C1015">_xlfn.IFS(worksheet[[#This Row],[age]]&lt;25,"1. Young Adulthood (18-24)",worksheet[[#This Row],[age]]&lt; 35,"2. Early Adulthood (25-34)",worksheet[[#This Row],[age]]&lt; 45,"3. Mid Adulthood (35-44)",worksheet[[#This Row],[age]]&lt; 55,"4. Mature Adulthood (45-54)",TRUE,"5. Late Adulthood/Senior (55+)")</f>
        <v>2. Early Adulthood (25-34)</v>
      </c>
      <c r="D1015" t="s">
        <v>41</v>
      </c>
      <c r="E1015" t="s">
        <v>22</v>
      </c>
      <c r="F1015" s="4">
        <v>1.89</v>
      </c>
      <c r="G1015" s="5">
        <v>24</v>
      </c>
      <c r="H1015" t="s">
        <v>23</v>
      </c>
      <c r="I1015" t="s">
        <v>18</v>
      </c>
      <c r="J1015" s="6">
        <v>13.99</v>
      </c>
      <c r="K1015">
        <v>1</v>
      </c>
      <c r="L1015" t="s">
        <v>61</v>
      </c>
      <c r="M1015" s="5">
        <v>1</v>
      </c>
      <c r="N1015" s="4">
        <v>0.08</v>
      </c>
      <c r="O1015" t="s">
        <v>39</v>
      </c>
    </row>
    <row r="1016" spans="1:15" x14ac:dyDescent="0.3">
      <c r="A1016" t="s">
        <v>3133</v>
      </c>
      <c r="B1016" s="5">
        <v>30</v>
      </c>
      <c r="C1016" s="5" t="str" cm="1">
        <f t="array" ref="C1016">_xlfn.IFS(worksheet[[#This Row],[age]]&lt;25,"1. Young Adulthood (18-24)",worksheet[[#This Row],[age]]&lt; 35,"2. Early Adulthood (25-34)",worksheet[[#This Row],[age]]&lt; 45,"3. Mid Adulthood (35-44)",worksheet[[#This Row],[age]]&lt; 55,"4. Mature Adulthood (45-54)",TRUE,"5. Late Adulthood/Senior (55+)")</f>
        <v>2. Early Adulthood (25-34)</v>
      </c>
      <c r="D1016" t="s">
        <v>27</v>
      </c>
      <c r="E1016" t="s">
        <v>16</v>
      </c>
      <c r="F1016" s="4">
        <v>11.4</v>
      </c>
      <c r="G1016" s="5">
        <v>50</v>
      </c>
      <c r="H1016" t="s">
        <v>28</v>
      </c>
      <c r="I1016" t="s">
        <v>55</v>
      </c>
      <c r="J1016" s="6">
        <v>8.99</v>
      </c>
      <c r="K1016">
        <v>1</v>
      </c>
      <c r="L1016" t="s">
        <v>37</v>
      </c>
      <c r="M1016" s="5">
        <v>5</v>
      </c>
      <c r="N1016" s="4">
        <v>0.22</v>
      </c>
      <c r="O1016" t="s">
        <v>39</v>
      </c>
    </row>
    <row r="1017" spans="1:15" x14ac:dyDescent="0.3">
      <c r="A1017" t="s">
        <v>3134</v>
      </c>
      <c r="B1017" s="5">
        <v>18</v>
      </c>
      <c r="C1017" s="5" t="str" cm="1">
        <f t="array" ref="C1017">_xlfn.IFS(worksheet[[#This Row],[age]]&lt;25,"1. Young Adulthood (18-24)",worksheet[[#This Row],[age]]&lt; 35,"2. Early Adulthood (25-34)",worksheet[[#This Row],[age]]&lt; 45,"3. Mid Adulthood (35-44)",worksheet[[#This Row],[age]]&lt; 55,"4. Mature Adulthood (45-54)",TRUE,"5. Late Adulthood/Senior (55+)")</f>
        <v>1. Young Adulthood (18-24)</v>
      </c>
      <c r="D1017" t="s">
        <v>41</v>
      </c>
      <c r="E1017" t="s">
        <v>32</v>
      </c>
      <c r="F1017" s="4">
        <v>2.75</v>
      </c>
      <c r="G1017" s="5">
        <v>5</v>
      </c>
      <c r="H1017" t="s">
        <v>28</v>
      </c>
      <c r="I1017" t="s">
        <v>18</v>
      </c>
      <c r="J1017" s="6">
        <v>17.989999999999998</v>
      </c>
      <c r="K1017">
        <v>1</v>
      </c>
      <c r="L1017" t="s">
        <v>29</v>
      </c>
      <c r="M1017" s="5">
        <v>1</v>
      </c>
      <c r="N1017" s="4">
        <v>0.46</v>
      </c>
      <c r="O1017" t="s">
        <v>30</v>
      </c>
    </row>
    <row r="1018" spans="1:15" x14ac:dyDescent="0.3">
      <c r="A1018" t="s">
        <v>3135</v>
      </c>
      <c r="B1018" s="5">
        <v>18</v>
      </c>
      <c r="C1018" s="5" t="str" cm="1">
        <f t="array" ref="C1018">_xlfn.IFS(worksheet[[#This Row],[age]]&lt;25,"1. Young Adulthood (18-24)",worksheet[[#This Row],[age]]&lt; 35,"2. Early Adulthood (25-34)",worksheet[[#This Row],[age]]&lt; 45,"3. Mid Adulthood (35-44)",worksheet[[#This Row],[age]]&lt; 55,"4. Mature Adulthood (45-54)",TRUE,"5. Late Adulthood/Senior (55+)")</f>
        <v>1. Young Adulthood (18-24)</v>
      </c>
      <c r="D1018" t="s">
        <v>15</v>
      </c>
      <c r="E1018" t="s">
        <v>22</v>
      </c>
      <c r="F1018" s="4">
        <v>3.54</v>
      </c>
      <c r="G1018" s="5">
        <v>45</v>
      </c>
      <c r="H1018" t="s">
        <v>33</v>
      </c>
      <c r="I1018" t="s">
        <v>24</v>
      </c>
      <c r="J1018" s="6">
        <v>13.99</v>
      </c>
      <c r="K1018">
        <v>1</v>
      </c>
      <c r="L1018" t="s">
        <v>37</v>
      </c>
      <c r="M1018" s="5">
        <v>5</v>
      </c>
      <c r="N1018" s="4">
        <v>0.08</v>
      </c>
      <c r="O1018" t="s">
        <v>34</v>
      </c>
    </row>
    <row r="1019" spans="1:15" x14ac:dyDescent="0.3">
      <c r="A1019" t="s">
        <v>3139</v>
      </c>
      <c r="B1019" s="5">
        <v>30</v>
      </c>
      <c r="C1019" s="5" t="str" cm="1">
        <f t="array" ref="C1019">_xlfn.IFS(worksheet[[#This Row],[age]]&lt;25,"1. Young Adulthood (18-24)",worksheet[[#This Row],[age]]&lt; 35,"2. Early Adulthood (25-34)",worksheet[[#This Row],[age]]&lt; 45,"3. Mid Adulthood (35-44)",worksheet[[#This Row],[age]]&lt; 55,"4. Mature Adulthood (45-54)",TRUE,"5. Late Adulthood/Senior (55+)")</f>
        <v>2. Early Adulthood (25-34)</v>
      </c>
      <c r="D1019" t="s">
        <v>41</v>
      </c>
      <c r="E1019" t="s">
        <v>16</v>
      </c>
      <c r="F1019" s="4">
        <v>5.42</v>
      </c>
      <c r="G1019" s="5">
        <v>43</v>
      </c>
      <c r="H1019" t="s">
        <v>17</v>
      </c>
      <c r="I1019" t="s">
        <v>57</v>
      </c>
      <c r="J1019" s="6">
        <v>8.99</v>
      </c>
      <c r="K1019">
        <v>1</v>
      </c>
      <c r="L1019" t="s">
        <v>19</v>
      </c>
      <c r="M1019" s="5">
        <v>4</v>
      </c>
      <c r="N1019" s="4">
        <v>0.12</v>
      </c>
      <c r="O1019" t="s">
        <v>30</v>
      </c>
    </row>
    <row r="1020" spans="1:15" x14ac:dyDescent="0.3">
      <c r="A1020" t="s">
        <v>3141</v>
      </c>
      <c r="B1020" s="5">
        <v>28</v>
      </c>
      <c r="C1020" s="5" t="str" cm="1">
        <f t="array" ref="C1020">_xlfn.IFS(worksheet[[#This Row],[age]]&lt;25,"1. Young Adulthood (18-24)",worksheet[[#This Row],[age]]&lt; 35,"2. Early Adulthood (25-34)",worksheet[[#This Row],[age]]&lt; 45,"3. Mid Adulthood (35-44)",worksheet[[#This Row],[age]]&lt; 55,"4. Mature Adulthood (45-54)",TRUE,"5. Late Adulthood/Senior (55+)")</f>
        <v>2. Early Adulthood (25-34)</v>
      </c>
      <c r="D1020" t="s">
        <v>41</v>
      </c>
      <c r="E1020" t="s">
        <v>22</v>
      </c>
      <c r="F1020" s="4">
        <v>3.57</v>
      </c>
      <c r="G1020" s="5">
        <v>60</v>
      </c>
      <c r="H1020" t="s">
        <v>70</v>
      </c>
      <c r="I1020" t="s">
        <v>24</v>
      </c>
      <c r="J1020" s="6">
        <v>13.99</v>
      </c>
      <c r="K1020">
        <v>1</v>
      </c>
      <c r="L1020" t="s">
        <v>29</v>
      </c>
      <c r="M1020" s="5">
        <v>4</v>
      </c>
      <c r="N1020" s="4">
        <v>0.06</v>
      </c>
      <c r="O1020" t="s">
        <v>34</v>
      </c>
    </row>
    <row r="1021" spans="1:15" x14ac:dyDescent="0.3">
      <c r="A1021" t="s">
        <v>3144</v>
      </c>
      <c r="B1021" s="5">
        <v>25</v>
      </c>
      <c r="C1021" s="5" t="str" cm="1">
        <f t="array" ref="C1021">_xlfn.IFS(worksheet[[#This Row],[age]]&lt;25,"1. Young Adulthood (18-24)",worksheet[[#This Row],[age]]&lt; 35,"2. Early Adulthood (25-34)",worksheet[[#This Row],[age]]&lt; 45,"3. Mid Adulthood (35-44)",worksheet[[#This Row],[age]]&lt; 55,"4. Mature Adulthood (45-54)",TRUE,"5. Late Adulthood/Senior (55+)")</f>
        <v>2. Early Adulthood (25-34)</v>
      </c>
      <c r="D1021" t="s">
        <v>27</v>
      </c>
      <c r="E1021" t="s">
        <v>22</v>
      </c>
      <c r="F1021" s="4">
        <v>10.36</v>
      </c>
      <c r="G1021" s="5">
        <v>52</v>
      </c>
      <c r="H1021" t="s">
        <v>17</v>
      </c>
      <c r="I1021" t="s">
        <v>24</v>
      </c>
      <c r="J1021" s="6">
        <v>13.99</v>
      </c>
      <c r="K1021">
        <v>0</v>
      </c>
      <c r="L1021" t="s">
        <v>61</v>
      </c>
      <c r="M1021" s="5">
        <v>4</v>
      </c>
      <c r="N1021" s="4">
        <v>0.2</v>
      </c>
      <c r="O1021" t="s">
        <v>34</v>
      </c>
    </row>
    <row r="1022" spans="1:15" x14ac:dyDescent="0.3">
      <c r="A1022" t="s">
        <v>3146</v>
      </c>
      <c r="B1022" s="5">
        <v>33</v>
      </c>
      <c r="C1022" s="5" t="str" cm="1">
        <f t="array" ref="C1022">_xlfn.IFS(worksheet[[#This Row],[age]]&lt;25,"1. Young Adulthood (18-24)",worksheet[[#This Row],[age]]&lt; 35,"2. Early Adulthood (25-34)",worksheet[[#This Row],[age]]&lt; 45,"3. Mid Adulthood (35-44)",worksheet[[#This Row],[age]]&lt; 55,"4. Mature Adulthood (45-54)",TRUE,"5. Late Adulthood/Senior (55+)")</f>
        <v>2. Early Adulthood (25-34)</v>
      </c>
      <c r="D1022" t="s">
        <v>15</v>
      </c>
      <c r="E1022" t="s">
        <v>16</v>
      </c>
      <c r="F1022" s="4">
        <v>2.36</v>
      </c>
      <c r="G1022" s="5">
        <v>10</v>
      </c>
      <c r="H1022" t="s">
        <v>17</v>
      </c>
      <c r="I1022" t="s">
        <v>24</v>
      </c>
      <c r="J1022" s="6">
        <v>8.99</v>
      </c>
      <c r="K1022">
        <v>1</v>
      </c>
      <c r="L1022" t="s">
        <v>43</v>
      </c>
      <c r="M1022" s="5">
        <v>3</v>
      </c>
      <c r="N1022" s="4">
        <v>0.21</v>
      </c>
      <c r="O1022" t="s">
        <v>20</v>
      </c>
    </row>
    <row r="1023" spans="1:15" x14ac:dyDescent="0.3">
      <c r="A1023" t="s">
        <v>3148</v>
      </c>
      <c r="B1023" s="5">
        <v>19</v>
      </c>
      <c r="C1023" s="5" t="str" cm="1">
        <f t="array" ref="C1023">_xlfn.IFS(worksheet[[#This Row],[age]]&lt;25,"1. Young Adulthood (18-24)",worksheet[[#This Row],[age]]&lt; 35,"2. Early Adulthood (25-34)",worksheet[[#This Row],[age]]&lt; 45,"3. Mid Adulthood (35-44)",worksheet[[#This Row],[age]]&lt; 55,"4. Mature Adulthood (45-54)",TRUE,"5. Late Adulthood/Senior (55+)")</f>
        <v>1. Young Adulthood (18-24)</v>
      </c>
      <c r="D1023" t="s">
        <v>27</v>
      </c>
      <c r="E1023" t="s">
        <v>22</v>
      </c>
      <c r="F1023" s="4">
        <v>18.18</v>
      </c>
      <c r="G1023" s="5">
        <v>48</v>
      </c>
      <c r="H1023" t="s">
        <v>28</v>
      </c>
      <c r="I1023" t="s">
        <v>18</v>
      </c>
      <c r="J1023" s="6">
        <v>13.99</v>
      </c>
      <c r="K1023">
        <v>1</v>
      </c>
      <c r="L1023" t="s">
        <v>19</v>
      </c>
      <c r="M1023" s="5">
        <v>3</v>
      </c>
      <c r="N1023" s="4">
        <v>0.37</v>
      </c>
      <c r="O1023" t="s">
        <v>39</v>
      </c>
    </row>
    <row r="1024" spans="1:15" x14ac:dyDescent="0.3">
      <c r="A1024" t="s">
        <v>3150</v>
      </c>
      <c r="B1024" s="5">
        <v>32</v>
      </c>
      <c r="C1024" s="5" t="str" cm="1">
        <f t="array" ref="C1024">_xlfn.IFS(worksheet[[#This Row],[age]]&lt;25,"1. Young Adulthood (18-24)",worksheet[[#This Row],[age]]&lt; 35,"2. Early Adulthood (25-34)",worksheet[[#This Row],[age]]&lt; 45,"3. Mid Adulthood (35-44)",worksheet[[#This Row],[age]]&lt; 55,"4. Mature Adulthood (45-54)",TRUE,"5. Late Adulthood/Senior (55+)")</f>
        <v>2. Early Adulthood (25-34)</v>
      </c>
      <c r="D1024" t="s">
        <v>27</v>
      </c>
      <c r="E1024" t="s">
        <v>22</v>
      </c>
      <c r="F1024" s="4">
        <v>7.07</v>
      </c>
      <c r="G1024" s="5">
        <v>21</v>
      </c>
      <c r="H1024" t="s">
        <v>28</v>
      </c>
      <c r="I1024" t="s">
        <v>55</v>
      </c>
      <c r="J1024" s="6">
        <v>13.99</v>
      </c>
      <c r="K1024">
        <v>0</v>
      </c>
      <c r="L1024" t="s">
        <v>29</v>
      </c>
      <c r="M1024" s="5">
        <v>1</v>
      </c>
      <c r="N1024" s="4">
        <v>0.32</v>
      </c>
      <c r="O1024" t="s">
        <v>34</v>
      </c>
    </row>
    <row r="1025" spans="1:15" x14ac:dyDescent="0.3">
      <c r="A1025" t="s">
        <v>3155</v>
      </c>
      <c r="B1025" s="5">
        <v>20</v>
      </c>
      <c r="C1025" s="5" t="str" cm="1">
        <f t="array" ref="C1025">_xlfn.IFS(worksheet[[#This Row],[age]]&lt;25,"1. Young Adulthood (18-24)",worksheet[[#This Row],[age]]&lt; 35,"2. Early Adulthood (25-34)",worksheet[[#This Row],[age]]&lt; 45,"3. Mid Adulthood (35-44)",worksheet[[#This Row],[age]]&lt; 55,"4. Mature Adulthood (45-54)",TRUE,"5. Late Adulthood/Senior (55+)")</f>
        <v>1. Young Adulthood (18-24)</v>
      </c>
      <c r="D1025" t="s">
        <v>41</v>
      </c>
      <c r="E1025" t="s">
        <v>32</v>
      </c>
      <c r="F1025" s="4">
        <v>3.26</v>
      </c>
      <c r="G1025" s="5">
        <v>32</v>
      </c>
      <c r="H1025" t="s">
        <v>23</v>
      </c>
      <c r="I1025" t="s">
        <v>24</v>
      </c>
      <c r="J1025" s="6">
        <v>17.989999999999998</v>
      </c>
      <c r="K1025">
        <v>1</v>
      </c>
      <c r="L1025" t="s">
        <v>43</v>
      </c>
      <c r="M1025" s="5">
        <v>2</v>
      </c>
      <c r="N1025" s="4">
        <v>0.1</v>
      </c>
      <c r="O1025" t="s">
        <v>20</v>
      </c>
    </row>
    <row r="1026" spans="1:15" x14ac:dyDescent="0.3">
      <c r="A1026" t="s">
        <v>3156</v>
      </c>
      <c r="B1026" s="5">
        <v>33</v>
      </c>
      <c r="C1026" s="5" t="str" cm="1">
        <f t="array" ref="C1026">_xlfn.IFS(worksheet[[#This Row],[age]]&lt;25,"1. Young Adulthood (18-24)",worksheet[[#This Row],[age]]&lt; 35,"2. Early Adulthood (25-34)",worksheet[[#This Row],[age]]&lt; 45,"3. Mid Adulthood (35-44)",worksheet[[#This Row],[age]]&lt; 55,"4. Mature Adulthood (45-54)",TRUE,"5. Late Adulthood/Senior (55+)")</f>
        <v>2. Early Adulthood (25-34)</v>
      </c>
      <c r="D1026" t="s">
        <v>41</v>
      </c>
      <c r="E1026" t="s">
        <v>22</v>
      </c>
      <c r="F1026" s="4">
        <v>4.63</v>
      </c>
      <c r="G1026" s="5">
        <v>0</v>
      </c>
      <c r="H1026" t="s">
        <v>23</v>
      </c>
      <c r="I1026" t="s">
        <v>18</v>
      </c>
      <c r="J1026" s="6">
        <v>13.99</v>
      </c>
      <c r="K1026">
        <v>0</v>
      </c>
      <c r="L1026" t="s">
        <v>37</v>
      </c>
      <c r="M1026" s="5">
        <v>1</v>
      </c>
      <c r="N1026" s="4">
        <v>4.63</v>
      </c>
      <c r="O1026" t="s">
        <v>25</v>
      </c>
    </row>
    <row r="1027" spans="1:15" x14ac:dyDescent="0.3">
      <c r="A1027" t="s">
        <v>3158</v>
      </c>
      <c r="B1027" s="5">
        <v>33</v>
      </c>
      <c r="C1027" s="5" t="str" cm="1">
        <f t="array" ref="C1027">_xlfn.IFS(worksheet[[#This Row],[age]]&lt;25,"1. Young Adulthood (18-24)",worksheet[[#This Row],[age]]&lt; 35,"2. Early Adulthood (25-34)",worksheet[[#This Row],[age]]&lt; 45,"3. Mid Adulthood (35-44)",worksheet[[#This Row],[age]]&lt; 55,"4. Mature Adulthood (45-54)",TRUE,"5. Late Adulthood/Senior (55+)")</f>
        <v>2. Early Adulthood (25-34)</v>
      </c>
      <c r="D1027" t="s">
        <v>41</v>
      </c>
      <c r="E1027" t="s">
        <v>16</v>
      </c>
      <c r="F1027" s="4">
        <v>21.02</v>
      </c>
      <c r="G1027" s="5">
        <v>45</v>
      </c>
      <c r="H1027" t="s">
        <v>28</v>
      </c>
      <c r="I1027" t="s">
        <v>55</v>
      </c>
      <c r="J1027" s="6">
        <v>8.99</v>
      </c>
      <c r="K1027">
        <v>1</v>
      </c>
      <c r="L1027" t="s">
        <v>19</v>
      </c>
      <c r="M1027" s="5">
        <v>1</v>
      </c>
      <c r="N1027" s="4">
        <v>0.46</v>
      </c>
      <c r="O1027" t="s">
        <v>30</v>
      </c>
    </row>
    <row r="1028" spans="1:15" x14ac:dyDescent="0.3">
      <c r="A1028" t="s">
        <v>3164</v>
      </c>
      <c r="B1028" s="5">
        <v>29</v>
      </c>
      <c r="C1028" s="5" t="str" cm="1">
        <f t="array" ref="C1028">_xlfn.IFS(worksheet[[#This Row],[age]]&lt;25,"1. Young Adulthood (18-24)",worksheet[[#This Row],[age]]&lt; 35,"2. Early Adulthood (25-34)",worksheet[[#This Row],[age]]&lt; 45,"3. Mid Adulthood (35-44)",worksheet[[#This Row],[age]]&lt; 55,"4. Mature Adulthood (45-54)",TRUE,"5. Late Adulthood/Senior (55+)")</f>
        <v>2. Early Adulthood (25-34)</v>
      </c>
      <c r="D1028" t="s">
        <v>27</v>
      </c>
      <c r="E1028" t="s">
        <v>32</v>
      </c>
      <c r="F1028" s="4">
        <v>5.97</v>
      </c>
      <c r="G1028" s="5">
        <v>2</v>
      </c>
      <c r="H1028" t="s">
        <v>23</v>
      </c>
      <c r="I1028" t="s">
        <v>57</v>
      </c>
      <c r="J1028" s="6">
        <v>17.989999999999998</v>
      </c>
      <c r="K1028">
        <v>0</v>
      </c>
      <c r="L1028" t="s">
        <v>43</v>
      </c>
      <c r="M1028" s="5">
        <v>4</v>
      </c>
      <c r="N1028" s="4">
        <v>1.99</v>
      </c>
      <c r="O1028" t="s">
        <v>20</v>
      </c>
    </row>
    <row r="1029" spans="1:15" x14ac:dyDescent="0.3">
      <c r="A1029" t="s">
        <v>3165</v>
      </c>
      <c r="B1029" s="5">
        <v>34</v>
      </c>
      <c r="C1029" s="5" t="str" cm="1">
        <f t="array" ref="C1029">_xlfn.IFS(worksheet[[#This Row],[age]]&lt;25,"1. Young Adulthood (18-24)",worksheet[[#This Row],[age]]&lt; 35,"2. Early Adulthood (25-34)",worksheet[[#This Row],[age]]&lt; 45,"3. Mid Adulthood (35-44)",worksheet[[#This Row],[age]]&lt; 55,"4. Mature Adulthood (45-54)",TRUE,"5. Late Adulthood/Senior (55+)")</f>
        <v>2. Early Adulthood (25-34)</v>
      </c>
      <c r="D1029" t="s">
        <v>27</v>
      </c>
      <c r="E1029" t="s">
        <v>22</v>
      </c>
      <c r="F1029" s="4">
        <v>0.22</v>
      </c>
      <c r="G1029" s="5">
        <v>52</v>
      </c>
      <c r="H1029" t="s">
        <v>33</v>
      </c>
      <c r="I1029" t="s">
        <v>57</v>
      </c>
      <c r="J1029" s="6">
        <v>13.99</v>
      </c>
      <c r="K1029">
        <v>1</v>
      </c>
      <c r="L1029" t="s">
        <v>43</v>
      </c>
      <c r="M1029" s="5">
        <v>4</v>
      </c>
      <c r="N1029" s="4">
        <v>0</v>
      </c>
      <c r="O1029" t="s">
        <v>52</v>
      </c>
    </row>
    <row r="1030" spans="1:15" x14ac:dyDescent="0.3">
      <c r="A1030" t="s">
        <v>3166</v>
      </c>
      <c r="B1030" s="5">
        <v>23</v>
      </c>
      <c r="C1030" s="5" t="str" cm="1">
        <f t="array" ref="C1030">_xlfn.IFS(worksheet[[#This Row],[age]]&lt;25,"1. Young Adulthood (18-24)",worksheet[[#This Row],[age]]&lt; 35,"2. Early Adulthood (25-34)",worksheet[[#This Row],[age]]&lt; 45,"3. Mid Adulthood (35-44)",worksheet[[#This Row],[age]]&lt; 55,"4. Mature Adulthood (45-54)",TRUE,"5. Late Adulthood/Senior (55+)")</f>
        <v>1. Young Adulthood (18-24)</v>
      </c>
      <c r="D1030" t="s">
        <v>15</v>
      </c>
      <c r="E1030" t="s">
        <v>22</v>
      </c>
      <c r="F1030" s="4">
        <v>20.75</v>
      </c>
      <c r="G1030" s="5">
        <v>51</v>
      </c>
      <c r="H1030" t="s">
        <v>28</v>
      </c>
      <c r="I1030" t="s">
        <v>55</v>
      </c>
      <c r="J1030" s="6">
        <v>13.99</v>
      </c>
      <c r="K1030">
        <v>0</v>
      </c>
      <c r="L1030" t="s">
        <v>61</v>
      </c>
      <c r="M1030" s="5">
        <v>4</v>
      </c>
      <c r="N1030" s="4">
        <v>0.4</v>
      </c>
      <c r="O1030" t="s">
        <v>52</v>
      </c>
    </row>
    <row r="1031" spans="1:15" x14ac:dyDescent="0.3">
      <c r="A1031" t="s">
        <v>3171</v>
      </c>
      <c r="B1031" s="5">
        <v>20</v>
      </c>
      <c r="C1031" s="5" t="str" cm="1">
        <f t="array" ref="C1031">_xlfn.IFS(worksheet[[#This Row],[age]]&lt;25,"1. Young Adulthood (18-24)",worksheet[[#This Row],[age]]&lt; 35,"2. Early Adulthood (25-34)",worksheet[[#This Row],[age]]&lt; 45,"3. Mid Adulthood (35-44)",worksheet[[#This Row],[age]]&lt; 55,"4. Mature Adulthood (45-54)",TRUE,"5. Late Adulthood/Senior (55+)")</f>
        <v>1. Young Adulthood (18-24)</v>
      </c>
      <c r="D1031" t="s">
        <v>27</v>
      </c>
      <c r="E1031" t="s">
        <v>32</v>
      </c>
      <c r="F1031" s="4">
        <v>9.92</v>
      </c>
      <c r="G1031" s="5">
        <v>25</v>
      </c>
      <c r="H1031" t="s">
        <v>70</v>
      </c>
      <c r="I1031" t="s">
        <v>55</v>
      </c>
      <c r="J1031" s="6">
        <v>17.989999999999998</v>
      </c>
      <c r="K1031">
        <v>0</v>
      </c>
      <c r="L1031" t="s">
        <v>19</v>
      </c>
      <c r="M1031" s="5">
        <v>2</v>
      </c>
      <c r="N1031" s="4">
        <v>0.38</v>
      </c>
      <c r="O1031" t="s">
        <v>25</v>
      </c>
    </row>
    <row r="1032" spans="1:15" x14ac:dyDescent="0.3">
      <c r="A1032" t="s">
        <v>3172</v>
      </c>
      <c r="B1032" s="5">
        <v>28</v>
      </c>
      <c r="C1032" s="5" t="str" cm="1">
        <f t="array" ref="C1032">_xlfn.IFS(worksheet[[#This Row],[age]]&lt;25,"1. Young Adulthood (18-24)",worksheet[[#This Row],[age]]&lt; 35,"2. Early Adulthood (25-34)",worksheet[[#This Row],[age]]&lt; 45,"3. Mid Adulthood (35-44)",worksheet[[#This Row],[age]]&lt; 55,"4. Mature Adulthood (45-54)",TRUE,"5. Late Adulthood/Senior (55+)")</f>
        <v>2. Early Adulthood (25-34)</v>
      </c>
      <c r="D1032" t="s">
        <v>27</v>
      </c>
      <c r="E1032" t="s">
        <v>32</v>
      </c>
      <c r="F1032" s="4">
        <v>0.12</v>
      </c>
      <c r="G1032" s="5">
        <v>9</v>
      </c>
      <c r="H1032" t="s">
        <v>23</v>
      </c>
      <c r="I1032" t="s">
        <v>18</v>
      </c>
      <c r="J1032" s="6">
        <v>17.989999999999998</v>
      </c>
      <c r="K1032">
        <v>1</v>
      </c>
      <c r="L1032" t="s">
        <v>29</v>
      </c>
      <c r="M1032" s="5">
        <v>2</v>
      </c>
      <c r="N1032" s="4">
        <v>0.01</v>
      </c>
      <c r="O1032" t="s">
        <v>39</v>
      </c>
    </row>
    <row r="1033" spans="1:15" x14ac:dyDescent="0.3">
      <c r="A1033" t="s">
        <v>3174</v>
      </c>
      <c r="B1033" s="5">
        <v>29</v>
      </c>
      <c r="C1033" s="5" t="str" cm="1">
        <f t="array" ref="C1033">_xlfn.IFS(worksheet[[#This Row],[age]]&lt;25,"1. Young Adulthood (18-24)",worksheet[[#This Row],[age]]&lt; 35,"2. Early Adulthood (25-34)",worksheet[[#This Row],[age]]&lt; 45,"3. Mid Adulthood (35-44)",worksheet[[#This Row],[age]]&lt; 55,"4. Mature Adulthood (45-54)",TRUE,"5. Late Adulthood/Senior (55+)")</f>
        <v>2. Early Adulthood (25-34)</v>
      </c>
      <c r="D1033" t="s">
        <v>41</v>
      </c>
      <c r="E1033" t="s">
        <v>22</v>
      </c>
      <c r="F1033" s="4">
        <v>11.46</v>
      </c>
      <c r="G1033" s="5">
        <v>54</v>
      </c>
      <c r="H1033" t="s">
        <v>70</v>
      </c>
      <c r="I1033" t="s">
        <v>46</v>
      </c>
      <c r="J1033" s="6">
        <v>13.99</v>
      </c>
      <c r="K1033">
        <v>1</v>
      </c>
      <c r="L1033" t="s">
        <v>19</v>
      </c>
      <c r="M1033" s="5">
        <v>4</v>
      </c>
      <c r="N1033" s="4">
        <v>0.21</v>
      </c>
      <c r="O1033" t="s">
        <v>30</v>
      </c>
    </row>
    <row r="1034" spans="1:15" x14ac:dyDescent="0.3">
      <c r="A1034" t="s">
        <v>3175</v>
      </c>
      <c r="B1034" s="5">
        <v>33</v>
      </c>
      <c r="C1034" s="5" t="str" cm="1">
        <f t="array" ref="C1034">_xlfn.IFS(worksheet[[#This Row],[age]]&lt;25,"1. Young Adulthood (18-24)",worksheet[[#This Row],[age]]&lt; 35,"2. Early Adulthood (25-34)",worksheet[[#This Row],[age]]&lt; 45,"3. Mid Adulthood (35-44)",worksheet[[#This Row],[age]]&lt; 55,"4. Mature Adulthood (45-54)",TRUE,"5. Late Adulthood/Senior (55+)")</f>
        <v>2. Early Adulthood (25-34)</v>
      </c>
      <c r="D1034" t="s">
        <v>41</v>
      </c>
      <c r="E1034" t="s">
        <v>32</v>
      </c>
      <c r="F1034" s="4">
        <v>13.95</v>
      </c>
      <c r="G1034" s="5">
        <v>53</v>
      </c>
      <c r="H1034" t="s">
        <v>70</v>
      </c>
      <c r="I1034" t="s">
        <v>46</v>
      </c>
      <c r="J1034" s="6">
        <v>17.989999999999998</v>
      </c>
      <c r="K1034">
        <v>0</v>
      </c>
      <c r="L1034" t="s">
        <v>61</v>
      </c>
      <c r="M1034" s="5">
        <v>4</v>
      </c>
      <c r="N1034" s="4">
        <v>0.26</v>
      </c>
      <c r="O1034" t="s">
        <v>34</v>
      </c>
    </row>
    <row r="1035" spans="1:15" x14ac:dyDescent="0.3">
      <c r="A1035" t="s">
        <v>3178</v>
      </c>
      <c r="B1035" s="5">
        <v>27</v>
      </c>
      <c r="C1035" s="5" t="str" cm="1">
        <f t="array" ref="C1035">_xlfn.IFS(worksheet[[#This Row],[age]]&lt;25,"1. Young Adulthood (18-24)",worksheet[[#This Row],[age]]&lt; 35,"2. Early Adulthood (25-34)",worksheet[[#This Row],[age]]&lt; 45,"3. Mid Adulthood (35-44)",worksheet[[#This Row],[age]]&lt; 55,"4. Mature Adulthood (45-54)",TRUE,"5. Late Adulthood/Senior (55+)")</f>
        <v>2. Early Adulthood (25-34)</v>
      </c>
      <c r="D1035" t="s">
        <v>27</v>
      </c>
      <c r="E1035" t="s">
        <v>22</v>
      </c>
      <c r="F1035" s="4">
        <v>33.25</v>
      </c>
      <c r="G1035" s="5">
        <v>34</v>
      </c>
      <c r="H1035" t="s">
        <v>49</v>
      </c>
      <c r="I1035" t="s">
        <v>46</v>
      </c>
      <c r="J1035" s="6">
        <v>13.99</v>
      </c>
      <c r="K1035">
        <v>0</v>
      </c>
      <c r="L1035" t="s">
        <v>37</v>
      </c>
      <c r="M1035" s="5">
        <v>3</v>
      </c>
      <c r="N1035" s="4">
        <v>0.95</v>
      </c>
      <c r="O1035" t="s">
        <v>52</v>
      </c>
    </row>
    <row r="1036" spans="1:15" x14ac:dyDescent="0.3">
      <c r="A1036" t="s">
        <v>3179</v>
      </c>
      <c r="B1036" s="5">
        <v>18</v>
      </c>
      <c r="C1036" s="5" t="str" cm="1">
        <f t="array" ref="C1036">_xlfn.IFS(worksheet[[#This Row],[age]]&lt;25,"1. Young Adulthood (18-24)",worksheet[[#This Row],[age]]&lt; 35,"2. Early Adulthood (25-34)",worksheet[[#This Row],[age]]&lt; 45,"3. Mid Adulthood (35-44)",worksheet[[#This Row],[age]]&lt; 55,"4. Mature Adulthood (45-54)",TRUE,"5. Late Adulthood/Senior (55+)")</f>
        <v>1. Young Adulthood (18-24)</v>
      </c>
      <c r="D1036" t="s">
        <v>41</v>
      </c>
      <c r="E1036" t="s">
        <v>22</v>
      </c>
      <c r="F1036" s="4">
        <v>3.62</v>
      </c>
      <c r="G1036" s="5">
        <v>20</v>
      </c>
      <c r="H1036" t="s">
        <v>49</v>
      </c>
      <c r="I1036" t="s">
        <v>57</v>
      </c>
      <c r="J1036" s="6">
        <v>13.99</v>
      </c>
      <c r="K1036">
        <v>1</v>
      </c>
      <c r="L1036" t="s">
        <v>19</v>
      </c>
      <c r="M1036" s="5">
        <v>1</v>
      </c>
      <c r="N1036" s="4">
        <v>0.17</v>
      </c>
      <c r="O1036" t="s">
        <v>25</v>
      </c>
    </row>
    <row r="1037" spans="1:15" x14ac:dyDescent="0.3">
      <c r="A1037" t="s">
        <v>3188</v>
      </c>
      <c r="B1037" s="5">
        <v>29</v>
      </c>
      <c r="C1037" s="5" t="str" cm="1">
        <f t="array" ref="C1037">_xlfn.IFS(worksheet[[#This Row],[age]]&lt;25,"1. Young Adulthood (18-24)",worksheet[[#This Row],[age]]&lt; 35,"2. Early Adulthood (25-34)",worksheet[[#This Row],[age]]&lt; 45,"3. Mid Adulthood (35-44)",worksheet[[#This Row],[age]]&lt; 55,"4. Mature Adulthood (45-54)",TRUE,"5. Late Adulthood/Senior (55+)")</f>
        <v>2. Early Adulthood (25-34)</v>
      </c>
      <c r="D1037" t="s">
        <v>41</v>
      </c>
      <c r="E1037" t="s">
        <v>16</v>
      </c>
      <c r="F1037" s="4">
        <v>11.32</v>
      </c>
      <c r="G1037" s="5">
        <v>48</v>
      </c>
      <c r="H1037" t="s">
        <v>17</v>
      </c>
      <c r="I1037" t="s">
        <v>18</v>
      </c>
      <c r="J1037" s="6">
        <v>8.99</v>
      </c>
      <c r="K1037">
        <v>1</v>
      </c>
      <c r="L1037" t="s">
        <v>61</v>
      </c>
      <c r="M1037" s="5">
        <v>2</v>
      </c>
      <c r="N1037" s="4">
        <v>0.23</v>
      </c>
      <c r="O1037" t="s">
        <v>25</v>
      </c>
    </row>
    <row r="1038" spans="1:15" x14ac:dyDescent="0.3">
      <c r="A1038" t="s">
        <v>3189</v>
      </c>
      <c r="B1038" s="5">
        <v>34</v>
      </c>
      <c r="C1038" s="5" t="str" cm="1">
        <f t="array" ref="C1038">_xlfn.IFS(worksheet[[#This Row],[age]]&lt;25,"1. Young Adulthood (18-24)",worksheet[[#This Row],[age]]&lt; 35,"2. Early Adulthood (25-34)",worksheet[[#This Row],[age]]&lt; 45,"3. Mid Adulthood (35-44)",worksheet[[#This Row],[age]]&lt; 55,"4. Mature Adulthood (45-54)",TRUE,"5. Late Adulthood/Senior (55+)")</f>
        <v>2. Early Adulthood (25-34)</v>
      </c>
      <c r="D1038" t="s">
        <v>15</v>
      </c>
      <c r="E1038" t="s">
        <v>32</v>
      </c>
      <c r="F1038" s="4">
        <v>1.92</v>
      </c>
      <c r="G1038" s="5">
        <v>44</v>
      </c>
      <c r="H1038" t="s">
        <v>49</v>
      </c>
      <c r="I1038" t="s">
        <v>18</v>
      </c>
      <c r="J1038" s="6">
        <v>17.989999999999998</v>
      </c>
      <c r="K1038">
        <v>1</v>
      </c>
      <c r="L1038" t="s">
        <v>19</v>
      </c>
      <c r="M1038" s="5">
        <v>2</v>
      </c>
      <c r="N1038" s="4">
        <v>0.04</v>
      </c>
      <c r="O1038" t="s">
        <v>52</v>
      </c>
    </row>
    <row r="1039" spans="1:15" x14ac:dyDescent="0.3">
      <c r="A1039" t="s">
        <v>3190</v>
      </c>
      <c r="B1039" s="5">
        <v>18</v>
      </c>
      <c r="C1039" s="5" t="str" cm="1">
        <f t="array" ref="C1039">_xlfn.IFS(worksheet[[#This Row],[age]]&lt;25,"1. Young Adulthood (18-24)",worksheet[[#This Row],[age]]&lt; 35,"2. Early Adulthood (25-34)",worksheet[[#This Row],[age]]&lt; 45,"3. Mid Adulthood (35-44)",worksheet[[#This Row],[age]]&lt; 55,"4. Mature Adulthood (45-54)",TRUE,"5. Late Adulthood/Senior (55+)")</f>
        <v>1. Young Adulthood (18-24)</v>
      </c>
      <c r="D1039" t="s">
        <v>27</v>
      </c>
      <c r="E1039" t="s">
        <v>32</v>
      </c>
      <c r="F1039" s="4">
        <v>0.82</v>
      </c>
      <c r="G1039" s="5">
        <v>59</v>
      </c>
      <c r="H1039" t="s">
        <v>49</v>
      </c>
      <c r="I1039" t="s">
        <v>57</v>
      </c>
      <c r="J1039" s="6">
        <v>17.989999999999998</v>
      </c>
      <c r="K1039">
        <v>1</v>
      </c>
      <c r="L1039" t="s">
        <v>43</v>
      </c>
      <c r="M1039" s="5">
        <v>3</v>
      </c>
      <c r="N1039" s="4">
        <v>0.01</v>
      </c>
      <c r="O1039" t="s">
        <v>20</v>
      </c>
    </row>
    <row r="1040" spans="1:15" x14ac:dyDescent="0.3">
      <c r="A1040" t="s">
        <v>3191</v>
      </c>
      <c r="B1040" s="5">
        <v>28</v>
      </c>
      <c r="C1040" s="5" t="str" cm="1">
        <f t="array" ref="C1040">_xlfn.IFS(worksheet[[#This Row],[age]]&lt;25,"1. Young Adulthood (18-24)",worksheet[[#This Row],[age]]&lt; 35,"2. Early Adulthood (25-34)",worksheet[[#This Row],[age]]&lt; 45,"3. Mid Adulthood (35-44)",worksheet[[#This Row],[age]]&lt; 55,"4. Mature Adulthood (45-54)",TRUE,"5. Late Adulthood/Senior (55+)")</f>
        <v>2. Early Adulthood (25-34)</v>
      </c>
      <c r="D1040" t="s">
        <v>27</v>
      </c>
      <c r="E1040" t="s">
        <v>22</v>
      </c>
      <c r="F1040" s="4">
        <v>6.72</v>
      </c>
      <c r="G1040" s="5">
        <v>15</v>
      </c>
      <c r="H1040" t="s">
        <v>70</v>
      </c>
      <c r="I1040" t="s">
        <v>55</v>
      </c>
      <c r="J1040" s="6">
        <v>13.99</v>
      </c>
      <c r="K1040">
        <v>0</v>
      </c>
      <c r="L1040" t="s">
        <v>43</v>
      </c>
      <c r="M1040" s="5">
        <v>5</v>
      </c>
      <c r="N1040" s="4">
        <v>0.42</v>
      </c>
      <c r="O1040" t="s">
        <v>47</v>
      </c>
    </row>
    <row r="1041" spans="1:15" x14ac:dyDescent="0.3">
      <c r="A1041" t="s">
        <v>3193</v>
      </c>
      <c r="B1041" s="5">
        <v>34</v>
      </c>
      <c r="C1041" s="5" t="str" cm="1">
        <f t="array" ref="C1041">_xlfn.IFS(worksheet[[#This Row],[age]]&lt;25,"1. Young Adulthood (18-24)",worksheet[[#This Row],[age]]&lt; 35,"2. Early Adulthood (25-34)",worksheet[[#This Row],[age]]&lt; 45,"3. Mid Adulthood (35-44)",worksheet[[#This Row],[age]]&lt; 55,"4. Mature Adulthood (45-54)",TRUE,"5. Late Adulthood/Senior (55+)")</f>
        <v>2. Early Adulthood (25-34)</v>
      </c>
      <c r="D1041" t="s">
        <v>15</v>
      </c>
      <c r="E1041" t="s">
        <v>32</v>
      </c>
      <c r="F1041" s="4">
        <v>16.670000000000002</v>
      </c>
      <c r="G1041" s="5">
        <v>11</v>
      </c>
      <c r="H1041" t="s">
        <v>28</v>
      </c>
      <c r="I1041" t="s">
        <v>57</v>
      </c>
      <c r="J1041" s="6">
        <v>17.989999999999998</v>
      </c>
      <c r="K1041">
        <v>0</v>
      </c>
      <c r="L1041" t="s">
        <v>29</v>
      </c>
      <c r="M1041" s="5">
        <v>1</v>
      </c>
      <c r="N1041" s="4">
        <v>1.39</v>
      </c>
      <c r="O1041" t="s">
        <v>20</v>
      </c>
    </row>
    <row r="1042" spans="1:15" x14ac:dyDescent="0.3">
      <c r="A1042" t="s">
        <v>3194</v>
      </c>
      <c r="B1042" s="5">
        <v>32</v>
      </c>
      <c r="C1042" s="5" t="str" cm="1">
        <f t="array" ref="C1042">_xlfn.IFS(worksheet[[#This Row],[age]]&lt;25,"1. Young Adulthood (18-24)",worksheet[[#This Row],[age]]&lt; 35,"2. Early Adulthood (25-34)",worksheet[[#This Row],[age]]&lt; 45,"3. Mid Adulthood (35-44)",worksheet[[#This Row],[age]]&lt; 55,"4. Mature Adulthood (45-54)",TRUE,"5. Late Adulthood/Senior (55+)")</f>
        <v>2. Early Adulthood (25-34)</v>
      </c>
      <c r="D1042" t="s">
        <v>41</v>
      </c>
      <c r="E1042" t="s">
        <v>22</v>
      </c>
      <c r="F1042" s="4">
        <v>15.29</v>
      </c>
      <c r="G1042" s="5">
        <v>23</v>
      </c>
      <c r="H1042" t="s">
        <v>28</v>
      </c>
      <c r="I1042" t="s">
        <v>57</v>
      </c>
      <c r="J1042" s="6">
        <v>13.99</v>
      </c>
      <c r="K1042">
        <v>0</v>
      </c>
      <c r="L1042" t="s">
        <v>61</v>
      </c>
      <c r="M1042" s="5">
        <v>5</v>
      </c>
      <c r="N1042" s="4">
        <v>0.64</v>
      </c>
      <c r="O1042" t="s">
        <v>52</v>
      </c>
    </row>
    <row r="1043" spans="1:15" x14ac:dyDescent="0.3">
      <c r="A1043" t="s">
        <v>3196</v>
      </c>
      <c r="B1043" s="5">
        <v>21</v>
      </c>
      <c r="C1043" s="5" t="str" cm="1">
        <f t="array" ref="C1043">_xlfn.IFS(worksheet[[#This Row],[age]]&lt;25,"1. Young Adulthood (18-24)",worksheet[[#This Row],[age]]&lt; 35,"2. Early Adulthood (25-34)",worksheet[[#This Row],[age]]&lt; 45,"3. Mid Adulthood (35-44)",worksheet[[#This Row],[age]]&lt; 55,"4. Mature Adulthood (45-54)",TRUE,"5. Late Adulthood/Senior (55+)")</f>
        <v>1. Young Adulthood (18-24)</v>
      </c>
      <c r="D1043" t="s">
        <v>27</v>
      </c>
      <c r="E1043" t="s">
        <v>16</v>
      </c>
      <c r="F1043" s="4">
        <v>17.28</v>
      </c>
      <c r="G1043" s="5">
        <v>18</v>
      </c>
      <c r="H1043" t="s">
        <v>17</v>
      </c>
      <c r="I1043" t="s">
        <v>24</v>
      </c>
      <c r="J1043" s="6">
        <v>8.99</v>
      </c>
      <c r="K1043">
        <v>0</v>
      </c>
      <c r="L1043" t="s">
        <v>43</v>
      </c>
      <c r="M1043" s="5">
        <v>4</v>
      </c>
      <c r="N1043" s="4">
        <v>0.91</v>
      </c>
      <c r="O1043" t="s">
        <v>52</v>
      </c>
    </row>
    <row r="1044" spans="1:15" x14ac:dyDescent="0.3">
      <c r="A1044" t="s">
        <v>3201</v>
      </c>
      <c r="B1044" s="5">
        <v>22</v>
      </c>
      <c r="C1044" s="5" t="str" cm="1">
        <f t="array" ref="C1044">_xlfn.IFS(worksheet[[#This Row],[age]]&lt;25,"1. Young Adulthood (18-24)",worksheet[[#This Row],[age]]&lt; 35,"2. Early Adulthood (25-34)",worksheet[[#This Row],[age]]&lt; 45,"3. Mid Adulthood (35-44)",worksheet[[#This Row],[age]]&lt; 55,"4. Mature Adulthood (45-54)",TRUE,"5. Late Adulthood/Senior (55+)")</f>
        <v>1. Young Adulthood (18-24)</v>
      </c>
      <c r="D1044" t="s">
        <v>41</v>
      </c>
      <c r="E1044" t="s">
        <v>16</v>
      </c>
      <c r="F1044" s="4">
        <v>20.87</v>
      </c>
      <c r="G1044" s="5">
        <v>45</v>
      </c>
      <c r="H1044" t="s">
        <v>33</v>
      </c>
      <c r="I1044" t="s">
        <v>57</v>
      </c>
      <c r="J1044" s="6">
        <v>8.99</v>
      </c>
      <c r="K1044">
        <v>1</v>
      </c>
      <c r="L1044" t="s">
        <v>43</v>
      </c>
      <c r="M1044" s="5">
        <v>1</v>
      </c>
      <c r="N1044" s="4">
        <v>0.45</v>
      </c>
      <c r="O1044" t="s">
        <v>30</v>
      </c>
    </row>
    <row r="1045" spans="1:15" x14ac:dyDescent="0.3">
      <c r="A1045" t="s">
        <v>3203</v>
      </c>
      <c r="B1045" s="5">
        <v>19</v>
      </c>
      <c r="C1045" s="5" t="str" cm="1">
        <f t="array" ref="C1045">_xlfn.IFS(worksheet[[#This Row],[age]]&lt;25,"1. Young Adulthood (18-24)",worksheet[[#This Row],[age]]&lt; 35,"2. Early Adulthood (25-34)",worksheet[[#This Row],[age]]&lt; 45,"3. Mid Adulthood (35-44)",worksheet[[#This Row],[age]]&lt; 55,"4. Mature Adulthood (45-54)",TRUE,"5. Late Adulthood/Senior (55+)")</f>
        <v>1. Young Adulthood (18-24)</v>
      </c>
      <c r="D1045" t="s">
        <v>27</v>
      </c>
      <c r="E1045" t="s">
        <v>22</v>
      </c>
      <c r="F1045" s="4">
        <v>8.85</v>
      </c>
      <c r="G1045" s="5">
        <v>20</v>
      </c>
      <c r="H1045" t="s">
        <v>33</v>
      </c>
      <c r="I1045" t="s">
        <v>46</v>
      </c>
      <c r="J1045" s="6">
        <v>13.99</v>
      </c>
      <c r="K1045">
        <v>0</v>
      </c>
      <c r="L1045" t="s">
        <v>43</v>
      </c>
      <c r="M1045" s="5">
        <v>4</v>
      </c>
      <c r="N1045" s="4">
        <v>0.42</v>
      </c>
      <c r="O1045" t="s">
        <v>30</v>
      </c>
    </row>
    <row r="1046" spans="1:15" x14ac:dyDescent="0.3">
      <c r="A1046" t="s">
        <v>3206</v>
      </c>
      <c r="B1046" s="5">
        <v>18</v>
      </c>
      <c r="C1046" s="5" t="str" cm="1">
        <f t="array" ref="C1046">_xlfn.IFS(worksheet[[#This Row],[age]]&lt;25,"1. Young Adulthood (18-24)",worksheet[[#This Row],[age]]&lt; 35,"2. Early Adulthood (25-34)",worksheet[[#This Row],[age]]&lt; 45,"3. Mid Adulthood (35-44)",worksheet[[#This Row],[age]]&lt; 55,"4. Mature Adulthood (45-54)",TRUE,"5. Late Adulthood/Senior (55+)")</f>
        <v>1. Young Adulthood (18-24)</v>
      </c>
      <c r="D1046" t="s">
        <v>27</v>
      </c>
      <c r="E1046" t="s">
        <v>22</v>
      </c>
      <c r="F1046" s="4">
        <v>2.2599999999999998</v>
      </c>
      <c r="G1046" s="5">
        <v>48</v>
      </c>
      <c r="H1046" t="s">
        <v>17</v>
      </c>
      <c r="I1046" t="s">
        <v>55</v>
      </c>
      <c r="J1046" s="6">
        <v>13.99</v>
      </c>
      <c r="K1046">
        <v>1</v>
      </c>
      <c r="L1046" t="s">
        <v>43</v>
      </c>
      <c r="M1046" s="5">
        <v>1</v>
      </c>
      <c r="N1046" s="4">
        <v>0.05</v>
      </c>
      <c r="O1046" t="s">
        <v>20</v>
      </c>
    </row>
    <row r="1047" spans="1:15" x14ac:dyDescent="0.3">
      <c r="A1047" t="s">
        <v>3207</v>
      </c>
      <c r="B1047" s="5">
        <v>21</v>
      </c>
      <c r="C1047" s="5" t="str" cm="1">
        <f t="array" ref="C1047">_xlfn.IFS(worksheet[[#This Row],[age]]&lt;25,"1. Young Adulthood (18-24)",worksheet[[#This Row],[age]]&lt; 35,"2. Early Adulthood (25-34)",worksheet[[#This Row],[age]]&lt; 45,"3. Mid Adulthood (35-44)",worksheet[[#This Row],[age]]&lt; 55,"4. Mature Adulthood (45-54)",TRUE,"5. Late Adulthood/Senior (55+)")</f>
        <v>1. Young Adulthood (18-24)</v>
      </c>
      <c r="D1047" t="s">
        <v>15</v>
      </c>
      <c r="E1047" t="s">
        <v>32</v>
      </c>
      <c r="F1047" s="4">
        <v>16.71</v>
      </c>
      <c r="G1047" s="5">
        <v>12</v>
      </c>
      <c r="H1047" t="s">
        <v>70</v>
      </c>
      <c r="I1047" t="s">
        <v>55</v>
      </c>
      <c r="J1047" s="6">
        <v>17.989999999999998</v>
      </c>
      <c r="K1047">
        <v>0</v>
      </c>
      <c r="L1047" t="s">
        <v>61</v>
      </c>
      <c r="M1047" s="5">
        <v>3</v>
      </c>
      <c r="N1047" s="4">
        <v>1.29</v>
      </c>
      <c r="O1047" t="s">
        <v>25</v>
      </c>
    </row>
    <row r="1048" spans="1:15" x14ac:dyDescent="0.3">
      <c r="A1048" t="s">
        <v>3213</v>
      </c>
      <c r="B1048" s="5">
        <v>29</v>
      </c>
      <c r="C1048" s="5" t="str" cm="1">
        <f t="array" ref="C1048">_xlfn.IFS(worksheet[[#This Row],[age]]&lt;25,"1. Young Adulthood (18-24)",worksheet[[#This Row],[age]]&lt; 35,"2. Early Adulthood (25-34)",worksheet[[#This Row],[age]]&lt; 45,"3. Mid Adulthood (35-44)",worksheet[[#This Row],[age]]&lt; 55,"4. Mature Adulthood (45-54)",TRUE,"5. Late Adulthood/Senior (55+)")</f>
        <v>2. Early Adulthood (25-34)</v>
      </c>
      <c r="D1048" t="s">
        <v>41</v>
      </c>
      <c r="E1048" t="s">
        <v>32</v>
      </c>
      <c r="F1048" s="4">
        <v>1.61</v>
      </c>
      <c r="G1048" s="5">
        <v>59</v>
      </c>
      <c r="H1048" t="s">
        <v>70</v>
      </c>
      <c r="I1048" t="s">
        <v>55</v>
      </c>
      <c r="J1048" s="6">
        <v>17.989999999999998</v>
      </c>
      <c r="K1048">
        <v>1</v>
      </c>
      <c r="L1048" t="s">
        <v>61</v>
      </c>
      <c r="M1048" s="5">
        <v>2</v>
      </c>
      <c r="N1048" s="4">
        <v>0.03</v>
      </c>
      <c r="O1048" t="s">
        <v>34</v>
      </c>
    </row>
    <row r="1049" spans="1:15" x14ac:dyDescent="0.3">
      <c r="A1049" t="s">
        <v>3217</v>
      </c>
      <c r="B1049" s="5">
        <v>28</v>
      </c>
      <c r="C1049" s="5" t="str" cm="1">
        <f t="array" ref="C1049">_xlfn.IFS(worksheet[[#This Row],[age]]&lt;25,"1. Young Adulthood (18-24)",worksheet[[#This Row],[age]]&lt; 35,"2. Early Adulthood (25-34)",worksheet[[#This Row],[age]]&lt; 45,"3. Mid Adulthood (35-44)",worksheet[[#This Row],[age]]&lt; 55,"4. Mature Adulthood (45-54)",TRUE,"5. Late Adulthood/Senior (55+)")</f>
        <v>2. Early Adulthood (25-34)</v>
      </c>
      <c r="D1049" t="s">
        <v>15</v>
      </c>
      <c r="E1049" t="s">
        <v>22</v>
      </c>
      <c r="F1049" s="4">
        <v>9.61</v>
      </c>
      <c r="G1049" s="5">
        <v>50</v>
      </c>
      <c r="H1049" t="s">
        <v>70</v>
      </c>
      <c r="I1049" t="s">
        <v>24</v>
      </c>
      <c r="J1049" s="6">
        <v>13.99</v>
      </c>
      <c r="K1049">
        <v>1</v>
      </c>
      <c r="L1049" t="s">
        <v>29</v>
      </c>
      <c r="M1049" s="5">
        <v>4</v>
      </c>
      <c r="N1049" s="4">
        <v>0.19</v>
      </c>
      <c r="O1049" t="s">
        <v>30</v>
      </c>
    </row>
    <row r="1050" spans="1:15" x14ac:dyDescent="0.3">
      <c r="A1050" t="s">
        <v>3219</v>
      </c>
      <c r="B1050" s="5">
        <v>25</v>
      </c>
      <c r="C1050" s="5" t="str" cm="1">
        <f t="array" ref="C1050">_xlfn.IFS(worksheet[[#This Row],[age]]&lt;25,"1. Young Adulthood (18-24)",worksheet[[#This Row],[age]]&lt; 35,"2. Early Adulthood (25-34)",worksheet[[#This Row],[age]]&lt; 45,"3. Mid Adulthood (35-44)",worksheet[[#This Row],[age]]&lt; 55,"4. Mature Adulthood (45-54)",TRUE,"5. Late Adulthood/Senior (55+)")</f>
        <v>2. Early Adulthood (25-34)</v>
      </c>
      <c r="D1050" t="s">
        <v>27</v>
      </c>
      <c r="E1050" t="s">
        <v>16</v>
      </c>
      <c r="F1050" s="4">
        <v>5.49</v>
      </c>
      <c r="G1050" s="5">
        <v>41</v>
      </c>
      <c r="H1050" t="s">
        <v>33</v>
      </c>
      <c r="I1050" t="s">
        <v>55</v>
      </c>
      <c r="J1050" s="6">
        <v>8.99</v>
      </c>
      <c r="K1050">
        <v>1</v>
      </c>
      <c r="L1050" t="s">
        <v>37</v>
      </c>
      <c r="M1050" s="5">
        <v>3</v>
      </c>
      <c r="N1050" s="4">
        <v>0.13</v>
      </c>
      <c r="O1050" t="s">
        <v>52</v>
      </c>
    </row>
    <row r="1051" spans="1:15" x14ac:dyDescent="0.3">
      <c r="A1051" t="s">
        <v>3221</v>
      </c>
      <c r="B1051" s="5">
        <v>29</v>
      </c>
      <c r="C1051" s="5" t="str" cm="1">
        <f t="array" ref="C1051">_xlfn.IFS(worksheet[[#This Row],[age]]&lt;25,"1. Young Adulthood (18-24)",worksheet[[#This Row],[age]]&lt; 35,"2. Early Adulthood (25-34)",worksheet[[#This Row],[age]]&lt; 45,"3. Mid Adulthood (35-44)",worksheet[[#This Row],[age]]&lt; 55,"4. Mature Adulthood (45-54)",TRUE,"5. Late Adulthood/Senior (55+)")</f>
        <v>2. Early Adulthood (25-34)</v>
      </c>
      <c r="D1051" t="s">
        <v>27</v>
      </c>
      <c r="E1051" t="s">
        <v>22</v>
      </c>
      <c r="F1051" s="4">
        <v>4.88</v>
      </c>
      <c r="G1051" s="5">
        <v>39</v>
      </c>
      <c r="H1051" t="s">
        <v>33</v>
      </c>
      <c r="I1051" t="s">
        <v>24</v>
      </c>
      <c r="J1051" s="6">
        <v>13.99</v>
      </c>
      <c r="K1051">
        <v>1</v>
      </c>
      <c r="L1051" t="s">
        <v>61</v>
      </c>
      <c r="M1051" s="5">
        <v>4</v>
      </c>
      <c r="N1051" s="4">
        <v>0.12</v>
      </c>
      <c r="O1051" t="s">
        <v>34</v>
      </c>
    </row>
    <row r="1052" spans="1:15" x14ac:dyDescent="0.3">
      <c r="A1052" t="s">
        <v>3225</v>
      </c>
      <c r="B1052" s="5">
        <v>31</v>
      </c>
      <c r="C1052" s="5" t="str" cm="1">
        <f t="array" ref="C1052">_xlfn.IFS(worksheet[[#This Row],[age]]&lt;25,"1. Young Adulthood (18-24)",worksheet[[#This Row],[age]]&lt; 35,"2. Early Adulthood (25-34)",worksheet[[#This Row],[age]]&lt; 45,"3. Mid Adulthood (35-44)",worksheet[[#This Row],[age]]&lt; 55,"4. Mature Adulthood (45-54)",TRUE,"5. Late Adulthood/Senior (55+)")</f>
        <v>2. Early Adulthood (25-34)</v>
      </c>
      <c r="D1052" t="s">
        <v>27</v>
      </c>
      <c r="E1052" t="s">
        <v>16</v>
      </c>
      <c r="F1052" s="4">
        <v>9.44</v>
      </c>
      <c r="G1052" s="5">
        <v>46</v>
      </c>
      <c r="H1052" t="s">
        <v>28</v>
      </c>
      <c r="I1052" t="s">
        <v>57</v>
      </c>
      <c r="J1052" s="6">
        <v>8.99</v>
      </c>
      <c r="K1052">
        <v>1</v>
      </c>
      <c r="L1052" t="s">
        <v>43</v>
      </c>
      <c r="M1052" s="5">
        <v>2</v>
      </c>
      <c r="N1052" s="4">
        <v>0.2</v>
      </c>
      <c r="O1052" t="s">
        <v>20</v>
      </c>
    </row>
    <row r="1053" spans="1:15" x14ac:dyDescent="0.3">
      <c r="A1053" t="s">
        <v>3226</v>
      </c>
      <c r="B1053" s="5">
        <v>27</v>
      </c>
      <c r="C1053" s="5" t="str" cm="1">
        <f t="array" ref="C1053">_xlfn.IFS(worksheet[[#This Row],[age]]&lt;25,"1. Young Adulthood (18-24)",worksheet[[#This Row],[age]]&lt; 35,"2. Early Adulthood (25-34)",worksheet[[#This Row],[age]]&lt; 45,"3. Mid Adulthood (35-44)",worksheet[[#This Row],[age]]&lt; 55,"4. Mature Adulthood (45-54)",TRUE,"5. Late Adulthood/Senior (55+)")</f>
        <v>2. Early Adulthood (25-34)</v>
      </c>
      <c r="D1053" t="s">
        <v>15</v>
      </c>
      <c r="E1053" t="s">
        <v>16</v>
      </c>
      <c r="F1053" s="4">
        <v>5.84</v>
      </c>
      <c r="G1053" s="5">
        <v>42</v>
      </c>
      <c r="H1053" t="s">
        <v>23</v>
      </c>
      <c r="I1053" t="s">
        <v>24</v>
      </c>
      <c r="J1053" s="6">
        <v>8.99</v>
      </c>
      <c r="K1053">
        <v>1</v>
      </c>
      <c r="L1053" t="s">
        <v>29</v>
      </c>
      <c r="M1053" s="5">
        <v>1</v>
      </c>
      <c r="N1053" s="4">
        <v>0.14000000000000001</v>
      </c>
      <c r="O1053" t="s">
        <v>34</v>
      </c>
    </row>
    <row r="1054" spans="1:15" x14ac:dyDescent="0.3">
      <c r="A1054" t="s">
        <v>3228</v>
      </c>
      <c r="B1054" s="5">
        <v>29</v>
      </c>
      <c r="C1054" s="5" t="str" cm="1">
        <f t="array" ref="C1054">_xlfn.IFS(worksheet[[#This Row],[age]]&lt;25,"1. Young Adulthood (18-24)",worksheet[[#This Row],[age]]&lt; 35,"2. Early Adulthood (25-34)",worksheet[[#This Row],[age]]&lt; 45,"3. Mid Adulthood (35-44)",worksheet[[#This Row],[age]]&lt; 55,"4. Mature Adulthood (45-54)",TRUE,"5. Late Adulthood/Senior (55+)")</f>
        <v>2. Early Adulthood (25-34)</v>
      </c>
      <c r="D1054" t="s">
        <v>27</v>
      </c>
      <c r="E1054" t="s">
        <v>16</v>
      </c>
      <c r="F1054" s="4">
        <v>12.37</v>
      </c>
      <c r="G1054" s="5">
        <v>44</v>
      </c>
      <c r="H1054" t="s">
        <v>33</v>
      </c>
      <c r="I1054" t="s">
        <v>24</v>
      </c>
      <c r="J1054" s="6">
        <v>8.99</v>
      </c>
      <c r="K1054">
        <v>1</v>
      </c>
      <c r="L1054" t="s">
        <v>19</v>
      </c>
      <c r="M1054" s="5">
        <v>3</v>
      </c>
      <c r="N1054" s="4">
        <v>0.27</v>
      </c>
      <c r="O1054" t="s">
        <v>30</v>
      </c>
    </row>
    <row r="1055" spans="1:15" x14ac:dyDescent="0.3">
      <c r="A1055" t="s">
        <v>3231</v>
      </c>
      <c r="B1055" s="5">
        <v>27</v>
      </c>
      <c r="C1055" s="5" t="str" cm="1">
        <f t="array" ref="C1055">_xlfn.IFS(worksheet[[#This Row],[age]]&lt;25,"1. Young Adulthood (18-24)",worksheet[[#This Row],[age]]&lt; 35,"2. Early Adulthood (25-34)",worksheet[[#This Row],[age]]&lt; 45,"3. Mid Adulthood (35-44)",worksheet[[#This Row],[age]]&lt; 55,"4. Mature Adulthood (45-54)",TRUE,"5. Late Adulthood/Senior (55+)")</f>
        <v>2. Early Adulthood (25-34)</v>
      </c>
      <c r="D1055" t="s">
        <v>41</v>
      </c>
      <c r="E1055" t="s">
        <v>16</v>
      </c>
      <c r="F1055" s="4">
        <v>6.11</v>
      </c>
      <c r="G1055" s="5">
        <v>35</v>
      </c>
      <c r="H1055" t="s">
        <v>28</v>
      </c>
      <c r="I1055" t="s">
        <v>24</v>
      </c>
      <c r="J1055" s="6">
        <v>8.99</v>
      </c>
      <c r="K1055">
        <v>1</v>
      </c>
      <c r="L1055" t="s">
        <v>61</v>
      </c>
      <c r="M1055" s="5">
        <v>3</v>
      </c>
      <c r="N1055" s="4">
        <v>0.17</v>
      </c>
      <c r="O1055" t="s">
        <v>25</v>
      </c>
    </row>
    <row r="1056" spans="1:15" x14ac:dyDescent="0.3">
      <c r="A1056" t="s">
        <v>3233</v>
      </c>
      <c r="B1056" s="5">
        <v>31</v>
      </c>
      <c r="C1056" s="5" t="str" cm="1">
        <f t="array" ref="C1056">_xlfn.IFS(worksheet[[#This Row],[age]]&lt;25,"1. Young Adulthood (18-24)",worksheet[[#This Row],[age]]&lt; 35,"2. Early Adulthood (25-34)",worksheet[[#This Row],[age]]&lt; 45,"3. Mid Adulthood (35-44)",worksheet[[#This Row],[age]]&lt; 55,"4. Mature Adulthood (45-54)",TRUE,"5. Late Adulthood/Senior (55+)")</f>
        <v>2. Early Adulthood (25-34)</v>
      </c>
      <c r="D1056" t="s">
        <v>15</v>
      </c>
      <c r="E1056" t="s">
        <v>22</v>
      </c>
      <c r="F1056" s="4">
        <v>0.67</v>
      </c>
      <c r="G1056" s="5">
        <v>22</v>
      </c>
      <c r="H1056" t="s">
        <v>33</v>
      </c>
      <c r="I1056" t="s">
        <v>18</v>
      </c>
      <c r="J1056" s="6">
        <v>13.99</v>
      </c>
      <c r="K1056">
        <v>1</v>
      </c>
      <c r="L1056" t="s">
        <v>19</v>
      </c>
      <c r="M1056" s="5">
        <v>5</v>
      </c>
      <c r="N1056" s="4">
        <v>0.03</v>
      </c>
      <c r="O1056" t="s">
        <v>30</v>
      </c>
    </row>
    <row r="1057" spans="1:15" x14ac:dyDescent="0.3">
      <c r="A1057" t="s">
        <v>3235</v>
      </c>
      <c r="B1057" s="5">
        <v>19</v>
      </c>
      <c r="C1057" s="5" t="str" cm="1">
        <f t="array" ref="C1057">_xlfn.IFS(worksheet[[#This Row],[age]]&lt;25,"1. Young Adulthood (18-24)",worksheet[[#This Row],[age]]&lt; 35,"2. Early Adulthood (25-34)",worksheet[[#This Row],[age]]&lt; 45,"3. Mid Adulthood (35-44)",worksheet[[#This Row],[age]]&lt; 55,"4. Mature Adulthood (45-54)",TRUE,"5. Late Adulthood/Senior (55+)")</f>
        <v>1. Young Adulthood (18-24)</v>
      </c>
      <c r="D1057" t="s">
        <v>41</v>
      </c>
      <c r="E1057" t="s">
        <v>32</v>
      </c>
      <c r="F1057" s="4">
        <v>5.04</v>
      </c>
      <c r="G1057" s="5">
        <v>22</v>
      </c>
      <c r="H1057" t="s">
        <v>23</v>
      </c>
      <c r="I1057" t="s">
        <v>55</v>
      </c>
      <c r="J1057" s="6">
        <v>17.989999999999998</v>
      </c>
      <c r="K1057">
        <v>0</v>
      </c>
      <c r="L1057" t="s">
        <v>37</v>
      </c>
      <c r="M1057" s="5">
        <v>1</v>
      </c>
      <c r="N1057" s="4">
        <v>0.22</v>
      </c>
      <c r="O1057" t="s">
        <v>20</v>
      </c>
    </row>
    <row r="1058" spans="1:15" x14ac:dyDescent="0.3">
      <c r="A1058" t="s">
        <v>3237</v>
      </c>
      <c r="B1058" s="5">
        <v>20</v>
      </c>
      <c r="C1058" s="5" t="str" cm="1">
        <f t="array" ref="C1058">_xlfn.IFS(worksheet[[#This Row],[age]]&lt;25,"1. Young Adulthood (18-24)",worksheet[[#This Row],[age]]&lt; 35,"2. Early Adulthood (25-34)",worksheet[[#This Row],[age]]&lt; 45,"3. Mid Adulthood (35-44)",worksheet[[#This Row],[age]]&lt; 55,"4. Mature Adulthood (45-54)",TRUE,"5. Late Adulthood/Senior (55+)")</f>
        <v>1. Young Adulthood (18-24)</v>
      </c>
      <c r="D1058" t="s">
        <v>15</v>
      </c>
      <c r="E1058" t="s">
        <v>16</v>
      </c>
      <c r="F1058" s="4">
        <v>26.06</v>
      </c>
      <c r="G1058" s="5">
        <v>1</v>
      </c>
      <c r="H1058" t="s">
        <v>23</v>
      </c>
      <c r="I1058" t="s">
        <v>24</v>
      </c>
      <c r="J1058" s="6">
        <v>8.99</v>
      </c>
      <c r="K1058">
        <v>0</v>
      </c>
      <c r="L1058" t="s">
        <v>37</v>
      </c>
      <c r="M1058" s="5">
        <v>1</v>
      </c>
      <c r="N1058" s="4">
        <v>13.03</v>
      </c>
      <c r="O1058" t="s">
        <v>25</v>
      </c>
    </row>
    <row r="1059" spans="1:15" x14ac:dyDescent="0.3">
      <c r="A1059" t="s">
        <v>3242</v>
      </c>
      <c r="B1059" s="5">
        <v>25</v>
      </c>
      <c r="C1059" s="5" t="str" cm="1">
        <f t="array" ref="C1059">_xlfn.IFS(worksheet[[#This Row],[age]]&lt;25,"1. Young Adulthood (18-24)",worksheet[[#This Row],[age]]&lt; 35,"2. Early Adulthood (25-34)",worksheet[[#This Row],[age]]&lt; 45,"3. Mid Adulthood (35-44)",worksheet[[#This Row],[age]]&lt; 55,"4. Mature Adulthood (45-54)",TRUE,"5. Late Adulthood/Senior (55+)")</f>
        <v>2. Early Adulthood (25-34)</v>
      </c>
      <c r="D1059" t="s">
        <v>41</v>
      </c>
      <c r="E1059" t="s">
        <v>22</v>
      </c>
      <c r="F1059" s="4">
        <v>5.73</v>
      </c>
      <c r="G1059" s="5">
        <v>37</v>
      </c>
      <c r="H1059" t="s">
        <v>17</v>
      </c>
      <c r="I1059" t="s">
        <v>46</v>
      </c>
      <c r="J1059" s="6">
        <v>13.99</v>
      </c>
      <c r="K1059">
        <v>1</v>
      </c>
      <c r="L1059" t="s">
        <v>37</v>
      </c>
      <c r="M1059" s="5">
        <v>1</v>
      </c>
      <c r="N1059" s="4">
        <v>0.15</v>
      </c>
      <c r="O1059" t="s">
        <v>52</v>
      </c>
    </row>
    <row r="1060" spans="1:15" x14ac:dyDescent="0.3">
      <c r="A1060" t="s">
        <v>3247</v>
      </c>
      <c r="B1060" s="5">
        <v>18</v>
      </c>
      <c r="C1060" s="5" t="str" cm="1">
        <f t="array" ref="C1060">_xlfn.IFS(worksheet[[#This Row],[age]]&lt;25,"1. Young Adulthood (18-24)",worksheet[[#This Row],[age]]&lt; 35,"2. Early Adulthood (25-34)",worksheet[[#This Row],[age]]&lt; 45,"3. Mid Adulthood (35-44)",worksheet[[#This Row],[age]]&lt; 55,"4. Mature Adulthood (45-54)",TRUE,"5. Late Adulthood/Senior (55+)")</f>
        <v>1. Young Adulthood (18-24)</v>
      </c>
      <c r="D1060" t="s">
        <v>15</v>
      </c>
      <c r="E1060" t="s">
        <v>32</v>
      </c>
      <c r="F1060" s="4">
        <v>12.72</v>
      </c>
      <c r="G1060" s="5">
        <v>15</v>
      </c>
      <c r="H1060" t="s">
        <v>23</v>
      </c>
      <c r="I1060" t="s">
        <v>57</v>
      </c>
      <c r="J1060" s="6">
        <v>17.989999999999998</v>
      </c>
      <c r="K1060">
        <v>0</v>
      </c>
      <c r="L1060" t="s">
        <v>37</v>
      </c>
      <c r="M1060" s="5">
        <v>1</v>
      </c>
      <c r="N1060" s="4">
        <v>0.8</v>
      </c>
      <c r="O1060" t="s">
        <v>20</v>
      </c>
    </row>
    <row r="1061" spans="1:15" x14ac:dyDescent="0.3">
      <c r="A1061" t="s">
        <v>3248</v>
      </c>
      <c r="B1061" s="5">
        <v>30</v>
      </c>
      <c r="C1061" s="5" t="str" cm="1">
        <f t="array" ref="C1061">_xlfn.IFS(worksheet[[#This Row],[age]]&lt;25,"1. Young Adulthood (18-24)",worksheet[[#This Row],[age]]&lt; 35,"2. Early Adulthood (25-34)",worksheet[[#This Row],[age]]&lt; 45,"3. Mid Adulthood (35-44)",worksheet[[#This Row],[age]]&lt; 55,"4. Mature Adulthood (45-54)",TRUE,"5. Late Adulthood/Senior (55+)")</f>
        <v>2. Early Adulthood (25-34)</v>
      </c>
      <c r="D1061" t="s">
        <v>27</v>
      </c>
      <c r="E1061" t="s">
        <v>22</v>
      </c>
      <c r="F1061" s="4">
        <v>15.45</v>
      </c>
      <c r="G1061" s="5">
        <v>11</v>
      </c>
      <c r="H1061" t="s">
        <v>23</v>
      </c>
      <c r="I1061" t="s">
        <v>24</v>
      </c>
      <c r="J1061" s="6">
        <v>13.99</v>
      </c>
      <c r="K1061">
        <v>0</v>
      </c>
      <c r="L1061" t="s">
        <v>61</v>
      </c>
      <c r="M1061" s="5">
        <v>1</v>
      </c>
      <c r="N1061" s="4">
        <v>1.29</v>
      </c>
      <c r="O1061" t="s">
        <v>25</v>
      </c>
    </row>
    <row r="1062" spans="1:15" x14ac:dyDescent="0.3">
      <c r="A1062" t="s">
        <v>3250</v>
      </c>
      <c r="B1062" s="5">
        <v>22</v>
      </c>
      <c r="C1062" s="5" t="str" cm="1">
        <f t="array" ref="C1062">_xlfn.IFS(worksheet[[#This Row],[age]]&lt;25,"1. Young Adulthood (18-24)",worksheet[[#This Row],[age]]&lt; 35,"2. Early Adulthood (25-34)",worksheet[[#This Row],[age]]&lt; 45,"3. Mid Adulthood (35-44)",worksheet[[#This Row],[age]]&lt; 55,"4. Mature Adulthood (45-54)",TRUE,"5. Late Adulthood/Senior (55+)")</f>
        <v>1. Young Adulthood (18-24)</v>
      </c>
      <c r="D1062" t="s">
        <v>41</v>
      </c>
      <c r="E1062" t="s">
        <v>16</v>
      </c>
      <c r="F1062" s="4">
        <v>4.6399999999999997</v>
      </c>
      <c r="G1062" s="5">
        <v>30</v>
      </c>
      <c r="H1062" t="s">
        <v>23</v>
      </c>
      <c r="I1062" t="s">
        <v>18</v>
      </c>
      <c r="J1062" s="6">
        <v>8.99</v>
      </c>
      <c r="K1062">
        <v>1</v>
      </c>
      <c r="L1062" t="s">
        <v>29</v>
      </c>
      <c r="M1062" s="5">
        <v>3</v>
      </c>
      <c r="N1062" s="4">
        <v>0.15</v>
      </c>
      <c r="O1062" t="s">
        <v>25</v>
      </c>
    </row>
    <row r="1063" spans="1:15" x14ac:dyDescent="0.3">
      <c r="A1063" t="s">
        <v>3254</v>
      </c>
      <c r="B1063" s="5">
        <v>30</v>
      </c>
      <c r="C1063" s="5" t="str" cm="1">
        <f t="array" ref="C1063">_xlfn.IFS(worksheet[[#This Row],[age]]&lt;25,"1. Young Adulthood (18-24)",worksheet[[#This Row],[age]]&lt; 35,"2. Early Adulthood (25-34)",worksheet[[#This Row],[age]]&lt; 45,"3. Mid Adulthood (35-44)",worksheet[[#This Row],[age]]&lt; 55,"4. Mature Adulthood (45-54)",TRUE,"5. Late Adulthood/Senior (55+)")</f>
        <v>2. Early Adulthood (25-34)</v>
      </c>
      <c r="D1063" t="s">
        <v>41</v>
      </c>
      <c r="E1063" t="s">
        <v>22</v>
      </c>
      <c r="F1063" s="4">
        <v>3.17</v>
      </c>
      <c r="G1063" s="5">
        <v>24</v>
      </c>
      <c r="H1063" t="s">
        <v>33</v>
      </c>
      <c r="I1063" t="s">
        <v>57</v>
      </c>
      <c r="J1063" s="6">
        <v>13.99</v>
      </c>
      <c r="K1063">
        <v>0</v>
      </c>
      <c r="L1063" t="s">
        <v>43</v>
      </c>
      <c r="M1063" s="5">
        <v>5</v>
      </c>
      <c r="N1063" s="4">
        <v>0.13</v>
      </c>
      <c r="O1063" t="s">
        <v>47</v>
      </c>
    </row>
    <row r="1064" spans="1:15" x14ac:dyDescent="0.3">
      <c r="A1064" t="s">
        <v>3256</v>
      </c>
      <c r="B1064" s="5">
        <v>29</v>
      </c>
      <c r="C1064" s="5" t="str" cm="1">
        <f t="array" ref="C1064">_xlfn.IFS(worksheet[[#This Row],[age]]&lt;25,"1. Young Adulthood (18-24)",worksheet[[#This Row],[age]]&lt; 35,"2. Early Adulthood (25-34)",worksheet[[#This Row],[age]]&lt; 45,"3. Mid Adulthood (35-44)",worksheet[[#This Row],[age]]&lt; 55,"4. Mature Adulthood (45-54)",TRUE,"5. Late Adulthood/Senior (55+)")</f>
        <v>2. Early Adulthood (25-34)</v>
      </c>
      <c r="D1064" t="s">
        <v>15</v>
      </c>
      <c r="E1064" t="s">
        <v>22</v>
      </c>
      <c r="F1064" s="4">
        <v>1.6</v>
      </c>
      <c r="G1064" s="5">
        <v>7</v>
      </c>
      <c r="H1064" t="s">
        <v>28</v>
      </c>
      <c r="I1064" t="s">
        <v>57</v>
      </c>
      <c r="J1064" s="6">
        <v>13.99</v>
      </c>
      <c r="K1064">
        <v>0</v>
      </c>
      <c r="L1064" t="s">
        <v>37</v>
      </c>
      <c r="M1064" s="5">
        <v>4</v>
      </c>
      <c r="N1064" s="4">
        <v>0.2</v>
      </c>
      <c r="O1064" t="s">
        <v>25</v>
      </c>
    </row>
    <row r="1065" spans="1:15" x14ac:dyDescent="0.3">
      <c r="A1065" t="s">
        <v>3258</v>
      </c>
      <c r="B1065" s="5">
        <v>20</v>
      </c>
      <c r="C1065" s="5" t="str" cm="1">
        <f t="array" ref="C1065">_xlfn.IFS(worksheet[[#This Row],[age]]&lt;25,"1. Young Adulthood (18-24)",worksheet[[#This Row],[age]]&lt; 35,"2. Early Adulthood (25-34)",worksheet[[#This Row],[age]]&lt; 45,"3. Mid Adulthood (35-44)",worksheet[[#This Row],[age]]&lt; 55,"4. Mature Adulthood (45-54)",TRUE,"5. Late Adulthood/Senior (55+)")</f>
        <v>1. Young Adulthood (18-24)</v>
      </c>
      <c r="D1065" t="s">
        <v>41</v>
      </c>
      <c r="E1065" t="s">
        <v>16</v>
      </c>
      <c r="F1065" s="4">
        <v>16.96</v>
      </c>
      <c r="G1065" s="5">
        <v>53</v>
      </c>
      <c r="H1065" t="s">
        <v>70</v>
      </c>
      <c r="I1065" t="s">
        <v>57</v>
      </c>
      <c r="J1065" s="6">
        <v>8.99</v>
      </c>
      <c r="K1065">
        <v>1</v>
      </c>
      <c r="L1065" t="s">
        <v>19</v>
      </c>
      <c r="M1065" s="5">
        <v>1</v>
      </c>
      <c r="N1065" s="4">
        <v>0.31</v>
      </c>
      <c r="O1065" t="s">
        <v>20</v>
      </c>
    </row>
    <row r="1066" spans="1:15" x14ac:dyDescent="0.3">
      <c r="A1066" t="s">
        <v>3263</v>
      </c>
      <c r="B1066" s="5">
        <v>21</v>
      </c>
      <c r="C1066" s="5" t="str" cm="1">
        <f t="array" ref="C1066">_xlfn.IFS(worksheet[[#This Row],[age]]&lt;25,"1. Young Adulthood (18-24)",worksheet[[#This Row],[age]]&lt; 35,"2. Early Adulthood (25-34)",worksheet[[#This Row],[age]]&lt; 45,"3. Mid Adulthood (35-44)",worksheet[[#This Row],[age]]&lt; 55,"4. Mature Adulthood (45-54)",TRUE,"5. Late Adulthood/Senior (55+)")</f>
        <v>1. Young Adulthood (18-24)</v>
      </c>
      <c r="D1066" t="s">
        <v>15</v>
      </c>
      <c r="E1066" t="s">
        <v>32</v>
      </c>
      <c r="F1066" s="4">
        <v>8.5299999999999994</v>
      </c>
      <c r="G1066" s="5">
        <v>36</v>
      </c>
      <c r="H1066" t="s">
        <v>23</v>
      </c>
      <c r="I1066" t="s">
        <v>46</v>
      </c>
      <c r="J1066" s="6">
        <v>17.989999999999998</v>
      </c>
      <c r="K1066">
        <v>1</v>
      </c>
      <c r="L1066" t="s">
        <v>29</v>
      </c>
      <c r="M1066" s="5">
        <v>4</v>
      </c>
      <c r="N1066" s="4">
        <v>0.23</v>
      </c>
      <c r="O1066" t="s">
        <v>39</v>
      </c>
    </row>
    <row r="1067" spans="1:15" x14ac:dyDescent="0.3">
      <c r="A1067" s="1" t="s">
        <v>3269</v>
      </c>
      <c r="B1067" s="5">
        <v>31</v>
      </c>
      <c r="C1067" s="5" t="str" cm="1">
        <f t="array" ref="C1067">_xlfn.IFS(worksheet[[#This Row],[age]]&lt;25,"1. Young Adulthood (18-24)",worksheet[[#This Row],[age]]&lt; 35,"2. Early Adulthood (25-34)",worksheet[[#This Row],[age]]&lt; 45,"3. Mid Adulthood (35-44)",worksheet[[#This Row],[age]]&lt; 55,"4. Mature Adulthood (45-54)",TRUE,"5. Late Adulthood/Senior (55+)")</f>
        <v>2. Early Adulthood (25-34)</v>
      </c>
      <c r="D1067" t="s">
        <v>15</v>
      </c>
      <c r="E1067" t="s">
        <v>22</v>
      </c>
      <c r="F1067" s="4">
        <v>18.09</v>
      </c>
      <c r="G1067" s="5">
        <v>34</v>
      </c>
      <c r="H1067" t="s">
        <v>23</v>
      </c>
      <c r="I1067" t="s">
        <v>18</v>
      </c>
      <c r="J1067" s="6">
        <v>13.99</v>
      </c>
      <c r="K1067">
        <v>0</v>
      </c>
      <c r="L1067" t="s">
        <v>19</v>
      </c>
      <c r="M1067" s="5">
        <v>4</v>
      </c>
      <c r="N1067" s="4">
        <v>0.52</v>
      </c>
      <c r="O1067" t="s">
        <v>20</v>
      </c>
    </row>
    <row r="1068" spans="1:15" x14ac:dyDescent="0.3">
      <c r="A1068" t="s">
        <v>3276</v>
      </c>
      <c r="B1068" s="5">
        <v>31</v>
      </c>
      <c r="C1068" s="5" t="str" cm="1">
        <f t="array" ref="C1068">_xlfn.IFS(worksheet[[#This Row],[age]]&lt;25,"1. Young Adulthood (18-24)",worksheet[[#This Row],[age]]&lt; 35,"2. Early Adulthood (25-34)",worksheet[[#This Row],[age]]&lt; 45,"3. Mid Adulthood (35-44)",worksheet[[#This Row],[age]]&lt; 55,"4. Mature Adulthood (45-54)",TRUE,"5. Late Adulthood/Senior (55+)")</f>
        <v>2. Early Adulthood (25-34)</v>
      </c>
      <c r="D1068" t="s">
        <v>27</v>
      </c>
      <c r="E1068" t="s">
        <v>16</v>
      </c>
      <c r="F1068" s="4">
        <v>9.11</v>
      </c>
      <c r="G1068" s="5">
        <v>51</v>
      </c>
      <c r="H1068" t="s">
        <v>49</v>
      </c>
      <c r="I1068" t="s">
        <v>46</v>
      </c>
      <c r="J1068" s="6">
        <v>8.99</v>
      </c>
      <c r="K1068">
        <v>1</v>
      </c>
      <c r="L1068" t="s">
        <v>43</v>
      </c>
      <c r="M1068" s="5">
        <v>3</v>
      </c>
      <c r="N1068" s="4">
        <v>0.18</v>
      </c>
      <c r="O1068" t="s">
        <v>47</v>
      </c>
    </row>
    <row r="1069" spans="1:15" x14ac:dyDescent="0.3">
      <c r="A1069" t="s">
        <v>3278</v>
      </c>
      <c r="B1069" s="5">
        <v>31</v>
      </c>
      <c r="C1069" s="5" t="str" cm="1">
        <f t="array" ref="C1069">_xlfn.IFS(worksheet[[#This Row],[age]]&lt;25,"1. Young Adulthood (18-24)",worksheet[[#This Row],[age]]&lt; 35,"2. Early Adulthood (25-34)",worksheet[[#This Row],[age]]&lt; 45,"3. Mid Adulthood (35-44)",worksheet[[#This Row],[age]]&lt; 55,"4. Mature Adulthood (45-54)",TRUE,"5. Late Adulthood/Senior (55+)")</f>
        <v>2. Early Adulthood (25-34)</v>
      </c>
      <c r="D1069" t="s">
        <v>27</v>
      </c>
      <c r="E1069" t="s">
        <v>16</v>
      </c>
      <c r="F1069" s="4">
        <v>6.71</v>
      </c>
      <c r="G1069" s="5">
        <v>7</v>
      </c>
      <c r="H1069" t="s">
        <v>49</v>
      </c>
      <c r="I1069" t="s">
        <v>57</v>
      </c>
      <c r="J1069" s="6">
        <v>8.99</v>
      </c>
      <c r="K1069">
        <v>0</v>
      </c>
      <c r="L1069" t="s">
        <v>29</v>
      </c>
      <c r="M1069" s="5">
        <v>5</v>
      </c>
      <c r="N1069" s="4">
        <v>0.84</v>
      </c>
      <c r="O1069" t="s">
        <v>25</v>
      </c>
    </row>
    <row r="1070" spans="1:15" x14ac:dyDescent="0.3">
      <c r="A1070" t="s">
        <v>3281</v>
      </c>
      <c r="B1070" s="5">
        <v>22</v>
      </c>
      <c r="C1070" s="5" t="str" cm="1">
        <f t="array" ref="C1070">_xlfn.IFS(worksheet[[#This Row],[age]]&lt;25,"1. Young Adulthood (18-24)",worksheet[[#This Row],[age]]&lt; 35,"2. Early Adulthood (25-34)",worksheet[[#This Row],[age]]&lt; 45,"3. Mid Adulthood (35-44)",worksheet[[#This Row],[age]]&lt; 55,"4. Mature Adulthood (45-54)",TRUE,"5. Late Adulthood/Senior (55+)")</f>
        <v>1. Young Adulthood (18-24)</v>
      </c>
      <c r="D1070" t="s">
        <v>41</v>
      </c>
      <c r="E1070" t="s">
        <v>22</v>
      </c>
      <c r="F1070" s="4">
        <v>7.67</v>
      </c>
      <c r="G1070" s="5">
        <v>53</v>
      </c>
      <c r="H1070" t="s">
        <v>49</v>
      </c>
      <c r="I1070" t="s">
        <v>18</v>
      </c>
      <c r="J1070" s="6">
        <v>13.99</v>
      </c>
      <c r="K1070">
        <v>1</v>
      </c>
      <c r="L1070" t="s">
        <v>29</v>
      </c>
      <c r="M1070" s="5">
        <v>3</v>
      </c>
      <c r="N1070" s="4">
        <v>0.14000000000000001</v>
      </c>
      <c r="O1070" t="s">
        <v>52</v>
      </c>
    </row>
    <row r="1071" spans="1:15" x14ac:dyDescent="0.3">
      <c r="A1071" t="s">
        <v>3294</v>
      </c>
      <c r="B1071" s="5">
        <v>20</v>
      </c>
      <c r="C1071" s="5" t="str" cm="1">
        <f t="array" ref="C1071">_xlfn.IFS(worksheet[[#This Row],[age]]&lt;25,"1. Young Adulthood (18-24)",worksheet[[#This Row],[age]]&lt; 35,"2. Early Adulthood (25-34)",worksheet[[#This Row],[age]]&lt; 45,"3. Mid Adulthood (35-44)",worksheet[[#This Row],[age]]&lt; 55,"4. Mature Adulthood (45-54)",TRUE,"5. Late Adulthood/Senior (55+)")</f>
        <v>1. Young Adulthood (18-24)</v>
      </c>
      <c r="D1071" t="s">
        <v>41</v>
      </c>
      <c r="E1071" t="s">
        <v>16</v>
      </c>
      <c r="F1071" s="4">
        <v>0.61</v>
      </c>
      <c r="G1071" s="5">
        <v>3</v>
      </c>
      <c r="H1071" t="s">
        <v>28</v>
      </c>
      <c r="I1071" t="s">
        <v>46</v>
      </c>
      <c r="J1071" s="6">
        <v>8.99</v>
      </c>
      <c r="K1071">
        <v>1</v>
      </c>
      <c r="L1071" t="s">
        <v>43</v>
      </c>
      <c r="M1071" s="5">
        <v>3</v>
      </c>
      <c r="N1071" s="4">
        <v>0.15</v>
      </c>
      <c r="O1071" t="s">
        <v>52</v>
      </c>
    </row>
    <row r="1072" spans="1:15" x14ac:dyDescent="0.3">
      <c r="A1072" t="s">
        <v>3300</v>
      </c>
      <c r="B1072" s="5">
        <v>32</v>
      </c>
      <c r="C1072" s="5" t="str" cm="1">
        <f t="array" ref="C1072">_xlfn.IFS(worksheet[[#This Row],[age]]&lt;25,"1. Young Adulthood (18-24)",worksheet[[#This Row],[age]]&lt; 35,"2. Early Adulthood (25-34)",worksheet[[#This Row],[age]]&lt; 45,"3. Mid Adulthood (35-44)",worksheet[[#This Row],[age]]&lt; 55,"4. Mature Adulthood (45-54)",TRUE,"5. Late Adulthood/Senior (55+)")</f>
        <v>2. Early Adulthood (25-34)</v>
      </c>
      <c r="D1072" t="s">
        <v>15</v>
      </c>
      <c r="E1072" t="s">
        <v>32</v>
      </c>
      <c r="F1072" s="4">
        <v>9.15</v>
      </c>
      <c r="G1072" s="5">
        <v>58</v>
      </c>
      <c r="H1072" t="s">
        <v>23</v>
      </c>
      <c r="I1072" t="s">
        <v>57</v>
      </c>
      <c r="J1072" s="6">
        <v>17.989999999999998</v>
      </c>
      <c r="K1072">
        <v>1</v>
      </c>
      <c r="L1072" t="s">
        <v>61</v>
      </c>
      <c r="M1072" s="5">
        <v>2</v>
      </c>
      <c r="N1072" s="4">
        <v>0.16</v>
      </c>
      <c r="O1072" t="s">
        <v>39</v>
      </c>
    </row>
    <row r="1073" spans="1:15" x14ac:dyDescent="0.3">
      <c r="A1073" t="s">
        <v>3306</v>
      </c>
      <c r="B1073" s="5">
        <v>21</v>
      </c>
      <c r="C1073" s="5" t="str" cm="1">
        <f t="array" ref="C1073">_xlfn.IFS(worksheet[[#This Row],[age]]&lt;25,"1. Young Adulthood (18-24)",worksheet[[#This Row],[age]]&lt; 35,"2. Early Adulthood (25-34)",worksheet[[#This Row],[age]]&lt; 45,"3. Mid Adulthood (35-44)",worksheet[[#This Row],[age]]&lt; 55,"4. Mature Adulthood (45-54)",TRUE,"5. Late Adulthood/Senior (55+)")</f>
        <v>1. Young Adulthood (18-24)</v>
      </c>
      <c r="D1073" t="s">
        <v>15</v>
      </c>
      <c r="E1073" t="s">
        <v>32</v>
      </c>
      <c r="F1073" s="4">
        <v>6.27</v>
      </c>
      <c r="G1073" s="5">
        <v>53</v>
      </c>
      <c r="H1073" t="s">
        <v>70</v>
      </c>
      <c r="I1073" t="s">
        <v>55</v>
      </c>
      <c r="J1073" s="6">
        <v>17.989999999999998</v>
      </c>
      <c r="K1073">
        <v>1</v>
      </c>
      <c r="L1073" t="s">
        <v>29</v>
      </c>
      <c r="M1073" s="5">
        <v>5</v>
      </c>
      <c r="N1073" s="4">
        <v>0.12</v>
      </c>
      <c r="O1073" t="s">
        <v>39</v>
      </c>
    </row>
    <row r="1074" spans="1:15" x14ac:dyDescent="0.3">
      <c r="A1074" t="s">
        <v>3315</v>
      </c>
      <c r="B1074" s="5">
        <v>18</v>
      </c>
      <c r="C1074" s="5" t="str" cm="1">
        <f t="array" ref="C1074">_xlfn.IFS(worksheet[[#This Row],[age]]&lt;25,"1. Young Adulthood (18-24)",worksheet[[#This Row],[age]]&lt; 35,"2. Early Adulthood (25-34)",worksheet[[#This Row],[age]]&lt; 45,"3. Mid Adulthood (35-44)",worksheet[[#This Row],[age]]&lt; 55,"4. Mature Adulthood (45-54)",TRUE,"5. Late Adulthood/Senior (55+)")</f>
        <v>1. Young Adulthood (18-24)</v>
      </c>
      <c r="D1074" t="s">
        <v>27</v>
      </c>
      <c r="E1074" t="s">
        <v>16</v>
      </c>
      <c r="F1074" s="4">
        <v>4.37</v>
      </c>
      <c r="G1074" s="5">
        <v>46</v>
      </c>
      <c r="H1074" t="s">
        <v>23</v>
      </c>
      <c r="I1074" t="s">
        <v>18</v>
      </c>
      <c r="J1074" s="6">
        <v>8.99</v>
      </c>
      <c r="K1074">
        <v>1</v>
      </c>
      <c r="L1074" t="s">
        <v>43</v>
      </c>
      <c r="M1074" s="5">
        <v>1</v>
      </c>
      <c r="N1074" s="4">
        <v>0.09</v>
      </c>
      <c r="O1074" t="s">
        <v>20</v>
      </c>
    </row>
    <row r="1075" spans="1:15" x14ac:dyDescent="0.3">
      <c r="A1075" t="s">
        <v>3316</v>
      </c>
      <c r="B1075" s="5">
        <v>26</v>
      </c>
      <c r="C1075" s="5" t="str" cm="1">
        <f t="array" ref="C1075">_xlfn.IFS(worksheet[[#This Row],[age]]&lt;25,"1. Young Adulthood (18-24)",worksheet[[#This Row],[age]]&lt; 35,"2. Early Adulthood (25-34)",worksheet[[#This Row],[age]]&lt; 45,"3. Mid Adulthood (35-44)",worksheet[[#This Row],[age]]&lt; 55,"4. Mature Adulthood (45-54)",TRUE,"5. Late Adulthood/Senior (55+)")</f>
        <v>2. Early Adulthood (25-34)</v>
      </c>
      <c r="D1075" t="s">
        <v>41</v>
      </c>
      <c r="E1075" t="s">
        <v>22</v>
      </c>
      <c r="F1075" s="4">
        <v>10.42</v>
      </c>
      <c r="G1075" s="5">
        <v>28</v>
      </c>
      <c r="H1075" t="s">
        <v>49</v>
      </c>
      <c r="I1075" t="s">
        <v>46</v>
      </c>
      <c r="J1075" s="6">
        <v>13.99</v>
      </c>
      <c r="K1075">
        <v>0</v>
      </c>
      <c r="L1075" t="s">
        <v>29</v>
      </c>
      <c r="M1075" s="5">
        <v>1</v>
      </c>
      <c r="N1075" s="4">
        <v>0.36</v>
      </c>
      <c r="O1075" t="s">
        <v>47</v>
      </c>
    </row>
    <row r="1076" spans="1:15" x14ac:dyDescent="0.3">
      <c r="A1076" t="s">
        <v>3321</v>
      </c>
      <c r="B1076" s="5">
        <v>19</v>
      </c>
      <c r="C1076" s="5" t="str" cm="1">
        <f t="array" ref="C1076">_xlfn.IFS(worksheet[[#This Row],[age]]&lt;25,"1. Young Adulthood (18-24)",worksheet[[#This Row],[age]]&lt; 35,"2. Early Adulthood (25-34)",worksheet[[#This Row],[age]]&lt; 45,"3. Mid Adulthood (35-44)",worksheet[[#This Row],[age]]&lt; 55,"4. Mature Adulthood (45-54)",TRUE,"5. Late Adulthood/Senior (55+)")</f>
        <v>1. Young Adulthood (18-24)</v>
      </c>
      <c r="D1076" t="s">
        <v>27</v>
      </c>
      <c r="E1076" t="s">
        <v>32</v>
      </c>
      <c r="F1076" s="4">
        <v>0.1</v>
      </c>
      <c r="G1076" s="5">
        <v>24</v>
      </c>
      <c r="H1076" t="s">
        <v>17</v>
      </c>
      <c r="I1076" t="s">
        <v>24</v>
      </c>
      <c r="J1076" s="6">
        <v>17.989999999999998</v>
      </c>
      <c r="K1076">
        <v>0</v>
      </c>
      <c r="L1076" t="s">
        <v>37</v>
      </c>
      <c r="M1076" s="5">
        <v>5</v>
      </c>
      <c r="N1076" s="4">
        <v>0</v>
      </c>
      <c r="O1076" t="s">
        <v>25</v>
      </c>
    </row>
    <row r="1077" spans="1:15" x14ac:dyDescent="0.3">
      <c r="A1077" t="s">
        <v>3322</v>
      </c>
      <c r="B1077" s="5">
        <v>23</v>
      </c>
      <c r="C1077" s="5" t="str" cm="1">
        <f t="array" ref="C1077">_xlfn.IFS(worksheet[[#This Row],[age]]&lt;25,"1. Young Adulthood (18-24)",worksheet[[#This Row],[age]]&lt; 35,"2. Early Adulthood (25-34)",worksheet[[#This Row],[age]]&lt; 45,"3. Mid Adulthood (35-44)",worksheet[[#This Row],[age]]&lt; 55,"4. Mature Adulthood (45-54)",TRUE,"5. Late Adulthood/Senior (55+)")</f>
        <v>1. Young Adulthood (18-24)</v>
      </c>
      <c r="D1077" t="s">
        <v>15</v>
      </c>
      <c r="E1077" t="s">
        <v>32</v>
      </c>
      <c r="F1077" s="4">
        <v>33.47</v>
      </c>
      <c r="G1077" s="5">
        <v>29</v>
      </c>
      <c r="H1077" t="s">
        <v>23</v>
      </c>
      <c r="I1077" t="s">
        <v>46</v>
      </c>
      <c r="J1077" s="6">
        <v>17.989999999999998</v>
      </c>
      <c r="K1077">
        <v>0</v>
      </c>
      <c r="L1077" t="s">
        <v>43</v>
      </c>
      <c r="M1077" s="5">
        <v>3</v>
      </c>
      <c r="N1077" s="4">
        <v>1.1200000000000001</v>
      </c>
      <c r="O1077" t="s">
        <v>39</v>
      </c>
    </row>
    <row r="1078" spans="1:15" x14ac:dyDescent="0.3">
      <c r="A1078" t="s">
        <v>3324</v>
      </c>
      <c r="B1078" s="5">
        <v>19</v>
      </c>
      <c r="C1078" s="5" t="str" cm="1">
        <f t="array" ref="C1078">_xlfn.IFS(worksheet[[#This Row],[age]]&lt;25,"1. Young Adulthood (18-24)",worksheet[[#This Row],[age]]&lt; 35,"2. Early Adulthood (25-34)",worksheet[[#This Row],[age]]&lt; 45,"3. Mid Adulthood (35-44)",worksheet[[#This Row],[age]]&lt; 55,"4. Mature Adulthood (45-54)",TRUE,"5. Late Adulthood/Senior (55+)")</f>
        <v>1. Young Adulthood (18-24)</v>
      </c>
      <c r="D1078" t="s">
        <v>27</v>
      </c>
      <c r="E1078" t="s">
        <v>32</v>
      </c>
      <c r="F1078" s="4">
        <v>1.73</v>
      </c>
      <c r="G1078" s="5">
        <v>22</v>
      </c>
      <c r="H1078" t="s">
        <v>33</v>
      </c>
      <c r="I1078" t="s">
        <v>46</v>
      </c>
      <c r="J1078" s="6">
        <v>17.989999999999998</v>
      </c>
      <c r="K1078">
        <v>1</v>
      </c>
      <c r="L1078" t="s">
        <v>61</v>
      </c>
      <c r="M1078" s="5">
        <v>3</v>
      </c>
      <c r="N1078" s="4">
        <v>0.08</v>
      </c>
      <c r="O1078" t="s">
        <v>25</v>
      </c>
    </row>
    <row r="1079" spans="1:15" x14ac:dyDescent="0.3">
      <c r="A1079" t="s">
        <v>3325</v>
      </c>
      <c r="B1079" s="5">
        <v>30</v>
      </c>
      <c r="C1079" s="5" t="str" cm="1">
        <f t="array" ref="C1079">_xlfn.IFS(worksheet[[#This Row],[age]]&lt;25,"1. Young Adulthood (18-24)",worksheet[[#This Row],[age]]&lt; 35,"2. Early Adulthood (25-34)",worksheet[[#This Row],[age]]&lt; 45,"3. Mid Adulthood (35-44)",worksheet[[#This Row],[age]]&lt; 55,"4. Mature Adulthood (45-54)",TRUE,"5. Late Adulthood/Senior (55+)")</f>
        <v>2. Early Adulthood (25-34)</v>
      </c>
      <c r="D1079" t="s">
        <v>41</v>
      </c>
      <c r="E1079" t="s">
        <v>16</v>
      </c>
      <c r="F1079" s="4">
        <v>0.25</v>
      </c>
      <c r="G1079" s="5">
        <v>29</v>
      </c>
      <c r="H1079" t="s">
        <v>23</v>
      </c>
      <c r="I1079" t="s">
        <v>57</v>
      </c>
      <c r="J1079" s="6">
        <v>8.99</v>
      </c>
      <c r="K1079">
        <v>1</v>
      </c>
      <c r="L1079" t="s">
        <v>19</v>
      </c>
      <c r="M1079" s="5">
        <v>2</v>
      </c>
      <c r="N1079" s="4">
        <v>0.01</v>
      </c>
      <c r="O1079" t="s">
        <v>47</v>
      </c>
    </row>
    <row r="1080" spans="1:15" x14ac:dyDescent="0.3">
      <c r="A1080" t="s">
        <v>3326</v>
      </c>
      <c r="B1080" s="5">
        <v>22</v>
      </c>
      <c r="C1080" s="5" t="str" cm="1">
        <f t="array" ref="C1080">_xlfn.IFS(worksheet[[#This Row],[age]]&lt;25,"1. Young Adulthood (18-24)",worksheet[[#This Row],[age]]&lt; 35,"2. Early Adulthood (25-34)",worksheet[[#This Row],[age]]&lt; 45,"3. Mid Adulthood (35-44)",worksheet[[#This Row],[age]]&lt; 55,"4. Mature Adulthood (45-54)",TRUE,"5. Late Adulthood/Senior (55+)")</f>
        <v>1. Young Adulthood (18-24)</v>
      </c>
      <c r="D1080" t="s">
        <v>15</v>
      </c>
      <c r="E1080" t="s">
        <v>32</v>
      </c>
      <c r="F1080" s="4">
        <v>17.649999999999999</v>
      </c>
      <c r="G1080" s="5">
        <v>9</v>
      </c>
      <c r="H1080" t="s">
        <v>17</v>
      </c>
      <c r="I1080" t="s">
        <v>18</v>
      </c>
      <c r="J1080" s="6">
        <v>17.989999999999998</v>
      </c>
      <c r="K1080">
        <v>0</v>
      </c>
      <c r="L1080" t="s">
        <v>43</v>
      </c>
      <c r="M1080" s="5">
        <v>2</v>
      </c>
      <c r="N1080" s="4">
        <v>1.76</v>
      </c>
      <c r="O1080" t="s">
        <v>30</v>
      </c>
    </row>
    <row r="1081" spans="1:15" x14ac:dyDescent="0.3">
      <c r="A1081" t="s">
        <v>3329</v>
      </c>
      <c r="B1081" s="5">
        <v>24</v>
      </c>
      <c r="C1081" s="5" t="str" cm="1">
        <f t="array" ref="C1081">_xlfn.IFS(worksheet[[#This Row],[age]]&lt;25,"1. Young Adulthood (18-24)",worksheet[[#This Row],[age]]&lt; 35,"2. Early Adulthood (25-34)",worksheet[[#This Row],[age]]&lt; 45,"3. Mid Adulthood (35-44)",worksheet[[#This Row],[age]]&lt; 55,"4. Mature Adulthood (45-54)",TRUE,"5. Late Adulthood/Senior (55+)")</f>
        <v>1. Young Adulthood (18-24)</v>
      </c>
      <c r="D1081" t="s">
        <v>15</v>
      </c>
      <c r="E1081" t="s">
        <v>16</v>
      </c>
      <c r="F1081" s="4">
        <v>1.25</v>
      </c>
      <c r="G1081" s="5">
        <v>27</v>
      </c>
      <c r="H1081" t="s">
        <v>49</v>
      </c>
      <c r="I1081" t="s">
        <v>55</v>
      </c>
      <c r="J1081" s="6">
        <v>8.99</v>
      </c>
      <c r="K1081">
        <v>1</v>
      </c>
      <c r="L1081" t="s">
        <v>61</v>
      </c>
      <c r="M1081" s="5">
        <v>2</v>
      </c>
      <c r="N1081" s="4">
        <v>0.04</v>
      </c>
      <c r="O1081" t="s">
        <v>20</v>
      </c>
    </row>
    <row r="1082" spans="1:15" x14ac:dyDescent="0.3">
      <c r="A1082" t="s">
        <v>3330</v>
      </c>
      <c r="B1082" s="5">
        <v>26</v>
      </c>
      <c r="C1082" s="5" t="str" cm="1">
        <f t="array" ref="C1082">_xlfn.IFS(worksheet[[#This Row],[age]]&lt;25,"1. Young Adulthood (18-24)",worksheet[[#This Row],[age]]&lt; 35,"2. Early Adulthood (25-34)",worksheet[[#This Row],[age]]&lt; 45,"3. Mid Adulthood (35-44)",worksheet[[#This Row],[age]]&lt; 55,"4. Mature Adulthood (45-54)",TRUE,"5. Late Adulthood/Senior (55+)")</f>
        <v>2. Early Adulthood (25-34)</v>
      </c>
      <c r="D1082" t="s">
        <v>27</v>
      </c>
      <c r="E1082" t="s">
        <v>16</v>
      </c>
      <c r="F1082" s="4">
        <v>11.36</v>
      </c>
      <c r="G1082" s="5">
        <v>22</v>
      </c>
      <c r="H1082" t="s">
        <v>17</v>
      </c>
      <c r="I1082" t="s">
        <v>46</v>
      </c>
      <c r="J1082" s="6">
        <v>8.99</v>
      </c>
      <c r="K1082">
        <v>0</v>
      </c>
      <c r="L1082" t="s">
        <v>43</v>
      </c>
      <c r="M1082" s="5">
        <v>2</v>
      </c>
      <c r="N1082" s="4">
        <v>0.49</v>
      </c>
      <c r="O1082" t="s">
        <v>34</v>
      </c>
    </row>
    <row r="1083" spans="1:15" x14ac:dyDescent="0.3">
      <c r="A1083" t="s">
        <v>3336</v>
      </c>
      <c r="B1083" s="5">
        <v>18</v>
      </c>
      <c r="C1083" s="5" t="str" cm="1">
        <f t="array" ref="C1083">_xlfn.IFS(worksheet[[#This Row],[age]]&lt;25,"1. Young Adulthood (18-24)",worksheet[[#This Row],[age]]&lt; 35,"2. Early Adulthood (25-34)",worksheet[[#This Row],[age]]&lt; 45,"3. Mid Adulthood (35-44)",worksheet[[#This Row],[age]]&lt; 55,"4. Mature Adulthood (45-54)",TRUE,"5. Late Adulthood/Senior (55+)")</f>
        <v>1. Young Adulthood (18-24)</v>
      </c>
      <c r="D1083" t="s">
        <v>27</v>
      </c>
      <c r="E1083" t="s">
        <v>16</v>
      </c>
      <c r="F1083" s="4">
        <v>7.65</v>
      </c>
      <c r="G1083" s="5">
        <v>49</v>
      </c>
      <c r="H1083" t="s">
        <v>23</v>
      </c>
      <c r="I1083" t="s">
        <v>55</v>
      </c>
      <c r="J1083" s="6">
        <v>8.99</v>
      </c>
      <c r="K1083">
        <v>1</v>
      </c>
      <c r="L1083" t="s">
        <v>37</v>
      </c>
      <c r="M1083" s="5">
        <v>1</v>
      </c>
      <c r="N1083" s="4">
        <v>0.15</v>
      </c>
      <c r="O1083" t="s">
        <v>30</v>
      </c>
    </row>
    <row r="1084" spans="1:15" x14ac:dyDescent="0.3">
      <c r="A1084" t="s">
        <v>3337</v>
      </c>
      <c r="B1084" s="5">
        <v>29</v>
      </c>
      <c r="C1084" s="5" t="str" cm="1">
        <f t="array" ref="C1084">_xlfn.IFS(worksheet[[#This Row],[age]]&lt;25,"1. Young Adulthood (18-24)",worksheet[[#This Row],[age]]&lt; 35,"2. Early Adulthood (25-34)",worksheet[[#This Row],[age]]&lt; 45,"3. Mid Adulthood (35-44)",worksheet[[#This Row],[age]]&lt; 55,"4. Mature Adulthood (45-54)",TRUE,"5. Late Adulthood/Senior (55+)")</f>
        <v>2. Early Adulthood (25-34)</v>
      </c>
      <c r="D1084" t="s">
        <v>27</v>
      </c>
      <c r="E1084" t="s">
        <v>22</v>
      </c>
      <c r="F1084" s="4">
        <v>6.87</v>
      </c>
      <c r="G1084" s="5">
        <v>27</v>
      </c>
      <c r="H1084" t="s">
        <v>17</v>
      </c>
      <c r="I1084" t="s">
        <v>57</v>
      </c>
      <c r="J1084" s="6">
        <v>13.99</v>
      </c>
      <c r="K1084">
        <v>0</v>
      </c>
      <c r="L1084" t="s">
        <v>19</v>
      </c>
      <c r="M1084" s="5">
        <v>4</v>
      </c>
      <c r="N1084" s="4">
        <v>0.25</v>
      </c>
      <c r="O1084" t="s">
        <v>39</v>
      </c>
    </row>
    <row r="1085" spans="1:15" x14ac:dyDescent="0.3">
      <c r="A1085" t="s">
        <v>3339</v>
      </c>
      <c r="B1085" s="5">
        <v>20</v>
      </c>
      <c r="C1085" s="5" t="str" cm="1">
        <f t="array" ref="C1085">_xlfn.IFS(worksheet[[#This Row],[age]]&lt;25,"1. Young Adulthood (18-24)",worksheet[[#This Row],[age]]&lt; 35,"2. Early Adulthood (25-34)",worksheet[[#This Row],[age]]&lt; 45,"3. Mid Adulthood (35-44)",worksheet[[#This Row],[age]]&lt; 55,"4. Mature Adulthood (45-54)",TRUE,"5. Late Adulthood/Senior (55+)")</f>
        <v>1. Young Adulthood (18-24)</v>
      </c>
      <c r="D1085" t="s">
        <v>15</v>
      </c>
      <c r="E1085" t="s">
        <v>32</v>
      </c>
      <c r="F1085" s="4">
        <v>25.68</v>
      </c>
      <c r="G1085" s="5">
        <v>3</v>
      </c>
      <c r="H1085" t="s">
        <v>28</v>
      </c>
      <c r="I1085" t="s">
        <v>46</v>
      </c>
      <c r="J1085" s="6">
        <v>17.989999999999998</v>
      </c>
      <c r="K1085">
        <v>0</v>
      </c>
      <c r="L1085" t="s">
        <v>61</v>
      </c>
      <c r="M1085" s="5">
        <v>5</v>
      </c>
      <c r="N1085" s="4">
        <v>6.42</v>
      </c>
      <c r="O1085" t="s">
        <v>47</v>
      </c>
    </row>
    <row r="1086" spans="1:15" x14ac:dyDescent="0.3">
      <c r="A1086" t="s">
        <v>3341</v>
      </c>
      <c r="B1086" s="5">
        <v>26</v>
      </c>
      <c r="C1086" s="5" t="str" cm="1">
        <f t="array" ref="C1086">_xlfn.IFS(worksheet[[#This Row],[age]]&lt;25,"1. Young Adulthood (18-24)",worksheet[[#This Row],[age]]&lt; 35,"2. Early Adulthood (25-34)",worksheet[[#This Row],[age]]&lt; 45,"3. Mid Adulthood (35-44)",worksheet[[#This Row],[age]]&lt; 55,"4. Mature Adulthood (45-54)",TRUE,"5. Late Adulthood/Senior (55+)")</f>
        <v>2. Early Adulthood (25-34)</v>
      </c>
      <c r="D1086" t="s">
        <v>41</v>
      </c>
      <c r="E1086" t="s">
        <v>32</v>
      </c>
      <c r="F1086" s="4">
        <v>13.17</v>
      </c>
      <c r="G1086" s="5">
        <v>37</v>
      </c>
      <c r="H1086" t="s">
        <v>49</v>
      </c>
      <c r="I1086" t="s">
        <v>57</v>
      </c>
      <c r="J1086" s="6">
        <v>17.989999999999998</v>
      </c>
      <c r="K1086">
        <v>0</v>
      </c>
      <c r="L1086" t="s">
        <v>61</v>
      </c>
      <c r="M1086" s="5">
        <v>4</v>
      </c>
      <c r="N1086" s="4">
        <v>0.35</v>
      </c>
      <c r="O1086" t="s">
        <v>20</v>
      </c>
    </row>
    <row r="1087" spans="1:15" x14ac:dyDescent="0.3">
      <c r="A1087" t="s">
        <v>3344</v>
      </c>
      <c r="B1087" s="5">
        <v>33</v>
      </c>
      <c r="C1087" s="5" t="str" cm="1">
        <f t="array" ref="C1087">_xlfn.IFS(worksheet[[#This Row],[age]]&lt;25,"1. Young Adulthood (18-24)",worksheet[[#This Row],[age]]&lt; 35,"2. Early Adulthood (25-34)",worksheet[[#This Row],[age]]&lt; 45,"3. Mid Adulthood (35-44)",worksheet[[#This Row],[age]]&lt; 55,"4. Mature Adulthood (45-54)",TRUE,"5. Late Adulthood/Senior (55+)")</f>
        <v>2. Early Adulthood (25-34)</v>
      </c>
      <c r="D1087" t="s">
        <v>15</v>
      </c>
      <c r="E1087" t="s">
        <v>22</v>
      </c>
      <c r="F1087" s="4">
        <v>11.4</v>
      </c>
      <c r="G1087" s="5">
        <v>42</v>
      </c>
      <c r="H1087" t="s">
        <v>70</v>
      </c>
      <c r="I1087" t="s">
        <v>55</v>
      </c>
      <c r="J1087" s="6">
        <v>13.99</v>
      </c>
      <c r="K1087">
        <v>1</v>
      </c>
      <c r="L1087" t="s">
        <v>29</v>
      </c>
      <c r="M1087" s="5">
        <v>4</v>
      </c>
      <c r="N1087" s="4">
        <v>0.27</v>
      </c>
      <c r="O1087" t="s">
        <v>20</v>
      </c>
    </row>
    <row r="1088" spans="1:15" x14ac:dyDescent="0.3">
      <c r="A1088" t="s">
        <v>3345</v>
      </c>
      <c r="B1088" s="5">
        <v>33</v>
      </c>
      <c r="C1088" s="5" t="str" cm="1">
        <f t="array" ref="C1088">_xlfn.IFS(worksheet[[#This Row],[age]]&lt;25,"1. Young Adulthood (18-24)",worksheet[[#This Row],[age]]&lt; 35,"2. Early Adulthood (25-34)",worksheet[[#This Row],[age]]&lt; 45,"3. Mid Adulthood (35-44)",worksheet[[#This Row],[age]]&lt; 55,"4. Mature Adulthood (45-54)",TRUE,"5. Late Adulthood/Senior (55+)")</f>
        <v>2. Early Adulthood (25-34)</v>
      </c>
      <c r="D1088" t="s">
        <v>41</v>
      </c>
      <c r="E1088" t="s">
        <v>22</v>
      </c>
      <c r="F1088" s="4">
        <v>6.6</v>
      </c>
      <c r="G1088" s="5">
        <v>55</v>
      </c>
      <c r="H1088" t="s">
        <v>23</v>
      </c>
      <c r="I1088" t="s">
        <v>55</v>
      </c>
      <c r="J1088" s="6">
        <v>13.99</v>
      </c>
      <c r="K1088">
        <v>1</v>
      </c>
      <c r="L1088" t="s">
        <v>19</v>
      </c>
      <c r="M1088" s="5">
        <v>2</v>
      </c>
      <c r="N1088" s="4">
        <v>0.12</v>
      </c>
      <c r="O1088" t="s">
        <v>52</v>
      </c>
    </row>
    <row r="1089" spans="1:15" x14ac:dyDescent="0.3">
      <c r="A1089" s="1" t="s">
        <v>3346</v>
      </c>
      <c r="B1089" s="5">
        <v>19</v>
      </c>
      <c r="C1089" s="5" t="str" cm="1">
        <f t="array" ref="C1089">_xlfn.IFS(worksheet[[#This Row],[age]]&lt;25,"1. Young Adulthood (18-24)",worksheet[[#This Row],[age]]&lt; 35,"2. Early Adulthood (25-34)",worksheet[[#This Row],[age]]&lt; 45,"3. Mid Adulthood (35-44)",worksheet[[#This Row],[age]]&lt; 55,"4. Mature Adulthood (45-54)",TRUE,"5. Late Adulthood/Senior (55+)")</f>
        <v>1. Young Adulthood (18-24)</v>
      </c>
      <c r="D1089" t="s">
        <v>27</v>
      </c>
      <c r="E1089" t="s">
        <v>32</v>
      </c>
      <c r="F1089" s="4">
        <v>8.2899999999999991</v>
      </c>
      <c r="G1089" s="5">
        <v>28</v>
      </c>
      <c r="H1089" t="s">
        <v>23</v>
      </c>
      <c r="I1089" t="s">
        <v>18</v>
      </c>
      <c r="J1089" s="6">
        <v>17.989999999999998</v>
      </c>
      <c r="K1089">
        <v>0</v>
      </c>
      <c r="L1089" t="s">
        <v>29</v>
      </c>
      <c r="M1089" s="5">
        <v>5</v>
      </c>
      <c r="N1089" s="4">
        <v>0.28999999999999998</v>
      </c>
      <c r="O1089" t="s">
        <v>30</v>
      </c>
    </row>
    <row r="1090" spans="1:15" x14ac:dyDescent="0.3">
      <c r="A1090" t="s">
        <v>3352</v>
      </c>
      <c r="B1090" s="5">
        <v>19</v>
      </c>
      <c r="C1090" s="5" t="str" cm="1">
        <f t="array" ref="C1090">_xlfn.IFS(worksheet[[#This Row],[age]]&lt;25,"1. Young Adulthood (18-24)",worksheet[[#This Row],[age]]&lt; 35,"2. Early Adulthood (25-34)",worksheet[[#This Row],[age]]&lt; 45,"3. Mid Adulthood (35-44)",worksheet[[#This Row],[age]]&lt; 55,"4. Mature Adulthood (45-54)",TRUE,"5. Late Adulthood/Senior (55+)")</f>
        <v>1. Young Adulthood (18-24)</v>
      </c>
      <c r="D1090" t="s">
        <v>15</v>
      </c>
      <c r="E1090" t="s">
        <v>16</v>
      </c>
      <c r="F1090" s="4">
        <v>4.42</v>
      </c>
      <c r="G1090" s="5">
        <v>0</v>
      </c>
      <c r="H1090" t="s">
        <v>23</v>
      </c>
      <c r="I1090" t="s">
        <v>46</v>
      </c>
      <c r="J1090" s="6">
        <v>8.99</v>
      </c>
      <c r="K1090">
        <v>0</v>
      </c>
      <c r="L1090" t="s">
        <v>61</v>
      </c>
      <c r="M1090" s="5">
        <v>3</v>
      </c>
      <c r="N1090" s="4">
        <v>4.42</v>
      </c>
      <c r="O1090" t="s">
        <v>30</v>
      </c>
    </row>
    <row r="1091" spans="1:15" x14ac:dyDescent="0.3">
      <c r="A1091" t="s">
        <v>3357</v>
      </c>
      <c r="B1091" s="5">
        <v>27</v>
      </c>
      <c r="C1091" s="5" t="str" cm="1">
        <f t="array" ref="C1091">_xlfn.IFS(worksheet[[#This Row],[age]]&lt;25,"1. Young Adulthood (18-24)",worksheet[[#This Row],[age]]&lt; 35,"2. Early Adulthood (25-34)",worksheet[[#This Row],[age]]&lt; 45,"3. Mid Adulthood (35-44)",worksheet[[#This Row],[age]]&lt; 55,"4. Mature Adulthood (45-54)",TRUE,"5. Late Adulthood/Senior (55+)")</f>
        <v>2. Early Adulthood (25-34)</v>
      </c>
      <c r="D1091" t="s">
        <v>15</v>
      </c>
      <c r="E1091" t="s">
        <v>22</v>
      </c>
      <c r="F1091" s="4">
        <v>10.69</v>
      </c>
      <c r="G1091" s="5">
        <v>4</v>
      </c>
      <c r="H1091" t="s">
        <v>28</v>
      </c>
      <c r="I1091" t="s">
        <v>24</v>
      </c>
      <c r="J1091" s="6">
        <v>13.99</v>
      </c>
      <c r="K1091">
        <v>0</v>
      </c>
      <c r="L1091" t="s">
        <v>29</v>
      </c>
      <c r="M1091" s="5">
        <v>3</v>
      </c>
      <c r="N1091" s="4">
        <v>2.14</v>
      </c>
      <c r="O1091" t="s">
        <v>30</v>
      </c>
    </row>
    <row r="1092" spans="1:15" x14ac:dyDescent="0.3">
      <c r="A1092" t="s">
        <v>3361</v>
      </c>
      <c r="B1092" s="5">
        <v>26</v>
      </c>
      <c r="C1092" s="5" t="str" cm="1">
        <f t="array" ref="C1092">_xlfn.IFS(worksheet[[#This Row],[age]]&lt;25,"1. Young Adulthood (18-24)",worksheet[[#This Row],[age]]&lt; 35,"2. Early Adulthood (25-34)",worksheet[[#This Row],[age]]&lt; 45,"3. Mid Adulthood (35-44)",worksheet[[#This Row],[age]]&lt; 55,"4. Mature Adulthood (45-54)",TRUE,"5. Late Adulthood/Senior (55+)")</f>
        <v>2. Early Adulthood (25-34)</v>
      </c>
      <c r="D1092" t="s">
        <v>27</v>
      </c>
      <c r="E1092" t="s">
        <v>32</v>
      </c>
      <c r="F1092" s="4">
        <v>2.92</v>
      </c>
      <c r="G1092" s="5">
        <v>32</v>
      </c>
      <c r="H1092" t="s">
        <v>49</v>
      </c>
      <c r="I1092" t="s">
        <v>57</v>
      </c>
      <c r="J1092" s="6">
        <v>17.989999999999998</v>
      </c>
      <c r="K1092">
        <v>1</v>
      </c>
      <c r="L1092" t="s">
        <v>29</v>
      </c>
      <c r="M1092" s="5">
        <v>2</v>
      </c>
      <c r="N1092" s="4">
        <v>0.09</v>
      </c>
      <c r="O1092" t="s">
        <v>25</v>
      </c>
    </row>
    <row r="1093" spans="1:15" x14ac:dyDescent="0.3">
      <c r="A1093" t="s">
        <v>3364</v>
      </c>
      <c r="B1093" s="5">
        <v>19</v>
      </c>
      <c r="C1093" s="5" t="str" cm="1">
        <f t="array" ref="C1093">_xlfn.IFS(worksheet[[#This Row],[age]]&lt;25,"1. Young Adulthood (18-24)",worksheet[[#This Row],[age]]&lt; 35,"2. Early Adulthood (25-34)",worksheet[[#This Row],[age]]&lt; 45,"3. Mid Adulthood (35-44)",worksheet[[#This Row],[age]]&lt; 55,"4. Mature Adulthood (45-54)",TRUE,"5. Late Adulthood/Senior (55+)")</f>
        <v>1. Young Adulthood (18-24)</v>
      </c>
      <c r="D1093" t="s">
        <v>27</v>
      </c>
      <c r="E1093" t="s">
        <v>32</v>
      </c>
      <c r="F1093" s="4">
        <v>7.43</v>
      </c>
      <c r="G1093" s="5">
        <v>10</v>
      </c>
      <c r="H1093" t="s">
        <v>23</v>
      </c>
      <c r="I1093" t="s">
        <v>57</v>
      </c>
      <c r="J1093" s="6">
        <v>17.989999999999998</v>
      </c>
      <c r="K1093">
        <v>0</v>
      </c>
      <c r="L1093" t="s">
        <v>37</v>
      </c>
      <c r="M1093" s="5">
        <v>4</v>
      </c>
      <c r="N1093" s="4">
        <v>0.68</v>
      </c>
      <c r="O1093" t="s">
        <v>30</v>
      </c>
    </row>
    <row r="1094" spans="1:15" x14ac:dyDescent="0.3">
      <c r="A1094" t="s">
        <v>3366</v>
      </c>
      <c r="B1094" s="5">
        <v>34</v>
      </c>
      <c r="C1094" s="5" t="str" cm="1">
        <f t="array" ref="C1094">_xlfn.IFS(worksheet[[#This Row],[age]]&lt;25,"1. Young Adulthood (18-24)",worksheet[[#This Row],[age]]&lt; 35,"2. Early Adulthood (25-34)",worksheet[[#This Row],[age]]&lt; 45,"3. Mid Adulthood (35-44)",worksheet[[#This Row],[age]]&lt; 55,"4. Mature Adulthood (45-54)",TRUE,"5. Late Adulthood/Senior (55+)")</f>
        <v>2. Early Adulthood (25-34)</v>
      </c>
      <c r="D1094" t="s">
        <v>27</v>
      </c>
      <c r="E1094" t="s">
        <v>22</v>
      </c>
      <c r="F1094" s="4">
        <v>0.32</v>
      </c>
      <c r="G1094" s="5">
        <v>58</v>
      </c>
      <c r="H1094" t="s">
        <v>28</v>
      </c>
      <c r="I1094" t="s">
        <v>24</v>
      </c>
      <c r="J1094" s="6">
        <v>13.99</v>
      </c>
      <c r="K1094">
        <v>1</v>
      </c>
      <c r="L1094" t="s">
        <v>19</v>
      </c>
      <c r="M1094" s="5">
        <v>1</v>
      </c>
      <c r="N1094" s="4">
        <v>0.01</v>
      </c>
      <c r="O1094" t="s">
        <v>47</v>
      </c>
    </row>
    <row r="1095" spans="1:15" x14ac:dyDescent="0.3">
      <c r="A1095" s="1" t="s">
        <v>3368</v>
      </c>
      <c r="B1095" s="5">
        <v>32</v>
      </c>
      <c r="C1095" s="5" t="str" cm="1">
        <f t="array" ref="C1095">_xlfn.IFS(worksheet[[#This Row],[age]]&lt;25,"1. Young Adulthood (18-24)",worksheet[[#This Row],[age]]&lt; 35,"2. Early Adulthood (25-34)",worksheet[[#This Row],[age]]&lt; 45,"3. Mid Adulthood (35-44)",worksheet[[#This Row],[age]]&lt; 55,"4. Mature Adulthood (45-54)",TRUE,"5. Late Adulthood/Senior (55+)")</f>
        <v>2. Early Adulthood (25-34)</v>
      </c>
      <c r="D1095" t="s">
        <v>27</v>
      </c>
      <c r="E1095" t="s">
        <v>16</v>
      </c>
      <c r="F1095" s="4">
        <v>8.94</v>
      </c>
      <c r="G1095" s="5">
        <v>6</v>
      </c>
      <c r="H1095" t="s">
        <v>70</v>
      </c>
      <c r="I1095" t="s">
        <v>55</v>
      </c>
      <c r="J1095" s="6">
        <v>8.99</v>
      </c>
      <c r="K1095">
        <v>0</v>
      </c>
      <c r="L1095" t="s">
        <v>29</v>
      </c>
      <c r="M1095" s="5">
        <v>5</v>
      </c>
      <c r="N1095" s="4">
        <v>1.28</v>
      </c>
      <c r="O1095" t="s">
        <v>20</v>
      </c>
    </row>
    <row r="1096" spans="1:15" x14ac:dyDescent="0.3">
      <c r="A1096" t="s">
        <v>3369</v>
      </c>
      <c r="B1096" s="5">
        <v>21</v>
      </c>
      <c r="C1096" s="5" t="str" cm="1">
        <f t="array" ref="C1096">_xlfn.IFS(worksheet[[#This Row],[age]]&lt;25,"1. Young Adulthood (18-24)",worksheet[[#This Row],[age]]&lt; 35,"2. Early Adulthood (25-34)",worksheet[[#This Row],[age]]&lt; 45,"3. Mid Adulthood (35-44)",worksheet[[#This Row],[age]]&lt; 55,"4. Mature Adulthood (45-54)",TRUE,"5. Late Adulthood/Senior (55+)")</f>
        <v>1. Young Adulthood (18-24)</v>
      </c>
      <c r="D1096" t="s">
        <v>41</v>
      </c>
      <c r="E1096" t="s">
        <v>16</v>
      </c>
      <c r="F1096" s="4">
        <v>11.25</v>
      </c>
      <c r="G1096" s="5">
        <v>59</v>
      </c>
      <c r="H1096" t="s">
        <v>49</v>
      </c>
      <c r="I1096" t="s">
        <v>24</v>
      </c>
      <c r="J1096" s="6">
        <v>8.99</v>
      </c>
      <c r="K1096">
        <v>1</v>
      </c>
      <c r="L1096" t="s">
        <v>37</v>
      </c>
      <c r="M1096" s="5">
        <v>2</v>
      </c>
      <c r="N1096" s="4">
        <v>0.19</v>
      </c>
      <c r="O1096" t="s">
        <v>20</v>
      </c>
    </row>
    <row r="1097" spans="1:15" x14ac:dyDescent="0.3">
      <c r="A1097" t="s">
        <v>3370</v>
      </c>
      <c r="B1097" s="5">
        <v>24</v>
      </c>
      <c r="C1097" s="5" t="str" cm="1">
        <f t="array" ref="C1097">_xlfn.IFS(worksheet[[#This Row],[age]]&lt;25,"1. Young Adulthood (18-24)",worksheet[[#This Row],[age]]&lt; 35,"2. Early Adulthood (25-34)",worksheet[[#This Row],[age]]&lt; 45,"3. Mid Adulthood (35-44)",worksheet[[#This Row],[age]]&lt; 55,"4. Mature Adulthood (45-54)",TRUE,"5. Late Adulthood/Senior (55+)")</f>
        <v>1. Young Adulthood (18-24)</v>
      </c>
      <c r="D1097" t="s">
        <v>15</v>
      </c>
      <c r="E1097" t="s">
        <v>32</v>
      </c>
      <c r="F1097" s="4">
        <v>14.15</v>
      </c>
      <c r="G1097" s="5">
        <v>58</v>
      </c>
      <c r="H1097" t="s">
        <v>23</v>
      </c>
      <c r="I1097" t="s">
        <v>18</v>
      </c>
      <c r="J1097" s="6">
        <v>17.989999999999998</v>
      </c>
      <c r="K1097">
        <v>1</v>
      </c>
      <c r="L1097" t="s">
        <v>43</v>
      </c>
      <c r="M1097" s="5">
        <v>1</v>
      </c>
      <c r="N1097" s="4">
        <v>0.24</v>
      </c>
      <c r="O1097" t="s">
        <v>39</v>
      </c>
    </row>
    <row r="1098" spans="1:15" x14ac:dyDescent="0.3">
      <c r="A1098" t="s">
        <v>3373</v>
      </c>
      <c r="B1098" s="5">
        <v>25</v>
      </c>
      <c r="C1098" s="5" t="str" cm="1">
        <f t="array" ref="C1098">_xlfn.IFS(worksheet[[#This Row],[age]]&lt;25,"1. Young Adulthood (18-24)",worksheet[[#This Row],[age]]&lt; 35,"2. Early Adulthood (25-34)",worksheet[[#This Row],[age]]&lt; 45,"3. Mid Adulthood (35-44)",worksheet[[#This Row],[age]]&lt; 55,"4. Mature Adulthood (45-54)",TRUE,"5. Late Adulthood/Senior (55+)")</f>
        <v>2. Early Adulthood (25-34)</v>
      </c>
      <c r="D1098" t="s">
        <v>15</v>
      </c>
      <c r="E1098" t="s">
        <v>22</v>
      </c>
      <c r="F1098" s="4">
        <v>18.23</v>
      </c>
      <c r="G1098" s="5">
        <v>26</v>
      </c>
      <c r="H1098" t="s">
        <v>17</v>
      </c>
      <c r="I1098" t="s">
        <v>55</v>
      </c>
      <c r="J1098" s="6">
        <v>13.99</v>
      </c>
      <c r="K1098">
        <v>0</v>
      </c>
      <c r="L1098" t="s">
        <v>43</v>
      </c>
      <c r="M1098" s="5">
        <v>2</v>
      </c>
      <c r="N1098" s="4">
        <v>0.68</v>
      </c>
      <c r="O1098" t="s">
        <v>34</v>
      </c>
    </row>
    <row r="1099" spans="1:15" x14ac:dyDescent="0.3">
      <c r="A1099" t="s">
        <v>3377</v>
      </c>
      <c r="B1099" s="5">
        <v>29</v>
      </c>
      <c r="C1099" s="5" t="str" cm="1">
        <f t="array" ref="C1099">_xlfn.IFS(worksheet[[#This Row],[age]]&lt;25,"1. Young Adulthood (18-24)",worksheet[[#This Row],[age]]&lt; 35,"2. Early Adulthood (25-34)",worksheet[[#This Row],[age]]&lt; 45,"3. Mid Adulthood (35-44)",worksheet[[#This Row],[age]]&lt; 55,"4. Mature Adulthood (45-54)",TRUE,"5. Late Adulthood/Senior (55+)")</f>
        <v>2. Early Adulthood (25-34)</v>
      </c>
      <c r="D1099" t="s">
        <v>27</v>
      </c>
      <c r="E1099" t="s">
        <v>22</v>
      </c>
      <c r="F1099" s="4">
        <v>1.1200000000000001</v>
      </c>
      <c r="G1099" s="5">
        <v>60</v>
      </c>
      <c r="H1099" t="s">
        <v>28</v>
      </c>
      <c r="I1099" t="s">
        <v>55</v>
      </c>
      <c r="J1099" s="6">
        <v>13.99</v>
      </c>
      <c r="K1099">
        <v>1</v>
      </c>
      <c r="L1099" t="s">
        <v>43</v>
      </c>
      <c r="M1099" s="5">
        <v>5</v>
      </c>
      <c r="N1099" s="4">
        <v>0.02</v>
      </c>
      <c r="O1099" t="s">
        <v>34</v>
      </c>
    </row>
    <row r="1100" spans="1:15" x14ac:dyDescent="0.3">
      <c r="A1100" t="s">
        <v>3379</v>
      </c>
      <c r="B1100" s="5">
        <v>26</v>
      </c>
      <c r="C1100" s="5" t="str" cm="1">
        <f t="array" ref="C1100">_xlfn.IFS(worksheet[[#This Row],[age]]&lt;25,"1. Young Adulthood (18-24)",worksheet[[#This Row],[age]]&lt; 35,"2. Early Adulthood (25-34)",worksheet[[#This Row],[age]]&lt; 45,"3. Mid Adulthood (35-44)",worksheet[[#This Row],[age]]&lt; 55,"4. Mature Adulthood (45-54)",TRUE,"5. Late Adulthood/Senior (55+)")</f>
        <v>2. Early Adulthood (25-34)</v>
      </c>
      <c r="D1100" t="s">
        <v>41</v>
      </c>
      <c r="E1100" t="s">
        <v>22</v>
      </c>
      <c r="F1100" s="4">
        <v>0.89</v>
      </c>
      <c r="G1100" s="5">
        <v>25</v>
      </c>
      <c r="H1100" t="s">
        <v>49</v>
      </c>
      <c r="I1100" t="s">
        <v>18</v>
      </c>
      <c r="J1100" s="6">
        <v>13.99</v>
      </c>
      <c r="K1100">
        <v>1</v>
      </c>
      <c r="L1100" t="s">
        <v>61</v>
      </c>
      <c r="M1100" s="5">
        <v>2</v>
      </c>
      <c r="N1100" s="4">
        <v>0.03</v>
      </c>
      <c r="O1100" t="s">
        <v>20</v>
      </c>
    </row>
    <row r="1101" spans="1:15" x14ac:dyDescent="0.3">
      <c r="A1101" t="s">
        <v>3382</v>
      </c>
      <c r="B1101" s="5">
        <v>22</v>
      </c>
      <c r="C1101" s="5" t="str" cm="1">
        <f t="array" ref="C1101">_xlfn.IFS(worksheet[[#This Row],[age]]&lt;25,"1. Young Adulthood (18-24)",worksheet[[#This Row],[age]]&lt; 35,"2. Early Adulthood (25-34)",worksheet[[#This Row],[age]]&lt; 45,"3. Mid Adulthood (35-44)",worksheet[[#This Row],[age]]&lt; 55,"4. Mature Adulthood (45-54)",TRUE,"5. Late Adulthood/Senior (55+)")</f>
        <v>1. Young Adulthood (18-24)</v>
      </c>
      <c r="D1101" t="s">
        <v>41</v>
      </c>
      <c r="E1101" t="s">
        <v>16</v>
      </c>
      <c r="F1101" s="4">
        <v>0.75</v>
      </c>
      <c r="G1101" s="5">
        <v>10</v>
      </c>
      <c r="H1101" t="s">
        <v>49</v>
      </c>
      <c r="I1101" t="s">
        <v>24</v>
      </c>
      <c r="J1101" s="6">
        <v>8.99</v>
      </c>
      <c r="K1101">
        <v>1</v>
      </c>
      <c r="L1101" t="s">
        <v>19</v>
      </c>
      <c r="M1101" s="5">
        <v>3</v>
      </c>
      <c r="N1101" s="4">
        <v>7.0000000000000007E-2</v>
      </c>
      <c r="O1101" t="s">
        <v>25</v>
      </c>
    </row>
    <row r="1102" spans="1:15" x14ac:dyDescent="0.3">
      <c r="A1102" t="s">
        <v>3385</v>
      </c>
      <c r="B1102" s="5">
        <v>29</v>
      </c>
      <c r="C1102" s="5" t="str" cm="1">
        <f t="array" ref="C1102">_xlfn.IFS(worksheet[[#This Row],[age]]&lt;25,"1. Young Adulthood (18-24)",worksheet[[#This Row],[age]]&lt; 35,"2. Early Adulthood (25-34)",worksheet[[#This Row],[age]]&lt; 45,"3. Mid Adulthood (35-44)",worksheet[[#This Row],[age]]&lt; 55,"4. Mature Adulthood (45-54)",TRUE,"5. Late Adulthood/Senior (55+)")</f>
        <v>2. Early Adulthood (25-34)</v>
      </c>
      <c r="D1102" t="s">
        <v>41</v>
      </c>
      <c r="E1102" t="s">
        <v>22</v>
      </c>
      <c r="F1102" s="4">
        <v>35.97</v>
      </c>
      <c r="G1102" s="5">
        <v>10</v>
      </c>
      <c r="H1102" t="s">
        <v>49</v>
      </c>
      <c r="I1102" t="s">
        <v>55</v>
      </c>
      <c r="J1102" s="6">
        <v>13.99</v>
      </c>
      <c r="K1102">
        <v>0</v>
      </c>
      <c r="L1102" t="s">
        <v>37</v>
      </c>
      <c r="M1102" s="5">
        <v>4</v>
      </c>
      <c r="N1102" s="4">
        <v>3.27</v>
      </c>
      <c r="O1102" t="s">
        <v>39</v>
      </c>
    </row>
    <row r="1103" spans="1:15" x14ac:dyDescent="0.3">
      <c r="A1103" t="s">
        <v>3391</v>
      </c>
      <c r="B1103" s="5">
        <v>29</v>
      </c>
      <c r="C1103" s="5" t="str" cm="1">
        <f t="array" ref="C1103">_xlfn.IFS(worksheet[[#This Row],[age]]&lt;25,"1. Young Adulthood (18-24)",worksheet[[#This Row],[age]]&lt; 35,"2. Early Adulthood (25-34)",worksheet[[#This Row],[age]]&lt; 45,"3. Mid Adulthood (35-44)",worksheet[[#This Row],[age]]&lt; 55,"4. Mature Adulthood (45-54)",TRUE,"5. Late Adulthood/Senior (55+)")</f>
        <v>2. Early Adulthood (25-34)</v>
      </c>
      <c r="D1103" t="s">
        <v>41</v>
      </c>
      <c r="E1103" t="s">
        <v>16</v>
      </c>
      <c r="F1103" s="4">
        <v>14.23</v>
      </c>
      <c r="G1103" s="5">
        <v>4</v>
      </c>
      <c r="H1103" t="s">
        <v>23</v>
      </c>
      <c r="I1103" t="s">
        <v>55</v>
      </c>
      <c r="J1103" s="6">
        <v>8.99</v>
      </c>
      <c r="K1103">
        <v>0</v>
      </c>
      <c r="L1103" t="s">
        <v>61</v>
      </c>
      <c r="M1103" s="5">
        <v>2</v>
      </c>
      <c r="N1103" s="4">
        <v>2.85</v>
      </c>
      <c r="O1103" t="s">
        <v>52</v>
      </c>
    </row>
    <row r="1104" spans="1:15" x14ac:dyDescent="0.3">
      <c r="A1104" t="s">
        <v>3392</v>
      </c>
      <c r="B1104" s="5">
        <v>24</v>
      </c>
      <c r="C1104" s="5" t="str" cm="1">
        <f t="array" ref="C1104">_xlfn.IFS(worksheet[[#This Row],[age]]&lt;25,"1. Young Adulthood (18-24)",worksheet[[#This Row],[age]]&lt; 35,"2. Early Adulthood (25-34)",worksheet[[#This Row],[age]]&lt; 45,"3. Mid Adulthood (35-44)",worksheet[[#This Row],[age]]&lt; 55,"4. Mature Adulthood (45-54)",TRUE,"5. Late Adulthood/Senior (55+)")</f>
        <v>1. Young Adulthood (18-24)</v>
      </c>
      <c r="D1104" t="s">
        <v>27</v>
      </c>
      <c r="E1104" t="s">
        <v>32</v>
      </c>
      <c r="F1104" s="4">
        <v>42.14</v>
      </c>
      <c r="G1104" s="5">
        <v>8</v>
      </c>
      <c r="H1104" t="s">
        <v>49</v>
      </c>
      <c r="I1104" t="s">
        <v>46</v>
      </c>
      <c r="J1104" s="6">
        <v>17.989999999999998</v>
      </c>
      <c r="K1104">
        <v>0</v>
      </c>
      <c r="L1104" t="s">
        <v>19</v>
      </c>
      <c r="M1104" s="5">
        <v>3</v>
      </c>
      <c r="N1104" s="4">
        <v>4.68</v>
      </c>
      <c r="O1104" t="s">
        <v>34</v>
      </c>
    </row>
    <row r="1105" spans="1:15" x14ac:dyDescent="0.3">
      <c r="A1105" t="s">
        <v>3396</v>
      </c>
      <c r="B1105" s="5">
        <v>19</v>
      </c>
      <c r="C1105" s="5" t="str" cm="1">
        <f t="array" ref="C1105">_xlfn.IFS(worksheet[[#This Row],[age]]&lt;25,"1. Young Adulthood (18-24)",worksheet[[#This Row],[age]]&lt; 35,"2. Early Adulthood (25-34)",worksheet[[#This Row],[age]]&lt; 45,"3. Mid Adulthood (35-44)",worksheet[[#This Row],[age]]&lt; 55,"4. Mature Adulthood (45-54)",TRUE,"5. Late Adulthood/Senior (55+)")</f>
        <v>1. Young Adulthood (18-24)</v>
      </c>
      <c r="D1105" t="s">
        <v>41</v>
      </c>
      <c r="E1105" t="s">
        <v>22</v>
      </c>
      <c r="F1105" s="4">
        <v>6.08</v>
      </c>
      <c r="G1105" s="5">
        <v>44</v>
      </c>
      <c r="H1105" t="s">
        <v>17</v>
      </c>
      <c r="I1105" t="s">
        <v>24</v>
      </c>
      <c r="J1105" s="6">
        <v>13.99</v>
      </c>
      <c r="K1105">
        <v>1</v>
      </c>
      <c r="L1105" t="s">
        <v>29</v>
      </c>
      <c r="M1105" s="5">
        <v>1</v>
      </c>
      <c r="N1105" s="4">
        <v>0.14000000000000001</v>
      </c>
      <c r="O1105" t="s">
        <v>30</v>
      </c>
    </row>
    <row r="1106" spans="1:15" x14ac:dyDescent="0.3">
      <c r="A1106" t="s">
        <v>3398</v>
      </c>
      <c r="B1106" s="5">
        <v>20</v>
      </c>
      <c r="C1106" s="5" t="str" cm="1">
        <f t="array" ref="C1106">_xlfn.IFS(worksheet[[#This Row],[age]]&lt;25,"1. Young Adulthood (18-24)",worksheet[[#This Row],[age]]&lt; 35,"2. Early Adulthood (25-34)",worksheet[[#This Row],[age]]&lt; 45,"3. Mid Adulthood (35-44)",worksheet[[#This Row],[age]]&lt; 55,"4. Mature Adulthood (45-54)",TRUE,"5. Late Adulthood/Senior (55+)")</f>
        <v>1. Young Adulthood (18-24)</v>
      </c>
      <c r="D1106" t="s">
        <v>41</v>
      </c>
      <c r="E1106" t="s">
        <v>22</v>
      </c>
      <c r="F1106" s="4">
        <v>5.0599999999999996</v>
      </c>
      <c r="G1106" s="5">
        <v>25</v>
      </c>
      <c r="H1106" t="s">
        <v>28</v>
      </c>
      <c r="I1106" t="s">
        <v>18</v>
      </c>
      <c r="J1106" s="6">
        <v>13.99</v>
      </c>
      <c r="K1106">
        <v>0</v>
      </c>
      <c r="L1106" t="s">
        <v>19</v>
      </c>
      <c r="M1106" s="5">
        <v>4</v>
      </c>
      <c r="N1106" s="4">
        <v>0.19</v>
      </c>
      <c r="O1106" t="s">
        <v>52</v>
      </c>
    </row>
    <row r="1107" spans="1:15" x14ac:dyDescent="0.3">
      <c r="A1107" t="s">
        <v>3399</v>
      </c>
      <c r="B1107" s="5">
        <v>26</v>
      </c>
      <c r="C1107" s="5" t="str" cm="1">
        <f t="array" ref="C1107">_xlfn.IFS(worksheet[[#This Row],[age]]&lt;25,"1. Young Adulthood (18-24)",worksheet[[#This Row],[age]]&lt; 35,"2. Early Adulthood (25-34)",worksheet[[#This Row],[age]]&lt; 45,"3. Mid Adulthood (35-44)",worksheet[[#This Row],[age]]&lt; 55,"4. Mature Adulthood (45-54)",TRUE,"5. Late Adulthood/Senior (55+)")</f>
        <v>2. Early Adulthood (25-34)</v>
      </c>
      <c r="D1107" t="s">
        <v>27</v>
      </c>
      <c r="E1107" t="s">
        <v>22</v>
      </c>
      <c r="F1107" s="4">
        <v>11.7</v>
      </c>
      <c r="G1107" s="5">
        <v>7</v>
      </c>
      <c r="H1107" t="s">
        <v>70</v>
      </c>
      <c r="I1107" t="s">
        <v>57</v>
      </c>
      <c r="J1107" s="6">
        <v>13.99</v>
      </c>
      <c r="K1107">
        <v>0</v>
      </c>
      <c r="L1107" t="s">
        <v>29</v>
      </c>
      <c r="M1107" s="5">
        <v>5</v>
      </c>
      <c r="N1107" s="4">
        <v>1.46</v>
      </c>
      <c r="O1107" t="s">
        <v>20</v>
      </c>
    </row>
    <row r="1108" spans="1:15" x14ac:dyDescent="0.3">
      <c r="A1108" t="s">
        <v>3404</v>
      </c>
      <c r="B1108" s="5">
        <v>28</v>
      </c>
      <c r="C1108" s="5" t="str" cm="1">
        <f t="array" ref="C1108">_xlfn.IFS(worksheet[[#This Row],[age]]&lt;25,"1. Young Adulthood (18-24)",worksheet[[#This Row],[age]]&lt; 35,"2. Early Adulthood (25-34)",worksheet[[#This Row],[age]]&lt; 45,"3. Mid Adulthood (35-44)",worksheet[[#This Row],[age]]&lt; 55,"4. Mature Adulthood (45-54)",TRUE,"5. Late Adulthood/Senior (55+)")</f>
        <v>2. Early Adulthood (25-34)</v>
      </c>
      <c r="D1108" t="s">
        <v>15</v>
      </c>
      <c r="E1108" t="s">
        <v>22</v>
      </c>
      <c r="F1108" s="4">
        <v>2.06</v>
      </c>
      <c r="G1108" s="5">
        <v>59</v>
      </c>
      <c r="H1108" t="s">
        <v>28</v>
      </c>
      <c r="I1108" t="s">
        <v>24</v>
      </c>
      <c r="J1108" s="6">
        <v>13.99</v>
      </c>
      <c r="K1108">
        <v>1</v>
      </c>
      <c r="L1108" t="s">
        <v>29</v>
      </c>
      <c r="M1108" s="5">
        <v>2</v>
      </c>
      <c r="N1108" s="4">
        <v>0.03</v>
      </c>
      <c r="O1108" t="s">
        <v>39</v>
      </c>
    </row>
    <row r="1109" spans="1:15" x14ac:dyDescent="0.3">
      <c r="A1109" t="s">
        <v>3405</v>
      </c>
      <c r="B1109" s="5">
        <v>26</v>
      </c>
      <c r="C1109" s="5" t="str" cm="1">
        <f t="array" ref="C1109">_xlfn.IFS(worksheet[[#This Row],[age]]&lt;25,"1. Young Adulthood (18-24)",worksheet[[#This Row],[age]]&lt; 35,"2. Early Adulthood (25-34)",worksheet[[#This Row],[age]]&lt; 45,"3. Mid Adulthood (35-44)",worksheet[[#This Row],[age]]&lt; 55,"4. Mature Adulthood (45-54)",TRUE,"5. Late Adulthood/Senior (55+)")</f>
        <v>2. Early Adulthood (25-34)</v>
      </c>
      <c r="D1109" t="s">
        <v>27</v>
      </c>
      <c r="E1109" t="s">
        <v>16</v>
      </c>
      <c r="F1109" s="4">
        <v>11.07</v>
      </c>
      <c r="G1109" s="5">
        <v>54</v>
      </c>
      <c r="H1109" t="s">
        <v>23</v>
      </c>
      <c r="I1109" t="s">
        <v>46</v>
      </c>
      <c r="J1109" s="6">
        <v>8.99</v>
      </c>
      <c r="K1109">
        <v>1</v>
      </c>
      <c r="L1109" t="s">
        <v>61</v>
      </c>
      <c r="M1109" s="5">
        <v>4</v>
      </c>
      <c r="N1109" s="4">
        <v>0.2</v>
      </c>
      <c r="O1109" t="s">
        <v>30</v>
      </c>
    </row>
    <row r="1110" spans="1:15" x14ac:dyDescent="0.3">
      <c r="A1110" t="s">
        <v>3412</v>
      </c>
      <c r="B1110" s="5">
        <v>26</v>
      </c>
      <c r="C1110" s="5" t="str" cm="1">
        <f t="array" ref="C1110">_xlfn.IFS(worksheet[[#This Row],[age]]&lt;25,"1. Young Adulthood (18-24)",worksheet[[#This Row],[age]]&lt; 35,"2. Early Adulthood (25-34)",worksheet[[#This Row],[age]]&lt; 45,"3. Mid Adulthood (35-44)",worksheet[[#This Row],[age]]&lt; 55,"4. Mature Adulthood (45-54)",TRUE,"5. Late Adulthood/Senior (55+)")</f>
        <v>2. Early Adulthood (25-34)</v>
      </c>
      <c r="D1110" t="s">
        <v>15</v>
      </c>
      <c r="E1110" t="s">
        <v>16</v>
      </c>
      <c r="F1110" s="4">
        <v>9.9700000000000006</v>
      </c>
      <c r="G1110" s="5">
        <v>37</v>
      </c>
      <c r="H1110" t="s">
        <v>70</v>
      </c>
      <c r="I1110" t="s">
        <v>18</v>
      </c>
      <c r="J1110" s="6">
        <v>8.99</v>
      </c>
      <c r="K1110">
        <v>1</v>
      </c>
      <c r="L1110" t="s">
        <v>61</v>
      </c>
      <c r="M1110" s="5">
        <v>1</v>
      </c>
      <c r="N1110" s="4">
        <v>0.26</v>
      </c>
      <c r="O1110" t="s">
        <v>30</v>
      </c>
    </row>
    <row r="1111" spans="1:15" x14ac:dyDescent="0.3">
      <c r="A1111" t="s">
        <v>3415</v>
      </c>
      <c r="B1111" s="5">
        <v>23</v>
      </c>
      <c r="C1111" s="5" t="str" cm="1">
        <f t="array" ref="C1111">_xlfn.IFS(worksheet[[#This Row],[age]]&lt;25,"1. Young Adulthood (18-24)",worksheet[[#This Row],[age]]&lt; 35,"2. Early Adulthood (25-34)",worksheet[[#This Row],[age]]&lt; 45,"3. Mid Adulthood (35-44)",worksheet[[#This Row],[age]]&lt; 55,"4. Mature Adulthood (45-54)",TRUE,"5. Late Adulthood/Senior (55+)")</f>
        <v>1. Young Adulthood (18-24)</v>
      </c>
      <c r="D1111" t="s">
        <v>27</v>
      </c>
      <c r="E1111" t="s">
        <v>22</v>
      </c>
      <c r="F1111" s="4">
        <v>0.89</v>
      </c>
      <c r="G1111" s="5">
        <v>18</v>
      </c>
      <c r="H1111" t="s">
        <v>23</v>
      </c>
      <c r="I1111" t="s">
        <v>57</v>
      </c>
      <c r="J1111" s="6">
        <v>13.99</v>
      </c>
      <c r="K1111">
        <v>1</v>
      </c>
      <c r="L1111" t="s">
        <v>43</v>
      </c>
      <c r="M1111" s="5">
        <v>1</v>
      </c>
      <c r="N1111" s="4">
        <v>0.05</v>
      </c>
      <c r="O1111" t="s">
        <v>20</v>
      </c>
    </row>
    <row r="1112" spans="1:15" x14ac:dyDescent="0.3">
      <c r="A1112" t="s">
        <v>3416</v>
      </c>
      <c r="B1112" s="5">
        <v>31</v>
      </c>
      <c r="C1112" s="5" t="str" cm="1">
        <f t="array" ref="C1112">_xlfn.IFS(worksheet[[#This Row],[age]]&lt;25,"1. Young Adulthood (18-24)",worksheet[[#This Row],[age]]&lt; 35,"2. Early Adulthood (25-34)",worksheet[[#This Row],[age]]&lt; 45,"3. Mid Adulthood (35-44)",worksheet[[#This Row],[age]]&lt; 55,"4. Mature Adulthood (45-54)",TRUE,"5. Late Adulthood/Senior (55+)")</f>
        <v>2. Early Adulthood (25-34)</v>
      </c>
      <c r="D1112" t="s">
        <v>15</v>
      </c>
      <c r="E1112" t="s">
        <v>22</v>
      </c>
      <c r="F1112" s="4">
        <v>1.17</v>
      </c>
      <c r="G1112" s="5">
        <v>36</v>
      </c>
      <c r="H1112" t="s">
        <v>23</v>
      </c>
      <c r="I1112" t="s">
        <v>46</v>
      </c>
      <c r="J1112" s="6">
        <v>13.99</v>
      </c>
      <c r="K1112">
        <v>1</v>
      </c>
      <c r="L1112" t="s">
        <v>43</v>
      </c>
      <c r="M1112" s="5">
        <v>1</v>
      </c>
      <c r="N1112" s="4">
        <v>0.03</v>
      </c>
      <c r="O1112" t="s">
        <v>47</v>
      </c>
    </row>
    <row r="1113" spans="1:15" x14ac:dyDescent="0.3">
      <c r="A1113" t="s">
        <v>3421</v>
      </c>
      <c r="B1113" s="5">
        <v>34</v>
      </c>
      <c r="C1113" s="5" t="str" cm="1">
        <f t="array" ref="C1113">_xlfn.IFS(worksheet[[#This Row],[age]]&lt;25,"1. Young Adulthood (18-24)",worksheet[[#This Row],[age]]&lt; 35,"2. Early Adulthood (25-34)",worksheet[[#This Row],[age]]&lt; 45,"3. Mid Adulthood (35-44)",worksheet[[#This Row],[age]]&lt; 55,"4. Mature Adulthood (45-54)",TRUE,"5. Late Adulthood/Senior (55+)")</f>
        <v>2. Early Adulthood (25-34)</v>
      </c>
      <c r="D1113" t="s">
        <v>41</v>
      </c>
      <c r="E1113" t="s">
        <v>22</v>
      </c>
      <c r="F1113" s="4">
        <v>7.38</v>
      </c>
      <c r="G1113" s="5">
        <v>26</v>
      </c>
      <c r="H1113" t="s">
        <v>49</v>
      </c>
      <c r="I1113" t="s">
        <v>55</v>
      </c>
      <c r="J1113" s="6">
        <v>13.99</v>
      </c>
      <c r="K1113">
        <v>0</v>
      </c>
      <c r="L1113" t="s">
        <v>37</v>
      </c>
      <c r="M1113" s="5">
        <v>1</v>
      </c>
      <c r="N1113" s="4">
        <v>0.27</v>
      </c>
      <c r="O1113" t="s">
        <v>25</v>
      </c>
    </row>
    <row r="1114" spans="1:15" x14ac:dyDescent="0.3">
      <c r="A1114" t="s">
        <v>3423</v>
      </c>
      <c r="B1114" s="5">
        <v>21</v>
      </c>
      <c r="C1114" s="5" t="str" cm="1">
        <f t="array" ref="C1114">_xlfn.IFS(worksheet[[#This Row],[age]]&lt;25,"1. Young Adulthood (18-24)",worksheet[[#This Row],[age]]&lt; 35,"2. Early Adulthood (25-34)",worksheet[[#This Row],[age]]&lt; 45,"3. Mid Adulthood (35-44)",worksheet[[#This Row],[age]]&lt; 55,"4. Mature Adulthood (45-54)",TRUE,"5. Late Adulthood/Senior (55+)")</f>
        <v>1. Young Adulthood (18-24)</v>
      </c>
      <c r="D1114" t="s">
        <v>27</v>
      </c>
      <c r="E1114" t="s">
        <v>22</v>
      </c>
      <c r="F1114" s="4">
        <v>4.17</v>
      </c>
      <c r="G1114" s="5">
        <v>38</v>
      </c>
      <c r="H1114" t="s">
        <v>49</v>
      </c>
      <c r="I1114" t="s">
        <v>24</v>
      </c>
      <c r="J1114" s="6">
        <v>13.99</v>
      </c>
      <c r="K1114">
        <v>1</v>
      </c>
      <c r="L1114" t="s">
        <v>29</v>
      </c>
      <c r="M1114" s="5">
        <v>1</v>
      </c>
      <c r="N1114" s="4">
        <v>0.11</v>
      </c>
      <c r="O1114" t="s">
        <v>34</v>
      </c>
    </row>
    <row r="1115" spans="1:15" x14ac:dyDescent="0.3">
      <c r="A1115" t="s">
        <v>3424</v>
      </c>
      <c r="B1115" s="5">
        <v>29</v>
      </c>
      <c r="C1115" s="5" t="str" cm="1">
        <f t="array" ref="C1115">_xlfn.IFS(worksheet[[#This Row],[age]]&lt;25,"1. Young Adulthood (18-24)",worksheet[[#This Row],[age]]&lt; 35,"2. Early Adulthood (25-34)",worksheet[[#This Row],[age]]&lt; 45,"3. Mid Adulthood (35-44)",worksheet[[#This Row],[age]]&lt; 55,"4. Mature Adulthood (45-54)",TRUE,"5. Late Adulthood/Senior (55+)")</f>
        <v>2. Early Adulthood (25-34)</v>
      </c>
      <c r="D1115" t="s">
        <v>27</v>
      </c>
      <c r="E1115" t="s">
        <v>32</v>
      </c>
      <c r="F1115" s="4">
        <v>15.26</v>
      </c>
      <c r="G1115" s="5">
        <v>49</v>
      </c>
      <c r="H1115" t="s">
        <v>70</v>
      </c>
      <c r="I1115" t="s">
        <v>57</v>
      </c>
      <c r="J1115" s="6">
        <v>17.989999999999998</v>
      </c>
      <c r="K1115">
        <v>1</v>
      </c>
      <c r="L1115" t="s">
        <v>61</v>
      </c>
      <c r="M1115" s="5">
        <v>1</v>
      </c>
      <c r="N1115" s="4">
        <v>0.31</v>
      </c>
      <c r="O1115" t="s">
        <v>25</v>
      </c>
    </row>
    <row r="1116" spans="1:15" x14ac:dyDescent="0.3">
      <c r="A1116" t="s">
        <v>3427</v>
      </c>
      <c r="B1116" s="5">
        <v>23</v>
      </c>
      <c r="C1116" s="5" t="str" cm="1">
        <f t="array" ref="C1116">_xlfn.IFS(worksheet[[#This Row],[age]]&lt;25,"1. Young Adulthood (18-24)",worksheet[[#This Row],[age]]&lt; 35,"2. Early Adulthood (25-34)",worksheet[[#This Row],[age]]&lt; 45,"3. Mid Adulthood (35-44)",worksheet[[#This Row],[age]]&lt; 55,"4. Mature Adulthood (45-54)",TRUE,"5. Late Adulthood/Senior (55+)")</f>
        <v>1. Young Adulthood (18-24)</v>
      </c>
      <c r="D1116" t="s">
        <v>41</v>
      </c>
      <c r="E1116" t="s">
        <v>16</v>
      </c>
      <c r="F1116" s="4">
        <v>6.7</v>
      </c>
      <c r="G1116" s="5">
        <v>48</v>
      </c>
      <c r="H1116" t="s">
        <v>70</v>
      </c>
      <c r="I1116" t="s">
        <v>24</v>
      </c>
      <c r="J1116" s="6">
        <v>8.99</v>
      </c>
      <c r="K1116">
        <v>1</v>
      </c>
      <c r="L1116" t="s">
        <v>61</v>
      </c>
      <c r="M1116" s="5">
        <v>4</v>
      </c>
      <c r="N1116" s="4">
        <v>0.14000000000000001</v>
      </c>
      <c r="O1116" t="s">
        <v>25</v>
      </c>
    </row>
    <row r="1117" spans="1:15" x14ac:dyDescent="0.3">
      <c r="A1117" t="s">
        <v>3431</v>
      </c>
      <c r="B1117" s="5">
        <v>20</v>
      </c>
      <c r="C1117" s="5" t="str" cm="1">
        <f t="array" ref="C1117">_xlfn.IFS(worksheet[[#This Row],[age]]&lt;25,"1. Young Adulthood (18-24)",worksheet[[#This Row],[age]]&lt; 35,"2. Early Adulthood (25-34)",worksheet[[#This Row],[age]]&lt; 45,"3. Mid Adulthood (35-44)",worksheet[[#This Row],[age]]&lt; 55,"4. Mature Adulthood (45-54)",TRUE,"5. Late Adulthood/Senior (55+)")</f>
        <v>1. Young Adulthood (18-24)</v>
      </c>
      <c r="D1117" t="s">
        <v>41</v>
      </c>
      <c r="E1117" t="s">
        <v>16</v>
      </c>
      <c r="F1117" s="4">
        <v>0.76</v>
      </c>
      <c r="G1117" s="5">
        <v>28</v>
      </c>
      <c r="H1117" t="s">
        <v>28</v>
      </c>
      <c r="I1117" t="s">
        <v>46</v>
      </c>
      <c r="J1117" s="6">
        <v>8.99</v>
      </c>
      <c r="K1117">
        <v>1</v>
      </c>
      <c r="L1117" t="s">
        <v>43</v>
      </c>
      <c r="M1117" s="5">
        <v>3</v>
      </c>
      <c r="N1117" s="4">
        <v>0.03</v>
      </c>
      <c r="O1117" t="s">
        <v>30</v>
      </c>
    </row>
    <row r="1118" spans="1:15" x14ac:dyDescent="0.3">
      <c r="A1118" t="s">
        <v>3432</v>
      </c>
      <c r="B1118" s="5">
        <v>26</v>
      </c>
      <c r="C1118" s="5" t="str" cm="1">
        <f t="array" ref="C1118">_xlfn.IFS(worksheet[[#This Row],[age]]&lt;25,"1. Young Adulthood (18-24)",worksheet[[#This Row],[age]]&lt; 35,"2. Early Adulthood (25-34)",worksheet[[#This Row],[age]]&lt; 45,"3. Mid Adulthood (35-44)",worksheet[[#This Row],[age]]&lt; 55,"4. Mature Adulthood (45-54)",TRUE,"5. Late Adulthood/Senior (55+)")</f>
        <v>2. Early Adulthood (25-34)</v>
      </c>
      <c r="D1118" t="s">
        <v>41</v>
      </c>
      <c r="E1118" t="s">
        <v>32</v>
      </c>
      <c r="F1118" s="4">
        <v>6.15</v>
      </c>
      <c r="G1118" s="5">
        <v>42</v>
      </c>
      <c r="H1118" t="s">
        <v>49</v>
      </c>
      <c r="I1118" t="s">
        <v>24</v>
      </c>
      <c r="J1118" s="6">
        <v>17.989999999999998</v>
      </c>
      <c r="K1118">
        <v>1</v>
      </c>
      <c r="L1118" t="s">
        <v>19</v>
      </c>
      <c r="M1118" s="5">
        <v>2</v>
      </c>
      <c r="N1118" s="4">
        <v>0.14000000000000001</v>
      </c>
      <c r="O1118" t="s">
        <v>30</v>
      </c>
    </row>
    <row r="1119" spans="1:15" x14ac:dyDescent="0.3">
      <c r="A1119" t="s">
        <v>3438</v>
      </c>
      <c r="B1119" s="5">
        <v>34</v>
      </c>
      <c r="C1119" s="5" t="str" cm="1">
        <f t="array" ref="C1119">_xlfn.IFS(worksheet[[#This Row],[age]]&lt;25,"1. Young Adulthood (18-24)",worksheet[[#This Row],[age]]&lt; 35,"2. Early Adulthood (25-34)",worksheet[[#This Row],[age]]&lt; 45,"3. Mid Adulthood (35-44)",worksheet[[#This Row],[age]]&lt; 55,"4. Mature Adulthood (45-54)",TRUE,"5. Late Adulthood/Senior (55+)")</f>
        <v>2. Early Adulthood (25-34)</v>
      </c>
      <c r="D1119" t="s">
        <v>41</v>
      </c>
      <c r="E1119" t="s">
        <v>22</v>
      </c>
      <c r="F1119" s="4">
        <v>1.22</v>
      </c>
      <c r="G1119" s="5">
        <v>9</v>
      </c>
      <c r="H1119" t="s">
        <v>70</v>
      </c>
      <c r="I1119" t="s">
        <v>55</v>
      </c>
      <c r="J1119" s="6">
        <v>13.99</v>
      </c>
      <c r="K1119">
        <v>0</v>
      </c>
      <c r="L1119" t="s">
        <v>37</v>
      </c>
      <c r="M1119" s="5">
        <v>5</v>
      </c>
      <c r="N1119" s="4">
        <v>0.12</v>
      </c>
      <c r="O1119" t="s">
        <v>20</v>
      </c>
    </row>
    <row r="1120" spans="1:15" x14ac:dyDescent="0.3">
      <c r="A1120" t="s">
        <v>3442</v>
      </c>
      <c r="B1120" s="5">
        <v>33</v>
      </c>
      <c r="C1120" s="5" t="str" cm="1">
        <f t="array" ref="C1120">_xlfn.IFS(worksheet[[#This Row],[age]]&lt;25,"1. Young Adulthood (18-24)",worksheet[[#This Row],[age]]&lt; 35,"2. Early Adulthood (25-34)",worksheet[[#This Row],[age]]&lt; 45,"3. Mid Adulthood (35-44)",worksheet[[#This Row],[age]]&lt; 55,"4. Mature Adulthood (45-54)",TRUE,"5. Late Adulthood/Senior (55+)")</f>
        <v>2. Early Adulthood (25-34)</v>
      </c>
      <c r="D1120" t="s">
        <v>27</v>
      </c>
      <c r="E1120" t="s">
        <v>22</v>
      </c>
      <c r="F1120" s="4">
        <v>32.18</v>
      </c>
      <c r="G1120" s="5">
        <v>29</v>
      </c>
      <c r="H1120" t="s">
        <v>49</v>
      </c>
      <c r="I1120" t="s">
        <v>55</v>
      </c>
      <c r="J1120" s="6">
        <v>13.99</v>
      </c>
      <c r="K1120">
        <v>0</v>
      </c>
      <c r="L1120" t="s">
        <v>43</v>
      </c>
      <c r="M1120" s="5">
        <v>1</v>
      </c>
      <c r="N1120" s="4">
        <v>1.07</v>
      </c>
      <c r="O1120" t="s">
        <v>20</v>
      </c>
    </row>
    <row r="1121" spans="1:15" x14ac:dyDescent="0.3">
      <c r="A1121" t="s">
        <v>3443</v>
      </c>
      <c r="B1121" s="5">
        <v>34</v>
      </c>
      <c r="C1121" s="5" t="str" cm="1">
        <f t="array" ref="C1121">_xlfn.IFS(worksheet[[#This Row],[age]]&lt;25,"1. Young Adulthood (18-24)",worksheet[[#This Row],[age]]&lt; 35,"2. Early Adulthood (25-34)",worksheet[[#This Row],[age]]&lt; 45,"3. Mid Adulthood (35-44)",worksheet[[#This Row],[age]]&lt; 55,"4. Mature Adulthood (45-54)",TRUE,"5. Late Adulthood/Senior (55+)")</f>
        <v>2. Early Adulthood (25-34)</v>
      </c>
      <c r="D1121" t="s">
        <v>41</v>
      </c>
      <c r="E1121" t="s">
        <v>32</v>
      </c>
      <c r="F1121" s="4">
        <v>3.58</v>
      </c>
      <c r="G1121" s="5">
        <v>4</v>
      </c>
      <c r="H1121" t="s">
        <v>23</v>
      </c>
      <c r="I1121" t="s">
        <v>55</v>
      </c>
      <c r="J1121" s="6">
        <v>17.989999999999998</v>
      </c>
      <c r="K1121">
        <v>0</v>
      </c>
      <c r="L1121" t="s">
        <v>19</v>
      </c>
      <c r="M1121" s="5">
        <v>1</v>
      </c>
      <c r="N1121" s="4">
        <v>0.72</v>
      </c>
      <c r="O1121" t="s">
        <v>25</v>
      </c>
    </row>
    <row r="1122" spans="1:15" x14ac:dyDescent="0.3">
      <c r="A1122" t="s">
        <v>3447</v>
      </c>
      <c r="B1122" s="5">
        <v>21</v>
      </c>
      <c r="C1122" s="5" t="str" cm="1">
        <f t="array" ref="C1122">_xlfn.IFS(worksheet[[#This Row],[age]]&lt;25,"1. Young Adulthood (18-24)",worksheet[[#This Row],[age]]&lt; 35,"2. Early Adulthood (25-34)",worksheet[[#This Row],[age]]&lt; 45,"3. Mid Adulthood (35-44)",worksheet[[#This Row],[age]]&lt; 55,"4. Mature Adulthood (45-54)",TRUE,"5. Late Adulthood/Senior (55+)")</f>
        <v>1. Young Adulthood (18-24)</v>
      </c>
      <c r="D1122" t="s">
        <v>15</v>
      </c>
      <c r="E1122" t="s">
        <v>32</v>
      </c>
      <c r="F1122" s="4">
        <v>6.14</v>
      </c>
      <c r="G1122" s="5">
        <v>7</v>
      </c>
      <c r="H1122" t="s">
        <v>23</v>
      </c>
      <c r="I1122" t="s">
        <v>55</v>
      </c>
      <c r="J1122" s="6">
        <v>17.989999999999998</v>
      </c>
      <c r="K1122">
        <v>0</v>
      </c>
      <c r="L1122" t="s">
        <v>29</v>
      </c>
      <c r="M1122" s="5">
        <v>4</v>
      </c>
      <c r="N1122" s="4">
        <v>0.77</v>
      </c>
      <c r="O1122" t="s">
        <v>52</v>
      </c>
    </row>
    <row r="1123" spans="1:15" x14ac:dyDescent="0.3">
      <c r="A1123" t="s">
        <v>3449</v>
      </c>
      <c r="B1123" s="5">
        <v>20</v>
      </c>
      <c r="C1123" s="5" t="str" cm="1">
        <f t="array" ref="C1123">_xlfn.IFS(worksheet[[#This Row],[age]]&lt;25,"1. Young Adulthood (18-24)",worksheet[[#This Row],[age]]&lt; 35,"2. Early Adulthood (25-34)",worksheet[[#This Row],[age]]&lt; 45,"3. Mid Adulthood (35-44)",worksheet[[#This Row],[age]]&lt; 55,"4. Mature Adulthood (45-54)",TRUE,"5. Late Adulthood/Senior (55+)")</f>
        <v>1. Young Adulthood (18-24)</v>
      </c>
      <c r="D1123" t="s">
        <v>15</v>
      </c>
      <c r="E1123" t="s">
        <v>22</v>
      </c>
      <c r="F1123" s="4">
        <v>5.31</v>
      </c>
      <c r="G1123" s="5">
        <v>25</v>
      </c>
      <c r="H1123" t="s">
        <v>28</v>
      </c>
      <c r="I1123" t="s">
        <v>18</v>
      </c>
      <c r="J1123" s="6">
        <v>13.99</v>
      </c>
      <c r="K1123">
        <v>0</v>
      </c>
      <c r="L1123" t="s">
        <v>61</v>
      </c>
      <c r="M1123" s="5">
        <v>3</v>
      </c>
      <c r="N1123" s="4">
        <v>0.2</v>
      </c>
      <c r="O1123" t="s">
        <v>47</v>
      </c>
    </row>
    <row r="1124" spans="1:15" x14ac:dyDescent="0.3">
      <c r="A1124" t="s">
        <v>3450</v>
      </c>
      <c r="B1124" s="5">
        <v>31</v>
      </c>
      <c r="C1124" s="5" t="str" cm="1">
        <f t="array" ref="C1124">_xlfn.IFS(worksheet[[#This Row],[age]]&lt;25,"1. Young Adulthood (18-24)",worksheet[[#This Row],[age]]&lt; 35,"2. Early Adulthood (25-34)",worksheet[[#This Row],[age]]&lt; 45,"3. Mid Adulthood (35-44)",worksheet[[#This Row],[age]]&lt; 55,"4. Mature Adulthood (45-54)",TRUE,"5. Late Adulthood/Senior (55+)")</f>
        <v>2. Early Adulthood (25-34)</v>
      </c>
      <c r="D1124" t="s">
        <v>15</v>
      </c>
      <c r="E1124" t="s">
        <v>16</v>
      </c>
      <c r="F1124" s="4">
        <v>2.36</v>
      </c>
      <c r="G1124" s="5">
        <v>46</v>
      </c>
      <c r="H1124" t="s">
        <v>70</v>
      </c>
      <c r="I1124" t="s">
        <v>18</v>
      </c>
      <c r="J1124" s="6">
        <v>8.99</v>
      </c>
      <c r="K1124">
        <v>1</v>
      </c>
      <c r="L1124" t="s">
        <v>61</v>
      </c>
      <c r="M1124" s="5">
        <v>2</v>
      </c>
      <c r="N1124" s="4">
        <v>0.05</v>
      </c>
      <c r="O1124" t="s">
        <v>39</v>
      </c>
    </row>
    <row r="1125" spans="1:15" x14ac:dyDescent="0.3">
      <c r="A1125" t="s">
        <v>3453</v>
      </c>
      <c r="B1125" s="5">
        <v>32</v>
      </c>
      <c r="C1125" s="5" t="str" cm="1">
        <f t="array" ref="C1125">_xlfn.IFS(worksheet[[#This Row],[age]]&lt;25,"1. Young Adulthood (18-24)",worksheet[[#This Row],[age]]&lt; 35,"2. Early Adulthood (25-34)",worksheet[[#This Row],[age]]&lt; 45,"3. Mid Adulthood (35-44)",worksheet[[#This Row],[age]]&lt; 55,"4. Mature Adulthood (45-54)",TRUE,"5. Late Adulthood/Senior (55+)")</f>
        <v>2. Early Adulthood (25-34)</v>
      </c>
      <c r="D1125" t="s">
        <v>27</v>
      </c>
      <c r="E1125" t="s">
        <v>22</v>
      </c>
      <c r="F1125" s="4">
        <v>11.47</v>
      </c>
      <c r="G1125" s="5">
        <v>4</v>
      </c>
      <c r="H1125" t="s">
        <v>28</v>
      </c>
      <c r="I1125" t="s">
        <v>46</v>
      </c>
      <c r="J1125" s="6">
        <v>13.99</v>
      </c>
      <c r="K1125">
        <v>0</v>
      </c>
      <c r="L1125" t="s">
        <v>43</v>
      </c>
      <c r="M1125" s="5">
        <v>1</v>
      </c>
      <c r="N1125" s="4">
        <v>2.29</v>
      </c>
      <c r="O1125" t="s">
        <v>30</v>
      </c>
    </row>
    <row r="1126" spans="1:15" x14ac:dyDescent="0.3">
      <c r="A1126" t="s">
        <v>3455</v>
      </c>
      <c r="B1126" s="5">
        <v>19</v>
      </c>
      <c r="C1126" s="5" t="str" cm="1">
        <f t="array" ref="C1126">_xlfn.IFS(worksheet[[#This Row],[age]]&lt;25,"1. Young Adulthood (18-24)",worksheet[[#This Row],[age]]&lt; 35,"2. Early Adulthood (25-34)",worksheet[[#This Row],[age]]&lt; 45,"3. Mid Adulthood (35-44)",worksheet[[#This Row],[age]]&lt; 55,"4. Mature Adulthood (45-54)",TRUE,"5. Late Adulthood/Senior (55+)")</f>
        <v>1. Young Adulthood (18-24)</v>
      </c>
      <c r="D1126" t="s">
        <v>41</v>
      </c>
      <c r="E1126" t="s">
        <v>32</v>
      </c>
      <c r="F1126" s="4">
        <v>29.48</v>
      </c>
      <c r="G1126" s="5">
        <v>60</v>
      </c>
      <c r="H1126" t="s">
        <v>17</v>
      </c>
      <c r="I1126" t="s">
        <v>46</v>
      </c>
      <c r="J1126" s="6">
        <v>17.989999999999998</v>
      </c>
      <c r="K1126">
        <v>0</v>
      </c>
      <c r="L1126" t="s">
        <v>19</v>
      </c>
      <c r="M1126" s="5">
        <v>3</v>
      </c>
      <c r="N1126" s="4">
        <v>0.48</v>
      </c>
      <c r="O1126" t="s">
        <v>30</v>
      </c>
    </row>
    <row r="1127" spans="1:15" x14ac:dyDescent="0.3">
      <c r="A1127" t="s">
        <v>3463</v>
      </c>
      <c r="B1127" s="5">
        <v>26</v>
      </c>
      <c r="C1127" s="5" t="str" cm="1">
        <f t="array" ref="C1127">_xlfn.IFS(worksheet[[#This Row],[age]]&lt;25,"1. Young Adulthood (18-24)",worksheet[[#This Row],[age]]&lt; 35,"2. Early Adulthood (25-34)",worksheet[[#This Row],[age]]&lt; 45,"3. Mid Adulthood (35-44)",worksheet[[#This Row],[age]]&lt; 55,"4. Mature Adulthood (45-54)",TRUE,"5. Late Adulthood/Senior (55+)")</f>
        <v>2. Early Adulthood (25-34)</v>
      </c>
      <c r="D1127" t="s">
        <v>27</v>
      </c>
      <c r="E1127" t="s">
        <v>32</v>
      </c>
      <c r="F1127" s="4">
        <v>4.78</v>
      </c>
      <c r="G1127" s="5">
        <v>18</v>
      </c>
      <c r="H1127" t="s">
        <v>33</v>
      </c>
      <c r="I1127" t="s">
        <v>24</v>
      </c>
      <c r="J1127" s="6">
        <v>17.989999999999998</v>
      </c>
      <c r="K1127">
        <v>1</v>
      </c>
      <c r="L1127" t="s">
        <v>19</v>
      </c>
      <c r="M1127" s="5">
        <v>4</v>
      </c>
      <c r="N1127" s="4">
        <v>0.25</v>
      </c>
      <c r="O1127" t="s">
        <v>25</v>
      </c>
    </row>
    <row r="1128" spans="1:15" x14ac:dyDescent="0.3">
      <c r="A1128" t="s">
        <v>3465</v>
      </c>
      <c r="B1128" s="5">
        <v>18</v>
      </c>
      <c r="C1128" s="5" t="str" cm="1">
        <f t="array" ref="C1128">_xlfn.IFS(worksheet[[#This Row],[age]]&lt;25,"1. Young Adulthood (18-24)",worksheet[[#This Row],[age]]&lt; 35,"2. Early Adulthood (25-34)",worksheet[[#This Row],[age]]&lt; 45,"3. Mid Adulthood (35-44)",worksheet[[#This Row],[age]]&lt; 55,"4. Mature Adulthood (45-54)",TRUE,"5. Late Adulthood/Senior (55+)")</f>
        <v>1. Young Adulthood (18-24)</v>
      </c>
      <c r="D1128" t="s">
        <v>15</v>
      </c>
      <c r="E1128" t="s">
        <v>22</v>
      </c>
      <c r="F1128" s="4">
        <v>4.6399999999999997</v>
      </c>
      <c r="G1128" s="5">
        <v>21</v>
      </c>
      <c r="H1128" t="s">
        <v>70</v>
      </c>
      <c r="I1128" t="s">
        <v>46</v>
      </c>
      <c r="J1128" s="6">
        <v>13.99</v>
      </c>
      <c r="K1128">
        <v>1</v>
      </c>
      <c r="L1128" t="s">
        <v>37</v>
      </c>
      <c r="M1128" s="5">
        <v>3</v>
      </c>
      <c r="N1128" s="4">
        <v>0.21</v>
      </c>
      <c r="O1128" t="s">
        <v>52</v>
      </c>
    </row>
    <row r="1129" spans="1:15" x14ac:dyDescent="0.3">
      <c r="A1129" t="s">
        <v>3466</v>
      </c>
      <c r="B1129" s="5">
        <v>33</v>
      </c>
      <c r="C1129" s="5" t="str" cm="1">
        <f t="array" ref="C1129">_xlfn.IFS(worksheet[[#This Row],[age]]&lt;25,"1. Young Adulthood (18-24)",worksheet[[#This Row],[age]]&lt; 35,"2. Early Adulthood (25-34)",worksheet[[#This Row],[age]]&lt; 45,"3. Mid Adulthood (35-44)",worksheet[[#This Row],[age]]&lt; 55,"4. Mature Adulthood (45-54)",TRUE,"5. Late Adulthood/Senior (55+)")</f>
        <v>2. Early Adulthood (25-34)</v>
      </c>
      <c r="D1129" t="s">
        <v>41</v>
      </c>
      <c r="E1129" t="s">
        <v>22</v>
      </c>
      <c r="F1129" s="4">
        <v>2.71</v>
      </c>
      <c r="G1129" s="5">
        <v>22</v>
      </c>
      <c r="H1129" t="s">
        <v>23</v>
      </c>
      <c r="I1129" t="s">
        <v>24</v>
      </c>
      <c r="J1129" s="6">
        <v>13.99</v>
      </c>
      <c r="K1129">
        <v>1</v>
      </c>
      <c r="L1129" t="s">
        <v>29</v>
      </c>
      <c r="M1129" s="5">
        <v>3</v>
      </c>
      <c r="N1129" s="4">
        <v>0.12</v>
      </c>
      <c r="O1129" t="s">
        <v>30</v>
      </c>
    </row>
    <row r="1130" spans="1:15" x14ac:dyDescent="0.3">
      <c r="A1130" t="s">
        <v>3468</v>
      </c>
      <c r="B1130" s="5">
        <v>22</v>
      </c>
      <c r="C1130" s="5" t="str" cm="1">
        <f t="array" ref="C1130">_xlfn.IFS(worksheet[[#This Row],[age]]&lt;25,"1. Young Adulthood (18-24)",worksheet[[#This Row],[age]]&lt; 35,"2. Early Adulthood (25-34)",worksheet[[#This Row],[age]]&lt; 45,"3. Mid Adulthood (35-44)",worksheet[[#This Row],[age]]&lt; 55,"4. Mature Adulthood (45-54)",TRUE,"5. Late Adulthood/Senior (55+)")</f>
        <v>1. Young Adulthood (18-24)</v>
      </c>
      <c r="D1130" t="s">
        <v>41</v>
      </c>
      <c r="E1130" t="s">
        <v>22</v>
      </c>
      <c r="F1130" s="4">
        <v>13.78</v>
      </c>
      <c r="G1130" s="5">
        <v>0</v>
      </c>
      <c r="H1130" t="s">
        <v>33</v>
      </c>
      <c r="I1130" t="s">
        <v>18</v>
      </c>
      <c r="J1130" s="6">
        <v>13.99</v>
      </c>
      <c r="K1130">
        <v>0</v>
      </c>
      <c r="L1130" t="s">
        <v>43</v>
      </c>
      <c r="M1130" s="5">
        <v>2</v>
      </c>
      <c r="N1130" s="4">
        <v>13.78</v>
      </c>
      <c r="O1130" t="s">
        <v>25</v>
      </c>
    </row>
    <row r="1131" spans="1:15" x14ac:dyDescent="0.3">
      <c r="A1131" t="s">
        <v>3470</v>
      </c>
      <c r="B1131" s="5">
        <v>32</v>
      </c>
      <c r="C1131" s="5" t="str" cm="1">
        <f t="array" ref="C1131">_xlfn.IFS(worksheet[[#This Row],[age]]&lt;25,"1. Young Adulthood (18-24)",worksheet[[#This Row],[age]]&lt; 35,"2. Early Adulthood (25-34)",worksheet[[#This Row],[age]]&lt; 45,"3. Mid Adulthood (35-44)",worksheet[[#This Row],[age]]&lt; 55,"4. Mature Adulthood (45-54)",TRUE,"5. Late Adulthood/Senior (55+)")</f>
        <v>2. Early Adulthood (25-34)</v>
      </c>
      <c r="D1131" t="s">
        <v>15</v>
      </c>
      <c r="E1131" t="s">
        <v>16</v>
      </c>
      <c r="F1131" s="4">
        <v>41.97</v>
      </c>
      <c r="G1131" s="5">
        <v>34</v>
      </c>
      <c r="H1131" t="s">
        <v>23</v>
      </c>
      <c r="I1131" t="s">
        <v>55</v>
      </c>
      <c r="J1131" s="6">
        <v>8.99</v>
      </c>
      <c r="K1131">
        <v>0</v>
      </c>
      <c r="L1131" t="s">
        <v>61</v>
      </c>
      <c r="M1131" s="5">
        <v>1</v>
      </c>
      <c r="N1131" s="4">
        <v>1.2</v>
      </c>
      <c r="O1131" t="s">
        <v>34</v>
      </c>
    </row>
    <row r="1132" spans="1:15" x14ac:dyDescent="0.3">
      <c r="A1132" t="s">
        <v>3475</v>
      </c>
      <c r="B1132" s="5">
        <v>33</v>
      </c>
      <c r="C1132" s="5" t="str" cm="1">
        <f t="array" ref="C1132">_xlfn.IFS(worksheet[[#This Row],[age]]&lt;25,"1. Young Adulthood (18-24)",worksheet[[#This Row],[age]]&lt; 35,"2. Early Adulthood (25-34)",worksheet[[#This Row],[age]]&lt; 45,"3. Mid Adulthood (35-44)",worksheet[[#This Row],[age]]&lt; 55,"4. Mature Adulthood (45-54)",TRUE,"5. Late Adulthood/Senior (55+)")</f>
        <v>2. Early Adulthood (25-34)</v>
      </c>
      <c r="D1132" t="s">
        <v>41</v>
      </c>
      <c r="E1132" t="s">
        <v>32</v>
      </c>
      <c r="F1132" s="4">
        <v>12.28</v>
      </c>
      <c r="G1132" s="5">
        <v>43</v>
      </c>
      <c r="H1132" t="s">
        <v>17</v>
      </c>
      <c r="I1132" t="s">
        <v>18</v>
      </c>
      <c r="J1132" s="6">
        <v>17.989999999999998</v>
      </c>
      <c r="K1132">
        <v>0</v>
      </c>
      <c r="L1132" t="s">
        <v>43</v>
      </c>
      <c r="M1132" s="5">
        <v>4</v>
      </c>
      <c r="N1132" s="4">
        <v>0.28000000000000003</v>
      </c>
      <c r="O1132" t="s">
        <v>47</v>
      </c>
    </row>
    <row r="1133" spans="1:15" x14ac:dyDescent="0.3">
      <c r="A1133" t="s">
        <v>3479</v>
      </c>
      <c r="B1133" s="5">
        <v>25</v>
      </c>
      <c r="C1133" s="5" t="str" cm="1">
        <f t="array" ref="C1133">_xlfn.IFS(worksheet[[#This Row],[age]]&lt;25,"1. Young Adulthood (18-24)",worksheet[[#This Row],[age]]&lt; 35,"2. Early Adulthood (25-34)",worksheet[[#This Row],[age]]&lt; 45,"3. Mid Adulthood (35-44)",worksheet[[#This Row],[age]]&lt; 55,"4. Mature Adulthood (45-54)",TRUE,"5. Late Adulthood/Senior (55+)")</f>
        <v>2. Early Adulthood (25-34)</v>
      </c>
      <c r="D1133" t="s">
        <v>41</v>
      </c>
      <c r="E1133" t="s">
        <v>32</v>
      </c>
      <c r="F1133" s="4">
        <v>12.73</v>
      </c>
      <c r="G1133" s="5">
        <v>59</v>
      </c>
      <c r="H1133" t="s">
        <v>17</v>
      </c>
      <c r="I1133" t="s">
        <v>18</v>
      </c>
      <c r="J1133" s="6">
        <v>17.989999999999998</v>
      </c>
      <c r="K1133">
        <v>0</v>
      </c>
      <c r="L1133" t="s">
        <v>43</v>
      </c>
      <c r="M1133" s="5">
        <v>5</v>
      </c>
      <c r="N1133" s="4">
        <v>0.21</v>
      </c>
      <c r="O1133" t="s">
        <v>52</v>
      </c>
    </row>
    <row r="1134" spans="1:15" x14ac:dyDescent="0.3">
      <c r="A1134" t="s">
        <v>3481</v>
      </c>
      <c r="B1134" s="5">
        <v>19</v>
      </c>
      <c r="C1134" s="5" t="str" cm="1">
        <f t="array" ref="C1134">_xlfn.IFS(worksheet[[#This Row],[age]]&lt;25,"1. Young Adulthood (18-24)",worksheet[[#This Row],[age]]&lt; 35,"2. Early Adulthood (25-34)",worksheet[[#This Row],[age]]&lt; 45,"3. Mid Adulthood (35-44)",worksheet[[#This Row],[age]]&lt; 55,"4. Mature Adulthood (45-54)",TRUE,"5. Late Adulthood/Senior (55+)")</f>
        <v>1. Young Adulthood (18-24)</v>
      </c>
      <c r="D1134" t="s">
        <v>41</v>
      </c>
      <c r="E1134" t="s">
        <v>32</v>
      </c>
      <c r="F1134" s="4">
        <v>17.420000000000002</v>
      </c>
      <c r="G1134" s="5">
        <v>40</v>
      </c>
      <c r="H1134" t="s">
        <v>49</v>
      </c>
      <c r="I1134" t="s">
        <v>55</v>
      </c>
      <c r="J1134" s="6">
        <v>17.989999999999998</v>
      </c>
      <c r="K1134">
        <v>1</v>
      </c>
      <c r="L1134" t="s">
        <v>43</v>
      </c>
      <c r="M1134" s="5">
        <v>3</v>
      </c>
      <c r="N1134" s="4">
        <v>0.42</v>
      </c>
      <c r="O1134" t="s">
        <v>30</v>
      </c>
    </row>
    <row r="1135" spans="1:15" x14ac:dyDescent="0.3">
      <c r="A1135" t="s">
        <v>3484</v>
      </c>
      <c r="B1135" s="5">
        <v>32</v>
      </c>
      <c r="C1135" s="5" t="str" cm="1">
        <f t="array" ref="C1135">_xlfn.IFS(worksheet[[#This Row],[age]]&lt;25,"1. Young Adulthood (18-24)",worksheet[[#This Row],[age]]&lt; 35,"2. Early Adulthood (25-34)",worksheet[[#This Row],[age]]&lt; 45,"3. Mid Adulthood (35-44)",worksheet[[#This Row],[age]]&lt; 55,"4. Mature Adulthood (45-54)",TRUE,"5. Late Adulthood/Senior (55+)")</f>
        <v>2. Early Adulthood (25-34)</v>
      </c>
      <c r="D1135" t="s">
        <v>27</v>
      </c>
      <c r="E1135" t="s">
        <v>22</v>
      </c>
      <c r="F1135" s="4">
        <v>5.93</v>
      </c>
      <c r="G1135" s="5">
        <v>41</v>
      </c>
      <c r="H1135" t="s">
        <v>23</v>
      </c>
      <c r="I1135" t="s">
        <v>24</v>
      </c>
      <c r="J1135" s="6">
        <v>13.99</v>
      </c>
      <c r="K1135">
        <v>0</v>
      </c>
      <c r="L1135" t="s">
        <v>43</v>
      </c>
      <c r="M1135" s="5">
        <v>4</v>
      </c>
      <c r="N1135" s="4">
        <v>0.14000000000000001</v>
      </c>
      <c r="O1135" t="s">
        <v>20</v>
      </c>
    </row>
    <row r="1136" spans="1:15" x14ac:dyDescent="0.3">
      <c r="A1136" t="s">
        <v>3487</v>
      </c>
      <c r="B1136" s="5">
        <v>29</v>
      </c>
      <c r="C1136" s="5" t="str" cm="1">
        <f t="array" ref="C1136">_xlfn.IFS(worksheet[[#This Row],[age]]&lt;25,"1. Young Adulthood (18-24)",worksheet[[#This Row],[age]]&lt; 35,"2. Early Adulthood (25-34)",worksheet[[#This Row],[age]]&lt; 45,"3. Mid Adulthood (35-44)",worksheet[[#This Row],[age]]&lt; 55,"4. Mature Adulthood (45-54)",TRUE,"5. Late Adulthood/Senior (55+)")</f>
        <v>2. Early Adulthood (25-34)</v>
      </c>
      <c r="D1136" t="s">
        <v>27</v>
      </c>
      <c r="E1136" t="s">
        <v>22</v>
      </c>
      <c r="F1136" s="4">
        <v>6.13</v>
      </c>
      <c r="G1136" s="5">
        <v>9</v>
      </c>
      <c r="H1136" t="s">
        <v>70</v>
      </c>
      <c r="I1136" t="s">
        <v>24</v>
      </c>
      <c r="J1136" s="6">
        <v>13.99</v>
      </c>
      <c r="K1136">
        <v>0</v>
      </c>
      <c r="L1136" t="s">
        <v>19</v>
      </c>
      <c r="M1136" s="5">
        <v>3</v>
      </c>
      <c r="N1136" s="4">
        <v>0.61</v>
      </c>
      <c r="O1136" t="s">
        <v>25</v>
      </c>
    </row>
    <row r="1137" spans="1:15" x14ac:dyDescent="0.3">
      <c r="A1137" t="s">
        <v>3491</v>
      </c>
      <c r="B1137" s="5">
        <v>21</v>
      </c>
      <c r="C1137" s="5" t="str" cm="1">
        <f t="array" ref="C1137">_xlfn.IFS(worksheet[[#This Row],[age]]&lt;25,"1. Young Adulthood (18-24)",worksheet[[#This Row],[age]]&lt; 35,"2. Early Adulthood (25-34)",worksheet[[#This Row],[age]]&lt; 45,"3. Mid Adulthood (35-44)",worksheet[[#This Row],[age]]&lt; 55,"4. Mature Adulthood (45-54)",TRUE,"5. Late Adulthood/Senior (55+)")</f>
        <v>1. Young Adulthood (18-24)</v>
      </c>
      <c r="D1137" t="s">
        <v>27</v>
      </c>
      <c r="E1137" t="s">
        <v>32</v>
      </c>
      <c r="F1137" s="4">
        <v>5.25</v>
      </c>
      <c r="G1137" s="5">
        <v>53</v>
      </c>
      <c r="H1137" t="s">
        <v>33</v>
      </c>
      <c r="I1137" t="s">
        <v>57</v>
      </c>
      <c r="J1137" s="6">
        <v>17.989999999999998</v>
      </c>
      <c r="K1137">
        <v>1</v>
      </c>
      <c r="L1137" t="s">
        <v>37</v>
      </c>
      <c r="M1137" s="5">
        <v>2</v>
      </c>
      <c r="N1137" s="4">
        <v>0.1</v>
      </c>
      <c r="O1137" t="s">
        <v>47</v>
      </c>
    </row>
    <row r="1138" spans="1:15" x14ac:dyDescent="0.3">
      <c r="A1138" t="s">
        <v>3496</v>
      </c>
      <c r="B1138" s="5">
        <v>31</v>
      </c>
      <c r="C1138" s="5" t="str" cm="1">
        <f t="array" ref="C1138">_xlfn.IFS(worksheet[[#This Row],[age]]&lt;25,"1. Young Adulthood (18-24)",worksheet[[#This Row],[age]]&lt; 35,"2. Early Adulthood (25-34)",worksheet[[#This Row],[age]]&lt; 45,"3. Mid Adulthood (35-44)",worksheet[[#This Row],[age]]&lt; 55,"4. Mature Adulthood (45-54)",TRUE,"5. Late Adulthood/Senior (55+)")</f>
        <v>2. Early Adulthood (25-34)</v>
      </c>
      <c r="D1138" t="s">
        <v>41</v>
      </c>
      <c r="E1138" t="s">
        <v>32</v>
      </c>
      <c r="F1138" s="4">
        <v>5.04</v>
      </c>
      <c r="G1138" s="5">
        <v>28</v>
      </c>
      <c r="H1138" t="s">
        <v>23</v>
      </c>
      <c r="I1138" t="s">
        <v>46</v>
      </c>
      <c r="J1138" s="6">
        <v>17.989999999999998</v>
      </c>
      <c r="K1138">
        <v>0</v>
      </c>
      <c r="L1138" t="s">
        <v>37</v>
      </c>
      <c r="M1138" s="5">
        <v>3</v>
      </c>
      <c r="N1138" s="4">
        <v>0.17</v>
      </c>
      <c r="O1138" t="s">
        <v>25</v>
      </c>
    </row>
    <row r="1139" spans="1:15" x14ac:dyDescent="0.3">
      <c r="A1139" t="s">
        <v>3503</v>
      </c>
      <c r="B1139" s="5">
        <v>31</v>
      </c>
      <c r="C1139" s="5" t="str" cm="1">
        <f t="array" ref="C1139">_xlfn.IFS(worksheet[[#This Row],[age]]&lt;25,"1. Young Adulthood (18-24)",worksheet[[#This Row],[age]]&lt; 35,"2. Early Adulthood (25-34)",worksheet[[#This Row],[age]]&lt; 45,"3. Mid Adulthood (35-44)",worksheet[[#This Row],[age]]&lt; 55,"4. Mature Adulthood (45-54)",TRUE,"5. Late Adulthood/Senior (55+)")</f>
        <v>2. Early Adulthood (25-34)</v>
      </c>
      <c r="D1139" t="s">
        <v>27</v>
      </c>
      <c r="E1139" t="s">
        <v>32</v>
      </c>
      <c r="F1139" s="4">
        <v>9.9499999999999993</v>
      </c>
      <c r="G1139" s="5">
        <v>6</v>
      </c>
      <c r="H1139" t="s">
        <v>70</v>
      </c>
      <c r="I1139" t="s">
        <v>24</v>
      </c>
      <c r="J1139" s="6">
        <v>17.989999999999998</v>
      </c>
      <c r="K1139">
        <v>0</v>
      </c>
      <c r="L1139" t="s">
        <v>37</v>
      </c>
      <c r="M1139" s="5">
        <v>2</v>
      </c>
      <c r="N1139" s="4">
        <v>1.42</v>
      </c>
      <c r="O1139" t="s">
        <v>52</v>
      </c>
    </row>
    <row r="1140" spans="1:15" x14ac:dyDescent="0.3">
      <c r="A1140" t="s">
        <v>3508</v>
      </c>
      <c r="B1140" s="5">
        <v>20</v>
      </c>
      <c r="C1140" s="5" t="str" cm="1">
        <f t="array" ref="C1140">_xlfn.IFS(worksheet[[#This Row],[age]]&lt;25,"1. Young Adulthood (18-24)",worksheet[[#This Row],[age]]&lt; 35,"2. Early Adulthood (25-34)",worksheet[[#This Row],[age]]&lt; 45,"3. Mid Adulthood (35-44)",worksheet[[#This Row],[age]]&lt; 55,"4. Mature Adulthood (45-54)",TRUE,"5. Late Adulthood/Senior (55+)")</f>
        <v>1. Young Adulthood (18-24)</v>
      </c>
      <c r="D1140" t="s">
        <v>27</v>
      </c>
      <c r="E1140" t="s">
        <v>32</v>
      </c>
      <c r="F1140" s="4">
        <v>9.9600000000000009</v>
      </c>
      <c r="G1140" s="5">
        <v>17</v>
      </c>
      <c r="H1140" t="s">
        <v>70</v>
      </c>
      <c r="I1140" t="s">
        <v>18</v>
      </c>
      <c r="J1140" s="6">
        <v>17.989999999999998</v>
      </c>
      <c r="K1140">
        <v>0</v>
      </c>
      <c r="L1140" t="s">
        <v>19</v>
      </c>
      <c r="M1140" s="5">
        <v>4</v>
      </c>
      <c r="N1140" s="4">
        <v>0.55000000000000004</v>
      </c>
      <c r="O1140" t="s">
        <v>34</v>
      </c>
    </row>
    <row r="1141" spans="1:15" x14ac:dyDescent="0.3">
      <c r="A1141" t="s">
        <v>3509</v>
      </c>
      <c r="B1141" s="5">
        <v>18</v>
      </c>
      <c r="C1141" s="5" t="str" cm="1">
        <f t="array" ref="C1141">_xlfn.IFS(worksheet[[#This Row],[age]]&lt;25,"1. Young Adulthood (18-24)",worksheet[[#This Row],[age]]&lt; 35,"2. Early Adulthood (25-34)",worksheet[[#This Row],[age]]&lt; 45,"3. Mid Adulthood (35-44)",worksheet[[#This Row],[age]]&lt; 55,"4. Mature Adulthood (45-54)",TRUE,"5. Late Adulthood/Senior (55+)")</f>
        <v>1. Young Adulthood (18-24)</v>
      </c>
      <c r="D1141" t="s">
        <v>41</v>
      </c>
      <c r="E1141" t="s">
        <v>32</v>
      </c>
      <c r="F1141" s="4">
        <v>23.07</v>
      </c>
      <c r="G1141" s="5">
        <v>8</v>
      </c>
      <c r="H1141" t="s">
        <v>49</v>
      </c>
      <c r="I1141" t="s">
        <v>18</v>
      </c>
      <c r="J1141" s="6">
        <v>17.989999999999998</v>
      </c>
      <c r="K1141">
        <v>0</v>
      </c>
      <c r="L1141" t="s">
        <v>61</v>
      </c>
      <c r="M1141" s="5">
        <v>1</v>
      </c>
      <c r="N1141" s="4">
        <v>2.56</v>
      </c>
      <c r="O1141" t="s">
        <v>30</v>
      </c>
    </row>
    <row r="1142" spans="1:15" x14ac:dyDescent="0.3">
      <c r="A1142" t="s">
        <v>3510</v>
      </c>
      <c r="B1142" s="5">
        <v>28</v>
      </c>
      <c r="C1142" s="5" t="str" cm="1">
        <f t="array" ref="C1142">_xlfn.IFS(worksheet[[#This Row],[age]]&lt;25,"1. Young Adulthood (18-24)",worksheet[[#This Row],[age]]&lt; 35,"2. Early Adulthood (25-34)",worksheet[[#This Row],[age]]&lt; 45,"3. Mid Adulthood (35-44)",worksheet[[#This Row],[age]]&lt; 55,"4. Mature Adulthood (45-54)",TRUE,"5. Late Adulthood/Senior (55+)")</f>
        <v>2. Early Adulthood (25-34)</v>
      </c>
      <c r="D1142" t="s">
        <v>27</v>
      </c>
      <c r="E1142" t="s">
        <v>32</v>
      </c>
      <c r="F1142" s="4">
        <v>28.72</v>
      </c>
      <c r="G1142" s="5">
        <v>40</v>
      </c>
      <c r="H1142" t="s">
        <v>49</v>
      </c>
      <c r="I1142" t="s">
        <v>46</v>
      </c>
      <c r="J1142" s="6">
        <v>17.989999999999998</v>
      </c>
      <c r="K1142">
        <v>0</v>
      </c>
      <c r="L1142" t="s">
        <v>19</v>
      </c>
      <c r="M1142" s="5">
        <v>2</v>
      </c>
      <c r="N1142" s="4">
        <v>0.7</v>
      </c>
      <c r="O1142" t="s">
        <v>39</v>
      </c>
    </row>
    <row r="1143" spans="1:15" x14ac:dyDescent="0.3">
      <c r="A1143" t="s">
        <v>3511</v>
      </c>
      <c r="B1143" s="5">
        <v>34</v>
      </c>
      <c r="C1143" s="5" t="str" cm="1">
        <f t="array" ref="C1143">_xlfn.IFS(worksheet[[#This Row],[age]]&lt;25,"1. Young Adulthood (18-24)",worksheet[[#This Row],[age]]&lt; 35,"2. Early Adulthood (25-34)",worksheet[[#This Row],[age]]&lt; 45,"3. Mid Adulthood (35-44)",worksheet[[#This Row],[age]]&lt; 55,"4. Mature Adulthood (45-54)",TRUE,"5. Late Adulthood/Senior (55+)")</f>
        <v>2. Early Adulthood (25-34)</v>
      </c>
      <c r="D1143" t="s">
        <v>15</v>
      </c>
      <c r="E1143" t="s">
        <v>22</v>
      </c>
      <c r="F1143" s="4">
        <v>26.66</v>
      </c>
      <c r="G1143" s="5">
        <v>55</v>
      </c>
      <c r="H1143" t="s">
        <v>70</v>
      </c>
      <c r="I1143" t="s">
        <v>55</v>
      </c>
      <c r="J1143" s="6">
        <v>13.99</v>
      </c>
      <c r="K1143">
        <v>0</v>
      </c>
      <c r="L1143" t="s">
        <v>43</v>
      </c>
      <c r="M1143" s="5">
        <v>2</v>
      </c>
      <c r="N1143" s="4">
        <v>0.48</v>
      </c>
      <c r="O1143" t="s">
        <v>47</v>
      </c>
    </row>
    <row r="1144" spans="1:15" x14ac:dyDescent="0.3">
      <c r="A1144" t="s">
        <v>3514</v>
      </c>
      <c r="B1144" s="5">
        <v>29</v>
      </c>
      <c r="C1144" s="5" t="str" cm="1">
        <f t="array" ref="C1144">_xlfn.IFS(worksheet[[#This Row],[age]]&lt;25,"1. Young Adulthood (18-24)",worksheet[[#This Row],[age]]&lt; 35,"2. Early Adulthood (25-34)",worksheet[[#This Row],[age]]&lt; 45,"3. Mid Adulthood (35-44)",worksheet[[#This Row],[age]]&lt; 55,"4. Mature Adulthood (45-54)",TRUE,"5. Late Adulthood/Senior (55+)")</f>
        <v>2. Early Adulthood (25-34)</v>
      </c>
      <c r="D1144" t="s">
        <v>27</v>
      </c>
      <c r="E1144" t="s">
        <v>16</v>
      </c>
      <c r="F1144" s="4">
        <v>1.88</v>
      </c>
      <c r="G1144" s="5">
        <v>46</v>
      </c>
      <c r="H1144" t="s">
        <v>28</v>
      </c>
      <c r="I1144" t="s">
        <v>55</v>
      </c>
      <c r="J1144" s="6">
        <v>8.99</v>
      </c>
      <c r="K1144">
        <v>1</v>
      </c>
      <c r="L1144" t="s">
        <v>29</v>
      </c>
      <c r="M1144" s="5">
        <v>4</v>
      </c>
      <c r="N1144" s="4">
        <v>0.04</v>
      </c>
      <c r="O1144" t="s">
        <v>25</v>
      </c>
    </row>
    <row r="1145" spans="1:15" x14ac:dyDescent="0.3">
      <c r="A1145" t="s">
        <v>3519</v>
      </c>
      <c r="B1145" s="5">
        <v>34</v>
      </c>
      <c r="C1145" s="5" t="str" cm="1">
        <f t="array" ref="C1145">_xlfn.IFS(worksheet[[#This Row],[age]]&lt;25,"1. Young Adulthood (18-24)",worksheet[[#This Row],[age]]&lt; 35,"2. Early Adulthood (25-34)",worksheet[[#This Row],[age]]&lt; 45,"3. Mid Adulthood (35-44)",worksheet[[#This Row],[age]]&lt; 55,"4. Mature Adulthood (45-54)",TRUE,"5. Late Adulthood/Senior (55+)")</f>
        <v>2. Early Adulthood (25-34)</v>
      </c>
      <c r="D1145" t="s">
        <v>41</v>
      </c>
      <c r="E1145" t="s">
        <v>16</v>
      </c>
      <c r="F1145" s="4">
        <v>12.84</v>
      </c>
      <c r="G1145" s="5">
        <v>42</v>
      </c>
      <c r="H1145" t="s">
        <v>70</v>
      </c>
      <c r="I1145" t="s">
        <v>24</v>
      </c>
      <c r="J1145" s="6">
        <v>8.99</v>
      </c>
      <c r="K1145">
        <v>1</v>
      </c>
      <c r="L1145" t="s">
        <v>43</v>
      </c>
      <c r="M1145" s="5">
        <v>4</v>
      </c>
      <c r="N1145" s="4">
        <v>0.3</v>
      </c>
      <c r="O1145" t="s">
        <v>25</v>
      </c>
    </row>
    <row r="1146" spans="1:15" x14ac:dyDescent="0.3">
      <c r="A1146" t="s">
        <v>3520</v>
      </c>
      <c r="B1146" s="5">
        <v>29</v>
      </c>
      <c r="C1146" s="5" t="str" cm="1">
        <f t="array" ref="C1146">_xlfn.IFS(worksheet[[#This Row],[age]]&lt;25,"1. Young Adulthood (18-24)",worksheet[[#This Row],[age]]&lt; 35,"2. Early Adulthood (25-34)",worksheet[[#This Row],[age]]&lt; 45,"3. Mid Adulthood (35-44)",worksheet[[#This Row],[age]]&lt; 55,"4. Mature Adulthood (45-54)",TRUE,"5. Late Adulthood/Senior (55+)")</f>
        <v>2. Early Adulthood (25-34)</v>
      </c>
      <c r="D1146" t="s">
        <v>27</v>
      </c>
      <c r="E1146" t="s">
        <v>16</v>
      </c>
      <c r="F1146" s="4">
        <v>18.68</v>
      </c>
      <c r="G1146" s="5">
        <v>51</v>
      </c>
      <c r="H1146" t="s">
        <v>49</v>
      </c>
      <c r="I1146" t="s">
        <v>57</v>
      </c>
      <c r="J1146" s="6">
        <v>8.99</v>
      </c>
      <c r="K1146">
        <v>1</v>
      </c>
      <c r="L1146" t="s">
        <v>43</v>
      </c>
      <c r="M1146" s="5">
        <v>3</v>
      </c>
      <c r="N1146" s="4">
        <v>0.36</v>
      </c>
      <c r="O1146" t="s">
        <v>25</v>
      </c>
    </row>
    <row r="1147" spans="1:15" x14ac:dyDescent="0.3">
      <c r="A1147" t="s">
        <v>3521</v>
      </c>
      <c r="B1147" s="5">
        <v>31</v>
      </c>
      <c r="C1147" s="5" t="str" cm="1">
        <f t="array" ref="C1147">_xlfn.IFS(worksheet[[#This Row],[age]]&lt;25,"1. Young Adulthood (18-24)",worksheet[[#This Row],[age]]&lt; 35,"2. Early Adulthood (25-34)",worksheet[[#This Row],[age]]&lt; 45,"3. Mid Adulthood (35-44)",worksheet[[#This Row],[age]]&lt; 55,"4. Mature Adulthood (45-54)",TRUE,"5. Late Adulthood/Senior (55+)")</f>
        <v>2. Early Adulthood (25-34)</v>
      </c>
      <c r="D1147" t="s">
        <v>41</v>
      </c>
      <c r="E1147" t="s">
        <v>32</v>
      </c>
      <c r="F1147" s="4">
        <v>2.7</v>
      </c>
      <c r="G1147" s="5">
        <v>51</v>
      </c>
      <c r="H1147" t="s">
        <v>23</v>
      </c>
      <c r="I1147" t="s">
        <v>57</v>
      </c>
      <c r="J1147" s="6">
        <v>17.989999999999998</v>
      </c>
      <c r="K1147">
        <v>1</v>
      </c>
      <c r="L1147" t="s">
        <v>29</v>
      </c>
      <c r="M1147" s="5">
        <v>5</v>
      </c>
      <c r="N1147" s="4">
        <v>0.05</v>
      </c>
      <c r="O1147" t="s">
        <v>34</v>
      </c>
    </row>
    <row r="1148" spans="1:15" x14ac:dyDescent="0.3">
      <c r="A1148" t="s">
        <v>3522</v>
      </c>
      <c r="B1148" s="5">
        <v>26</v>
      </c>
      <c r="C1148" s="5" t="str" cm="1">
        <f t="array" ref="C1148">_xlfn.IFS(worksheet[[#This Row],[age]]&lt;25,"1. Young Adulthood (18-24)",worksheet[[#This Row],[age]]&lt; 35,"2. Early Adulthood (25-34)",worksheet[[#This Row],[age]]&lt; 45,"3. Mid Adulthood (35-44)",worksheet[[#This Row],[age]]&lt; 55,"4. Mature Adulthood (45-54)",TRUE,"5. Late Adulthood/Senior (55+)")</f>
        <v>2. Early Adulthood (25-34)</v>
      </c>
      <c r="D1148" t="s">
        <v>27</v>
      </c>
      <c r="E1148" t="s">
        <v>32</v>
      </c>
      <c r="F1148" s="4">
        <v>16.27</v>
      </c>
      <c r="G1148" s="5">
        <v>34</v>
      </c>
      <c r="H1148" t="s">
        <v>28</v>
      </c>
      <c r="I1148" t="s">
        <v>24</v>
      </c>
      <c r="J1148" s="6">
        <v>17.989999999999998</v>
      </c>
      <c r="K1148">
        <v>1</v>
      </c>
      <c r="L1148" t="s">
        <v>29</v>
      </c>
      <c r="M1148" s="5">
        <v>3</v>
      </c>
      <c r="N1148" s="4">
        <v>0.46</v>
      </c>
      <c r="O1148" t="s">
        <v>30</v>
      </c>
    </row>
    <row r="1149" spans="1:15" x14ac:dyDescent="0.3">
      <c r="A1149" t="s">
        <v>3523</v>
      </c>
      <c r="B1149" s="5">
        <v>23</v>
      </c>
      <c r="C1149" s="5" t="str" cm="1">
        <f t="array" ref="C1149">_xlfn.IFS(worksheet[[#This Row],[age]]&lt;25,"1. Young Adulthood (18-24)",worksheet[[#This Row],[age]]&lt; 35,"2. Early Adulthood (25-34)",worksheet[[#This Row],[age]]&lt; 45,"3. Mid Adulthood (35-44)",worksheet[[#This Row],[age]]&lt; 55,"4. Mature Adulthood (45-54)",TRUE,"5. Late Adulthood/Senior (55+)")</f>
        <v>1. Young Adulthood (18-24)</v>
      </c>
      <c r="D1149" t="s">
        <v>41</v>
      </c>
      <c r="E1149" t="s">
        <v>32</v>
      </c>
      <c r="F1149" s="4">
        <v>16.010000000000002</v>
      </c>
      <c r="G1149" s="5">
        <v>2</v>
      </c>
      <c r="H1149" t="s">
        <v>23</v>
      </c>
      <c r="I1149" t="s">
        <v>46</v>
      </c>
      <c r="J1149" s="6">
        <v>17.989999999999998</v>
      </c>
      <c r="K1149">
        <v>0</v>
      </c>
      <c r="L1149" t="s">
        <v>43</v>
      </c>
      <c r="M1149" s="5">
        <v>1</v>
      </c>
      <c r="N1149" s="4">
        <v>5.34</v>
      </c>
      <c r="O1149" t="s">
        <v>25</v>
      </c>
    </row>
    <row r="1150" spans="1:15" x14ac:dyDescent="0.3">
      <c r="A1150" t="s">
        <v>3525</v>
      </c>
      <c r="B1150" s="5">
        <v>22</v>
      </c>
      <c r="C1150" s="5" t="str" cm="1">
        <f t="array" ref="C1150">_xlfn.IFS(worksheet[[#This Row],[age]]&lt;25,"1. Young Adulthood (18-24)",worksheet[[#This Row],[age]]&lt; 35,"2. Early Adulthood (25-34)",worksheet[[#This Row],[age]]&lt; 45,"3. Mid Adulthood (35-44)",worksheet[[#This Row],[age]]&lt; 55,"4. Mature Adulthood (45-54)",TRUE,"5. Late Adulthood/Senior (55+)")</f>
        <v>1. Young Adulthood (18-24)</v>
      </c>
      <c r="D1150" t="s">
        <v>41</v>
      </c>
      <c r="E1150" t="s">
        <v>22</v>
      </c>
      <c r="F1150" s="4">
        <v>39.11</v>
      </c>
      <c r="G1150" s="5">
        <v>13</v>
      </c>
      <c r="H1150" t="s">
        <v>49</v>
      </c>
      <c r="I1150" t="s">
        <v>24</v>
      </c>
      <c r="J1150" s="6">
        <v>13.99</v>
      </c>
      <c r="K1150">
        <v>0</v>
      </c>
      <c r="L1150" t="s">
        <v>29</v>
      </c>
      <c r="M1150" s="5">
        <v>2</v>
      </c>
      <c r="N1150" s="4">
        <v>2.79</v>
      </c>
      <c r="O1150" t="s">
        <v>30</v>
      </c>
    </row>
    <row r="1151" spans="1:15" x14ac:dyDescent="0.3">
      <c r="A1151" t="s">
        <v>3527</v>
      </c>
      <c r="B1151" s="5">
        <v>33</v>
      </c>
      <c r="C1151" s="5" t="str" cm="1">
        <f t="array" ref="C1151">_xlfn.IFS(worksheet[[#This Row],[age]]&lt;25,"1. Young Adulthood (18-24)",worksheet[[#This Row],[age]]&lt; 35,"2. Early Adulthood (25-34)",worksheet[[#This Row],[age]]&lt; 45,"3. Mid Adulthood (35-44)",worksheet[[#This Row],[age]]&lt; 55,"4. Mature Adulthood (45-54)",TRUE,"5. Late Adulthood/Senior (55+)")</f>
        <v>2. Early Adulthood (25-34)</v>
      </c>
      <c r="D1151" t="s">
        <v>27</v>
      </c>
      <c r="E1151" t="s">
        <v>32</v>
      </c>
      <c r="F1151" s="4">
        <v>14.93</v>
      </c>
      <c r="G1151" s="5">
        <v>7</v>
      </c>
      <c r="H1151" t="s">
        <v>23</v>
      </c>
      <c r="I1151" t="s">
        <v>46</v>
      </c>
      <c r="J1151" s="6">
        <v>17.989999999999998</v>
      </c>
      <c r="K1151">
        <v>0</v>
      </c>
      <c r="L1151" t="s">
        <v>37</v>
      </c>
      <c r="M1151" s="5">
        <v>3</v>
      </c>
      <c r="N1151" s="4">
        <v>1.87</v>
      </c>
      <c r="O1151" t="s">
        <v>20</v>
      </c>
    </row>
    <row r="1152" spans="1:15" x14ac:dyDescent="0.3">
      <c r="A1152" t="s">
        <v>3541</v>
      </c>
      <c r="B1152" s="5">
        <v>34</v>
      </c>
      <c r="C1152" s="5" t="str" cm="1">
        <f t="array" ref="C1152">_xlfn.IFS(worksheet[[#This Row],[age]]&lt;25,"1. Young Adulthood (18-24)",worksheet[[#This Row],[age]]&lt; 35,"2. Early Adulthood (25-34)",worksheet[[#This Row],[age]]&lt; 45,"3. Mid Adulthood (35-44)",worksheet[[#This Row],[age]]&lt; 55,"4. Mature Adulthood (45-54)",TRUE,"5. Late Adulthood/Senior (55+)")</f>
        <v>2. Early Adulthood (25-34)</v>
      </c>
      <c r="D1152" t="s">
        <v>41</v>
      </c>
      <c r="E1152" t="s">
        <v>16</v>
      </c>
      <c r="F1152" s="4">
        <v>8.25</v>
      </c>
      <c r="G1152" s="5">
        <v>27</v>
      </c>
      <c r="H1152" t="s">
        <v>23</v>
      </c>
      <c r="I1152" t="s">
        <v>57</v>
      </c>
      <c r="J1152" s="6">
        <v>8.99</v>
      </c>
      <c r="K1152">
        <v>0</v>
      </c>
      <c r="L1152" t="s">
        <v>61</v>
      </c>
      <c r="M1152" s="5">
        <v>5</v>
      </c>
      <c r="N1152" s="4">
        <v>0.28999999999999998</v>
      </c>
      <c r="O1152" t="s">
        <v>47</v>
      </c>
    </row>
    <row r="1153" spans="1:15" x14ac:dyDescent="0.3">
      <c r="A1153" s="1" t="s">
        <v>3542</v>
      </c>
      <c r="B1153" s="5">
        <v>33</v>
      </c>
      <c r="C1153" s="5" t="str" cm="1">
        <f t="array" ref="C1153">_xlfn.IFS(worksheet[[#This Row],[age]]&lt;25,"1. Young Adulthood (18-24)",worksheet[[#This Row],[age]]&lt; 35,"2. Early Adulthood (25-34)",worksheet[[#This Row],[age]]&lt; 45,"3. Mid Adulthood (35-44)",worksheet[[#This Row],[age]]&lt; 55,"4. Mature Adulthood (45-54)",TRUE,"5. Late Adulthood/Senior (55+)")</f>
        <v>2. Early Adulthood (25-34)</v>
      </c>
      <c r="D1153" t="s">
        <v>41</v>
      </c>
      <c r="E1153" t="s">
        <v>32</v>
      </c>
      <c r="F1153" s="4">
        <v>1.42</v>
      </c>
      <c r="G1153" s="5">
        <v>50</v>
      </c>
      <c r="H1153" t="s">
        <v>28</v>
      </c>
      <c r="I1153" t="s">
        <v>24</v>
      </c>
      <c r="J1153" s="6">
        <v>17.989999999999998</v>
      </c>
      <c r="K1153">
        <v>1</v>
      </c>
      <c r="L1153" t="s">
        <v>19</v>
      </c>
      <c r="M1153" s="5">
        <v>3</v>
      </c>
      <c r="N1153" s="4">
        <v>0.03</v>
      </c>
      <c r="O1153" t="s">
        <v>47</v>
      </c>
    </row>
    <row r="1154" spans="1:15" x14ac:dyDescent="0.3">
      <c r="A1154" t="s">
        <v>3545</v>
      </c>
      <c r="B1154" s="5">
        <v>26</v>
      </c>
      <c r="C1154" s="5" t="str" cm="1">
        <f t="array" ref="C1154">_xlfn.IFS(worksheet[[#This Row],[age]]&lt;25,"1. Young Adulthood (18-24)",worksheet[[#This Row],[age]]&lt; 35,"2. Early Adulthood (25-34)",worksheet[[#This Row],[age]]&lt; 45,"3. Mid Adulthood (35-44)",worksheet[[#This Row],[age]]&lt; 55,"4. Mature Adulthood (45-54)",TRUE,"5. Late Adulthood/Senior (55+)")</f>
        <v>2. Early Adulthood (25-34)</v>
      </c>
      <c r="D1154" t="s">
        <v>27</v>
      </c>
      <c r="E1154" t="s">
        <v>32</v>
      </c>
      <c r="F1154" s="4">
        <v>2.99</v>
      </c>
      <c r="G1154" s="5">
        <v>59</v>
      </c>
      <c r="H1154" t="s">
        <v>28</v>
      </c>
      <c r="I1154" t="s">
        <v>18</v>
      </c>
      <c r="J1154" s="6">
        <v>17.989999999999998</v>
      </c>
      <c r="K1154">
        <v>1</v>
      </c>
      <c r="L1154" t="s">
        <v>37</v>
      </c>
      <c r="M1154" s="5">
        <v>3</v>
      </c>
      <c r="N1154" s="4">
        <v>0.05</v>
      </c>
      <c r="O1154" t="s">
        <v>20</v>
      </c>
    </row>
    <row r="1155" spans="1:15" x14ac:dyDescent="0.3">
      <c r="A1155" t="s">
        <v>3546</v>
      </c>
      <c r="B1155" s="5">
        <v>23</v>
      </c>
      <c r="C1155" s="5" t="str" cm="1">
        <f t="array" ref="C1155">_xlfn.IFS(worksheet[[#This Row],[age]]&lt;25,"1. Young Adulthood (18-24)",worksheet[[#This Row],[age]]&lt; 35,"2. Early Adulthood (25-34)",worksheet[[#This Row],[age]]&lt; 45,"3. Mid Adulthood (35-44)",worksheet[[#This Row],[age]]&lt; 55,"4. Mature Adulthood (45-54)",TRUE,"5. Late Adulthood/Senior (55+)")</f>
        <v>1. Young Adulthood (18-24)</v>
      </c>
      <c r="D1155" t="s">
        <v>15</v>
      </c>
      <c r="E1155" t="s">
        <v>22</v>
      </c>
      <c r="F1155" s="4">
        <v>39.630000000000003</v>
      </c>
      <c r="G1155" s="5">
        <v>20</v>
      </c>
      <c r="H1155" t="s">
        <v>28</v>
      </c>
      <c r="I1155" t="s">
        <v>57</v>
      </c>
      <c r="J1155" s="6">
        <v>13.99</v>
      </c>
      <c r="K1155">
        <v>0</v>
      </c>
      <c r="L1155" t="s">
        <v>61</v>
      </c>
      <c r="M1155" s="5">
        <v>3</v>
      </c>
      <c r="N1155" s="4">
        <v>1.89</v>
      </c>
      <c r="O1155" t="s">
        <v>25</v>
      </c>
    </row>
    <row r="1156" spans="1:15" x14ac:dyDescent="0.3">
      <c r="A1156" t="s">
        <v>3548</v>
      </c>
      <c r="B1156" s="5">
        <v>28</v>
      </c>
      <c r="C1156" s="5" t="str" cm="1">
        <f t="array" ref="C1156">_xlfn.IFS(worksheet[[#This Row],[age]]&lt;25,"1. Young Adulthood (18-24)",worksheet[[#This Row],[age]]&lt; 35,"2. Early Adulthood (25-34)",worksheet[[#This Row],[age]]&lt; 45,"3. Mid Adulthood (35-44)",worksheet[[#This Row],[age]]&lt; 55,"4. Mature Adulthood (45-54)",TRUE,"5. Late Adulthood/Senior (55+)")</f>
        <v>2. Early Adulthood (25-34)</v>
      </c>
      <c r="D1156" t="s">
        <v>41</v>
      </c>
      <c r="E1156" t="s">
        <v>16</v>
      </c>
      <c r="F1156" s="4">
        <v>11.24</v>
      </c>
      <c r="G1156" s="5">
        <v>37</v>
      </c>
      <c r="H1156" t="s">
        <v>28</v>
      </c>
      <c r="I1156" t="s">
        <v>57</v>
      </c>
      <c r="J1156" s="6">
        <v>8.99</v>
      </c>
      <c r="K1156">
        <v>1</v>
      </c>
      <c r="L1156" t="s">
        <v>29</v>
      </c>
      <c r="M1156" s="5">
        <v>4</v>
      </c>
      <c r="N1156" s="4">
        <v>0.3</v>
      </c>
      <c r="O1156" t="s">
        <v>34</v>
      </c>
    </row>
    <row r="1157" spans="1:15" x14ac:dyDescent="0.3">
      <c r="A1157" t="s">
        <v>3554</v>
      </c>
      <c r="B1157" s="5">
        <v>30</v>
      </c>
      <c r="C1157" s="5" t="str" cm="1">
        <f t="array" ref="C1157">_xlfn.IFS(worksheet[[#This Row],[age]]&lt;25,"1. Young Adulthood (18-24)",worksheet[[#This Row],[age]]&lt; 35,"2. Early Adulthood (25-34)",worksheet[[#This Row],[age]]&lt; 45,"3. Mid Adulthood (35-44)",worksheet[[#This Row],[age]]&lt; 55,"4. Mature Adulthood (45-54)",TRUE,"5. Late Adulthood/Senior (55+)")</f>
        <v>2. Early Adulthood (25-34)</v>
      </c>
      <c r="D1157" t="s">
        <v>41</v>
      </c>
      <c r="E1157" t="s">
        <v>22</v>
      </c>
      <c r="F1157" s="4">
        <v>10.47</v>
      </c>
      <c r="G1157" s="5">
        <v>50</v>
      </c>
      <c r="H1157" t="s">
        <v>17</v>
      </c>
      <c r="I1157" t="s">
        <v>24</v>
      </c>
      <c r="J1157" s="6">
        <v>13.99</v>
      </c>
      <c r="K1157">
        <v>1</v>
      </c>
      <c r="L1157" t="s">
        <v>29</v>
      </c>
      <c r="M1157" s="5">
        <v>4</v>
      </c>
      <c r="N1157" s="4">
        <v>0.21</v>
      </c>
      <c r="O1157" t="s">
        <v>25</v>
      </c>
    </row>
    <row r="1158" spans="1:15" x14ac:dyDescent="0.3">
      <c r="A1158" t="s">
        <v>3555</v>
      </c>
      <c r="B1158" s="5">
        <v>23</v>
      </c>
      <c r="C1158" s="5" t="str" cm="1">
        <f t="array" ref="C1158">_xlfn.IFS(worksheet[[#This Row],[age]]&lt;25,"1. Young Adulthood (18-24)",worksheet[[#This Row],[age]]&lt; 35,"2. Early Adulthood (25-34)",worksheet[[#This Row],[age]]&lt; 45,"3. Mid Adulthood (35-44)",worksheet[[#This Row],[age]]&lt; 55,"4. Mature Adulthood (45-54)",TRUE,"5. Late Adulthood/Senior (55+)")</f>
        <v>1. Young Adulthood (18-24)</v>
      </c>
      <c r="D1158" t="s">
        <v>15</v>
      </c>
      <c r="E1158" t="s">
        <v>16</v>
      </c>
      <c r="F1158" s="4">
        <v>18.23</v>
      </c>
      <c r="G1158" s="5">
        <v>47</v>
      </c>
      <c r="H1158" t="s">
        <v>28</v>
      </c>
      <c r="I1158" t="s">
        <v>57</v>
      </c>
      <c r="J1158" s="6">
        <v>8.99</v>
      </c>
      <c r="K1158">
        <v>1</v>
      </c>
      <c r="L1158" t="s">
        <v>37</v>
      </c>
      <c r="M1158" s="5">
        <v>4</v>
      </c>
      <c r="N1158" s="4">
        <v>0.38</v>
      </c>
      <c r="O1158" t="s">
        <v>39</v>
      </c>
    </row>
    <row r="1159" spans="1:15" x14ac:dyDescent="0.3">
      <c r="A1159" t="s">
        <v>3562</v>
      </c>
      <c r="B1159" s="5">
        <v>23</v>
      </c>
      <c r="C1159" s="5" t="str" cm="1">
        <f t="array" ref="C1159">_xlfn.IFS(worksheet[[#This Row],[age]]&lt;25,"1. Young Adulthood (18-24)",worksheet[[#This Row],[age]]&lt; 35,"2. Early Adulthood (25-34)",worksheet[[#This Row],[age]]&lt; 45,"3. Mid Adulthood (35-44)",worksheet[[#This Row],[age]]&lt; 55,"4. Mature Adulthood (45-54)",TRUE,"5. Late Adulthood/Senior (55+)")</f>
        <v>1. Young Adulthood (18-24)</v>
      </c>
      <c r="D1159" t="s">
        <v>27</v>
      </c>
      <c r="E1159" t="s">
        <v>32</v>
      </c>
      <c r="F1159" s="4">
        <v>5.81</v>
      </c>
      <c r="G1159" s="5">
        <v>45</v>
      </c>
      <c r="H1159" t="s">
        <v>28</v>
      </c>
      <c r="I1159" t="s">
        <v>46</v>
      </c>
      <c r="J1159" s="6">
        <v>17.989999999999998</v>
      </c>
      <c r="K1159">
        <v>1</v>
      </c>
      <c r="L1159" t="s">
        <v>29</v>
      </c>
      <c r="M1159" s="5">
        <v>2</v>
      </c>
      <c r="N1159" s="4">
        <v>0.13</v>
      </c>
      <c r="O1159" t="s">
        <v>47</v>
      </c>
    </row>
    <row r="1160" spans="1:15" x14ac:dyDescent="0.3">
      <c r="A1160" t="s">
        <v>3564</v>
      </c>
      <c r="B1160" s="5">
        <v>20</v>
      </c>
      <c r="C1160" s="5" t="str" cm="1">
        <f t="array" ref="C1160">_xlfn.IFS(worksheet[[#This Row],[age]]&lt;25,"1. Young Adulthood (18-24)",worksheet[[#This Row],[age]]&lt; 35,"2. Early Adulthood (25-34)",worksheet[[#This Row],[age]]&lt; 45,"3. Mid Adulthood (35-44)",worksheet[[#This Row],[age]]&lt; 55,"4. Mature Adulthood (45-54)",TRUE,"5. Late Adulthood/Senior (55+)")</f>
        <v>1. Young Adulthood (18-24)</v>
      </c>
      <c r="D1160" t="s">
        <v>27</v>
      </c>
      <c r="E1160" t="s">
        <v>32</v>
      </c>
      <c r="F1160" s="4">
        <v>1.22</v>
      </c>
      <c r="G1160" s="5">
        <v>50</v>
      </c>
      <c r="H1160" t="s">
        <v>23</v>
      </c>
      <c r="I1160" t="s">
        <v>46</v>
      </c>
      <c r="J1160" s="6">
        <v>17.989999999999998</v>
      </c>
      <c r="K1160">
        <v>1</v>
      </c>
      <c r="L1160" t="s">
        <v>29</v>
      </c>
      <c r="M1160" s="5">
        <v>3</v>
      </c>
      <c r="N1160" s="4">
        <v>0.02</v>
      </c>
      <c r="O1160" t="s">
        <v>25</v>
      </c>
    </row>
    <row r="1161" spans="1:15" x14ac:dyDescent="0.3">
      <c r="A1161" t="s">
        <v>3568</v>
      </c>
      <c r="B1161" s="5">
        <v>32</v>
      </c>
      <c r="C1161" s="5" t="str" cm="1">
        <f t="array" ref="C1161">_xlfn.IFS(worksheet[[#This Row],[age]]&lt;25,"1. Young Adulthood (18-24)",worksheet[[#This Row],[age]]&lt; 35,"2. Early Adulthood (25-34)",worksheet[[#This Row],[age]]&lt; 45,"3. Mid Adulthood (35-44)",worksheet[[#This Row],[age]]&lt; 55,"4. Mature Adulthood (45-54)",TRUE,"5. Late Adulthood/Senior (55+)")</f>
        <v>2. Early Adulthood (25-34)</v>
      </c>
      <c r="D1161" t="s">
        <v>41</v>
      </c>
      <c r="E1161" t="s">
        <v>16</v>
      </c>
      <c r="F1161" s="4">
        <v>4</v>
      </c>
      <c r="G1161" s="5">
        <v>26</v>
      </c>
      <c r="H1161" t="s">
        <v>17</v>
      </c>
      <c r="I1161" t="s">
        <v>55</v>
      </c>
      <c r="J1161" s="6">
        <v>8.99</v>
      </c>
      <c r="K1161">
        <v>1</v>
      </c>
      <c r="L1161" t="s">
        <v>19</v>
      </c>
      <c r="M1161" s="5">
        <v>2</v>
      </c>
      <c r="N1161" s="4">
        <v>0.15</v>
      </c>
      <c r="O1161" t="s">
        <v>34</v>
      </c>
    </row>
    <row r="1162" spans="1:15" x14ac:dyDescent="0.3">
      <c r="A1162" t="s">
        <v>3570</v>
      </c>
      <c r="B1162" s="5">
        <v>18</v>
      </c>
      <c r="C1162" s="5" t="str" cm="1">
        <f t="array" ref="C1162">_xlfn.IFS(worksheet[[#This Row],[age]]&lt;25,"1. Young Adulthood (18-24)",worksheet[[#This Row],[age]]&lt; 35,"2. Early Adulthood (25-34)",worksheet[[#This Row],[age]]&lt; 45,"3. Mid Adulthood (35-44)",worksheet[[#This Row],[age]]&lt; 55,"4. Mature Adulthood (45-54)",TRUE,"5. Late Adulthood/Senior (55+)")</f>
        <v>1. Young Adulthood (18-24)</v>
      </c>
      <c r="D1162" t="s">
        <v>27</v>
      </c>
      <c r="E1162" t="s">
        <v>16</v>
      </c>
      <c r="F1162" s="4">
        <v>3.68</v>
      </c>
      <c r="G1162" s="5">
        <v>60</v>
      </c>
      <c r="H1162" t="s">
        <v>49</v>
      </c>
      <c r="I1162" t="s">
        <v>46</v>
      </c>
      <c r="J1162" s="6">
        <v>8.99</v>
      </c>
      <c r="K1162">
        <v>1</v>
      </c>
      <c r="L1162" t="s">
        <v>37</v>
      </c>
      <c r="M1162" s="5">
        <v>4</v>
      </c>
      <c r="N1162" s="4">
        <v>0.06</v>
      </c>
      <c r="O1162" t="s">
        <v>20</v>
      </c>
    </row>
    <row r="1163" spans="1:15" x14ac:dyDescent="0.3">
      <c r="A1163" t="s">
        <v>3573</v>
      </c>
      <c r="B1163" s="5">
        <v>26</v>
      </c>
      <c r="C1163" s="5" t="str" cm="1">
        <f t="array" ref="C1163">_xlfn.IFS(worksheet[[#This Row],[age]]&lt;25,"1. Young Adulthood (18-24)",worksheet[[#This Row],[age]]&lt; 35,"2. Early Adulthood (25-34)",worksheet[[#This Row],[age]]&lt; 45,"3. Mid Adulthood (35-44)",worksheet[[#This Row],[age]]&lt; 55,"4. Mature Adulthood (45-54)",TRUE,"5. Late Adulthood/Senior (55+)")</f>
        <v>2. Early Adulthood (25-34)</v>
      </c>
      <c r="D1163" t="s">
        <v>15</v>
      </c>
      <c r="E1163" t="s">
        <v>32</v>
      </c>
      <c r="F1163" s="4">
        <v>6.46</v>
      </c>
      <c r="G1163" s="5">
        <v>27</v>
      </c>
      <c r="H1163" t="s">
        <v>17</v>
      </c>
      <c r="I1163" t="s">
        <v>18</v>
      </c>
      <c r="J1163" s="6">
        <v>17.989999999999998</v>
      </c>
      <c r="K1163">
        <v>0</v>
      </c>
      <c r="L1163" t="s">
        <v>37</v>
      </c>
      <c r="M1163" s="5">
        <v>5</v>
      </c>
      <c r="N1163" s="4">
        <v>0.23</v>
      </c>
      <c r="O1163" t="s">
        <v>30</v>
      </c>
    </row>
    <row r="1164" spans="1:15" x14ac:dyDescent="0.3">
      <c r="A1164" t="s">
        <v>3575</v>
      </c>
      <c r="B1164" s="5">
        <v>22</v>
      </c>
      <c r="C1164" s="5" t="str" cm="1">
        <f t="array" ref="C1164">_xlfn.IFS(worksheet[[#This Row],[age]]&lt;25,"1. Young Adulthood (18-24)",worksheet[[#This Row],[age]]&lt; 35,"2. Early Adulthood (25-34)",worksheet[[#This Row],[age]]&lt; 45,"3. Mid Adulthood (35-44)",worksheet[[#This Row],[age]]&lt; 55,"4. Mature Adulthood (45-54)",TRUE,"5. Late Adulthood/Senior (55+)")</f>
        <v>1. Young Adulthood (18-24)</v>
      </c>
      <c r="D1164" t="s">
        <v>15</v>
      </c>
      <c r="E1164" t="s">
        <v>22</v>
      </c>
      <c r="F1164" s="4">
        <v>3.31</v>
      </c>
      <c r="G1164" s="5">
        <v>35</v>
      </c>
      <c r="H1164" t="s">
        <v>23</v>
      </c>
      <c r="I1164" t="s">
        <v>55</v>
      </c>
      <c r="J1164" s="6">
        <v>13.99</v>
      </c>
      <c r="K1164">
        <v>1</v>
      </c>
      <c r="L1164" t="s">
        <v>29</v>
      </c>
      <c r="M1164" s="5">
        <v>2</v>
      </c>
      <c r="N1164" s="4">
        <v>0.09</v>
      </c>
      <c r="O1164" t="s">
        <v>39</v>
      </c>
    </row>
    <row r="1165" spans="1:15" x14ac:dyDescent="0.3">
      <c r="A1165" t="s">
        <v>3579</v>
      </c>
      <c r="B1165" s="5">
        <v>32</v>
      </c>
      <c r="C1165" s="5" t="str" cm="1">
        <f t="array" ref="C1165">_xlfn.IFS(worksheet[[#This Row],[age]]&lt;25,"1. Young Adulthood (18-24)",worksheet[[#This Row],[age]]&lt; 35,"2. Early Adulthood (25-34)",worksheet[[#This Row],[age]]&lt; 45,"3. Mid Adulthood (35-44)",worksheet[[#This Row],[age]]&lt; 55,"4. Mature Adulthood (45-54)",TRUE,"5. Late Adulthood/Senior (55+)")</f>
        <v>2. Early Adulthood (25-34)</v>
      </c>
      <c r="D1165" t="s">
        <v>27</v>
      </c>
      <c r="E1165" t="s">
        <v>32</v>
      </c>
      <c r="F1165" s="4">
        <v>8.77</v>
      </c>
      <c r="G1165" s="5">
        <v>50</v>
      </c>
      <c r="H1165" t="s">
        <v>28</v>
      </c>
      <c r="I1165" t="s">
        <v>57</v>
      </c>
      <c r="J1165" s="6">
        <v>17.989999999999998</v>
      </c>
      <c r="K1165">
        <v>1</v>
      </c>
      <c r="L1165" t="s">
        <v>61</v>
      </c>
      <c r="M1165" s="5">
        <v>3</v>
      </c>
      <c r="N1165" s="4">
        <v>0.17</v>
      </c>
      <c r="O1165" t="s">
        <v>30</v>
      </c>
    </row>
    <row r="1166" spans="1:15" x14ac:dyDescent="0.3">
      <c r="A1166" t="s">
        <v>3580</v>
      </c>
      <c r="B1166" s="5">
        <v>32</v>
      </c>
      <c r="C1166" s="5" t="str" cm="1">
        <f t="array" ref="C1166">_xlfn.IFS(worksheet[[#This Row],[age]]&lt;25,"1. Young Adulthood (18-24)",worksheet[[#This Row],[age]]&lt; 35,"2. Early Adulthood (25-34)",worksheet[[#This Row],[age]]&lt; 45,"3. Mid Adulthood (35-44)",worksheet[[#This Row],[age]]&lt; 55,"4. Mature Adulthood (45-54)",TRUE,"5. Late Adulthood/Senior (55+)")</f>
        <v>2. Early Adulthood (25-34)</v>
      </c>
      <c r="D1166" t="s">
        <v>27</v>
      </c>
      <c r="E1166" t="s">
        <v>32</v>
      </c>
      <c r="F1166" s="4">
        <v>9.11</v>
      </c>
      <c r="G1166" s="5">
        <v>40</v>
      </c>
      <c r="H1166" t="s">
        <v>70</v>
      </c>
      <c r="I1166" t="s">
        <v>18</v>
      </c>
      <c r="J1166" s="6">
        <v>17.989999999999998</v>
      </c>
      <c r="K1166">
        <v>1</v>
      </c>
      <c r="L1166" t="s">
        <v>43</v>
      </c>
      <c r="M1166" s="5">
        <v>3</v>
      </c>
      <c r="N1166" s="4">
        <v>0.22</v>
      </c>
      <c r="O1166" t="s">
        <v>39</v>
      </c>
    </row>
    <row r="1167" spans="1:15" x14ac:dyDescent="0.3">
      <c r="A1167" t="s">
        <v>3581</v>
      </c>
      <c r="B1167" s="5">
        <v>29</v>
      </c>
      <c r="C1167" s="5" t="str" cm="1">
        <f t="array" ref="C1167">_xlfn.IFS(worksheet[[#This Row],[age]]&lt;25,"1. Young Adulthood (18-24)",worksheet[[#This Row],[age]]&lt; 35,"2. Early Adulthood (25-34)",worksheet[[#This Row],[age]]&lt; 45,"3. Mid Adulthood (35-44)",worksheet[[#This Row],[age]]&lt; 55,"4. Mature Adulthood (45-54)",TRUE,"5. Late Adulthood/Senior (55+)")</f>
        <v>2. Early Adulthood (25-34)</v>
      </c>
      <c r="D1167" t="s">
        <v>15</v>
      </c>
      <c r="E1167" t="s">
        <v>16</v>
      </c>
      <c r="F1167" s="4">
        <v>12.54</v>
      </c>
      <c r="G1167" s="5">
        <v>26</v>
      </c>
      <c r="H1167" t="s">
        <v>70</v>
      </c>
      <c r="I1167" t="s">
        <v>57</v>
      </c>
      <c r="J1167" s="6">
        <v>8.99</v>
      </c>
      <c r="K1167">
        <v>0</v>
      </c>
      <c r="L1167" t="s">
        <v>37</v>
      </c>
      <c r="M1167" s="5">
        <v>2</v>
      </c>
      <c r="N1167" s="4">
        <v>0.46</v>
      </c>
      <c r="O1167" t="s">
        <v>25</v>
      </c>
    </row>
    <row r="1168" spans="1:15" x14ac:dyDescent="0.3">
      <c r="A1168" t="s">
        <v>3582</v>
      </c>
      <c r="B1168" s="5">
        <v>26</v>
      </c>
      <c r="C1168" s="5" t="str" cm="1">
        <f t="array" ref="C1168">_xlfn.IFS(worksheet[[#This Row],[age]]&lt;25,"1. Young Adulthood (18-24)",worksheet[[#This Row],[age]]&lt; 35,"2. Early Adulthood (25-34)",worksheet[[#This Row],[age]]&lt; 45,"3. Mid Adulthood (35-44)",worksheet[[#This Row],[age]]&lt; 55,"4. Mature Adulthood (45-54)",TRUE,"5. Late Adulthood/Senior (55+)")</f>
        <v>2. Early Adulthood (25-34)</v>
      </c>
      <c r="D1168" t="s">
        <v>15</v>
      </c>
      <c r="E1168" t="s">
        <v>22</v>
      </c>
      <c r="F1168" s="4">
        <v>18.760000000000002</v>
      </c>
      <c r="G1168" s="5">
        <v>34</v>
      </c>
      <c r="H1168" t="s">
        <v>23</v>
      </c>
      <c r="I1168" t="s">
        <v>57</v>
      </c>
      <c r="J1168" s="6">
        <v>13.99</v>
      </c>
      <c r="K1168">
        <v>0</v>
      </c>
      <c r="L1168" t="s">
        <v>61</v>
      </c>
      <c r="M1168" s="5">
        <v>2</v>
      </c>
      <c r="N1168" s="4">
        <v>0.54</v>
      </c>
      <c r="O1168" t="s">
        <v>39</v>
      </c>
    </row>
    <row r="1169" spans="1:15" x14ac:dyDescent="0.3">
      <c r="A1169" t="s">
        <v>3591</v>
      </c>
      <c r="B1169" s="5">
        <v>24</v>
      </c>
      <c r="C1169" s="5" t="str" cm="1">
        <f t="array" ref="C1169">_xlfn.IFS(worksheet[[#This Row],[age]]&lt;25,"1. Young Adulthood (18-24)",worksheet[[#This Row],[age]]&lt; 35,"2. Early Adulthood (25-34)",worksheet[[#This Row],[age]]&lt; 45,"3. Mid Adulthood (35-44)",worksheet[[#This Row],[age]]&lt; 55,"4. Mature Adulthood (45-54)",TRUE,"5. Late Adulthood/Senior (55+)")</f>
        <v>1. Young Adulthood (18-24)</v>
      </c>
      <c r="D1169" t="s">
        <v>15</v>
      </c>
      <c r="E1169" t="s">
        <v>22</v>
      </c>
      <c r="F1169" s="4">
        <v>10.72</v>
      </c>
      <c r="G1169" s="5">
        <v>40</v>
      </c>
      <c r="H1169" t="s">
        <v>28</v>
      </c>
      <c r="I1169" t="s">
        <v>18</v>
      </c>
      <c r="J1169" s="6">
        <v>13.99</v>
      </c>
      <c r="K1169">
        <v>1</v>
      </c>
      <c r="L1169" t="s">
        <v>37</v>
      </c>
      <c r="M1169" s="5">
        <v>3</v>
      </c>
      <c r="N1169" s="4">
        <v>0.26</v>
      </c>
      <c r="O1169" t="s">
        <v>47</v>
      </c>
    </row>
    <row r="1170" spans="1:15" x14ac:dyDescent="0.3">
      <c r="A1170" t="s">
        <v>3592</v>
      </c>
      <c r="B1170" s="5">
        <v>21</v>
      </c>
      <c r="C1170" s="5" t="str" cm="1">
        <f t="array" ref="C1170">_xlfn.IFS(worksheet[[#This Row],[age]]&lt;25,"1. Young Adulthood (18-24)",worksheet[[#This Row],[age]]&lt; 35,"2. Early Adulthood (25-34)",worksheet[[#This Row],[age]]&lt; 45,"3. Mid Adulthood (35-44)",worksheet[[#This Row],[age]]&lt; 55,"4. Mature Adulthood (45-54)",TRUE,"5. Late Adulthood/Senior (55+)")</f>
        <v>1. Young Adulthood (18-24)</v>
      </c>
      <c r="D1170" t="s">
        <v>15</v>
      </c>
      <c r="E1170" t="s">
        <v>22</v>
      </c>
      <c r="F1170" s="4">
        <v>2.77</v>
      </c>
      <c r="G1170" s="5">
        <v>8</v>
      </c>
      <c r="H1170" t="s">
        <v>17</v>
      </c>
      <c r="I1170" t="s">
        <v>18</v>
      </c>
      <c r="J1170" s="6">
        <v>13.99</v>
      </c>
      <c r="K1170">
        <v>1</v>
      </c>
      <c r="L1170" t="s">
        <v>19</v>
      </c>
      <c r="M1170" s="5">
        <v>4</v>
      </c>
      <c r="N1170" s="4">
        <v>0.31</v>
      </c>
      <c r="O1170" t="s">
        <v>34</v>
      </c>
    </row>
    <row r="1171" spans="1:15" x14ac:dyDescent="0.3">
      <c r="A1171" t="s">
        <v>3602</v>
      </c>
      <c r="B1171" s="5">
        <v>31</v>
      </c>
      <c r="C1171" s="5" t="str" cm="1">
        <f t="array" ref="C1171">_xlfn.IFS(worksheet[[#This Row],[age]]&lt;25,"1. Young Adulthood (18-24)",worksheet[[#This Row],[age]]&lt; 35,"2. Early Adulthood (25-34)",worksheet[[#This Row],[age]]&lt; 45,"3. Mid Adulthood (35-44)",worksheet[[#This Row],[age]]&lt; 55,"4. Mature Adulthood (45-54)",TRUE,"5. Late Adulthood/Senior (55+)")</f>
        <v>2. Early Adulthood (25-34)</v>
      </c>
      <c r="D1171" t="s">
        <v>15</v>
      </c>
      <c r="E1171" t="s">
        <v>32</v>
      </c>
      <c r="F1171" s="4">
        <v>8.18</v>
      </c>
      <c r="G1171" s="5">
        <v>43</v>
      </c>
      <c r="H1171" t="s">
        <v>23</v>
      </c>
      <c r="I1171" t="s">
        <v>55</v>
      </c>
      <c r="J1171" s="6">
        <v>17.989999999999998</v>
      </c>
      <c r="K1171">
        <v>1</v>
      </c>
      <c r="L1171" t="s">
        <v>43</v>
      </c>
      <c r="M1171" s="5">
        <v>1</v>
      </c>
      <c r="N1171" s="4">
        <v>0.19</v>
      </c>
      <c r="O1171" t="s">
        <v>34</v>
      </c>
    </row>
    <row r="1172" spans="1:15" x14ac:dyDescent="0.3">
      <c r="A1172" t="s">
        <v>3609</v>
      </c>
      <c r="B1172" s="5">
        <v>21</v>
      </c>
      <c r="C1172" s="5" t="str" cm="1">
        <f t="array" ref="C1172">_xlfn.IFS(worksheet[[#This Row],[age]]&lt;25,"1. Young Adulthood (18-24)",worksheet[[#This Row],[age]]&lt; 35,"2. Early Adulthood (25-34)",worksheet[[#This Row],[age]]&lt; 45,"3. Mid Adulthood (35-44)",worksheet[[#This Row],[age]]&lt; 55,"4. Mature Adulthood (45-54)",TRUE,"5. Late Adulthood/Senior (55+)")</f>
        <v>1. Young Adulthood (18-24)</v>
      </c>
      <c r="D1172" t="s">
        <v>27</v>
      </c>
      <c r="E1172" t="s">
        <v>32</v>
      </c>
      <c r="F1172" s="4">
        <v>4.12</v>
      </c>
      <c r="G1172" s="5">
        <v>35</v>
      </c>
      <c r="H1172" t="s">
        <v>70</v>
      </c>
      <c r="I1172" t="s">
        <v>46</v>
      </c>
      <c r="J1172" s="6">
        <v>17.989999999999998</v>
      </c>
      <c r="K1172">
        <v>1</v>
      </c>
      <c r="L1172" t="s">
        <v>19</v>
      </c>
      <c r="M1172" s="5">
        <v>2</v>
      </c>
      <c r="N1172" s="4">
        <v>0.11</v>
      </c>
      <c r="O1172" t="s">
        <v>47</v>
      </c>
    </row>
    <row r="1173" spans="1:15" x14ac:dyDescent="0.3">
      <c r="A1173" t="s">
        <v>3610</v>
      </c>
      <c r="B1173" s="5">
        <v>28</v>
      </c>
      <c r="C1173" s="5" t="str" cm="1">
        <f t="array" ref="C1173">_xlfn.IFS(worksheet[[#This Row],[age]]&lt;25,"1. Young Adulthood (18-24)",worksheet[[#This Row],[age]]&lt; 35,"2. Early Adulthood (25-34)",worksheet[[#This Row],[age]]&lt; 45,"3. Mid Adulthood (35-44)",worksheet[[#This Row],[age]]&lt; 55,"4. Mature Adulthood (45-54)",TRUE,"5. Late Adulthood/Senior (55+)")</f>
        <v>2. Early Adulthood (25-34)</v>
      </c>
      <c r="D1173" t="s">
        <v>27</v>
      </c>
      <c r="E1173" t="s">
        <v>32</v>
      </c>
      <c r="F1173" s="4">
        <v>29.83</v>
      </c>
      <c r="G1173" s="5">
        <v>32</v>
      </c>
      <c r="H1173" t="s">
        <v>70</v>
      </c>
      <c r="I1173" t="s">
        <v>55</v>
      </c>
      <c r="J1173" s="6">
        <v>17.989999999999998</v>
      </c>
      <c r="K1173">
        <v>0</v>
      </c>
      <c r="L1173" t="s">
        <v>29</v>
      </c>
      <c r="M1173" s="5">
        <v>4</v>
      </c>
      <c r="N1173" s="4">
        <v>0.9</v>
      </c>
      <c r="O1173" t="s">
        <v>30</v>
      </c>
    </row>
    <row r="1174" spans="1:15" x14ac:dyDescent="0.3">
      <c r="A1174" t="s">
        <v>3613</v>
      </c>
      <c r="B1174" s="5">
        <v>28</v>
      </c>
      <c r="C1174" s="5" t="str" cm="1">
        <f t="array" ref="C1174">_xlfn.IFS(worksheet[[#This Row],[age]]&lt;25,"1. Young Adulthood (18-24)",worksheet[[#This Row],[age]]&lt; 35,"2. Early Adulthood (25-34)",worksheet[[#This Row],[age]]&lt; 45,"3. Mid Adulthood (35-44)",worksheet[[#This Row],[age]]&lt; 55,"4. Mature Adulthood (45-54)",TRUE,"5. Late Adulthood/Senior (55+)")</f>
        <v>2. Early Adulthood (25-34)</v>
      </c>
      <c r="D1174" t="s">
        <v>41</v>
      </c>
      <c r="E1174" t="s">
        <v>16</v>
      </c>
      <c r="F1174" s="4">
        <v>13.44</v>
      </c>
      <c r="G1174" s="5">
        <v>20</v>
      </c>
      <c r="H1174" t="s">
        <v>33</v>
      </c>
      <c r="I1174" t="s">
        <v>18</v>
      </c>
      <c r="J1174" s="6">
        <v>8.99</v>
      </c>
      <c r="K1174">
        <v>0</v>
      </c>
      <c r="L1174" t="s">
        <v>61</v>
      </c>
      <c r="M1174" s="5">
        <v>1</v>
      </c>
      <c r="N1174" s="4">
        <v>0.64</v>
      </c>
      <c r="O1174" t="s">
        <v>47</v>
      </c>
    </row>
    <row r="1175" spans="1:15" x14ac:dyDescent="0.3">
      <c r="A1175" t="s">
        <v>3615</v>
      </c>
      <c r="B1175" s="5">
        <v>27</v>
      </c>
      <c r="C1175" s="5" t="str" cm="1">
        <f t="array" ref="C1175">_xlfn.IFS(worksheet[[#This Row],[age]]&lt;25,"1. Young Adulthood (18-24)",worksheet[[#This Row],[age]]&lt; 35,"2. Early Adulthood (25-34)",worksheet[[#This Row],[age]]&lt; 45,"3. Mid Adulthood (35-44)",worksheet[[#This Row],[age]]&lt; 55,"4. Mature Adulthood (45-54)",TRUE,"5. Late Adulthood/Senior (55+)")</f>
        <v>2. Early Adulthood (25-34)</v>
      </c>
      <c r="D1175" t="s">
        <v>41</v>
      </c>
      <c r="E1175" t="s">
        <v>16</v>
      </c>
      <c r="F1175" s="4">
        <v>0.4</v>
      </c>
      <c r="G1175" s="5">
        <v>9</v>
      </c>
      <c r="H1175" t="s">
        <v>33</v>
      </c>
      <c r="I1175" t="s">
        <v>57</v>
      </c>
      <c r="J1175" s="6">
        <v>8.99</v>
      </c>
      <c r="K1175">
        <v>1</v>
      </c>
      <c r="L1175" t="s">
        <v>37</v>
      </c>
      <c r="M1175" s="5">
        <v>5</v>
      </c>
      <c r="N1175" s="4">
        <v>0.04</v>
      </c>
      <c r="O1175" t="s">
        <v>20</v>
      </c>
    </row>
    <row r="1176" spans="1:15" x14ac:dyDescent="0.3">
      <c r="A1176" t="s">
        <v>3616</v>
      </c>
      <c r="B1176" s="5">
        <v>30</v>
      </c>
      <c r="C1176" s="5" t="str" cm="1">
        <f t="array" ref="C1176">_xlfn.IFS(worksheet[[#This Row],[age]]&lt;25,"1. Young Adulthood (18-24)",worksheet[[#This Row],[age]]&lt; 35,"2. Early Adulthood (25-34)",worksheet[[#This Row],[age]]&lt; 45,"3. Mid Adulthood (35-44)",worksheet[[#This Row],[age]]&lt; 55,"4. Mature Adulthood (45-54)",TRUE,"5. Late Adulthood/Senior (55+)")</f>
        <v>2. Early Adulthood (25-34)</v>
      </c>
      <c r="D1176" t="s">
        <v>41</v>
      </c>
      <c r="E1176" t="s">
        <v>16</v>
      </c>
      <c r="F1176" s="4">
        <v>0.39</v>
      </c>
      <c r="G1176" s="5">
        <v>4</v>
      </c>
      <c r="H1176" t="s">
        <v>17</v>
      </c>
      <c r="I1176" t="s">
        <v>24</v>
      </c>
      <c r="J1176" s="6">
        <v>8.99</v>
      </c>
      <c r="K1176">
        <v>1</v>
      </c>
      <c r="L1176" t="s">
        <v>61</v>
      </c>
      <c r="M1176" s="5">
        <v>2</v>
      </c>
      <c r="N1176" s="4">
        <v>0.08</v>
      </c>
      <c r="O1176" t="s">
        <v>47</v>
      </c>
    </row>
    <row r="1177" spans="1:15" x14ac:dyDescent="0.3">
      <c r="A1177" t="s">
        <v>3618</v>
      </c>
      <c r="B1177" s="5">
        <v>27</v>
      </c>
      <c r="C1177" s="5" t="str" cm="1">
        <f t="array" ref="C1177">_xlfn.IFS(worksheet[[#This Row],[age]]&lt;25,"1. Young Adulthood (18-24)",worksheet[[#This Row],[age]]&lt; 35,"2. Early Adulthood (25-34)",worksheet[[#This Row],[age]]&lt; 45,"3. Mid Adulthood (35-44)",worksheet[[#This Row],[age]]&lt; 55,"4. Mature Adulthood (45-54)",TRUE,"5. Late Adulthood/Senior (55+)")</f>
        <v>2. Early Adulthood (25-34)</v>
      </c>
      <c r="D1177" t="s">
        <v>41</v>
      </c>
      <c r="E1177" t="s">
        <v>16</v>
      </c>
      <c r="F1177" s="4">
        <v>26.34</v>
      </c>
      <c r="G1177" s="5">
        <v>18</v>
      </c>
      <c r="H1177" t="s">
        <v>70</v>
      </c>
      <c r="I1177" t="s">
        <v>55</v>
      </c>
      <c r="J1177" s="6">
        <v>8.99</v>
      </c>
      <c r="K1177">
        <v>0</v>
      </c>
      <c r="L1177" t="s">
        <v>19</v>
      </c>
      <c r="M1177" s="5">
        <v>2</v>
      </c>
      <c r="N1177" s="4">
        <v>1.39</v>
      </c>
      <c r="O1177" t="s">
        <v>39</v>
      </c>
    </row>
    <row r="1178" spans="1:15" x14ac:dyDescent="0.3">
      <c r="A1178" t="s">
        <v>3623</v>
      </c>
      <c r="B1178" s="5">
        <v>26</v>
      </c>
      <c r="C1178" s="5" t="str" cm="1">
        <f t="array" ref="C1178">_xlfn.IFS(worksheet[[#This Row],[age]]&lt;25,"1. Young Adulthood (18-24)",worksheet[[#This Row],[age]]&lt; 35,"2. Early Adulthood (25-34)",worksheet[[#This Row],[age]]&lt; 45,"3. Mid Adulthood (35-44)",worksheet[[#This Row],[age]]&lt; 55,"4. Mature Adulthood (45-54)",TRUE,"5. Late Adulthood/Senior (55+)")</f>
        <v>2. Early Adulthood (25-34)</v>
      </c>
      <c r="D1178" t="s">
        <v>27</v>
      </c>
      <c r="E1178" t="s">
        <v>16</v>
      </c>
      <c r="F1178" s="4">
        <v>0.11</v>
      </c>
      <c r="G1178" s="5">
        <v>55</v>
      </c>
      <c r="H1178" t="s">
        <v>49</v>
      </c>
      <c r="I1178" t="s">
        <v>46</v>
      </c>
      <c r="J1178" s="6">
        <v>8.99</v>
      </c>
      <c r="K1178">
        <v>1</v>
      </c>
      <c r="L1178" t="s">
        <v>29</v>
      </c>
      <c r="M1178" s="5">
        <v>4</v>
      </c>
      <c r="N1178" s="4">
        <v>0</v>
      </c>
      <c r="O1178" t="s">
        <v>25</v>
      </c>
    </row>
    <row r="1179" spans="1:15" x14ac:dyDescent="0.3">
      <c r="A1179" t="s">
        <v>3624</v>
      </c>
      <c r="B1179" s="5">
        <v>31</v>
      </c>
      <c r="C1179" s="5" t="str" cm="1">
        <f t="array" ref="C1179">_xlfn.IFS(worksheet[[#This Row],[age]]&lt;25,"1. Young Adulthood (18-24)",worksheet[[#This Row],[age]]&lt; 35,"2. Early Adulthood (25-34)",worksheet[[#This Row],[age]]&lt; 45,"3. Mid Adulthood (35-44)",worksheet[[#This Row],[age]]&lt; 55,"4. Mature Adulthood (45-54)",TRUE,"5. Late Adulthood/Senior (55+)")</f>
        <v>2. Early Adulthood (25-34)</v>
      </c>
      <c r="D1179" t="s">
        <v>41</v>
      </c>
      <c r="E1179" t="s">
        <v>16</v>
      </c>
      <c r="F1179" s="4">
        <v>7.69</v>
      </c>
      <c r="G1179" s="5">
        <v>57</v>
      </c>
      <c r="H1179" t="s">
        <v>17</v>
      </c>
      <c r="I1179" t="s">
        <v>55</v>
      </c>
      <c r="J1179" s="6">
        <v>8.99</v>
      </c>
      <c r="K1179">
        <v>1</v>
      </c>
      <c r="L1179" t="s">
        <v>37</v>
      </c>
      <c r="M1179" s="5">
        <v>2</v>
      </c>
      <c r="N1179" s="4">
        <v>0.13</v>
      </c>
      <c r="O1179" t="s">
        <v>47</v>
      </c>
    </row>
    <row r="1180" spans="1:15" x14ac:dyDescent="0.3">
      <c r="A1180" t="s">
        <v>3629</v>
      </c>
      <c r="B1180" s="5">
        <v>31</v>
      </c>
      <c r="C1180" s="5" t="str" cm="1">
        <f t="array" ref="C1180">_xlfn.IFS(worksheet[[#This Row],[age]]&lt;25,"1. Young Adulthood (18-24)",worksheet[[#This Row],[age]]&lt; 35,"2. Early Adulthood (25-34)",worksheet[[#This Row],[age]]&lt; 45,"3. Mid Adulthood (35-44)",worksheet[[#This Row],[age]]&lt; 55,"4. Mature Adulthood (45-54)",TRUE,"5. Late Adulthood/Senior (55+)")</f>
        <v>2. Early Adulthood (25-34)</v>
      </c>
      <c r="D1180" t="s">
        <v>15</v>
      </c>
      <c r="E1180" t="s">
        <v>22</v>
      </c>
      <c r="F1180" s="4">
        <v>15.37</v>
      </c>
      <c r="G1180" s="5">
        <v>4</v>
      </c>
      <c r="H1180" t="s">
        <v>49</v>
      </c>
      <c r="I1180" t="s">
        <v>46</v>
      </c>
      <c r="J1180" s="6">
        <v>13.99</v>
      </c>
      <c r="K1180">
        <v>0</v>
      </c>
      <c r="L1180" t="s">
        <v>29</v>
      </c>
      <c r="M1180" s="5">
        <v>3</v>
      </c>
      <c r="N1180" s="4">
        <v>3.07</v>
      </c>
      <c r="O1180" t="s">
        <v>47</v>
      </c>
    </row>
    <row r="1181" spans="1:15" x14ac:dyDescent="0.3">
      <c r="A1181" t="s">
        <v>3632</v>
      </c>
      <c r="B1181" s="5">
        <v>19</v>
      </c>
      <c r="C1181" s="5" t="str" cm="1">
        <f t="array" ref="C1181">_xlfn.IFS(worksheet[[#This Row],[age]]&lt;25,"1. Young Adulthood (18-24)",worksheet[[#This Row],[age]]&lt; 35,"2. Early Adulthood (25-34)",worksheet[[#This Row],[age]]&lt; 45,"3. Mid Adulthood (35-44)",worksheet[[#This Row],[age]]&lt; 55,"4. Mature Adulthood (45-54)",TRUE,"5. Late Adulthood/Senior (55+)")</f>
        <v>1. Young Adulthood (18-24)</v>
      </c>
      <c r="D1181" t="s">
        <v>15</v>
      </c>
      <c r="E1181" t="s">
        <v>16</v>
      </c>
      <c r="F1181" s="4">
        <v>5.62</v>
      </c>
      <c r="G1181" s="5">
        <v>13</v>
      </c>
      <c r="H1181" t="s">
        <v>23</v>
      </c>
      <c r="I1181" t="s">
        <v>18</v>
      </c>
      <c r="J1181" s="6">
        <v>8.99</v>
      </c>
      <c r="K1181">
        <v>0</v>
      </c>
      <c r="L1181" t="s">
        <v>43</v>
      </c>
      <c r="M1181" s="5">
        <v>4</v>
      </c>
      <c r="N1181" s="4">
        <v>0.4</v>
      </c>
      <c r="O1181" t="s">
        <v>30</v>
      </c>
    </row>
    <row r="1182" spans="1:15" x14ac:dyDescent="0.3">
      <c r="A1182" t="s">
        <v>3633</v>
      </c>
      <c r="B1182" s="5">
        <v>30</v>
      </c>
      <c r="C1182" s="5" t="str" cm="1">
        <f t="array" ref="C1182">_xlfn.IFS(worksheet[[#This Row],[age]]&lt;25,"1. Young Adulthood (18-24)",worksheet[[#This Row],[age]]&lt; 35,"2. Early Adulthood (25-34)",worksheet[[#This Row],[age]]&lt; 45,"3. Mid Adulthood (35-44)",worksheet[[#This Row],[age]]&lt; 55,"4. Mature Adulthood (45-54)",TRUE,"5. Late Adulthood/Senior (55+)")</f>
        <v>2. Early Adulthood (25-34)</v>
      </c>
      <c r="D1182" t="s">
        <v>41</v>
      </c>
      <c r="E1182" t="s">
        <v>22</v>
      </c>
      <c r="F1182" s="4">
        <v>4.62</v>
      </c>
      <c r="G1182" s="5">
        <v>46</v>
      </c>
      <c r="H1182" t="s">
        <v>23</v>
      </c>
      <c r="I1182" t="s">
        <v>46</v>
      </c>
      <c r="J1182" s="6">
        <v>13.99</v>
      </c>
      <c r="K1182">
        <v>1</v>
      </c>
      <c r="L1182" t="s">
        <v>43</v>
      </c>
      <c r="M1182" s="5">
        <v>3</v>
      </c>
      <c r="N1182" s="4">
        <v>0.1</v>
      </c>
      <c r="O1182" t="s">
        <v>20</v>
      </c>
    </row>
    <row r="1183" spans="1:15" x14ac:dyDescent="0.3">
      <c r="A1183" t="s">
        <v>3634</v>
      </c>
      <c r="B1183" s="5">
        <v>29</v>
      </c>
      <c r="C1183" s="5" t="str" cm="1">
        <f t="array" ref="C1183">_xlfn.IFS(worksheet[[#This Row],[age]]&lt;25,"1. Young Adulthood (18-24)",worksheet[[#This Row],[age]]&lt; 35,"2. Early Adulthood (25-34)",worksheet[[#This Row],[age]]&lt; 45,"3. Mid Adulthood (35-44)",worksheet[[#This Row],[age]]&lt; 55,"4. Mature Adulthood (45-54)",TRUE,"5. Late Adulthood/Senior (55+)")</f>
        <v>2. Early Adulthood (25-34)</v>
      </c>
      <c r="D1183" t="s">
        <v>41</v>
      </c>
      <c r="E1183" t="s">
        <v>16</v>
      </c>
      <c r="F1183" s="4">
        <v>26.48</v>
      </c>
      <c r="G1183" s="5">
        <v>53</v>
      </c>
      <c r="H1183" t="s">
        <v>17</v>
      </c>
      <c r="I1183" t="s">
        <v>24</v>
      </c>
      <c r="J1183" s="6">
        <v>8.99</v>
      </c>
      <c r="K1183">
        <v>1</v>
      </c>
      <c r="L1183" t="s">
        <v>37</v>
      </c>
      <c r="M1183" s="5">
        <v>3</v>
      </c>
      <c r="N1183" s="4">
        <v>0.49</v>
      </c>
      <c r="O1183" t="s">
        <v>39</v>
      </c>
    </row>
    <row r="1184" spans="1:15" x14ac:dyDescent="0.3">
      <c r="A1184" t="s">
        <v>3639</v>
      </c>
      <c r="B1184" s="5">
        <v>21</v>
      </c>
      <c r="C1184" s="5" t="str" cm="1">
        <f t="array" ref="C1184">_xlfn.IFS(worksheet[[#This Row],[age]]&lt;25,"1. Young Adulthood (18-24)",worksheet[[#This Row],[age]]&lt; 35,"2. Early Adulthood (25-34)",worksheet[[#This Row],[age]]&lt; 45,"3. Mid Adulthood (35-44)",worksheet[[#This Row],[age]]&lt; 55,"4. Mature Adulthood (45-54)",TRUE,"5. Late Adulthood/Senior (55+)")</f>
        <v>1. Young Adulthood (18-24)</v>
      </c>
      <c r="D1184" t="s">
        <v>41</v>
      </c>
      <c r="E1184" t="s">
        <v>32</v>
      </c>
      <c r="F1184" s="4">
        <v>3.13</v>
      </c>
      <c r="G1184" s="5">
        <v>53</v>
      </c>
      <c r="H1184" t="s">
        <v>28</v>
      </c>
      <c r="I1184" t="s">
        <v>24</v>
      </c>
      <c r="J1184" s="6">
        <v>17.989999999999998</v>
      </c>
      <c r="K1184">
        <v>1</v>
      </c>
      <c r="L1184" t="s">
        <v>19</v>
      </c>
      <c r="M1184" s="5">
        <v>4</v>
      </c>
      <c r="N1184" s="4">
        <v>0.06</v>
      </c>
      <c r="O1184" t="s">
        <v>30</v>
      </c>
    </row>
    <row r="1185" spans="1:15" x14ac:dyDescent="0.3">
      <c r="A1185" t="s">
        <v>3640</v>
      </c>
      <c r="B1185" s="5">
        <v>22</v>
      </c>
      <c r="C1185" s="5" t="str" cm="1">
        <f t="array" ref="C1185">_xlfn.IFS(worksheet[[#This Row],[age]]&lt;25,"1. Young Adulthood (18-24)",worksheet[[#This Row],[age]]&lt; 35,"2. Early Adulthood (25-34)",worksheet[[#This Row],[age]]&lt; 45,"3. Mid Adulthood (35-44)",worksheet[[#This Row],[age]]&lt; 55,"4. Mature Adulthood (45-54)",TRUE,"5. Late Adulthood/Senior (55+)")</f>
        <v>1. Young Adulthood (18-24)</v>
      </c>
      <c r="D1185" t="s">
        <v>27</v>
      </c>
      <c r="E1185" t="s">
        <v>16</v>
      </c>
      <c r="F1185" s="4">
        <v>11.2</v>
      </c>
      <c r="G1185" s="5">
        <v>14</v>
      </c>
      <c r="H1185" t="s">
        <v>17</v>
      </c>
      <c r="I1185" t="s">
        <v>57</v>
      </c>
      <c r="J1185" s="6">
        <v>8.99</v>
      </c>
      <c r="K1185">
        <v>0</v>
      </c>
      <c r="L1185" t="s">
        <v>19</v>
      </c>
      <c r="M1185" s="5">
        <v>4</v>
      </c>
      <c r="N1185" s="4">
        <v>0.75</v>
      </c>
      <c r="O1185" t="s">
        <v>34</v>
      </c>
    </row>
    <row r="1186" spans="1:15" x14ac:dyDescent="0.3">
      <c r="A1186" t="s">
        <v>3642</v>
      </c>
      <c r="B1186" s="5">
        <v>27</v>
      </c>
      <c r="C1186" s="5" t="str" cm="1">
        <f t="array" ref="C1186">_xlfn.IFS(worksheet[[#This Row],[age]]&lt;25,"1. Young Adulthood (18-24)",worksheet[[#This Row],[age]]&lt; 35,"2. Early Adulthood (25-34)",worksheet[[#This Row],[age]]&lt; 45,"3. Mid Adulthood (35-44)",worksheet[[#This Row],[age]]&lt; 55,"4. Mature Adulthood (45-54)",TRUE,"5. Late Adulthood/Senior (55+)")</f>
        <v>2. Early Adulthood (25-34)</v>
      </c>
      <c r="D1186" t="s">
        <v>41</v>
      </c>
      <c r="E1186" t="s">
        <v>32</v>
      </c>
      <c r="F1186" s="4">
        <v>7.92</v>
      </c>
      <c r="G1186" s="5">
        <v>9</v>
      </c>
      <c r="H1186" t="s">
        <v>49</v>
      </c>
      <c r="I1186" t="s">
        <v>55</v>
      </c>
      <c r="J1186" s="6">
        <v>17.989999999999998</v>
      </c>
      <c r="K1186">
        <v>0</v>
      </c>
      <c r="L1186" t="s">
        <v>37</v>
      </c>
      <c r="M1186" s="5">
        <v>5</v>
      </c>
      <c r="N1186" s="4">
        <v>0.79</v>
      </c>
      <c r="O1186" t="s">
        <v>34</v>
      </c>
    </row>
    <row r="1187" spans="1:15" x14ac:dyDescent="0.3">
      <c r="A1187" t="s">
        <v>3644</v>
      </c>
      <c r="B1187" s="5">
        <v>22</v>
      </c>
      <c r="C1187" s="5" t="str" cm="1">
        <f t="array" ref="C1187">_xlfn.IFS(worksheet[[#This Row],[age]]&lt;25,"1. Young Adulthood (18-24)",worksheet[[#This Row],[age]]&lt; 35,"2. Early Adulthood (25-34)",worksheet[[#This Row],[age]]&lt; 45,"3. Mid Adulthood (35-44)",worksheet[[#This Row],[age]]&lt; 55,"4. Mature Adulthood (45-54)",TRUE,"5. Late Adulthood/Senior (55+)")</f>
        <v>1. Young Adulthood (18-24)</v>
      </c>
      <c r="D1187" t="s">
        <v>27</v>
      </c>
      <c r="E1187" t="s">
        <v>16</v>
      </c>
      <c r="F1187" s="4">
        <v>5.59</v>
      </c>
      <c r="G1187" s="5">
        <v>57</v>
      </c>
      <c r="H1187" t="s">
        <v>49</v>
      </c>
      <c r="I1187" t="s">
        <v>55</v>
      </c>
      <c r="J1187" s="6">
        <v>8.99</v>
      </c>
      <c r="K1187">
        <v>1</v>
      </c>
      <c r="L1187" t="s">
        <v>19</v>
      </c>
      <c r="M1187" s="5">
        <v>3</v>
      </c>
      <c r="N1187" s="4">
        <v>0.1</v>
      </c>
      <c r="O1187" t="s">
        <v>20</v>
      </c>
    </row>
    <row r="1188" spans="1:15" x14ac:dyDescent="0.3">
      <c r="A1188" t="s">
        <v>3649</v>
      </c>
      <c r="B1188" s="5">
        <v>33</v>
      </c>
      <c r="C1188" s="5" t="str" cm="1">
        <f t="array" ref="C1188">_xlfn.IFS(worksheet[[#This Row],[age]]&lt;25,"1. Young Adulthood (18-24)",worksheet[[#This Row],[age]]&lt; 35,"2. Early Adulthood (25-34)",worksheet[[#This Row],[age]]&lt; 45,"3. Mid Adulthood (35-44)",worksheet[[#This Row],[age]]&lt; 55,"4. Mature Adulthood (45-54)",TRUE,"5. Late Adulthood/Senior (55+)")</f>
        <v>2. Early Adulthood (25-34)</v>
      </c>
      <c r="D1188" t="s">
        <v>15</v>
      </c>
      <c r="E1188" t="s">
        <v>16</v>
      </c>
      <c r="F1188" s="4">
        <v>40.049999999999997</v>
      </c>
      <c r="G1188" s="5">
        <v>47</v>
      </c>
      <c r="H1188" t="s">
        <v>23</v>
      </c>
      <c r="I1188" t="s">
        <v>57</v>
      </c>
      <c r="J1188" s="6">
        <v>8.99</v>
      </c>
      <c r="K1188">
        <v>0</v>
      </c>
      <c r="L1188" t="s">
        <v>29</v>
      </c>
      <c r="M1188" s="5">
        <v>5</v>
      </c>
      <c r="N1188" s="4">
        <v>0.83</v>
      </c>
      <c r="O1188" t="s">
        <v>34</v>
      </c>
    </row>
    <row r="1189" spans="1:15" x14ac:dyDescent="0.3">
      <c r="A1189" t="s">
        <v>3658</v>
      </c>
      <c r="B1189" s="5">
        <v>22</v>
      </c>
      <c r="C1189" s="5" t="str" cm="1">
        <f t="array" ref="C1189">_xlfn.IFS(worksheet[[#This Row],[age]]&lt;25,"1. Young Adulthood (18-24)",worksheet[[#This Row],[age]]&lt; 35,"2. Early Adulthood (25-34)",worksheet[[#This Row],[age]]&lt; 45,"3. Mid Adulthood (35-44)",worksheet[[#This Row],[age]]&lt; 55,"4. Mature Adulthood (45-54)",TRUE,"5. Late Adulthood/Senior (55+)")</f>
        <v>1. Young Adulthood (18-24)</v>
      </c>
      <c r="D1189" t="s">
        <v>15</v>
      </c>
      <c r="E1189" t="s">
        <v>16</v>
      </c>
      <c r="F1189" s="4">
        <v>25.18</v>
      </c>
      <c r="G1189" s="5">
        <v>39</v>
      </c>
      <c r="H1189" t="s">
        <v>33</v>
      </c>
      <c r="I1189" t="s">
        <v>18</v>
      </c>
      <c r="J1189" s="6">
        <v>8.99</v>
      </c>
      <c r="K1189">
        <v>0</v>
      </c>
      <c r="L1189" t="s">
        <v>37</v>
      </c>
      <c r="M1189" s="5">
        <v>5</v>
      </c>
      <c r="N1189" s="4">
        <v>0.63</v>
      </c>
      <c r="O1189" t="s">
        <v>20</v>
      </c>
    </row>
    <row r="1190" spans="1:15" x14ac:dyDescent="0.3">
      <c r="A1190" t="s">
        <v>3664</v>
      </c>
      <c r="B1190" s="5">
        <v>19</v>
      </c>
      <c r="C1190" s="5" t="str" cm="1">
        <f t="array" ref="C1190">_xlfn.IFS(worksheet[[#This Row],[age]]&lt;25,"1. Young Adulthood (18-24)",worksheet[[#This Row],[age]]&lt; 35,"2. Early Adulthood (25-34)",worksheet[[#This Row],[age]]&lt; 45,"3. Mid Adulthood (35-44)",worksheet[[#This Row],[age]]&lt; 55,"4. Mature Adulthood (45-54)",TRUE,"5. Late Adulthood/Senior (55+)")</f>
        <v>1. Young Adulthood (18-24)</v>
      </c>
      <c r="D1190" t="s">
        <v>27</v>
      </c>
      <c r="E1190" t="s">
        <v>22</v>
      </c>
      <c r="F1190" s="4">
        <v>5.42</v>
      </c>
      <c r="G1190" s="5">
        <v>60</v>
      </c>
      <c r="H1190" t="s">
        <v>70</v>
      </c>
      <c r="I1190" t="s">
        <v>18</v>
      </c>
      <c r="J1190" s="6">
        <v>13.99</v>
      </c>
      <c r="K1190">
        <v>1</v>
      </c>
      <c r="L1190" t="s">
        <v>61</v>
      </c>
      <c r="M1190" s="5">
        <v>1</v>
      </c>
      <c r="N1190" s="4">
        <v>0.09</v>
      </c>
      <c r="O1190" t="s">
        <v>47</v>
      </c>
    </row>
    <row r="1191" spans="1:15" x14ac:dyDescent="0.3">
      <c r="A1191" t="s">
        <v>3669</v>
      </c>
      <c r="B1191" s="5">
        <v>33</v>
      </c>
      <c r="C1191" s="5" t="str" cm="1">
        <f t="array" ref="C1191">_xlfn.IFS(worksheet[[#This Row],[age]]&lt;25,"1. Young Adulthood (18-24)",worksheet[[#This Row],[age]]&lt; 35,"2. Early Adulthood (25-34)",worksheet[[#This Row],[age]]&lt; 45,"3. Mid Adulthood (35-44)",worksheet[[#This Row],[age]]&lt; 55,"4. Mature Adulthood (45-54)",TRUE,"5. Late Adulthood/Senior (55+)")</f>
        <v>2. Early Adulthood (25-34)</v>
      </c>
      <c r="D1191" t="s">
        <v>27</v>
      </c>
      <c r="E1191" t="s">
        <v>22</v>
      </c>
      <c r="F1191" s="4">
        <v>13.21</v>
      </c>
      <c r="G1191" s="5">
        <v>21</v>
      </c>
      <c r="H1191" t="s">
        <v>33</v>
      </c>
      <c r="I1191" t="s">
        <v>57</v>
      </c>
      <c r="J1191" s="6">
        <v>13.99</v>
      </c>
      <c r="K1191">
        <v>0</v>
      </c>
      <c r="L1191" t="s">
        <v>37</v>
      </c>
      <c r="M1191" s="5">
        <v>4</v>
      </c>
      <c r="N1191" s="4">
        <v>0.6</v>
      </c>
      <c r="O1191" t="s">
        <v>47</v>
      </c>
    </row>
    <row r="1192" spans="1:15" x14ac:dyDescent="0.3">
      <c r="A1192" t="s">
        <v>3675</v>
      </c>
      <c r="B1192" s="5">
        <v>25</v>
      </c>
      <c r="C1192" s="5" t="str" cm="1">
        <f t="array" ref="C1192">_xlfn.IFS(worksheet[[#This Row],[age]]&lt;25,"1. Young Adulthood (18-24)",worksheet[[#This Row],[age]]&lt; 35,"2. Early Adulthood (25-34)",worksheet[[#This Row],[age]]&lt; 45,"3. Mid Adulthood (35-44)",worksheet[[#This Row],[age]]&lt; 55,"4. Mature Adulthood (45-54)",TRUE,"5. Late Adulthood/Senior (55+)")</f>
        <v>2. Early Adulthood (25-34)</v>
      </c>
      <c r="D1192" t="s">
        <v>15</v>
      </c>
      <c r="E1192" t="s">
        <v>32</v>
      </c>
      <c r="F1192" s="4">
        <v>0.56999999999999995</v>
      </c>
      <c r="G1192" s="5">
        <v>53</v>
      </c>
      <c r="H1192" t="s">
        <v>70</v>
      </c>
      <c r="I1192" t="s">
        <v>24</v>
      </c>
      <c r="J1192" s="6">
        <v>17.989999999999998</v>
      </c>
      <c r="K1192">
        <v>1</v>
      </c>
      <c r="L1192" t="s">
        <v>43</v>
      </c>
      <c r="M1192" s="5">
        <v>4</v>
      </c>
      <c r="N1192" s="4">
        <v>0.01</v>
      </c>
      <c r="O1192" t="s">
        <v>39</v>
      </c>
    </row>
    <row r="1193" spans="1:15" x14ac:dyDescent="0.3">
      <c r="A1193" t="s">
        <v>3683</v>
      </c>
      <c r="B1193" s="5">
        <v>20</v>
      </c>
      <c r="C1193" s="5" t="str" cm="1">
        <f t="array" ref="C1193">_xlfn.IFS(worksheet[[#This Row],[age]]&lt;25,"1. Young Adulthood (18-24)",worksheet[[#This Row],[age]]&lt; 35,"2. Early Adulthood (25-34)",worksheet[[#This Row],[age]]&lt; 45,"3. Mid Adulthood (35-44)",worksheet[[#This Row],[age]]&lt; 55,"4. Mature Adulthood (45-54)",TRUE,"5. Late Adulthood/Senior (55+)")</f>
        <v>1. Young Adulthood (18-24)</v>
      </c>
      <c r="D1193" t="s">
        <v>41</v>
      </c>
      <c r="E1193" t="s">
        <v>22</v>
      </c>
      <c r="F1193" s="4">
        <v>2.97</v>
      </c>
      <c r="G1193" s="5">
        <v>35</v>
      </c>
      <c r="H1193" t="s">
        <v>49</v>
      </c>
      <c r="I1193" t="s">
        <v>18</v>
      </c>
      <c r="J1193" s="6">
        <v>13.99</v>
      </c>
      <c r="K1193">
        <v>1</v>
      </c>
      <c r="L1193" t="s">
        <v>43</v>
      </c>
      <c r="M1193" s="5">
        <v>2</v>
      </c>
      <c r="N1193" s="4">
        <v>0.08</v>
      </c>
      <c r="O1193" t="s">
        <v>39</v>
      </c>
    </row>
    <row r="1194" spans="1:15" x14ac:dyDescent="0.3">
      <c r="A1194" t="s">
        <v>3684</v>
      </c>
      <c r="B1194" s="5">
        <v>18</v>
      </c>
      <c r="C1194" s="5" t="str" cm="1">
        <f t="array" ref="C1194">_xlfn.IFS(worksheet[[#This Row],[age]]&lt;25,"1. Young Adulthood (18-24)",worksheet[[#This Row],[age]]&lt; 35,"2. Early Adulthood (25-34)",worksheet[[#This Row],[age]]&lt; 45,"3. Mid Adulthood (35-44)",worksheet[[#This Row],[age]]&lt; 55,"4. Mature Adulthood (45-54)",TRUE,"5. Late Adulthood/Senior (55+)")</f>
        <v>1. Young Adulthood (18-24)</v>
      </c>
      <c r="D1194" t="s">
        <v>41</v>
      </c>
      <c r="E1194" t="s">
        <v>22</v>
      </c>
      <c r="F1194" s="4">
        <v>28.66</v>
      </c>
      <c r="G1194" s="5">
        <v>0</v>
      </c>
      <c r="H1194" t="s">
        <v>33</v>
      </c>
      <c r="I1194" t="s">
        <v>55</v>
      </c>
      <c r="J1194" s="6">
        <v>13.99</v>
      </c>
      <c r="K1194">
        <v>0</v>
      </c>
      <c r="L1194" t="s">
        <v>19</v>
      </c>
      <c r="M1194" s="5">
        <v>5</v>
      </c>
      <c r="N1194" s="4">
        <v>28.66</v>
      </c>
      <c r="O1194" t="s">
        <v>30</v>
      </c>
    </row>
    <row r="1195" spans="1:15" x14ac:dyDescent="0.3">
      <c r="A1195" t="s">
        <v>3685</v>
      </c>
      <c r="B1195" s="5">
        <v>26</v>
      </c>
      <c r="C1195" s="5" t="str" cm="1">
        <f t="array" ref="C1195">_xlfn.IFS(worksheet[[#This Row],[age]]&lt;25,"1. Young Adulthood (18-24)",worksheet[[#This Row],[age]]&lt; 35,"2. Early Adulthood (25-34)",worksheet[[#This Row],[age]]&lt; 45,"3. Mid Adulthood (35-44)",worksheet[[#This Row],[age]]&lt; 55,"4. Mature Adulthood (45-54)",TRUE,"5. Late Adulthood/Senior (55+)")</f>
        <v>2. Early Adulthood (25-34)</v>
      </c>
      <c r="D1195" t="s">
        <v>15</v>
      </c>
      <c r="E1195" t="s">
        <v>22</v>
      </c>
      <c r="F1195" s="4">
        <v>2</v>
      </c>
      <c r="G1195" s="5">
        <v>11</v>
      </c>
      <c r="H1195" t="s">
        <v>17</v>
      </c>
      <c r="I1195" t="s">
        <v>55</v>
      </c>
      <c r="J1195" s="6">
        <v>13.99</v>
      </c>
      <c r="K1195">
        <v>1</v>
      </c>
      <c r="L1195" t="s">
        <v>43</v>
      </c>
      <c r="M1195" s="5">
        <v>3</v>
      </c>
      <c r="N1195" s="4">
        <v>0.17</v>
      </c>
      <c r="O1195" t="s">
        <v>52</v>
      </c>
    </row>
    <row r="1196" spans="1:15" x14ac:dyDescent="0.3">
      <c r="A1196" t="s">
        <v>3691</v>
      </c>
      <c r="B1196" s="5">
        <v>24</v>
      </c>
      <c r="C1196" s="5" t="str" cm="1">
        <f t="array" ref="C1196">_xlfn.IFS(worksheet[[#This Row],[age]]&lt;25,"1. Young Adulthood (18-24)",worksheet[[#This Row],[age]]&lt; 35,"2. Early Adulthood (25-34)",worksheet[[#This Row],[age]]&lt; 45,"3. Mid Adulthood (35-44)",worksheet[[#This Row],[age]]&lt; 55,"4. Mature Adulthood (45-54)",TRUE,"5. Late Adulthood/Senior (55+)")</f>
        <v>1. Young Adulthood (18-24)</v>
      </c>
      <c r="D1196" t="s">
        <v>15</v>
      </c>
      <c r="E1196" t="s">
        <v>32</v>
      </c>
      <c r="F1196" s="4">
        <v>6.21</v>
      </c>
      <c r="G1196" s="5">
        <v>25</v>
      </c>
      <c r="H1196" t="s">
        <v>49</v>
      </c>
      <c r="I1196" t="s">
        <v>55</v>
      </c>
      <c r="J1196" s="6">
        <v>17.989999999999998</v>
      </c>
      <c r="K1196">
        <v>0</v>
      </c>
      <c r="L1196" t="s">
        <v>43</v>
      </c>
      <c r="M1196" s="5">
        <v>4</v>
      </c>
      <c r="N1196" s="4">
        <v>0.24</v>
      </c>
      <c r="O1196" t="s">
        <v>34</v>
      </c>
    </row>
    <row r="1197" spans="1:15" x14ac:dyDescent="0.3">
      <c r="A1197" t="s">
        <v>3694</v>
      </c>
      <c r="B1197" s="5">
        <v>20</v>
      </c>
      <c r="C1197" s="5" t="str" cm="1">
        <f t="array" ref="C1197">_xlfn.IFS(worksheet[[#This Row],[age]]&lt;25,"1. Young Adulthood (18-24)",worksheet[[#This Row],[age]]&lt; 35,"2. Early Adulthood (25-34)",worksheet[[#This Row],[age]]&lt; 45,"3. Mid Adulthood (35-44)",worksheet[[#This Row],[age]]&lt; 55,"4. Mature Adulthood (45-54)",TRUE,"5. Late Adulthood/Senior (55+)")</f>
        <v>1. Young Adulthood (18-24)</v>
      </c>
      <c r="D1197" t="s">
        <v>15</v>
      </c>
      <c r="E1197" t="s">
        <v>22</v>
      </c>
      <c r="F1197" s="4">
        <v>11.07</v>
      </c>
      <c r="G1197" s="5">
        <v>23</v>
      </c>
      <c r="H1197" t="s">
        <v>70</v>
      </c>
      <c r="I1197" t="s">
        <v>46</v>
      </c>
      <c r="J1197" s="6">
        <v>13.99</v>
      </c>
      <c r="K1197">
        <v>0</v>
      </c>
      <c r="L1197" t="s">
        <v>43</v>
      </c>
      <c r="M1197" s="5">
        <v>1</v>
      </c>
      <c r="N1197" s="4">
        <v>0.46</v>
      </c>
      <c r="O1197" t="s">
        <v>34</v>
      </c>
    </row>
    <row r="1198" spans="1:15" x14ac:dyDescent="0.3">
      <c r="A1198" t="s">
        <v>3700</v>
      </c>
      <c r="B1198" s="5">
        <v>22</v>
      </c>
      <c r="C1198" s="5" t="str" cm="1">
        <f t="array" ref="C1198">_xlfn.IFS(worksheet[[#This Row],[age]]&lt;25,"1. Young Adulthood (18-24)",worksheet[[#This Row],[age]]&lt; 35,"2. Early Adulthood (25-34)",worksheet[[#This Row],[age]]&lt; 45,"3. Mid Adulthood (35-44)",worksheet[[#This Row],[age]]&lt; 55,"4. Mature Adulthood (45-54)",TRUE,"5. Late Adulthood/Senior (55+)")</f>
        <v>1. Young Adulthood (18-24)</v>
      </c>
      <c r="D1198" t="s">
        <v>27</v>
      </c>
      <c r="E1198" t="s">
        <v>32</v>
      </c>
      <c r="F1198" s="4">
        <v>0.79</v>
      </c>
      <c r="G1198" s="5">
        <v>17</v>
      </c>
      <c r="H1198" t="s">
        <v>70</v>
      </c>
      <c r="I1198" t="s">
        <v>24</v>
      </c>
      <c r="J1198" s="6">
        <v>17.989999999999998</v>
      </c>
      <c r="K1198">
        <v>1</v>
      </c>
      <c r="L1198" t="s">
        <v>29</v>
      </c>
      <c r="M1198" s="5">
        <v>4</v>
      </c>
      <c r="N1198" s="4">
        <v>0.04</v>
      </c>
      <c r="O1198" t="s">
        <v>34</v>
      </c>
    </row>
    <row r="1199" spans="1:15" x14ac:dyDescent="0.3">
      <c r="A1199" t="s">
        <v>3701</v>
      </c>
      <c r="B1199" s="5">
        <v>19</v>
      </c>
      <c r="C1199" s="5" t="str" cm="1">
        <f t="array" ref="C1199">_xlfn.IFS(worksheet[[#This Row],[age]]&lt;25,"1. Young Adulthood (18-24)",worksheet[[#This Row],[age]]&lt; 35,"2. Early Adulthood (25-34)",worksheet[[#This Row],[age]]&lt; 45,"3. Mid Adulthood (35-44)",worksheet[[#This Row],[age]]&lt; 55,"4. Mature Adulthood (45-54)",TRUE,"5. Late Adulthood/Senior (55+)")</f>
        <v>1. Young Adulthood (18-24)</v>
      </c>
      <c r="D1199" t="s">
        <v>27</v>
      </c>
      <c r="E1199" t="s">
        <v>22</v>
      </c>
      <c r="F1199" s="4">
        <v>13.89</v>
      </c>
      <c r="G1199" s="5">
        <v>30</v>
      </c>
      <c r="H1199" t="s">
        <v>28</v>
      </c>
      <c r="I1199" t="s">
        <v>55</v>
      </c>
      <c r="J1199" s="6">
        <v>13.99</v>
      </c>
      <c r="K1199">
        <v>0</v>
      </c>
      <c r="L1199" t="s">
        <v>29</v>
      </c>
      <c r="M1199" s="5">
        <v>3</v>
      </c>
      <c r="N1199" s="4">
        <v>0.45</v>
      </c>
      <c r="O1199" t="s">
        <v>25</v>
      </c>
    </row>
    <row r="1200" spans="1:15" x14ac:dyDescent="0.3">
      <c r="A1200" t="s">
        <v>3704</v>
      </c>
      <c r="B1200" s="5">
        <v>34</v>
      </c>
      <c r="C1200" s="5" t="str" cm="1">
        <f t="array" ref="C1200">_xlfn.IFS(worksheet[[#This Row],[age]]&lt;25,"1. Young Adulthood (18-24)",worksheet[[#This Row],[age]]&lt; 35,"2. Early Adulthood (25-34)",worksheet[[#This Row],[age]]&lt; 45,"3. Mid Adulthood (35-44)",worksheet[[#This Row],[age]]&lt; 55,"4. Mature Adulthood (45-54)",TRUE,"5. Late Adulthood/Senior (55+)")</f>
        <v>2. Early Adulthood (25-34)</v>
      </c>
      <c r="D1200" t="s">
        <v>27</v>
      </c>
      <c r="E1200" t="s">
        <v>16</v>
      </c>
      <c r="F1200" s="4">
        <v>13.6</v>
      </c>
      <c r="G1200" s="5">
        <v>1</v>
      </c>
      <c r="H1200" t="s">
        <v>70</v>
      </c>
      <c r="I1200" t="s">
        <v>24</v>
      </c>
      <c r="J1200" s="6">
        <v>8.99</v>
      </c>
      <c r="K1200">
        <v>0</v>
      </c>
      <c r="L1200" t="s">
        <v>37</v>
      </c>
      <c r="M1200" s="5">
        <v>2</v>
      </c>
      <c r="N1200" s="4">
        <v>6.8</v>
      </c>
      <c r="O1200" t="s">
        <v>39</v>
      </c>
    </row>
    <row r="1201" spans="1:15" x14ac:dyDescent="0.3">
      <c r="A1201" t="s">
        <v>3706</v>
      </c>
      <c r="B1201" s="5">
        <v>26</v>
      </c>
      <c r="C1201" s="5" t="str" cm="1">
        <f t="array" ref="C1201">_xlfn.IFS(worksheet[[#This Row],[age]]&lt;25,"1. Young Adulthood (18-24)",worksheet[[#This Row],[age]]&lt; 35,"2. Early Adulthood (25-34)",worksheet[[#This Row],[age]]&lt; 45,"3. Mid Adulthood (35-44)",worksheet[[#This Row],[age]]&lt; 55,"4. Mature Adulthood (45-54)",TRUE,"5. Late Adulthood/Senior (55+)")</f>
        <v>2. Early Adulthood (25-34)</v>
      </c>
      <c r="D1201" t="s">
        <v>41</v>
      </c>
      <c r="E1201" t="s">
        <v>32</v>
      </c>
      <c r="F1201" s="4">
        <v>16.34</v>
      </c>
      <c r="G1201" s="5">
        <v>5</v>
      </c>
      <c r="H1201" t="s">
        <v>28</v>
      </c>
      <c r="I1201" t="s">
        <v>18</v>
      </c>
      <c r="J1201" s="6">
        <v>17.989999999999998</v>
      </c>
      <c r="K1201">
        <v>0</v>
      </c>
      <c r="L1201" t="s">
        <v>61</v>
      </c>
      <c r="M1201" s="5">
        <v>2</v>
      </c>
      <c r="N1201" s="4">
        <v>2.72</v>
      </c>
      <c r="O1201" t="s">
        <v>30</v>
      </c>
    </row>
    <row r="1202" spans="1:15" x14ac:dyDescent="0.3">
      <c r="A1202" t="s">
        <v>3712</v>
      </c>
      <c r="B1202" s="5">
        <v>26</v>
      </c>
      <c r="C1202" s="5" t="str" cm="1">
        <f t="array" ref="C1202">_xlfn.IFS(worksheet[[#This Row],[age]]&lt;25,"1. Young Adulthood (18-24)",worksheet[[#This Row],[age]]&lt; 35,"2. Early Adulthood (25-34)",worksheet[[#This Row],[age]]&lt; 45,"3. Mid Adulthood (35-44)",worksheet[[#This Row],[age]]&lt; 55,"4. Mature Adulthood (45-54)",TRUE,"5. Late Adulthood/Senior (55+)")</f>
        <v>2. Early Adulthood (25-34)</v>
      </c>
      <c r="D1202" t="s">
        <v>41</v>
      </c>
      <c r="E1202" t="s">
        <v>22</v>
      </c>
      <c r="F1202" s="4">
        <v>3.81</v>
      </c>
      <c r="G1202" s="5">
        <v>41</v>
      </c>
      <c r="H1202" t="s">
        <v>49</v>
      </c>
      <c r="I1202" t="s">
        <v>18</v>
      </c>
      <c r="J1202" s="6">
        <v>13.99</v>
      </c>
      <c r="K1202">
        <v>1</v>
      </c>
      <c r="L1202" t="s">
        <v>29</v>
      </c>
      <c r="M1202" s="5">
        <v>4</v>
      </c>
      <c r="N1202" s="4">
        <v>0.09</v>
      </c>
      <c r="O1202" t="s">
        <v>52</v>
      </c>
    </row>
    <row r="1203" spans="1:15" x14ac:dyDescent="0.3">
      <c r="A1203" t="s">
        <v>3715</v>
      </c>
      <c r="B1203" s="5">
        <v>18</v>
      </c>
      <c r="C1203" s="5" t="str" cm="1">
        <f t="array" ref="C1203">_xlfn.IFS(worksheet[[#This Row],[age]]&lt;25,"1. Young Adulthood (18-24)",worksheet[[#This Row],[age]]&lt; 35,"2. Early Adulthood (25-34)",worksheet[[#This Row],[age]]&lt; 45,"3. Mid Adulthood (35-44)",worksheet[[#This Row],[age]]&lt; 55,"4. Mature Adulthood (45-54)",TRUE,"5. Late Adulthood/Senior (55+)")</f>
        <v>1. Young Adulthood (18-24)</v>
      </c>
      <c r="D1203" t="s">
        <v>27</v>
      </c>
      <c r="E1203" t="s">
        <v>16</v>
      </c>
      <c r="F1203" s="4">
        <v>0.33</v>
      </c>
      <c r="G1203" s="5">
        <v>28</v>
      </c>
      <c r="H1203" t="s">
        <v>33</v>
      </c>
      <c r="I1203" t="s">
        <v>57</v>
      </c>
      <c r="J1203" s="6">
        <v>8.99</v>
      </c>
      <c r="K1203">
        <v>1</v>
      </c>
      <c r="L1203" t="s">
        <v>43</v>
      </c>
      <c r="M1203" s="5">
        <v>3</v>
      </c>
      <c r="N1203" s="4">
        <v>0.01</v>
      </c>
      <c r="O1203" t="s">
        <v>20</v>
      </c>
    </row>
    <row r="1204" spans="1:15" x14ac:dyDescent="0.3">
      <c r="A1204" t="s">
        <v>3716</v>
      </c>
      <c r="B1204" s="5">
        <v>30</v>
      </c>
      <c r="C1204" s="5" t="str" cm="1">
        <f t="array" ref="C1204">_xlfn.IFS(worksheet[[#This Row],[age]]&lt;25,"1. Young Adulthood (18-24)",worksheet[[#This Row],[age]]&lt; 35,"2. Early Adulthood (25-34)",worksheet[[#This Row],[age]]&lt; 45,"3. Mid Adulthood (35-44)",worksheet[[#This Row],[age]]&lt; 55,"4. Mature Adulthood (45-54)",TRUE,"5. Late Adulthood/Senior (55+)")</f>
        <v>2. Early Adulthood (25-34)</v>
      </c>
      <c r="D1204" t="s">
        <v>15</v>
      </c>
      <c r="E1204" t="s">
        <v>22</v>
      </c>
      <c r="F1204" s="4">
        <v>7.51</v>
      </c>
      <c r="G1204" s="5">
        <v>45</v>
      </c>
      <c r="H1204" t="s">
        <v>23</v>
      </c>
      <c r="I1204" t="s">
        <v>57</v>
      </c>
      <c r="J1204" s="6">
        <v>13.99</v>
      </c>
      <c r="K1204">
        <v>1</v>
      </c>
      <c r="L1204" t="s">
        <v>29</v>
      </c>
      <c r="M1204" s="5">
        <v>3</v>
      </c>
      <c r="N1204" s="4">
        <v>0.16</v>
      </c>
      <c r="O1204" t="s">
        <v>34</v>
      </c>
    </row>
    <row r="1205" spans="1:15" x14ac:dyDescent="0.3">
      <c r="A1205" t="s">
        <v>3719</v>
      </c>
      <c r="B1205" s="5">
        <v>18</v>
      </c>
      <c r="C1205" s="5" t="str" cm="1">
        <f t="array" ref="C1205">_xlfn.IFS(worksheet[[#This Row],[age]]&lt;25,"1. Young Adulthood (18-24)",worksheet[[#This Row],[age]]&lt; 35,"2. Early Adulthood (25-34)",worksheet[[#This Row],[age]]&lt; 45,"3. Mid Adulthood (35-44)",worksheet[[#This Row],[age]]&lt; 55,"4. Mature Adulthood (45-54)",TRUE,"5. Late Adulthood/Senior (55+)")</f>
        <v>1. Young Adulthood (18-24)</v>
      </c>
      <c r="D1205" t="s">
        <v>27</v>
      </c>
      <c r="E1205" t="s">
        <v>22</v>
      </c>
      <c r="F1205" s="4">
        <v>0.27</v>
      </c>
      <c r="G1205" s="5">
        <v>20</v>
      </c>
      <c r="H1205" t="s">
        <v>33</v>
      </c>
      <c r="I1205" t="s">
        <v>55</v>
      </c>
      <c r="J1205" s="6">
        <v>13.99</v>
      </c>
      <c r="K1205">
        <v>1</v>
      </c>
      <c r="L1205" t="s">
        <v>61</v>
      </c>
      <c r="M1205" s="5">
        <v>1</v>
      </c>
      <c r="N1205" s="4">
        <v>0.01</v>
      </c>
      <c r="O1205" t="s">
        <v>47</v>
      </c>
    </row>
    <row r="1206" spans="1:15" x14ac:dyDescent="0.3">
      <c r="A1206" t="s">
        <v>3722</v>
      </c>
      <c r="B1206" s="5">
        <v>29</v>
      </c>
      <c r="C1206" s="5" t="str" cm="1">
        <f t="array" ref="C1206">_xlfn.IFS(worksheet[[#This Row],[age]]&lt;25,"1. Young Adulthood (18-24)",worksheet[[#This Row],[age]]&lt; 35,"2. Early Adulthood (25-34)",worksheet[[#This Row],[age]]&lt; 45,"3. Mid Adulthood (35-44)",worksheet[[#This Row],[age]]&lt; 55,"4. Mature Adulthood (45-54)",TRUE,"5. Late Adulthood/Senior (55+)")</f>
        <v>2. Early Adulthood (25-34)</v>
      </c>
      <c r="D1206" t="s">
        <v>15</v>
      </c>
      <c r="E1206" t="s">
        <v>32</v>
      </c>
      <c r="F1206" s="4">
        <v>8.1300000000000008</v>
      </c>
      <c r="G1206" s="5">
        <v>17</v>
      </c>
      <c r="H1206" t="s">
        <v>33</v>
      </c>
      <c r="I1206" t="s">
        <v>18</v>
      </c>
      <c r="J1206" s="6">
        <v>17.989999999999998</v>
      </c>
      <c r="K1206">
        <v>0</v>
      </c>
      <c r="L1206" t="s">
        <v>61</v>
      </c>
      <c r="M1206" s="5">
        <v>2</v>
      </c>
      <c r="N1206" s="4">
        <v>0.45</v>
      </c>
      <c r="O1206" t="s">
        <v>25</v>
      </c>
    </row>
    <row r="1207" spans="1:15" x14ac:dyDescent="0.3">
      <c r="A1207" t="s">
        <v>3729</v>
      </c>
      <c r="B1207" s="5">
        <v>26</v>
      </c>
      <c r="C1207" s="5" t="str" cm="1">
        <f t="array" ref="C1207">_xlfn.IFS(worksheet[[#This Row],[age]]&lt;25,"1. Young Adulthood (18-24)",worksheet[[#This Row],[age]]&lt; 35,"2. Early Adulthood (25-34)",worksheet[[#This Row],[age]]&lt; 45,"3. Mid Adulthood (35-44)",worksheet[[#This Row],[age]]&lt; 55,"4. Mature Adulthood (45-54)",TRUE,"5. Late Adulthood/Senior (55+)")</f>
        <v>2. Early Adulthood (25-34)</v>
      </c>
      <c r="D1207" t="s">
        <v>27</v>
      </c>
      <c r="E1207" t="s">
        <v>32</v>
      </c>
      <c r="F1207" s="4">
        <v>4.66</v>
      </c>
      <c r="G1207" s="5">
        <v>38</v>
      </c>
      <c r="H1207" t="s">
        <v>49</v>
      </c>
      <c r="I1207" t="s">
        <v>46</v>
      </c>
      <c r="J1207" s="6">
        <v>17.989999999999998</v>
      </c>
      <c r="K1207">
        <v>1</v>
      </c>
      <c r="L1207" t="s">
        <v>37</v>
      </c>
      <c r="M1207" s="5">
        <v>5</v>
      </c>
      <c r="N1207" s="4">
        <v>0.12</v>
      </c>
      <c r="O1207" t="s">
        <v>52</v>
      </c>
    </row>
    <row r="1208" spans="1:15" x14ac:dyDescent="0.3">
      <c r="A1208" t="s">
        <v>3730</v>
      </c>
      <c r="B1208" s="5">
        <v>34</v>
      </c>
      <c r="C1208" s="5" t="str" cm="1">
        <f t="array" ref="C1208">_xlfn.IFS(worksheet[[#This Row],[age]]&lt;25,"1. Young Adulthood (18-24)",worksheet[[#This Row],[age]]&lt; 35,"2. Early Adulthood (25-34)",worksheet[[#This Row],[age]]&lt; 45,"3. Mid Adulthood (35-44)",worksheet[[#This Row],[age]]&lt; 55,"4. Mature Adulthood (45-54)",TRUE,"5. Late Adulthood/Senior (55+)")</f>
        <v>2. Early Adulthood (25-34)</v>
      </c>
      <c r="D1208" t="s">
        <v>27</v>
      </c>
      <c r="E1208" t="s">
        <v>16</v>
      </c>
      <c r="F1208" s="4">
        <v>18.39</v>
      </c>
      <c r="G1208" s="5">
        <v>53</v>
      </c>
      <c r="H1208" t="s">
        <v>33</v>
      </c>
      <c r="I1208" t="s">
        <v>46</v>
      </c>
      <c r="J1208" s="6">
        <v>8.99</v>
      </c>
      <c r="K1208">
        <v>1</v>
      </c>
      <c r="L1208" t="s">
        <v>37</v>
      </c>
      <c r="M1208" s="5">
        <v>1</v>
      </c>
      <c r="N1208" s="4">
        <v>0.34</v>
      </c>
      <c r="O1208" t="s">
        <v>20</v>
      </c>
    </row>
    <row r="1209" spans="1:15" x14ac:dyDescent="0.3">
      <c r="A1209" t="s">
        <v>3731</v>
      </c>
      <c r="B1209" s="5">
        <v>18</v>
      </c>
      <c r="C1209" s="5" t="str" cm="1">
        <f t="array" ref="C1209">_xlfn.IFS(worksheet[[#This Row],[age]]&lt;25,"1. Young Adulthood (18-24)",worksheet[[#This Row],[age]]&lt; 35,"2. Early Adulthood (25-34)",worksheet[[#This Row],[age]]&lt; 45,"3. Mid Adulthood (35-44)",worksheet[[#This Row],[age]]&lt; 55,"4. Mature Adulthood (45-54)",TRUE,"5. Late Adulthood/Senior (55+)")</f>
        <v>1. Young Adulthood (18-24)</v>
      </c>
      <c r="D1209" t="s">
        <v>41</v>
      </c>
      <c r="E1209" t="s">
        <v>22</v>
      </c>
      <c r="F1209" s="4">
        <v>3.03</v>
      </c>
      <c r="G1209" s="5">
        <v>22</v>
      </c>
      <c r="H1209" t="s">
        <v>33</v>
      </c>
      <c r="I1209" t="s">
        <v>57</v>
      </c>
      <c r="J1209" s="6">
        <v>13.99</v>
      </c>
      <c r="K1209">
        <v>1</v>
      </c>
      <c r="L1209" t="s">
        <v>19</v>
      </c>
      <c r="M1209" s="5">
        <v>5</v>
      </c>
      <c r="N1209" s="4">
        <v>0.13</v>
      </c>
      <c r="O1209" t="s">
        <v>20</v>
      </c>
    </row>
    <row r="1210" spans="1:15" x14ac:dyDescent="0.3">
      <c r="A1210" t="s">
        <v>3734</v>
      </c>
      <c r="B1210" s="5">
        <v>20</v>
      </c>
      <c r="C1210" s="5" t="str" cm="1">
        <f t="array" ref="C1210">_xlfn.IFS(worksheet[[#This Row],[age]]&lt;25,"1. Young Adulthood (18-24)",worksheet[[#This Row],[age]]&lt; 35,"2. Early Adulthood (25-34)",worksheet[[#This Row],[age]]&lt; 45,"3. Mid Adulthood (35-44)",worksheet[[#This Row],[age]]&lt; 55,"4. Mature Adulthood (45-54)",TRUE,"5. Late Adulthood/Senior (55+)")</f>
        <v>1. Young Adulthood (18-24)</v>
      </c>
      <c r="D1210" t="s">
        <v>41</v>
      </c>
      <c r="E1210" t="s">
        <v>16</v>
      </c>
      <c r="F1210" s="4">
        <v>1.81</v>
      </c>
      <c r="G1210" s="5">
        <v>0</v>
      </c>
      <c r="H1210" t="s">
        <v>17</v>
      </c>
      <c r="I1210" t="s">
        <v>24</v>
      </c>
      <c r="J1210" s="6">
        <v>8.99</v>
      </c>
      <c r="K1210">
        <v>0</v>
      </c>
      <c r="L1210" t="s">
        <v>61</v>
      </c>
      <c r="M1210" s="5">
        <v>3</v>
      </c>
      <c r="N1210" s="4">
        <v>1.81</v>
      </c>
      <c r="O1210" t="s">
        <v>25</v>
      </c>
    </row>
    <row r="1211" spans="1:15" x14ac:dyDescent="0.3">
      <c r="A1211" t="s">
        <v>3735</v>
      </c>
      <c r="B1211" s="5">
        <v>21</v>
      </c>
      <c r="C1211" s="5" t="str" cm="1">
        <f t="array" ref="C1211">_xlfn.IFS(worksheet[[#This Row],[age]]&lt;25,"1. Young Adulthood (18-24)",worksheet[[#This Row],[age]]&lt; 35,"2. Early Adulthood (25-34)",worksheet[[#This Row],[age]]&lt; 45,"3. Mid Adulthood (35-44)",worksheet[[#This Row],[age]]&lt; 55,"4. Mature Adulthood (45-54)",TRUE,"5. Late Adulthood/Senior (55+)")</f>
        <v>1. Young Adulthood (18-24)</v>
      </c>
      <c r="D1211" t="s">
        <v>15</v>
      </c>
      <c r="E1211" t="s">
        <v>32</v>
      </c>
      <c r="F1211" s="4">
        <v>27.46</v>
      </c>
      <c r="G1211" s="5">
        <v>43</v>
      </c>
      <c r="H1211" t="s">
        <v>70</v>
      </c>
      <c r="I1211" t="s">
        <v>57</v>
      </c>
      <c r="J1211" s="6">
        <v>17.989999999999998</v>
      </c>
      <c r="K1211">
        <v>0</v>
      </c>
      <c r="L1211" t="s">
        <v>19</v>
      </c>
      <c r="M1211" s="5">
        <v>2</v>
      </c>
      <c r="N1211" s="4">
        <v>0.62</v>
      </c>
      <c r="O1211" t="s">
        <v>52</v>
      </c>
    </row>
    <row r="1212" spans="1:15" x14ac:dyDescent="0.3">
      <c r="A1212" t="s">
        <v>3740</v>
      </c>
      <c r="B1212" s="5">
        <v>28</v>
      </c>
      <c r="C1212" s="5" t="str" cm="1">
        <f t="array" ref="C1212">_xlfn.IFS(worksheet[[#This Row],[age]]&lt;25,"1. Young Adulthood (18-24)",worksheet[[#This Row],[age]]&lt; 35,"2. Early Adulthood (25-34)",worksheet[[#This Row],[age]]&lt; 45,"3. Mid Adulthood (35-44)",worksheet[[#This Row],[age]]&lt; 55,"4. Mature Adulthood (45-54)",TRUE,"5. Late Adulthood/Senior (55+)")</f>
        <v>2. Early Adulthood (25-34)</v>
      </c>
      <c r="D1212" t="s">
        <v>27</v>
      </c>
      <c r="E1212" t="s">
        <v>22</v>
      </c>
      <c r="F1212" s="4">
        <v>2.25</v>
      </c>
      <c r="G1212" s="5">
        <v>30</v>
      </c>
      <c r="H1212" t="s">
        <v>49</v>
      </c>
      <c r="I1212" t="s">
        <v>46</v>
      </c>
      <c r="J1212" s="6">
        <v>13.99</v>
      </c>
      <c r="K1212">
        <v>1</v>
      </c>
      <c r="L1212" t="s">
        <v>29</v>
      </c>
      <c r="M1212" s="5">
        <v>3</v>
      </c>
      <c r="N1212" s="4">
        <v>7.0000000000000007E-2</v>
      </c>
      <c r="O1212" t="s">
        <v>20</v>
      </c>
    </row>
    <row r="1213" spans="1:15" x14ac:dyDescent="0.3">
      <c r="A1213" t="s">
        <v>3744</v>
      </c>
      <c r="B1213" s="5">
        <v>29</v>
      </c>
      <c r="C1213" s="5" t="str" cm="1">
        <f t="array" ref="C1213">_xlfn.IFS(worksheet[[#This Row],[age]]&lt;25,"1. Young Adulthood (18-24)",worksheet[[#This Row],[age]]&lt; 35,"2. Early Adulthood (25-34)",worksheet[[#This Row],[age]]&lt; 45,"3. Mid Adulthood (35-44)",worksheet[[#This Row],[age]]&lt; 55,"4. Mature Adulthood (45-54)",TRUE,"5. Late Adulthood/Senior (55+)")</f>
        <v>2. Early Adulthood (25-34)</v>
      </c>
      <c r="D1213" t="s">
        <v>15</v>
      </c>
      <c r="E1213" t="s">
        <v>22</v>
      </c>
      <c r="F1213" s="4">
        <v>8.15</v>
      </c>
      <c r="G1213" s="5">
        <v>13</v>
      </c>
      <c r="H1213" t="s">
        <v>70</v>
      </c>
      <c r="I1213" t="s">
        <v>18</v>
      </c>
      <c r="J1213" s="6">
        <v>13.99</v>
      </c>
      <c r="K1213">
        <v>0</v>
      </c>
      <c r="L1213" t="s">
        <v>29</v>
      </c>
      <c r="M1213" s="5">
        <v>2</v>
      </c>
      <c r="N1213" s="4">
        <v>0.57999999999999996</v>
      </c>
      <c r="O1213" t="s">
        <v>30</v>
      </c>
    </row>
    <row r="1214" spans="1:15" x14ac:dyDescent="0.3">
      <c r="A1214" t="s">
        <v>3746</v>
      </c>
      <c r="B1214" s="5">
        <v>23</v>
      </c>
      <c r="C1214" s="5" t="str" cm="1">
        <f t="array" ref="C1214">_xlfn.IFS(worksheet[[#This Row],[age]]&lt;25,"1. Young Adulthood (18-24)",worksheet[[#This Row],[age]]&lt; 35,"2. Early Adulthood (25-34)",worksheet[[#This Row],[age]]&lt; 45,"3. Mid Adulthood (35-44)",worksheet[[#This Row],[age]]&lt; 55,"4. Mature Adulthood (45-54)",TRUE,"5. Late Adulthood/Senior (55+)")</f>
        <v>1. Young Adulthood (18-24)</v>
      </c>
      <c r="D1214" t="s">
        <v>41</v>
      </c>
      <c r="E1214" t="s">
        <v>16</v>
      </c>
      <c r="F1214" s="4">
        <v>0.6</v>
      </c>
      <c r="G1214" s="5">
        <v>6</v>
      </c>
      <c r="H1214" t="s">
        <v>33</v>
      </c>
      <c r="I1214" t="s">
        <v>55</v>
      </c>
      <c r="J1214" s="6">
        <v>8.99</v>
      </c>
      <c r="K1214">
        <v>1</v>
      </c>
      <c r="L1214" t="s">
        <v>43</v>
      </c>
      <c r="M1214" s="5">
        <v>3</v>
      </c>
      <c r="N1214" s="4">
        <v>0.09</v>
      </c>
      <c r="O1214" t="s">
        <v>52</v>
      </c>
    </row>
    <row r="1215" spans="1:15" x14ac:dyDescent="0.3">
      <c r="A1215" t="s">
        <v>3748</v>
      </c>
      <c r="B1215" s="5">
        <v>26</v>
      </c>
      <c r="C1215" s="5" t="str" cm="1">
        <f t="array" ref="C1215">_xlfn.IFS(worksheet[[#This Row],[age]]&lt;25,"1. Young Adulthood (18-24)",worksheet[[#This Row],[age]]&lt; 35,"2. Early Adulthood (25-34)",worksheet[[#This Row],[age]]&lt; 45,"3. Mid Adulthood (35-44)",worksheet[[#This Row],[age]]&lt; 55,"4. Mature Adulthood (45-54)",TRUE,"5. Late Adulthood/Senior (55+)")</f>
        <v>2. Early Adulthood (25-34)</v>
      </c>
      <c r="D1215" t="s">
        <v>41</v>
      </c>
      <c r="E1215" t="s">
        <v>22</v>
      </c>
      <c r="F1215" s="4">
        <v>2.35</v>
      </c>
      <c r="G1215" s="5">
        <v>25</v>
      </c>
      <c r="H1215" t="s">
        <v>33</v>
      </c>
      <c r="I1215" t="s">
        <v>57</v>
      </c>
      <c r="J1215" s="6">
        <v>13.99</v>
      </c>
      <c r="K1215">
        <v>0</v>
      </c>
      <c r="L1215" t="s">
        <v>43</v>
      </c>
      <c r="M1215" s="5">
        <v>5</v>
      </c>
      <c r="N1215" s="4">
        <v>0.09</v>
      </c>
      <c r="O1215" t="s">
        <v>39</v>
      </c>
    </row>
    <row r="1216" spans="1:15" x14ac:dyDescent="0.3">
      <c r="A1216" t="s">
        <v>3752</v>
      </c>
      <c r="B1216" s="5">
        <v>32</v>
      </c>
      <c r="C1216" s="5" t="str" cm="1">
        <f t="array" ref="C1216">_xlfn.IFS(worksheet[[#This Row],[age]]&lt;25,"1. Young Adulthood (18-24)",worksheet[[#This Row],[age]]&lt; 35,"2. Early Adulthood (25-34)",worksheet[[#This Row],[age]]&lt; 45,"3. Mid Adulthood (35-44)",worksheet[[#This Row],[age]]&lt; 55,"4. Mature Adulthood (45-54)",TRUE,"5. Late Adulthood/Senior (55+)")</f>
        <v>2. Early Adulthood (25-34)</v>
      </c>
      <c r="D1216" t="s">
        <v>15</v>
      </c>
      <c r="E1216" t="s">
        <v>32</v>
      </c>
      <c r="F1216" s="4">
        <v>14.31</v>
      </c>
      <c r="G1216" s="5">
        <v>43</v>
      </c>
      <c r="H1216" t="s">
        <v>23</v>
      </c>
      <c r="I1216" t="s">
        <v>55</v>
      </c>
      <c r="J1216" s="6">
        <v>17.989999999999998</v>
      </c>
      <c r="K1216">
        <v>0</v>
      </c>
      <c r="L1216" t="s">
        <v>61</v>
      </c>
      <c r="M1216" s="5">
        <v>5</v>
      </c>
      <c r="N1216" s="4">
        <v>0.33</v>
      </c>
      <c r="O1216" t="s">
        <v>34</v>
      </c>
    </row>
    <row r="1217" spans="1:15" x14ac:dyDescent="0.3">
      <c r="A1217" t="s">
        <v>3764</v>
      </c>
      <c r="B1217" s="5">
        <v>29</v>
      </c>
      <c r="C1217" s="5" t="str" cm="1">
        <f t="array" ref="C1217">_xlfn.IFS(worksheet[[#This Row],[age]]&lt;25,"1. Young Adulthood (18-24)",worksheet[[#This Row],[age]]&lt; 35,"2. Early Adulthood (25-34)",worksheet[[#This Row],[age]]&lt; 45,"3. Mid Adulthood (35-44)",worksheet[[#This Row],[age]]&lt; 55,"4. Mature Adulthood (45-54)",TRUE,"5. Late Adulthood/Senior (55+)")</f>
        <v>2. Early Adulthood (25-34)</v>
      </c>
      <c r="D1217" t="s">
        <v>27</v>
      </c>
      <c r="E1217" t="s">
        <v>16</v>
      </c>
      <c r="F1217" s="4">
        <v>0.65</v>
      </c>
      <c r="G1217" s="5">
        <v>12</v>
      </c>
      <c r="H1217" t="s">
        <v>23</v>
      </c>
      <c r="I1217" t="s">
        <v>57</v>
      </c>
      <c r="J1217" s="6">
        <v>8.99</v>
      </c>
      <c r="K1217">
        <v>1</v>
      </c>
      <c r="L1217" t="s">
        <v>29</v>
      </c>
      <c r="M1217" s="5">
        <v>3</v>
      </c>
      <c r="N1217" s="4">
        <v>0.05</v>
      </c>
      <c r="O1217" t="s">
        <v>30</v>
      </c>
    </row>
    <row r="1218" spans="1:15" x14ac:dyDescent="0.3">
      <c r="A1218" t="s">
        <v>3766</v>
      </c>
      <c r="B1218" s="5">
        <v>18</v>
      </c>
      <c r="C1218" s="5" t="str" cm="1">
        <f t="array" ref="C1218">_xlfn.IFS(worksheet[[#This Row],[age]]&lt;25,"1. Young Adulthood (18-24)",worksheet[[#This Row],[age]]&lt; 35,"2. Early Adulthood (25-34)",worksheet[[#This Row],[age]]&lt; 45,"3. Mid Adulthood (35-44)",worksheet[[#This Row],[age]]&lt; 55,"4. Mature Adulthood (45-54)",TRUE,"5. Late Adulthood/Senior (55+)")</f>
        <v>1. Young Adulthood (18-24)</v>
      </c>
      <c r="D1218" t="s">
        <v>15</v>
      </c>
      <c r="E1218" t="s">
        <v>32</v>
      </c>
      <c r="F1218" s="4">
        <v>6.61</v>
      </c>
      <c r="G1218" s="5">
        <v>50</v>
      </c>
      <c r="H1218" t="s">
        <v>49</v>
      </c>
      <c r="I1218" t="s">
        <v>46</v>
      </c>
      <c r="J1218" s="6">
        <v>17.989999999999998</v>
      </c>
      <c r="K1218">
        <v>1</v>
      </c>
      <c r="L1218" t="s">
        <v>19</v>
      </c>
      <c r="M1218" s="5">
        <v>2</v>
      </c>
      <c r="N1218" s="4">
        <v>0.13</v>
      </c>
      <c r="O1218" t="s">
        <v>34</v>
      </c>
    </row>
    <row r="1219" spans="1:15" x14ac:dyDescent="0.3">
      <c r="A1219" t="s">
        <v>3767</v>
      </c>
      <c r="B1219" s="5">
        <v>26</v>
      </c>
      <c r="C1219" s="5" t="str" cm="1">
        <f t="array" ref="C1219">_xlfn.IFS(worksheet[[#This Row],[age]]&lt;25,"1. Young Adulthood (18-24)",worksheet[[#This Row],[age]]&lt; 35,"2. Early Adulthood (25-34)",worksheet[[#This Row],[age]]&lt; 45,"3. Mid Adulthood (35-44)",worksheet[[#This Row],[age]]&lt; 55,"4. Mature Adulthood (45-54)",TRUE,"5. Late Adulthood/Senior (55+)")</f>
        <v>2. Early Adulthood (25-34)</v>
      </c>
      <c r="D1219" t="s">
        <v>15</v>
      </c>
      <c r="E1219" t="s">
        <v>22</v>
      </c>
      <c r="F1219" s="4">
        <v>5.59</v>
      </c>
      <c r="G1219" s="5">
        <v>1</v>
      </c>
      <c r="H1219" t="s">
        <v>70</v>
      </c>
      <c r="I1219" t="s">
        <v>57</v>
      </c>
      <c r="J1219" s="6">
        <v>13.99</v>
      </c>
      <c r="K1219">
        <v>0</v>
      </c>
      <c r="L1219" t="s">
        <v>37</v>
      </c>
      <c r="M1219" s="5">
        <v>3</v>
      </c>
      <c r="N1219" s="4">
        <v>2.79</v>
      </c>
      <c r="O1219" t="s">
        <v>39</v>
      </c>
    </row>
    <row r="1220" spans="1:15" x14ac:dyDescent="0.3">
      <c r="A1220" t="s">
        <v>3768</v>
      </c>
      <c r="B1220" s="5">
        <v>24</v>
      </c>
      <c r="C1220" s="5" t="str" cm="1">
        <f t="array" ref="C1220">_xlfn.IFS(worksheet[[#This Row],[age]]&lt;25,"1. Young Adulthood (18-24)",worksheet[[#This Row],[age]]&lt; 35,"2. Early Adulthood (25-34)",worksheet[[#This Row],[age]]&lt; 45,"3. Mid Adulthood (35-44)",worksheet[[#This Row],[age]]&lt; 55,"4. Mature Adulthood (45-54)",TRUE,"5. Late Adulthood/Senior (55+)")</f>
        <v>1. Young Adulthood (18-24)</v>
      </c>
      <c r="D1220" t="s">
        <v>41</v>
      </c>
      <c r="E1220" t="s">
        <v>22</v>
      </c>
      <c r="F1220" s="4">
        <v>2.65</v>
      </c>
      <c r="G1220" s="5">
        <v>32</v>
      </c>
      <c r="H1220" t="s">
        <v>49</v>
      </c>
      <c r="I1220" t="s">
        <v>18</v>
      </c>
      <c r="J1220" s="6">
        <v>13.99</v>
      </c>
      <c r="K1220">
        <v>1</v>
      </c>
      <c r="L1220" t="s">
        <v>61</v>
      </c>
      <c r="M1220" s="5">
        <v>4</v>
      </c>
      <c r="N1220" s="4">
        <v>0.08</v>
      </c>
      <c r="O1220" t="s">
        <v>30</v>
      </c>
    </row>
    <row r="1221" spans="1:15" x14ac:dyDescent="0.3">
      <c r="A1221" t="s">
        <v>3769</v>
      </c>
      <c r="B1221" s="5">
        <v>26</v>
      </c>
      <c r="C1221" s="5" t="str" cm="1">
        <f t="array" ref="C1221">_xlfn.IFS(worksheet[[#This Row],[age]]&lt;25,"1. Young Adulthood (18-24)",worksheet[[#This Row],[age]]&lt; 35,"2. Early Adulthood (25-34)",worksheet[[#This Row],[age]]&lt; 45,"3. Mid Adulthood (35-44)",worksheet[[#This Row],[age]]&lt; 55,"4. Mature Adulthood (45-54)",TRUE,"5. Late Adulthood/Senior (55+)")</f>
        <v>2. Early Adulthood (25-34)</v>
      </c>
      <c r="D1221" t="s">
        <v>41</v>
      </c>
      <c r="E1221" t="s">
        <v>22</v>
      </c>
      <c r="F1221" s="4">
        <v>10.62</v>
      </c>
      <c r="G1221" s="5">
        <v>60</v>
      </c>
      <c r="H1221" t="s">
        <v>49</v>
      </c>
      <c r="I1221" t="s">
        <v>24</v>
      </c>
      <c r="J1221" s="6">
        <v>13.99</v>
      </c>
      <c r="K1221">
        <v>0</v>
      </c>
      <c r="L1221" t="s">
        <v>37</v>
      </c>
      <c r="M1221" s="5">
        <v>5</v>
      </c>
      <c r="N1221" s="4">
        <v>0.17</v>
      </c>
      <c r="O1221" t="s">
        <v>20</v>
      </c>
    </row>
    <row r="1222" spans="1:15" x14ac:dyDescent="0.3">
      <c r="A1222" t="s">
        <v>3772</v>
      </c>
      <c r="B1222" s="5">
        <v>25</v>
      </c>
      <c r="C1222" s="5" t="str" cm="1">
        <f t="array" ref="C1222">_xlfn.IFS(worksheet[[#This Row],[age]]&lt;25,"1. Young Adulthood (18-24)",worksheet[[#This Row],[age]]&lt; 35,"2. Early Adulthood (25-34)",worksheet[[#This Row],[age]]&lt; 45,"3. Mid Adulthood (35-44)",worksheet[[#This Row],[age]]&lt; 55,"4. Mature Adulthood (45-54)",TRUE,"5. Late Adulthood/Senior (55+)")</f>
        <v>2. Early Adulthood (25-34)</v>
      </c>
      <c r="D1222" t="s">
        <v>15</v>
      </c>
      <c r="E1222" t="s">
        <v>22</v>
      </c>
      <c r="F1222" s="4">
        <v>9.92</v>
      </c>
      <c r="G1222" s="5">
        <v>3</v>
      </c>
      <c r="H1222" t="s">
        <v>23</v>
      </c>
      <c r="I1222" t="s">
        <v>57</v>
      </c>
      <c r="J1222" s="6">
        <v>13.99</v>
      </c>
      <c r="K1222">
        <v>0</v>
      </c>
      <c r="L1222" t="s">
        <v>29</v>
      </c>
      <c r="M1222" s="5">
        <v>5</v>
      </c>
      <c r="N1222" s="4">
        <v>2.48</v>
      </c>
      <c r="O1222" t="s">
        <v>34</v>
      </c>
    </row>
    <row r="1223" spans="1:15" x14ac:dyDescent="0.3">
      <c r="A1223" t="s">
        <v>3775</v>
      </c>
      <c r="B1223" s="5">
        <v>27</v>
      </c>
      <c r="C1223" s="5" t="str" cm="1">
        <f t="array" ref="C1223">_xlfn.IFS(worksheet[[#This Row],[age]]&lt;25,"1. Young Adulthood (18-24)",worksheet[[#This Row],[age]]&lt; 35,"2. Early Adulthood (25-34)",worksheet[[#This Row],[age]]&lt; 45,"3. Mid Adulthood (35-44)",worksheet[[#This Row],[age]]&lt; 55,"4. Mature Adulthood (45-54)",TRUE,"5. Late Adulthood/Senior (55+)")</f>
        <v>2. Early Adulthood (25-34)</v>
      </c>
      <c r="D1223" t="s">
        <v>27</v>
      </c>
      <c r="E1223" t="s">
        <v>22</v>
      </c>
      <c r="F1223" s="4">
        <v>3.4</v>
      </c>
      <c r="G1223" s="5">
        <v>46</v>
      </c>
      <c r="H1223" t="s">
        <v>17</v>
      </c>
      <c r="I1223" t="s">
        <v>46</v>
      </c>
      <c r="J1223" s="6">
        <v>13.99</v>
      </c>
      <c r="K1223">
        <v>1</v>
      </c>
      <c r="L1223" t="s">
        <v>43</v>
      </c>
      <c r="M1223" s="5">
        <v>1</v>
      </c>
      <c r="N1223" s="4">
        <v>7.0000000000000007E-2</v>
      </c>
      <c r="O1223" t="s">
        <v>20</v>
      </c>
    </row>
    <row r="1224" spans="1:15" x14ac:dyDescent="0.3">
      <c r="A1224" t="s">
        <v>3784</v>
      </c>
      <c r="B1224" s="5">
        <v>18</v>
      </c>
      <c r="C1224" s="5" t="str" cm="1">
        <f t="array" ref="C1224">_xlfn.IFS(worksheet[[#This Row],[age]]&lt;25,"1. Young Adulthood (18-24)",worksheet[[#This Row],[age]]&lt; 35,"2. Early Adulthood (25-34)",worksheet[[#This Row],[age]]&lt; 45,"3. Mid Adulthood (35-44)",worksheet[[#This Row],[age]]&lt; 55,"4. Mature Adulthood (45-54)",TRUE,"5. Late Adulthood/Senior (55+)")</f>
        <v>1. Young Adulthood (18-24)</v>
      </c>
      <c r="D1224" t="s">
        <v>41</v>
      </c>
      <c r="E1224" t="s">
        <v>16</v>
      </c>
      <c r="F1224" s="4">
        <v>4.91</v>
      </c>
      <c r="G1224" s="5">
        <v>44</v>
      </c>
      <c r="H1224" t="s">
        <v>17</v>
      </c>
      <c r="I1224" t="s">
        <v>57</v>
      </c>
      <c r="J1224" s="6">
        <v>8.99</v>
      </c>
      <c r="K1224">
        <v>1</v>
      </c>
      <c r="L1224" t="s">
        <v>19</v>
      </c>
      <c r="M1224" s="5">
        <v>1</v>
      </c>
      <c r="N1224" s="4">
        <v>0.11</v>
      </c>
      <c r="O1224" t="s">
        <v>39</v>
      </c>
    </row>
    <row r="1225" spans="1:15" x14ac:dyDescent="0.3">
      <c r="A1225" t="s">
        <v>3785</v>
      </c>
      <c r="B1225" s="5">
        <v>31</v>
      </c>
      <c r="C1225" s="5" t="str" cm="1">
        <f t="array" ref="C1225">_xlfn.IFS(worksheet[[#This Row],[age]]&lt;25,"1. Young Adulthood (18-24)",worksheet[[#This Row],[age]]&lt; 35,"2. Early Adulthood (25-34)",worksheet[[#This Row],[age]]&lt; 45,"3. Mid Adulthood (35-44)",worksheet[[#This Row],[age]]&lt; 55,"4. Mature Adulthood (45-54)",TRUE,"5. Late Adulthood/Senior (55+)")</f>
        <v>2. Early Adulthood (25-34)</v>
      </c>
      <c r="D1225" t="s">
        <v>27</v>
      </c>
      <c r="E1225" t="s">
        <v>16</v>
      </c>
      <c r="F1225" s="4">
        <v>2.82</v>
      </c>
      <c r="G1225" s="5">
        <v>51</v>
      </c>
      <c r="H1225" t="s">
        <v>70</v>
      </c>
      <c r="I1225" t="s">
        <v>55</v>
      </c>
      <c r="J1225" s="6">
        <v>8.99</v>
      </c>
      <c r="K1225">
        <v>1</v>
      </c>
      <c r="L1225" t="s">
        <v>61</v>
      </c>
      <c r="M1225" s="5">
        <v>2</v>
      </c>
      <c r="N1225" s="4">
        <v>0.05</v>
      </c>
      <c r="O1225" t="s">
        <v>20</v>
      </c>
    </row>
    <row r="1226" spans="1:15" x14ac:dyDescent="0.3">
      <c r="A1226" t="s">
        <v>3786</v>
      </c>
      <c r="B1226" s="5">
        <v>29</v>
      </c>
      <c r="C1226" s="5" t="str" cm="1">
        <f t="array" ref="C1226">_xlfn.IFS(worksheet[[#This Row],[age]]&lt;25,"1. Young Adulthood (18-24)",worksheet[[#This Row],[age]]&lt; 35,"2. Early Adulthood (25-34)",worksheet[[#This Row],[age]]&lt; 45,"3. Mid Adulthood (35-44)",worksheet[[#This Row],[age]]&lt; 55,"4. Mature Adulthood (45-54)",TRUE,"5. Late Adulthood/Senior (55+)")</f>
        <v>2. Early Adulthood (25-34)</v>
      </c>
      <c r="D1226" t="s">
        <v>15</v>
      </c>
      <c r="E1226" t="s">
        <v>22</v>
      </c>
      <c r="F1226" s="4">
        <v>2.2200000000000002</v>
      </c>
      <c r="G1226" s="5">
        <v>34</v>
      </c>
      <c r="H1226" t="s">
        <v>70</v>
      </c>
      <c r="I1226" t="s">
        <v>57</v>
      </c>
      <c r="J1226" s="6">
        <v>13.99</v>
      </c>
      <c r="K1226">
        <v>1</v>
      </c>
      <c r="L1226" t="s">
        <v>37</v>
      </c>
      <c r="M1226" s="5">
        <v>4</v>
      </c>
      <c r="N1226" s="4">
        <v>0.06</v>
      </c>
      <c r="O1226" t="s">
        <v>20</v>
      </c>
    </row>
    <row r="1227" spans="1:15" x14ac:dyDescent="0.3">
      <c r="A1227" t="s">
        <v>3790</v>
      </c>
      <c r="B1227" s="5">
        <v>33</v>
      </c>
      <c r="C1227" s="5" t="str" cm="1">
        <f t="array" ref="C1227">_xlfn.IFS(worksheet[[#This Row],[age]]&lt;25,"1. Young Adulthood (18-24)",worksheet[[#This Row],[age]]&lt; 35,"2. Early Adulthood (25-34)",worksheet[[#This Row],[age]]&lt; 45,"3. Mid Adulthood (35-44)",worksheet[[#This Row],[age]]&lt; 55,"4. Mature Adulthood (45-54)",TRUE,"5. Late Adulthood/Senior (55+)")</f>
        <v>2. Early Adulthood (25-34)</v>
      </c>
      <c r="D1227" t="s">
        <v>41</v>
      </c>
      <c r="E1227" t="s">
        <v>22</v>
      </c>
      <c r="F1227" s="4">
        <v>2.31</v>
      </c>
      <c r="G1227" s="5">
        <v>46</v>
      </c>
      <c r="H1227" t="s">
        <v>28</v>
      </c>
      <c r="I1227" t="s">
        <v>57</v>
      </c>
      <c r="J1227" s="6">
        <v>13.99</v>
      </c>
      <c r="K1227">
        <v>1</v>
      </c>
      <c r="L1227" t="s">
        <v>61</v>
      </c>
      <c r="M1227" s="5">
        <v>1</v>
      </c>
      <c r="N1227" s="4">
        <v>0.05</v>
      </c>
      <c r="O1227" t="s">
        <v>25</v>
      </c>
    </row>
    <row r="1228" spans="1:15" x14ac:dyDescent="0.3">
      <c r="A1228" t="s">
        <v>3792</v>
      </c>
      <c r="B1228" s="5">
        <v>34</v>
      </c>
      <c r="C1228" s="5" t="str" cm="1">
        <f t="array" ref="C1228">_xlfn.IFS(worksheet[[#This Row],[age]]&lt;25,"1. Young Adulthood (18-24)",worksheet[[#This Row],[age]]&lt; 35,"2. Early Adulthood (25-34)",worksheet[[#This Row],[age]]&lt; 45,"3. Mid Adulthood (35-44)",worksheet[[#This Row],[age]]&lt; 55,"4. Mature Adulthood (45-54)",TRUE,"5. Late Adulthood/Senior (55+)")</f>
        <v>2. Early Adulthood (25-34)</v>
      </c>
      <c r="D1228" t="s">
        <v>27</v>
      </c>
      <c r="E1228" t="s">
        <v>32</v>
      </c>
      <c r="F1228" s="4">
        <v>14.62</v>
      </c>
      <c r="G1228" s="5">
        <v>47</v>
      </c>
      <c r="H1228" t="s">
        <v>70</v>
      </c>
      <c r="I1228" t="s">
        <v>57</v>
      </c>
      <c r="J1228" s="6">
        <v>17.989999999999998</v>
      </c>
      <c r="K1228">
        <v>1</v>
      </c>
      <c r="L1228" t="s">
        <v>29</v>
      </c>
      <c r="M1228" s="5">
        <v>5</v>
      </c>
      <c r="N1228" s="4">
        <v>0.3</v>
      </c>
      <c r="O1228" t="s">
        <v>30</v>
      </c>
    </row>
    <row r="1229" spans="1:15" x14ac:dyDescent="0.3">
      <c r="A1229" t="s">
        <v>3794</v>
      </c>
      <c r="B1229" s="5">
        <v>32</v>
      </c>
      <c r="C1229" s="5" t="str" cm="1">
        <f t="array" ref="C1229">_xlfn.IFS(worksheet[[#This Row],[age]]&lt;25,"1. Young Adulthood (18-24)",worksheet[[#This Row],[age]]&lt; 35,"2. Early Adulthood (25-34)",worksheet[[#This Row],[age]]&lt; 45,"3. Mid Adulthood (35-44)",worksheet[[#This Row],[age]]&lt; 55,"4. Mature Adulthood (45-54)",TRUE,"5. Late Adulthood/Senior (55+)")</f>
        <v>2. Early Adulthood (25-34)</v>
      </c>
      <c r="D1229" t="s">
        <v>41</v>
      </c>
      <c r="E1229" t="s">
        <v>16</v>
      </c>
      <c r="F1229" s="4">
        <v>26.07</v>
      </c>
      <c r="G1229" s="5">
        <v>37</v>
      </c>
      <c r="H1229" t="s">
        <v>33</v>
      </c>
      <c r="I1229" t="s">
        <v>46</v>
      </c>
      <c r="J1229" s="6">
        <v>8.99</v>
      </c>
      <c r="K1229">
        <v>0</v>
      </c>
      <c r="L1229" t="s">
        <v>61</v>
      </c>
      <c r="M1229" s="5">
        <v>2</v>
      </c>
      <c r="N1229" s="4">
        <v>0.69</v>
      </c>
      <c r="O1229" t="s">
        <v>30</v>
      </c>
    </row>
    <row r="1230" spans="1:15" x14ac:dyDescent="0.3">
      <c r="A1230" t="s">
        <v>3797</v>
      </c>
      <c r="B1230" s="5">
        <v>29</v>
      </c>
      <c r="C1230" s="5" t="str" cm="1">
        <f t="array" ref="C1230">_xlfn.IFS(worksheet[[#This Row],[age]]&lt;25,"1. Young Adulthood (18-24)",worksheet[[#This Row],[age]]&lt; 35,"2. Early Adulthood (25-34)",worksheet[[#This Row],[age]]&lt; 45,"3. Mid Adulthood (35-44)",worksheet[[#This Row],[age]]&lt; 55,"4. Mature Adulthood (45-54)",TRUE,"5. Late Adulthood/Senior (55+)")</f>
        <v>2. Early Adulthood (25-34)</v>
      </c>
      <c r="D1230" t="s">
        <v>15</v>
      </c>
      <c r="E1230" t="s">
        <v>22</v>
      </c>
      <c r="F1230" s="4">
        <v>0.53</v>
      </c>
      <c r="G1230" s="5">
        <v>13</v>
      </c>
      <c r="H1230" t="s">
        <v>17</v>
      </c>
      <c r="I1230" t="s">
        <v>55</v>
      </c>
      <c r="J1230" s="6">
        <v>13.99</v>
      </c>
      <c r="K1230">
        <v>1</v>
      </c>
      <c r="L1230" t="s">
        <v>37</v>
      </c>
      <c r="M1230" s="5">
        <v>3</v>
      </c>
      <c r="N1230" s="4">
        <v>0.04</v>
      </c>
      <c r="O1230" t="s">
        <v>20</v>
      </c>
    </row>
    <row r="1231" spans="1:15" x14ac:dyDescent="0.3">
      <c r="A1231" t="s">
        <v>3801</v>
      </c>
      <c r="B1231" s="5">
        <v>31</v>
      </c>
      <c r="C1231" s="5" t="str" cm="1">
        <f t="array" ref="C1231">_xlfn.IFS(worksheet[[#This Row],[age]]&lt;25,"1. Young Adulthood (18-24)",worksheet[[#This Row],[age]]&lt; 35,"2. Early Adulthood (25-34)",worksheet[[#This Row],[age]]&lt; 45,"3. Mid Adulthood (35-44)",worksheet[[#This Row],[age]]&lt; 55,"4. Mature Adulthood (45-54)",TRUE,"5. Late Adulthood/Senior (55+)")</f>
        <v>2. Early Adulthood (25-34)</v>
      </c>
      <c r="D1231" t="s">
        <v>15</v>
      </c>
      <c r="E1231" t="s">
        <v>22</v>
      </c>
      <c r="F1231" s="4">
        <v>0.21</v>
      </c>
      <c r="G1231" s="5">
        <v>16</v>
      </c>
      <c r="H1231" t="s">
        <v>17</v>
      </c>
      <c r="I1231" t="s">
        <v>46</v>
      </c>
      <c r="J1231" s="6">
        <v>13.99</v>
      </c>
      <c r="K1231">
        <v>1</v>
      </c>
      <c r="L1231" t="s">
        <v>37</v>
      </c>
      <c r="M1231" s="5">
        <v>1</v>
      </c>
      <c r="N1231" s="4">
        <v>0.01</v>
      </c>
      <c r="O1231" t="s">
        <v>30</v>
      </c>
    </row>
    <row r="1232" spans="1:15" x14ac:dyDescent="0.3">
      <c r="A1232" t="s">
        <v>3803</v>
      </c>
      <c r="B1232" s="5">
        <v>32</v>
      </c>
      <c r="C1232" s="5" t="str" cm="1">
        <f t="array" ref="C1232">_xlfn.IFS(worksheet[[#This Row],[age]]&lt;25,"1. Young Adulthood (18-24)",worksheet[[#This Row],[age]]&lt; 35,"2. Early Adulthood (25-34)",worksheet[[#This Row],[age]]&lt; 45,"3. Mid Adulthood (35-44)",worksheet[[#This Row],[age]]&lt; 55,"4. Mature Adulthood (45-54)",TRUE,"5. Late Adulthood/Senior (55+)")</f>
        <v>2. Early Adulthood (25-34)</v>
      </c>
      <c r="D1232" t="s">
        <v>15</v>
      </c>
      <c r="E1232" t="s">
        <v>32</v>
      </c>
      <c r="F1232" s="4">
        <v>5.09</v>
      </c>
      <c r="G1232" s="5">
        <v>37</v>
      </c>
      <c r="H1232" t="s">
        <v>33</v>
      </c>
      <c r="I1232" t="s">
        <v>55</v>
      </c>
      <c r="J1232" s="6">
        <v>17.989999999999998</v>
      </c>
      <c r="K1232">
        <v>0</v>
      </c>
      <c r="L1232" t="s">
        <v>61</v>
      </c>
      <c r="M1232" s="5">
        <v>5</v>
      </c>
      <c r="N1232" s="4">
        <v>0.13</v>
      </c>
      <c r="O1232" t="s">
        <v>30</v>
      </c>
    </row>
    <row r="1233" spans="1:15" x14ac:dyDescent="0.3">
      <c r="A1233" t="s">
        <v>3808</v>
      </c>
      <c r="B1233" s="5">
        <v>34</v>
      </c>
      <c r="C1233" s="5" t="str" cm="1">
        <f t="array" ref="C1233">_xlfn.IFS(worksheet[[#This Row],[age]]&lt;25,"1. Young Adulthood (18-24)",worksheet[[#This Row],[age]]&lt; 35,"2. Early Adulthood (25-34)",worksheet[[#This Row],[age]]&lt; 45,"3. Mid Adulthood (35-44)",worksheet[[#This Row],[age]]&lt; 55,"4. Mature Adulthood (45-54)",TRUE,"5. Late Adulthood/Senior (55+)")</f>
        <v>2. Early Adulthood (25-34)</v>
      </c>
      <c r="D1233" t="s">
        <v>41</v>
      </c>
      <c r="E1233" t="s">
        <v>32</v>
      </c>
      <c r="F1233" s="4">
        <v>27.92</v>
      </c>
      <c r="G1233" s="5">
        <v>35</v>
      </c>
      <c r="H1233" t="s">
        <v>17</v>
      </c>
      <c r="I1233" t="s">
        <v>18</v>
      </c>
      <c r="J1233" s="6">
        <v>17.989999999999998</v>
      </c>
      <c r="K1233">
        <v>0</v>
      </c>
      <c r="L1233" t="s">
        <v>29</v>
      </c>
      <c r="M1233" s="5">
        <v>4</v>
      </c>
      <c r="N1233" s="4">
        <v>0.78</v>
      </c>
      <c r="O1233" t="s">
        <v>34</v>
      </c>
    </row>
    <row r="1234" spans="1:15" x14ac:dyDescent="0.3">
      <c r="A1234" t="s">
        <v>3810</v>
      </c>
      <c r="B1234" s="5">
        <v>22</v>
      </c>
      <c r="C1234" s="5" t="str" cm="1">
        <f t="array" ref="C1234">_xlfn.IFS(worksheet[[#This Row],[age]]&lt;25,"1. Young Adulthood (18-24)",worksheet[[#This Row],[age]]&lt; 35,"2. Early Adulthood (25-34)",worksheet[[#This Row],[age]]&lt; 45,"3. Mid Adulthood (35-44)",worksheet[[#This Row],[age]]&lt; 55,"4. Mature Adulthood (45-54)",TRUE,"5. Late Adulthood/Senior (55+)")</f>
        <v>1. Young Adulthood (18-24)</v>
      </c>
      <c r="D1234" t="s">
        <v>41</v>
      </c>
      <c r="E1234" t="s">
        <v>32</v>
      </c>
      <c r="F1234" s="4">
        <v>1.78</v>
      </c>
      <c r="G1234" s="5">
        <v>17</v>
      </c>
      <c r="H1234" t="s">
        <v>17</v>
      </c>
      <c r="I1234" t="s">
        <v>55</v>
      </c>
      <c r="J1234" s="6">
        <v>17.989999999999998</v>
      </c>
      <c r="K1234">
        <v>1</v>
      </c>
      <c r="L1234" t="s">
        <v>19</v>
      </c>
      <c r="M1234" s="5">
        <v>4</v>
      </c>
      <c r="N1234" s="4">
        <v>0.1</v>
      </c>
      <c r="O1234" t="s">
        <v>52</v>
      </c>
    </row>
    <row r="1235" spans="1:15" x14ac:dyDescent="0.3">
      <c r="A1235" t="s">
        <v>3811</v>
      </c>
      <c r="B1235" s="5">
        <v>24</v>
      </c>
      <c r="C1235" s="5" t="str" cm="1">
        <f t="array" ref="C1235">_xlfn.IFS(worksheet[[#This Row],[age]]&lt;25,"1. Young Adulthood (18-24)",worksheet[[#This Row],[age]]&lt; 35,"2. Early Adulthood (25-34)",worksheet[[#This Row],[age]]&lt; 45,"3. Mid Adulthood (35-44)",worksheet[[#This Row],[age]]&lt; 55,"4. Mature Adulthood (45-54)",TRUE,"5. Late Adulthood/Senior (55+)")</f>
        <v>1. Young Adulthood (18-24)</v>
      </c>
      <c r="D1235" t="s">
        <v>27</v>
      </c>
      <c r="E1235" t="s">
        <v>16</v>
      </c>
      <c r="F1235" s="4">
        <v>8.27</v>
      </c>
      <c r="G1235" s="5">
        <v>14</v>
      </c>
      <c r="H1235" t="s">
        <v>17</v>
      </c>
      <c r="I1235" t="s">
        <v>18</v>
      </c>
      <c r="J1235" s="6">
        <v>8.99</v>
      </c>
      <c r="K1235">
        <v>0</v>
      </c>
      <c r="L1235" t="s">
        <v>61</v>
      </c>
      <c r="M1235" s="5">
        <v>3</v>
      </c>
      <c r="N1235" s="4">
        <v>0.55000000000000004</v>
      </c>
      <c r="O1235" t="s">
        <v>25</v>
      </c>
    </row>
    <row r="1236" spans="1:15" x14ac:dyDescent="0.3">
      <c r="A1236" t="s">
        <v>3814</v>
      </c>
      <c r="B1236" s="5">
        <v>20</v>
      </c>
      <c r="C1236" s="5" t="str" cm="1">
        <f t="array" ref="C1236">_xlfn.IFS(worksheet[[#This Row],[age]]&lt;25,"1. Young Adulthood (18-24)",worksheet[[#This Row],[age]]&lt; 35,"2. Early Adulthood (25-34)",worksheet[[#This Row],[age]]&lt; 45,"3. Mid Adulthood (35-44)",worksheet[[#This Row],[age]]&lt; 55,"4. Mature Adulthood (45-54)",TRUE,"5. Late Adulthood/Senior (55+)")</f>
        <v>1. Young Adulthood (18-24)</v>
      </c>
      <c r="D1236" t="s">
        <v>15</v>
      </c>
      <c r="E1236" t="s">
        <v>32</v>
      </c>
      <c r="F1236" s="4">
        <v>2.86</v>
      </c>
      <c r="G1236" s="5">
        <v>34</v>
      </c>
      <c r="H1236" t="s">
        <v>17</v>
      </c>
      <c r="I1236" t="s">
        <v>46</v>
      </c>
      <c r="J1236" s="6">
        <v>17.989999999999998</v>
      </c>
      <c r="K1236">
        <v>1</v>
      </c>
      <c r="L1236" t="s">
        <v>61</v>
      </c>
      <c r="M1236" s="5">
        <v>3</v>
      </c>
      <c r="N1236" s="4">
        <v>0.08</v>
      </c>
      <c r="O1236" t="s">
        <v>39</v>
      </c>
    </row>
    <row r="1237" spans="1:15" x14ac:dyDescent="0.3">
      <c r="A1237" t="s">
        <v>3817</v>
      </c>
      <c r="B1237" s="5">
        <v>30</v>
      </c>
      <c r="C1237" s="5" t="str" cm="1">
        <f t="array" ref="C1237">_xlfn.IFS(worksheet[[#This Row],[age]]&lt;25,"1. Young Adulthood (18-24)",worksheet[[#This Row],[age]]&lt; 35,"2. Early Adulthood (25-34)",worksheet[[#This Row],[age]]&lt; 45,"3. Mid Adulthood (35-44)",worksheet[[#This Row],[age]]&lt; 55,"4. Mature Adulthood (45-54)",TRUE,"5. Late Adulthood/Senior (55+)")</f>
        <v>2. Early Adulthood (25-34)</v>
      </c>
      <c r="D1237" t="s">
        <v>27</v>
      </c>
      <c r="E1237" t="s">
        <v>16</v>
      </c>
      <c r="F1237" s="4">
        <v>12.11</v>
      </c>
      <c r="G1237" s="5">
        <v>25</v>
      </c>
      <c r="H1237" t="s">
        <v>33</v>
      </c>
      <c r="I1237" t="s">
        <v>18</v>
      </c>
      <c r="J1237" s="6">
        <v>8.99</v>
      </c>
      <c r="K1237">
        <v>0</v>
      </c>
      <c r="L1237" t="s">
        <v>19</v>
      </c>
      <c r="M1237" s="5">
        <v>4</v>
      </c>
      <c r="N1237" s="4">
        <v>0.47</v>
      </c>
      <c r="O1237" t="s">
        <v>39</v>
      </c>
    </row>
    <row r="1238" spans="1:15" x14ac:dyDescent="0.3">
      <c r="A1238" t="s">
        <v>3821</v>
      </c>
      <c r="B1238" s="5">
        <v>27</v>
      </c>
      <c r="C1238" s="5" t="str" cm="1">
        <f t="array" ref="C1238">_xlfn.IFS(worksheet[[#This Row],[age]]&lt;25,"1. Young Adulthood (18-24)",worksheet[[#This Row],[age]]&lt; 35,"2. Early Adulthood (25-34)",worksheet[[#This Row],[age]]&lt; 45,"3. Mid Adulthood (35-44)",worksheet[[#This Row],[age]]&lt; 55,"4. Mature Adulthood (45-54)",TRUE,"5. Late Adulthood/Senior (55+)")</f>
        <v>2. Early Adulthood (25-34)</v>
      </c>
      <c r="D1238" t="s">
        <v>41</v>
      </c>
      <c r="E1238" t="s">
        <v>32</v>
      </c>
      <c r="F1238" s="4">
        <v>2.83</v>
      </c>
      <c r="G1238" s="5">
        <v>37</v>
      </c>
      <c r="H1238" t="s">
        <v>33</v>
      </c>
      <c r="I1238" t="s">
        <v>57</v>
      </c>
      <c r="J1238" s="6">
        <v>17.989999999999998</v>
      </c>
      <c r="K1238">
        <v>1</v>
      </c>
      <c r="L1238" t="s">
        <v>19</v>
      </c>
      <c r="M1238" s="5">
        <v>2</v>
      </c>
      <c r="N1238" s="4">
        <v>7.0000000000000007E-2</v>
      </c>
      <c r="O1238" t="s">
        <v>20</v>
      </c>
    </row>
    <row r="1239" spans="1:15" x14ac:dyDescent="0.3">
      <c r="A1239" t="s">
        <v>3822</v>
      </c>
      <c r="B1239" s="5">
        <v>22</v>
      </c>
      <c r="C1239" s="5" t="str" cm="1">
        <f t="array" ref="C1239">_xlfn.IFS(worksheet[[#This Row],[age]]&lt;25,"1. Young Adulthood (18-24)",worksheet[[#This Row],[age]]&lt; 35,"2. Early Adulthood (25-34)",worksheet[[#This Row],[age]]&lt; 45,"3. Mid Adulthood (35-44)",worksheet[[#This Row],[age]]&lt; 55,"4. Mature Adulthood (45-54)",TRUE,"5. Late Adulthood/Senior (55+)")</f>
        <v>1. Young Adulthood (18-24)</v>
      </c>
      <c r="D1239" t="s">
        <v>15</v>
      </c>
      <c r="E1239" t="s">
        <v>22</v>
      </c>
      <c r="F1239" s="4">
        <v>0.72</v>
      </c>
      <c r="G1239" s="5">
        <v>49</v>
      </c>
      <c r="H1239" t="s">
        <v>17</v>
      </c>
      <c r="I1239" t="s">
        <v>55</v>
      </c>
      <c r="J1239" s="6">
        <v>13.99</v>
      </c>
      <c r="K1239">
        <v>1</v>
      </c>
      <c r="L1239" t="s">
        <v>19</v>
      </c>
      <c r="M1239" s="5">
        <v>5</v>
      </c>
      <c r="N1239" s="4">
        <v>0.01</v>
      </c>
      <c r="O1239" t="s">
        <v>34</v>
      </c>
    </row>
    <row r="1240" spans="1:15" x14ac:dyDescent="0.3">
      <c r="A1240" t="s">
        <v>3823</v>
      </c>
      <c r="B1240" s="5">
        <v>23</v>
      </c>
      <c r="C1240" s="5" t="str" cm="1">
        <f t="array" ref="C1240">_xlfn.IFS(worksheet[[#This Row],[age]]&lt;25,"1. Young Adulthood (18-24)",worksheet[[#This Row],[age]]&lt; 35,"2. Early Adulthood (25-34)",worksheet[[#This Row],[age]]&lt; 45,"3. Mid Adulthood (35-44)",worksheet[[#This Row],[age]]&lt; 55,"4. Mature Adulthood (45-54)",TRUE,"5. Late Adulthood/Senior (55+)")</f>
        <v>1. Young Adulthood (18-24)</v>
      </c>
      <c r="D1240" t="s">
        <v>27</v>
      </c>
      <c r="E1240" t="s">
        <v>32</v>
      </c>
      <c r="F1240" s="4">
        <v>5.48</v>
      </c>
      <c r="G1240" s="5">
        <v>16</v>
      </c>
      <c r="H1240" t="s">
        <v>23</v>
      </c>
      <c r="I1240" t="s">
        <v>57</v>
      </c>
      <c r="J1240" s="6">
        <v>17.989999999999998</v>
      </c>
      <c r="K1240">
        <v>0</v>
      </c>
      <c r="L1240" t="s">
        <v>37</v>
      </c>
      <c r="M1240" s="5">
        <v>1</v>
      </c>
      <c r="N1240" s="4">
        <v>0.32</v>
      </c>
      <c r="O1240" t="s">
        <v>30</v>
      </c>
    </row>
    <row r="1241" spans="1:15" x14ac:dyDescent="0.3">
      <c r="A1241" t="s">
        <v>3824</v>
      </c>
      <c r="B1241" s="5">
        <v>24</v>
      </c>
      <c r="C1241" s="5" t="str" cm="1">
        <f t="array" ref="C1241">_xlfn.IFS(worksheet[[#This Row],[age]]&lt;25,"1. Young Adulthood (18-24)",worksheet[[#This Row],[age]]&lt; 35,"2. Early Adulthood (25-34)",worksheet[[#This Row],[age]]&lt; 45,"3. Mid Adulthood (35-44)",worksheet[[#This Row],[age]]&lt; 55,"4. Mature Adulthood (45-54)",TRUE,"5. Late Adulthood/Senior (55+)")</f>
        <v>1. Young Adulthood (18-24)</v>
      </c>
      <c r="D1241" t="s">
        <v>15</v>
      </c>
      <c r="E1241" t="s">
        <v>16</v>
      </c>
      <c r="F1241" s="4">
        <v>5.28</v>
      </c>
      <c r="G1241" s="5">
        <v>55</v>
      </c>
      <c r="H1241" t="s">
        <v>49</v>
      </c>
      <c r="I1241" t="s">
        <v>57</v>
      </c>
      <c r="J1241" s="6">
        <v>8.99</v>
      </c>
      <c r="K1241">
        <v>1</v>
      </c>
      <c r="L1241" t="s">
        <v>61</v>
      </c>
      <c r="M1241" s="5">
        <v>4</v>
      </c>
      <c r="N1241" s="4">
        <v>0.09</v>
      </c>
      <c r="O1241" t="s">
        <v>34</v>
      </c>
    </row>
    <row r="1242" spans="1:15" x14ac:dyDescent="0.3">
      <c r="A1242" t="s">
        <v>3825</v>
      </c>
      <c r="B1242" s="5">
        <v>20</v>
      </c>
      <c r="C1242" s="5" t="str" cm="1">
        <f t="array" ref="C1242">_xlfn.IFS(worksheet[[#This Row],[age]]&lt;25,"1. Young Adulthood (18-24)",worksheet[[#This Row],[age]]&lt; 35,"2. Early Adulthood (25-34)",worksheet[[#This Row],[age]]&lt; 45,"3. Mid Adulthood (35-44)",worksheet[[#This Row],[age]]&lt; 55,"4. Mature Adulthood (45-54)",TRUE,"5. Late Adulthood/Senior (55+)")</f>
        <v>1. Young Adulthood (18-24)</v>
      </c>
      <c r="D1242" t="s">
        <v>15</v>
      </c>
      <c r="E1242" t="s">
        <v>22</v>
      </c>
      <c r="F1242" s="4">
        <v>8.9600000000000009</v>
      </c>
      <c r="G1242" s="5">
        <v>34</v>
      </c>
      <c r="H1242" t="s">
        <v>17</v>
      </c>
      <c r="I1242" t="s">
        <v>57</v>
      </c>
      <c r="J1242" s="6">
        <v>13.99</v>
      </c>
      <c r="K1242">
        <v>1</v>
      </c>
      <c r="L1242" t="s">
        <v>19</v>
      </c>
      <c r="M1242" s="5">
        <v>1</v>
      </c>
      <c r="N1242" s="4">
        <v>0.26</v>
      </c>
      <c r="O1242" t="s">
        <v>47</v>
      </c>
    </row>
    <row r="1243" spans="1:15" x14ac:dyDescent="0.3">
      <c r="A1243" t="s">
        <v>3826</v>
      </c>
      <c r="B1243" s="5">
        <v>19</v>
      </c>
      <c r="C1243" s="5" t="str" cm="1">
        <f t="array" ref="C1243">_xlfn.IFS(worksheet[[#This Row],[age]]&lt;25,"1. Young Adulthood (18-24)",worksheet[[#This Row],[age]]&lt; 35,"2. Early Adulthood (25-34)",worksheet[[#This Row],[age]]&lt; 45,"3. Mid Adulthood (35-44)",worksheet[[#This Row],[age]]&lt; 55,"4. Mature Adulthood (45-54)",TRUE,"5. Late Adulthood/Senior (55+)")</f>
        <v>1. Young Adulthood (18-24)</v>
      </c>
      <c r="D1243" t="s">
        <v>41</v>
      </c>
      <c r="E1243" t="s">
        <v>32</v>
      </c>
      <c r="F1243" s="4">
        <v>14.47</v>
      </c>
      <c r="G1243" s="5">
        <v>27</v>
      </c>
      <c r="H1243" t="s">
        <v>28</v>
      </c>
      <c r="I1243" t="s">
        <v>24</v>
      </c>
      <c r="J1243" s="6">
        <v>17.989999999999998</v>
      </c>
      <c r="K1243">
        <v>0</v>
      </c>
      <c r="L1243" t="s">
        <v>29</v>
      </c>
      <c r="M1243" s="5">
        <v>2</v>
      </c>
      <c r="N1243" s="4">
        <v>0.52</v>
      </c>
      <c r="O1243" t="s">
        <v>20</v>
      </c>
    </row>
    <row r="1244" spans="1:15" x14ac:dyDescent="0.3">
      <c r="A1244" t="s">
        <v>3827</v>
      </c>
      <c r="B1244" s="5">
        <v>27</v>
      </c>
      <c r="C1244" s="5" t="str" cm="1">
        <f t="array" ref="C1244">_xlfn.IFS(worksheet[[#This Row],[age]]&lt;25,"1. Young Adulthood (18-24)",worksheet[[#This Row],[age]]&lt; 35,"2. Early Adulthood (25-34)",worksheet[[#This Row],[age]]&lt; 45,"3. Mid Adulthood (35-44)",worksheet[[#This Row],[age]]&lt; 55,"4. Mature Adulthood (45-54)",TRUE,"5. Late Adulthood/Senior (55+)")</f>
        <v>2. Early Adulthood (25-34)</v>
      </c>
      <c r="D1244" t="s">
        <v>15</v>
      </c>
      <c r="E1244" t="s">
        <v>32</v>
      </c>
      <c r="F1244" s="4">
        <v>1.44</v>
      </c>
      <c r="G1244" s="5">
        <v>48</v>
      </c>
      <c r="H1244" t="s">
        <v>28</v>
      </c>
      <c r="I1244" t="s">
        <v>46</v>
      </c>
      <c r="J1244" s="6">
        <v>17.989999999999998</v>
      </c>
      <c r="K1244">
        <v>1</v>
      </c>
      <c r="L1244" t="s">
        <v>61</v>
      </c>
      <c r="M1244" s="5">
        <v>1</v>
      </c>
      <c r="N1244" s="4">
        <v>0.03</v>
      </c>
      <c r="O1244" t="s">
        <v>25</v>
      </c>
    </row>
    <row r="1245" spans="1:15" x14ac:dyDescent="0.3">
      <c r="A1245" t="s">
        <v>3828</v>
      </c>
      <c r="B1245" s="5">
        <v>33</v>
      </c>
      <c r="C1245" s="5" t="str" cm="1">
        <f t="array" ref="C1245">_xlfn.IFS(worksheet[[#This Row],[age]]&lt;25,"1. Young Adulthood (18-24)",worksheet[[#This Row],[age]]&lt; 35,"2. Early Adulthood (25-34)",worksheet[[#This Row],[age]]&lt; 45,"3. Mid Adulthood (35-44)",worksheet[[#This Row],[age]]&lt; 55,"4. Mature Adulthood (45-54)",TRUE,"5. Late Adulthood/Senior (55+)")</f>
        <v>2. Early Adulthood (25-34)</v>
      </c>
      <c r="D1245" t="s">
        <v>15</v>
      </c>
      <c r="E1245" t="s">
        <v>22</v>
      </c>
      <c r="F1245" s="4">
        <v>16.3</v>
      </c>
      <c r="G1245" s="5">
        <v>11</v>
      </c>
      <c r="H1245" t="s">
        <v>23</v>
      </c>
      <c r="I1245" t="s">
        <v>57</v>
      </c>
      <c r="J1245" s="6">
        <v>13.99</v>
      </c>
      <c r="K1245">
        <v>0</v>
      </c>
      <c r="L1245" t="s">
        <v>19</v>
      </c>
      <c r="M1245" s="5">
        <v>2</v>
      </c>
      <c r="N1245" s="4">
        <v>1.36</v>
      </c>
      <c r="O1245" t="s">
        <v>25</v>
      </c>
    </row>
    <row r="1246" spans="1:15" x14ac:dyDescent="0.3">
      <c r="A1246" t="s">
        <v>3829</v>
      </c>
      <c r="B1246" s="5">
        <v>21</v>
      </c>
      <c r="C1246" s="5" t="str" cm="1">
        <f t="array" ref="C1246">_xlfn.IFS(worksheet[[#This Row],[age]]&lt;25,"1. Young Adulthood (18-24)",worksheet[[#This Row],[age]]&lt; 35,"2. Early Adulthood (25-34)",worksheet[[#This Row],[age]]&lt; 45,"3. Mid Adulthood (35-44)",worksheet[[#This Row],[age]]&lt; 55,"4. Mature Adulthood (45-54)",TRUE,"5. Late Adulthood/Senior (55+)")</f>
        <v>1. Young Adulthood (18-24)</v>
      </c>
      <c r="D1246" t="s">
        <v>41</v>
      </c>
      <c r="E1246" t="s">
        <v>16</v>
      </c>
      <c r="F1246" s="4">
        <v>8.58</v>
      </c>
      <c r="G1246" s="5">
        <v>44</v>
      </c>
      <c r="H1246" t="s">
        <v>49</v>
      </c>
      <c r="I1246" t="s">
        <v>18</v>
      </c>
      <c r="J1246" s="6">
        <v>8.99</v>
      </c>
      <c r="K1246">
        <v>1</v>
      </c>
      <c r="L1246" t="s">
        <v>29</v>
      </c>
      <c r="M1246" s="5">
        <v>2</v>
      </c>
      <c r="N1246" s="4">
        <v>0.19</v>
      </c>
      <c r="O1246" t="s">
        <v>25</v>
      </c>
    </row>
    <row r="1247" spans="1:15" x14ac:dyDescent="0.3">
      <c r="A1247" t="s">
        <v>3832</v>
      </c>
      <c r="B1247" s="5">
        <v>18</v>
      </c>
      <c r="C1247" s="5" t="str" cm="1">
        <f t="array" ref="C1247">_xlfn.IFS(worksheet[[#This Row],[age]]&lt;25,"1. Young Adulthood (18-24)",worksheet[[#This Row],[age]]&lt; 35,"2. Early Adulthood (25-34)",worksheet[[#This Row],[age]]&lt; 45,"3. Mid Adulthood (35-44)",worksheet[[#This Row],[age]]&lt; 55,"4. Mature Adulthood (45-54)",TRUE,"5. Late Adulthood/Senior (55+)")</f>
        <v>1. Young Adulthood (18-24)</v>
      </c>
      <c r="D1247" t="s">
        <v>41</v>
      </c>
      <c r="E1247" t="s">
        <v>22</v>
      </c>
      <c r="F1247" s="4">
        <v>3.57</v>
      </c>
      <c r="G1247" s="5">
        <v>50</v>
      </c>
      <c r="H1247" t="s">
        <v>17</v>
      </c>
      <c r="I1247" t="s">
        <v>55</v>
      </c>
      <c r="J1247" s="6">
        <v>13.99</v>
      </c>
      <c r="K1247">
        <v>1</v>
      </c>
      <c r="L1247" t="s">
        <v>37</v>
      </c>
      <c r="M1247" s="5">
        <v>4</v>
      </c>
      <c r="N1247" s="4">
        <v>7.0000000000000007E-2</v>
      </c>
      <c r="O1247" t="s">
        <v>34</v>
      </c>
    </row>
    <row r="1248" spans="1:15" x14ac:dyDescent="0.3">
      <c r="A1248" t="s">
        <v>3833</v>
      </c>
      <c r="B1248" s="5">
        <v>25</v>
      </c>
      <c r="C1248" s="5" t="str" cm="1">
        <f t="array" ref="C1248">_xlfn.IFS(worksheet[[#This Row],[age]]&lt;25,"1. Young Adulthood (18-24)",worksheet[[#This Row],[age]]&lt; 35,"2. Early Adulthood (25-34)",worksheet[[#This Row],[age]]&lt; 45,"3. Mid Adulthood (35-44)",worksheet[[#This Row],[age]]&lt; 55,"4. Mature Adulthood (45-54)",TRUE,"5. Late Adulthood/Senior (55+)")</f>
        <v>2. Early Adulthood (25-34)</v>
      </c>
      <c r="D1248" t="s">
        <v>27</v>
      </c>
      <c r="E1248" t="s">
        <v>32</v>
      </c>
      <c r="F1248" s="4">
        <v>33.04</v>
      </c>
      <c r="G1248" s="5">
        <v>37</v>
      </c>
      <c r="H1248" t="s">
        <v>28</v>
      </c>
      <c r="I1248" t="s">
        <v>57</v>
      </c>
      <c r="J1248" s="6">
        <v>17.989999999999998</v>
      </c>
      <c r="K1248">
        <v>0</v>
      </c>
      <c r="L1248" t="s">
        <v>29</v>
      </c>
      <c r="M1248" s="5">
        <v>2</v>
      </c>
      <c r="N1248" s="4">
        <v>0.87</v>
      </c>
      <c r="O1248" t="s">
        <v>34</v>
      </c>
    </row>
    <row r="1249" spans="1:15" x14ac:dyDescent="0.3">
      <c r="A1249" t="s">
        <v>3838</v>
      </c>
      <c r="B1249" s="5">
        <v>26</v>
      </c>
      <c r="C1249" s="5" t="str" cm="1">
        <f t="array" ref="C1249">_xlfn.IFS(worksheet[[#This Row],[age]]&lt;25,"1. Young Adulthood (18-24)",worksheet[[#This Row],[age]]&lt; 35,"2. Early Adulthood (25-34)",worksheet[[#This Row],[age]]&lt; 45,"3. Mid Adulthood (35-44)",worksheet[[#This Row],[age]]&lt; 55,"4. Mature Adulthood (45-54)",TRUE,"5. Late Adulthood/Senior (55+)")</f>
        <v>2. Early Adulthood (25-34)</v>
      </c>
      <c r="D1249" t="s">
        <v>41</v>
      </c>
      <c r="E1249" t="s">
        <v>22</v>
      </c>
      <c r="F1249" s="4">
        <v>11.12</v>
      </c>
      <c r="G1249" s="5">
        <v>2</v>
      </c>
      <c r="H1249" t="s">
        <v>28</v>
      </c>
      <c r="I1249" t="s">
        <v>18</v>
      </c>
      <c r="J1249" s="6">
        <v>13.99</v>
      </c>
      <c r="K1249">
        <v>0</v>
      </c>
      <c r="L1249" t="s">
        <v>37</v>
      </c>
      <c r="M1249" s="5">
        <v>4</v>
      </c>
      <c r="N1249" s="4">
        <v>3.71</v>
      </c>
      <c r="O1249" t="s">
        <v>34</v>
      </c>
    </row>
    <row r="1250" spans="1:15" x14ac:dyDescent="0.3">
      <c r="A1250" t="s">
        <v>3839</v>
      </c>
      <c r="B1250" s="5">
        <v>25</v>
      </c>
      <c r="C1250" s="5" t="str" cm="1">
        <f t="array" ref="C1250">_xlfn.IFS(worksheet[[#This Row],[age]]&lt;25,"1. Young Adulthood (18-24)",worksheet[[#This Row],[age]]&lt; 35,"2. Early Adulthood (25-34)",worksheet[[#This Row],[age]]&lt; 45,"3. Mid Adulthood (35-44)",worksheet[[#This Row],[age]]&lt; 55,"4. Mature Adulthood (45-54)",TRUE,"5. Late Adulthood/Senior (55+)")</f>
        <v>2. Early Adulthood (25-34)</v>
      </c>
      <c r="D1250" t="s">
        <v>27</v>
      </c>
      <c r="E1250" t="s">
        <v>32</v>
      </c>
      <c r="F1250" s="4">
        <v>11.67</v>
      </c>
      <c r="G1250" s="5">
        <v>17</v>
      </c>
      <c r="H1250" t="s">
        <v>17</v>
      </c>
      <c r="I1250" t="s">
        <v>55</v>
      </c>
      <c r="J1250" s="6">
        <v>17.989999999999998</v>
      </c>
      <c r="K1250">
        <v>0</v>
      </c>
      <c r="L1250" t="s">
        <v>19</v>
      </c>
      <c r="M1250" s="5">
        <v>4</v>
      </c>
      <c r="N1250" s="4">
        <v>0.65</v>
      </c>
      <c r="O1250" t="s">
        <v>25</v>
      </c>
    </row>
    <row r="1251" spans="1:15" x14ac:dyDescent="0.3">
      <c r="A1251" t="s">
        <v>3840</v>
      </c>
      <c r="B1251" s="5">
        <v>26</v>
      </c>
      <c r="C1251" s="5" t="str" cm="1">
        <f t="array" ref="C1251">_xlfn.IFS(worksheet[[#This Row],[age]]&lt;25,"1. Young Adulthood (18-24)",worksheet[[#This Row],[age]]&lt; 35,"2. Early Adulthood (25-34)",worksheet[[#This Row],[age]]&lt; 45,"3. Mid Adulthood (35-44)",worksheet[[#This Row],[age]]&lt; 55,"4. Mature Adulthood (45-54)",TRUE,"5. Late Adulthood/Senior (55+)")</f>
        <v>2. Early Adulthood (25-34)</v>
      </c>
      <c r="D1251" t="s">
        <v>41</v>
      </c>
      <c r="E1251" t="s">
        <v>16</v>
      </c>
      <c r="F1251" s="4">
        <v>10.54</v>
      </c>
      <c r="G1251" s="5">
        <v>27</v>
      </c>
      <c r="H1251" t="s">
        <v>33</v>
      </c>
      <c r="I1251" t="s">
        <v>18</v>
      </c>
      <c r="J1251" s="6">
        <v>8.99</v>
      </c>
      <c r="K1251">
        <v>1</v>
      </c>
      <c r="L1251" t="s">
        <v>43</v>
      </c>
      <c r="M1251" s="5">
        <v>1</v>
      </c>
      <c r="N1251" s="4">
        <v>0.38</v>
      </c>
      <c r="O1251" t="s">
        <v>34</v>
      </c>
    </row>
    <row r="1252" spans="1:15" x14ac:dyDescent="0.3">
      <c r="A1252" t="s">
        <v>3843</v>
      </c>
      <c r="B1252" s="5">
        <v>33</v>
      </c>
      <c r="C1252" s="5" t="str" cm="1">
        <f t="array" ref="C1252">_xlfn.IFS(worksheet[[#This Row],[age]]&lt;25,"1. Young Adulthood (18-24)",worksheet[[#This Row],[age]]&lt; 35,"2. Early Adulthood (25-34)",worksheet[[#This Row],[age]]&lt; 45,"3. Mid Adulthood (35-44)",worksheet[[#This Row],[age]]&lt; 55,"4. Mature Adulthood (45-54)",TRUE,"5. Late Adulthood/Senior (55+)")</f>
        <v>2. Early Adulthood (25-34)</v>
      </c>
      <c r="D1252" t="s">
        <v>41</v>
      </c>
      <c r="E1252" t="s">
        <v>32</v>
      </c>
      <c r="F1252" s="4">
        <v>32.700000000000003</v>
      </c>
      <c r="G1252" s="5">
        <v>47</v>
      </c>
      <c r="H1252" t="s">
        <v>28</v>
      </c>
      <c r="I1252" t="s">
        <v>18</v>
      </c>
      <c r="J1252" s="6">
        <v>17.989999999999998</v>
      </c>
      <c r="K1252">
        <v>0</v>
      </c>
      <c r="L1252" t="s">
        <v>37</v>
      </c>
      <c r="M1252" s="5">
        <v>2</v>
      </c>
      <c r="N1252" s="4">
        <v>0.68</v>
      </c>
      <c r="O1252" t="s">
        <v>47</v>
      </c>
    </row>
    <row r="1253" spans="1:15" x14ac:dyDescent="0.3">
      <c r="A1253" t="s">
        <v>3848</v>
      </c>
      <c r="B1253" s="5">
        <v>26</v>
      </c>
      <c r="C1253" s="5" t="str" cm="1">
        <f t="array" ref="C1253">_xlfn.IFS(worksheet[[#This Row],[age]]&lt;25,"1. Young Adulthood (18-24)",worksheet[[#This Row],[age]]&lt; 35,"2. Early Adulthood (25-34)",worksheet[[#This Row],[age]]&lt; 45,"3. Mid Adulthood (35-44)",worksheet[[#This Row],[age]]&lt; 55,"4. Mature Adulthood (45-54)",TRUE,"5. Late Adulthood/Senior (55+)")</f>
        <v>2. Early Adulthood (25-34)</v>
      </c>
      <c r="D1253" t="s">
        <v>27</v>
      </c>
      <c r="E1253" t="s">
        <v>16</v>
      </c>
      <c r="F1253" s="4">
        <v>14.85</v>
      </c>
      <c r="G1253" s="5">
        <v>26</v>
      </c>
      <c r="H1253" t="s">
        <v>70</v>
      </c>
      <c r="I1253" t="s">
        <v>24</v>
      </c>
      <c r="J1253" s="6">
        <v>8.99</v>
      </c>
      <c r="K1253">
        <v>0</v>
      </c>
      <c r="L1253" t="s">
        <v>29</v>
      </c>
      <c r="M1253" s="5">
        <v>4</v>
      </c>
      <c r="N1253" s="4">
        <v>0.55000000000000004</v>
      </c>
      <c r="O1253" t="s">
        <v>20</v>
      </c>
    </row>
    <row r="1254" spans="1:15" x14ac:dyDescent="0.3">
      <c r="A1254" t="s">
        <v>3849</v>
      </c>
      <c r="B1254" s="5">
        <v>24</v>
      </c>
      <c r="C1254" s="5" t="str" cm="1">
        <f t="array" ref="C1254">_xlfn.IFS(worksheet[[#This Row],[age]]&lt;25,"1. Young Adulthood (18-24)",worksheet[[#This Row],[age]]&lt; 35,"2. Early Adulthood (25-34)",worksheet[[#This Row],[age]]&lt; 45,"3. Mid Adulthood (35-44)",worksheet[[#This Row],[age]]&lt; 55,"4. Mature Adulthood (45-54)",TRUE,"5. Late Adulthood/Senior (55+)")</f>
        <v>1. Young Adulthood (18-24)</v>
      </c>
      <c r="D1254" t="s">
        <v>15</v>
      </c>
      <c r="E1254" t="s">
        <v>16</v>
      </c>
      <c r="F1254" s="4">
        <v>17.04</v>
      </c>
      <c r="G1254" s="5">
        <v>23</v>
      </c>
      <c r="H1254" t="s">
        <v>23</v>
      </c>
      <c r="I1254" t="s">
        <v>24</v>
      </c>
      <c r="J1254" s="6">
        <v>8.99</v>
      </c>
      <c r="K1254">
        <v>0</v>
      </c>
      <c r="L1254" t="s">
        <v>61</v>
      </c>
      <c r="M1254" s="5">
        <v>4</v>
      </c>
      <c r="N1254" s="4">
        <v>0.71</v>
      </c>
      <c r="O1254" t="s">
        <v>39</v>
      </c>
    </row>
    <row r="1255" spans="1:15" x14ac:dyDescent="0.3">
      <c r="A1255" t="s">
        <v>3854</v>
      </c>
      <c r="B1255" s="5">
        <v>32</v>
      </c>
      <c r="C1255" s="5" t="str" cm="1">
        <f t="array" ref="C1255">_xlfn.IFS(worksheet[[#This Row],[age]]&lt;25,"1. Young Adulthood (18-24)",worksheet[[#This Row],[age]]&lt; 35,"2. Early Adulthood (25-34)",worksheet[[#This Row],[age]]&lt; 45,"3. Mid Adulthood (35-44)",worksheet[[#This Row],[age]]&lt; 55,"4. Mature Adulthood (45-54)",TRUE,"5. Late Adulthood/Senior (55+)")</f>
        <v>2. Early Adulthood (25-34)</v>
      </c>
      <c r="D1255" t="s">
        <v>27</v>
      </c>
      <c r="E1255" t="s">
        <v>22</v>
      </c>
      <c r="F1255" s="4">
        <v>52.67</v>
      </c>
      <c r="G1255" s="5">
        <v>34</v>
      </c>
      <c r="H1255" t="s">
        <v>28</v>
      </c>
      <c r="I1255" t="s">
        <v>46</v>
      </c>
      <c r="J1255" s="6">
        <v>13.99</v>
      </c>
      <c r="K1255">
        <v>0</v>
      </c>
      <c r="L1255" t="s">
        <v>19</v>
      </c>
      <c r="M1255" s="5">
        <v>3</v>
      </c>
      <c r="N1255" s="4">
        <v>1.5</v>
      </c>
      <c r="O1255" t="s">
        <v>25</v>
      </c>
    </row>
    <row r="1256" spans="1:15" x14ac:dyDescent="0.3">
      <c r="A1256" t="s">
        <v>3855</v>
      </c>
      <c r="B1256" s="5">
        <v>34</v>
      </c>
      <c r="C1256" s="5" t="str" cm="1">
        <f t="array" ref="C1256">_xlfn.IFS(worksheet[[#This Row],[age]]&lt;25,"1. Young Adulthood (18-24)",worksheet[[#This Row],[age]]&lt; 35,"2. Early Adulthood (25-34)",worksheet[[#This Row],[age]]&lt; 45,"3. Mid Adulthood (35-44)",worksheet[[#This Row],[age]]&lt; 55,"4. Mature Adulthood (45-54)",TRUE,"5. Late Adulthood/Senior (55+)")</f>
        <v>2. Early Adulthood (25-34)</v>
      </c>
      <c r="D1256" t="s">
        <v>27</v>
      </c>
      <c r="E1256" t="s">
        <v>16</v>
      </c>
      <c r="F1256" s="4">
        <v>37.61</v>
      </c>
      <c r="G1256" s="5">
        <v>50</v>
      </c>
      <c r="H1256" t="s">
        <v>28</v>
      </c>
      <c r="I1256" t="s">
        <v>18</v>
      </c>
      <c r="J1256" s="6">
        <v>8.99</v>
      </c>
      <c r="K1256">
        <v>0</v>
      </c>
      <c r="L1256" t="s">
        <v>61</v>
      </c>
      <c r="M1256" s="5">
        <v>5</v>
      </c>
      <c r="N1256" s="4">
        <v>0.74</v>
      </c>
      <c r="O1256" t="s">
        <v>20</v>
      </c>
    </row>
    <row r="1257" spans="1:15" x14ac:dyDescent="0.3">
      <c r="A1257" t="s">
        <v>3857</v>
      </c>
      <c r="B1257" s="5">
        <v>31</v>
      </c>
      <c r="C1257" s="5" t="str" cm="1">
        <f t="array" ref="C1257">_xlfn.IFS(worksheet[[#This Row],[age]]&lt;25,"1. Young Adulthood (18-24)",worksheet[[#This Row],[age]]&lt; 35,"2. Early Adulthood (25-34)",worksheet[[#This Row],[age]]&lt; 45,"3. Mid Adulthood (35-44)",worksheet[[#This Row],[age]]&lt; 55,"4. Mature Adulthood (45-54)",TRUE,"5. Late Adulthood/Senior (55+)")</f>
        <v>2. Early Adulthood (25-34)</v>
      </c>
      <c r="D1257" t="s">
        <v>41</v>
      </c>
      <c r="E1257" t="s">
        <v>32</v>
      </c>
      <c r="F1257" s="4">
        <v>2.62</v>
      </c>
      <c r="G1257" s="5">
        <v>34</v>
      </c>
      <c r="H1257" t="s">
        <v>33</v>
      </c>
      <c r="I1257" t="s">
        <v>55</v>
      </c>
      <c r="J1257" s="6">
        <v>17.989999999999998</v>
      </c>
      <c r="K1257">
        <v>1</v>
      </c>
      <c r="L1257" t="s">
        <v>29</v>
      </c>
      <c r="M1257" s="5">
        <v>4</v>
      </c>
      <c r="N1257" s="4">
        <v>7.0000000000000007E-2</v>
      </c>
      <c r="O1257" t="s">
        <v>47</v>
      </c>
    </row>
    <row r="1258" spans="1:15" x14ac:dyDescent="0.3">
      <c r="A1258" t="s">
        <v>3862</v>
      </c>
      <c r="B1258" s="5">
        <v>19</v>
      </c>
      <c r="C1258" s="5" t="str" cm="1">
        <f t="array" ref="C1258">_xlfn.IFS(worksheet[[#This Row],[age]]&lt;25,"1. Young Adulthood (18-24)",worksheet[[#This Row],[age]]&lt; 35,"2. Early Adulthood (25-34)",worksheet[[#This Row],[age]]&lt; 45,"3. Mid Adulthood (35-44)",worksheet[[#This Row],[age]]&lt; 55,"4. Mature Adulthood (45-54)",TRUE,"5. Late Adulthood/Senior (55+)")</f>
        <v>1. Young Adulthood (18-24)</v>
      </c>
      <c r="D1258" t="s">
        <v>27</v>
      </c>
      <c r="E1258" t="s">
        <v>22</v>
      </c>
      <c r="F1258" s="4">
        <v>2.38</v>
      </c>
      <c r="G1258" s="5">
        <v>19</v>
      </c>
      <c r="H1258" t="s">
        <v>23</v>
      </c>
      <c r="I1258" t="s">
        <v>55</v>
      </c>
      <c r="J1258" s="6">
        <v>13.99</v>
      </c>
      <c r="K1258">
        <v>1</v>
      </c>
      <c r="L1258" t="s">
        <v>29</v>
      </c>
      <c r="M1258" s="5">
        <v>3</v>
      </c>
      <c r="N1258" s="4">
        <v>0.12</v>
      </c>
      <c r="O1258" t="s">
        <v>20</v>
      </c>
    </row>
    <row r="1259" spans="1:15" x14ac:dyDescent="0.3">
      <c r="A1259" t="s">
        <v>3864</v>
      </c>
      <c r="B1259" s="5">
        <v>24</v>
      </c>
      <c r="C1259" s="5" t="str" cm="1">
        <f t="array" ref="C1259">_xlfn.IFS(worksheet[[#This Row],[age]]&lt;25,"1. Young Adulthood (18-24)",worksheet[[#This Row],[age]]&lt; 35,"2. Early Adulthood (25-34)",worksheet[[#This Row],[age]]&lt; 45,"3. Mid Adulthood (35-44)",worksheet[[#This Row],[age]]&lt; 55,"4. Mature Adulthood (45-54)",TRUE,"5. Late Adulthood/Senior (55+)")</f>
        <v>1. Young Adulthood (18-24)</v>
      </c>
      <c r="D1259" t="s">
        <v>41</v>
      </c>
      <c r="E1259" t="s">
        <v>22</v>
      </c>
      <c r="F1259" s="4">
        <v>19.5</v>
      </c>
      <c r="G1259" s="5">
        <v>44</v>
      </c>
      <c r="H1259" t="s">
        <v>17</v>
      </c>
      <c r="I1259" t="s">
        <v>55</v>
      </c>
      <c r="J1259" s="6">
        <v>13.99</v>
      </c>
      <c r="K1259">
        <v>1</v>
      </c>
      <c r="L1259" t="s">
        <v>29</v>
      </c>
      <c r="M1259" s="5">
        <v>5</v>
      </c>
      <c r="N1259" s="4">
        <v>0.43</v>
      </c>
      <c r="O1259" t="s">
        <v>25</v>
      </c>
    </row>
    <row r="1260" spans="1:15" x14ac:dyDescent="0.3">
      <c r="A1260" t="s">
        <v>3865</v>
      </c>
      <c r="B1260" s="5">
        <v>25</v>
      </c>
      <c r="C1260" s="5" t="str" cm="1">
        <f t="array" ref="C1260">_xlfn.IFS(worksheet[[#This Row],[age]]&lt;25,"1. Young Adulthood (18-24)",worksheet[[#This Row],[age]]&lt; 35,"2. Early Adulthood (25-34)",worksheet[[#This Row],[age]]&lt; 45,"3. Mid Adulthood (35-44)",worksheet[[#This Row],[age]]&lt; 55,"4. Mature Adulthood (45-54)",TRUE,"5. Late Adulthood/Senior (55+)")</f>
        <v>2. Early Adulthood (25-34)</v>
      </c>
      <c r="D1260" t="s">
        <v>15</v>
      </c>
      <c r="E1260" t="s">
        <v>32</v>
      </c>
      <c r="F1260" s="4">
        <v>11.65</v>
      </c>
      <c r="G1260" s="5">
        <v>18</v>
      </c>
      <c r="H1260" t="s">
        <v>17</v>
      </c>
      <c r="I1260" t="s">
        <v>55</v>
      </c>
      <c r="J1260" s="6">
        <v>17.989999999999998</v>
      </c>
      <c r="K1260">
        <v>0</v>
      </c>
      <c r="L1260" t="s">
        <v>61</v>
      </c>
      <c r="M1260" s="5">
        <v>3</v>
      </c>
      <c r="N1260" s="4">
        <v>0.61</v>
      </c>
      <c r="O1260" t="s">
        <v>47</v>
      </c>
    </row>
    <row r="1261" spans="1:15" x14ac:dyDescent="0.3">
      <c r="A1261" t="s">
        <v>3866</v>
      </c>
      <c r="B1261" s="5">
        <v>20</v>
      </c>
      <c r="C1261" s="5" t="str" cm="1">
        <f t="array" ref="C1261">_xlfn.IFS(worksheet[[#This Row],[age]]&lt;25,"1. Young Adulthood (18-24)",worksheet[[#This Row],[age]]&lt; 35,"2. Early Adulthood (25-34)",worksheet[[#This Row],[age]]&lt; 45,"3. Mid Adulthood (35-44)",worksheet[[#This Row],[age]]&lt; 55,"4. Mature Adulthood (45-54)",TRUE,"5. Late Adulthood/Senior (55+)")</f>
        <v>1. Young Adulthood (18-24)</v>
      </c>
      <c r="D1261" t="s">
        <v>41</v>
      </c>
      <c r="E1261" t="s">
        <v>16</v>
      </c>
      <c r="F1261" s="4">
        <v>10.81</v>
      </c>
      <c r="G1261" s="5">
        <v>22</v>
      </c>
      <c r="H1261" t="s">
        <v>49</v>
      </c>
      <c r="I1261" t="s">
        <v>57</v>
      </c>
      <c r="J1261" s="6">
        <v>8.99</v>
      </c>
      <c r="K1261">
        <v>1</v>
      </c>
      <c r="L1261" t="s">
        <v>19</v>
      </c>
      <c r="M1261" s="5">
        <v>2</v>
      </c>
      <c r="N1261" s="4">
        <v>0.47</v>
      </c>
      <c r="O1261" t="s">
        <v>30</v>
      </c>
    </row>
    <row r="1262" spans="1:15" x14ac:dyDescent="0.3">
      <c r="A1262" s="1" t="s">
        <v>3868</v>
      </c>
      <c r="B1262" s="5">
        <v>30</v>
      </c>
      <c r="C1262" s="5" t="str" cm="1">
        <f t="array" ref="C1262">_xlfn.IFS(worksheet[[#This Row],[age]]&lt;25,"1. Young Adulthood (18-24)",worksheet[[#This Row],[age]]&lt; 35,"2. Early Adulthood (25-34)",worksheet[[#This Row],[age]]&lt; 45,"3. Mid Adulthood (35-44)",worksheet[[#This Row],[age]]&lt; 55,"4. Mature Adulthood (45-54)",TRUE,"5. Late Adulthood/Senior (55+)")</f>
        <v>2. Early Adulthood (25-34)</v>
      </c>
      <c r="D1262" t="s">
        <v>27</v>
      </c>
      <c r="E1262" t="s">
        <v>16</v>
      </c>
      <c r="F1262" s="4">
        <v>19.21</v>
      </c>
      <c r="G1262" s="5">
        <v>22</v>
      </c>
      <c r="H1262" t="s">
        <v>28</v>
      </c>
      <c r="I1262" t="s">
        <v>24</v>
      </c>
      <c r="J1262" s="6">
        <v>8.99</v>
      </c>
      <c r="K1262">
        <v>0</v>
      </c>
      <c r="L1262" t="s">
        <v>43</v>
      </c>
      <c r="M1262" s="5">
        <v>4</v>
      </c>
      <c r="N1262" s="4">
        <v>0.84</v>
      </c>
      <c r="O1262" t="s">
        <v>39</v>
      </c>
    </row>
    <row r="1263" spans="1:15" x14ac:dyDescent="0.3">
      <c r="A1263" t="s">
        <v>3877</v>
      </c>
      <c r="B1263" s="5">
        <v>30</v>
      </c>
      <c r="C1263" s="5" t="str" cm="1">
        <f t="array" ref="C1263">_xlfn.IFS(worksheet[[#This Row],[age]]&lt;25,"1. Young Adulthood (18-24)",worksheet[[#This Row],[age]]&lt; 35,"2. Early Adulthood (25-34)",worksheet[[#This Row],[age]]&lt; 45,"3. Mid Adulthood (35-44)",worksheet[[#This Row],[age]]&lt; 55,"4. Mature Adulthood (45-54)",TRUE,"5. Late Adulthood/Senior (55+)")</f>
        <v>2. Early Adulthood (25-34)</v>
      </c>
      <c r="D1263" t="s">
        <v>41</v>
      </c>
      <c r="E1263" t="s">
        <v>22</v>
      </c>
      <c r="F1263" s="4">
        <v>1.87</v>
      </c>
      <c r="G1263" s="5">
        <v>28</v>
      </c>
      <c r="H1263" t="s">
        <v>70</v>
      </c>
      <c r="I1263" t="s">
        <v>55</v>
      </c>
      <c r="J1263" s="6">
        <v>13.99</v>
      </c>
      <c r="K1263">
        <v>0</v>
      </c>
      <c r="L1263" t="s">
        <v>37</v>
      </c>
      <c r="M1263" s="5">
        <v>4</v>
      </c>
      <c r="N1263" s="4">
        <v>0.06</v>
      </c>
      <c r="O1263" t="s">
        <v>25</v>
      </c>
    </row>
    <row r="1264" spans="1:15" x14ac:dyDescent="0.3">
      <c r="A1264" t="s">
        <v>3880</v>
      </c>
      <c r="B1264" s="5">
        <v>30</v>
      </c>
      <c r="C1264" s="5" t="str" cm="1">
        <f t="array" ref="C1264">_xlfn.IFS(worksheet[[#This Row],[age]]&lt;25,"1. Young Adulthood (18-24)",worksheet[[#This Row],[age]]&lt; 35,"2. Early Adulthood (25-34)",worksheet[[#This Row],[age]]&lt; 45,"3. Mid Adulthood (35-44)",worksheet[[#This Row],[age]]&lt; 55,"4. Mature Adulthood (45-54)",TRUE,"5. Late Adulthood/Senior (55+)")</f>
        <v>2. Early Adulthood (25-34)</v>
      </c>
      <c r="D1264" t="s">
        <v>41</v>
      </c>
      <c r="E1264" t="s">
        <v>16</v>
      </c>
      <c r="F1264" s="4">
        <v>1.07</v>
      </c>
      <c r="G1264" s="5">
        <v>35</v>
      </c>
      <c r="H1264" t="s">
        <v>33</v>
      </c>
      <c r="I1264" t="s">
        <v>57</v>
      </c>
      <c r="J1264" s="6">
        <v>8.99</v>
      </c>
      <c r="K1264">
        <v>1</v>
      </c>
      <c r="L1264" t="s">
        <v>61</v>
      </c>
      <c r="M1264" s="5">
        <v>3</v>
      </c>
      <c r="N1264" s="4">
        <v>0.03</v>
      </c>
      <c r="O1264" t="s">
        <v>34</v>
      </c>
    </row>
    <row r="1265" spans="1:15" x14ac:dyDescent="0.3">
      <c r="A1265" t="s">
        <v>3887</v>
      </c>
      <c r="B1265" s="5">
        <v>19</v>
      </c>
      <c r="C1265" s="5" t="str" cm="1">
        <f t="array" ref="C1265">_xlfn.IFS(worksheet[[#This Row],[age]]&lt;25,"1. Young Adulthood (18-24)",worksheet[[#This Row],[age]]&lt; 35,"2. Early Adulthood (25-34)",worksheet[[#This Row],[age]]&lt; 45,"3. Mid Adulthood (35-44)",worksheet[[#This Row],[age]]&lt; 55,"4. Mature Adulthood (45-54)",TRUE,"5. Late Adulthood/Senior (55+)")</f>
        <v>1. Young Adulthood (18-24)</v>
      </c>
      <c r="D1265" t="s">
        <v>15</v>
      </c>
      <c r="E1265" t="s">
        <v>22</v>
      </c>
      <c r="F1265" s="4">
        <v>12.97</v>
      </c>
      <c r="G1265" s="5">
        <v>36</v>
      </c>
      <c r="H1265" t="s">
        <v>49</v>
      </c>
      <c r="I1265" t="s">
        <v>55</v>
      </c>
      <c r="J1265" s="6">
        <v>13.99</v>
      </c>
      <c r="K1265">
        <v>0</v>
      </c>
      <c r="L1265" t="s">
        <v>37</v>
      </c>
      <c r="M1265" s="5">
        <v>4</v>
      </c>
      <c r="N1265" s="4">
        <v>0.35</v>
      </c>
      <c r="O1265" t="s">
        <v>39</v>
      </c>
    </row>
    <row r="1266" spans="1:15" x14ac:dyDescent="0.3">
      <c r="A1266" t="s">
        <v>3890</v>
      </c>
      <c r="B1266" s="5">
        <v>22</v>
      </c>
      <c r="C1266" s="5" t="str" cm="1">
        <f t="array" ref="C1266">_xlfn.IFS(worksheet[[#This Row],[age]]&lt;25,"1. Young Adulthood (18-24)",worksheet[[#This Row],[age]]&lt; 35,"2. Early Adulthood (25-34)",worksheet[[#This Row],[age]]&lt; 45,"3. Mid Adulthood (35-44)",worksheet[[#This Row],[age]]&lt; 55,"4. Mature Adulthood (45-54)",TRUE,"5. Late Adulthood/Senior (55+)")</f>
        <v>1. Young Adulthood (18-24)</v>
      </c>
      <c r="D1266" t="s">
        <v>27</v>
      </c>
      <c r="E1266" t="s">
        <v>22</v>
      </c>
      <c r="F1266" s="4">
        <v>19.190000000000001</v>
      </c>
      <c r="G1266" s="5">
        <v>29</v>
      </c>
      <c r="H1266" t="s">
        <v>28</v>
      </c>
      <c r="I1266" t="s">
        <v>18</v>
      </c>
      <c r="J1266" s="6">
        <v>13.99</v>
      </c>
      <c r="K1266">
        <v>0</v>
      </c>
      <c r="L1266" t="s">
        <v>37</v>
      </c>
      <c r="M1266" s="5">
        <v>1</v>
      </c>
      <c r="N1266" s="4">
        <v>0.64</v>
      </c>
      <c r="O1266" t="s">
        <v>25</v>
      </c>
    </row>
    <row r="1267" spans="1:15" x14ac:dyDescent="0.3">
      <c r="A1267" t="s">
        <v>3894</v>
      </c>
      <c r="B1267" s="5">
        <v>32</v>
      </c>
      <c r="C1267" s="5" t="str" cm="1">
        <f t="array" ref="C1267">_xlfn.IFS(worksheet[[#This Row],[age]]&lt;25,"1. Young Adulthood (18-24)",worksheet[[#This Row],[age]]&lt; 35,"2. Early Adulthood (25-34)",worksheet[[#This Row],[age]]&lt; 45,"3. Mid Adulthood (35-44)",worksheet[[#This Row],[age]]&lt; 55,"4. Mature Adulthood (45-54)",TRUE,"5. Late Adulthood/Senior (55+)")</f>
        <v>2. Early Adulthood (25-34)</v>
      </c>
      <c r="D1267" t="s">
        <v>27</v>
      </c>
      <c r="E1267" t="s">
        <v>32</v>
      </c>
      <c r="F1267" s="4">
        <v>14.36</v>
      </c>
      <c r="G1267" s="5">
        <v>0</v>
      </c>
      <c r="H1267" t="s">
        <v>49</v>
      </c>
      <c r="I1267" t="s">
        <v>55</v>
      </c>
      <c r="J1267" s="6">
        <v>17.989999999999998</v>
      </c>
      <c r="K1267">
        <v>0</v>
      </c>
      <c r="L1267" t="s">
        <v>43</v>
      </c>
      <c r="M1267" s="5">
        <v>2</v>
      </c>
      <c r="N1267" s="4">
        <v>14.36</v>
      </c>
      <c r="O1267" t="s">
        <v>39</v>
      </c>
    </row>
    <row r="1268" spans="1:15" x14ac:dyDescent="0.3">
      <c r="A1268" t="s">
        <v>3895</v>
      </c>
      <c r="B1268" s="5">
        <v>25</v>
      </c>
      <c r="C1268" s="5" t="str" cm="1">
        <f t="array" ref="C1268">_xlfn.IFS(worksheet[[#This Row],[age]]&lt;25,"1. Young Adulthood (18-24)",worksheet[[#This Row],[age]]&lt; 35,"2. Early Adulthood (25-34)",worksheet[[#This Row],[age]]&lt; 45,"3. Mid Adulthood (35-44)",worksheet[[#This Row],[age]]&lt; 55,"4. Mature Adulthood (45-54)",TRUE,"5. Late Adulthood/Senior (55+)")</f>
        <v>2. Early Adulthood (25-34)</v>
      </c>
      <c r="D1268" t="s">
        <v>15</v>
      </c>
      <c r="E1268" t="s">
        <v>16</v>
      </c>
      <c r="F1268" s="4">
        <v>15.26</v>
      </c>
      <c r="G1268" s="5">
        <v>34</v>
      </c>
      <c r="H1268" t="s">
        <v>28</v>
      </c>
      <c r="I1268" t="s">
        <v>46</v>
      </c>
      <c r="J1268" s="6">
        <v>8.99</v>
      </c>
      <c r="K1268">
        <v>1</v>
      </c>
      <c r="L1268" t="s">
        <v>61</v>
      </c>
      <c r="M1268" s="5">
        <v>4</v>
      </c>
      <c r="N1268" s="4">
        <v>0.44</v>
      </c>
      <c r="O1268" t="s">
        <v>47</v>
      </c>
    </row>
    <row r="1269" spans="1:15" x14ac:dyDescent="0.3">
      <c r="A1269" t="s">
        <v>3900</v>
      </c>
      <c r="B1269" s="5">
        <v>34</v>
      </c>
      <c r="C1269" s="5" t="str" cm="1">
        <f t="array" ref="C1269">_xlfn.IFS(worksheet[[#This Row],[age]]&lt;25,"1. Young Adulthood (18-24)",worksheet[[#This Row],[age]]&lt; 35,"2. Early Adulthood (25-34)",worksheet[[#This Row],[age]]&lt; 45,"3. Mid Adulthood (35-44)",worksheet[[#This Row],[age]]&lt; 55,"4. Mature Adulthood (45-54)",TRUE,"5. Late Adulthood/Senior (55+)")</f>
        <v>2. Early Adulthood (25-34)</v>
      </c>
      <c r="D1269" t="s">
        <v>15</v>
      </c>
      <c r="E1269" t="s">
        <v>16</v>
      </c>
      <c r="F1269" s="4">
        <v>4.43</v>
      </c>
      <c r="G1269" s="5">
        <v>33</v>
      </c>
      <c r="H1269" t="s">
        <v>33</v>
      </c>
      <c r="I1269" t="s">
        <v>46</v>
      </c>
      <c r="J1269" s="6">
        <v>8.99</v>
      </c>
      <c r="K1269">
        <v>1</v>
      </c>
      <c r="L1269" t="s">
        <v>19</v>
      </c>
      <c r="M1269" s="5">
        <v>2</v>
      </c>
      <c r="N1269" s="4">
        <v>0.13</v>
      </c>
      <c r="O1269" t="s">
        <v>39</v>
      </c>
    </row>
    <row r="1270" spans="1:15" x14ac:dyDescent="0.3">
      <c r="A1270" t="s">
        <v>3901</v>
      </c>
      <c r="B1270" s="5">
        <v>27</v>
      </c>
      <c r="C1270" s="5" t="str" cm="1">
        <f t="array" ref="C1270">_xlfn.IFS(worksheet[[#This Row],[age]]&lt;25,"1. Young Adulthood (18-24)",worksheet[[#This Row],[age]]&lt; 35,"2. Early Adulthood (25-34)",worksheet[[#This Row],[age]]&lt; 45,"3. Mid Adulthood (35-44)",worksheet[[#This Row],[age]]&lt; 55,"4. Mature Adulthood (45-54)",TRUE,"5. Late Adulthood/Senior (55+)")</f>
        <v>2. Early Adulthood (25-34)</v>
      </c>
      <c r="D1270" t="s">
        <v>15</v>
      </c>
      <c r="E1270" t="s">
        <v>32</v>
      </c>
      <c r="F1270" s="4">
        <v>5.05</v>
      </c>
      <c r="G1270" s="5">
        <v>47</v>
      </c>
      <c r="H1270" t="s">
        <v>49</v>
      </c>
      <c r="I1270" t="s">
        <v>57</v>
      </c>
      <c r="J1270" s="6">
        <v>17.989999999999998</v>
      </c>
      <c r="K1270">
        <v>1</v>
      </c>
      <c r="L1270" t="s">
        <v>29</v>
      </c>
      <c r="M1270" s="5">
        <v>5</v>
      </c>
      <c r="N1270" s="4">
        <v>0.11</v>
      </c>
      <c r="O1270" t="s">
        <v>39</v>
      </c>
    </row>
    <row r="1271" spans="1:15" x14ac:dyDescent="0.3">
      <c r="A1271" t="s">
        <v>3903</v>
      </c>
      <c r="B1271" s="5">
        <v>31</v>
      </c>
      <c r="C1271" s="5" t="str" cm="1">
        <f t="array" ref="C1271">_xlfn.IFS(worksheet[[#This Row],[age]]&lt;25,"1. Young Adulthood (18-24)",worksheet[[#This Row],[age]]&lt; 35,"2. Early Adulthood (25-34)",worksheet[[#This Row],[age]]&lt; 45,"3. Mid Adulthood (35-44)",worksheet[[#This Row],[age]]&lt; 55,"4. Mature Adulthood (45-54)",TRUE,"5. Late Adulthood/Senior (55+)")</f>
        <v>2. Early Adulthood (25-34)</v>
      </c>
      <c r="D1271" t="s">
        <v>41</v>
      </c>
      <c r="E1271" t="s">
        <v>32</v>
      </c>
      <c r="F1271" s="4">
        <v>8.8800000000000008</v>
      </c>
      <c r="G1271" s="5">
        <v>25</v>
      </c>
      <c r="H1271" t="s">
        <v>28</v>
      </c>
      <c r="I1271" t="s">
        <v>18</v>
      </c>
      <c r="J1271" s="6">
        <v>17.989999999999998</v>
      </c>
      <c r="K1271">
        <v>0</v>
      </c>
      <c r="L1271" t="s">
        <v>37</v>
      </c>
      <c r="M1271" s="5">
        <v>4</v>
      </c>
      <c r="N1271" s="4">
        <v>0.34</v>
      </c>
      <c r="O1271" t="s">
        <v>20</v>
      </c>
    </row>
    <row r="1272" spans="1:15" x14ac:dyDescent="0.3">
      <c r="A1272" t="s">
        <v>3905</v>
      </c>
      <c r="B1272" s="5">
        <v>30</v>
      </c>
      <c r="C1272" s="5" t="str" cm="1">
        <f t="array" ref="C1272">_xlfn.IFS(worksheet[[#This Row],[age]]&lt;25,"1. Young Adulthood (18-24)",worksheet[[#This Row],[age]]&lt; 35,"2. Early Adulthood (25-34)",worksheet[[#This Row],[age]]&lt; 45,"3. Mid Adulthood (35-44)",worksheet[[#This Row],[age]]&lt; 55,"4. Mature Adulthood (45-54)",TRUE,"5. Late Adulthood/Senior (55+)")</f>
        <v>2. Early Adulthood (25-34)</v>
      </c>
      <c r="D1272" t="s">
        <v>27</v>
      </c>
      <c r="E1272" t="s">
        <v>22</v>
      </c>
      <c r="F1272" s="4">
        <v>28.52</v>
      </c>
      <c r="G1272" s="5">
        <v>28</v>
      </c>
      <c r="H1272" t="s">
        <v>17</v>
      </c>
      <c r="I1272" t="s">
        <v>18</v>
      </c>
      <c r="J1272" s="6">
        <v>13.99</v>
      </c>
      <c r="K1272">
        <v>0</v>
      </c>
      <c r="L1272" t="s">
        <v>61</v>
      </c>
      <c r="M1272" s="5">
        <v>4</v>
      </c>
      <c r="N1272" s="4">
        <v>0.98</v>
      </c>
      <c r="O1272" t="s">
        <v>52</v>
      </c>
    </row>
    <row r="1273" spans="1:15" x14ac:dyDescent="0.3">
      <c r="A1273" t="s">
        <v>3910</v>
      </c>
      <c r="B1273" s="5">
        <v>34</v>
      </c>
      <c r="C1273" s="5" t="str" cm="1">
        <f t="array" ref="C1273">_xlfn.IFS(worksheet[[#This Row],[age]]&lt;25,"1. Young Adulthood (18-24)",worksheet[[#This Row],[age]]&lt; 35,"2. Early Adulthood (25-34)",worksheet[[#This Row],[age]]&lt; 45,"3. Mid Adulthood (35-44)",worksheet[[#This Row],[age]]&lt; 55,"4. Mature Adulthood (45-54)",TRUE,"5. Late Adulthood/Senior (55+)")</f>
        <v>2. Early Adulthood (25-34)</v>
      </c>
      <c r="D1273" t="s">
        <v>41</v>
      </c>
      <c r="E1273" t="s">
        <v>22</v>
      </c>
      <c r="F1273" s="4">
        <v>8.59</v>
      </c>
      <c r="G1273" s="5">
        <v>17</v>
      </c>
      <c r="H1273" t="s">
        <v>49</v>
      </c>
      <c r="I1273" t="s">
        <v>18</v>
      </c>
      <c r="J1273" s="6">
        <v>13.99</v>
      </c>
      <c r="K1273">
        <v>0</v>
      </c>
      <c r="L1273" t="s">
        <v>19</v>
      </c>
      <c r="M1273" s="5">
        <v>3</v>
      </c>
      <c r="N1273" s="4">
        <v>0.48</v>
      </c>
      <c r="O1273" t="s">
        <v>30</v>
      </c>
    </row>
    <row r="1274" spans="1:15" x14ac:dyDescent="0.3">
      <c r="A1274" t="s">
        <v>3912</v>
      </c>
      <c r="B1274" s="5">
        <v>27</v>
      </c>
      <c r="C1274" s="5" t="str" cm="1">
        <f t="array" ref="C1274">_xlfn.IFS(worksheet[[#This Row],[age]]&lt;25,"1. Young Adulthood (18-24)",worksheet[[#This Row],[age]]&lt; 35,"2. Early Adulthood (25-34)",worksheet[[#This Row],[age]]&lt; 45,"3. Mid Adulthood (35-44)",worksheet[[#This Row],[age]]&lt; 55,"4. Mature Adulthood (45-54)",TRUE,"5. Late Adulthood/Senior (55+)")</f>
        <v>2. Early Adulthood (25-34)</v>
      </c>
      <c r="D1274" t="s">
        <v>41</v>
      </c>
      <c r="E1274" t="s">
        <v>32</v>
      </c>
      <c r="F1274" s="4">
        <v>18.7</v>
      </c>
      <c r="G1274" s="5">
        <v>29</v>
      </c>
      <c r="H1274" t="s">
        <v>23</v>
      </c>
      <c r="I1274" t="s">
        <v>24</v>
      </c>
      <c r="J1274" s="6">
        <v>17.989999999999998</v>
      </c>
      <c r="K1274">
        <v>0</v>
      </c>
      <c r="L1274" t="s">
        <v>61</v>
      </c>
      <c r="M1274" s="5">
        <v>4</v>
      </c>
      <c r="N1274" s="4">
        <v>0.62</v>
      </c>
      <c r="O1274" t="s">
        <v>20</v>
      </c>
    </row>
    <row r="1275" spans="1:15" x14ac:dyDescent="0.3">
      <c r="A1275" t="s">
        <v>3920</v>
      </c>
      <c r="B1275" s="5">
        <v>21</v>
      </c>
      <c r="C1275" s="5" t="str" cm="1">
        <f t="array" ref="C1275">_xlfn.IFS(worksheet[[#This Row],[age]]&lt;25,"1. Young Adulthood (18-24)",worksheet[[#This Row],[age]]&lt; 35,"2. Early Adulthood (25-34)",worksheet[[#This Row],[age]]&lt; 45,"3. Mid Adulthood (35-44)",worksheet[[#This Row],[age]]&lt; 55,"4. Mature Adulthood (45-54)",TRUE,"5. Late Adulthood/Senior (55+)")</f>
        <v>1. Young Adulthood (18-24)</v>
      </c>
      <c r="D1275" t="s">
        <v>27</v>
      </c>
      <c r="E1275" t="s">
        <v>22</v>
      </c>
      <c r="F1275" s="4">
        <v>12.52</v>
      </c>
      <c r="G1275" s="5">
        <v>46</v>
      </c>
      <c r="H1275" t="s">
        <v>17</v>
      </c>
      <c r="I1275" t="s">
        <v>46</v>
      </c>
      <c r="J1275" s="6">
        <v>13.99</v>
      </c>
      <c r="K1275">
        <v>1</v>
      </c>
      <c r="L1275" t="s">
        <v>29</v>
      </c>
      <c r="M1275" s="5">
        <v>5</v>
      </c>
      <c r="N1275" s="4">
        <v>0.27</v>
      </c>
      <c r="O1275" t="s">
        <v>34</v>
      </c>
    </row>
    <row r="1276" spans="1:15" x14ac:dyDescent="0.3">
      <c r="A1276" t="s">
        <v>3923</v>
      </c>
      <c r="B1276" s="5">
        <v>32</v>
      </c>
      <c r="C1276" s="5" t="str" cm="1">
        <f t="array" ref="C1276">_xlfn.IFS(worksheet[[#This Row],[age]]&lt;25,"1. Young Adulthood (18-24)",worksheet[[#This Row],[age]]&lt; 35,"2. Early Adulthood (25-34)",worksheet[[#This Row],[age]]&lt; 45,"3. Mid Adulthood (35-44)",worksheet[[#This Row],[age]]&lt; 55,"4. Mature Adulthood (45-54)",TRUE,"5. Late Adulthood/Senior (55+)")</f>
        <v>2. Early Adulthood (25-34)</v>
      </c>
      <c r="D1276" t="s">
        <v>41</v>
      </c>
      <c r="E1276" t="s">
        <v>32</v>
      </c>
      <c r="F1276" s="4">
        <v>0.53</v>
      </c>
      <c r="G1276" s="5">
        <v>23</v>
      </c>
      <c r="H1276" t="s">
        <v>70</v>
      </c>
      <c r="I1276" t="s">
        <v>24</v>
      </c>
      <c r="J1276" s="6">
        <v>17.989999999999998</v>
      </c>
      <c r="K1276">
        <v>1</v>
      </c>
      <c r="L1276" t="s">
        <v>29</v>
      </c>
      <c r="M1276" s="5">
        <v>3</v>
      </c>
      <c r="N1276" s="4">
        <v>0.02</v>
      </c>
      <c r="O1276" t="s">
        <v>20</v>
      </c>
    </row>
    <row r="1277" spans="1:15" x14ac:dyDescent="0.3">
      <c r="A1277" t="s">
        <v>3926</v>
      </c>
      <c r="B1277" s="5">
        <v>26</v>
      </c>
      <c r="C1277" s="5" t="str" cm="1">
        <f t="array" ref="C1277">_xlfn.IFS(worksheet[[#This Row],[age]]&lt;25,"1. Young Adulthood (18-24)",worksheet[[#This Row],[age]]&lt; 35,"2. Early Adulthood (25-34)",worksheet[[#This Row],[age]]&lt; 45,"3. Mid Adulthood (35-44)",worksheet[[#This Row],[age]]&lt; 55,"4. Mature Adulthood (45-54)",TRUE,"5. Late Adulthood/Senior (55+)")</f>
        <v>2. Early Adulthood (25-34)</v>
      </c>
      <c r="D1277" t="s">
        <v>15</v>
      </c>
      <c r="E1277" t="s">
        <v>22</v>
      </c>
      <c r="F1277" s="4">
        <v>4.42</v>
      </c>
      <c r="G1277" s="5">
        <v>55</v>
      </c>
      <c r="H1277" t="s">
        <v>28</v>
      </c>
      <c r="I1277" t="s">
        <v>46</v>
      </c>
      <c r="J1277" s="6">
        <v>13.99</v>
      </c>
      <c r="K1277">
        <v>1</v>
      </c>
      <c r="L1277" t="s">
        <v>43</v>
      </c>
      <c r="M1277" s="5">
        <v>4</v>
      </c>
      <c r="N1277" s="4">
        <v>0.08</v>
      </c>
      <c r="O1277" t="s">
        <v>34</v>
      </c>
    </row>
    <row r="1278" spans="1:15" x14ac:dyDescent="0.3">
      <c r="A1278" t="s">
        <v>3928</v>
      </c>
      <c r="B1278" s="5">
        <v>31</v>
      </c>
      <c r="C1278" s="5" t="str" cm="1">
        <f t="array" ref="C1278">_xlfn.IFS(worksheet[[#This Row],[age]]&lt;25,"1. Young Adulthood (18-24)",worksheet[[#This Row],[age]]&lt; 35,"2. Early Adulthood (25-34)",worksheet[[#This Row],[age]]&lt; 45,"3. Mid Adulthood (35-44)",worksheet[[#This Row],[age]]&lt; 55,"4. Mature Adulthood (45-54)",TRUE,"5. Late Adulthood/Senior (55+)")</f>
        <v>2. Early Adulthood (25-34)</v>
      </c>
      <c r="D1278" t="s">
        <v>27</v>
      </c>
      <c r="E1278" t="s">
        <v>16</v>
      </c>
      <c r="F1278" s="4">
        <v>0.42</v>
      </c>
      <c r="G1278" s="5">
        <v>43</v>
      </c>
      <c r="H1278" t="s">
        <v>33</v>
      </c>
      <c r="I1278" t="s">
        <v>57</v>
      </c>
      <c r="J1278" s="6">
        <v>8.99</v>
      </c>
      <c r="K1278">
        <v>1</v>
      </c>
      <c r="L1278" t="s">
        <v>61</v>
      </c>
      <c r="M1278" s="5">
        <v>3</v>
      </c>
      <c r="N1278" s="4">
        <v>0.01</v>
      </c>
      <c r="O1278" t="s">
        <v>52</v>
      </c>
    </row>
    <row r="1279" spans="1:15" x14ac:dyDescent="0.3">
      <c r="A1279" t="s">
        <v>3931</v>
      </c>
      <c r="B1279" s="5">
        <v>28</v>
      </c>
      <c r="C1279" s="5" t="str" cm="1">
        <f t="array" ref="C1279">_xlfn.IFS(worksheet[[#This Row],[age]]&lt;25,"1. Young Adulthood (18-24)",worksheet[[#This Row],[age]]&lt; 35,"2. Early Adulthood (25-34)",worksheet[[#This Row],[age]]&lt; 45,"3. Mid Adulthood (35-44)",worksheet[[#This Row],[age]]&lt; 55,"4. Mature Adulthood (45-54)",TRUE,"5. Late Adulthood/Senior (55+)")</f>
        <v>2. Early Adulthood (25-34)</v>
      </c>
      <c r="D1279" t="s">
        <v>41</v>
      </c>
      <c r="E1279" t="s">
        <v>22</v>
      </c>
      <c r="F1279" s="4">
        <v>1.05</v>
      </c>
      <c r="G1279" s="5">
        <v>26</v>
      </c>
      <c r="H1279" t="s">
        <v>23</v>
      </c>
      <c r="I1279" t="s">
        <v>46</v>
      </c>
      <c r="J1279" s="6">
        <v>13.99</v>
      </c>
      <c r="K1279">
        <v>0</v>
      </c>
      <c r="L1279" t="s">
        <v>43</v>
      </c>
      <c r="M1279" s="5">
        <v>4</v>
      </c>
      <c r="N1279" s="4">
        <v>0.04</v>
      </c>
      <c r="O1279" t="s">
        <v>20</v>
      </c>
    </row>
    <row r="1280" spans="1:15" x14ac:dyDescent="0.3">
      <c r="A1280" t="s">
        <v>3932</v>
      </c>
      <c r="B1280" s="5">
        <v>19</v>
      </c>
      <c r="C1280" s="5" t="str" cm="1">
        <f t="array" ref="C1280">_xlfn.IFS(worksheet[[#This Row],[age]]&lt;25,"1. Young Adulthood (18-24)",worksheet[[#This Row],[age]]&lt; 35,"2. Early Adulthood (25-34)",worksheet[[#This Row],[age]]&lt; 45,"3. Mid Adulthood (35-44)",worksheet[[#This Row],[age]]&lt; 55,"4. Mature Adulthood (45-54)",TRUE,"5. Late Adulthood/Senior (55+)")</f>
        <v>1. Young Adulthood (18-24)</v>
      </c>
      <c r="D1280" t="s">
        <v>27</v>
      </c>
      <c r="E1280" t="s">
        <v>32</v>
      </c>
      <c r="F1280" s="4">
        <v>4.0599999999999996</v>
      </c>
      <c r="G1280" s="5">
        <v>7</v>
      </c>
      <c r="H1280" t="s">
        <v>17</v>
      </c>
      <c r="I1280" t="s">
        <v>46</v>
      </c>
      <c r="J1280" s="6">
        <v>17.989999999999998</v>
      </c>
      <c r="K1280">
        <v>0</v>
      </c>
      <c r="L1280" t="s">
        <v>43</v>
      </c>
      <c r="M1280" s="5">
        <v>3</v>
      </c>
      <c r="N1280" s="4">
        <v>0.51</v>
      </c>
      <c r="O1280" t="s">
        <v>20</v>
      </c>
    </row>
    <row r="1281" spans="1:15" x14ac:dyDescent="0.3">
      <c r="A1281" t="s">
        <v>3933</v>
      </c>
      <c r="B1281" s="5">
        <v>34</v>
      </c>
      <c r="C1281" s="5" t="str" cm="1">
        <f t="array" ref="C1281">_xlfn.IFS(worksheet[[#This Row],[age]]&lt;25,"1. Young Adulthood (18-24)",worksheet[[#This Row],[age]]&lt; 35,"2. Early Adulthood (25-34)",worksheet[[#This Row],[age]]&lt; 45,"3. Mid Adulthood (35-44)",worksheet[[#This Row],[age]]&lt; 55,"4. Mature Adulthood (45-54)",TRUE,"5. Late Adulthood/Senior (55+)")</f>
        <v>2. Early Adulthood (25-34)</v>
      </c>
      <c r="D1281" t="s">
        <v>15</v>
      </c>
      <c r="E1281" t="s">
        <v>32</v>
      </c>
      <c r="F1281" s="4">
        <v>9.67</v>
      </c>
      <c r="G1281" s="5">
        <v>7</v>
      </c>
      <c r="H1281" t="s">
        <v>33</v>
      </c>
      <c r="I1281" t="s">
        <v>24</v>
      </c>
      <c r="J1281" s="6">
        <v>17.989999999999998</v>
      </c>
      <c r="K1281">
        <v>0</v>
      </c>
      <c r="L1281" t="s">
        <v>61</v>
      </c>
      <c r="M1281" s="5">
        <v>1</v>
      </c>
      <c r="N1281" s="4">
        <v>1.21</v>
      </c>
      <c r="O1281" t="s">
        <v>30</v>
      </c>
    </row>
    <row r="1282" spans="1:15" x14ac:dyDescent="0.3">
      <c r="A1282" t="s">
        <v>3935</v>
      </c>
      <c r="B1282" s="5">
        <v>27</v>
      </c>
      <c r="C1282" s="5" t="str" cm="1">
        <f t="array" ref="C1282">_xlfn.IFS(worksheet[[#This Row],[age]]&lt;25,"1. Young Adulthood (18-24)",worksheet[[#This Row],[age]]&lt; 35,"2. Early Adulthood (25-34)",worksheet[[#This Row],[age]]&lt; 45,"3. Mid Adulthood (35-44)",worksheet[[#This Row],[age]]&lt; 55,"4. Mature Adulthood (45-54)",TRUE,"5. Late Adulthood/Senior (55+)")</f>
        <v>2. Early Adulthood (25-34)</v>
      </c>
      <c r="D1282" t="s">
        <v>15</v>
      </c>
      <c r="E1282" t="s">
        <v>16</v>
      </c>
      <c r="F1282" s="4">
        <v>2.58</v>
      </c>
      <c r="G1282" s="5">
        <v>6</v>
      </c>
      <c r="H1282" t="s">
        <v>49</v>
      </c>
      <c r="I1282" t="s">
        <v>57</v>
      </c>
      <c r="J1282" s="6">
        <v>8.99</v>
      </c>
      <c r="K1282">
        <v>1</v>
      </c>
      <c r="L1282" t="s">
        <v>37</v>
      </c>
      <c r="M1282" s="5">
        <v>3</v>
      </c>
      <c r="N1282" s="4">
        <v>0.37</v>
      </c>
      <c r="O1282" t="s">
        <v>39</v>
      </c>
    </row>
    <row r="1283" spans="1:15" x14ac:dyDescent="0.3">
      <c r="A1283" t="s">
        <v>3937</v>
      </c>
      <c r="B1283" s="5">
        <v>22</v>
      </c>
      <c r="C1283" s="5" t="str" cm="1">
        <f t="array" ref="C1283">_xlfn.IFS(worksheet[[#This Row],[age]]&lt;25,"1. Young Adulthood (18-24)",worksheet[[#This Row],[age]]&lt; 35,"2. Early Adulthood (25-34)",worksheet[[#This Row],[age]]&lt; 45,"3. Mid Adulthood (35-44)",worksheet[[#This Row],[age]]&lt; 55,"4. Mature Adulthood (45-54)",TRUE,"5. Late Adulthood/Senior (55+)")</f>
        <v>1. Young Adulthood (18-24)</v>
      </c>
      <c r="D1283" t="s">
        <v>15</v>
      </c>
      <c r="E1283" t="s">
        <v>22</v>
      </c>
      <c r="F1283" s="4">
        <v>2.12</v>
      </c>
      <c r="G1283" s="5">
        <v>58</v>
      </c>
      <c r="H1283" t="s">
        <v>23</v>
      </c>
      <c r="I1283" t="s">
        <v>24</v>
      </c>
      <c r="J1283" s="6">
        <v>13.99</v>
      </c>
      <c r="K1283">
        <v>1</v>
      </c>
      <c r="L1283" t="s">
        <v>19</v>
      </c>
      <c r="M1283" s="5">
        <v>1</v>
      </c>
      <c r="N1283" s="4">
        <v>0.04</v>
      </c>
      <c r="O1283" t="s">
        <v>20</v>
      </c>
    </row>
    <row r="1284" spans="1:15" x14ac:dyDescent="0.3">
      <c r="A1284" t="s">
        <v>3939</v>
      </c>
      <c r="B1284" s="5">
        <v>28</v>
      </c>
      <c r="C1284" s="5" t="str" cm="1">
        <f t="array" ref="C1284">_xlfn.IFS(worksheet[[#This Row],[age]]&lt;25,"1. Young Adulthood (18-24)",worksheet[[#This Row],[age]]&lt; 35,"2. Early Adulthood (25-34)",worksheet[[#This Row],[age]]&lt; 45,"3. Mid Adulthood (35-44)",worksheet[[#This Row],[age]]&lt; 55,"4. Mature Adulthood (45-54)",TRUE,"5. Late Adulthood/Senior (55+)")</f>
        <v>2. Early Adulthood (25-34)</v>
      </c>
      <c r="D1284" t="s">
        <v>15</v>
      </c>
      <c r="E1284" t="s">
        <v>16</v>
      </c>
      <c r="F1284" s="4">
        <v>4.82</v>
      </c>
      <c r="G1284" s="5">
        <v>31</v>
      </c>
      <c r="H1284" t="s">
        <v>70</v>
      </c>
      <c r="I1284" t="s">
        <v>55</v>
      </c>
      <c r="J1284" s="6">
        <v>8.99</v>
      </c>
      <c r="K1284">
        <v>1</v>
      </c>
      <c r="L1284" t="s">
        <v>29</v>
      </c>
      <c r="M1284" s="5">
        <v>5</v>
      </c>
      <c r="N1284" s="4">
        <v>0.15</v>
      </c>
      <c r="O1284" t="s">
        <v>30</v>
      </c>
    </row>
    <row r="1285" spans="1:15" x14ac:dyDescent="0.3">
      <c r="A1285" t="s">
        <v>3940</v>
      </c>
      <c r="B1285" s="5">
        <v>27</v>
      </c>
      <c r="C1285" s="5" t="str" cm="1">
        <f t="array" ref="C1285">_xlfn.IFS(worksheet[[#This Row],[age]]&lt;25,"1. Young Adulthood (18-24)",worksheet[[#This Row],[age]]&lt; 35,"2. Early Adulthood (25-34)",worksheet[[#This Row],[age]]&lt; 45,"3. Mid Adulthood (35-44)",worksheet[[#This Row],[age]]&lt; 55,"4. Mature Adulthood (45-54)",TRUE,"5. Late Adulthood/Senior (55+)")</f>
        <v>2. Early Adulthood (25-34)</v>
      </c>
      <c r="D1285" t="s">
        <v>41</v>
      </c>
      <c r="E1285" t="s">
        <v>16</v>
      </c>
      <c r="F1285" s="4">
        <v>46.09</v>
      </c>
      <c r="G1285" s="5">
        <v>3</v>
      </c>
      <c r="H1285" t="s">
        <v>33</v>
      </c>
      <c r="I1285" t="s">
        <v>18</v>
      </c>
      <c r="J1285" s="6">
        <v>8.99</v>
      </c>
      <c r="K1285">
        <v>0</v>
      </c>
      <c r="L1285" t="s">
        <v>29</v>
      </c>
      <c r="M1285" s="5">
        <v>4</v>
      </c>
      <c r="N1285" s="4">
        <v>11.52</v>
      </c>
      <c r="O1285" t="s">
        <v>52</v>
      </c>
    </row>
    <row r="1286" spans="1:15" x14ac:dyDescent="0.3">
      <c r="A1286" t="s">
        <v>3946</v>
      </c>
      <c r="B1286" s="5">
        <v>22</v>
      </c>
      <c r="C1286" s="5" t="str" cm="1">
        <f t="array" ref="C1286">_xlfn.IFS(worksheet[[#This Row],[age]]&lt;25,"1. Young Adulthood (18-24)",worksheet[[#This Row],[age]]&lt; 35,"2. Early Adulthood (25-34)",worksheet[[#This Row],[age]]&lt; 45,"3. Mid Adulthood (35-44)",worksheet[[#This Row],[age]]&lt; 55,"4. Mature Adulthood (45-54)",TRUE,"5. Late Adulthood/Senior (55+)")</f>
        <v>1. Young Adulthood (18-24)</v>
      </c>
      <c r="D1286" t="s">
        <v>15</v>
      </c>
      <c r="E1286" t="s">
        <v>32</v>
      </c>
      <c r="F1286" s="4">
        <v>2.15</v>
      </c>
      <c r="G1286" s="5">
        <v>30</v>
      </c>
      <c r="H1286" t="s">
        <v>49</v>
      </c>
      <c r="I1286" t="s">
        <v>57</v>
      </c>
      <c r="J1286" s="6">
        <v>17.989999999999998</v>
      </c>
      <c r="K1286">
        <v>1</v>
      </c>
      <c r="L1286" t="s">
        <v>37</v>
      </c>
      <c r="M1286" s="5">
        <v>3</v>
      </c>
      <c r="N1286" s="4">
        <v>7.0000000000000007E-2</v>
      </c>
      <c r="O1286" t="s">
        <v>30</v>
      </c>
    </row>
    <row r="1287" spans="1:15" x14ac:dyDescent="0.3">
      <c r="A1287" t="s">
        <v>3948</v>
      </c>
      <c r="B1287" s="5">
        <v>21</v>
      </c>
      <c r="C1287" s="5" t="str" cm="1">
        <f t="array" ref="C1287">_xlfn.IFS(worksheet[[#This Row],[age]]&lt;25,"1. Young Adulthood (18-24)",worksheet[[#This Row],[age]]&lt; 35,"2. Early Adulthood (25-34)",worksheet[[#This Row],[age]]&lt; 45,"3. Mid Adulthood (35-44)",worksheet[[#This Row],[age]]&lt; 55,"4. Mature Adulthood (45-54)",TRUE,"5. Late Adulthood/Senior (55+)")</f>
        <v>1. Young Adulthood (18-24)</v>
      </c>
      <c r="D1287" t="s">
        <v>41</v>
      </c>
      <c r="E1287" t="s">
        <v>22</v>
      </c>
      <c r="F1287" s="4">
        <v>12.34</v>
      </c>
      <c r="G1287" s="5">
        <v>5</v>
      </c>
      <c r="H1287" t="s">
        <v>17</v>
      </c>
      <c r="I1287" t="s">
        <v>57</v>
      </c>
      <c r="J1287" s="6">
        <v>13.99</v>
      </c>
      <c r="K1287">
        <v>0</v>
      </c>
      <c r="L1287" t="s">
        <v>43</v>
      </c>
      <c r="M1287" s="5">
        <v>2</v>
      </c>
      <c r="N1287" s="4">
        <v>2.06</v>
      </c>
      <c r="O1287" t="s">
        <v>25</v>
      </c>
    </row>
    <row r="1288" spans="1:15" x14ac:dyDescent="0.3">
      <c r="A1288" t="s">
        <v>3950</v>
      </c>
      <c r="B1288" s="5">
        <v>21</v>
      </c>
      <c r="C1288" s="5" t="str" cm="1">
        <f t="array" ref="C1288">_xlfn.IFS(worksheet[[#This Row],[age]]&lt;25,"1. Young Adulthood (18-24)",worksheet[[#This Row],[age]]&lt; 35,"2. Early Adulthood (25-34)",worksheet[[#This Row],[age]]&lt; 45,"3. Mid Adulthood (35-44)",worksheet[[#This Row],[age]]&lt; 55,"4. Mature Adulthood (45-54)",TRUE,"5. Late Adulthood/Senior (55+)")</f>
        <v>1. Young Adulthood (18-24)</v>
      </c>
      <c r="D1288" t="s">
        <v>15</v>
      </c>
      <c r="E1288" t="s">
        <v>32</v>
      </c>
      <c r="F1288" s="4">
        <v>13.66</v>
      </c>
      <c r="G1288" s="5">
        <v>36</v>
      </c>
      <c r="H1288" t="s">
        <v>33</v>
      </c>
      <c r="I1288" t="s">
        <v>57</v>
      </c>
      <c r="J1288" s="6">
        <v>17.989999999999998</v>
      </c>
      <c r="K1288">
        <v>1</v>
      </c>
      <c r="L1288" t="s">
        <v>61</v>
      </c>
      <c r="M1288" s="5">
        <v>3</v>
      </c>
      <c r="N1288" s="4">
        <v>0.37</v>
      </c>
      <c r="O1288" t="s">
        <v>34</v>
      </c>
    </row>
    <row r="1289" spans="1:15" x14ac:dyDescent="0.3">
      <c r="A1289" t="s">
        <v>3951</v>
      </c>
      <c r="B1289" s="5">
        <v>32</v>
      </c>
      <c r="C1289" s="5" t="str" cm="1">
        <f t="array" ref="C1289">_xlfn.IFS(worksheet[[#This Row],[age]]&lt;25,"1. Young Adulthood (18-24)",worksheet[[#This Row],[age]]&lt; 35,"2. Early Adulthood (25-34)",worksheet[[#This Row],[age]]&lt; 45,"3. Mid Adulthood (35-44)",worksheet[[#This Row],[age]]&lt; 55,"4. Mature Adulthood (45-54)",TRUE,"5. Late Adulthood/Senior (55+)")</f>
        <v>2. Early Adulthood (25-34)</v>
      </c>
      <c r="D1289" t="s">
        <v>41</v>
      </c>
      <c r="E1289" t="s">
        <v>32</v>
      </c>
      <c r="F1289" s="4">
        <v>13.09</v>
      </c>
      <c r="G1289" s="5">
        <v>51</v>
      </c>
      <c r="H1289" t="s">
        <v>70</v>
      </c>
      <c r="I1289" t="s">
        <v>57</v>
      </c>
      <c r="J1289" s="6">
        <v>17.989999999999998</v>
      </c>
      <c r="K1289">
        <v>1</v>
      </c>
      <c r="L1289" t="s">
        <v>29</v>
      </c>
      <c r="M1289" s="5">
        <v>2</v>
      </c>
      <c r="N1289" s="4">
        <v>0.25</v>
      </c>
      <c r="O1289" t="s">
        <v>20</v>
      </c>
    </row>
    <row r="1290" spans="1:15" x14ac:dyDescent="0.3">
      <c r="A1290" t="s">
        <v>3956</v>
      </c>
      <c r="B1290" s="5">
        <v>24</v>
      </c>
      <c r="C1290" s="5" t="str" cm="1">
        <f t="array" ref="C1290">_xlfn.IFS(worksheet[[#This Row],[age]]&lt;25,"1. Young Adulthood (18-24)",worksheet[[#This Row],[age]]&lt; 35,"2. Early Adulthood (25-34)",worksheet[[#This Row],[age]]&lt; 45,"3. Mid Adulthood (35-44)",worksheet[[#This Row],[age]]&lt; 55,"4. Mature Adulthood (45-54)",TRUE,"5. Late Adulthood/Senior (55+)")</f>
        <v>1. Young Adulthood (18-24)</v>
      </c>
      <c r="D1290" t="s">
        <v>27</v>
      </c>
      <c r="E1290" t="s">
        <v>16</v>
      </c>
      <c r="F1290" s="4">
        <v>0.19</v>
      </c>
      <c r="G1290" s="5">
        <v>49</v>
      </c>
      <c r="H1290" t="s">
        <v>33</v>
      </c>
      <c r="I1290" t="s">
        <v>57</v>
      </c>
      <c r="J1290" s="6">
        <v>8.99</v>
      </c>
      <c r="K1290">
        <v>1</v>
      </c>
      <c r="L1290" t="s">
        <v>29</v>
      </c>
      <c r="M1290" s="5">
        <v>3</v>
      </c>
      <c r="N1290" s="4">
        <v>0</v>
      </c>
      <c r="O1290" t="s">
        <v>39</v>
      </c>
    </row>
    <row r="1291" spans="1:15" x14ac:dyDescent="0.3">
      <c r="A1291" t="s">
        <v>3957</v>
      </c>
      <c r="B1291" s="5">
        <v>30</v>
      </c>
      <c r="C1291" s="5" t="str" cm="1">
        <f t="array" ref="C1291">_xlfn.IFS(worksheet[[#This Row],[age]]&lt;25,"1. Young Adulthood (18-24)",worksheet[[#This Row],[age]]&lt; 35,"2. Early Adulthood (25-34)",worksheet[[#This Row],[age]]&lt; 45,"3. Mid Adulthood (35-44)",worksheet[[#This Row],[age]]&lt; 55,"4. Mature Adulthood (45-54)",TRUE,"5. Late Adulthood/Senior (55+)")</f>
        <v>2. Early Adulthood (25-34)</v>
      </c>
      <c r="D1291" t="s">
        <v>27</v>
      </c>
      <c r="E1291" t="s">
        <v>16</v>
      </c>
      <c r="F1291" s="4">
        <v>4.21</v>
      </c>
      <c r="G1291" s="5">
        <v>13</v>
      </c>
      <c r="H1291" t="s">
        <v>33</v>
      </c>
      <c r="I1291" t="s">
        <v>55</v>
      </c>
      <c r="J1291" s="6">
        <v>8.99</v>
      </c>
      <c r="K1291">
        <v>1</v>
      </c>
      <c r="L1291" t="s">
        <v>37</v>
      </c>
      <c r="M1291" s="5">
        <v>4</v>
      </c>
      <c r="N1291" s="4">
        <v>0.3</v>
      </c>
      <c r="O1291" t="s">
        <v>30</v>
      </c>
    </row>
    <row r="1292" spans="1:15" x14ac:dyDescent="0.3">
      <c r="A1292" t="s">
        <v>3961</v>
      </c>
      <c r="B1292" s="5">
        <v>32</v>
      </c>
      <c r="C1292" s="5" t="str" cm="1">
        <f t="array" ref="C1292">_xlfn.IFS(worksheet[[#This Row],[age]]&lt;25,"1. Young Adulthood (18-24)",worksheet[[#This Row],[age]]&lt; 35,"2. Early Adulthood (25-34)",worksheet[[#This Row],[age]]&lt; 45,"3. Mid Adulthood (35-44)",worksheet[[#This Row],[age]]&lt; 55,"4. Mature Adulthood (45-54)",TRUE,"5. Late Adulthood/Senior (55+)")</f>
        <v>2. Early Adulthood (25-34)</v>
      </c>
      <c r="D1292" t="s">
        <v>27</v>
      </c>
      <c r="E1292" t="s">
        <v>22</v>
      </c>
      <c r="F1292" s="4">
        <v>2.74</v>
      </c>
      <c r="G1292" s="5">
        <v>8</v>
      </c>
      <c r="H1292" t="s">
        <v>28</v>
      </c>
      <c r="I1292" t="s">
        <v>18</v>
      </c>
      <c r="J1292" s="6">
        <v>13.99</v>
      </c>
      <c r="K1292">
        <v>1</v>
      </c>
      <c r="L1292" t="s">
        <v>61</v>
      </c>
      <c r="M1292" s="5">
        <v>1</v>
      </c>
      <c r="N1292" s="4">
        <v>0.3</v>
      </c>
      <c r="O1292" t="s">
        <v>20</v>
      </c>
    </row>
    <row r="1293" spans="1:15" x14ac:dyDescent="0.3">
      <c r="A1293" t="s">
        <v>3965</v>
      </c>
      <c r="B1293" s="5">
        <v>33</v>
      </c>
      <c r="C1293" s="5" t="str" cm="1">
        <f t="array" ref="C1293">_xlfn.IFS(worksheet[[#This Row],[age]]&lt;25,"1. Young Adulthood (18-24)",worksheet[[#This Row],[age]]&lt; 35,"2. Early Adulthood (25-34)",worksheet[[#This Row],[age]]&lt; 45,"3. Mid Adulthood (35-44)",worksheet[[#This Row],[age]]&lt; 55,"4. Mature Adulthood (45-54)",TRUE,"5. Late Adulthood/Senior (55+)")</f>
        <v>2. Early Adulthood (25-34)</v>
      </c>
      <c r="D1293" t="s">
        <v>27</v>
      </c>
      <c r="E1293" t="s">
        <v>32</v>
      </c>
      <c r="F1293" s="4">
        <v>11.3</v>
      </c>
      <c r="G1293" s="5">
        <v>7</v>
      </c>
      <c r="H1293" t="s">
        <v>70</v>
      </c>
      <c r="I1293" t="s">
        <v>57</v>
      </c>
      <c r="J1293" s="6">
        <v>17.989999999999998</v>
      </c>
      <c r="K1293">
        <v>0</v>
      </c>
      <c r="L1293" t="s">
        <v>19</v>
      </c>
      <c r="M1293" s="5">
        <v>1</v>
      </c>
      <c r="N1293" s="4">
        <v>1.41</v>
      </c>
      <c r="O1293" t="s">
        <v>30</v>
      </c>
    </row>
    <row r="1294" spans="1:15" x14ac:dyDescent="0.3">
      <c r="A1294" t="s">
        <v>3966</v>
      </c>
      <c r="B1294" s="5">
        <v>31</v>
      </c>
      <c r="C1294" s="5" t="str" cm="1">
        <f t="array" ref="C1294">_xlfn.IFS(worksheet[[#This Row],[age]]&lt;25,"1. Young Adulthood (18-24)",worksheet[[#This Row],[age]]&lt; 35,"2. Early Adulthood (25-34)",worksheet[[#This Row],[age]]&lt; 45,"3. Mid Adulthood (35-44)",worksheet[[#This Row],[age]]&lt; 55,"4. Mature Adulthood (45-54)",TRUE,"5. Late Adulthood/Senior (55+)")</f>
        <v>2. Early Adulthood (25-34)</v>
      </c>
      <c r="D1294" t="s">
        <v>27</v>
      </c>
      <c r="E1294" t="s">
        <v>32</v>
      </c>
      <c r="F1294" s="4">
        <v>3.13</v>
      </c>
      <c r="G1294" s="5">
        <v>7</v>
      </c>
      <c r="H1294" t="s">
        <v>70</v>
      </c>
      <c r="I1294" t="s">
        <v>24</v>
      </c>
      <c r="J1294" s="6">
        <v>17.989999999999998</v>
      </c>
      <c r="K1294">
        <v>0</v>
      </c>
      <c r="L1294" t="s">
        <v>37</v>
      </c>
      <c r="M1294" s="5">
        <v>5</v>
      </c>
      <c r="N1294" s="4">
        <v>0.39</v>
      </c>
      <c r="O1294" t="s">
        <v>52</v>
      </c>
    </row>
    <row r="1295" spans="1:15" x14ac:dyDescent="0.3">
      <c r="A1295" t="s">
        <v>3968</v>
      </c>
      <c r="B1295" s="5">
        <v>19</v>
      </c>
      <c r="C1295" s="5" t="str" cm="1">
        <f t="array" ref="C1295">_xlfn.IFS(worksheet[[#This Row],[age]]&lt;25,"1. Young Adulthood (18-24)",worksheet[[#This Row],[age]]&lt; 35,"2. Early Adulthood (25-34)",worksheet[[#This Row],[age]]&lt; 45,"3. Mid Adulthood (35-44)",worksheet[[#This Row],[age]]&lt; 55,"4. Mature Adulthood (45-54)",TRUE,"5. Late Adulthood/Senior (55+)")</f>
        <v>1. Young Adulthood (18-24)</v>
      </c>
      <c r="D1295" t="s">
        <v>27</v>
      </c>
      <c r="E1295" t="s">
        <v>32</v>
      </c>
      <c r="F1295" s="4">
        <v>0.6</v>
      </c>
      <c r="G1295" s="5">
        <v>26</v>
      </c>
      <c r="H1295" t="s">
        <v>33</v>
      </c>
      <c r="I1295" t="s">
        <v>24</v>
      </c>
      <c r="J1295" s="6">
        <v>17.989999999999998</v>
      </c>
      <c r="K1295">
        <v>1</v>
      </c>
      <c r="L1295" t="s">
        <v>19</v>
      </c>
      <c r="M1295" s="5">
        <v>1</v>
      </c>
      <c r="N1295" s="4">
        <v>0.02</v>
      </c>
      <c r="O1295" t="s">
        <v>25</v>
      </c>
    </row>
    <row r="1296" spans="1:15" x14ac:dyDescent="0.3">
      <c r="A1296" t="s">
        <v>3969</v>
      </c>
      <c r="B1296" s="5">
        <v>25</v>
      </c>
      <c r="C1296" s="5" t="str" cm="1">
        <f t="array" ref="C1296">_xlfn.IFS(worksheet[[#This Row],[age]]&lt;25,"1. Young Adulthood (18-24)",worksheet[[#This Row],[age]]&lt; 35,"2. Early Adulthood (25-34)",worksheet[[#This Row],[age]]&lt; 45,"3. Mid Adulthood (35-44)",worksheet[[#This Row],[age]]&lt; 55,"4. Mature Adulthood (45-54)",TRUE,"5. Late Adulthood/Senior (55+)")</f>
        <v>2. Early Adulthood (25-34)</v>
      </c>
      <c r="D1296" t="s">
        <v>41</v>
      </c>
      <c r="E1296" t="s">
        <v>32</v>
      </c>
      <c r="F1296" s="4">
        <v>44.46</v>
      </c>
      <c r="G1296" s="5">
        <v>33</v>
      </c>
      <c r="H1296" t="s">
        <v>33</v>
      </c>
      <c r="I1296" t="s">
        <v>57</v>
      </c>
      <c r="J1296" s="6">
        <v>17.989999999999998</v>
      </c>
      <c r="K1296">
        <v>0</v>
      </c>
      <c r="L1296" t="s">
        <v>43</v>
      </c>
      <c r="M1296" s="5">
        <v>1</v>
      </c>
      <c r="N1296" s="4">
        <v>1.31</v>
      </c>
      <c r="O1296" t="s">
        <v>30</v>
      </c>
    </row>
    <row r="1297" spans="1:15" x14ac:dyDescent="0.3">
      <c r="A1297" t="s">
        <v>3973</v>
      </c>
      <c r="B1297" s="5">
        <v>19</v>
      </c>
      <c r="C1297" s="5" t="str" cm="1">
        <f t="array" ref="C1297">_xlfn.IFS(worksheet[[#This Row],[age]]&lt;25,"1. Young Adulthood (18-24)",worksheet[[#This Row],[age]]&lt; 35,"2. Early Adulthood (25-34)",worksheet[[#This Row],[age]]&lt; 45,"3. Mid Adulthood (35-44)",worksheet[[#This Row],[age]]&lt; 55,"4. Mature Adulthood (45-54)",TRUE,"5. Late Adulthood/Senior (55+)")</f>
        <v>1. Young Adulthood (18-24)</v>
      </c>
      <c r="D1297" t="s">
        <v>41</v>
      </c>
      <c r="E1297" t="s">
        <v>32</v>
      </c>
      <c r="F1297" s="4">
        <v>0.36</v>
      </c>
      <c r="G1297" s="5">
        <v>28</v>
      </c>
      <c r="H1297" t="s">
        <v>33</v>
      </c>
      <c r="I1297" t="s">
        <v>55</v>
      </c>
      <c r="J1297" s="6">
        <v>17.989999999999998</v>
      </c>
      <c r="K1297">
        <v>1</v>
      </c>
      <c r="L1297" t="s">
        <v>61</v>
      </c>
      <c r="M1297" s="5">
        <v>1</v>
      </c>
      <c r="N1297" s="4">
        <v>0.01</v>
      </c>
      <c r="O1297" t="s">
        <v>47</v>
      </c>
    </row>
    <row r="1298" spans="1:15" x14ac:dyDescent="0.3">
      <c r="A1298" t="s">
        <v>3975</v>
      </c>
      <c r="B1298" s="5">
        <v>26</v>
      </c>
      <c r="C1298" s="5" t="str" cm="1">
        <f t="array" ref="C1298">_xlfn.IFS(worksheet[[#This Row],[age]]&lt;25,"1. Young Adulthood (18-24)",worksheet[[#This Row],[age]]&lt; 35,"2. Early Adulthood (25-34)",worksheet[[#This Row],[age]]&lt; 45,"3. Mid Adulthood (35-44)",worksheet[[#This Row],[age]]&lt; 55,"4. Mature Adulthood (45-54)",TRUE,"5. Late Adulthood/Senior (55+)")</f>
        <v>2. Early Adulthood (25-34)</v>
      </c>
      <c r="D1298" t="s">
        <v>15</v>
      </c>
      <c r="E1298" t="s">
        <v>16</v>
      </c>
      <c r="F1298" s="4">
        <v>23.33</v>
      </c>
      <c r="G1298" s="5">
        <v>27</v>
      </c>
      <c r="H1298" t="s">
        <v>70</v>
      </c>
      <c r="I1298" t="s">
        <v>24</v>
      </c>
      <c r="J1298" s="6">
        <v>8.99</v>
      </c>
      <c r="K1298">
        <v>0</v>
      </c>
      <c r="L1298" t="s">
        <v>19</v>
      </c>
      <c r="M1298" s="5">
        <v>1</v>
      </c>
      <c r="N1298" s="4">
        <v>0.83</v>
      </c>
      <c r="O1298" t="s">
        <v>20</v>
      </c>
    </row>
    <row r="1299" spans="1:15" x14ac:dyDescent="0.3">
      <c r="A1299" t="s">
        <v>3977</v>
      </c>
      <c r="B1299" s="5">
        <v>18</v>
      </c>
      <c r="C1299" s="5" t="str" cm="1">
        <f t="array" ref="C1299">_xlfn.IFS(worksheet[[#This Row],[age]]&lt;25,"1. Young Adulthood (18-24)",worksheet[[#This Row],[age]]&lt; 35,"2. Early Adulthood (25-34)",worksheet[[#This Row],[age]]&lt; 45,"3. Mid Adulthood (35-44)",worksheet[[#This Row],[age]]&lt; 55,"4. Mature Adulthood (45-54)",TRUE,"5. Late Adulthood/Senior (55+)")</f>
        <v>1. Young Adulthood (18-24)</v>
      </c>
      <c r="D1299" t="s">
        <v>41</v>
      </c>
      <c r="E1299" t="s">
        <v>32</v>
      </c>
      <c r="F1299" s="4">
        <v>10.08</v>
      </c>
      <c r="G1299" s="5">
        <v>33</v>
      </c>
      <c r="H1299" t="s">
        <v>33</v>
      </c>
      <c r="I1299" t="s">
        <v>24</v>
      </c>
      <c r="J1299" s="6">
        <v>17.989999999999998</v>
      </c>
      <c r="K1299">
        <v>1</v>
      </c>
      <c r="L1299" t="s">
        <v>61</v>
      </c>
      <c r="M1299" s="5">
        <v>2</v>
      </c>
      <c r="N1299" s="4">
        <v>0.3</v>
      </c>
      <c r="O1299" t="s">
        <v>52</v>
      </c>
    </row>
    <row r="1300" spans="1:15" x14ac:dyDescent="0.3">
      <c r="A1300" t="s">
        <v>3980</v>
      </c>
      <c r="B1300" s="5">
        <v>28</v>
      </c>
      <c r="C1300" s="5" t="str" cm="1">
        <f t="array" ref="C1300">_xlfn.IFS(worksheet[[#This Row],[age]]&lt;25,"1. Young Adulthood (18-24)",worksheet[[#This Row],[age]]&lt; 35,"2. Early Adulthood (25-34)",worksheet[[#This Row],[age]]&lt; 45,"3. Mid Adulthood (35-44)",worksheet[[#This Row],[age]]&lt; 55,"4. Mature Adulthood (45-54)",TRUE,"5. Late Adulthood/Senior (55+)")</f>
        <v>2. Early Adulthood (25-34)</v>
      </c>
      <c r="D1300" t="s">
        <v>41</v>
      </c>
      <c r="E1300" t="s">
        <v>16</v>
      </c>
      <c r="F1300" s="4">
        <v>0.43</v>
      </c>
      <c r="G1300" s="5">
        <v>6</v>
      </c>
      <c r="H1300" t="s">
        <v>49</v>
      </c>
      <c r="I1300" t="s">
        <v>18</v>
      </c>
      <c r="J1300" s="6">
        <v>8.99</v>
      </c>
      <c r="K1300">
        <v>1</v>
      </c>
      <c r="L1300" t="s">
        <v>61</v>
      </c>
      <c r="M1300" s="5">
        <v>3</v>
      </c>
      <c r="N1300" s="4">
        <v>0.06</v>
      </c>
      <c r="O1300" t="s">
        <v>30</v>
      </c>
    </row>
    <row r="1301" spans="1:15" x14ac:dyDescent="0.3">
      <c r="A1301" t="s">
        <v>3983</v>
      </c>
      <c r="B1301" s="5">
        <v>34</v>
      </c>
      <c r="C1301" s="5" t="str" cm="1">
        <f t="array" ref="C1301">_xlfn.IFS(worksheet[[#This Row],[age]]&lt;25,"1. Young Adulthood (18-24)",worksheet[[#This Row],[age]]&lt; 35,"2. Early Adulthood (25-34)",worksheet[[#This Row],[age]]&lt; 45,"3. Mid Adulthood (35-44)",worksheet[[#This Row],[age]]&lt; 55,"4. Mature Adulthood (45-54)",TRUE,"5. Late Adulthood/Senior (55+)")</f>
        <v>2. Early Adulthood (25-34)</v>
      </c>
      <c r="D1301" t="s">
        <v>27</v>
      </c>
      <c r="E1301" t="s">
        <v>32</v>
      </c>
      <c r="F1301" s="4">
        <v>1.67</v>
      </c>
      <c r="G1301" s="5">
        <v>29</v>
      </c>
      <c r="H1301" t="s">
        <v>17</v>
      </c>
      <c r="I1301" t="s">
        <v>57</v>
      </c>
      <c r="J1301" s="6">
        <v>17.989999999999998</v>
      </c>
      <c r="K1301">
        <v>1</v>
      </c>
      <c r="L1301" t="s">
        <v>61</v>
      </c>
      <c r="M1301" s="5">
        <v>1</v>
      </c>
      <c r="N1301" s="4">
        <v>0.06</v>
      </c>
      <c r="O1301" t="s">
        <v>47</v>
      </c>
    </row>
    <row r="1302" spans="1:15" x14ac:dyDescent="0.3">
      <c r="A1302" t="s">
        <v>3987</v>
      </c>
      <c r="B1302" s="5">
        <v>31</v>
      </c>
      <c r="C1302" s="5" t="str" cm="1">
        <f t="array" ref="C1302">_xlfn.IFS(worksheet[[#This Row],[age]]&lt;25,"1. Young Adulthood (18-24)",worksheet[[#This Row],[age]]&lt; 35,"2. Early Adulthood (25-34)",worksheet[[#This Row],[age]]&lt; 45,"3. Mid Adulthood (35-44)",worksheet[[#This Row],[age]]&lt; 55,"4. Mature Adulthood (45-54)",TRUE,"5. Late Adulthood/Senior (55+)")</f>
        <v>2. Early Adulthood (25-34)</v>
      </c>
      <c r="D1302" t="s">
        <v>27</v>
      </c>
      <c r="E1302" t="s">
        <v>32</v>
      </c>
      <c r="F1302" s="4">
        <v>0.56999999999999995</v>
      </c>
      <c r="G1302" s="5">
        <v>60</v>
      </c>
      <c r="H1302" t="s">
        <v>33</v>
      </c>
      <c r="I1302" t="s">
        <v>24</v>
      </c>
      <c r="J1302" s="6">
        <v>17.989999999999998</v>
      </c>
      <c r="K1302">
        <v>1</v>
      </c>
      <c r="L1302" t="s">
        <v>29</v>
      </c>
      <c r="M1302" s="5">
        <v>3</v>
      </c>
      <c r="N1302" s="4">
        <v>0.01</v>
      </c>
      <c r="O1302" t="s">
        <v>20</v>
      </c>
    </row>
    <row r="1303" spans="1:15" x14ac:dyDescent="0.3">
      <c r="A1303" t="s">
        <v>3991</v>
      </c>
      <c r="B1303" s="5">
        <v>29</v>
      </c>
      <c r="C1303" s="5" t="str" cm="1">
        <f t="array" ref="C1303">_xlfn.IFS(worksheet[[#This Row],[age]]&lt;25,"1. Young Adulthood (18-24)",worksheet[[#This Row],[age]]&lt; 35,"2. Early Adulthood (25-34)",worksheet[[#This Row],[age]]&lt; 45,"3. Mid Adulthood (35-44)",worksheet[[#This Row],[age]]&lt; 55,"4. Mature Adulthood (45-54)",TRUE,"5. Late Adulthood/Senior (55+)")</f>
        <v>2. Early Adulthood (25-34)</v>
      </c>
      <c r="D1303" t="s">
        <v>41</v>
      </c>
      <c r="E1303" t="s">
        <v>22</v>
      </c>
      <c r="F1303" s="4">
        <v>4.09</v>
      </c>
      <c r="G1303" s="5">
        <v>59</v>
      </c>
      <c r="H1303" t="s">
        <v>23</v>
      </c>
      <c r="I1303" t="s">
        <v>18</v>
      </c>
      <c r="J1303" s="6">
        <v>13.99</v>
      </c>
      <c r="K1303">
        <v>1</v>
      </c>
      <c r="L1303" t="s">
        <v>61</v>
      </c>
      <c r="M1303" s="5">
        <v>2</v>
      </c>
      <c r="N1303" s="4">
        <v>7.0000000000000007E-2</v>
      </c>
      <c r="O1303" t="s">
        <v>25</v>
      </c>
    </row>
    <row r="1304" spans="1:15" x14ac:dyDescent="0.3">
      <c r="A1304" s="1" t="s">
        <v>3995</v>
      </c>
      <c r="B1304" s="5">
        <v>27</v>
      </c>
      <c r="C1304" s="5" t="str" cm="1">
        <f t="array" ref="C1304">_xlfn.IFS(worksheet[[#This Row],[age]]&lt;25,"1. Young Adulthood (18-24)",worksheet[[#This Row],[age]]&lt; 35,"2. Early Adulthood (25-34)",worksheet[[#This Row],[age]]&lt; 45,"3. Mid Adulthood (35-44)",worksheet[[#This Row],[age]]&lt; 55,"4. Mature Adulthood (45-54)",TRUE,"5. Late Adulthood/Senior (55+)")</f>
        <v>2. Early Adulthood (25-34)</v>
      </c>
      <c r="D1304" t="s">
        <v>41</v>
      </c>
      <c r="E1304" t="s">
        <v>16</v>
      </c>
      <c r="F1304" s="4">
        <v>3.36</v>
      </c>
      <c r="G1304" s="5">
        <v>22</v>
      </c>
      <c r="H1304" t="s">
        <v>28</v>
      </c>
      <c r="I1304" t="s">
        <v>24</v>
      </c>
      <c r="J1304" s="6">
        <v>8.99</v>
      </c>
      <c r="K1304">
        <v>1</v>
      </c>
      <c r="L1304" t="s">
        <v>43</v>
      </c>
      <c r="M1304" s="5">
        <v>3</v>
      </c>
      <c r="N1304" s="4">
        <v>0.15</v>
      </c>
      <c r="O1304" t="s">
        <v>39</v>
      </c>
    </row>
    <row r="1305" spans="1:15" x14ac:dyDescent="0.3">
      <c r="A1305" t="s">
        <v>3996</v>
      </c>
      <c r="B1305" s="5">
        <v>30</v>
      </c>
      <c r="C1305" s="5" t="str" cm="1">
        <f t="array" ref="C1305">_xlfn.IFS(worksheet[[#This Row],[age]]&lt;25,"1. Young Adulthood (18-24)",worksheet[[#This Row],[age]]&lt; 35,"2. Early Adulthood (25-34)",worksheet[[#This Row],[age]]&lt; 45,"3. Mid Adulthood (35-44)",worksheet[[#This Row],[age]]&lt; 55,"4. Mature Adulthood (45-54)",TRUE,"5. Late Adulthood/Senior (55+)")</f>
        <v>2. Early Adulthood (25-34)</v>
      </c>
      <c r="D1305" t="s">
        <v>41</v>
      </c>
      <c r="E1305" t="s">
        <v>32</v>
      </c>
      <c r="F1305" s="4">
        <v>1.84</v>
      </c>
      <c r="G1305" s="5">
        <v>2</v>
      </c>
      <c r="H1305" t="s">
        <v>33</v>
      </c>
      <c r="I1305" t="s">
        <v>57</v>
      </c>
      <c r="J1305" s="6">
        <v>17.989999999999998</v>
      </c>
      <c r="K1305">
        <v>0</v>
      </c>
      <c r="L1305" t="s">
        <v>43</v>
      </c>
      <c r="M1305" s="5">
        <v>2</v>
      </c>
      <c r="N1305" s="4">
        <v>0.61</v>
      </c>
      <c r="O1305" t="s">
        <v>20</v>
      </c>
    </row>
    <row r="1306" spans="1:15" x14ac:dyDescent="0.3">
      <c r="A1306" t="s">
        <v>3998</v>
      </c>
      <c r="B1306" s="5">
        <v>33</v>
      </c>
      <c r="C1306" s="5" t="str" cm="1">
        <f t="array" ref="C1306">_xlfn.IFS(worksheet[[#This Row],[age]]&lt;25,"1. Young Adulthood (18-24)",worksheet[[#This Row],[age]]&lt; 35,"2. Early Adulthood (25-34)",worksheet[[#This Row],[age]]&lt; 45,"3. Mid Adulthood (35-44)",worksheet[[#This Row],[age]]&lt; 55,"4. Mature Adulthood (45-54)",TRUE,"5. Late Adulthood/Senior (55+)")</f>
        <v>2. Early Adulthood (25-34)</v>
      </c>
      <c r="D1306" t="s">
        <v>15</v>
      </c>
      <c r="E1306" t="s">
        <v>16</v>
      </c>
      <c r="F1306" s="4">
        <v>4.4400000000000004</v>
      </c>
      <c r="G1306" s="5">
        <v>28</v>
      </c>
      <c r="H1306" t="s">
        <v>28</v>
      </c>
      <c r="I1306" t="s">
        <v>24</v>
      </c>
      <c r="J1306" s="6">
        <v>8.99</v>
      </c>
      <c r="K1306">
        <v>1</v>
      </c>
      <c r="L1306" t="s">
        <v>29</v>
      </c>
      <c r="M1306" s="5">
        <v>1</v>
      </c>
      <c r="N1306" s="4">
        <v>0.15</v>
      </c>
      <c r="O1306" t="s">
        <v>34</v>
      </c>
    </row>
    <row r="1307" spans="1:15" x14ac:dyDescent="0.3">
      <c r="A1307" t="s">
        <v>4000</v>
      </c>
      <c r="B1307" s="5">
        <v>24</v>
      </c>
      <c r="C1307" s="5" t="str" cm="1">
        <f t="array" ref="C1307">_xlfn.IFS(worksheet[[#This Row],[age]]&lt;25,"1. Young Adulthood (18-24)",worksheet[[#This Row],[age]]&lt; 35,"2. Early Adulthood (25-34)",worksheet[[#This Row],[age]]&lt; 45,"3. Mid Adulthood (35-44)",worksheet[[#This Row],[age]]&lt; 55,"4. Mature Adulthood (45-54)",TRUE,"5. Late Adulthood/Senior (55+)")</f>
        <v>1. Young Adulthood (18-24)</v>
      </c>
      <c r="D1307" t="s">
        <v>27</v>
      </c>
      <c r="E1307" t="s">
        <v>32</v>
      </c>
      <c r="F1307" s="4">
        <v>15.52</v>
      </c>
      <c r="G1307" s="5">
        <v>33</v>
      </c>
      <c r="H1307" t="s">
        <v>23</v>
      </c>
      <c r="I1307" t="s">
        <v>18</v>
      </c>
      <c r="J1307" s="6">
        <v>17.989999999999998</v>
      </c>
      <c r="K1307">
        <v>1</v>
      </c>
      <c r="L1307" t="s">
        <v>29</v>
      </c>
      <c r="M1307" s="5">
        <v>1</v>
      </c>
      <c r="N1307" s="4">
        <v>0.46</v>
      </c>
      <c r="O1307" t="s">
        <v>39</v>
      </c>
    </row>
    <row r="1308" spans="1:15" x14ac:dyDescent="0.3">
      <c r="A1308" t="s">
        <v>4002</v>
      </c>
      <c r="B1308" s="5">
        <v>19</v>
      </c>
      <c r="C1308" s="5" t="str" cm="1">
        <f t="array" ref="C1308">_xlfn.IFS(worksheet[[#This Row],[age]]&lt;25,"1. Young Adulthood (18-24)",worksheet[[#This Row],[age]]&lt; 35,"2. Early Adulthood (25-34)",worksheet[[#This Row],[age]]&lt; 45,"3. Mid Adulthood (35-44)",worksheet[[#This Row],[age]]&lt; 55,"4. Mature Adulthood (45-54)",TRUE,"5. Late Adulthood/Senior (55+)")</f>
        <v>1. Young Adulthood (18-24)</v>
      </c>
      <c r="D1308" t="s">
        <v>15</v>
      </c>
      <c r="E1308" t="s">
        <v>32</v>
      </c>
      <c r="F1308" s="4">
        <v>1.68</v>
      </c>
      <c r="G1308" s="5">
        <v>18</v>
      </c>
      <c r="H1308" t="s">
        <v>17</v>
      </c>
      <c r="I1308" t="s">
        <v>57</v>
      </c>
      <c r="J1308" s="6">
        <v>17.989999999999998</v>
      </c>
      <c r="K1308">
        <v>0</v>
      </c>
      <c r="L1308" t="s">
        <v>43</v>
      </c>
      <c r="M1308" s="5">
        <v>4</v>
      </c>
      <c r="N1308" s="4">
        <v>0.09</v>
      </c>
      <c r="O1308" t="s">
        <v>34</v>
      </c>
    </row>
    <row r="1309" spans="1:15" x14ac:dyDescent="0.3">
      <c r="A1309" t="s">
        <v>4003</v>
      </c>
      <c r="B1309" s="5">
        <v>33</v>
      </c>
      <c r="C1309" s="5" t="str" cm="1">
        <f t="array" ref="C1309">_xlfn.IFS(worksheet[[#This Row],[age]]&lt;25,"1. Young Adulthood (18-24)",worksheet[[#This Row],[age]]&lt; 35,"2. Early Adulthood (25-34)",worksheet[[#This Row],[age]]&lt; 45,"3. Mid Adulthood (35-44)",worksheet[[#This Row],[age]]&lt; 55,"4. Mature Adulthood (45-54)",TRUE,"5. Late Adulthood/Senior (55+)")</f>
        <v>2. Early Adulthood (25-34)</v>
      </c>
      <c r="D1309" t="s">
        <v>41</v>
      </c>
      <c r="E1309" t="s">
        <v>32</v>
      </c>
      <c r="F1309" s="4">
        <v>22.26</v>
      </c>
      <c r="G1309" s="5">
        <v>35</v>
      </c>
      <c r="H1309" t="s">
        <v>23</v>
      </c>
      <c r="I1309" t="s">
        <v>57</v>
      </c>
      <c r="J1309" s="6">
        <v>17.989999999999998</v>
      </c>
      <c r="K1309">
        <v>0</v>
      </c>
      <c r="L1309" t="s">
        <v>37</v>
      </c>
      <c r="M1309" s="5">
        <v>3</v>
      </c>
      <c r="N1309" s="4">
        <v>0.62</v>
      </c>
      <c r="O1309" t="s">
        <v>30</v>
      </c>
    </row>
    <row r="1310" spans="1:15" x14ac:dyDescent="0.3">
      <c r="A1310" t="s">
        <v>4005</v>
      </c>
      <c r="B1310" s="5">
        <v>19</v>
      </c>
      <c r="C1310" s="5" t="str" cm="1">
        <f t="array" ref="C1310">_xlfn.IFS(worksheet[[#This Row],[age]]&lt;25,"1. Young Adulthood (18-24)",worksheet[[#This Row],[age]]&lt; 35,"2. Early Adulthood (25-34)",worksheet[[#This Row],[age]]&lt; 45,"3. Mid Adulthood (35-44)",worksheet[[#This Row],[age]]&lt; 55,"4. Mature Adulthood (45-54)",TRUE,"5. Late Adulthood/Senior (55+)")</f>
        <v>1. Young Adulthood (18-24)</v>
      </c>
      <c r="D1310" t="s">
        <v>27</v>
      </c>
      <c r="E1310" t="s">
        <v>16</v>
      </c>
      <c r="F1310" s="4">
        <v>48.49</v>
      </c>
      <c r="G1310" s="5">
        <v>7</v>
      </c>
      <c r="H1310" t="s">
        <v>23</v>
      </c>
      <c r="I1310" t="s">
        <v>18</v>
      </c>
      <c r="J1310" s="6">
        <v>8.99</v>
      </c>
      <c r="K1310">
        <v>0</v>
      </c>
      <c r="L1310" t="s">
        <v>37</v>
      </c>
      <c r="M1310" s="5">
        <v>4</v>
      </c>
      <c r="N1310" s="4">
        <v>6.06</v>
      </c>
      <c r="O1310" t="s">
        <v>20</v>
      </c>
    </row>
    <row r="1311" spans="1:15" x14ac:dyDescent="0.3">
      <c r="A1311" t="s">
        <v>4012</v>
      </c>
      <c r="B1311" s="5">
        <v>18</v>
      </c>
      <c r="C1311" s="5" t="str" cm="1">
        <f t="array" ref="C1311">_xlfn.IFS(worksheet[[#This Row],[age]]&lt;25,"1. Young Adulthood (18-24)",worksheet[[#This Row],[age]]&lt; 35,"2. Early Adulthood (25-34)",worksheet[[#This Row],[age]]&lt; 45,"3. Mid Adulthood (35-44)",worksheet[[#This Row],[age]]&lt; 55,"4. Mature Adulthood (45-54)",TRUE,"5. Late Adulthood/Senior (55+)")</f>
        <v>1. Young Adulthood (18-24)</v>
      </c>
      <c r="D1311" t="s">
        <v>27</v>
      </c>
      <c r="E1311" t="s">
        <v>16</v>
      </c>
      <c r="F1311" s="4">
        <v>1.97</v>
      </c>
      <c r="G1311" s="5">
        <v>46</v>
      </c>
      <c r="H1311" t="s">
        <v>49</v>
      </c>
      <c r="I1311" t="s">
        <v>18</v>
      </c>
      <c r="J1311" s="6">
        <v>8.99</v>
      </c>
      <c r="K1311">
        <v>1</v>
      </c>
      <c r="L1311" t="s">
        <v>29</v>
      </c>
      <c r="M1311" s="5">
        <v>2</v>
      </c>
      <c r="N1311" s="4">
        <v>0.04</v>
      </c>
      <c r="O1311" t="s">
        <v>20</v>
      </c>
    </row>
    <row r="1312" spans="1:15" x14ac:dyDescent="0.3">
      <c r="A1312" t="s">
        <v>4016</v>
      </c>
      <c r="B1312" s="5">
        <v>20</v>
      </c>
      <c r="C1312" s="5" t="str" cm="1">
        <f t="array" ref="C1312">_xlfn.IFS(worksheet[[#This Row],[age]]&lt;25,"1. Young Adulthood (18-24)",worksheet[[#This Row],[age]]&lt; 35,"2. Early Adulthood (25-34)",worksheet[[#This Row],[age]]&lt; 45,"3. Mid Adulthood (35-44)",worksheet[[#This Row],[age]]&lt; 55,"4. Mature Adulthood (45-54)",TRUE,"5. Late Adulthood/Senior (55+)")</f>
        <v>1. Young Adulthood (18-24)</v>
      </c>
      <c r="D1312" t="s">
        <v>41</v>
      </c>
      <c r="E1312" t="s">
        <v>16</v>
      </c>
      <c r="F1312" s="4">
        <v>3.38</v>
      </c>
      <c r="G1312" s="5">
        <v>34</v>
      </c>
      <c r="H1312" t="s">
        <v>23</v>
      </c>
      <c r="I1312" t="s">
        <v>18</v>
      </c>
      <c r="J1312" s="6">
        <v>8.99</v>
      </c>
      <c r="K1312">
        <v>1</v>
      </c>
      <c r="L1312" t="s">
        <v>61</v>
      </c>
      <c r="M1312" s="5">
        <v>5</v>
      </c>
      <c r="N1312" s="4">
        <v>0.1</v>
      </c>
      <c r="O1312" t="s">
        <v>39</v>
      </c>
    </row>
    <row r="1313" spans="1:15" x14ac:dyDescent="0.3">
      <c r="A1313" t="s">
        <v>4020</v>
      </c>
      <c r="B1313" s="5">
        <v>30</v>
      </c>
      <c r="C1313" s="5" t="str" cm="1">
        <f t="array" ref="C1313">_xlfn.IFS(worksheet[[#This Row],[age]]&lt;25,"1. Young Adulthood (18-24)",worksheet[[#This Row],[age]]&lt; 35,"2. Early Adulthood (25-34)",worksheet[[#This Row],[age]]&lt; 45,"3. Mid Adulthood (35-44)",worksheet[[#This Row],[age]]&lt; 55,"4. Mature Adulthood (45-54)",TRUE,"5. Late Adulthood/Senior (55+)")</f>
        <v>2. Early Adulthood (25-34)</v>
      </c>
      <c r="D1313" t="s">
        <v>15</v>
      </c>
      <c r="E1313" t="s">
        <v>32</v>
      </c>
      <c r="F1313" s="4">
        <v>4.45</v>
      </c>
      <c r="G1313" s="5">
        <v>43</v>
      </c>
      <c r="H1313" t="s">
        <v>23</v>
      </c>
      <c r="I1313" t="s">
        <v>24</v>
      </c>
      <c r="J1313" s="6">
        <v>17.989999999999998</v>
      </c>
      <c r="K1313">
        <v>1</v>
      </c>
      <c r="L1313" t="s">
        <v>19</v>
      </c>
      <c r="M1313" s="5">
        <v>4</v>
      </c>
      <c r="N1313" s="4">
        <v>0.1</v>
      </c>
      <c r="O1313" t="s">
        <v>20</v>
      </c>
    </row>
    <row r="1314" spans="1:15" x14ac:dyDescent="0.3">
      <c r="A1314" t="s">
        <v>4022</v>
      </c>
      <c r="B1314" s="5">
        <v>18</v>
      </c>
      <c r="C1314" s="5" t="str" cm="1">
        <f t="array" ref="C1314">_xlfn.IFS(worksheet[[#This Row],[age]]&lt;25,"1. Young Adulthood (18-24)",worksheet[[#This Row],[age]]&lt; 35,"2. Early Adulthood (25-34)",worksheet[[#This Row],[age]]&lt; 45,"3. Mid Adulthood (35-44)",worksheet[[#This Row],[age]]&lt; 55,"4. Mature Adulthood (45-54)",TRUE,"5. Late Adulthood/Senior (55+)")</f>
        <v>1. Young Adulthood (18-24)</v>
      </c>
      <c r="D1314" t="s">
        <v>15</v>
      </c>
      <c r="E1314" t="s">
        <v>32</v>
      </c>
      <c r="F1314" s="4">
        <v>9.52</v>
      </c>
      <c r="G1314" s="5">
        <v>5</v>
      </c>
      <c r="H1314" t="s">
        <v>33</v>
      </c>
      <c r="I1314" t="s">
        <v>55</v>
      </c>
      <c r="J1314" s="6">
        <v>17.989999999999998</v>
      </c>
      <c r="K1314">
        <v>0</v>
      </c>
      <c r="L1314" t="s">
        <v>19</v>
      </c>
      <c r="M1314" s="5">
        <v>2</v>
      </c>
      <c r="N1314" s="4">
        <v>1.59</v>
      </c>
      <c r="O1314" t="s">
        <v>30</v>
      </c>
    </row>
    <row r="1315" spans="1:15" x14ac:dyDescent="0.3">
      <c r="A1315" t="s">
        <v>4025</v>
      </c>
      <c r="B1315" s="5">
        <v>19</v>
      </c>
      <c r="C1315" s="5" t="str" cm="1">
        <f t="array" ref="C1315">_xlfn.IFS(worksheet[[#This Row],[age]]&lt;25,"1. Young Adulthood (18-24)",worksheet[[#This Row],[age]]&lt; 35,"2. Early Adulthood (25-34)",worksheet[[#This Row],[age]]&lt; 45,"3. Mid Adulthood (35-44)",worksheet[[#This Row],[age]]&lt; 55,"4. Mature Adulthood (45-54)",TRUE,"5. Late Adulthood/Senior (55+)")</f>
        <v>1. Young Adulthood (18-24)</v>
      </c>
      <c r="D1315" t="s">
        <v>41</v>
      </c>
      <c r="E1315" t="s">
        <v>32</v>
      </c>
      <c r="F1315" s="4">
        <v>5.34</v>
      </c>
      <c r="G1315" s="5">
        <v>0</v>
      </c>
      <c r="H1315" t="s">
        <v>23</v>
      </c>
      <c r="I1315" t="s">
        <v>57</v>
      </c>
      <c r="J1315" s="6">
        <v>17.989999999999998</v>
      </c>
      <c r="K1315">
        <v>0</v>
      </c>
      <c r="L1315" t="s">
        <v>61</v>
      </c>
      <c r="M1315" s="5">
        <v>3</v>
      </c>
      <c r="N1315" s="4">
        <v>5.34</v>
      </c>
      <c r="O1315" t="s">
        <v>52</v>
      </c>
    </row>
    <row r="1316" spans="1:15" x14ac:dyDescent="0.3">
      <c r="A1316" t="s">
        <v>4027</v>
      </c>
      <c r="B1316" s="5">
        <v>26</v>
      </c>
      <c r="C1316" s="5" t="str" cm="1">
        <f t="array" ref="C1316">_xlfn.IFS(worksheet[[#This Row],[age]]&lt;25,"1. Young Adulthood (18-24)",worksheet[[#This Row],[age]]&lt; 35,"2. Early Adulthood (25-34)",worksheet[[#This Row],[age]]&lt; 45,"3. Mid Adulthood (35-44)",worksheet[[#This Row],[age]]&lt; 55,"4. Mature Adulthood (45-54)",TRUE,"5. Late Adulthood/Senior (55+)")</f>
        <v>2. Early Adulthood (25-34)</v>
      </c>
      <c r="D1316" t="s">
        <v>41</v>
      </c>
      <c r="E1316" t="s">
        <v>32</v>
      </c>
      <c r="F1316" s="4">
        <v>8.1300000000000008</v>
      </c>
      <c r="G1316" s="5">
        <v>12</v>
      </c>
      <c r="H1316" t="s">
        <v>49</v>
      </c>
      <c r="I1316" t="s">
        <v>46</v>
      </c>
      <c r="J1316" s="6">
        <v>17.989999999999998</v>
      </c>
      <c r="K1316">
        <v>0</v>
      </c>
      <c r="L1316" t="s">
        <v>61</v>
      </c>
      <c r="M1316" s="5">
        <v>4</v>
      </c>
      <c r="N1316" s="4">
        <v>0.63</v>
      </c>
      <c r="O1316" t="s">
        <v>25</v>
      </c>
    </row>
    <row r="1317" spans="1:15" x14ac:dyDescent="0.3">
      <c r="A1317" t="s">
        <v>4029</v>
      </c>
      <c r="B1317" s="5">
        <v>19</v>
      </c>
      <c r="C1317" s="5" t="str" cm="1">
        <f t="array" ref="C1317">_xlfn.IFS(worksheet[[#This Row],[age]]&lt;25,"1. Young Adulthood (18-24)",worksheet[[#This Row],[age]]&lt; 35,"2. Early Adulthood (25-34)",worksheet[[#This Row],[age]]&lt; 45,"3. Mid Adulthood (35-44)",worksheet[[#This Row],[age]]&lt; 55,"4. Mature Adulthood (45-54)",TRUE,"5. Late Adulthood/Senior (55+)")</f>
        <v>1. Young Adulthood (18-24)</v>
      </c>
      <c r="D1317" t="s">
        <v>27</v>
      </c>
      <c r="E1317" t="s">
        <v>32</v>
      </c>
      <c r="F1317" s="4">
        <v>4.7300000000000004</v>
      </c>
      <c r="G1317" s="5">
        <v>41</v>
      </c>
      <c r="H1317" t="s">
        <v>28</v>
      </c>
      <c r="I1317" t="s">
        <v>57</v>
      </c>
      <c r="J1317" s="6">
        <v>17.989999999999998</v>
      </c>
      <c r="K1317">
        <v>1</v>
      </c>
      <c r="L1317" t="s">
        <v>29</v>
      </c>
      <c r="M1317" s="5">
        <v>2</v>
      </c>
      <c r="N1317" s="4">
        <v>0.11</v>
      </c>
      <c r="O1317" t="s">
        <v>30</v>
      </c>
    </row>
    <row r="1318" spans="1:15" x14ac:dyDescent="0.3">
      <c r="A1318" t="s">
        <v>4031</v>
      </c>
      <c r="B1318" s="5">
        <v>18</v>
      </c>
      <c r="C1318" s="5" t="str" cm="1">
        <f t="array" ref="C1318">_xlfn.IFS(worksheet[[#This Row],[age]]&lt;25,"1. Young Adulthood (18-24)",worksheet[[#This Row],[age]]&lt; 35,"2. Early Adulthood (25-34)",worksheet[[#This Row],[age]]&lt; 45,"3. Mid Adulthood (35-44)",worksheet[[#This Row],[age]]&lt; 55,"4. Mature Adulthood (45-54)",TRUE,"5. Late Adulthood/Senior (55+)")</f>
        <v>1. Young Adulthood (18-24)</v>
      </c>
      <c r="D1318" t="s">
        <v>27</v>
      </c>
      <c r="E1318" t="s">
        <v>22</v>
      </c>
      <c r="F1318" s="4">
        <v>5.32</v>
      </c>
      <c r="G1318" s="5">
        <v>18</v>
      </c>
      <c r="H1318" t="s">
        <v>28</v>
      </c>
      <c r="I1318" t="s">
        <v>55</v>
      </c>
      <c r="J1318" s="6">
        <v>13.99</v>
      </c>
      <c r="K1318">
        <v>0</v>
      </c>
      <c r="L1318" t="s">
        <v>19</v>
      </c>
      <c r="M1318" s="5">
        <v>3</v>
      </c>
      <c r="N1318" s="4">
        <v>0.28000000000000003</v>
      </c>
      <c r="O1318" t="s">
        <v>25</v>
      </c>
    </row>
    <row r="1319" spans="1:15" x14ac:dyDescent="0.3">
      <c r="A1319" t="s">
        <v>4035</v>
      </c>
      <c r="B1319" s="5">
        <v>22</v>
      </c>
      <c r="C1319" s="5" t="str" cm="1">
        <f t="array" ref="C1319">_xlfn.IFS(worksheet[[#This Row],[age]]&lt;25,"1. Young Adulthood (18-24)",worksheet[[#This Row],[age]]&lt; 35,"2. Early Adulthood (25-34)",worksheet[[#This Row],[age]]&lt; 45,"3. Mid Adulthood (35-44)",worksheet[[#This Row],[age]]&lt; 55,"4. Mature Adulthood (45-54)",TRUE,"5. Late Adulthood/Senior (55+)")</f>
        <v>1. Young Adulthood (18-24)</v>
      </c>
      <c r="D1319" t="s">
        <v>15</v>
      </c>
      <c r="E1319" t="s">
        <v>32</v>
      </c>
      <c r="F1319" s="4">
        <v>32.25</v>
      </c>
      <c r="G1319" s="5">
        <v>30</v>
      </c>
      <c r="H1319" t="s">
        <v>17</v>
      </c>
      <c r="I1319" t="s">
        <v>18</v>
      </c>
      <c r="J1319" s="6">
        <v>17.989999999999998</v>
      </c>
      <c r="K1319">
        <v>0</v>
      </c>
      <c r="L1319" t="s">
        <v>19</v>
      </c>
      <c r="M1319" s="5">
        <v>2</v>
      </c>
      <c r="N1319" s="4">
        <v>1.04</v>
      </c>
      <c r="O1319" t="s">
        <v>39</v>
      </c>
    </row>
    <row r="1320" spans="1:15" x14ac:dyDescent="0.3">
      <c r="A1320" t="s">
        <v>4038</v>
      </c>
      <c r="B1320" s="5">
        <v>34</v>
      </c>
      <c r="C1320" s="5" t="str" cm="1">
        <f t="array" ref="C1320">_xlfn.IFS(worksheet[[#This Row],[age]]&lt;25,"1. Young Adulthood (18-24)",worksheet[[#This Row],[age]]&lt; 35,"2. Early Adulthood (25-34)",worksheet[[#This Row],[age]]&lt; 45,"3. Mid Adulthood (35-44)",worksheet[[#This Row],[age]]&lt; 55,"4. Mature Adulthood (45-54)",TRUE,"5. Late Adulthood/Senior (55+)")</f>
        <v>2. Early Adulthood (25-34)</v>
      </c>
      <c r="D1320" t="s">
        <v>15</v>
      </c>
      <c r="E1320" t="s">
        <v>32</v>
      </c>
      <c r="F1320" s="4">
        <v>1.41</v>
      </c>
      <c r="G1320" s="5">
        <v>20</v>
      </c>
      <c r="H1320" t="s">
        <v>49</v>
      </c>
      <c r="I1320" t="s">
        <v>18</v>
      </c>
      <c r="J1320" s="6">
        <v>17.989999999999998</v>
      </c>
      <c r="K1320">
        <v>0</v>
      </c>
      <c r="L1320" t="s">
        <v>61</v>
      </c>
      <c r="M1320" s="5">
        <v>4</v>
      </c>
      <c r="N1320" s="4">
        <v>7.0000000000000007E-2</v>
      </c>
      <c r="O1320" t="s">
        <v>20</v>
      </c>
    </row>
    <row r="1321" spans="1:15" x14ac:dyDescent="0.3">
      <c r="A1321" t="s">
        <v>4040</v>
      </c>
      <c r="B1321" s="5">
        <v>33</v>
      </c>
      <c r="C1321" s="5" t="str" cm="1">
        <f t="array" ref="C1321">_xlfn.IFS(worksheet[[#This Row],[age]]&lt;25,"1. Young Adulthood (18-24)",worksheet[[#This Row],[age]]&lt; 35,"2. Early Adulthood (25-34)",worksheet[[#This Row],[age]]&lt; 45,"3. Mid Adulthood (35-44)",worksheet[[#This Row],[age]]&lt; 55,"4. Mature Adulthood (45-54)",TRUE,"5. Late Adulthood/Senior (55+)")</f>
        <v>2. Early Adulthood (25-34)</v>
      </c>
      <c r="D1321" t="s">
        <v>41</v>
      </c>
      <c r="E1321" t="s">
        <v>32</v>
      </c>
      <c r="F1321" s="4">
        <v>12</v>
      </c>
      <c r="G1321" s="5">
        <v>18</v>
      </c>
      <c r="H1321" t="s">
        <v>17</v>
      </c>
      <c r="I1321" t="s">
        <v>46</v>
      </c>
      <c r="J1321" s="6">
        <v>17.989999999999998</v>
      </c>
      <c r="K1321">
        <v>0</v>
      </c>
      <c r="L1321" t="s">
        <v>37</v>
      </c>
      <c r="M1321" s="5">
        <v>3</v>
      </c>
      <c r="N1321" s="4">
        <v>0.63</v>
      </c>
      <c r="O1321" t="s">
        <v>47</v>
      </c>
    </row>
    <row r="1322" spans="1:15" x14ac:dyDescent="0.3">
      <c r="A1322" t="s">
        <v>4044</v>
      </c>
      <c r="B1322" s="5">
        <v>31</v>
      </c>
      <c r="C1322" s="5" t="str" cm="1">
        <f t="array" ref="C1322">_xlfn.IFS(worksheet[[#This Row],[age]]&lt;25,"1. Young Adulthood (18-24)",worksheet[[#This Row],[age]]&lt; 35,"2. Early Adulthood (25-34)",worksheet[[#This Row],[age]]&lt; 45,"3. Mid Adulthood (35-44)",worksheet[[#This Row],[age]]&lt; 55,"4. Mature Adulthood (45-54)",TRUE,"5. Late Adulthood/Senior (55+)")</f>
        <v>2. Early Adulthood (25-34)</v>
      </c>
      <c r="D1322" t="s">
        <v>27</v>
      </c>
      <c r="E1322" t="s">
        <v>16</v>
      </c>
      <c r="F1322" s="4">
        <v>9.3800000000000008</v>
      </c>
      <c r="G1322" s="5">
        <v>9</v>
      </c>
      <c r="H1322" t="s">
        <v>17</v>
      </c>
      <c r="I1322" t="s">
        <v>18</v>
      </c>
      <c r="J1322" s="6">
        <v>8.99</v>
      </c>
      <c r="K1322">
        <v>0</v>
      </c>
      <c r="L1322" t="s">
        <v>29</v>
      </c>
      <c r="M1322" s="5">
        <v>1</v>
      </c>
      <c r="N1322" s="4">
        <v>0.94</v>
      </c>
      <c r="O1322" t="s">
        <v>34</v>
      </c>
    </row>
    <row r="1323" spans="1:15" x14ac:dyDescent="0.3">
      <c r="A1323" t="s">
        <v>4045</v>
      </c>
      <c r="B1323" s="5">
        <v>22</v>
      </c>
      <c r="C1323" s="5" t="str" cm="1">
        <f t="array" ref="C1323">_xlfn.IFS(worksheet[[#This Row],[age]]&lt;25,"1. Young Adulthood (18-24)",worksheet[[#This Row],[age]]&lt; 35,"2. Early Adulthood (25-34)",worksheet[[#This Row],[age]]&lt; 45,"3. Mid Adulthood (35-44)",worksheet[[#This Row],[age]]&lt; 55,"4. Mature Adulthood (45-54)",TRUE,"5. Late Adulthood/Senior (55+)")</f>
        <v>1. Young Adulthood (18-24)</v>
      </c>
      <c r="D1323" t="s">
        <v>15</v>
      </c>
      <c r="E1323" t="s">
        <v>32</v>
      </c>
      <c r="F1323" s="4">
        <v>10.69</v>
      </c>
      <c r="G1323" s="5">
        <v>7</v>
      </c>
      <c r="H1323" t="s">
        <v>17</v>
      </c>
      <c r="I1323" t="s">
        <v>18</v>
      </c>
      <c r="J1323" s="6">
        <v>17.989999999999998</v>
      </c>
      <c r="K1323">
        <v>0</v>
      </c>
      <c r="L1323" t="s">
        <v>19</v>
      </c>
      <c r="M1323" s="5">
        <v>2</v>
      </c>
      <c r="N1323" s="4">
        <v>1.34</v>
      </c>
      <c r="O1323" t="s">
        <v>30</v>
      </c>
    </row>
    <row r="1324" spans="1:15" x14ac:dyDescent="0.3">
      <c r="A1324" t="s">
        <v>4046</v>
      </c>
      <c r="B1324" s="5">
        <v>27</v>
      </c>
      <c r="C1324" s="5" t="str" cm="1">
        <f t="array" ref="C1324">_xlfn.IFS(worksheet[[#This Row],[age]]&lt;25,"1. Young Adulthood (18-24)",worksheet[[#This Row],[age]]&lt; 35,"2. Early Adulthood (25-34)",worksheet[[#This Row],[age]]&lt; 45,"3. Mid Adulthood (35-44)",worksheet[[#This Row],[age]]&lt; 55,"4. Mature Adulthood (45-54)",TRUE,"5. Late Adulthood/Senior (55+)")</f>
        <v>2. Early Adulthood (25-34)</v>
      </c>
      <c r="D1324" t="s">
        <v>15</v>
      </c>
      <c r="E1324" t="s">
        <v>16</v>
      </c>
      <c r="F1324" s="4">
        <v>8.8800000000000008</v>
      </c>
      <c r="G1324" s="5">
        <v>46</v>
      </c>
      <c r="H1324" t="s">
        <v>28</v>
      </c>
      <c r="I1324" t="s">
        <v>18</v>
      </c>
      <c r="J1324" s="6">
        <v>8.99</v>
      </c>
      <c r="K1324">
        <v>1</v>
      </c>
      <c r="L1324" t="s">
        <v>37</v>
      </c>
      <c r="M1324" s="5">
        <v>2</v>
      </c>
      <c r="N1324" s="4">
        <v>0.19</v>
      </c>
      <c r="O1324" t="s">
        <v>20</v>
      </c>
    </row>
    <row r="1325" spans="1:15" x14ac:dyDescent="0.3">
      <c r="A1325" t="s">
        <v>4047</v>
      </c>
      <c r="B1325" s="5">
        <v>26</v>
      </c>
      <c r="C1325" s="5" t="str" cm="1">
        <f t="array" ref="C1325">_xlfn.IFS(worksheet[[#This Row],[age]]&lt;25,"1. Young Adulthood (18-24)",worksheet[[#This Row],[age]]&lt; 35,"2. Early Adulthood (25-34)",worksheet[[#This Row],[age]]&lt; 45,"3. Mid Adulthood (35-44)",worksheet[[#This Row],[age]]&lt; 55,"4. Mature Adulthood (45-54)",TRUE,"5. Late Adulthood/Senior (55+)")</f>
        <v>2. Early Adulthood (25-34)</v>
      </c>
      <c r="D1325" t="s">
        <v>41</v>
      </c>
      <c r="E1325" t="s">
        <v>16</v>
      </c>
      <c r="F1325" s="4">
        <v>2.1800000000000002</v>
      </c>
      <c r="G1325" s="5">
        <v>37</v>
      </c>
      <c r="H1325" t="s">
        <v>23</v>
      </c>
      <c r="I1325" t="s">
        <v>24</v>
      </c>
      <c r="J1325" s="6">
        <v>8.99</v>
      </c>
      <c r="K1325">
        <v>1</v>
      </c>
      <c r="L1325" t="s">
        <v>43</v>
      </c>
      <c r="M1325" s="5">
        <v>5</v>
      </c>
      <c r="N1325" s="4">
        <v>0.06</v>
      </c>
      <c r="O1325" t="s">
        <v>47</v>
      </c>
    </row>
    <row r="1326" spans="1:15" x14ac:dyDescent="0.3">
      <c r="A1326" t="s">
        <v>4051</v>
      </c>
      <c r="B1326" s="5">
        <v>24</v>
      </c>
      <c r="C1326" s="5" t="str" cm="1">
        <f t="array" ref="C1326">_xlfn.IFS(worksheet[[#This Row],[age]]&lt;25,"1. Young Adulthood (18-24)",worksheet[[#This Row],[age]]&lt; 35,"2. Early Adulthood (25-34)",worksheet[[#This Row],[age]]&lt; 45,"3. Mid Adulthood (35-44)",worksheet[[#This Row],[age]]&lt; 55,"4. Mature Adulthood (45-54)",TRUE,"5. Late Adulthood/Senior (55+)")</f>
        <v>1. Young Adulthood (18-24)</v>
      </c>
      <c r="D1326" t="s">
        <v>15</v>
      </c>
      <c r="E1326" t="s">
        <v>22</v>
      </c>
      <c r="F1326" s="4">
        <v>0.72</v>
      </c>
      <c r="G1326" s="5">
        <v>56</v>
      </c>
      <c r="H1326" t="s">
        <v>49</v>
      </c>
      <c r="I1326" t="s">
        <v>18</v>
      </c>
      <c r="J1326" s="6">
        <v>13.99</v>
      </c>
      <c r="K1326">
        <v>1</v>
      </c>
      <c r="L1326" t="s">
        <v>29</v>
      </c>
      <c r="M1326" s="5">
        <v>2</v>
      </c>
      <c r="N1326" s="4">
        <v>0.01</v>
      </c>
      <c r="O1326" t="s">
        <v>39</v>
      </c>
    </row>
    <row r="1327" spans="1:15" x14ac:dyDescent="0.3">
      <c r="A1327" t="s">
        <v>4055</v>
      </c>
      <c r="B1327" s="5">
        <v>30</v>
      </c>
      <c r="C1327" s="5" t="str" cm="1">
        <f t="array" ref="C1327">_xlfn.IFS(worksheet[[#This Row],[age]]&lt;25,"1. Young Adulthood (18-24)",worksheet[[#This Row],[age]]&lt; 35,"2. Early Adulthood (25-34)",worksheet[[#This Row],[age]]&lt; 45,"3. Mid Adulthood (35-44)",worksheet[[#This Row],[age]]&lt; 55,"4. Mature Adulthood (45-54)",TRUE,"5. Late Adulthood/Senior (55+)")</f>
        <v>2. Early Adulthood (25-34)</v>
      </c>
      <c r="D1327" t="s">
        <v>27</v>
      </c>
      <c r="E1327" t="s">
        <v>32</v>
      </c>
      <c r="F1327" s="4">
        <v>6.24</v>
      </c>
      <c r="G1327" s="5">
        <v>29</v>
      </c>
      <c r="H1327" t="s">
        <v>33</v>
      </c>
      <c r="I1327" t="s">
        <v>57</v>
      </c>
      <c r="J1327" s="6">
        <v>17.989999999999998</v>
      </c>
      <c r="K1327">
        <v>0</v>
      </c>
      <c r="L1327" t="s">
        <v>19</v>
      </c>
      <c r="M1327" s="5">
        <v>3</v>
      </c>
      <c r="N1327" s="4">
        <v>0.21</v>
      </c>
      <c r="O1327" t="s">
        <v>25</v>
      </c>
    </row>
    <row r="1328" spans="1:15" x14ac:dyDescent="0.3">
      <c r="A1328" t="s">
        <v>4056</v>
      </c>
      <c r="B1328" s="5">
        <v>28</v>
      </c>
      <c r="C1328" s="5" t="str" cm="1">
        <f t="array" ref="C1328">_xlfn.IFS(worksheet[[#This Row],[age]]&lt;25,"1. Young Adulthood (18-24)",worksheet[[#This Row],[age]]&lt; 35,"2. Early Adulthood (25-34)",worksheet[[#This Row],[age]]&lt; 45,"3. Mid Adulthood (35-44)",worksheet[[#This Row],[age]]&lt; 55,"4. Mature Adulthood (45-54)",TRUE,"5. Late Adulthood/Senior (55+)")</f>
        <v>2. Early Adulthood (25-34)</v>
      </c>
      <c r="D1328" t="s">
        <v>41</v>
      </c>
      <c r="E1328" t="s">
        <v>22</v>
      </c>
      <c r="F1328" s="4">
        <v>10.69</v>
      </c>
      <c r="G1328" s="5">
        <v>51</v>
      </c>
      <c r="H1328" t="s">
        <v>28</v>
      </c>
      <c r="I1328" t="s">
        <v>46</v>
      </c>
      <c r="J1328" s="6">
        <v>13.99</v>
      </c>
      <c r="K1328">
        <v>1</v>
      </c>
      <c r="L1328" t="s">
        <v>29</v>
      </c>
      <c r="M1328" s="5">
        <v>3</v>
      </c>
      <c r="N1328" s="4">
        <v>0.21</v>
      </c>
      <c r="O1328" t="s">
        <v>47</v>
      </c>
    </row>
    <row r="1329" spans="1:15" x14ac:dyDescent="0.3">
      <c r="A1329" t="s">
        <v>4057</v>
      </c>
      <c r="B1329" s="5">
        <v>24</v>
      </c>
      <c r="C1329" s="5" t="str" cm="1">
        <f t="array" ref="C1329">_xlfn.IFS(worksheet[[#This Row],[age]]&lt;25,"1. Young Adulthood (18-24)",worksheet[[#This Row],[age]]&lt; 35,"2. Early Adulthood (25-34)",worksheet[[#This Row],[age]]&lt; 45,"3. Mid Adulthood (35-44)",worksheet[[#This Row],[age]]&lt; 55,"4. Mature Adulthood (45-54)",TRUE,"5. Late Adulthood/Senior (55+)")</f>
        <v>1. Young Adulthood (18-24)</v>
      </c>
      <c r="D1329" t="s">
        <v>27</v>
      </c>
      <c r="E1329" t="s">
        <v>16</v>
      </c>
      <c r="F1329" s="4">
        <v>26.07</v>
      </c>
      <c r="G1329" s="5">
        <v>27</v>
      </c>
      <c r="H1329" t="s">
        <v>28</v>
      </c>
      <c r="I1329" t="s">
        <v>46</v>
      </c>
      <c r="J1329" s="6">
        <v>8.99</v>
      </c>
      <c r="K1329">
        <v>0</v>
      </c>
      <c r="L1329" t="s">
        <v>61</v>
      </c>
      <c r="M1329" s="5">
        <v>2</v>
      </c>
      <c r="N1329" s="4">
        <v>0.93</v>
      </c>
      <c r="O1329" t="s">
        <v>25</v>
      </c>
    </row>
    <row r="1330" spans="1:15" x14ac:dyDescent="0.3">
      <c r="A1330" t="s">
        <v>4058</v>
      </c>
      <c r="B1330" s="5">
        <v>23</v>
      </c>
      <c r="C1330" s="5" t="str" cm="1">
        <f t="array" ref="C1330">_xlfn.IFS(worksheet[[#This Row],[age]]&lt;25,"1. Young Adulthood (18-24)",worksheet[[#This Row],[age]]&lt; 35,"2. Early Adulthood (25-34)",worksheet[[#This Row],[age]]&lt; 45,"3. Mid Adulthood (35-44)",worksheet[[#This Row],[age]]&lt; 55,"4. Mature Adulthood (45-54)",TRUE,"5. Late Adulthood/Senior (55+)")</f>
        <v>1. Young Adulthood (18-24)</v>
      </c>
      <c r="D1330" t="s">
        <v>15</v>
      </c>
      <c r="E1330" t="s">
        <v>32</v>
      </c>
      <c r="F1330" s="4">
        <v>12.51</v>
      </c>
      <c r="G1330" s="5">
        <v>11</v>
      </c>
      <c r="H1330" t="s">
        <v>23</v>
      </c>
      <c r="I1330" t="s">
        <v>24</v>
      </c>
      <c r="J1330" s="6">
        <v>17.989999999999998</v>
      </c>
      <c r="K1330">
        <v>0</v>
      </c>
      <c r="L1330" t="s">
        <v>29</v>
      </c>
      <c r="M1330" s="5">
        <v>4</v>
      </c>
      <c r="N1330" s="4">
        <v>1.04</v>
      </c>
      <c r="O1330" t="s">
        <v>52</v>
      </c>
    </row>
    <row r="1331" spans="1:15" x14ac:dyDescent="0.3">
      <c r="A1331" t="s">
        <v>4059</v>
      </c>
      <c r="B1331" s="5">
        <v>30</v>
      </c>
      <c r="C1331" s="5" t="str" cm="1">
        <f t="array" ref="C1331">_xlfn.IFS(worksheet[[#This Row],[age]]&lt;25,"1. Young Adulthood (18-24)",worksheet[[#This Row],[age]]&lt; 35,"2. Early Adulthood (25-34)",worksheet[[#This Row],[age]]&lt; 45,"3. Mid Adulthood (35-44)",worksheet[[#This Row],[age]]&lt; 55,"4. Mature Adulthood (45-54)",TRUE,"5. Late Adulthood/Senior (55+)")</f>
        <v>2. Early Adulthood (25-34)</v>
      </c>
      <c r="D1331" t="s">
        <v>27</v>
      </c>
      <c r="E1331" t="s">
        <v>16</v>
      </c>
      <c r="F1331" s="4">
        <v>1.6</v>
      </c>
      <c r="G1331" s="5">
        <v>56</v>
      </c>
      <c r="H1331" t="s">
        <v>23</v>
      </c>
      <c r="I1331" t="s">
        <v>55</v>
      </c>
      <c r="J1331" s="6">
        <v>8.99</v>
      </c>
      <c r="K1331">
        <v>1</v>
      </c>
      <c r="L1331" t="s">
        <v>37</v>
      </c>
      <c r="M1331" s="5">
        <v>2</v>
      </c>
      <c r="N1331" s="4">
        <v>0.03</v>
      </c>
      <c r="O1331" t="s">
        <v>34</v>
      </c>
    </row>
    <row r="1332" spans="1:15" x14ac:dyDescent="0.3">
      <c r="A1332" t="s">
        <v>4061</v>
      </c>
      <c r="B1332" s="5">
        <v>22</v>
      </c>
      <c r="C1332" s="5" t="str" cm="1">
        <f t="array" ref="C1332">_xlfn.IFS(worksheet[[#This Row],[age]]&lt;25,"1. Young Adulthood (18-24)",worksheet[[#This Row],[age]]&lt; 35,"2. Early Adulthood (25-34)",worksheet[[#This Row],[age]]&lt; 45,"3. Mid Adulthood (35-44)",worksheet[[#This Row],[age]]&lt; 55,"4. Mature Adulthood (45-54)",TRUE,"5. Late Adulthood/Senior (55+)")</f>
        <v>1. Young Adulthood (18-24)</v>
      </c>
      <c r="D1332" t="s">
        <v>15</v>
      </c>
      <c r="E1332" t="s">
        <v>32</v>
      </c>
      <c r="F1332" s="4">
        <v>17.850000000000001</v>
      </c>
      <c r="G1332" s="5">
        <v>46</v>
      </c>
      <c r="H1332" t="s">
        <v>49</v>
      </c>
      <c r="I1332" t="s">
        <v>18</v>
      </c>
      <c r="J1332" s="6">
        <v>17.989999999999998</v>
      </c>
      <c r="K1332">
        <v>1</v>
      </c>
      <c r="L1332" t="s">
        <v>43</v>
      </c>
      <c r="M1332" s="5">
        <v>2</v>
      </c>
      <c r="N1332" s="4">
        <v>0.38</v>
      </c>
      <c r="O1332" t="s">
        <v>39</v>
      </c>
    </row>
    <row r="1333" spans="1:15" x14ac:dyDescent="0.3">
      <c r="A1333" t="s">
        <v>4064</v>
      </c>
      <c r="B1333" s="5">
        <v>22</v>
      </c>
      <c r="C1333" s="5" t="str" cm="1">
        <f t="array" ref="C1333">_xlfn.IFS(worksheet[[#This Row],[age]]&lt;25,"1. Young Adulthood (18-24)",worksheet[[#This Row],[age]]&lt; 35,"2. Early Adulthood (25-34)",worksheet[[#This Row],[age]]&lt; 45,"3. Mid Adulthood (35-44)",worksheet[[#This Row],[age]]&lt; 55,"4. Mature Adulthood (45-54)",TRUE,"5. Late Adulthood/Senior (55+)")</f>
        <v>1. Young Adulthood (18-24)</v>
      </c>
      <c r="D1333" t="s">
        <v>27</v>
      </c>
      <c r="E1333" t="s">
        <v>16</v>
      </c>
      <c r="F1333" s="4">
        <v>0.68</v>
      </c>
      <c r="G1333" s="5">
        <v>21</v>
      </c>
      <c r="H1333" t="s">
        <v>33</v>
      </c>
      <c r="I1333" t="s">
        <v>18</v>
      </c>
      <c r="J1333" s="6">
        <v>8.99</v>
      </c>
      <c r="K1333">
        <v>1</v>
      </c>
      <c r="L1333" t="s">
        <v>37</v>
      </c>
      <c r="M1333" s="5">
        <v>1</v>
      </c>
      <c r="N1333" s="4">
        <v>0.03</v>
      </c>
      <c r="O1333" t="s">
        <v>20</v>
      </c>
    </row>
    <row r="1334" spans="1:15" x14ac:dyDescent="0.3">
      <c r="A1334" t="s">
        <v>4066</v>
      </c>
      <c r="B1334" s="5">
        <v>33</v>
      </c>
      <c r="C1334" s="5" t="str" cm="1">
        <f t="array" ref="C1334">_xlfn.IFS(worksheet[[#This Row],[age]]&lt;25,"1. Young Adulthood (18-24)",worksheet[[#This Row],[age]]&lt; 35,"2. Early Adulthood (25-34)",worksheet[[#This Row],[age]]&lt; 45,"3. Mid Adulthood (35-44)",worksheet[[#This Row],[age]]&lt; 55,"4. Mature Adulthood (45-54)",TRUE,"5. Late Adulthood/Senior (55+)")</f>
        <v>2. Early Adulthood (25-34)</v>
      </c>
      <c r="D1334" t="s">
        <v>41</v>
      </c>
      <c r="E1334" t="s">
        <v>32</v>
      </c>
      <c r="F1334" s="4">
        <v>0.69</v>
      </c>
      <c r="G1334" s="5">
        <v>13</v>
      </c>
      <c r="H1334" t="s">
        <v>28</v>
      </c>
      <c r="I1334" t="s">
        <v>57</v>
      </c>
      <c r="J1334" s="6">
        <v>17.989999999999998</v>
      </c>
      <c r="K1334">
        <v>1</v>
      </c>
      <c r="L1334" t="s">
        <v>29</v>
      </c>
      <c r="M1334" s="5">
        <v>4</v>
      </c>
      <c r="N1334" s="4">
        <v>0.05</v>
      </c>
      <c r="O1334" t="s">
        <v>52</v>
      </c>
    </row>
    <row r="1335" spans="1:15" x14ac:dyDescent="0.3">
      <c r="A1335" t="s">
        <v>4071</v>
      </c>
      <c r="B1335" s="5">
        <v>24</v>
      </c>
      <c r="C1335" s="5" t="str" cm="1">
        <f t="array" ref="C1335">_xlfn.IFS(worksheet[[#This Row],[age]]&lt;25,"1. Young Adulthood (18-24)",worksheet[[#This Row],[age]]&lt; 35,"2. Early Adulthood (25-34)",worksheet[[#This Row],[age]]&lt; 45,"3. Mid Adulthood (35-44)",worksheet[[#This Row],[age]]&lt; 55,"4. Mature Adulthood (45-54)",TRUE,"5. Late Adulthood/Senior (55+)")</f>
        <v>1. Young Adulthood (18-24)</v>
      </c>
      <c r="D1335" t="s">
        <v>15</v>
      </c>
      <c r="E1335" t="s">
        <v>16</v>
      </c>
      <c r="F1335" s="4">
        <v>2.59</v>
      </c>
      <c r="G1335" s="5">
        <v>24</v>
      </c>
      <c r="H1335" t="s">
        <v>70</v>
      </c>
      <c r="I1335" t="s">
        <v>24</v>
      </c>
      <c r="J1335" s="6">
        <v>8.99</v>
      </c>
      <c r="K1335">
        <v>1</v>
      </c>
      <c r="L1335" t="s">
        <v>19</v>
      </c>
      <c r="M1335" s="5">
        <v>3</v>
      </c>
      <c r="N1335" s="4">
        <v>0.1</v>
      </c>
      <c r="O1335" t="s">
        <v>34</v>
      </c>
    </row>
    <row r="1336" spans="1:15" x14ac:dyDescent="0.3">
      <c r="A1336" t="s">
        <v>4073</v>
      </c>
      <c r="B1336" s="5">
        <v>26</v>
      </c>
      <c r="C1336" s="5" t="str" cm="1">
        <f t="array" ref="C1336">_xlfn.IFS(worksheet[[#This Row],[age]]&lt;25,"1. Young Adulthood (18-24)",worksheet[[#This Row],[age]]&lt; 35,"2. Early Adulthood (25-34)",worksheet[[#This Row],[age]]&lt; 45,"3. Mid Adulthood (35-44)",worksheet[[#This Row],[age]]&lt; 55,"4. Mature Adulthood (45-54)",TRUE,"5. Late Adulthood/Senior (55+)")</f>
        <v>2. Early Adulthood (25-34)</v>
      </c>
      <c r="D1336" t="s">
        <v>41</v>
      </c>
      <c r="E1336" t="s">
        <v>32</v>
      </c>
      <c r="F1336" s="4">
        <v>1.87</v>
      </c>
      <c r="G1336" s="5">
        <v>26</v>
      </c>
      <c r="H1336" t="s">
        <v>49</v>
      </c>
      <c r="I1336" t="s">
        <v>18</v>
      </c>
      <c r="J1336" s="6">
        <v>17.989999999999998</v>
      </c>
      <c r="K1336">
        <v>1</v>
      </c>
      <c r="L1336" t="s">
        <v>29</v>
      </c>
      <c r="M1336" s="5">
        <v>3</v>
      </c>
      <c r="N1336" s="4">
        <v>7.0000000000000007E-2</v>
      </c>
      <c r="O1336" t="s">
        <v>47</v>
      </c>
    </row>
    <row r="1337" spans="1:15" x14ac:dyDescent="0.3">
      <c r="A1337" t="s">
        <v>4074</v>
      </c>
      <c r="B1337" s="5">
        <v>32</v>
      </c>
      <c r="C1337" s="5" t="str" cm="1">
        <f t="array" ref="C1337">_xlfn.IFS(worksheet[[#This Row],[age]]&lt;25,"1. Young Adulthood (18-24)",worksheet[[#This Row],[age]]&lt; 35,"2. Early Adulthood (25-34)",worksheet[[#This Row],[age]]&lt; 45,"3. Mid Adulthood (35-44)",worksheet[[#This Row],[age]]&lt; 55,"4. Mature Adulthood (45-54)",TRUE,"5. Late Adulthood/Senior (55+)")</f>
        <v>2. Early Adulthood (25-34)</v>
      </c>
      <c r="D1337" t="s">
        <v>27</v>
      </c>
      <c r="E1337" t="s">
        <v>16</v>
      </c>
      <c r="F1337" s="4">
        <v>6.82</v>
      </c>
      <c r="G1337" s="5">
        <v>42</v>
      </c>
      <c r="H1337" t="s">
        <v>17</v>
      </c>
      <c r="I1337" t="s">
        <v>24</v>
      </c>
      <c r="J1337" s="6">
        <v>8.99</v>
      </c>
      <c r="K1337">
        <v>1</v>
      </c>
      <c r="L1337" t="s">
        <v>61</v>
      </c>
      <c r="M1337" s="5">
        <v>5</v>
      </c>
      <c r="N1337" s="4">
        <v>0.16</v>
      </c>
      <c r="O1337" t="s">
        <v>47</v>
      </c>
    </row>
    <row r="1338" spans="1:15" x14ac:dyDescent="0.3">
      <c r="A1338" t="s">
        <v>4080</v>
      </c>
      <c r="B1338" s="5">
        <v>22</v>
      </c>
      <c r="C1338" s="5" t="str" cm="1">
        <f t="array" ref="C1338">_xlfn.IFS(worksheet[[#This Row],[age]]&lt;25,"1. Young Adulthood (18-24)",worksheet[[#This Row],[age]]&lt; 35,"2. Early Adulthood (25-34)",worksheet[[#This Row],[age]]&lt; 45,"3. Mid Adulthood (35-44)",worksheet[[#This Row],[age]]&lt; 55,"4. Mature Adulthood (45-54)",TRUE,"5. Late Adulthood/Senior (55+)")</f>
        <v>1. Young Adulthood (18-24)</v>
      </c>
      <c r="D1338" t="s">
        <v>27</v>
      </c>
      <c r="E1338" t="s">
        <v>22</v>
      </c>
      <c r="F1338" s="4">
        <v>3.05</v>
      </c>
      <c r="G1338" s="5">
        <v>48</v>
      </c>
      <c r="H1338" t="s">
        <v>49</v>
      </c>
      <c r="I1338" t="s">
        <v>55</v>
      </c>
      <c r="J1338" s="6">
        <v>13.99</v>
      </c>
      <c r="K1338">
        <v>1</v>
      </c>
      <c r="L1338" t="s">
        <v>29</v>
      </c>
      <c r="M1338" s="5">
        <v>4</v>
      </c>
      <c r="N1338" s="4">
        <v>0.06</v>
      </c>
      <c r="O1338" t="s">
        <v>52</v>
      </c>
    </row>
    <row r="1339" spans="1:15" x14ac:dyDescent="0.3">
      <c r="A1339" t="s">
        <v>4081</v>
      </c>
      <c r="B1339" s="5">
        <v>23</v>
      </c>
      <c r="C1339" s="5" t="str" cm="1">
        <f t="array" ref="C1339">_xlfn.IFS(worksheet[[#This Row],[age]]&lt;25,"1. Young Adulthood (18-24)",worksheet[[#This Row],[age]]&lt; 35,"2. Early Adulthood (25-34)",worksheet[[#This Row],[age]]&lt; 45,"3. Mid Adulthood (35-44)",worksheet[[#This Row],[age]]&lt; 55,"4. Mature Adulthood (45-54)",TRUE,"5. Late Adulthood/Senior (55+)")</f>
        <v>1. Young Adulthood (18-24)</v>
      </c>
      <c r="D1339" t="s">
        <v>15</v>
      </c>
      <c r="E1339" t="s">
        <v>16</v>
      </c>
      <c r="F1339" s="4">
        <v>14.42</v>
      </c>
      <c r="G1339" s="5">
        <v>2</v>
      </c>
      <c r="H1339" t="s">
        <v>17</v>
      </c>
      <c r="I1339" t="s">
        <v>57</v>
      </c>
      <c r="J1339" s="6">
        <v>8.99</v>
      </c>
      <c r="K1339">
        <v>0</v>
      </c>
      <c r="L1339" t="s">
        <v>29</v>
      </c>
      <c r="M1339" s="5">
        <v>2</v>
      </c>
      <c r="N1339" s="4">
        <v>4.8099999999999996</v>
      </c>
      <c r="O1339" t="s">
        <v>39</v>
      </c>
    </row>
    <row r="1340" spans="1:15" x14ac:dyDescent="0.3">
      <c r="A1340" t="s">
        <v>4087</v>
      </c>
      <c r="B1340" s="5">
        <v>21</v>
      </c>
      <c r="C1340" s="5" t="str" cm="1">
        <f t="array" ref="C1340">_xlfn.IFS(worksheet[[#This Row],[age]]&lt;25,"1. Young Adulthood (18-24)",worksheet[[#This Row],[age]]&lt; 35,"2. Early Adulthood (25-34)",worksheet[[#This Row],[age]]&lt; 45,"3. Mid Adulthood (35-44)",worksheet[[#This Row],[age]]&lt; 55,"4. Mature Adulthood (45-54)",TRUE,"5. Late Adulthood/Senior (55+)")</f>
        <v>1. Young Adulthood (18-24)</v>
      </c>
      <c r="D1340" t="s">
        <v>27</v>
      </c>
      <c r="E1340" t="s">
        <v>32</v>
      </c>
      <c r="F1340" s="4">
        <v>34.18</v>
      </c>
      <c r="G1340" s="5">
        <v>47</v>
      </c>
      <c r="H1340" t="s">
        <v>23</v>
      </c>
      <c r="I1340" t="s">
        <v>24</v>
      </c>
      <c r="J1340" s="6">
        <v>17.989999999999998</v>
      </c>
      <c r="K1340">
        <v>0</v>
      </c>
      <c r="L1340" t="s">
        <v>19</v>
      </c>
      <c r="M1340" s="5">
        <v>1</v>
      </c>
      <c r="N1340" s="4">
        <v>0.71</v>
      </c>
      <c r="O1340" t="s">
        <v>47</v>
      </c>
    </row>
    <row r="1341" spans="1:15" x14ac:dyDescent="0.3">
      <c r="A1341" t="s">
        <v>4091</v>
      </c>
      <c r="B1341" s="5">
        <v>20</v>
      </c>
      <c r="C1341" s="5" t="str" cm="1">
        <f t="array" ref="C1341">_xlfn.IFS(worksheet[[#This Row],[age]]&lt;25,"1. Young Adulthood (18-24)",worksheet[[#This Row],[age]]&lt; 35,"2. Early Adulthood (25-34)",worksheet[[#This Row],[age]]&lt; 45,"3. Mid Adulthood (35-44)",worksheet[[#This Row],[age]]&lt; 55,"4. Mature Adulthood (45-54)",TRUE,"5. Late Adulthood/Senior (55+)")</f>
        <v>1. Young Adulthood (18-24)</v>
      </c>
      <c r="D1341" t="s">
        <v>15</v>
      </c>
      <c r="E1341" t="s">
        <v>32</v>
      </c>
      <c r="F1341" s="4">
        <v>1.78</v>
      </c>
      <c r="G1341" s="5">
        <v>34</v>
      </c>
      <c r="H1341" t="s">
        <v>28</v>
      </c>
      <c r="I1341" t="s">
        <v>55</v>
      </c>
      <c r="J1341" s="6">
        <v>17.989999999999998</v>
      </c>
      <c r="K1341">
        <v>1</v>
      </c>
      <c r="L1341" t="s">
        <v>61</v>
      </c>
      <c r="M1341" s="5">
        <v>5</v>
      </c>
      <c r="N1341" s="4">
        <v>0.05</v>
      </c>
      <c r="O1341" t="s">
        <v>20</v>
      </c>
    </row>
    <row r="1342" spans="1:15" x14ac:dyDescent="0.3">
      <c r="A1342" t="s">
        <v>4092</v>
      </c>
      <c r="B1342" s="5">
        <v>34</v>
      </c>
      <c r="C1342" s="5" t="str" cm="1">
        <f t="array" ref="C1342">_xlfn.IFS(worksheet[[#This Row],[age]]&lt;25,"1. Young Adulthood (18-24)",worksheet[[#This Row],[age]]&lt; 35,"2. Early Adulthood (25-34)",worksheet[[#This Row],[age]]&lt; 45,"3. Mid Adulthood (35-44)",worksheet[[#This Row],[age]]&lt; 55,"4. Mature Adulthood (45-54)",TRUE,"5. Late Adulthood/Senior (55+)")</f>
        <v>2. Early Adulthood (25-34)</v>
      </c>
      <c r="D1342" t="s">
        <v>41</v>
      </c>
      <c r="E1342" t="s">
        <v>16</v>
      </c>
      <c r="F1342" s="4">
        <v>10.48</v>
      </c>
      <c r="G1342" s="5">
        <v>60</v>
      </c>
      <c r="H1342" t="s">
        <v>23</v>
      </c>
      <c r="I1342" t="s">
        <v>55</v>
      </c>
      <c r="J1342" s="6">
        <v>8.99</v>
      </c>
      <c r="K1342">
        <v>1</v>
      </c>
      <c r="L1342" t="s">
        <v>29</v>
      </c>
      <c r="M1342" s="5">
        <v>5</v>
      </c>
      <c r="N1342" s="4">
        <v>0.17</v>
      </c>
      <c r="O1342" t="s">
        <v>39</v>
      </c>
    </row>
    <row r="1343" spans="1:15" x14ac:dyDescent="0.3">
      <c r="A1343" t="s">
        <v>4093</v>
      </c>
      <c r="B1343" s="5">
        <v>31</v>
      </c>
      <c r="C1343" s="5" t="str" cm="1">
        <f t="array" ref="C1343">_xlfn.IFS(worksheet[[#This Row],[age]]&lt;25,"1. Young Adulthood (18-24)",worksheet[[#This Row],[age]]&lt; 35,"2. Early Adulthood (25-34)",worksheet[[#This Row],[age]]&lt; 45,"3. Mid Adulthood (35-44)",worksheet[[#This Row],[age]]&lt; 55,"4. Mature Adulthood (45-54)",TRUE,"5. Late Adulthood/Senior (55+)")</f>
        <v>2. Early Adulthood (25-34)</v>
      </c>
      <c r="D1343" t="s">
        <v>41</v>
      </c>
      <c r="E1343" t="s">
        <v>16</v>
      </c>
      <c r="F1343" s="4">
        <v>1.61</v>
      </c>
      <c r="G1343" s="5">
        <v>41</v>
      </c>
      <c r="H1343" t="s">
        <v>70</v>
      </c>
      <c r="I1343" t="s">
        <v>57</v>
      </c>
      <c r="J1343" s="6">
        <v>8.99</v>
      </c>
      <c r="K1343">
        <v>1</v>
      </c>
      <c r="L1343" t="s">
        <v>19</v>
      </c>
      <c r="M1343" s="5">
        <v>2</v>
      </c>
      <c r="N1343" s="4">
        <v>0.04</v>
      </c>
      <c r="O1343" t="s">
        <v>25</v>
      </c>
    </row>
    <row r="1344" spans="1:15" x14ac:dyDescent="0.3">
      <c r="A1344" t="s">
        <v>4094</v>
      </c>
      <c r="B1344" s="5">
        <v>31</v>
      </c>
      <c r="C1344" s="5" t="str" cm="1">
        <f t="array" ref="C1344">_xlfn.IFS(worksheet[[#This Row],[age]]&lt;25,"1. Young Adulthood (18-24)",worksheet[[#This Row],[age]]&lt; 35,"2. Early Adulthood (25-34)",worksheet[[#This Row],[age]]&lt; 45,"3. Mid Adulthood (35-44)",worksheet[[#This Row],[age]]&lt; 55,"4. Mature Adulthood (45-54)",TRUE,"5. Late Adulthood/Senior (55+)")</f>
        <v>2. Early Adulthood (25-34)</v>
      </c>
      <c r="D1344" t="s">
        <v>41</v>
      </c>
      <c r="E1344" t="s">
        <v>32</v>
      </c>
      <c r="F1344" s="4">
        <v>4</v>
      </c>
      <c r="G1344" s="5">
        <v>10</v>
      </c>
      <c r="H1344" t="s">
        <v>49</v>
      </c>
      <c r="I1344" t="s">
        <v>24</v>
      </c>
      <c r="J1344" s="6">
        <v>17.989999999999998</v>
      </c>
      <c r="K1344">
        <v>0</v>
      </c>
      <c r="L1344" t="s">
        <v>37</v>
      </c>
      <c r="M1344" s="5">
        <v>5</v>
      </c>
      <c r="N1344" s="4">
        <v>0.36</v>
      </c>
      <c r="O1344" t="s">
        <v>47</v>
      </c>
    </row>
    <row r="1345" spans="1:15" x14ac:dyDescent="0.3">
      <c r="A1345" t="s">
        <v>4095</v>
      </c>
      <c r="B1345" s="5">
        <v>24</v>
      </c>
      <c r="C1345" s="5" t="str" cm="1">
        <f t="array" ref="C1345">_xlfn.IFS(worksheet[[#This Row],[age]]&lt;25,"1. Young Adulthood (18-24)",worksheet[[#This Row],[age]]&lt; 35,"2. Early Adulthood (25-34)",worksheet[[#This Row],[age]]&lt; 45,"3. Mid Adulthood (35-44)",worksheet[[#This Row],[age]]&lt; 55,"4. Mature Adulthood (45-54)",TRUE,"5. Late Adulthood/Senior (55+)")</f>
        <v>1. Young Adulthood (18-24)</v>
      </c>
      <c r="D1345" t="s">
        <v>27</v>
      </c>
      <c r="E1345" t="s">
        <v>16</v>
      </c>
      <c r="F1345" s="4">
        <v>6.65</v>
      </c>
      <c r="G1345" s="5">
        <v>41</v>
      </c>
      <c r="H1345" t="s">
        <v>23</v>
      </c>
      <c r="I1345" t="s">
        <v>55</v>
      </c>
      <c r="J1345" s="6">
        <v>8.99</v>
      </c>
      <c r="K1345">
        <v>1</v>
      </c>
      <c r="L1345" t="s">
        <v>29</v>
      </c>
      <c r="M1345" s="5">
        <v>2</v>
      </c>
      <c r="N1345" s="4">
        <v>0.16</v>
      </c>
      <c r="O1345" t="s">
        <v>39</v>
      </c>
    </row>
    <row r="1346" spans="1:15" x14ac:dyDescent="0.3">
      <c r="A1346" t="s">
        <v>4097</v>
      </c>
      <c r="B1346" s="5">
        <v>26</v>
      </c>
      <c r="C1346" s="5" t="str" cm="1">
        <f t="array" ref="C1346">_xlfn.IFS(worksheet[[#This Row],[age]]&lt;25,"1. Young Adulthood (18-24)",worksheet[[#This Row],[age]]&lt; 35,"2. Early Adulthood (25-34)",worksheet[[#This Row],[age]]&lt; 45,"3. Mid Adulthood (35-44)",worksheet[[#This Row],[age]]&lt; 55,"4. Mature Adulthood (45-54)",TRUE,"5. Late Adulthood/Senior (55+)")</f>
        <v>2. Early Adulthood (25-34)</v>
      </c>
      <c r="D1346" t="s">
        <v>27</v>
      </c>
      <c r="E1346" t="s">
        <v>16</v>
      </c>
      <c r="F1346" s="4">
        <v>7.83</v>
      </c>
      <c r="G1346" s="5">
        <v>1</v>
      </c>
      <c r="H1346" t="s">
        <v>70</v>
      </c>
      <c r="I1346" t="s">
        <v>57</v>
      </c>
      <c r="J1346" s="6">
        <v>8.99</v>
      </c>
      <c r="K1346">
        <v>0</v>
      </c>
      <c r="L1346" t="s">
        <v>61</v>
      </c>
      <c r="M1346" s="5">
        <v>1</v>
      </c>
      <c r="N1346" s="4">
        <v>3.92</v>
      </c>
      <c r="O1346" t="s">
        <v>52</v>
      </c>
    </row>
    <row r="1347" spans="1:15" x14ac:dyDescent="0.3">
      <c r="A1347" t="s">
        <v>4099</v>
      </c>
      <c r="B1347" s="5">
        <v>32</v>
      </c>
      <c r="C1347" s="5" t="str" cm="1">
        <f t="array" ref="C1347">_xlfn.IFS(worksheet[[#This Row],[age]]&lt;25,"1. Young Adulthood (18-24)",worksheet[[#This Row],[age]]&lt; 35,"2. Early Adulthood (25-34)",worksheet[[#This Row],[age]]&lt; 45,"3. Mid Adulthood (35-44)",worksheet[[#This Row],[age]]&lt; 55,"4. Mature Adulthood (45-54)",TRUE,"5. Late Adulthood/Senior (55+)")</f>
        <v>2. Early Adulthood (25-34)</v>
      </c>
      <c r="D1347" t="s">
        <v>15</v>
      </c>
      <c r="E1347" t="s">
        <v>16</v>
      </c>
      <c r="F1347" s="4">
        <v>8.18</v>
      </c>
      <c r="G1347" s="5">
        <v>16</v>
      </c>
      <c r="H1347" t="s">
        <v>33</v>
      </c>
      <c r="I1347" t="s">
        <v>55</v>
      </c>
      <c r="J1347" s="6">
        <v>8.99</v>
      </c>
      <c r="K1347">
        <v>0</v>
      </c>
      <c r="L1347" t="s">
        <v>37</v>
      </c>
      <c r="M1347" s="5">
        <v>4</v>
      </c>
      <c r="N1347" s="4">
        <v>0.48</v>
      </c>
      <c r="O1347" t="s">
        <v>25</v>
      </c>
    </row>
    <row r="1348" spans="1:15" x14ac:dyDescent="0.3">
      <c r="A1348" t="s">
        <v>4100</v>
      </c>
      <c r="B1348" s="5">
        <v>33</v>
      </c>
      <c r="C1348" s="5" t="str" cm="1">
        <f t="array" ref="C1348">_xlfn.IFS(worksheet[[#This Row],[age]]&lt;25,"1. Young Adulthood (18-24)",worksheet[[#This Row],[age]]&lt; 35,"2. Early Adulthood (25-34)",worksheet[[#This Row],[age]]&lt; 45,"3. Mid Adulthood (35-44)",worksheet[[#This Row],[age]]&lt; 55,"4. Mature Adulthood (45-54)",TRUE,"5. Late Adulthood/Senior (55+)")</f>
        <v>2. Early Adulthood (25-34)</v>
      </c>
      <c r="D1348" t="s">
        <v>15</v>
      </c>
      <c r="E1348" t="s">
        <v>32</v>
      </c>
      <c r="F1348" s="4">
        <v>9.1</v>
      </c>
      <c r="G1348" s="5">
        <v>26</v>
      </c>
      <c r="H1348" t="s">
        <v>49</v>
      </c>
      <c r="I1348" t="s">
        <v>46</v>
      </c>
      <c r="J1348" s="6">
        <v>17.989999999999998</v>
      </c>
      <c r="K1348">
        <v>0</v>
      </c>
      <c r="L1348" t="s">
        <v>19</v>
      </c>
      <c r="M1348" s="5">
        <v>2</v>
      </c>
      <c r="N1348" s="4">
        <v>0.34</v>
      </c>
      <c r="O1348" t="s">
        <v>30</v>
      </c>
    </row>
    <row r="1349" spans="1:15" x14ac:dyDescent="0.3">
      <c r="A1349" t="s">
        <v>4103</v>
      </c>
      <c r="B1349" s="5">
        <v>29</v>
      </c>
      <c r="C1349" s="5" t="str" cm="1">
        <f t="array" ref="C1349">_xlfn.IFS(worksheet[[#This Row],[age]]&lt;25,"1. Young Adulthood (18-24)",worksheet[[#This Row],[age]]&lt; 35,"2. Early Adulthood (25-34)",worksheet[[#This Row],[age]]&lt; 45,"3. Mid Adulthood (35-44)",worksheet[[#This Row],[age]]&lt; 55,"4. Mature Adulthood (45-54)",TRUE,"5. Late Adulthood/Senior (55+)")</f>
        <v>2. Early Adulthood (25-34)</v>
      </c>
      <c r="D1349" t="s">
        <v>41</v>
      </c>
      <c r="E1349" t="s">
        <v>16</v>
      </c>
      <c r="F1349" s="4">
        <v>3.75</v>
      </c>
      <c r="G1349" s="5">
        <v>49</v>
      </c>
      <c r="H1349" t="s">
        <v>49</v>
      </c>
      <c r="I1349" t="s">
        <v>57</v>
      </c>
      <c r="J1349" s="6">
        <v>8.99</v>
      </c>
      <c r="K1349">
        <v>1</v>
      </c>
      <c r="L1349" t="s">
        <v>29</v>
      </c>
      <c r="M1349" s="5">
        <v>1</v>
      </c>
      <c r="N1349" s="4">
        <v>7.0000000000000007E-2</v>
      </c>
      <c r="O1349" t="s">
        <v>39</v>
      </c>
    </row>
    <row r="1350" spans="1:15" x14ac:dyDescent="0.3">
      <c r="A1350" t="s">
        <v>4107</v>
      </c>
      <c r="B1350" s="5">
        <v>18</v>
      </c>
      <c r="C1350" s="5" t="str" cm="1">
        <f t="array" ref="C1350">_xlfn.IFS(worksheet[[#This Row],[age]]&lt;25,"1. Young Adulthood (18-24)",worksheet[[#This Row],[age]]&lt; 35,"2. Early Adulthood (25-34)",worksheet[[#This Row],[age]]&lt; 45,"3. Mid Adulthood (35-44)",worksheet[[#This Row],[age]]&lt; 55,"4. Mature Adulthood (45-54)",TRUE,"5. Late Adulthood/Senior (55+)")</f>
        <v>1. Young Adulthood (18-24)</v>
      </c>
      <c r="D1350" t="s">
        <v>41</v>
      </c>
      <c r="E1350" t="s">
        <v>32</v>
      </c>
      <c r="F1350" s="4">
        <v>2.5299999999999998</v>
      </c>
      <c r="G1350" s="5">
        <v>38</v>
      </c>
      <c r="H1350" t="s">
        <v>28</v>
      </c>
      <c r="I1350" t="s">
        <v>24</v>
      </c>
      <c r="J1350" s="6">
        <v>17.989999999999998</v>
      </c>
      <c r="K1350">
        <v>1</v>
      </c>
      <c r="L1350" t="s">
        <v>37</v>
      </c>
      <c r="M1350" s="5">
        <v>3</v>
      </c>
      <c r="N1350" s="4">
        <v>0.06</v>
      </c>
      <c r="O1350" t="s">
        <v>25</v>
      </c>
    </row>
    <row r="1351" spans="1:15" x14ac:dyDescent="0.3">
      <c r="A1351" t="s">
        <v>4110</v>
      </c>
      <c r="B1351" s="5">
        <v>23</v>
      </c>
      <c r="C1351" s="5" t="str" cm="1">
        <f t="array" ref="C1351">_xlfn.IFS(worksheet[[#This Row],[age]]&lt;25,"1. Young Adulthood (18-24)",worksheet[[#This Row],[age]]&lt; 35,"2. Early Adulthood (25-34)",worksheet[[#This Row],[age]]&lt; 45,"3. Mid Adulthood (35-44)",worksheet[[#This Row],[age]]&lt; 55,"4. Mature Adulthood (45-54)",TRUE,"5. Late Adulthood/Senior (55+)")</f>
        <v>1. Young Adulthood (18-24)</v>
      </c>
      <c r="D1351" t="s">
        <v>15</v>
      </c>
      <c r="E1351" t="s">
        <v>16</v>
      </c>
      <c r="F1351" s="4">
        <v>10.62</v>
      </c>
      <c r="G1351" s="5">
        <v>52</v>
      </c>
      <c r="H1351" t="s">
        <v>70</v>
      </c>
      <c r="I1351" t="s">
        <v>24</v>
      </c>
      <c r="J1351" s="6">
        <v>8.99</v>
      </c>
      <c r="K1351">
        <v>1</v>
      </c>
      <c r="L1351" t="s">
        <v>19</v>
      </c>
      <c r="M1351" s="5">
        <v>4</v>
      </c>
      <c r="N1351" s="4">
        <v>0.2</v>
      </c>
      <c r="O1351" t="s">
        <v>47</v>
      </c>
    </row>
    <row r="1352" spans="1:15" x14ac:dyDescent="0.3">
      <c r="A1352" t="s">
        <v>4112</v>
      </c>
      <c r="B1352" s="5">
        <v>30</v>
      </c>
      <c r="C1352" s="5" t="str" cm="1">
        <f t="array" ref="C1352">_xlfn.IFS(worksheet[[#This Row],[age]]&lt;25,"1. Young Adulthood (18-24)",worksheet[[#This Row],[age]]&lt; 35,"2. Early Adulthood (25-34)",worksheet[[#This Row],[age]]&lt; 45,"3. Mid Adulthood (35-44)",worksheet[[#This Row],[age]]&lt; 55,"4. Mature Adulthood (45-54)",TRUE,"5. Late Adulthood/Senior (55+)")</f>
        <v>2. Early Adulthood (25-34)</v>
      </c>
      <c r="D1352" t="s">
        <v>27</v>
      </c>
      <c r="E1352" t="s">
        <v>16</v>
      </c>
      <c r="F1352" s="4">
        <v>8.52</v>
      </c>
      <c r="G1352" s="5">
        <v>11</v>
      </c>
      <c r="H1352" t="s">
        <v>28</v>
      </c>
      <c r="I1352" t="s">
        <v>46</v>
      </c>
      <c r="J1352" s="6">
        <v>8.99</v>
      </c>
      <c r="K1352">
        <v>0</v>
      </c>
      <c r="L1352" t="s">
        <v>19</v>
      </c>
      <c r="M1352" s="5">
        <v>4</v>
      </c>
      <c r="N1352" s="4">
        <v>0.71</v>
      </c>
      <c r="O1352" t="s">
        <v>20</v>
      </c>
    </row>
    <row r="1353" spans="1:15" x14ac:dyDescent="0.3">
      <c r="A1353" t="s">
        <v>4118</v>
      </c>
      <c r="B1353" s="5">
        <v>26</v>
      </c>
      <c r="C1353" s="5" t="str" cm="1">
        <f t="array" ref="C1353">_xlfn.IFS(worksheet[[#This Row],[age]]&lt;25,"1. Young Adulthood (18-24)",worksheet[[#This Row],[age]]&lt; 35,"2. Early Adulthood (25-34)",worksheet[[#This Row],[age]]&lt; 45,"3. Mid Adulthood (35-44)",worksheet[[#This Row],[age]]&lt; 55,"4. Mature Adulthood (45-54)",TRUE,"5. Late Adulthood/Senior (55+)")</f>
        <v>2. Early Adulthood (25-34)</v>
      </c>
      <c r="D1353" t="s">
        <v>41</v>
      </c>
      <c r="E1353" t="s">
        <v>32</v>
      </c>
      <c r="F1353" s="4">
        <v>10.65</v>
      </c>
      <c r="G1353" s="5">
        <v>37</v>
      </c>
      <c r="H1353" t="s">
        <v>49</v>
      </c>
      <c r="I1353" t="s">
        <v>18</v>
      </c>
      <c r="J1353" s="6">
        <v>17.989999999999998</v>
      </c>
      <c r="K1353">
        <v>1</v>
      </c>
      <c r="L1353" t="s">
        <v>61</v>
      </c>
      <c r="M1353" s="5">
        <v>3</v>
      </c>
      <c r="N1353" s="4">
        <v>0.28000000000000003</v>
      </c>
      <c r="O1353" t="s">
        <v>34</v>
      </c>
    </row>
    <row r="1354" spans="1:15" x14ac:dyDescent="0.3">
      <c r="A1354" t="s">
        <v>4131</v>
      </c>
      <c r="B1354" s="5">
        <v>25</v>
      </c>
      <c r="C1354" s="5" t="str" cm="1">
        <f t="array" ref="C1354">_xlfn.IFS(worksheet[[#This Row],[age]]&lt;25,"1. Young Adulthood (18-24)",worksheet[[#This Row],[age]]&lt; 35,"2. Early Adulthood (25-34)",worksheet[[#This Row],[age]]&lt; 45,"3. Mid Adulthood (35-44)",worksheet[[#This Row],[age]]&lt; 55,"4. Mature Adulthood (45-54)",TRUE,"5. Late Adulthood/Senior (55+)")</f>
        <v>2. Early Adulthood (25-34)</v>
      </c>
      <c r="D1354" t="s">
        <v>15</v>
      </c>
      <c r="E1354" t="s">
        <v>16</v>
      </c>
      <c r="F1354" s="4">
        <v>19.309999999999999</v>
      </c>
      <c r="G1354" s="5">
        <v>5</v>
      </c>
      <c r="H1354" t="s">
        <v>17</v>
      </c>
      <c r="I1354" t="s">
        <v>24</v>
      </c>
      <c r="J1354" s="6">
        <v>8.99</v>
      </c>
      <c r="K1354">
        <v>0</v>
      </c>
      <c r="L1354" t="s">
        <v>43</v>
      </c>
      <c r="M1354" s="5">
        <v>2</v>
      </c>
      <c r="N1354" s="4">
        <v>3.22</v>
      </c>
      <c r="O1354" t="s">
        <v>52</v>
      </c>
    </row>
    <row r="1355" spans="1:15" x14ac:dyDescent="0.3">
      <c r="A1355" t="s">
        <v>4133</v>
      </c>
      <c r="B1355" s="5">
        <v>23</v>
      </c>
      <c r="C1355" s="5" t="str" cm="1">
        <f t="array" ref="C1355">_xlfn.IFS(worksheet[[#This Row],[age]]&lt;25,"1. Young Adulthood (18-24)",worksheet[[#This Row],[age]]&lt; 35,"2. Early Adulthood (25-34)",worksheet[[#This Row],[age]]&lt; 45,"3. Mid Adulthood (35-44)",worksheet[[#This Row],[age]]&lt; 55,"4. Mature Adulthood (45-54)",TRUE,"5. Late Adulthood/Senior (55+)")</f>
        <v>1. Young Adulthood (18-24)</v>
      </c>
      <c r="D1355" t="s">
        <v>27</v>
      </c>
      <c r="E1355" t="s">
        <v>22</v>
      </c>
      <c r="F1355" s="4">
        <v>3.7</v>
      </c>
      <c r="G1355" s="5">
        <v>6</v>
      </c>
      <c r="H1355" t="s">
        <v>17</v>
      </c>
      <c r="I1355" t="s">
        <v>24</v>
      </c>
      <c r="J1355" s="6">
        <v>13.99</v>
      </c>
      <c r="K1355">
        <v>0</v>
      </c>
      <c r="L1355" t="s">
        <v>43</v>
      </c>
      <c r="M1355" s="5">
        <v>3</v>
      </c>
      <c r="N1355" s="4">
        <v>0.53</v>
      </c>
      <c r="O1355" t="s">
        <v>30</v>
      </c>
    </row>
    <row r="1356" spans="1:15" x14ac:dyDescent="0.3">
      <c r="A1356" t="s">
        <v>4135</v>
      </c>
      <c r="B1356" s="5">
        <v>22</v>
      </c>
      <c r="C1356" s="5" t="str" cm="1">
        <f t="array" ref="C1356">_xlfn.IFS(worksheet[[#This Row],[age]]&lt;25,"1. Young Adulthood (18-24)",worksheet[[#This Row],[age]]&lt; 35,"2. Early Adulthood (25-34)",worksheet[[#This Row],[age]]&lt; 45,"3. Mid Adulthood (35-44)",worksheet[[#This Row],[age]]&lt; 55,"4. Mature Adulthood (45-54)",TRUE,"5. Late Adulthood/Senior (55+)")</f>
        <v>1. Young Adulthood (18-24)</v>
      </c>
      <c r="D1356" t="s">
        <v>15</v>
      </c>
      <c r="E1356" t="s">
        <v>32</v>
      </c>
      <c r="F1356" s="4">
        <v>8.18</v>
      </c>
      <c r="G1356" s="5">
        <v>29</v>
      </c>
      <c r="H1356" t="s">
        <v>33</v>
      </c>
      <c r="I1356" t="s">
        <v>55</v>
      </c>
      <c r="J1356" s="6">
        <v>17.989999999999998</v>
      </c>
      <c r="K1356">
        <v>0</v>
      </c>
      <c r="L1356" t="s">
        <v>19</v>
      </c>
      <c r="M1356" s="5">
        <v>2</v>
      </c>
      <c r="N1356" s="4">
        <v>0.27</v>
      </c>
      <c r="O1356" t="s">
        <v>34</v>
      </c>
    </row>
    <row r="1357" spans="1:15" x14ac:dyDescent="0.3">
      <c r="A1357" t="s">
        <v>4144</v>
      </c>
      <c r="B1357" s="5">
        <v>24</v>
      </c>
      <c r="C1357" s="5" t="str" cm="1">
        <f t="array" ref="C1357">_xlfn.IFS(worksheet[[#This Row],[age]]&lt;25,"1. Young Adulthood (18-24)",worksheet[[#This Row],[age]]&lt; 35,"2. Early Adulthood (25-34)",worksheet[[#This Row],[age]]&lt; 45,"3. Mid Adulthood (35-44)",worksheet[[#This Row],[age]]&lt; 55,"4. Mature Adulthood (45-54)",TRUE,"5. Late Adulthood/Senior (55+)")</f>
        <v>1. Young Adulthood (18-24)</v>
      </c>
      <c r="D1357" t="s">
        <v>41</v>
      </c>
      <c r="E1357" t="s">
        <v>22</v>
      </c>
      <c r="F1357" s="4">
        <v>0.49</v>
      </c>
      <c r="G1357" s="5">
        <v>2</v>
      </c>
      <c r="H1357" t="s">
        <v>33</v>
      </c>
      <c r="I1357" t="s">
        <v>46</v>
      </c>
      <c r="J1357" s="6">
        <v>13.99</v>
      </c>
      <c r="K1357">
        <v>0</v>
      </c>
      <c r="L1357" t="s">
        <v>37</v>
      </c>
      <c r="M1357" s="5">
        <v>2</v>
      </c>
      <c r="N1357" s="4">
        <v>0.16</v>
      </c>
      <c r="O1357" t="s">
        <v>39</v>
      </c>
    </row>
    <row r="1358" spans="1:15" x14ac:dyDescent="0.3">
      <c r="A1358" t="s">
        <v>4147</v>
      </c>
      <c r="B1358" s="5">
        <v>28</v>
      </c>
      <c r="C1358" s="5" t="str" cm="1">
        <f t="array" ref="C1358">_xlfn.IFS(worksheet[[#This Row],[age]]&lt;25,"1. Young Adulthood (18-24)",worksheet[[#This Row],[age]]&lt; 35,"2. Early Adulthood (25-34)",worksheet[[#This Row],[age]]&lt; 45,"3. Mid Adulthood (35-44)",worksheet[[#This Row],[age]]&lt; 55,"4. Mature Adulthood (45-54)",TRUE,"5. Late Adulthood/Senior (55+)")</f>
        <v>2. Early Adulthood (25-34)</v>
      </c>
      <c r="D1358" t="s">
        <v>27</v>
      </c>
      <c r="E1358" t="s">
        <v>22</v>
      </c>
      <c r="F1358" s="4">
        <v>11.94</v>
      </c>
      <c r="G1358" s="5">
        <v>1</v>
      </c>
      <c r="H1358" t="s">
        <v>33</v>
      </c>
      <c r="I1358" t="s">
        <v>57</v>
      </c>
      <c r="J1358" s="6">
        <v>13.99</v>
      </c>
      <c r="K1358">
        <v>0</v>
      </c>
      <c r="L1358" t="s">
        <v>29</v>
      </c>
      <c r="M1358" s="5">
        <v>2</v>
      </c>
      <c r="N1358" s="4">
        <v>5.97</v>
      </c>
      <c r="O1358" t="s">
        <v>47</v>
      </c>
    </row>
    <row r="1359" spans="1:15" x14ac:dyDescent="0.3">
      <c r="A1359" t="s">
        <v>4149</v>
      </c>
      <c r="B1359" s="5">
        <v>31</v>
      </c>
      <c r="C1359" s="5" t="str" cm="1">
        <f t="array" ref="C1359">_xlfn.IFS(worksheet[[#This Row],[age]]&lt;25,"1. Young Adulthood (18-24)",worksheet[[#This Row],[age]]&lt; 35,"2. Early Adulthood (25-34)",worksheet[[#This Row],[age]]&lt; 45,"3. Mid Adulthood (35-44)",worksheet[[#This Row],[age]]&lt; 55,"4. Mature Adulthood (45-54)",TRUE,"5. Late Adulthood/Senior (55+)")</f>
        <v>2. Early Adulthood (25-34)</v>
      </c>
      <c r="D1359" t="s">
        <v>15</v>
      </c>
      <c r="E1359" t="s">
        <v>16</v>
      </c>
      <c r="F1359" s="4">
        <v>7.46</v>
      </c>
      <c r="G1359" s="5">
        <v>45</v>
      </c>
      <c r="H1359" t="s">
        <v>33</v>
      </c>
      <c r="I1359" t="s">
        <v>24</v>
      </c>
      <c r="J1359" s="6">
        <v>8.99</v>
      </c>
      <c r="K1359">
        <v>1</v>
      </c>
      <c r="L1359" t="s">
        <v>61</v>
      </c>
      <c r="M1359" s="5">
        <v>2</v>
      </c>
      <c r="N1359" s="4">
        <v>0.16</v>
      </c>
      <c r="O1359" t="s">
        <v>20</v>
      </c>
    </row>
    <row r="1360" spans="1:15" x14ac:dyDescent="0.3">
      <c r="A1360" t="s">
        <v>4150</v>
      </c>
      <c r="B1360" s="5">
        <v>18</v>
      </c>
      <c r="C1360" s="5" t="str" cm="1">
        <f t="array" ref="C1360">_xlfn.IFS(worksheet[[#This Row],[age]]&lt;25,"1. Young Adulthood (18-24)",worksheet[[#This Row],[age]]&lt; 35,"2. Early Adulthood (25-34)",worksheet[[#This Row],[age]]&lt; 45,"3. Mid Adulthood (35-44)",worksheet[[#This Row],[age]]&lt; 55,"4. Mature Adulthood (45-54)",TRUE,"5. Late Adulthood/Senior (55+)")</f>
        <v>1. Young Adulthood (18-24)</v>
      </c>
      <c r="D1360" t="s">
        <v>27</v>
      </c>
      <c r="E1360" t="s">
        <v>22</v>
      </c>
      <c r="F1360" s="4">
        <v>25.19</v>
      </c>
      <c r="G1360" s="5">
        <v>11</v>
      </c>
      <c r="H1360" t="s">
        <v>70</v>
      </c>
      <c r="I1360" t="s">
        <v>18</v>
      </c>
      <c r="J1360" s="6">
        <v>13.99</v>
      </c>
      <c r="K1360">
        <v>0</v>
      </c>
      <c r="L1360" t="s">
        <v>43</v>
      </c>
      <c r="M1360" s="5">
        <v>1</v>
      </c>
      <c r="N1360" s="4">
        <v>2.1</v>
      </c>
      <c r="O1360" t="s">
        <v>34</v>
      </c>
    </row>
    <row r="1361" spans="1:15" x14ac:dyDescent="0.3">
      <c r="A1361" t="s">
        <v>4151</v>
      </c>
      <c r="B1361" s="5">
        <v>30</v>
      </c>
      <c r="C1361" s="5" t="str" cm="1">
        <f t="array" ref="C1361">_xlfn.IFS(worksheet[[#This Row],[age]]&lt;25,"1. Young Adulthood (18-24)",worksheet[[#This Row],[age]]&lt; 35,"2. Early Adulthood (25-34)",worksheet[[#This Row],[age]]&lt; 45,"3. Mid Adulthood (35-44)",worksheet[[#This Row],[age]]&lt; 55,"4. Mature Adulthood (45-54)",TRUE,"5. Late Adulthood/Senior (55+)")</f>
        <v>2. Early Adulthood (25-34)</v>
      </c>
      <c r="D1361" t="s">
        <v>27</v>
      </c>
      <c r="E1361" t="s">
        <v>16</v>
      </c>
      <c r="F1361" s="4">
        <v>2.99</v>
      </c>
      <c r="G1361" s="5">
        <v>51</v>
      </c>
      <c r="H1361" t="s">
        <v>23</v>
      </c>
      <c r="I1361" t="s">
        <v>46</v>
      </c>
      <c r="J1361" s="6">
        <v>8.99</v>
      </c>
      <c r="K1361">
        <v>1</v>
      </c>
      <c r="L1361" t="s">
        <v>61</v>
      </c>
      <c r="M1361" s="5">
        <v>4</v>
      </c>
      <c r="N1361" s="4">
        <v>0.06</v>
      </c>
      <c r="O1361" t="s">
        <v>34</v>
      </c>
    </row>
    <row r="1362" spans="1:15" x14ac:dyDescent="0.3">
      <c r="A1362" t="s">
        <v>4153</v>
      </c>
      <c r="B1362" s="5">
        <v>24</v>
      </c>
      <c r="C1362" s="5" t="str" cm="1">
        <f t="array" ref="C1362">_xlfn.IFS(worksheet[[#This Row],[age]]&lt;25,"1. Young Adulthood (18-24)",worksheet[[#This Row],[age]]&lt; 35,"2. Early Adulthood (25-34)",worksheet[[#This Row],[age]]&lt; 45,"3. Mid Adulthood (35-44)",worksheet[[#This Row],[age]]&lt; 55,"4. Mature Adulthood (45-54)",TRUE,"5. Late Adulthood/Senior (55+)")</f>
        <v>1. Young Adulthood (18-24)</v>
      </c>
      <c r="D1362" t="s">
        <v>41</v>
      </c>
      <c r="E1362" t="s">
        <v>16</v>
      </c>
      <c r="F1362" s="4">
        <v>9.34</v>
      </c>
      <c r="G1362" s="5">
        <v>17</v>
      </c>
      <c r="H1362" t="s">
        <v>28</v>
      </c>
      <c r="I1362" t="s">
        <v>18</v>
      </c>
      <c r="J1362" s="6">
        <v>8.99</v>
      </c>
      <c r="K1362">
        <v>0</v>
      </c>
      <c r="L1362" t="s">
        <v>43</v>
      </c>
      <c r="M1362" s="5">
        <v>4</v>
      </c>
      <c r="N1362" s="4">
        <v>0.52</v>
      </c>
      <c r="O1362" t="s">
        <v>25</v>
      </c>
    </row>
    <row r="1363" spans="1:15" x14ac:dyDescent="0.3">
      <c r="A1363" t="s">
        <v>4162</v>
      </c>
      <c r="B1363" s="5">
        <v>23</v>
      </c>
      <c r="C1363" s="5" t="str" cm="1">
        <f t="array" ref="C1363">_xlfn.IFS(worksheet[[#This Row],[age]]&lt;25,"1. Young Adulthood (18-24)",worksheet[[#This Row],[age]]&lt; 35,"2. Early Adulthood (25-34)",worksheet[[#This Row],[age]]&lt; 45,"3. Mid Adulthood (35-44)",worksheet[[#This Row],[age]]&lt; 55,"4. Mature Adulthood (45-54)",TRUE,"5. Late Adulthood/Senior (55+)")</f>
        <v>1. Young Adulthood (18-24)</v>
      </c>
      <c r="D1363" t="s">
        <v>41</v>
      </c>
      <c r="E1363" t="s">
        <v>22</v>
      </c>
      <c r="F1363" s="4">
        <v>22.05</v>
      </c>
      <c r="G1363" s="5">
        <v>53</v>
      </c>
      <c r="H1363" t="s">
        <v>49</v>
      </c>
      <c r="I1363" t="s">
        <v>46</v>
      </c>
      <c r="J1363" s="6">
        <v>13.99</v>
      </c>
      <c r="K1363">
        <v>0</v>
      </c>
      <c r="L1363" t="s">
        <v>37</v>
      </c>
      <c r="M1363" s="5">
        <v>3</v>
      </c>
      <c r="N1363" s="4">
        <v>0.41</v>
      </c>
      <c r="O1363" t="s">
        <v>20</v>
      </c>
    </row>
    <row r="1364" spans="1:15" x14ac:dyDescent="0.3">
      <c r="A1364" t="s">
        <v>4164</v>
      </c>
      <c r="B1364" s="5">
        <v>27</v>
      </c>
      <c r="C1364" s="5" t="str" cm="1">
        <f t="array" ref="C1364">_xlfn.IFS(worksheet[[#This Row],[age]]&lt;25,"1. Young Adulthood (18-24)",worksheet[[#This Row],[age]]&lt; 35,"2. Early Adulthood (25-34)",worksheet[[#This Row],[age]]&lt; 45,"3. Mid Adulthood (35-44)",worksheet[[#This Row],[age]]&lt; 55,"4. Mature Adulthood (45-54)",TRUE,"5. Late Adulthood/Senior (55+)")</f>
        <v>2. Early Adulthood (25-34)</v>
      </c>
      <c r="D1364" t="s">
        <v>27</v>
      </c>
      <c r="E1364" t="s">
        <v>22</v>
      </c>
      <c r="F1364" s="4">
        <v>2.62</v>
      </c>
      <c r="G1364" s="5">
        <v>10</v>
      </c>
      <c r="H1364" t="s">
        <v>49</v>
      </c>
      <c r="I1364" t="s">
        <v>55</v>
      </c>
      <c r="J1364" s="6">
        <v>13.99</v>
      </c>
      <c r="K1364">
        <v>1</v>
      </c>
      <c r="L1364" t="s">
        <v>29</v>
      </c>
      <c r="M1364" s="5">
        <v>4</v>
      </c>
      <c r="N1364" s="4">
        <v>0.24</v>
      </c>
      <c r="O1364" t="s">
        <v>20</v>
      </c>
    </row>
    <row r="1365" spans="1:15" x14ac:dyDescent="0.3">
      <c r="A1365" t="s">
        <v>4169</v>
      </c>
      <c r="B1365" s="5">
        <v>25</v>
      </c>
      <c r="C1365" s="5" t="str" cm="1">
        <f t="array" ref="C1365">_xlfn.IFS(worksheet[[#This Row],[age]]&lt;25,"1. Young Adulthood (18-24)",worksheet[[#This Row],[age]]&lt; 35,"2. Early Adulthood (25-34)",worksheet[[#This Row],[age]]&lt; 45,"3. Mid Adulthood (35-44)",worksheet[[#This Row],[age]]&lt; 55,"4. Mature Adulthood (45-54)",TRUE,"5. Late Adulthood/Senior (55+)")</f>
        <v>2. Early Adulthood (25-34)</v>
      </c>
      <c r="D1365" t="s">
        <v>15</v>
      </c>
      <c r="E1365" t="s">
        <v>22</v>
      </c>
      <c r="F1365" s="4">
        <v>1.7</v>
      </c>
      <c r="G1365" s="5">
        <v>21</v>
      </c>
      <c r="H1365" t="s">
        <v>33</v>
      </c>
      <c r="I1365" t="s">
        <v>18</v>
      </c>
      <c r="J1365" s="6">
        <v>13.99</v>
      </c>
      <c r="K1365">
        <v>1</v>
      </c>
      <c r="L1365" t="s">
        <v>43</v>
      </c>
      <c r="M1365" s="5">
        <v>3</v>
      </c>
      <c r="N1365" s="4">
        <v>0.08</v>
      </c>
      <c r="O1365" t="s">
        <v>30</v>
      </c>
    </row>
    <row r="1366" spans="1:15" x14ac:dyDescent="0.3">
      <c r="A1366" t="s">
        <v>4170</v>
      </c>
      <c r="B1366" s="5">
        <v>32</v>
      </c>
      <c r="C1366" s="5" t="str" cm="1">
        <f t="array" ref="C1366">_xlfn.IFS(worksheet[[#This Row],[age]]&lt;25,"1. Young Adulthood (18-24)",worksheet[[#This Row],[age]]&lt; 35,"2. Early Adulthood (25-34)",worksheet[[#This Row],[age]]&lt; 45,"3. Mid Adulthood (35-44)",worksheet[[#This Row],[age]]&lt; 55,"4. Mature Adulthood (45-54)",TRUE,"5. Late Adulthood/Senior (55+)")</f>
        <v>2. Early Adulthood (25-34)</v>
      </c>
      <c r="D1366" t="s">
        <v>41</v>
      </c>
      <c r="E1366" t="s">
        <v>32</v>
      </c>
      <c r="F1366" s="4">
        <v>30.07</v>
      </c>
      <c r="G1366" s="5">
        <v>24</v>
      </c>
      <c r="H1366" t="s">
        <v>49</v>
      </c>
      <c r="I1366" t="s">
        <v>24</v>
      </c>
      <c r="J1366" s="6">
        <v>17.989999999999998</v>
      </c>
      <c r="K1366">
        <v>0</v>
      </c>
      <c r="L1366" t="s">
        <v>37</v>
      </c>
      <c r="M1366" s="5">
        <v>3</v>
      </c>
      <c r="N1366" s="4">
        <v>1.2</v>
      </c>
      <c r="O1366" t="s">
        <v>52</v>
      </c>
    </row>
    <row r="1367" spans="1:15" x14ac:dyDescent="0.3">
      <c r="A1367" t="s">
        <v>4171</v>
      </c>
      <c r="B1367" s="5">
        <v>32</v>
      </c>
      <c r="C1367" s="5" t="str" cm="1">
        <f t="array" ref="C1367">_xlfn.IFS(worksheet[[#This Row],[age]]&lt;25,"1. Young Adulthood (18-24)",worksheet[[#This Row],[age]]&lt; 35,"2. Early Adulthood (25-34)",worksheet[[#This Row],[age]]&lt; 45,"3. Mid Adulthood (35-44)",worksheet[[#This Row],[age]]&lt; 55,"4. Mature Adulthood (45-54)",TRUE,"5. Late Adulthood/Senior (55+)")</f>
        <v>2. Early Adulthood (25-34)</v>
      </c>
      <c r="D1367" t="s">
        <v>15</v>
      </c>
      <c r="E1367" t="s">
        <v>16</v>
      </c>
      <c r="F1367" s="4">
        <v>8.94</v>
      </c>
      <c r="G1367" s="5">
        <v>24</v>
      </c>
      <c r="H1367" t="s">
        <v>33</v>
      </c>
      <c r="I1367" t="s">
        <v>57</v>
      </c>
      <c r="J1367" s="6">
        <v>8.99</v>
      </c>
      <c r="K1367">
        <v>1</v>
      </c>
      <c r="L1367" t="s">
        <v>29</v>
      </c>
      <c r="M1367" s="5">
        <v>3</v>
      </c>
      <c r="N1367" s="4">
        <v>0.36</v>
      </c>
      <c r="O1367" t="s">
        <v>30</v>
      </c>
    </row>
    <row r="1368" spans="1:15" x14ac:dyDescent="0.3">
      <c r="A1368" t="s">
        <v>4173</v>
      </c>
      <c r="B1368" s="5">
        <v>20</v>
      </c>
      <c r="C1368" s="5" t="str" cm="1">
        <f t="array" ref="C1368">_xlfn.IFS(worksheet[[#This Row],[age]]&lt;25,"1. Young Adulthood (18-24)",worksheet[[#This Row],[age]]&lt; 35,"2. Early Adulthood (25-34)",worksheet[[#This Row],[age]]&lt; 45,"3. Mid Adulthood (35-44)",worksheet[[#This Row],[age]]&lt; 55,"4. Mature Adulthood (45-54)",TRUE,"5. Late Adulthood/Senior (55+)")</f>
        <v>1. Young Adulthood (18-24)</v>
      </c>
      <c r="D1368" t="s">
        <v>27</v>
      </c>
      <c r="E1368" t="s">
        <v>16</v>
      </c>
      <c r="F1368" s="4">
        <v>1.98</v>
      </c>
      <c r="G1368" s="5">
        <v>2</v>
      </c>
      <c r="H1368" t="s">
        <v>28</v>
      </c>
      <c r="I1368" t="s">
        <v>57</v>
      </c>
      <c r="J1368" s="6">
        <v>8.99</v>
      </c>
      <c r="K1368">
        <v>1</v>
      </c>
      <c r="L1368" t="s">
        <v>29</v>
      </c>
      <c r="M1368" s="5">
        <v>1</v>
      </c>
      <c r="N1368" s="4">
        <v>0.66</v>
      </c>
      <c r="O1368" t="s">
        <v>25</v>
      </c>
    </row>
    <row r="1369" spans="1:15" x14ac:dyDescent="0.3">
      <c r="A1369" t="s">
        <v>4177</v>
      </c>
      <c r="B1369" s="5">
        <v>25</v>
      </c>
      <c r="C1369" s="5" t="str" cm="1">
        <f t="array" ref="C1369">_xlfn.IFS(worksheet[[#This Row],[age]]&lt;25,"1. Young Adulthood (18-24)",worksheet[[#This Row],[age]]&lt; 35,"2. Early Adulthood (25-34)",worksheet[[#This Row],[age]]&lt; 45,"3. Mid Adulthood (35-44)",worksheet[[#This Row],[age]]&lt; 55,"4. Mature Adulthood (45-54)",TRUE,"5. Late Adulthood/Senior (55+)")</f>
        <v>2. Early Adulthood (25-34)</v>
      </c>
      <c r="D1369" t="s">
        <v>15</v>
      </c>
      <c r="E1369" t="s">
        <v>16</v>
      </c>
      <c r="F1369" s="4">
        <v>2.2000000000000002</v>
      </c>
      <c r="G1369" s="5">
        <v>55</v>
      </c>
      <c r="H1369" t="s">
        <v>70</v>
      </c>
      <c r="I1369" t="s">
        <v>57</v>
      </c>
      <c r="J1369" s="6">
        <v>8.99</v>
      </c>
      <c r="K1369">
        <v>1</v>
      </c>
      <c r="L1369" t="s">
        <v>19</v>
      </c>
      <c r="M1369" s="5">
        <v>4</v>
      </c>
      <c r="N1369" s="4">
        <v>0.04</v>
      </c>
      <c r="O1369" t="s">
        <v>39</v>
      </c>
    </row>
    <row r="1370" spans="1:15" x14ac:dyDescent="0.3">
      <c r="A1370" t="s">
        <v>4183</v>
      </c>
      <c r="B1370" s="5">
        <v>20</v>
      </c>
      <c r="C1370" s="5" t="str" cm="1">
        <f t="array" ref="C1370">_xlfn.IFS(worksheet[[#This Row],[age]]&lt;25,"1. Young Adulthood (18-24)",worksheet[[#This Row],[age]]&lt; 35,"2. Early Adulthood (25-34)",worksheet[[#This Row],[age]]&lt; 45,"3. Mid Adulthood (35-44)",worksheet[[#This Row],[age]]&lt; 55,"4. Mature Adulthood (45-54)",TRUE,"5. Late Adulthood/Senior (55+)")</f>
        <v>1. Young Adulthood (18-24)</v>
      </c>
      <c r="D1370" t="s">
        <v>15</v>
      </c>
      <c r="E1370" t="s">
        <v>22</v>
      </c>
      <c r="F1370" s="4">
        <v>2</v>
      </c>
      <c r="G1370" s="5">
        <v>24</v>
      </c>
      <c r="H1370" t="s">
        <v>23</v>
      </c>
      <c r="I1370" t="s">
        <v>57</v>
      </c>
      <c r="J1370" s="6">
        <v>13.99</v>
      </c>
      <c r="K1370">
        <v>1</v>
      </c>
      <c r="L1370" t="s">
        <v>61</v>
      </c>
      <c r="M1370" s="5">
        <v>2</v>
      </c>
      <c r="N1370" s="4">
        <v>0.08</v>
      </c>
      <c r="O1370" t="s">
        <v>20</v>
      </c>
    </row>
    <row r="1371" spans="1:15" x14ac:dyDescent="0.3">
      <c r="A1371" t="s">
        <v>4184</v>
      </c>
      <c r="B1371" s="5">
        <v>23</v>
      </c>
      <c r="C1371" s="5" t="str" cm="1">
        <f t="array" ref="C1371">_xlfn.IFS(worksheet[[#This Row],[age]]&lt;25,"1. Young Adulthood (18-24)",worksheet[[#This Row],[age]]&lt; 35,"2. Early Adulthood (25-34)",worksheet[[#This Row],[age]]&lt; 45,"3. Mid Adulthood (35-44)",worksheet[[#This Row],[age]]&lt; 55,"4. Mature Adulthood (45-54)",TRUE,"5. Late Adulthood/Senior (55+)")</f>
        <v>1. Young Adulthood (18-24)</v>
      </c>
      <c r="D1371" t="s">
        <v>27</v>
      </c>
      <c r="E1371" t="s">
        <v>16</v>
      </c>
      <c r="F1371" s="4">
        <v>3.03</v>
      </c>
      <c r="G1371" s="5">
        <v>45</v>
      </c>
      <c r="H1371" t="s">
        <v>17</v>
      </c>
      <c r="I1371" t="s">
        <v>46</v>
      </c>
      <c r="J1371" s="6">
        <v>8.99</v>
      </c>
      <c r="K1371">
        <v>1</v>
      </c>
      <c r="L1371" t="s">
        <v>37</v>
      </c>
      <c r="M1371" s="5">
        <v>3</v>
      </c>
      <c r="N1371" s="4">
        <v>7.0000000000000007E-2</v>
      </c>
      <c r="O1371" t="s">
        <v>30</v>
      </c>
    </row>
    <row r="1372" spans="1:15" x14ac:dyDescent="0.3">
      <c r="A1372" t="s">
        <v>4186</v>
      </c>
      <c r="B1372" s="5">
        <v>19</v>
      </c>
      <c r="C1372" s="5" t="str" cm="1">
        <f t="array" ref="C1372">_xlfn.IFS(worksheet[[#This Row],[age]]&lt;25,"1. Young Adulthood (18-24)",worksheet[[#This Row],[age]]&lt; 35,"2. Early Adulthood (25-34)",worksheet[[#This Row],[age]]&lt; 45,"3. Mid Adulthood (35-44)",worksheet[[#This Row],[age]]&lt; 55,"4. Mature Adulthood (45-54)",TRUE,"5. Late Adulthood/Senior (55+)")</f>
        <v>1. Young Adulthood (18-24)</v>
      </c>
      <c r="D1372" t="s">
        <v>15</v>
      </c>
      <c r="E1372" t="s">
        <v>32</v>
      </c>
      <c r="F1372" s="4">
        <v>3.81</v>
      </c>
      <c r="G1372" s="5">
        <v>45</v>
      </c>
      <c r="H1372" t="s">
        <v>33</v>
      </c>
      <c r="I1372" t="s">
        <v>18</v>
      </c>
      <c r="J1372" s="6">
        <v>17.989999999999998</v>
      </c>
      <c r="K1372">
        <v>1</v>
      </c>
      <c r="L1372" t="s">
        <v>37</v>
      </c>
      <c r="M1372" s="5">
        <v>3</v>
      </c>
      <c r="N1372" s="4">
        <v>0.08</v>
      </c>
      <c r="O1372" t="s">
        <v>52</v>
      </c>
    </row>
    <row r="1373" spans="1:15" x14ac:dyDescent="0.3">
      <c r="A1373" t="s">
        <v>4187</v>
      </c>
      <c r="B1373" s="5">
        <v>34</v>
      </c>
      <c r="C1373" s="5" t="str" cm="1">
        <f t="array" ref="C1373">_xlfn.IFS(worksheet[[#This Row],[age]]&lt;25,"1. Young Adulthood (18-24)",worksheet[[#This Row],[age]]&lt; 35,"2. Early Adulthood (25-34)",worksheet[[#This Row],[age]]&lt; 45,"3. Mid Adulthood (35-44)",worksheet[[#This Row],[age]]&lt; 55,"4. Mature Adulthood (45-54)",TRUE,"5. Late Adulthood/Senior (55+)")</f>
        <v>2. Early Adulthood (25-34)</v>
      </c>
      <c r="D1373" t="s">
        <v>15</v>
      </c>
      <c r="E1373" t="s">
        <v>22</v>
      </c>
      <c r="F1373" s="4">
        <v>12.44</v>
      </c>
      <c r="G1373" s="5">
        <v>59</v>
      </c>
      <c r="H1373" t="s">
        <v>28</v>
      </c>
      <c r="I1373" t="s">
        <v>18</v>
      </c>
      <c r="J1373" s="6">
        <v>13.99</v>
      </c>
      <c r="K1373">
        <v>0</v>
      </c>
      <c r="L1373" t="s">
        <v>61</v>
      </c>
      <c r="M1373" s="5">
        <v>4</v>
      </c>
      <c r="N1373" s="4">
        <v>0.21</v>
      </c>
      <c r="O1373" t="s">
        <v>30</v>
      </c>
    </row>
    <row r="1374" spans="1:15" x14ac:dyDescent="0.3">
      <c r="A1374" t="s">
        <v>4190</v>
      </c>
      <c r="B1374" s="5">
        <v>32</v>
      </c>
      <c r="C1374" s="5" t="str" cm="1">
        <f t="array" ref="C1374">_xlfn.IFS(worksheet[[#This Row],[age]]&lt;25,"1. Young Adulthood (18-24)",worksheet[[#This Row],[age]]&lt; 35,"2. Early Adulthood (25-34)",worksheet[[#This Row],[age]]&lt; 45,"3. Mid Adulthood (35-44)",worksheet[[#This Row],[age]]&lt; 55,"4. Mature Adulthood (45-54)",TRUE,"5. Late Adulthood/Senior (55+)")</f>
        <v>2. Early Adulthood (25-34)</v>
      </c>
      <c r="D1374" t="s">
        <v>41</v>
      </c>
      <c r="E1374" t="s">
        <v>16</v>
      </c>
      <c r="F1374" s="4">
        <v>24.51</v>
      </c>
      <c r="G1374" s="5">
        <v>50</v>
      </c>
      <c r="H1374" t="s">
        <v>17</v>
      </c>
      <c r="I1374" t="s">
        <v>46</v>
      </c>
      <c r="J1374" s="6">
        <v>8.99</v>
      </c>
      <c r="K1374">
        <v>1</v>
      </c>
      <c r="L1374" t="s">
        <v>43</v>
      </c>
      <c r="M1374" s="5">
        <v>3</v>
      </c>
      <c r="N1374" s="4">
        <v>0.48</v>
      </c>
      <c r="O1374" t="s">
        <v>39</v>
      </c>
    </row>
    <row r="1375" spans="1:15" x14ac:dyDescent="0.3">
      <c r="A1375" t="s">
        <v>4191</v>
      </c>
      <c r="B1375" s="5">
        <v>30</v>
      </c>
      <c r="C1375" s="5" t="str" cm="1">
        <f t="array" ref="C1375">_xlfn.IFS(worksheet[[#This Row],[age]]&lt;25,"1. Young Adulthood (18-24)",worksheet[[#This Row],[age]]&lt; 35,"2. Early Adulthood (25-34)",worksheet[[#This Row],[age]]&lt; 45,"3. Mid Adulthood (35-44)",worksheet[[#This Row],[age]]&lt; 55,"4. Mature Adulthood (45-54)",TRUE,"5. Late Adulthood/Senior (55+)")</f>
        <v>2. Early Adulthood (25-34)</v>
      </c>
      <c r="D1375" t="s">
        <v>41</v>
      </c>
      <c r="E1375" t="s">
        <v>32</v>
      </c>
      <c r="F1375" s="4">
        <v>5.12</v>
      </c>
      <c r="G1375" s="5">
        <v>59</v>
      </c>
      <c r="H1375" t="s">
        <v>23</v>
      </c>
      <c r="I1375" t="s">
        <v>24</v>
      </c>
      <c r="J1375" s="6">
        <v>17.989999999999998</v>
      </c>
      <c r="K1375">
        <v>1</v>
      </c>
      <c r="L1375" t="s">
        <v>43</v>
      </c>
      <c r="M1375" s="5">
        <v>1</v>
      </c>
      <c r="N1375" s="4">
        <v>0.09</v>
      </c>
      <c r="O1375" t="s">
        <v>20</v>
      </c>
    </row>
    <row r="1376" spans="1:15" x14ac:dyDescent="0.3">
      <c r="A1376" t="s">
        <v>4197</v>
      </c>
      <c r="B1376" s="5">
        <v>18</v>
      </c>
      <c r="C1376" s="5" t="str" cm="1">
        <f t="array" ref="C1376">_xlfn.IFS(worksheet[[#This Row],[age]]&lt;25,"1. Young Adulthood (18-24)",worksheet[[#This Row],[age]]&lt; 35,"2. Early Adulthood (25-34)",worksheet[[#This Row],[age]]&lt; 45,"3. Mid Adulthood (35-44)",worksheet[[#This Row],[age]]&lt; 55,"4. Mature Adulthood (45-54)",TRUE,"5. Late Adulthood/Senior (55+)")</f>
        <v>1. Young Adulthood (18-24)</v>
      </c>
      <c r="D1376" t="s">
        <v>15</v>
      </c>
      <c r="E1376" t="s">
        <v>32</v>
      </c>
      <c r="F1376" s="4">
        <v>4.12</v>
      </c>
      <c r="G1376" s="5">
        <v>47</v>
      </c>
      <c r="H1376" t="s">
        <v>23</v>
      </c>
      <c r="I1376" t="s">
        <v>24</v>
      </c>
      <c r="J1376" s="6">
        <v>17.989999999999998</v>
      </c>
      <c r="K1376">
        <v>1</v>
      </c>
      <c r="L1376" t="s">
        <v>37</v>
      </c>
      <c r="M1376" s="5">
        <v>3</v>
      </c>
      <c r="N1376" s="4">
        <v>0.09</v>
      </c>
      <c r="O1376" t="s">
        <v>39</v>
      </c>
    </row>
    <row r="1377" spans="1:15" x14ac:dyDescent="0.3">
      <c r="A1377" t="s">
        <v>4206</v>
      </c>
      <c r="B1377" s="5">
        <v>31</v>
      </c>
      <c r="C1377" s="5" t="str" cm="1">
        <f t="array" ref="C1377">_xlfn.IFS(worksheet[[#This Row],[age]]&lt;25,"1. Young Adulthood (18-24)",worksheet[[#This Row],[age]]&lt; 35,"2. Early Adulthood (25-34)",worksheet[[#This Row],[age]]&lt; 45,"3. Mid Adulthood (35-44)",worksheet[[#This Row],[age]]&lt; 55,"4. Mature Adulthood (45-54)",TRUE,"5. Late Adulthood/Senior (55+)")</f>
        <v>2. Early Adulthood (25-34)</v>
      </c>
      <c r="D1377" t="s">
        <v>15</v>
      </c>
      <c r="E1377" t="s">
        <v>22</v>
      </c>
      <c r="F1377" s="4">
        <v>0.68</v>
      </c>
      <c r="G1377" s="5">
        <v>58</v>
      </c>
      <c r="H1377" t="s">
        <v>49</v>
      </c>
      <c r="I1377" t="s">
        <v>18</v>
      </c>
      <c r="J1377" s="6">
        <v>13.99</v>
      </c>
      <c r="K1377">
        <v>1</v>
      </c>
      <c r="L1377" t="s">
        <v>19</v>
      </c>
      <c r="M1377" s="5">
        <v>5</v>
      </c>
      <c r="N1377" s="4">
        <v>0.01</v>
      </c>
      <c r="O1377" t="s">
        <v>30</v>
      </c>
    </row>
    <row r="1378" spans="1:15" x14ac:dyDescent="0.3">
      <c r="A1378" t="s">
        <v>4209</v>
      </c>
      <c r="B1378" s="5">
        <v>20</v>
      </c>
      <c r="C1378" s="5" t="str" cm="1">
        <f t="array" ref="C1378">_xlfn.IFS(worksheet[[#This Row],[age]]&lt;25,"1. Young Adulthood (18-24)",worksheet[[#This Row],[age]]&lt; 35,"2. Early Adulthood (25-34)",worksheet[[#This Row],[age]]&lt; 45,"3. Mid Adulthood (35-44)",worksheet[[#This Row],[age]]&lt; 55,"4. Mature Adulthood (45-54)",TRUE,"5. Late Adulthood/Senior (55+)")</f>
        <v>1. Young Adulthood (18-24)</v>
      </c>
      <c r="D1378" t="s">
        <v>41</v>
      </c>
      <c r="E1378" t="s">
        <v>16</v>
      </c>
      <c r="F1378" s="4">
        <v>24.77</v>
      </c>
      <c r="G1378" s="5">
        <v>55</v>
      </c>
      <c r="H1378" t="s">
        <v>70</v>
      </c>
      <c r="I1378" t="s">
        <v>24</v>
      </c>
      <c r="J1378" s="6">
        <v>8.99</v>
      </c>
      <c r="K1378">
        <v>0</v>
      </c>
      <c r="L1378" t="s">
        <v>37</v>
      </c>
      <c r="M1378" s="5">
        <v>4</v>
      </c>
      <c r="N1378" s="4">
        <v>0.44</v>
      </c>
      <c r="O1378" t="s">
        <v>52</v>
      </c>
    </row>
    <row r="1379" spans="1:15" x14ac:dyDescent="0.3">
      <c r="A1379" t="s">
        <v>4212</v>
      </c>
      <c r="B1379" s="5">
        <v>21</v>
      </c>
      <c r="C1379" s="5" t="str" cm="1">
        <f t="array" ref="C1379">_xlfn.IFS(worksheet[[#This Row],[age]]&lt;25,"1. Young Adulthood (18-24)",worksheet[[#This Row],[age]]&lt; 35,"2. Early Adulthood (25-34)",worksheet[[#This Row],[age]]&lt; 45,"3. Mid Adulthood (35-44)",worksheet[[#This Row],[age]]&lt; 55,"4. Mature Adulthood (45-54)",TRUE,"5. Late Adulthood/Senior (55+)")</f>
        <v>1. Young Adulthood (18-24)</v>
      </c>
      <c r="D1379" t="s">
        <v>15</v>
      </c>
      <c r="E1379" t="s">
        <v>16</v>
      </c>
      <c r="F1379" s="4">
        <v>0.54</v>
      </c>
      <c r="G1379" s="5">
        <v>36</v>
      </c>
      <c r="H1379" t="s">
        <v>28</v>
      </c>
      <c r="I1379" t="s">
        <v>18</v>
      </c>
      <c r="J1379" s="6">
        <v>8.99</v>
      </c>
      <c r="K1379">
        <v>1</v>
      </c>
      <c r="L1379" t="s">
        <v>61</v>
      </c>
      <c r="M1379" s="5">
        <v>2</v>
      </c>
      <c r="N1379" s="4">
        <v>0.01</v>
      </c>
      <c r="O1379" t="s">
        <v>25</v>
      </c>
    </row>
    <row r="1380" spans="1:15" x14ac:dyDescent="0.3">
      <c r="A1380" t="s">
        <v>4214</v>
      </c>
      <c r="B1380" s="5">
        <v>34</v>
      </c>
      <c r="C1380" s="5" t="str" cm="1">
        <f t="array" ref="C1380">_xlfn.IFS(worksheet[[#This Row],[age]]&lt;25,"1. Young Adulthood (18-24)",worksheet[[#This Row],[age]]&lt; 35,"2. Early Adulthood (25-34)",worksheet[[#This Row],[age]]&lt; 45,"3. Mid Adulthood (35-44)",worksheet[[#This Row],[age]]&lt; 55,"4. Mature Adulthood (45-54)",TRUE,"5. Late Adulthood/Senior (55+)")</f>
        <v>2. Early Adulthood (25-34)</v>
      </c>
      <c r="D1380" t="s">
        <v>15</v>
      </c>
      <c r="E1380" t="s">
        <v>22</v>
      </c>
      <c r="F1380" s="4">
        <v>1.34</v>
      </c>
      <c r="G1380" s="5">
        <v>28</v>
      </c>
      <c r="H1380" t="s">
        <v>17</v>
      </c>
      <c r="I1380" t="s">
        <v>55</v>
      </c>
      <c r="J1380" s="6">
        <v>13.99</v>
      </c>
      <c r="K1380">
        <v>1</v>
      </c>
      <c r="L1380" t="s">
        <v>29</v>
      </c>
      <c r="M1380" s="5">
        <v>3</v>
      </c>
      <c r="N1380" s="4">
        <v>0.05</v>
      </c>
      <c r="O1380" t="s">
        <v>52</v>
      </c>
    </row>
    <row r="1381" spans="1:15" x14ac:dyDescent="0.3">
      <c r="A1381" t="s">
        <v>4215</v>
      </c>
      <c r="B1381" s="5">
        <v>27</v>
      </c>
      <c r="C1381" s="5" t="str" cm="1">
        <f t="array" ref="C1381">_xlfn.IFS(worksheet[[#This Row],[age]]&lt;25,"1. Young Adulthood (18-24)",worksheet[[#This Row],[age]]&lt; 35,"2. Early Adulthood (25-34)",worksheet[[#This Row],[age]]&lt; 45,"3. Mid Adulthood (35-44)",worksheet[[#This Row],[age]]&lt; 55,"4. Mature Adulthood (45-54)",TRUE,"5. Late Adulthood/Senior (55+)")</f>
        <v>2. Early Adulthood (25-34)</v>
      </c>
      <c r="D1381" t="s">
        <v>15</v>
      </c>
      <c r="E1381" t="s">
        <v>32</v>
      </c>
      <c r="F1381" s="4">
        <v>5.07</v>
      </c>
      <c r="G1381" s="5">
        <v>33</v>
      </c>
      <c r="H1381" t="s">
        <v>28</v>
      </c>
      <c r="I1381" t="s">
        <v>55</v>
      </c>
      <c r="J1381" s="6">
        <v>17.989999999999998</v>
      </c>
      <c r="K1381">
        <v>1</v>
      </c>
      <c r="L1381" t="s">
        <v>19</v>
      </c>
      <c r="M1381" s="5">
        <v>3</v>
      </c>
      <c r="N1381" s="4">
        <v>0.15</v>
      </c>
      <c r="O1381" t="s">
        <v>20</v>
      </c>
    </row>
    <row r="1382" spans="1:15" x14ac:dyDescent="0.3">
      <c r="A1382" t="s">
        <v>4220</v>
      </c>
      <c r="B1382" s="5">
        <v>34</v>
      </c>
      <c r="C1382" s="5" t="str" cm="1">
        <f t="array" ref="C1382">_xlfn.IFS(worksheet[[#This Row],[age]]&lt;25,"1. Young Adulthood (18-24)",worksheet[[#This Row],[age]]&lt; 35,"2. Early Adulthood (25-34)",worksheet[[#This Row],[age]]&lt; 45,"3. Mid Adulthood (35-44)",worksheet[[#This Row],[age]]&lt; 55,"4. Mature Adulthood (45-54)",TRUE,"5. Late Adulthood/Senior (55+)")</f>
        <v>2. Early Adulthood (25-34)</v>
      </c>
      <c r="D1382" t="s">
        <v>41</v>
      </c>
      <c r="E1382" t="s">
        <v>22</v>
      </c>
      <c r="F1382" s="4">
        <v>6.79</v>
      </c>
      <c r="G1382" s="5">
        <v>2</v>
      </c>
      <c r="H1382" t="s">
        <v>33</v>
      </c>
      <c r="I1382" t="s">
        <v>24</v>
      </c>
      <c r="J1382" s="6">
        <v>13.99</v>
      </c>
      <c r="K1382">
        <v>0</v>
      </c>
      <c r="L1382" t="s">
        <v>43</v>
      </c>
      <c r="M1382" s="5">
        <v>2</v>
      </c>
      <c r="N1382" s="4">
        <v>2.2599999999999998</v>
      </c>
      <c r="O1382" t="s">
        <v>39</v>
      </c>
    </row>
    <row r="1383" spans="1:15" x14ac:dyDescent="0.3">
      <c r="A1383" t="s">
        <v>4226</v>
      </c>
      <c r="B1383" s="5">
        <v>19</v>
      </c>
      <c r="C1383" s="5" t="str" cm="1">
        <f t="array" ref="C1383">_xlfn.IFS(worksheet[[#This Row],[age]]&lt;25,"1. Young Adulthood (18-24)",worksheet[[#This Row],[age]]&lt; 35,"2. Early Adulthood (25-34)",worksheet[[#This Row],[age]]&lt; 45,"3. Mid Adulthood (35-44)",worksheet[[#This Row],[age]]&lt; 55,"4. Mature Adulthood (45-54)",TRUE,"5. Late Adulthood/Senior (55+)")</f>
        <v>1. Young Adulthood (18-24)</v>
      </c>
      <c r="D1383" t="s">
        <v>15</v>
      </c>
      <c r="E1383" t="s">
        <v>16</v>
      </c>
      <c r="F1383" s="4">
        <v>8.23</v>
      </c>
      <c r="G1383" s="5">
        <v>34</v>
      </c>
      <c r="H1383" t="s">
        <v>28</v>
      </c>
      <c r="I1383" t="s">
        <v>18</v>
      </c>
      <c r="J1383" s="6">
        <v>8.99</v>
      </c>
      <c r="K1383">
        <v>1</v>
      </c>
      <c r="L1383" t="s">
        <v>29</v>
      </c>
      <c r="M1383" s="5">
        <v>3</v>
      </c>
      <c r="N1383" s="4">
        <v>0.24</v>
      </c>
      <c r="O1383" t="s">
        <v>47</v>
      </c>
    </row>
    <row r="1384" spans="1:15" x14ac:dyDescent="0.3">
      <c r="A1384" t="s">
        <v>4232</v>
      </c>
      <c r="B1384" s="5">
        <v>33</v>
      </c>
      <c r="C1384" s="5" t="str" cm="1">
        <f t="array" ref="C1384">_xlfn.IFS(worksheet[[#This Row],[age]]&lt;25,"1. Young Adulthood (18-24)",worksheet[[#This Row],[age]]&lt; 35,"2. Early Adulthood (25-34)",worksheet[[#This Row],[age]]&lt; 45,"3. Mid Adulthood (35-44)",worksheet[[#This Row],[age]]&lt; 55,"4. Mature Adulthood (45-54)",TRUE,"5. Late Adulthood/Senior (55+)")</f>
        <v>2. Early Adulthood (25-34)</v>
      </c>
      <c r="D1384" t="s">
        <v>15</v>
      </c>
      <c r="E1384" t="s">
        <v>32</v>
      </c>
      <c r="F1384" s="4">
        <v>7.79</v>
      </c>
      <c r="G1384" s="5">
        <v>17</v>
      </c>
      <c r="H1384" t="s">
        <v>28</v>
      </c>
      <c r="I1384" t="s">
        <v>55</v>
      </c>
      <c r="J1384" s="6">
        <v>17.989999999999998</v>
      </c>
      <c r="K1384">
        <v>0</v>
      </c>
      <c r="L1384" t="s">
        <v>19</v>
      </c>
      <c r="M1384" s="5">
        <v>3</v>
      </c>
      <c r="N1384" s="4">
        <v>0.43</v>
      </c>
      <c r="O1384" t="s">
        <v>20</v>
      </c>
    </row>
    <row r="1385" spans="1:15" x14ac:dyDescent="0.3">
      <c r="A1385" t="s">
        <v>4239</v>
      </c>
      <c r="B1385" s="5">
        <v>20</v>
      </c>
      <c r="C1385" s="5" t="str" cm="1">
        <f t="array" ref="C1385">_xlfn.IFS(worksheet[[#This Row],[age]]&lt;25,"1. Young Adulthood (18-24)",worksheet[[#This Row],[age]]&lt; 35,"2. Early Adulthood (25-34)",worksheet[[#This Row],[age]]&lt; 45,"3. Mid Adulthood (35-44)",worksheet[[#This Row],[age]]&lt; 55,"4. Mature Adulthood (45-54)",TRUE,"5. Late Adulthood/Senior (55+)")</f>
        <v>1. Young Adulthood (18-24)</v>
      </c>
      <c r="D1385" t="s">
        <v>27</v>
      </c>
      <c r="E1385" t="s">
        <v>32</v>
      </c>
      <c r="F1385" s="4">
        <v>60.37</v>
      </c>
      <c r="G1385" s="5">
        <v>8</v>
      </c>
      <c r="H1385" t="s">
        <v>28</v>
      </c>
      <c r="I1385" t="s">
        <v>46</v>
      </c>
      <c r="J1385" s="6">
        <v>17.989999999999998</v>
      </c>
      <c r="K1385">
        <v>0</v>
      </c>
      <c r="L1385" t="s">
        <v>37</v>
      </c>
      <c r="M1385" s="5">
        <v>3</v>
      </c>
      <c r="N1385" s="4">
        <v>6.71</v>
      </c>
      <c r="O1385" t="s">
        <v>25</v>
      </c>
    </row>
    <row r="1386" spans="1:15" x14ac:dyDescent="0.3">
      <c r="A1386" t="s">
        <v>4240</v>
      </c>
      <c r="B1386" s="5">
        <v>31</v>
      </c>
      <c r="C1386" s="5" t="str" cm="1">
        <f t="array" ref="C1386">_xlfn.IFS(worksheet[[#This Row],[age]]&lt;25,"1. Young Adulthood (18-24)",worksheet[[#This Row],[age]]&lt; 35,"2. Early Adulthood (25-34)",worksheet[[#This Row],[age]]&lt; 45,"3. Mid Adulthood (35-44)",worksheet[[#This Row],[age]]&lt; 55,"4. Mature Adulthood (45-54)",TRUE,"5. Late Adulthood/Senior (55+)")</f>
        <v>2. Early Adulthood (25-34)</v>
      </c>
      <c r="D1386" t="s">
        <v>15</v>
      </c>
      <c r="E1386" t="s">
        <v>16</v>
      </c>
      <c r="F1386" s="4">
        <v>7.32</v>
      </c>
      <c r="G1386" s="5">
        <v>23</v>
      </c>
      <c r="H1386" t="s">
        <v>28</v>
      </c>
      <c r="I1386" t="s">
        <v>24</v>
      </c>
      <c r="J1386" s="6">
        <v>8.99</v>
      </c>
      <c r="K1386">
        <v>0</v>
      </c>
      <c r="L1386" t="s">
        <v>19</v>
      </c>
      <c r="M1386" s="5">
        <v>5</v>
      </c>
      <c r="N1386" s="4">
        <v>0.3</v>
      </c>
      <c r="O1386" t="s">
        <v>52</v>
      </c>
    </row>
    <row r="1387" spans="1:15" x14ac:dyDescent="0.3">
      <c r="A1387" t="s">
        <v>4241</v>
      </c>
      <c r="B1387" s="5">
        <v>33</v>
      </c>
      <c r="C1387" s="5" t="str" cm="1">
        <f t="array" ref="C1387">_xlfn.IFS(worksheet[[#This Row],[age]]&lt;25,"1. Young Adulthood (18-24)",worksheet[[#This Row],[age]]&lt; 35,"2. Early Adulthood (25-34)",worksheet[[#This Row],[age]]&lt; 45,"3. Mid Adulthood (35-44)",worksheet[[#This Row],[age]]&lt; 55,"4. Mature Adulthood (45-54)",TRUE,"5. Late Adulthood/Senior (55+)")</f>
        <v>2. Early Adulthood (25-34)</v>
      </c>
      <c r="D1387" t="s">
        <v>15</v>
      </c>
      <c r="E1387" t="s">
        <v>32</v>
      </c>
      <c r="F1387" s="4">
        <v>3.8</v>
      </c>
      <c r="G1387" s="5">
        <v>38</v>
      </c>
      <c r="H1387" t="s">
        <v>33</v>
      </c>
      <c r="I1387" t="s">
        <v>24</v>
      </c>
      <c r="J1387" s="6">
        <v>17.989999999999998</v>
      </c>
      <c r="K1387">
        <v>1</v>
      </c>
      <c r="L1387" t="s">
        <v>29</v>
      </c>
      <c r="M1387" s="5">
        <v>2</v>
      </c>
      <c r="N1387" s="4">
        <v>0.1</v>
      </c>
      <c r="O1387" t="s">
        <v>25</v>
      </c>
    </row>
    <row r="1388" spans="1:15" x14ac:dyDescent="0.3">
      <c r="A1388" t="s">
        <v>4249</v>
      </c>
      <c r="B1388" s="5">
        <v>32</v>
      </c>
      <c r="C1388" s="5" t="str" cm="1">
        <f t="array" ref="C1388">_xlfn.IFS(worksheet[[#This Row],[age]]&lt;25,"1. Young Adulthood (18-24)",worksheet[[#This Row],[age]]&lt; 35,"2. Early Adulthood (25-34)",worksheet[[#This Row],[age]]&lt; 45,"3. Mid Adulthood (35-44)",worksheet[[#This Row],[age]]&lt; 55,"4. Mature Adulthood (45-54)",TRUE,"5. Late Adulthood/Senior (55+)")</f>
        <v>2. Early Adulthood (25-34)</v>
      </c>
      <c r="D1388" t="s">
        <v>41</v>
      </c>
      <c r="E1388" t="s">
        <v>32</v>
      </c>
      <c r="F1388" s="4">
        <v>3.32</v>
      </c>
      <c r="G1388" s="5">
        <v>12</v>
      </c>
      <c r="H1388" t="s">
        <v>28</v>
      </c>
      <c r="I1388" t="s">
        <v>46</v>
      </c>
      <c r="J1388" s="6">
        <v>17.989999999999998</v>
      </c>
      <c r="K1388">
        <v>0</v>
      </c>
      <c r="L1388" t="s">
        <v>43</v>
      </c>
      <c r="M1388" s="5">
        <v>4</v>
      </c>
      <c r="N1388" s="4">
        <v>0.26</v>
      </c>
      <c r="O1388" t="s">
        <v>34</v>
      </c>
    </row>
    <row r="1389" spans="1:15" x14ac:dyDescent="0.3">
      <c r="A1389" t="s">
        <v>4250</v>
      </c>
      <c r="B1389" s="5">
        <v>31</v>
      </c>
      <c r="C1389" s="5" t="str" cm="1">
        <f t="array" ref="C1389">_xlfn.IFS(worksheet[[#This Row],[age]]&lt;25,"1. Young Adulthood (18-24)",worksheet[[#This Row],[age]]&lt; 35,"2. Early Adulthood (25-34)",worksheet[[#This Row],[age]]&lt; 45,"3. Mid Adulthood (35-44)",worksheet[[#This Row],[age]]&lt; 55,"4. Mature Adulthood (45-54)",TRUE,"5. Late Adulthood/Senior (55+)")</f>
        <v>2. Early Adulthood (25-34)</v>
      </c>
      <c r="D1389" t="s">
        <v>27</v>
      </c>
      <c r="E1389" t="s">
        <v>22</v>
      </c>
      <c r="F1389" s="4">
        <v>6.08</v>
      </c>
      <c r="G1389" s="5">
        <v>25</v>
      </c>
      <c r="H1389" t="s">
        <v>23</v>
      </c>
      <c r="I1389" t="s">
        <v>18</v>
      </c>
      <c r="J1389" s="6">
        <v>13.99</v>
      </c>
      <c r="K1389">
        <v>0</v>
      </c>
      <c r="L1389" t="s">
        <v>19</v>
      </c>
      <c r="M1389" s="5">
        <v>2</v>
      </c>
      <c r="N1389" s="4">
        <v>0.23</v>
      </c>
      <c r="O1389" t="s">
        <v>39</v>
      </c>
    </row>
    <row r="1390" spans="1:15" x14ac:dyDescent="0.3">
      <c r="A1390" t="s">
        <v>4256</v>
      </c>
      <c r="B1390" s="5">
        <v>27</v>
      </c>
      <c r="C1390" s="5" t="str" cm="1">
        <f t="array" ref="C1390">_xlfn.IFS(worksheet[[#This Row],[age]]&lt;25,"1. Young Adulthood (18-24)",worksheet[[#This Row],[age]]&lt; 35,"2. Early Adulthood (25-34)",worksheet[[#This Row],[age]]&lt; 45,"3. Mid Adulthood (35-44)",worksheet[[#This Row],[age]]&lt; 55,"4. Mature Adulthood (45-54)",TRUE,"5. Late Adulthood/Senior (55+)")</f>
        <v>2. Early Adulthood (25-34)</v>
      </c>
      <c r="D1390" t="s">
        <v>27</v>
      </c>
      <c r="E1390" t="s">
        <v>16</v>
      </c>
      <c r="F1390" s="4">
        <v>17.34</v>
      </c>
      <c r="G1390" s="5">
        <v>16</v>
      </c>
      <c r="H1390" t="s">
        <v>49</v>
      </c>
      <c r="I1390" t="s">
        <v>46</v>
      </c>
      <c r="J1390" s="6">
        <v>8.99</v>
      </c>
      <c r="K1390">
        <v>0</v>
      </c>
      <c r="L1390" t="s">
        <v>61</v>
      </c>
      <c r="M1390" s="5">
        <v>4</v>
      </c>
      <c r="N1390" s="4">
        <v>1.02</v>
      </c>
      <c r="O1390" t="s">
        <v>25</v>
      </c>
    </row>
    <row r="1391" spans="1:15" x14ac:dyDescent="0.3">
      <c r="A1391" t="s">
        <v>4257</v>
      </c>
      <c r="B1391" s="5">
        <v>19</v>
      </c>
      <c r="C1391" s="5" t="str" cm="1">
        <f t="array" ref="C1391">_xlfn.IFS(worksheet[[#This Row],[age]]&lt;25,"1. Young Adulthood (18-24)",worksheet[[#This Row],[age]]&lt; 35,"2. Early Adulthood (25-34)",worksheet[[#This Row],[age]]&lt; 45,"3. Mid Adulthood (35-44)",worksheet[[#This Row],[age]]&lt; 55,"4. Mature Adulthood (45-54)",TRUE,"5. Late Adulthood/Senior (55+)")</f>
        <v>1. Young Adulthood (18-24)</v>
      </c>
      <c r="D1391" t="s">
        <v>41</v>
      </c>
      <c r="E1391" t="s">
        <v>16</v>
      </c>
      <c r="F1391" s="4">
        <v>9.09</v>
      </c>
      <c r="G1391" s="5">
        <v>56</v>
      </c>
      <c r="H1391" t="s">
        <v>49</v>
      </c>
      <c r="I1391" t="s">
        <v>46</v>
      </c>
      <c r="J1391" s="6">
        <v>8.99</v>
      </c>
      <c r="K1391">
        <v>1</v>
      </c>
      <c r="L1391" t="s">
        <v>61</v>
      </c>
      <c r="M1391" s="5">
        <v>3</v>
      </c>
      <c r="N1391" s="4">
        <v>0.16</v>
      </c>
      <c r="O1391" t="s">
        <v>39</v>
      </c>
    </row>
    <row r="1392" spans="1:15" x14ac:dyDescent="0.3">
      <c r="A1392" t="s">
        <v>4260</v>
      </c>
      <c r="B1392" s="5">
        <v>27</v>
      </c>
      <c r="C1392" s="5" t="str" cm="1">
        <f t="array" ref="C1392">_xlfn.IFS(worksheet[[#This Row],[age]]&lt;25,"1. Young Adulthood (18-24)",worksheet[[#This Row],[age]]&lt; 35,"2. Early Adulthood (25-34)",worksheet[[#This Row],[age]]&lt; 45,"3. Mid Adulthood (35-44)",worksheet[[#This Row],[age]]&lt; 55,"4. Mature Adulthood (45-54)",TRUE,"5. Late Adulthood/Senior (55+)")</f>
        <v>2. Early Adulthood (25-34)</v>
      </c>
      <c r="D1392" t="s">
        <v>41</v>
      </c>
      <c r="E1392" t="s">
        <v>32</v>
      </c>
      <c r="F1392" s="4">
        <v>17.29</v>
      </c>
      <c r="G1392" s="5">
        <v>11</v>
      </c>
      <c r="H1392" t="s">
        <v>23</v>
      </c>
      <c r="I1392" t="s">
        <v>46</v>
      </c>
      <c r="J1392" s="6">
        <v>17.989999999999998</v>
      </c>
      <c r="K1392">
        <v>0</v>
      </c>
      <c r="L1392" t="s">
        <v>29</v>
      </c>
      <c r="M1392" s="5">
        <v>2</v>
      </c>
      <c r="N1392" s="4">
        <v>1.44</v>
      </c>
      <c r="O1392" t="s">
        <v>47</v>
      </c>
    </row>
    <row r="1393" spans="1:15" x14ac:dyDescent="0.3">
      <c r="A1393" t="s">
        <v>4261</v>
      </c>
      <c r="B1393" s="5">
        <v>33</v>
      </c>
      <c r="C1393" s="5" t="str" cm="1">
        <f t="array" ref="C1393">_xlfn.IFS(worksheet[[#This Row],[age]]&lt;25,"1. Young Adulthood (18-24)",worksheet[[#This Row],[age]]&lt; 35,"2. Early Adulthood (25-34)",worksheet[[#This Row],[age]]&lt; 45,"3. Mid Adulthood (35-44)",worksheet[[#This Row],[age]]&lt; 55,"4. Mature Adulthood (45-54)",TRUE,"5. Late Adulthood/Senior (55+)")</f>
        <v>2. Early Adulthood (25-34)</v>
      </c>
      <c r="D1393" t="s">
        <v>27</v>
      </c>
      <c r="E1393" t="s">
        <v>16</v>
      </c>
      <c r="F1393" s="4">
        <v>11.53</v>
      </c>
      <c r="G1393" s="5">
        <v>3</v>
      </c>
      <c r="H1393" t="s">
        <v>23</v>
      </c>
      <c r="I1393" t="s">
        <v>18</v>
      </c>
      <c r="J1393" s="6">
        <v>8.99</v>
      </c>
      <c r="K1393">
        <v>0</v>
      </c>
      <c r="L1393" t="s">
        <v>37</v>
      </c>
      <c r="M1393" s="5">
        <v>5</v>
      </c>
      <c r="N1393" s="4">
        <v>2.88</v>
      </c>
      <c r="O1393" t="s">
        <v>52</v>
      </c>
    </row>
    <row r="1394" spans="1:15" x14ac:dyDescent="0.3">
      <c r="A1394" t="s">
        <v>4265</v>
      </c>
      <c r="B1394" s="5">
        <v>30</v>
      </c>
      <c r="C1394" s="5" t="str" cm="1">
        <f t="array" ref="C1394">_xlfn.IFS(worksheet[[#This Row],[age]]&lt;25,"1. Young Adulthood (18-24)",worksheet[[#This Row],[age]]&lt; 35,"2. Early Adulthood (25-34)",worksheet[[#This Row],[age]]&lt; 45,"3. Mid Adulthood (35-44)",worksheet[[#This Row],[age]]&lt; 55,"4. Mature Adulthood (45-54)",TRUE,"5. Late Adulthood/Senior (55+)")</f>
        <v>2. Early Adulthood (25-34)</v>
      </c>
      <c r="D1394" t="s">
        <v>41</v>
      </c>
      <c r="E1394" t="s">
        <v>22</v>
      </c>
      <c r="F1394" s="4">
        <v>9.58</v>
      </c>
      <c r="G1394" s="5">
        <v>35</v>
      </c>
      <c r="H1394" t="s">
        <v>49</v>
      </c>
      <c r="I1394" t="s">
        <v>57</v>
      </c>
      <c r="J1394" s="6">
        <v>13.99</v>
      </c>
      <c r="K1394">
        <v>1</v>
      </c>
      <c r="L1394" t="s">
        <v>37</v>
      </c>
      <c r="M1394" s="5">
        <v>3</v>
      </c>
      <c r="N1394" s="4">
        <v>0.27</v>
      </c>
      <c r="O1394" t="s">
        <v>34</v>
      </c>
    </row>
    <row r="1395" spans="1:15" x14ac:dyDescent="0.3">
      <c r="A1395" t="s">
        <v>4268</v>
      </c>
      <c r="B1395" s="5">
        <v>33</v>
      </c>
      <c r="C1395" s="5" t="str" cm="1">
        <f t="array" ref="C1395">_xlfn.IFS(worksheet[[#This Row],[age]]&lt;25,"1. Young Adulthood (18-24)",worksheet[[#This Row],[age]]&lt; 35,"2. Early Adulthood (25-34)",worksheet[[#This Row],[age]]&lt; 45,"3. Mid Adulthood (35-44)",worksheet[[#This Row],[age]]&lt; 55,"4. Mature Adulthood (45-54)",TRUE,"5. Late Adulthood/Senior (55+)")</f>
        <v>2. Early Adulthood (25-34)</v>
      </c>
      <c r="D1395" t="s">
        <v>27</v>
      </c>
      <c r="E1395" t="s">
        <v>32</v>
      </c>
      <c r="F1395" s="4">
        <v>11.79</v>
      </c>
      <c r="G1395" s="5">
        <v>15</v>
      </c>
      <c r="H1395" t="s">
        <v>33</v>
      </c>
      <c r="I1395" t="s">
        <v>57</v>
      </c>
      <c r="J1395" s="6">
        <v>17.989999999999998</v>
      </c>
      <c r="K1395">
        <v>0</v>
      </c>
      <c r="L1395" t="s">
        <v>37</v>
      </c>
      <c r="M1395" s="5">
        <v>4</v>
      </c>
      <c r="N1395" s="4">
        <v>0.74</v>
      </c>
      <c r="O1395" t="s">
        <v>25</v>
      </c>
    </row>
    <row r="1396" spans="1:15" x14ac:dyDescent="0.3">
      <c r="A1396" t="s">
        <v>4271</v>
      </c>
      <c r="B1396" s="5">
        <v>30</v>
      </c>
      <c r="C1396" s="5" t="str" cm="1">
        <f t="array" ref="C1396">_xlfn.IFS(worksheet[[#This Row],[age]]&lt;25,"1. Young Adulthood (18-24)",worksheet[[#This Row],[age]]&lt; 35,"2. Early Adulthood (25-34)",worksheet[[#This Row],[age]]&lt; 45,"3. Mid Adulthood (35-44)",worksheet[[#This Row],[age]]&lt; 55,"4. Mature Adulthood (45-54)",TRUE,"5. Late Adulthood/Senior (55+)")</f>
        <v>2. Early Adulthood (25-34)</v>
      </c>
      <c r="D1396" t="s">
        <v>27</v>
      </c>
      <c r="E1396" t="s">
        <v>22</v>
      </c>
      <c r="F1396" s="4">
        <v>4.72</v>
      </c>
      <c r="G1396" s="5">
        <v>14</v>
      </c>
      <c r="H1396" t="s">
        <v>17</v>
      </c>
      <c r="I1396" t="s">
        <v>18</v>
      </c>
      <c r="J1396" s="6">
        <v>13.99</v>
      </c>
      <c r="K1396">
        <v>1</v>
      </c>
      <c r="L1396" t="s">
        <v>61</v>
      </c>
      <c r="M1396" s="5">
        <v>3</v>
      </c>
      <c r="N1396" s="4">
        <v>0.31</v>
      </c>
      <c r="O1396" t="s">
        <v>34</v>
      </c>
    </row>
    <row r="1397" spans="1:15" x14ac:dyDescent="0.3">
      <c r="A1397" t="s">
        <v>4272</v>
      </c>
      <c r="B1397" s="5">
        <v>31</v>
      </c>
      <c r="C1397" s="5" t="str" cm="1">
        <f t="array" ref="C1397">_xlfn.IFS(worksheet[[#This Row],[age]]&lt;25,"1. Young Adulthood (18-24)",worksheet[[#This Row],[age]]&lt; 35,"2. Early Adulthood (25-34)",worksheet[[#This Row],[age]]&lt; 45,"3. Mid Adulthood (35-44)",worksheet[[#This Row],[age]]&lt; 55,"4. Mature Adulthood (45-54)",TRUE,"5. Late Adulthood/Senior (55+)")</f>
        <v>2. Early Adulthood (25-34)</v>
      </c>
      <c r="D1397" t="s">
        <v>41</v>
      </c>
      <c r="E1397" t="s">
        <v>22</v>
      </c>
      <c r="F1397" s="4">
        <v>9.41</v>
      </c>
      <c r="G1397" s="5">
        <v>39</v>
      </c>
      <c r="H1397" t="s">
        <v>23</v>
      </c>
      <c r="I1397" t="s">
        <v>57</v>
      </c>
      <c r="J1397" s="6">
        <v>13.99</v>
      </c>
      <c r="K1397">
        <v>0</v>
      </c>
      <c r="L1397" t="s">
        <v>43</v>
      </c>
      <c r="M1397" s="5">
        <v>4</v>
      </c>
      <c r="N1397" s="4">
        <v>0.24</v>
      </c>
      <c r="O1397" t="s">
        <v>52</v>
      </c>
    </row>
    <row r="1398" spans="1:15" x14ac:dyDescent="0.3">
      <c r="A1398" t="s">
        <v>4273</v>
      </c>
      <c r="B1398" s="5">
        <v>18</v>
      </c>
      <c r="C1398" s="5" t="str" cm="1">
        <f t="array" ref="C1398">_xlfn.IFS(worksheet[[#This Row],[age]]&lt;25,"1. Young Adulthood (18-24)",worksheet[[#This Row],[age]]&lt; 35,"2. Early Adulthood (25-34)",worksheet[[#This Row],[age]]&lt; 45,"3. Mid Adulthood (35-44)",worksheet[[#This Row],[age]]&lt; 55,"4. Mature Adulthood (45-54)",TRUE,"5. Late Adulthood/Senior (55+)")</f>
        <v>1. Young Adulthood (18-24)</v>
      </c>
      <c r="D1398" t="s">
        <v>27</v>
      </c>
      <c r="E1398" t="s">
        <v>32</v>
      </c>
      <c r="F1398" s="4">
        <v>0.24</v>
      </c>
      <c r="G1398" s="5">
        <v>9</v>
      </c>
      <c r="H1398" t="s">
        <v>49</v>
      </c>
      <c r="I1398" t="s">
        <v>18</v>
      </c>
      <c r="J1398" s="6">
        <v>17.989999999999998</v>
      </c>
      <c r="K1398">
        <v>1</v>
      </c>
      <c r="L1398" t="s">
        <v>61</v>
      </c>
      <c r="M1398" s="5">
        <v>1</v>
      </c>
      <c r="N1398" s="4">
        <v>0.02</v>
      </c>
      <c r="O1398" t="s">
        <v>30</v>
      </c>
    </row>
    <row r="1399" spans="1:15" x14ac:dyDescent="0.3">
      <c r="A1399" t="s">
        <v>4281</v>
      </c>
      <c r="B1399" s="5">
        <v>20</v>
      </c>
      <c r="C1399" s="5" t="str" cm="1">
        <f t="array" ref="C1399">_xlfn.IFS(worksheet[[#This Row],[age]]&lt;25,"1. Young Adulthood (18-24)",worksheet[[#This Row],[age]]&lt; 35,"2. Early Adulthood (25-34)",worksheet[[#This Row],[age]]&lt; 45,"3. Mid Adulthood (35-44)",worksheet[[#This Row],[age]]&lt; 55,"4. Mature Adulthood (45-54)",TRUE,"5. Late Adulthood/Senior (55+)")</f>
        <v>1. Young Adulthood (18-24)</v>
      </c>
      <c r="D1399" t="s">
        <v>15</v>
      </c>
      <c r="E1399" t="s">
        <v>22</v>
      </c>
      <c r="F1399" s="4">
        <v>5.85</v>
      </c>
      <c r="G1399" s="5">
        <v>15</v>
      </c>
      <c r="H1399" t="s">
        <v>23</v>
      </c>
      <c r="I1399" t="s">
        <v>46</v>
      </c>
      <c r="J1399" s="6">
        <v>13.99</v>
      </c>
      <c r="K1399">
        <v>0</v>
      </c>
      <c r="L1399" t="s">
        <v>29</v>
      </c>
      <c r="M1399" s="5">
        <v>2</v>
      </c>
      <c r="N1399" s="4">
        <v>0.37</v>
      </c>
      <c r="O1399" t="s">
        <v>52</v>
      </c>
    </row>
    <row r="1400" spans="1:15" x14ac:dyDescent="0.3">
      <c r="A1400" t="s">
        <v>4283</v>
      </c>
      <c r="B1400" s="5">
        <v>18</v>
      </c>
      <c r="C1400" s="5" t="str" cm="1">
        <f t="array" ref="C1400">_xlfn.IFS(worksheet[[#This Row],[age]]&lt;25,"1. Young Adulthood (18-24)",worksheet[[#This Row],[age]]&lt; 35,"2. Early Adulthood (25-34)",worksheet[[#This Row],[age]]&lt; 45,"3. Mid Adulthood (35-44)",worksheet[[#This Row],[age]]&lt; 55,"4. Mature Adulthood (45-54)",TRUE,"5. Late Adulthood/Senior (55+)")</f>
        <v>1. Young Adulthood (18-24)</v>
      </c>
      <c r="D1400" t="s">
        <v>27</v>
      </c>
      <c r="E1400" t="s">
        <v>16</v>
      </c>
      <c r="F1400" s="4">
        <v>7.7</v>
      </c>
      <c r="G1400" s="5">
        <v>33</v>
      </c>
      <c r="H1400" t="s">
        <v>70</v>
      </c>
      <c r="I1400" t="s">
        <v>46</v>
      </c>
      <c r="J1400" s="6">
        <v>8.99</v>
      </c>
      <c r="K1400">
        <v>1</v>
      </c>
      <c r="L1400" t="s">
        <v>29</v>
      </c>
      <c r="M1400" s="5">
        <v>2</v>
      </c>
      <c r="N1400" s="4">
        <v>0.23</v>
      </c>
      <c r="O1400" t="s">
        <v>20</v>
      </c>
    </row>
    <row r="1401" spans="1:15" x14ac:dyDescent="0.3">
      <c r="A1401" t="s">
        <v>4286</v>
      </c>
      <c r="B1401" s="5">
        <v>23</v>
      </c>
      <c r="C1401" s="5" t="str" cm="1">
        <f t="array" ref="C1401">_xlfn.IFS(worksheet[[#This Row],[age]]&lt;25,"1. Young Adulthood (18-24)",worksheet[[#This Row],[age]]&lt; 35,"2. Early Adulthood (25-34)",worksheet[[#This Row],[age]]&lt; 45,"3. Mid Adulthood (35-44)",worksheet[[#This Row],[age]]&lt; 55,"4. Mature Adulthood (45-54)",TRUE,"5. Late Adulthood/Senior (55+)")</f>
        <v>1. Young Adulthood (18-24)</v>
      </c>
      <c r="D1401" t="s">
        <v>27</v>
      </c>
      <c r="E1401" t="s">
        <v>16</v>
      </c>
      <c r="F1401" s="4">
        <v>17.3</v>
      </c>
      <c r="G1401" s="5">
        <v>22</v>
      </c>
      <c r="H1401" t="s">
        <v>17</v>
      </c>
      <c r="I1401" t="s">
        <v>57</v>
      </c>
      <c r="J1401" s="6">
        <v>8.99</v>
      </c>
      <c r="K1401">
        <v>0</v>
      </c>
      <c r="L1401" t="s">
        <v>43</v>
      </c>
      <c r="M1401" s="5">
        <v>2</v>
      </c>
      <c r="N1401" s="4">
        <v>0.75</v>
      </c>
      <c r="O1401" t="s">
        <v>52</v>
      </c>
    </row>
    <row r="1402" spans="1:15" x14ac:dyDescent="0.3">
      <c r="A1402" t="s">
        <v>4287</v>
      </c>
      <c r="B1402" s="5">
        <v>29</v>
      </c>
      <c r="C1402" s="5" t="str" cm="1">
        <f t="array" ref="C1402">_xlfn.IFS(worksheet[[#This Row],[age]]&lt;25,"1. Young Adulthood (18-24)",worksheet[[#This Row],[age]]&lt; 35,"2. Early Adulthood (25-34)",worksheet[[#This Row],[age]]&lt; 45,"3. Mid Adulthood (35-44)",worksheet[[#This Row],[age]]&lt; 55,"4. Mature Adulthood (45-54)",TRUE,"5. Late Adulthood/Senior (55+)")</f>
        <v>2. Early Adulthood (25-34)</v>
      </c>
      <c r="D1402" t="s">
        <v>41</v>
      </c>
      <c r="E1402" t="s">
        <v>32</v>
      </c>
      <c r="F1402" s="4">
        <v>6.93</v>
      </c>
      <c r="G1402" s="5">
        <v>13</v>
      </c>
      <c r="H1402" t="s">
        <v>17</v>
      </c>
      <c r="I1402" t="s">
        <v>46</v>
      </c>
      <c r="J1402" s="6">
        <v>17.989999999999998</v>
      </c>
      <c r="K1402">
        <v>0</v>
      </c>
      <c r="L1402" t="s">
        <v>61</v>
      </c>
      <c r="M1402" s="5">
        <v>1</v>
      </c>
      <c r="N1402" s="4">
        <v>0.49</v>
      </c>
      <c r="O1402" t="s">
        <v>30</v>
      </c>
    </row>
    <row r="1403" spans="1:15" x14ac:dyDescent="0.3">
      <c r="A1403" t="s">
        <v>4295</v>
      </c>
      <c r="B1403" s="5">
        <v>33</v>
      </c>
      <c r="C1403" s="5" t="str" cm="1">
        <f t="array" ref="C1403">_xlfn.IFS(worksheet[[#This Row],[age]]&lt;25,"1. Young Adulthood (18-24)",worksheet[[#This Row],[age]]&lt; 35,"2. Early Adulthood (25-34)",worksheet[[#This Row],[age]]&lt; 45,"3. Mid Adulthood (35-44)",worksheet[[#This Row],[age]]&lt; 55,"4. Mature Adulthood (45-54)",TRUE,"5. Late Adulthood/Senior (55+)")</f>
        <v>2. Early Adulthood (25-34)</v>
      </c>
      <c r="D1403" t="s">
        <v>41</v>
      </c>
      <c r="E1403" t="s">
        <v>22</v>
      </c>
      <c r="F1403" s="4">
        <v>17.89</v>
      </c>
      <c r="G1403" s="5">
        <v>32</v>
      </c>
      <c r="H1403" t="s">
        <v>28</v>
      </c>
      <c r="I1403" t="s">
        <v>24</v>
      </c>
      <c r="J1403" s="6">
        <v>13.99</v>
      </c>
      <c r="K1403">
        <v>0</v>
      </c>
      <c r="L1403" t="s">
        <v>19</v>
      </c>
      <c r="M1403" s="5">
        <v>4</v>
      </c>
      <c r="N1403" s="4">
        <v>0.54</v>
      </c>
      <c r="O1403" t="s">
        <v>25</v>
      </c>
    </row>
    <row r="1404" spans="1:15" x14ac:dyDescent="0.3">
      <c r="A1404" t="s">
        <v>4299</v>
      </c>
      <c r="B1404" s="5">
        <v>27</v>
      </c>
      <c r="C1404" s="5" t="str" cm="1">
        <f t="array" ref="C1404">_xlfn.IFS(worksheet[[#This Row],[age]]&lt;25,"1. Young Adulthood (18-24)",worksheet[[#This Row],[age]]&lt; 35,"2. Early Adulthood (25-34)",worksheet[[#This Row],[age]]&lt; 45,"3. Mid Adulthood (35-44)",worksheet[[#This Row],[age]]&lt; 55,"4. Mature Adulthood (45-54)",TRUE,"5. Late Adulthood/Senior (55+)")</f>
        <v>2. Early Adulthood (25-34)</v>
      </c>
      <c r="D1404" t="s">
        <v>27</v>
      </c>
      <c r="E1404" t="s">
        <v>16</v>
      </c>
      <c r="F1404" s="4">
        <v>0.03</v>
      </c>
      <c r="G1404" s="5">
        <v>2</v>
      </c>
      <c r="H1404" t="s">
        <v>17</v>
      </c>
      <c r="I1404" t="s">
        <v>24</v>
      </c>
      <c r="J1404" s="6">
        <v>8.99</v>
      </c>
      <c r="K1404">
        <v>1</v>
      </c>
      <c r="L1404" t="s">
        <v>37</v>
      </c>
      <c r="M1404" s="5">
        <v>3</v>
      </c>
      <c r="N1404" s="4">
        <v>0.01</v>
      </c>
      <c r="O1404" t="s">
        <v>30</v>
      </c>
    </row>
    <row r="1405" spans="1:15" x14ac:dyDescent="0.3">
      <c r="A1405" t="s">
        <v>4307</v>
      </c>
      <c r="B1405" s="5">
        <v>32</v>
      </c>
      <c r="C1405" s="5" t="str" cm="1">
        <f t="array" ref="C1405">_xlfn.IFS(worksheet[[#This Row],[age]]&lt;25,"1. Young Adulthood (18-24)",worksheet[[#This Row],[age]]&lt; 35,"2. Early Adulthood (25-34)",worksheet[[#This Row],[age]]&lt; 45,"3. Mid Adulthood (35-44)",worksheet[[#This Row],[age]]&lt; 55,"4. Mature Adulthood (45-54)",TRUE,"5. Late Adulthood/Senior (55+)")</f>
        <v>2. Early Adulthood (25-34)</v>
      </c>
      <c r="D1405" t="s">
        <v>15</v>
      </c>
      <c r="E1405" t="s">
        <v>22</v>
      </c>
      <c r="F1405" s="4">
        <v>0.38</v>
      </c>
      <c r="G1405" s="5">
        <v>10</v>
      </c>
      <c r="H1405" t="s">
        <v>28</v>
      </c>
      <c r="I1405" t="s">
        <v>55</v>
      </c>
      <c r="J1405" s="6">
        <v>13.99</v>
      </c>
      <c r="K1405">
        <v>0</v>
      </c>
      <c r="L1405" t="s">
        <v>61</v>
      </c>
      <c r="M1405" s="5">
        <v>5</v>
      </c>
      <c r="N1405" s="4">
        <v>0.03</v>
      </c>
      <c r="O1405" t="s">
        <v>47</v>
      </c>
    </row>
    <row r="1406" spans="1:15" x14ac:dyDescent="0.3">
      <c r="A1406" t="s">
        <v>4308</v>
      </c>
      <c r="B1406" s="5">
        <v>18</v>
      </c>
      <c r="C1406" s="5" t="str" cm="1">
        <f t="array" ref="C1406">_xlfn.IFS(worksheet[[#This Row],[age]]&lt;25,"1. Young Adulthood (18-24)",worksheet[[#This Row],[age]]&lt; 35,"2. Early Adulthood (25-34)",worksheet[[#This Row],[age]]&lt; 45,"3. Mid Adulthood (35-44)",worksheet[[#This Row],[age]]&lt; 55,"4. Mature Adulthood (45-54)",TRUE,"5. Late Adulthood/Senior (55+)")</f>
        <v>1. Young Adulthood (18-24)</v>
      </c>
      <c r="D1406" t="s">
        <v>27</v>
      </c>
      <c r="E1406" t="s">
        <v>32</v>
      </c>
      <c r="F1406" s="4">
        <v>9.8800000000000008</v>
      </c>
      <c r="G1406" s="5">
        <v>11</v>
      </c>
      <c r="H1406" t="s">
        <v>49</v>
      </c>
      <c r="I1406" t="s">
        <v>46</v>
      </c>
      <c r="J1406" s="6">
        <v>17.989999999999998</v>
      </c>
      <c r="K1406">
        <v>0</v>
      </c>
      <c r="L1406" t="s">
        <v>37</v>
      </c>
      <c r="M1406" s="5">
        <v>4</v>
      </c>
      <c r="N1406" s="4">
        <v>0.82</v>
      </c>
      <c r="O1406" t="s">
        <v>25</v>
      </c>
    </row>
    <row r="1407" spans="1:15" x14ac:dyDescent="0.3">
      <c r="A1407" t="s">
        <v>4310</v>
      </c>
      <c r="B1407" s="5">
        <v>21</v>
      </c>
      <c r="C1407" s="5" t="str" cm="1">
        <f t="array" ref="C1407">_xlfn.IFS(worksheet[[#This Row],[age]]&lt;25,"1. Young Adulthood (18-24)",worksheet[[#This Row],[age]]&lt; 35,"2. Early Adulthood (25-34)",worksheet[[#This Row],[age]]&lt; 45,"3. Mid Adulthood (35-44)",worksheet[[#This Row],[age]]&lt; 55,"4. Mature Adulthood (45-54)",TRUE,"5. Late Adulthood/Senior (55+)")</f>
        <v>1. Young Adulthood (18-24)</v>
      </c>
      <c r="D1407" t="s">
        <v>41</v>
      </c>
      <c r="E1407" t="s">
        <v>16</v>
      </c>
      <c r="F1407" s="4">
        <v>28.27</v>
      </c>
      <c r="G1407" s="5">
        <v>26</v>
      </c>
      <c r="H1407" t="s">
        <v>28</v>
      </c>
      <c r="I1407" t="s">
        <v>46</v>
      </c>
      <c r="J1407" s="6">
        <v>8.99</v>
      </c>
      <c r="K1407">
        <v>0</v>
      </c>
      <c r="L1407" t="s">
        <v>19</v>
      </c>
      <c r="M1407" s="5">
        <v>5</v>
      </c>
      <c r="N1407" s="4">
        <v>1.05</v>
      </c>
      <c r="O1407" t="s">
        <v>52</v>
      </c>
    </row>
    <row r="1408" spans="1:15" x14ac:dyDescent="0.3">
      <c r="A1408" t="s">
        <v>4313</v>
      </c>
      <c r="B1408" s="5">
        <v>24</v>
      </c>
      <c r="C1408" s="5" t="str" cm="1">
        <f t="array" ref="C1408">_xlfn.IFS(worksheet[[#This Row],[age]]&lt;25,"1. Young Adulthood (18-24)",worksheet[[#This Row],[age]]&lt; 35,"2. Early Adulthood (25-34)",worksheet[[#This Row],[age]]&lt; 45,"3. Mid Adulthood (35-44)",worksheet[[#This Row],[age]]&lt; 55,"4. Mature Adulthood (45-54)",TRUE,"5. Late Adulthood/Senior (55+)")</f>
        <v>1. Young Adulthood (18-24)</v>
      </c>
      <c r="D1408" t="s">
        <v>41</v>
      </c>
      <c r="E1408" t="s">
        <v>22</v>
      </c>
      <c r="F1408" s="4">
        <v>7.75</v>
      </c>
      <c r="G1408" s="5">
        <v>25</v>
      </c>
      <c r="H1408" t="s">
        <v>23</v>
      </c>
      <c r="I1408" t="s">
        <v>46</v>
      </c>
      <c r="J1408" s="6">
        <v>13.99</v>
      </c>
      <c r="K1408">
        <v>0</v>
      </c>
      <c r="L1408" t="s">
        <v>29</v>
      </c>
      <c r="M1408" s="5">
        <v>5</v>
      </c>
      <c r="N1408" s="4">
        <v>0.3</v>
      </c>
      <c r="O1408" t="s">
        <v>20</v>
      </c>
    </row>
    <row r="1409" spans="1:15" x14ac:dyDescent="0.3">
      <c r="A1409" t="s">
        <v>4319</v>
      </c>
      <c r="B1409" s="5">
        <v>25</v>
      </c>
      <c r="C1409" s="5" t="str" cm="1">
        <f t="array" ref="C1409">_xlfn.IFS(worksheet[[#This Row],[age]]&lt;25,"1. Young Adulthood (18-24)",worksheet[[#This Row],[age]]&lt; 35,"2. Early Adulthood (25-34)",worksheet[[#This Row],[age]]&lt; 45,"3. Mid Adulthood (35-44)",worksheet[[#This Row],[age]]&lt; 55,"4. Mature Adulthood (45-54)",TRUE,"5. Late Adulthood/Senior (55+)")</f>
        <v>2. Early Adulthood (25-34)</v>
      </c>
      <c r="D1409" t="s">
        <v>27</v>
      </c>
      <c r="E1409" t="s">
        <v>16</v>
      </c>
      <c r="F1409" s="4">
        <v>2.78</v>
      </c>
      <c r="G1409" s="5">
        <v>0</v>
      </c>
      <c r="H1409" t="s">
        <v>33</v>
      </c>
      <c r="I1409" t="s">
        <v>18</v>
      </c>
      <c r="J1409" s="6">
        <v>8.99</v>
      </c>
      <c r="K1409">
        <v>1</v>
      </c>
      <c r="L1409" t="s">
        <v>37</v>
      </c>
      <c r="M1409" s="5">
        <v>1</v>
      </c>
      <c r="N1409" s="4">
        <v>2.78</v>
      </c>
      <c r="O1409" t="s">
        <v>30</v>
      </c>
    </row>
    <row r="1410" spans="1:15" x14ac:dyDescent="0.3">
      <c r="A1410" t="s">
        <v>4326</v>
      </c>
      <c r="B1410" s="5">
        <v>25</v>
      </c>
      <c r="C1410" s="5" t="str" cm="1">
        <f t="array" ref="C1410">_xlfn.IFS(worksheet[[#This Row],[age]]&lt;25,"1. Young Adulthood (18-24)",worksheet[[#This Row],[age]]&lt; 35,"2. Early Adulthood (25-34)",worksheet[[#This Row],[age]]&lt; 45,"3. Mid Adulthood (35-44)",worksheet[[#This Row],[age]]&lt; 55,"4. Mature Adulthood (45-54)",TRUE,"5. Late Adulthood/Senior (55+)")</f>
        <v>2. Early Adulthood (25-34)</v>
      </c>
      <c r="D1410" t="s">
        <v>41</v>
      </c>
      <c r="E1410" t="s">
        <v>16</v>
      </c>
      <c r="F1410" s="4">
        <v>4.0199999999999996</v>
      </c>
      <c r="G1410" s="5">
        <v>19</v>
      </c>
      <c r="H1410" t="s">
        <v>23</v>
      </c>
      <c r="I1410" t="s">
        <v>46</v>
      </c>
      <c r="J1410" s="6">
        <v>8.99</v>
      </c>
      <c r="K1410">
        <v>1</v>
      </c>
      <c r="L1410" t="s">
        <v>19</v>
      </c>
      <c r="M1410" s="5">
        <v>3</v>
      </c>
      <c r="N1410" s="4">
        <v>0.2</v>
      </c>
      <c r="O1410" t="s">
        <v>34</v>
      </c>
    </row>
    <row r="1411" spans="1:15" x14ac:dyDescent="0.3">
      <c r="A1411" t="s">
        <v>4328</v>
      </c>
      <c r="B1411" s="5">
        <v>29</v>
      </c>
      <c r="C1411" s="5" t="str" cm="1">
        <f t="array" ref="C1411">_xlfn.IFS(worksheet[[#This Row],[age]]&lt;25,"1. Young Adulthood (18-24)",worksheet[[#This Row],[age]]&lt; 35,"2. Early Adulthood (25-34)",worksheet[[#This Row],[age]]&lt; 45,"3. Mid Adulthood (35-44)",worksheet[[#This Row],[age]]&lt; 55,"4. Mature Adulthood (45-54)",TRUE,"5. Late Adulthood/Senior (55+)")</f>
        <v>2. Early Adulthood (25-34)</v>
      </c>
      <c r="D1411" t="s">
        <v>27</v>
      </c>
      <c r="E1411" t="s">
        <v>22</v>
      </c>
      <c r="F1411" s="4">
        <v>54.53</v>
      </c>
      <c r="G1411" s="5">
        <v>1</v>
      </c>
      <c r="H1411" t="s">
        <v>49</v>
      </c>
      <c r="I1411" t="s">
        <v>24</v>
      </c>
      <c r="J1411" s="6">
        <v>13.99</v>
      </c>
      <c r="K1411">
        <v>0</v>
      </c>
      <c r="L1411" t="s">
        <v>37</v>
      </c>
      <c r="M1411" s="5">
        <v>2</v>
      </c>
      <c r="N1411" s="4">
        <v>27.27</v>
      </c>
      <c r="O1411" t="s">
        <v>25</v>
      </c>
    </row>
    <row r="1412" spans="1:15" x14ac:dyDescent="0.3">
      <c r="A1412" t="s">
        <v>4333</v>
      </c>
      <c r="B1412" s="5">
        <v>24</v>
      </c>
      <c r="C1412" s="5" t="str" cm="1">
        <f t="array" ref="C1412">_xlfn.IFS(worksheet[[#This Row],[age]]&lt;25,"1. Young Adulthood (18-24)",worksheet[[#This Row],[age]]&lt; 35,"2. Early Adulthood (25-34)",worksheet[[#This Row],[age]]&lt; 45,"3. Mid Adulthood (35-44)",worksheet[[#This Row],[age]]&lt; 55,"4. Mature Adulthood (45-54)",TRUE,"5. Late Adulthood/Senior (55+)")</f>
        <v>1. Young Adulthood (18-24)</v>
      </c>
      <c r="D1412" t="s">
        <v>41</v>
      </c>
      <c r="E1412" t="s">
        <v>32</v>
      </c>
      <c r="F1412" s="4">
        <v>77.900000000000006</v>
      </c>
      <c r="G1412" s="5">
        <v>12</v>
      </c>
      <c r="H1412" t="s">
        <v>70</v>
      </c>
      <c r="I1412" t="s">
        <v>18</v>
      </c>
      <c r="J1412" s="6">
        <v>17.989999999999998</v>
      </c>
      <c r="K1412">
        <v>0</v>
      </c>
      <c r="L1412" t="s">
        <v>43</v>
      </c>
      <c r="M1412" s="5">
        <v>1</v>
      </c>
      <c r="N1412" s="4">
        <v>5.99</v>
      </c>
      <c r="O1412" t="s">
        <v>47</v>
      </c>
    </row>
    <row r="1413" spans="1:15" x14ac:dyDescent="0.3">
      <c r="A1413" t="s">
        <v>4334</v>
      </c>
      <c r="B1413" s="5">
        <v>32</v>
      </c>
      <c r="C1413" s="5" t="str" cm="1">
        <f t="array" ref="C1413">_xlfn.IFS(worksheet[[#This Row],[age]]&lt;25,"1. Young Adulthood (18-24)",worksheet[[#This Row],[age]]&lt; 35,"2. Early Adulthood (25-34)",worksheet[[#This Row],[age]]&lt; 45,"3. Mid Adulthood (35-44)",worksheet[[#This Row],[age]]&lt; 55,"4. Mature Adulthood (45-54)",TRUE,"5. Late Adulthood/Senior (55+)")</f>
        <v>2. Early Adulthood (25-34)</v>
      </c>
      <c r="D1413" t="s">
        <v>41</v>
      </c>
      <c r="E1413" t="s">
        <v>32</v>
      </c>
      <c r="F1413" s="4">
        <v>28.61</v>
      </c>
      <c r="G1413" s="5">
        <v>22</v>
      </c>
      <c r="H1413" t="s">
        <v>70</v>
      </c>
      <c r="I1413" t="s">
        <v>57</v>
      </c>
      <c r="J1413" s="6">
        <v>17.989999999999998</v>
      </c>
      <c r="K1413">
        <v>0</v>
      </c>
      <c r="L1413" t="s">
        <v>61</v>
      </c>
      <c r="M1413" s="5">
        <v>4</v>
      </c>
      <c r="N1413" s="4">
        <v>1.24</v>
      </c>
      <c r="O1413" t="s">
        <v>39</v>
      </c>
    </row>
    <row r="1414" spans="1:15" x14ac:dyDescent="0.3">
      <c r="A1414" t="s">
        <v>4336</v>
      </c>
      <c r="B1414" s="5">
        <v>27</v>
      </c>
      <c r="C1414" s="5" t="str" cm="1">
        <f t="array" ref="C1414">_xlfn.IFS(worksheet[[#This Row],[age]]&lt;25,"1. Young Adulthood (18-24)",worksheet[[#This Row],[age]]&lt; 35,"2. Early Adulthood (25-34)",worksheet[[#This Row],[age]]&lt; 45,"3. Mid Adulthood (35-44)",worksheet[[#This Row],[age]]&lt; 55,"4. Mature Adulthood (45-54)",TRUE,"5. Late Adulthood/Senior (55+)")</f>
        <v>2. Early Adulthood (25-34)</v>
      </c>
      <c r="D1414" t="s">
        <v>27</v>
      </c>
      <c r="E1414" t="s">
        <v>22</v>
      </c>
      <c r="F1414" s="4">
        <v>1.04</v>
      </c>
      <c r="G1414" s="5">
        <v>54</v>
      </c>
      <c r="H1414" t="s">
        <v>49</v>
      </c>
      <c r="I1414" t="s">
        <v>57</v>
      </c>
      <c r="J1414" s="6">
        <v>13.99</v>
      </c>
      <c r="K1414">
        <v>1</v>
      </c>
      <c r="L1414" t="s">
        <v>29</v>
      </c>
      <c r="M1414" s="5">
        <v>3</v>
      </c>
      <c r="N1414" s="4">
        <v>0.02</v>
      </c>
      <c r="O1414" t="s">
        <v>39</v>
      </c>
    </row>
    <row r="1415" spans="1:15" x14ac:dyDescent="0.3">
      <c r="A1415" t="s">
        <v>4349</v>
      </c>
      <c r="B1415" s="5">
        <v>21</v>
      </c>
      <c r="C1415" s="5" t="str" cm="1">
        <f t="array" ref="C1415">_xlfn.IFS(worksheet[[#This Row],[age]]&lt;25,"1. Young Adulthood (18-24)",worksheet[[#This Row],[age]]&lt; 35,"2. Early Adulthood (25-34)",worksheet[[#This Row],[age]]&lt; 45,"3. Mid Adulthood (35-44)",worksheet[[#This Row],[age]]&lt; 55,"4. Mature Adulthood (45-54)",TRUE,"5. Late Adulthood/Senior (55+)")</f>
        <v>1. Young Adulthood (18-24)</v>
      </c>
      <c r="D1415" t="s">
        <v>27</v>
      </c>
      <c r="E1415" t="s">
        <v>22</v>
      </c>
      <c r="F1415" s="4">
        <v>6.2</v>
      </c>
      <c r="G1415" s="5">
        <v>4</v>
      </c>
      <c r="H1415" t="s">
        <v>33</v>
      </c>
      <c r="I1415" t="s">
        <v>24</v>
      </c>
      <c r="J1415" s="6">
        <v>13.99</v>
      </c>
      <c r="K1415">
        <v>0</v>
      </c>
      <c r="L1415" t="s">
        <v>37</v>
      </c>
      <c r="M1415" s="5">
        <v>5</v>
      </c>
      <c r="N1415" s="4">
        <v>1.24</v>
      </c>
      <c r="O1415" t="s">
        <v>20</v>
      </c>
    </row>
    <row r="1416" spans="1:15" x14ac:dyDescent="0.3">
      <c r="A1416" t="s">
        <v>4350</v>
      </c>
      <c r="B1416" s="5">
        <v>22</v>
      </c>
      <c r="C1416" s="5" t="str" cm="1">
        <f t="array" ref="C1416">_xlfn.IFS(worksheet[[#This Row],[age]]&lt;25,"1. Young Adulthood (18-24)",worksheet[[#This Row],[age]]&lt; 35,"2. Early Adulthood (25-34)",worksheet[[#This Row],[age]]&lt; 45,"3. Mid Adulthood (35-44)",worksheet[[#This Row],[age]]&lt; 55,"4. Mature Adulthood (45-54)",TRUE,"5. Late Adulthood/Senior (55+)")</f>
        <v>1. Young Adulthood (18-24)</v>
      </c>
      <c r="D1416" t="s">
        <v>27</v>
      </c>
      <c r="E1416" t="s">
        <v>16</v>
      </c>
      <c r="F1416" s="4">
        <v>5.12</v>
      </c>
      <c r="G1416" s="5">
        <v>27</v>
      </c>
      <c r="H1416" t="s">
        <v>70</v>
      </c>
      <c r="I1416" t="s">
        <v>46</v>
      </c>
      <c r="J1416" s="6">
        <v>8.99</v>
      </c>
      <c r="K1416">
        <v>0</v>
      </c>
      <c r="L1416" t="s">
        <v>43</v>
      </c>
      <c r="M1416" s="5">
        <v>4</v>
      </c>
      <c r="N1416" s="4">
        <v>0.18</v>
      </c>
      <c r="O1416" t="s">
        <v>39</v>
      </c>
    </row>
    <row r="1417" spans="1:15" x14ac:dyDescent="0.3">
      <c r="A1417" t="s">
        <v>4351</v>
      </c>
      <c r="B1417" s="5">
        <v>21</v>
      </c>
      <c r="C1417" s="5" t="str" cm="1">
        <f t="array" ref="C1417">_xlfn.IFS(worksheet[[#This Row],[age]]&lt;25,"1. Young Adulthood (18-24)",worksheet[[#This Row],[age]]&lt; 35,"2. Early Adulthood (25-34)",worksheet[[#This Row],[age]]&lt; 45,"3. Mid Adulthood (35-44)",worksheet[[#This Row],[age]]&lt; 55,"4. Mature Adulthood (45-54)",TRUE,"5. Late Adulthood/Senior (55+)")</f>
        <v>1. Young Adulthood (18-24)</v>
      </c>
      <c r="D1417" t="s">
        <v>27</v>
      </c>
      <c r="E1417" t="s">
        <v>32</v>
      </c>
      <c r="F1417" s="4">
        <v>27.5</v>
      </c>
      <c r="G1417" s="5">
        <v>26</v>
      </c>
      <c r="H1417" t="s">
        <v>49</v>
      </c>
      <c r="I1417" t="s">
        <v>57</v>
      </c>
      <c r="J1417" s="6">
        <v>17.989999999999998</v>
      </c>
      <c r="K1417">
        <v>0</v>
      </c>
      <c r="L1417" t="s">
        <v>29</v>
      </c>
      <c r="M1417" s="5">
        <v>2</v>
      </c>
      <c r="N1417" s="4">
        <v>1.02</v>
      </c>
      <c r="O1417" t="s">
        <v>34</v>
      </c>
    </row>
    <row r="1418" spans="1:15" x14ac:dyDescent="0.3">
      <c r="A1418" t="s">
        <v>4354</v>
      </c>
      <c r="B1418" s="5">
        <v>33</v>
      </c>
      <c r="C1418" s="5" t="str" cm="1">
        <f t="array" ref="C1418">_xlfn.IFS(worksheet[[#This Row],[age]]&lt;25,"1. Young Adulthood (18-24)",worksheet[[#This Row],[age]]&lt; 35,"2. Early Adulthood (25-34)",worksheet[[#This Row],[age]]&lt; 45,"3. Mid Adulthood (35-44)",worksheet[[#This Row],[age]]&lt; 55,"4. Mature Adulthood (45-54)",TRUE,"5. Late Adulthood/Senior (55+)")</f>
        <v>2. Early Adulthood (25-34)</v>
      </c>
      <c r="D1418" t="s">
        <v>15</v>
      </c>
      <c r="E1418" t="s">
        <v>22</v>
      </c>
      <c r="F1418" s="4">
        <v>10.71</v>
      </c>
      <c r="G1418" s="5">
        <v>25</v>
      </c>
      <c r="H1418" t="s">
        <v>70</v>
      </c>
      <c r="I1418" t="s">
        <v>46</v>
      </c>
      <c r="J1418" s="6">
        <v>13.99</v>
      </c>
      <c r="K1418">
        <v>0</v>
      </c>
      <c r="L1418" t="s">
        <v>61</v>
      </c>
      <c r="M1418" s="5">
        <v>1</v>
      </c>
      <c r="N1418" s="4">
        <v>0.41</v>
      </c>
      <c r="O1418" t="s">
        <v>34</v>
      </c>
    </row>
    <row r="1419" spans="1:15" x14ac:dyDescent="0.3">
      <c r="A1419" t="s">
        <v>4358</v>
      </c>
      <c r="B1419" s="5">
        <v>33</v>
      </c>
      <c r="C1419" s="5" t="str" cm="1">
        <f t="array" ref="C1419">_xlfn.IFS(worksheet[[#This Row],[age]]&lt;25,"1. Young Adulthood (18-24)",worksheet[[#This Row],[age]]&lt; 35,"2. Early Adulthood (25-34)",worksheet[[#This Row],[age]]&lt; 45,"3. Mid Adulthood (35-44)",worksheet[[#This Row],[age]]&lt; 55,"4. Mature Adulthood (45-54)",TRUE,"5. Late Adulthood/Senior (55+)")</f>
        <v>2. Early Adulthood (25-34)</v>
      </c>
      <c r="D1419" t="s">
        <v>15</v>
      </c>
      <c r="E1419" t="s">
        <v>22</v>
      </c>
      <c r="F1419" s="4">
        <v>3.76</v>
      </c>
      <c r="G1419" s="5">
        <v>16</v>
      </c>
      <c r="H1419" t="s">
        <v>70</v>
      </c>
      <c r="I1419" t="s">
        <v>18</v>
      </c>
      <c r="J1419" s="6">
        <v>13.99</v>
      </c>
      <c r="K1419">
        <v>0</v>
      </c>
      <c r="L1419" t="s">
        <v>37</v>
      </c>
      <c r="M1419" s="5">
        <v>5</v>
      </c>
      <c r="N1419" s="4">
        <v>0.22</v>
      </c>
      <c r="O1419" t="s">
        <v>47</v>
      </c>
    </row>
    <row r="1420" spans="1:15" x14ac:dyDescent="0.3">
      <c r="A1420" t="s">
        <v>4360</v>
      </c>
      <c r="B1420" s="5">
        <v>33</v>
      </c>
      <c r="C1420" s="5" t="str" cm="1">
        <f t="array" ref="C1420">_xlfn.IFS(worksheet[[#This Row],[age]]&lt;25,"1. Young Adulthood (18-24)",worksheet[[#This Row],[age]]&lt; 35,"2. Early Adulthood (25-34)",worksheet[[#This Row],[age]]&lt; 45,"3. Mid Adulthood (35-44)",worksheet[[#This Row],[age]]&lt; 55,"4. Mature Adulthood (45-54)",TRUE,"5. Late Adulthood/Senior (55+)")</f>
        <v>2. Early Adulthood (25-34)</v>
      </c>
      <c r="D1420" t="s">
        <v>41</v>
      </c>
      <c r="E1420" t="s">
        <v>22</v>
      </c>
      <c r="F1420" s="4">
        <v>2.5299999999999998</v>
      </c>
      <c r="G1420" s="5">
        <v>30</v>
      </c>
      <c r="H1420" t="s">
        <v>28</v>
      </c>
      <c r="I1420" t="s">
        <v>18</v>
      </c>
      <c r="J1420" s="6">
        <v>13.99</v>
      </c>
      <c r="K1420">
        <v>1</v>
      </c>
      <c r="L1420" t="s">
        <v>37</v>
      </c>
      <c r="M1420" s="5">
        <v>3</v>
      </c>
      <c r="N1420" s="4">
        <v>0.08</v>
      </c>
      <c r="O1420" t="s">
        <v>47</v>
      </c>
    </row>
    <row r="1421" spans="1:15" x14ac:dyDescent="0.3">
      <c r="A1421" t="s">
        <v>4367</v>
      </c>
      <c r="B1421" s="5">
        <v>26</v>
      </c>
      <c r="C1421" s="5" t="str" cm="1">
        <f t="array" ref="C1421">_xlfn.IFS(worksheet[[#This Row],[age]]&lt;25,"1. Young Adulthood (18-24)",worksheet[[#This Row],[age]]&lt; 35,"2. Early Adulthood (25-34)",worksheet[[#This Row],[age]]&lt; 45,"3. Mid Adulthood (35-44)",worksheet[[#This Row],[age]]&lt; 55,"4. Mature Adulthood (45-54)",TRUE,"5. Late Adulthood/Senior (55+)")</f>
        <v>2. Early Adulthood (25-34)</v>
      </c>
      <c r="D1421" t="s">
        <v>41</v>
      </c>
      <c r="E1421" t="s">
        <v>22</v>
      </c>
      <c r="F1421" s="4">
        <v>2.87</v>
      </c>
      <c r="G1421" s="5">
        <v>50</v>
      </c>
      <c r="H1421" t="s">
        <v>17</v>
      </c>
      <c r="I1421" t="s">
        <v>55</v>
      </c>
      <c r="J1421" s="6">
        <v>13.99</v>
      </c>
      <c r="K1421">
        <v>1</v>
      </c>
      <c r="L1421" t="s">
        <v>43</v>
      </c>
      <c r="M1421" s="5">
        <v>3</v>
      </c>
      <c r="N1421" s="4">
        <v>0.06</v>
      </c>
      <c r="O1421" t="s">
        <v>30</v>
      </c>
    </row>
    <row r="1422" spans="1:15" x14ac:dyDescent="0.3">
      <c r="A1422" t="s">
        <v>4374</v>
      </c>
      <c r="B1422" s="5">
        <v>34</v>
      </c>
      <c r="C1422" s="5" t="str" cm="1">
        <f t="array" ref="C1422">_xlfn.IFS(worksheet[[#This Row],[age]]&lt;25,"1. Young Adulthood (18-24)",worksheet[[#This Row],[age]]&lt; 35,"2. Early Adulthood (25-34)",worksheet[[#This Row],[age]]&lt; 45,"3. Mid Adulthood (35-44)",worksheet[[#This Row],[age]]&lt; 55,"4. Mature Adulthood (45-54)",TRUE,"5. Late Adulthood/Senior (55+)")</f>
        <v>2. Early Adulthood (25-34)</v>
      </c>
      <c r="D1422" t="s">
        <v>27</v>
      </c>
      <c r="E1422" t="s">
        <v>32</v>
      </c>
      <c r="F1422" s="4">
        <v>1.56</v>
      </c>
      <c r="G1422" s="5">
        <v>8</v>
      </c>
      <c r="H1422" t="s">
        <v>70</v>
      </c>
      <c r="I1422" t="s">
        <v>57</v>
      </c>
      <c r="J1422" s="6">
        <v>17.989999999999998</v>
      </c>
      <c r="K1422">
        <v>1</v>
      </c>
      <c r="L1422" t="s">
        <v>43</v>
      </c>
      <c r="M1422" s="5">
        <v>3</v>
      </c>
      <c r="N1422" s="4">
        <v>0.17</v>
      </c>
      <c r="O1422" t="s">
        <v>34</v>
      </c>
    </row>
    <row r="1423" spans="1:15" x14ac:dyDescent="0.3">
      <c r="A1423" t="s">
        <v>4375</v>
      </c>
      <c r="B1423" s="5">
        <v>24</v>
      </c>
      <c r="C1423" s="5" t="str" cm="1">
        <f t="array" ref="C1423">_xlfn.IFS(worksheet[[#This Row],[age]]&lt;25,"1. Young Adulthood (18-24)",worksheet[[#This Row],[age]]&lt; 35,"2. Early Adulthood (25-34)",worksheet[[#This Row],[age]]&lt; 45,"3. Mid Adulthood (35-44)",worksheet[[#This Row],[age]]&lt; 55,"4. Mature Adulthood (45-54)",TRUE,"5. Late Adulthood/Senior (55+)")</f>
        <v>1. Young Adulthood (18-24)</v>
      </c>
      <c r="D1423" t="s">
        <v>15</v>
      </c>
      <c r="E1423" t="s">
        <v>16</v>
      </c>
      <c r="F1423" s="4">
        <v>2.42</v>
      </c>
      <c r="G1423" s="5">
        <v>24</v>
      </c>
      <c r="H1423" t="s">
        <v>17</v>
      </c>
      <c r="I1423" t="s">
        <v>57</v>
      </c>
      <c r="J1423" s="6">
        <v>8.99</v>
      </c>
      <c r="K1423">
        <v>1</v>
      </c>
      <c r="L1423" t="s">
        <v>43</v>
      </c>
      <c r="M1423" s="5">
        <v>3</v>
      </c>
      <c r="N1423" s="4">
        <v>0.1</v>
      </c>
      <c r="O1423" t="s">
        <v>34</v>
      </c>
    </row>
    <row r="1424" spans="1:15" x14ac:dyDescent="0.3">
      <c r="A1424" t="s">
        <v>4376</v>
      </c>
      <c r="B1424" s="5">
        <v>24</v>
      </c>
      <c r="C1424" s="5" t="str" cm="1">
        <f t="array" ref="C1424">_xlfn.IFS(worksheet[[#This Row],[age]]&lt;25,"1. Young Adulthood (18-24)",worksheet[[#This Row],[age]]&lt; 35,"2. Early Adulthood (25-34)",worksheet[[#This Row],[age]]&lt; 45,"3. Mid Adulthood (35-44)",worksheet[[#This Row],[age]]&lt; 55,"4. Mature Adulthood (45-54)",TRUE,"5. Late Adulthood/Senior (55+)")</f>
        <v>1. Young Adulthood (18-24)</v>
      </c>
      <c r="D1424" t="s">
        <v>41</v>
      </c>
      <c r="E1424" t="s">
        <v>32</v>
      </c>
      <c r="F1424" s="4">
        <v>6.65</v>
      </c>
      <c r="G1424" s="5">
        <v>7</v>
      </c>
      <c r="H1424" t="s">
        <v>23</v>
      </c>
      <c r="I1424" t="s">
        <v>24</v>
      </c>
      <c r="J1424" s="6">
        <v>17.989999999999998</v>
      </c>
      <c r="K1424">
        <v>0</v>
      </c>
      <c r="L1424" t="s">
        <v>29</v>
      </c>
      <c r="M1424" s="5">
        <v>4</v>
      </c>
      <c r="N1424" s="4">
        <v>0.83</v>
      </c>
      <c r="O1424" t="s">
        <v>34</v>
      </c>
    </row>
    <row r="1425" spans="1:15" x14ac:dyDescent="0.3">
      <c r="A1425" t="s">
        <v>4380</v>
      </c>
      <c r="B1425" s="5">
        <v>25</v>
      </c>
      <c r="C1425" s="5" t="str" cm="1">
        <f t="array" ref="C1425">_xlfn.IFS(worksheet[[#This Row],[age]]&lt;25,"1. Young Adulthood (18-24)",worksheet[[#This Row],[age]]&lt; 35,"2. Early Adulthood (25-34)",worksheet[[#This Row],[age]]&lt; 45,"3. Mid Adulthood (35-44)",worksheet[[#This Row],[age]]&lt; 55,"4. Mature Adulthood (45-54)",TRUE,"5. Late Adulthood/Senior (55+)")</f>
        <v>2. Early Adulthood (25-34)</v>
      </c>
      <c r="D1425" t="s">
        <v>27</v>
      </c>
      <c r="E1425" t="s">
        <v>16</v>
      </c>
      <c r="F1425" s="4">
        <v>0.05</v>
      </c>
      <c r="G1425" s="5">
        <v>52</v>
      </c>
      <c r="H1425" t="s">
        <v>17</v>
      </c>
      <c r="I1425" t="s">
        <v>57</v>
      </c>
      <c r="J1425" s="6">
        <v>8.99</v>
      </c>
      <c r="K1425">
        <v>1</v>
      </c>
      <c r="L1425" t="s">
        <v>37</v>
      </c>
      <c r="M1425" s="5">
        <v>1</v>
      </c>
      <c r="N1425" s="4">
        <v>0</v>
      </c>
      <c r="O1425" t="s">
        <v>20</v>
      </c>
    </row>
    <row r="1426" spans="1:15" x14ac:dyDescent="0.3">
      <c r="A1426" t="s">
        <v>4383</v>
      </c>
      <c r="B1426" s="5">
        <v>19</v>
      </c>
      <c r="C1426" s="5" t="str" cm="1">
        <f t="array" ref="C1426">_xlfn.IFS(worksheet[[#This Row],[age]]&lt;25,"1. Young Adulthood (18-24)",worksheet[[#This Row],[age]]&lt; 35,"2. Early Adulthood (25-34)",worksheet[[#This Row],[age]]&lt; 45,"3. Mid Adulthood (35-44)",worksheet[[#This Row],[age]]&lt; 55,"4. Mature Adulthood (45-54)",TRUE,"5. Late Adulthood/Senior (55+)")</f>
        <v>1. Young Adulthood (18-24)</v>
      </c>
      <c r="D1426" t="s">
        <v>27</v>
      </c>
      <c r="E1426" t="s">
        <v>32</v>
      </c>
      <c r="F1426" s="4">
        <v>17.12</v>
      </c>
      <c r="G1426" s="5">
        <v>11</v>
      </c>
      <c r="H1426" t="s">
        <v>23</v>
      </c>
      <c r="I1426" t="s">
        <v>18</v>
      </c>
      <c r="J1426" s="6">
        <v>17.989999999999998</v>
      </c>
      <c r="K1426">
        <v>0</v>
      </c>
      <c r="L1426" t="s">
        <v>61</v>
      </c>
      <c r="M1426" s="5">
        <v>1</v>
      </c>
      <c r="N1426" s="4">
        <v>1.43</v>
      </c>
      <c r="O1426" t="s">
        <v>25</v>
      </c>
    </row>
    <row r="1427" spans="1:15" x14ac:dyDescent="0.3">
      <c r="A1427" t="s">
        <v>4385</v>
      </c>
      <c r="B1427" s="5">
        <v>26</v>
      </c>
      <c r="C1427" s="5" t="str" cm="1">
        <f t="array" ref="C1427">_xlfn.IFS(worksheet[[#This Row],[age]]&lt;25,"1. Young Adulthood (18-24)",worksheet[[#This Row],[age]]&lt; 35,"2. Early Adulthood (25-34)",worksheet[[#This Row],[age]]&lt; 45,"3. Mid Adulthood (35-44)",worksheet[[#This Row],[age]]&lt; 55,"4. Mature Adulthood (45-54)",TRUE,"5. Late Adulthood/Senior (55+)")</f>
        <v>2. Early Adulthood (25-34)</v>
      </c>
      <c r="D1427" t="s">
        <v>15</v>
      </c>
      <c r="E1427" t="s">
        <v>22</v>
      </c>
      <c r="F1427" s="4">
        <v>9.6</v>
      </c>
      <c r="G1427" s="5">
        <v>18</v>
      </c>
      <c r="H1427" t="s">
        <v>33</v>
      </c>
      <c r="I1427" t="s">
        <v>55</v>
      </c>
      <c r="J1427" s="6">
        <v>13.99</v>
      </c>
      <c r="K1427">
        <v>0</v>
      </c>
      <c r="L1427" t="s">
        <v>29</v>
      </c>
      <c r="M1427" s="5">
        <v>4</v>
      </c>
      <c r="N1427" s="4">
        <v>0.51</v>
      </c>
      <c r="O1427" t="s">
        <v>34</v>
      </c>
    </row>
    <row r="1428" spans="1:15" x14ac:dyDescent="0.3">
      <c r="A1428" t="s">
        <v>4386</v>
      </c>
      <c r="B1428" s="5">
        <v>23</v>
      </c>
      <c r="C1428" s="5" t="str" cm="1">
        <f t="array" ref="C1428">_xlfn.IFS(worksheet[[#This Row],[age]]&lt;25,"1. Young Adulthood (18-24)",worksheet[[#This Row],[age]]&lt; 35,"2. Early Adulthood (25-34)",worksheet[[#This Row],[age]]&lt; 45,"3. Mid Adulthood (35-44)",worksheet[[#This Row],[age]]&lt; 55,"4. Mature Adulthood (45-54)",TRUE,"5. Late Adulthood/Senior (55+)")</f>
        <v>1. Young Adulthood (18-24)</v>
      </c>
      <c r="D1428" t="s">
        <v>15</v>
      </c>
      <c r="E1428" t="s">
        <v>32</v>
      </c>
      <c r="F1428" s="4">
        <v>30.22</v>
      </c>
      <c r="G1428" s="5">
        <v>27</v>
      </c>
      <c r="H1428" t="s">
        <v>49</v>
      </c>
      <c r="I1428" t="s">
        <v>55</v>
      </c>
      <c r="J1428" s="6">
        <v>17.989999999999998</v>
      </c>
      <c r="K1428">
        <v>0</v>
      </c>
      <c r="L1428" t="s">
        <v>19</v>
      </c>
      <c r="M1428" s="5">
        <v>1</v>
      </c>
      <c r="N1428" s="4">
        <v>1.08</v>
      </c>
      <c r="O1428" t="s">
        <v>25</v>
      </c>
    </row>
    <row r="1429" spans="1:15" x14ac:dyDescent="0.3">
      <c r="A1429" t="s">
        <v>4387</v>
      </c>
      <c r="B1429" s="5">
        <v>25</v>
      </c>
      <c r="C1429" s="5" t="str" cm="1">
        <f t="array" ref="C1429">_xlfn.IFS(worksheet[[#This Row],[age]]&lt;25,"1. Young Adulthood (18-24)",worksheet[[#This Row],[age]]&lt; 35,"2. Early Adulthood (25-34)",worksheet[[#This Row],[age]]&lt; 45,"3. Mid Adulthood (35-44)",worksheet[[#This Row],[age]]&lt; 55,"4. Mature Adulthood (45-54)",TRUE,"5. Late Adulthood/Senior (55+)")</f>
        <v>2. Early Adulthood (25-34)</v>
      </c>
      <c r="D1429" t="s">
        <v>41</v>
      </c>
      <c r="E1429" t="s">
        <v>16</v>
      </c>
      <c r="F1429" s="4">
        <v>12.69</v>
      </c>
      <c r="G1429" s="5">
        <v>39</v>
      </c>
      <c r="H1429" t="s">
        <v>23</v>
      </c>
      <c r="I1429" t="s">
        <v>24</v>
      </c>
      <c r="J1429" s="6">
        <v>8.99</v>
      </c>
      <c r="K1429">
        <v>1</v>
      </c>
      <c r="L1429" t="s">
        <v>61</v>
      </c>
      <c r="M1429" s="5">
        <v>3</v>
      </c>
      <c r="N1429" s="4">
        <v>0.32</v>
      </c>
      <c r="O1429" t="s">
        <v>25</v>
      </c>
    </row>
    <row r="1430" spans="1:15" x14ac:dyDescent="0.3">
      <c r="A1430" t="s">
        <v>4388</v>
      </c>
      <c r="B1430" s="5">
        <v>18</v>
      </c>
      <c r="C1430" s="5" t="str" cm="1">
        <f t="array" ref="C1430">_xlfn.IFS(worksheet[[#This Row],[age]]&lt;25,"1. Young Adulthood (18-24)",worksheet[[#This Row],[age]]&lt; 35,"2. Early Adulthood (25-34)",worksheet[[#This Row],[age]]&lt; 45,"3. Mid Adulthood (35-44)",worksheet[[#This Row],[age]]&lt; 55,"4. Mature Adulthood (45-54)",TRUE,"5. Late Adulthood/Senior (55+)")</f>
        <v>1. Young Adulthood (18-24)</v>
      </c>
      <c r="D1430" t="s">
        <v>41</v>
      </c>
      <c r="E1430" t="s">
        <v>16</v>
      </c>
      <c r="F1430" s="4">
        <v>29.27</v>
      </c>
      <c r="G1430" s="5">
        <v>45</v>
      </c>
      <c r="H1430" t="s">
        <v>28</v>
      </c>
      <c r="I1430" t="s">
        <v>46</v>
      </c>
      <c r="J1430" s="6">
        <v>8.99</v>
      </c>
      <c r="K1430">
        <v>1</v>
      </c>
      <c r="L1430" t="s">
        <v>29</v>
      </c>
      <c r="M1430" s="5">
        <v>1</v>
      </c>
      <c r="N1430" s="4">
        <v>0.64</v>
      </c>
      <c r="O1430" t="s">
        <v>25</v>
      </c>
    </row>
    <row r="1431" spans="1:15" x14ac:dyDescent="0.3">
      <c r="A1431" t="s">
        <v>4396</v>
      </c>
      <c r="B1431" s="5">
        <v>31</v>
      </c>
      <c r="C1431" s="5" t="str" cm="1">
        <f t="array" ref="C1431">_xlfn.IFS(worksheet[[#This Row],[age]]&lt;25,"1. Young Adulthood (18-24)",worksheet[[#This Row],[age]]&lt; 35,"2. Early Adulthood (25-34)",worksheet[[#This Row],[age]]&lt; 45,"3. Mid Adulthood (35-44)",worksheet[[#This Row],[age]]&lt; 55,"4. Mature Adulthood (45-54)",TRUE,"5. Late Adulthood/Senior (55+)")</f>
        <v>2. Early Adulthood (25-34)</v>
      </c>
      <c r="D1431" t="s">
        <v>41</v>
      </c>
      <c r="E1431" t="s">
        <v>16</v>
      </c>
      <c r="F1431" s="4">
        <v>2.85</v>
      </c>
      <c r="G1431" s="5">
        <v>5</v>
      </c>
      <c r="H1431" t="s">
        <v>33</v>
      </c>
      <c r="I1431" t="s">
        <v>24</v>
      </c>
      <c r="J1431" s="6">
        <v>8.99</v>
      </c>
      <c r="K1431">
        <v>1</v>
      </c>
      <c r="L1431" t="s">
        <v>37</v>
      </c>
      <c r="M1431" s="5">
        <v>5</v>
      </c>
      <c r="N1431" s="4">
        <v>0.48</v>
      </c>
      <c r="O1431" t="s">
        <v>34</v>
      </c>
    </row>
    <row r="1432" spans="1:15" x14ac:dyDescent="0.3">
      <c r="A1432" t="s">
        <v>4398</v>
      </c>
      <c r="B1432" s="5">
        <v>18</v>
      </c>
      <c r="C1432" s="5" t="str" cm="1">
        <f t="array" ref="C1432">_xlfn.IFS(worksheet[[#This Row],[age]]&lt;25,"1. Young Adulthood (18-24)",worksheet[[#This Row],[age]]&lt; 35,"2. Early Adulthood (25-34)",worksheet[[#This Row],[age]]&lt; 45,"3. Mid Adulthood (35-44)",worksheet[[#This Row],[age]]&lt; 55,"4. Mature Adulthood (45-54)",TRUE,"5. Late Adulthood/Senior (55+)")</f>
        <v>1. Young Adulthood (18-24)</v>
      </c>
      <c r="D1432" t="s">
        <v>27</v>
      </c>
      <c r="E1432" t="s">
        <v>32</v>
      </c>
      <c r="F1432" s="4">
        <v>12.95</v>
      </c>
      <c r="G1432" s="5">
        <v>39</v>
      </c>
      <c r="H1432" t="s">
        <v>70</v>
      </c>
      <c r="I1432" t="s">
        <v>18</v>
      </c>
      <c r="J1432" s="6">
        <v>17.989999999999998</v>
      </c>
      <c r="K1432">
        <v>1</v>
      </c>
      <c r="L1432" t="s">
        <v>19</v>
      </c>
      <c r="M1432" s="5">
        <v>4</v>
      </c>
      <c r="N1432" s="4">
        <v>0.32</v>
      </c>
      <c r="O1432" t="s">
        <v>39</v>
      </c>
    </row>
    <row r="1433" spans="1:15" x14ac:dyDescent="0.3">
      <c r="A1433" t="s">
        <v>4401</v>
      </c>
      <c r="B1433" s="5">
        <v>27</v>
      </c>
      <c r="C1433" s="5" t="str" cm="1">
        <f t="array" ref="C1433">_xlfn.IFS(worksheet[[#This Row],[age]]&lt;25,"1. Young Adulthood (18-24)",worksheet[[#This Row],[age]]&lt; 35,"2. Early Adulthood (25-34)",worksheet[[#This Row],[age]]&lt; 45,"3. Mid Adulthood (35-44)",worksheet[[#This Row],[age]]&lt; 55,"4. Mature Adulthood (45-54)",TRUE,"5. Late Adulthood/Senior (55+)")</f>
        <v>2. Early Adulthood (25-34)</v>
      </c>
      <c r="D1433" t="s">
        <v>27</v>
      </c>
      <c r="E1433" t="s">
        <v>22</v>
      </c>
      <c r="F1433" s="4">
        <v>3.46</v>
      </c>
      <c r="G1433" s="5">
        <v>42</v>
      </c>
      <c r="H1433" t="s">
        <v>23</v>
      </c>
      <c r="I1433" t="s">
        <v>46</v>
      </c>
      <c r="J1433" s="6">
        <v>13.99</v>
      </c>
      <c r="K1433">
        <v>1</v>
      </c>
      <c r="L1433" t="s">
        <v>19</v>
      </c>
      <c r="M1433" s="5">
        <v>5</v>
      </c>
      <c r="N1433" s="4">
        <v>0.08</v>
      </c>
      <c r="O1433" t="s">
        <v>47</v>
      </c>
    </row>
    <row r="1434" spans="1:15" x14ac:dyDescent="0.3">
      <c r="A1434" t="s">
        <v>4403</v>
      </c>
      <c r="B1434" s="5">
        <v>28</v>
      </c>
      <c r="C1434" s="5" t="str" cm="1">
        <f t="array" ref="C1434">_xlfn.IFS(worksheet[[#This Row],[age]]&lt;25,"1. Young Adulthood (18-24)",worksheet[[#This Row],[age]]&lt; 35,"2. Early Adulthood (25-34)",worksheet[[#This Row],[age]]&lt; 45,"3. Mid Adulthood (35-44)",worksheet[[#This Row],[age]]&lt; 55,"4. Mature Adulthood (45-54)",TRUE,"5. Late Adulthood/Senior (55+)")</f>
        <v>2. Early Adulthood (25-34)</v>
      </c>
      <c r="D1434" t="s">
        <v>15</v>
      </c>
      <c r="E1434" t="s">
        <v>16</v>
      </c>
      <c r="F1434" s="4">
        <v>12.94</v>
      </c>
      <c r="G1434" s="5">
        <v>40</v>
      </c>
      <c r="H1434" t="s">
        <v>23</v>
      </c>
      <c r="I1434" t="s">
        <v>24</v>
      </c>
      <c r="J1434" s="6">
        <v>8.99</v>
      </c>
      <c r="K1434">
        <v>1</v>
      </c>
      <c r="L1434" t="s">
        <v>43</v>
      </c>
      <c r="M1434" s="5">
        <v>3</v>
      </c>
      <c r="N1434" s="4">
        <v>0.32</v>
      </c>
      <c r="O1434" t="s">
        <v>47</v>
      </c>
    </row>
    <row r="1435" spans="1:15" x14ac:dyDescent="0.3">
      <c r="A1435" t="s">
        <v>4405</v>
      </c>
      <c r="B1435" s="5">
        <v>24</v>
      </c>
      <c r="C1435" s="5" t="str" cm="1">
        <f t="array" ref="C1435">_xlfn.IFS(worksheet[[#This Row],[age]]&lt;25,"1. Young Adulthood (18-24)",worksheet[[#This Row],[age]]&lt; 35,"2. Early Adulthood (25-34)",worksheet[[#This Row],[age]]&lt; 45,"3. Mid Adulthood (35-44)",worksheet[[#This Row],[age]]&lt; 55,"4. Mature Adulthood (45-54)",TRUE,"5. Late Adulthood/Senior (55+)")</f>
        <v>1. Young Adulthood (18-24)</v>
      </c>
      <c r="D1435" t="s">
        <v>27</v>
      </c>
      <c r="E1435" t="s">
        <v>32</v>
      </c>
      <c r="F1435" s="4">
        <v>16.170000000000002</v>
      </c>
      <c r="G1435" s="5">
        <v>33</v>
      </c>
      <c r="H1435" t="s">
        <v>49</v>
      </c>
      <c r="I1435" t="s">
        <v>57</v>
      </c>
      <c r="J1435" s="6">
        <v>17.989999999999998</v>
      </c>
      <c r="K1435">
        <v>1</v>
      </c>
      <c r="L1435" t="s">
        <v>19</v>
      </c>
      <c r="M1435" s="5">
        <v>2</v>
      </c>
      <c r="N1435" s="4">
        <v>0.48</v>
      </c>
      <c r="O1435" t="s">
        <v>39</v>
      </c>
    </row>
    <row r="1436" spans="1:15" x14ac:dyDescent="0.3">
      <c r="A1436" t="s">
        <v>4410</v>
      </c>
      <c r="B1436" s="5">
        <v>33</v>
      </c>
      <c r="C1436" s="5" t="str" cm="1">
        <f t="array" ref="C1436">_xlfn.IFS(worksheet[[#This Row],[age]]&lt;25,"1. Young Adulthood (18-24)",worksheet[[#This Row],[age]]&lt; 35,"2. Early Adulthood (25-34)",worksheet[[#This Row],[age]]&lt; 45,"3. Mid Adulthood (35-44)",worksheet[[#This Row],[age]]&lt; 55,"4. Mature Adulthood (45-54)",TRUE,"5. Late Adulthood/Senior (55+)")</f>
        <v>2. Early Adulthood (25-34)</v>
      </c>
      <c r="D1436" t="s">
        <v>41</v>
      </c>
      <c r="E1436" t="s">
        <v>16</v>
      </c>
      <c r="F1436" s="4">
        <v>43.55</v>
      </c>
      <c r="G1436" s="5">
        <v>4</v>
      </c>
      <c r="H1436" t="s">
        <v>49</v>
      </c>
      <c r="I1436" t="s">
        <v>18</v>
      </c>
      <c r="J1436" s="6">
        <v>8.99</v>
      </c>
      <c r="K1436">
        <v>0</v>
      </c>
      <c r="L1436" t="s">
        <v>19</v>
      </c>
      <c r="M1436" s="5">
        <v>1</v>
      </c>
      <c r="N1436" s="4">
        <v>8.7100000000000009</v>
      </c>
      <c r="O1436" t="s">
        <v>52</v>
      </c>
    </row>
    <row r="1437" spans="1:15" x14ac:dyDescent="0.3">
      <c r="A1437" t="s">
        <v>4415</v>
      </c>
      <c r="B1437" s="5">
        <v>33</v>
      </c>
      <c r="C1437" s="5" t="str" cm="1">
        <f t="array" ref="C1437">_xlfn.IFS(worksheet[[#This Row],[age]]&lt;25,"1. Young Adulthood (18-24)",worksheet[[#This Row],[age]]&lt; 35,"2. Early Adulthood (25-34)",worksheet[[#This Row],[age]]&lt; 45,"3. Mid Adulthood (35-44)",worksheet[[#This Row],[age]]&lt; 55,"4. Mature Adulthood (45-54)",TRUE,"5. Late Adulthood/Senior (55+)")</f>
        <v>2. Early Adulthood (25-34)</v>
      </c>
      <c r="D1437" t="s">
        <v>41</v>
      </c>
      <c r="E1437" t="s">
        <v>22</v>
      </c>
      <c r="F1437" s="4">
        <v>5.76</v>
      </c>
      <c r="G1437" s="5">
        <v>40</v>
      </c>
      <c r="H1437" t="s">
        <v>23</v>
      </c>
      <c r="I1437" t="s">
        <v>55</v>
      </c>
      <c r="J1437" s="6">
        <v>13.99</v>
      </c>
      <c r="K1437">
        <v>1</v>
      </c>
      <c r="L1437" t="s">
        <v>19</v>
      </c>
      <c r="M1437" s="5">
        <v>5</v>
      </c>
      <c r="N1437" s="4">
        <v>0.14000000000000001</v>
      </c>
      <c r="O1437" t="s">
        <v>47</v>
      </c>
    </row>
    <row r="1438" spans="1:15" x14ac:dyDescent="0.3">
      <c r="A1438" t="s">
        <v>4418</v>
      </c>
      <c r="B1438" s="5">
        <v>23</v>
      </c>
      <c r="C1438" s="5" t="str" cm="1">
        <f t="array" ref="C1438">_xlfn.IFS(worksheet[[#This Row],[age]]&lt;25,"1. Young Adulthood (18-24)",worksheet[[#This Row],[age]]&lt; 35,"2. Early Adulthood (25-34)",worksheet[[#This Row],[age]]&lt; 45,"3. Mid Adulthood (35-44)",worksheet[[#This Row],[age]]&lt; 55,"4. Mature Adulthood (45-54)",TRUE,"5. Late Adulthood/Senior (55+)")</f>
        <v>1. Young Adulthood (18-24)</v>
      </c>
      <c r="D1438" t="s">
        <v>15</v>
      </c>
      <c r="E1438" t="s">
        <v>32</v>
      </c>
      <c r="F1438" s="4">
        <v>15.27</v>
      </c>
      <c r="G1438" s="5">
        <v>27</v>
      </c>
      <c r="H1438" t="s">
        <v>28</v>
      </c>
      <c r="I1438" t="s">
        <v>57</v>
      </c>
      <c r="J1438" s="6">
        <v>17.989999999999998</v>
      </c>
      <c r="K1438">
        <v>0</v>
      </c>
      <c r="L1438" t="s">
        <v>43</v>
      </c>
      <c r="M1438" s="5">
        <v>1</v>
      </c>
      <c r="N1438" s="4">
        <v>0.55000000000000004</v>
      </c>
      <c r="O1438" t="s">
        <v>30</v>
      </c>
    </row>
    <row r="1439" spans="1:15" x14ac:dyDescent="0.3">
      <c r="A1439" t="s">
        <v>4419</v>
      </c>
      <c r="B1439" s="5">
        <v>22</v>
      </c>
      <c r="C1439" s="5" t="str" cm="1">
        <f t="array" ref="C1439">_xlfn.IFS(worksheet[[#This Row],[age]]&lt;25,"1. Young Adulthood (18-24)",worksheet[[#This Row],[age]]&lt; 35,"2. Early Adulthood (25-34)",worksheet[[#This Row],[age]]&lt; 45,"3. Mid Adulthood (35-44)",worksheet[[#This Row],[age]]&lt; 55,"4. Mature Adulthood (45-54)",TRUE,"5. Late Adulthood/Senior (55+)")</f>
        <v>1. Young Adulthood (18-24)</v>
      </c>
      <c r="D1439" t="s">
        <v>27</v>
      </c>
      <c r="E1439" t="s">
        <v>32</v>
      </c>
      <c r="F1439" s="4">
        <v>7.28</v>
      </c>
      <c r="G1439" s="5">
        <v>43</v>
      </c>
      <c r="H1439" t="s">
        <v>70</v>
      </c>
      <c r="I1439" t="s">
        <v>55</v>
      </c>
      <c r="J1439" s="6">
        <v>17.989999999999998</v>
      </c>
      <c r="K1439">
        <v>0</v>
      </c>
      <c r="L1439" t="s">
        <v>37</v>
      </c>
      <c r="M1439" s="5">
        <v>5</v>
      </c>
      <c r="N1439" s="4">
        <v>0.17</v>
      </c>
      <c r="O1439" t="s">
        <v>25</v>
      </c>
    </row>
    <row r="1440" spans="1:15" x14ac:dyDescent="0.3">
      <c r="A1440" t="s">
        <v>4423</v>
      </c>
      <c r="B1440" s="5">
        <v>28</v>
      </c>
      <c r="C1440" s="5" t="str" cm="1">
        <f t="array" ref="C1440">_xlfn.IFS(worksheet[[#This Row],[age]]&lt;25,"1. Young Adulthood (18-24)",worksheet[[#This Row],[age]]&lt; 35,"2. Early Adulthood (25-34)",worksheet[[#This Row],[age]]&lt; 45,"3. Mid Adulthood (35-44)",worksheet[[#This Row],[age]]&lt; 55,"4. Mature Adulthood (45-54)",TRUE,"5. Late Adulthood/Senior (55+)")</f>
        <v>2. Early Adulthood (25-34)</v>
      </c>
      <c r="D1440" t="s">
        <v>15</v>
      </c>
      <c r="E1440" t="s">
        <v>32</v>
      </c>
      <c r="F1440" s="4">
        <v>0.77</v>
      </c>
      <c r="G1440" s="5">
        <v>21</v>
      </c>
      <c r="H1440" t="s">
        <v>70</v>
      </c>
      <c r="I1440" t="s">
        <v>24</v>
      </c>
      <c r="J1440" s="6">
        <v>17.989999999999998</v>
      </c>
      <c r="K1440">
        <v>1</v>
      </c>
      <c r="L1440" t="s">
        <v>29</v>
      </c>
      <c r="M1440" s="5">
        <v>2</v>
      </c>
      <c r="N1440" s="4">
        <v>0.04</v>
      </c>
      <c r="O1440" t="s">
        <v>20</v>
      </c>
    </row>
    <row r="1441" spans="1:15" x14ac:dyDescent="0.3">
      <c r="A1441" t="s">
        <v>4425</v>
      </c>
      <c r="B1441" s="5">
        <v>31</v>
      </c>
      <c r="C1441" s="5" t="str" cm="1">
        <f t="array" ref="C1441">_xlfn.IFS(worksheet[[#This Row],[age]]&lt;25,"1. Young Adulthood (18-24)",worksheet[[#This Row],[age]]&lt; 35,"2. Early Adulthood (25-34)",worksheet[[#This Row],[age]]&lt; 45,"3. Mid Adulthood (35-44)",worksheet[[#This Row],[age]]&lt; 55,"4. Mature Adulthood (45-54)",TRUE,"5. Late Adulthood/Senior (55+)")</f>
        <v>2. Early Adulthood (25-34)</v>
      </c>
      <c r="D1441" t="s">
        <v>27</v>
      </c>
      <c r="E1441" t="s">
        <v>32</v>
      </c>
      <c r="F1441" s="4">
        <v>4.03</v>
      </c>
      <c r="G1441" s="5">
        <v>24</v>
      </c>
      <c r="H1441" t="s">
        <v>33</v>
      </c>
      <c r="I1441" t="s">
        <v>24</v>
      </c>
      <c r="J1441" s="6">
        <v>17.989999999999998</v>
      </c>
      <c r="K1441">
        <v>1</v>
      </c>
      <c r="L1441" t="s">
        <v>19</v>
      </c>
      <c r="M1441" s="5">
        <v>5</v>
      </c>
      <c r="N1441" s="4">
        <v>0.16</v>
      </c>
      <c r="O1441" t="s">
        <v>30</v>
      </c>
    </row>
    <row r="1442" spans="1:15" x14ac:dyDescent="0.3">
      <c r="A1442" t="s">
        <v>4429</v>
      </c>
      <c r="B1442" s="5">
        <v>29</v>
      </c>
      <c r="C1442" s="5" t="str" cm="1">
        <f t="array" ref="C1442">_xlfn.IFS(worksheet[[#This Row],[age]]&lt;25,"1. Young Adulthood (18-24)",worksheet[[#This Row],[age]]&lt; 35,"2. Early Adulthood (25-34)",worksheet[[#This Row],[age]]&lt; 45,"3. Mid Adulthood (35-44)",worksheet[[#This Row],[age]]&lt; 55,"4. Mature Adulthood (45-54)",TRUE,"5. Late Adulthood/Senior (55+)")</f>
        <v>2. Early Adulthood (25-34)</v>
      </c>
      <c r="D1442" t="s">
        <v>41</v>
      </c>
      <c r="E1442" t="s">
        <v>32</v>
      </c>
      <c r="F1442" s="4">
        <v>15.36</v>
      </c>
      <c r="G1442" s="5">
        <v>31</v>
      </c>
      <c r="H1442" t="s">
        <v>49</v>
      </c>
      <c r="I1442" t="s">
        <v>24</v>
      </c>
      <c r="J1442" s="6">
        <v>17.989999999999998</v>
      </c>
      <c r="K1442">
        <v>1</v>
      </c>
      <c r="L1442" t="s">
        <v>29</v>
      </c>
      <c r="M1442" s="5">
        <v>1</v>
      </c>
      <c r="N1442" s="4">
        <v>0.48</v>
      </c>
      <c r="O1442" t="s">
        <v>25</v>
      </c>
    </row>
    <row r="1443" spans="1:15" x14ac:dyDescent="0.3">
      <c r="A1443" t="s">
        <v>4432</v>
      </c>
      <c r="B1443" s="5">
        <v>32</v>
      </c>
      <c r="C1443" s="5" t="str" cm="1">
        <f t="array" ref="C1443">_xlfn.IFS(worksheet[[#This Row],[age]]&lt;25,"1. Young Adulthood (18-24)",worksheet[[#This Row],[age]]&lt; 35,"2. Early Adulthood (25-34)",worksheet[[#This Row],[age]]&lt; 45,"3. Mid Adulthood (35-44)",worksheet[[#This Row],[age]]&lt; 55,"4. Mature Adulthood (45-54)",TRUE,"5. Late Adulthood/Senior (55+)")</f>
        <v>2. Early Adulthood (25-34)</v>
      </c>
      <c r="D1443" t="s">
        <v>41</v>
      </c>
      <c r="E1443" t="s">
        <v>22</v>
      </c>
      <c r="F1443" s="4">
        <v>1.52</v>
      </c>
      <c r="G1443" s="5">
        <v>10</v>
      </c>
      <c r="H1443" t="s">
        <v>28</v>
      </c>
      <c r="I1443" t="s">
        <v>55</v>
      </c>
      <c r="J1443" s="6">
        <v>13.99</v>
      </c>
      <c r="K1443">
        <v>1</v>
      </c>
      <c r="L1443" t="s">
        <v>43</v>
      </c>
      <c r="M1443" s="5">
        <v>3</v>
      </c>
      <c r="N1443" s="4">
        <v>0.14000000000000001</v>
      </c>
      <c r="O1443" t="s">
        <v>20</v>
      </c>
    </row>
    <row r="1444" spans="1:15" x14ac:dyDescent="0.3">
      <c r="A1444" t="s">
        <v>4433</v>
      </c>
      <c r="B1444" s="5">
        <v>25</v>
      </c>
      <c r="C1444" s="5" t="str" cm="1">
        <f t="array" ref="C1444">_xlfn.IFS(worksheet[[#This Row],[age]]&lt;25,"1. Young Adulthood (18-24)",worksheet[[#This Row],[age]]&lt; 35,"2. Early Adulthood (25-34)",worksheet[[#This Row],[age]]&lt; 45,"3. Mid Adulthood (35-44)",worksheet[[#This Row],[age]]&lt; 55,"4. Mature Adulthood (45-54)",TRUE,"5. Late Adulthood/Senior (55+)")</f>
        <v>2. Early Adulthood (25-34)</v>
      </c>
      <c r="D1444" t="s">
        <v>27</v>
      </c>
      <c r="E1444" t="s">
        <v>32</v>
      </c>
      <c r="F1444" s="4">
        <v>0.82</v>
      </c>
      <c r="G1444" s="5">
        <v>22</v>
      </c>
      <c r="H1444" t="s">
        <v>33</v>
      </c>
      <c r="I1444" t="s">
        <v>57</v>
      </c>
      <c r="J1444" s="6">
        <v>17.989999999999998</v>
      </c>
      <c r="K1444">
        <v>1</v>
      </c>
      <c r="L1444" t="s">
        <v>29</v>
      </c>
      <c r="M1444" s="5">
        <v>1</v>
      </c>
      <c r="N1444" s="4">
        <v>0.04</v>
      </c>
      <c r="O1444" t="s">
        <v>39</v>
      </c>
    </row>
    <row r="1445" spans="1:15" x14ac:dyDescent="0.3">
      <c r="A1445" t="s">
        <v>4437</v>
      </c>
      <c r="B1445" s="5">
        <v>18</v>
      </c>
      <c r="C1445" s="5" t="str" cm="1">
        <f t="array" ref="C1445">_xlfn.IFS(worksheet[[#This Row],[age]]&lt;25,"1. Young Adulthood (18-24)",worksheet[[#This Row],[age]]&lt; 35,"2. Early Adulthood (25-34)",worksheet[[#This Row],[age]]&lt; 45,"3. Mid Adulthood (35-44)",worksheet[[#This Row],[age]]&lt; 55,"4. Mature Adulthood (45-54)",TRUE,"5. Late Adulthood/Senior (55+)")</f>
        <v>1. Young Adulthood (18-24)</v>
      </c>
      <c r="D1445" t="s">
        <v>41</v>
      </c>
      <c r="E1445" t="s">
        <v>16</v>
      </c>
      <c r="F1445" s="4">
        <v>6.57</v>
      </c>
      <c r="G1445" s="5">
        <v>50</v>
      </c>
      <c r="H1445" t="s">
        <v>17</v>
      </c>
      <c r="I1445" t="s">
        <v>46</v>
      </c>
      <c r="J1445" s="6">
        <v>8.99</v>
      </c>
      <c r="K1445">
        <v>1</v>
      </c>
      <c r="L1445" t="s">
        <v>43</v>
      </c>
      <c r="M1445" s="5">
        <v>3</v>
      </c>
      <c r="N1445" s="4">
        <v>0.13</v>
      </c>
      <c r="O1445" t="s">
        <v>52</v>
      </c>
    </row>
    <row r="1446" spans="1:15" x14ac:dyDescent="0.3">
      <c r="A1446" t="s">
        <v>4440</v>
      </c>
      <c r="B1446" s="5">
        <v>18</v>
      </c>
      <c r="C1446" s="5" t="str" cm="1">
        <f t="array" ref="C1446">_xlfn.IFS(worksheet[[#This Row],[age]]&lt;25,"1. Young Adulthood (18-24)",worksheet[[#This Row],[age]]&lt; 35,"2. Early Adulthood (25-34)",worksheet[[#This Row],[age]]&lt; 45,"3. Mid Adulthood (35-44)",worksheet[[#This Row],[age]]&lt; 55,"4. Mature Adulthood (45-54)",TRUE,"5. Late Adulthood/Senior (55+)")</f>
        <v>1. Young Adulthood (18-24)</v>
      </c>
      <c r="D1446" t="s">
        <v>27</v>
      </c>
      <c r="E1446" t="s">
        <v>16</v>
      </c>
      <c r="F1446" s="4">
        <v>0.75</v>
      </c>
      <c r="G1446" s="5">
        <v>11</v>
      </c>
      <c r="H1446" t="s">
        <v>17</v>
      </c>
      <c r="I1446" t="s">
        <v>46</v>
      </c>
      <c r="J1446" s="6">
        <v>8.99</v>
      </c>
      <c r="K1446">
        <v>1</v>
      </c>
      <c r="L1446" t="s">
        <v>29</v>
      </c>
      <c r="M1446" s="5">
        <v>5</v>
      </c>
      <c r="N1446" s="4">
        <v>0.06</v>
      </c>
      <c r="O1446" t="s">
        <v>39</v>
      </c>
    </row>
    <row r="1447" spans="1:15" x14ac:dyDescent="0.3">
      <c r="A1447" t="s">
        <v>4441</v>
      </c>
      <c r="B1447" s="5">
        <v>21</v>
      </c>
      <c r="C1447" s="5" t="str" cm="1">
        <f t="array" ref="C1447">_xlfn.IFS(worksheet[[#This Row],[age]]&lt;25,"1. Young Adulthood (18-24)",worksheet[[#This Row],[age]]&lt; 35,"2. Early Adulthood (25-34)",worksheet[[#This Row],[age]]&lt; 45,"3. Mid Adulthood (35-44)",worksheet[[#This Row],[age]]&lt; 55,"4. Mature Adulthood (45-54)",TRUE,"5. Late Adulthood/Senior (55+)")</f>
        <v>1. Young Adulthood (18-24)</v>
      </c>
      <c r="D1447" t="s">
        <v>15</v>
      </c>
      <c r="E1447" t="s">
        <v>16</v>
      </c>
      <c r="F1447" s="4">
        <v>5.57</v>
      </c>
      <c r="G1447" s="5">
        <v>21</v>
      </c>
      <c r="H1447" t="s">
        <v>33</v>
      </c>
      <c r="I1447" t="s">
        <v>18</v>
      </c>
      <c r="J1447" s="6">
        <v>8.99</v>
      </c>
      <c r="K1447">
        <v>0</v>
      </c>
      <c r="L1447" t="s">
        <v>43</v>
      </c>
      <c r="M1447" s="5">
        <v>3</v>
      </c>
      <c r="N1447" s="4">
        <v>0.25</v>
      </c>
      <c r="O1447" t="s">
        <v>39</v>
      </c>
    </row>
    <row r="1448" spans="1:15" x14ac:dyDescent="0.3">
      <c r="A1448" t="s">
        <v>4443</v>
      </c>
      <c r="B1448" s="5">
        <v>34</v>
      </c>
      <c r="C1448" s="5" t="str" cm="1">
        <f t="array" ref="C1448">_xlfn.IFS(worksheet[[#This Row],[age]]&lt;25,"1. Young Adulthood (18-24)",worksheet[[#This Row],[age]]&lt; 35,"2. Early Adulthood (25-34)",worksheet[[#This Row],[age]]&lt; 45,"3. Mid Adulthood (35-44)",worksheet[[#This Row],[age]]&lt; 55,"4. Mature Adulthood (45-54)",TRUE,"5. Late Adulthood/Senior (55+)")</f>
        <v>2. Early Adulthood (25-34)</v>
      </c>
      <c r="D1448" t="s">
        <v>15</v>
      </c>
      <c r="E1448" t="s">
        <v>32</v>
      </c>
      <c r="F1448" s="4">
        <v>1.94</v>
      </c>
      <c r="G1448" s="5">
        <v>39</v>
      </c>
      <c r="H1448" t="s">
        <v>49</v>
      </c>
      <c r="I1448" t="s">
        <v>18</v>
      </c>
      <c r="J1448" s="6">
        <v>17.989999999999998</v>
      </c>
      <c r="K1448">
        <v>1</v>
      </c>
      <c r="L1448" t="s">
        <v>19</v>
      </c>
      <c r="M1448" s="5">
        <v>5</v>
      </c>
      <c r="N1448" s="4">
        <v>0.05</v>
      </c>
      <c r="O1448" t="s">
        <v>30</v>
      </c>
    </row>
    <row r="1449" spans="1:15" x14ac:dyDescent="0.3">
      <c r="A1449" t="s">
        <v>4448</v>
      </c>
      <c r="B1449" s="5">
        <v>20</v>
      </c>
      <c r="C1449" s="5" t="str" cm="1">
        <f t="array" ref="C1449">_xlfn.IFS(worksheet[[#This Row],[age]]&lt;25,"1. Young Adulthood (18-24)",worksheet[[#This Row],[age]]&lt; 35,"2. Early Adulthood (25-34)",worksheet[[#This Row],[age]]&lt; 45,"3. Mid Adulthood (35-44)",worksheet[[#This Row],[age]]&lt; 55,"4. Mature Adulthood (45-54)",TRUE,"5. Late Adulthood/Senior (55+)")</f>
        <v>1. Young Adulthood (18-24)</v>
      </c>
      <c r="D1449" t="s">
        <v>15</v>
      </c>
      <c r="E1449" t="s">
        <v>22</v>
      </c>
      <c r="F1449" s="4">
        <v>5.46</v>
      </c>
      <c r="G1449" s="5">
        <v>59</v>
      </c>
      <c r="H1449" t="s">
        <v>49</v>
      </c>
      <c r="I1449" t="s">
        <v>24</v>
      </c>
      <c r="J1449" s="6">
        <v>13.99</v>
      </c>
      <c r="K1449">
        <v>1</v>
      </c>
      <c r="L1449" t="s">
        <v>19</v>
      </c>
      <c r="M1449" s="5">
        <v>2</v>
      </c>
      <c r="N1449" s="4">
        <v>0.09</v>
      </c>
      <c r="O1449" t="s">
        <v>39</v>
      </c>
    </row>
    <row r="1450" spans="1:15" x14ac:dyDescent="0.3">
      <c r="A1450" t="s">
        <v>4449</v>
      </c>
      <c r="B1450" s="5">
        <v>20</v>
      </c>
      <c r="C1450" s="5" t="str" cm="1">
        <f t="array" ref="C1450">_xlfn.IFS(worksheet[[#This Row],[age]]&lt;25,"1. Young Adulthood (18-24)",worksheet[[#This Row],[age]]&lt; 35,"2. Early Adulthood (25-34)",worksheet[[#This Row],[age]]&lt; 45,"3. Mid Adulthood (35-44)",worksheet[[#This Row],[age]]&lt; 55,"4. Mature Adulthood (45-54)",TRUE,"5. Late Adulthood/Senior (55+)")</f>
        <v>1. Young Adulthood (18-24)</v>
      </c>
      <c r="D1450" t="s">
        <v>15</v>
      </c>
      <c r="E1450" t="s">
        <v>16</v>
      </c>
      <c r="F1450" s="4">
        <v>5.64</v>
      </c>
      <c r="G1450" s="5">
        <v>24</v>
      </c>
      <c r="H1450" t="s">
        <v>17</v>
      </c>
      <c r="I1450" t="s">
        <v>57</v>
      </c>
      <c r="J1450" s="6">
        <v>8.99</v>
      </c>
      <c r="K1450">
        <v>0</v>
      </c>
      <c r="L1450" t="s">
        <v>37</v>
      </c>
      <c r="M1450" s="5">
        <v>2</v>
      </c>
      <c r="N1450" s="4">
        <v>0.23</v>
      </c>
      <c r="O1450" t="s">
        <v>20</v>
      </c>
    </row>
    <row r="1451" spans="1:15" x14ac:dyDescent="0.3">
      <c r="A1451" t="s">
        <v>4453</v>
      </c>
      <c r="B1451" s="5">
        <v>34</v>
      </c>
      <c r="C1451" s="5" t="str" cm="1">
        <f t="array" ref="C1451">_xlfn.IFS(worksheet[[#This Row],[age]]&lt;25,"1. Young Adulthood (18-24)",worksheet[[#This Row],[age]]&lt; 35,"2. Early Adulthood (25-34)",worksheet[[#This Row],[age]]&lt; 45,"3. Mid Adulthood (35-44)",worksheet[[#This Row],[age]]&lt; 55,"4. Mature Adulthood (45-54)",TRUE,"5. Late Adulthood/Senior (55+)")</f>
        <v>2. Early Adulthood (25-34)</v>
      </c>
      <c r="D1451" t="s">
        <v>15</v>
      </c>
      <c r="E1451" t="s">
        <v>22</v>
      </c>
      <c r="F1451" s="4">
        <v>7.32</v>
      </c>
      <c r="G1451" s="5">
        <v>57</v>
      </c>
      <c r="H1451" t="s">
        <v>23</v>
      </c>
      <c r="I1451" t="s">
        <v>57</v>
      </c>
      <c r="J1451" s="6">
        <v>13.99</v>
      </c>
      <c r="K1451">
        <v>1</v>
      </c>
      <c r="L1451" t="s">
        <v>29</v>
      </c>
      <c r="M1451" s="5">
        <v>1</v>
      </c>
      <c r="N1451" s="4">
        <v>0.13</v>
      </c>
      <c r="O1451" t="s">
        <v>25</v>
      </c>
    </row>
    <row r="1452" spans="1:15" x14ac:dyDescent="0.3">
      <c r="A1452" t="s">
        <v>4457</v>
      </c>
      <c r="B1452" s="5">
        <v>34</v>
      </c>
      <c r="C1452" s="5" t="str" cm="1">
        <f t="array" ref="C1452">_xlfn.IFS(worksheet[[#This Row],[age]]&lt;25,"1. Young Adulthood (18-24)",worksheet[[#This Row],[age]]&lt; 35,"2. Early Adulthood (25-34)",worksheet[[#This Row],[age]]&lt; 45,"3. Mid Adulthood (35-44)",worksheet[[#This Row],[age]]&lt; 55,"4. Mature Adulthood (45-54)",TRUE,"5. Late Adulthood/Senior (55+)")</f>
        <v>2. Early Adulthood (25-34)</v>
      </c>
      <c r="D1452" t="s">
        <v>27</v>
      </c>
      <c r="E1452" t="s">
        <v>32</v>
      </c>
      <c r="F1452" s="4">
        <v>5.24</v>
      </c>
      <c r="G1452" s="5">
        <v>20</v>
      </c>
      <c r="H1452" t="s">
        <v>23</v>
      </c>
      <c r="I1452" t="s">
        <v>55</v>
      </c>
      <c r="J1452" s="6">
        <v>17.989999999999998</v>
      </c>
      <c r="K1452">
        <v>0</v>
      </c>
      <c r="L1452" t="s">
        <v>37</v>
      </c>
      <c r="M1452" s="5">
        <v>3</v>
      </c>
      <c r="N1452" s="4">
        <v>0.25</v>
      </c>
      <c r="O1452" t="s">
        <v>39</v>
      </c>
    </row>
    <row r="1453" spans="1:15" x14ac:dyDescent="0.3">
      <c r="A1453" t="s">
        <v>4459</v>
      </c>
      <c r="B1453" s="5">
        <v>34</v>
      </c>
      <c r="C1453" s="5" t="str" cm="1">
        <f t="array" ref="C1453">_xlfn.IFS(worksheet[[#This Row],[age]]&lt;25,"1. Young Adulthood (18-24)",worksheet[[#This Row],[age]]&lt; 35,"2. Early Adulthood (25-34)",worksheet[[#This Row],[age]]&lt; 45,"3. Mid Adulthood (35-44)",worksheet[[#This Row],[age]]&lt; 55,"4. Mature Adulthood (45-54)",TRUE,"5. Late Adulthood/Senior (55+)")</f>
        <v>2. Early Adulthood (25-34)</v>
      </c>
      <c r="D1453" t="s">
        <v>15</v>
      </c>
      <c r="E1453" t="s">
        <v>32</v>
      </c>
      <c r="F1453" s="4">
        <v>22.76</v>
      </c>
      <c r="G1453" s="5">
        <v>59</v>
      </c>
      <c r="H1453" t="s">
        <v>70</v>
      </c>
      <c r="I1453" t="s">
        <v>46</v>
      </c>
      <c r="J1453" s="6">
        <v>17.989999999999998</v>
      </c>
      <c r="K1453">
        <v>0</v>
      </c>
      <c r="L1453" t="s">
        <v>61</v>
      </c>
      <c r="M1453" s="5">
        <v>3</v>
      </c>
      <c r="N1453" s="4">
        <v>0.38</v>
      </c>
      <c r="O1453" t="s">
        <v>20</v>
      </c>
    </row>
    <row r="1454" spans="1:15" x14ac:dyDescent="0.3">
      <c r="A1454" t="s">
        <v>4461</v>
      </c>
      <c r="B1454" s="5">
        <v>20</v>
      </c>
      <c r="C1454" s="5" t="str" cm="1">
        <f t="array" ref="C1454">_xlfn.IFS(worksheet[[#This Row],[age]]&lt;25,"1. Young Adulthood (18-24)",worksheet[[#This Row],[age]]&lt; 35,"2. Early Adulthood (25-34)",worksheet[[#This Row],[age]]&lt; 45,"3. Mid Adulthood (35-44)",worksheet[[#This Row],[age]]&lt; 55,"4. Mature Adulthood (45-54)",TRUE,"5. Late Adulthood/Senior (55+)")</f>
        <v>1. Young Adulthood (18-24)</v>
      </c>
      <c r="D1454" t="s">
        <v>41</v>
      </c>
      <c r="E1454" t="s">
        <v>16</v>
      </c>
      <c r="F1454" s="4">
        <v>2.16</v>
      </c>
      <c r="G1454" s="5">
        <v>28</v>
      </c>
      <c r="H1454" t="s">
        <v>23</v>
      </c>
      <c r="I1454" t="s">
        <v>55</v>
      </c>
      <c r="J1454" s="6">
        <v>8.99</v>
      </c>
      <c r="K1454">
        <v>1</v>
      </c>
      <c r="L1454" t="s">
        <v>61</v>
      </c>
      <c r="M1454" s="5">
        <v>1</v>
      </c>
      <c r="N1454" s="4">
        <v>7.0000000000000007E-2</v>
      </c>
      <c r="O1454" t="s">
        <v>52</v>
      </c>
    </row>
    <row r="1455" spans="1:15" x14ac:dyDescent="0.3">
      <c r="A1455" t="s">
        <v>4464</v>
      </c>
      <c r="B1455" s="5">
        <v>24</v>
      </c>
      <c r="C1455" s="5" t="str" cm="1">
        <f t="array" ref="C1455">_xlfn.IFS(worksheet[[#This Row],[age]]&lt;25,"1. Young Adulthood (18-24)",worksheet[[#This Row],[age]]&lt; 35,"2. Early Adulthood (25-34)",worksheet[[#This Row],[age]]&lt; 45,"3. Mid Adulthood (35-44)",worksheet[[#This Row],[age]]&lt; 55,"4. Mature Adulthood (45-54)",TRUE,"5. Late Adulthood/Senior (55+)")</f>
        <v>1. Young Adulthood (18-24)</v>
      </c>
      <c r="D1455" t="s">
        <v>27</v>
      </c>
      <c r="E1455" t="s">
        <v>22</v>
      </c>
      <c r="F1455" s="4">
        <v>35.74</v>
      </c>
      <c r="G1455" s="5">
        <v>48</v>
      </c>
      <c r="H1455" t="s">
        <v>49</v>
      </c>
      <c r="I1455" t="s">
        <v>55</v>
      </c>
      <c r="J1455" s="6">
        <v>13.99</v>
      </c>
      <c r="K1455">
        <v>0</v>
      </c>
      <c r="L1455" t="s">
        <v>61</v>
      </c>
      <c r="M1455" s="5">
        <v>1</v>
      </c>
      <c r="N1455" s="4">
        <v>0.73</v>
      </c>
      <c r="O1455" t="s">
        <v>47</v>
      </c>
    </row>
    <row r="1456" spans="1:15" x14ac:dyDescent="0.3">
      <c r="A1456" t="s">
        <v>4468</v>
      </c>
      <c r="B1456" s="5">
        <v>25</v>
      </c>
      <c r="C1456" s="5" t="str" cm="1">
        <f t="array" ref="C1456">_xlfn.IFS(worksheet[[#This Row],[age]]&lt;25,"1. Young Adulthood (18-24)",worksheet[[#This Row],[age]]&lt; 35,"2. Early Adulthood (25-34)",worksheet[[#This Row],[age]]&lt; 45,"3. Mid Adulthood (35-44)",worksheet[[#This Row],[age]]&lt; 55,"4. Mature Adulthood (45-54)",TRUE,"5. Late Adulthood/Senior (55+)")</f>
        <v>2. Early Adulthood (25-34)</v>
      </c>
      <c r="D1456" t="s">
        <v>41</v>
      </c>
      <c r="E1456" t="s">
        <v>16</v>
      </c>
      <c r="F1456" s="4">
        <v>22.21</v>
      </c>
      <c r="G1456" s="5">
        <v>57</v>
      </c>
      <c r="H1456" t="s">
        <v>49</v>
      </c>
      <c r="I1456" t="s">
        <v>18</v>
      </c>
      <c r="J1456" s="6">
        <v>8.99</v>
      </c>
      <c r="K1456">
        <v>1</v>
      </c>
      <c r="L1456" t="s">
        <v>37</v>
      </c>
      <c r="M1456" s="5">
        <v>3</v>
      </c>
      <c r="N1456" s="4">
        <v>0.38</v>
      </c>
      <c r="O1456" t="s">
        <v>34</v>
      </c>
    </row>
    <row r="1457" spans="1:15" x14ac:dyDescent="0.3">
      <c r="A1457" t="s">
        <v>4470</v>
      </c>
      <c r="B1457" s="5">
        <v>22</v>
      </c>
      <c r="C1457" s="5" t="str" cm="1">
        <f t="array" ref="C1457">_xlfn.IFS(worksheet[[#This Row],[age]]&lt;25,"1. Young Adulthood (18-24)",worksheet[[#This Row],[age]]&lt; 35,"2. Early Adulthood (25-34)",worksheet[[#This Row],[age]]&lt; 45,"3. Mid Adulthood (35-44)",worksheet[[#This Row],[age]]&lt; 55,"4. Mature Adulthood (45-54)",TRUE,"5. Late Adulthood/Senior (55+)")</f>
        <v>1. Young Adulthood (18-24)</v>
      </c>
      <c r="D1457" t="s">
        <v>41</v>
      </c>
      <c r="E1457" t="s">
        <v>16</v>
      </c>
      <c r="F1457" s="4">
        <v>3.76</v>
      </c>
      <c r="G1457" s="5">
        <v>59</v>
      </c>
      <c r="H1457" t="s">
        <v>23</v>
      </c>
      <c r="I1457" t="s">
        <v>18</v>
      </c>
      <c r="J1457" s="6">
        <v>8.99</v>
      </c>
      <c r="K1457">
        <v>1</v>
      </c>
      <c r="L1457" t="s">
        <v>43</v>
      </c>
      <c r="M1457" s="5">
        <v>3</v>
      </c>
      <c r="N1457" s="4">
        <v>0.06</v>
      </c>
      <c r="O1457" t="s">
        <v>52</v>
      </c>
    </row>
    <row r="1458" spans="1:15" x14ac:dyDescent="0.3">
      <c r="A1458" t="s">
        <v>4471</v>
      </c>
      <c r="B1458" s="5">
        <v>24</v>
      </c>
      <c r="C1458" s="5" t="str" cm="1">
        <f t="array" ref="C1458">_xlfn.IFS(worksheet[[#This Row],[age]]&lt;25,"1. Young Adulthood (18-24)",worksheet[[#This Row],[age]]&lt; 35,"2. Early Adulthood (25-34)",worksheet[[#This Row],[age]]&lt; 45,"3. Mid Adulthood (35-44)",worksheet[[#This Row],[age]]&lt; 55,"4. Mature Adulthood (45-54)",TRUE,"5. Late Adulthood/Senior (55+)")</f>
        <v>1. Young Adulthood (18-24)</v>
      </c>
      <c r="D1458" t="s">
        <v>15</v>
      </c>
      <c r="E1458" t="s">
        <v>16</v>
      </c>
      <c r="F1458" s="4">
        <v>10.15</v>
      </c>
      <c r="G1458" s="5">
        <v>9</v>
      </c>
      <c r="H1458" t="s">
        <v>28</v>
      </c>
      <c r="I1458" t="s">
        <v>18</v>
      </c>
      <c r="J1458" s="6">
        <v>8.99</v>
      </c>
      <c r="K1458">
        <v>0</v>
      </c>
      <c r="L1458" t="s">
        <v>37</v>
      </c>
      <c r="M1458" s="5">
        <v>2</v>
      </c>
      <c r="N1458" s="4">
        <v>1.02</v>
      </c>
      <c r="O1458" t="s">
        <v>20</v>
      </c>
    </row>
    <row r="1459" spans="1:15" x14ac:dyDescent="0.3">
      <c r="A1459" t="s">
        <v>4472</v>
      </c>
      <c r="B1459" s="5">
        <v>24</v>
      </c>
      <c r="C1459" s="5" t="str" cm="1">
        <f t="array" ref="C1459">_xlfn.IFS(worksheet[[#This Row],[age]]&lt;25,"1. Young Adulthood (18-24)",worksheet[[#This Row],[age]]&lt; 35,"2. Early Adulthood (25-34)",worksheet[[#This Row],[age]]&lt; 45,"3. Mid Adulthood (35-44)",worksheet[[#This Row],[age]]&lt; 55,"4. Mature Adulthood (45-54)",TRUE,"5. Late Adulthood/Senior (55+)")</f>
        <v>1. Young Adulthood (18-24)</v>
      </c>
      <c r="D1459" t="s">
        <v>15</v>
      </c>
      <c r="E1459" t="s">
        <v>16</v>
      </c>
      <c r="F1459" s="4">
        <v>2.2799999999999998</v>
      </c>
      <c r="G1459" s="5">
        <v>43</v>
      </c>
      <c r="H1459" t="s">
        <v>70</v>
      </c>
      <c r="I1459" t="s">
        <v>24</v>
      </c>
      <c r="J1459" s="6">
        <v>8.99</v>
      </c>
      <c r="K1459">
        <v>1</v>
      </c>
      <c r="L1459" t="s">
        <v>19</v>
      </c>
      <c r="M1459" s="5">
        <v>5</v>
      </c>
      <c r="N1459" s="4">
        <v>0.05</v>
      </c>
      <c r="O1459" t="s">
        <v>30</v>
      </c>
    </row>
    <row r="1460" spans="1:15" x14ac:dyDescent="0.3">
      <c r="A1460" t="s">
        <v>4473</v>
      </c>
      <c r="B1460" s="5">
        <v>25</v>
      </c>
      <c r="C1460" s="5" t="str" cm="1">
        <f t="array" ref="C1460">_xlfn.IFS(worksheet[[#This Row],[age]]&lt;25,"1. Young Adulthood (18-24)",worksheet[[#This Row],[age]]&lt; 35,"2. Early Adulthood (25-34)",worksheet[[#This Row],[age]]&lt; 45,"3. Mid Adulthood (35-44)",worksheet[[#This Row],[age]]&lt; 55,"4. Mature Adulthood (45-54)",TRUE,"5. Late Adulthood/Senior (55+)")</f>
        <v>2. Early Adulthood (25-34)</v>
      </c>
      <c r="D1460" t="s">
        <v>15</v>
      </c>
      <c r="E1460" t="s">
        <v>32</v>
      </c>
      <c r="F1460" s="4">
        <v>6.08</v>
      </c>
      <c r="G1460" s="5">
        <v>19</v>
      </c>
      <c r="H1460" t="s">
        <v>17</v>
      </c>
      <c r="I1460" t="s">
        <v>57</v>
      </c>
      <c r="J1460" s="6">
        <v>17.989999999999998</v>
      </c>
      <c r="K1460">
        <v>0</v>
      </c>
      <c r="L1460" t="s">
        <v>61</v>
      </c>
      <c r="M1460" s="5">
        <v>3</v>
      </c>
      <c r="N1460" s="4">
        <v>0.3</v>
      </c>
      <c r="O1460" t="s">
        <v>52</v>
      </c>
    </row>
    <row r="1461" spans="1:15" x14ac:dyDescent="0.3">
      <c r="A1461" t="s">
        <v>4474</v>
      </c>
      <c r="B1461" s="5">
        <v>29</v>
      </c>
      <c r="C1461" s="5" t="str" cm="1">
        <f t="array" ref="C1461">_xlfn.IFS(worksheet[[#This Row],[age]]&lt;25,"1. Young Adulthood (18-24)",worksheet[[#This Row],[age]]&lt; 35,"2. Early Adulthood (25-34)",worksheet[[#This Row],[age]]&lt; 45,"3. Mid Adulthood (35-44)",worksheet[[#This Row],[age]]&lt; 55,"4. Mature Adulthood (45-54)",TRUE,"5. Late Adulthood/Senior (55+)")</f>
        <v>2. Early Adulthood (25-34)</v>
      </c>
      <c r="D1461" t="s">
        <v>27</v>
      </c>
      <c r="E1461" t="s">
        <v>16</v>
      </c>
      <c r="F1461" s="4">
        <v>25.31</v>
      </c>
      <c r="G1461" s="5">
        <v>15</v>
      </c>
      <c r="H1461" t="s">
        <v>49</v>
      </c>
      <c r="I1461" t="s">
        <v>24</v>
      </c>
      <c r="J1461" s="6">
        <v>8.99</v>
      </c>
      <c r="K1461">
        <v>0</v>
      </c>
      <c r="L1461" t="s">
        <v>19</v>
      </c>
      <c r="M1461" s="5">
        <v>4</v>
      </c>
      <c r="N1461" s="4">
        <v>1.58</v>
      </c>
      <c r="O1461" t="s">
        <v>52</v>
      </c>
    </row>
    <row r="1462" spans="1:15" x14ac:dyDescent="0.3">
      <c r="A1462" t="s">
        <v>4483</v>
      </c>
      <c r="B1462" s="5">
        <v>24</v>
      </c>
      <c r="C1462" s="5" t="str" cm="1">
        <f t="array" ref="C1462">_xlfn.IFS(worksheet[[#This Row],[age]]&lt;25,"1. Young Adulthood (18-24)",worksheet[[#This Row],[age]]&lt; 35,"2. Early Adulthood (25-34)",worksheet[[#This Row],[age]]&lt; 45,"3. Mid Adulthood (35-44)",worksheet[[#This Row],[age]]&lt; 55,"4. Mature Adulthood (45-54)",TRUE,"5. Late Adulthood/Senior (55+)")</f>
        <v>1. Young Adulthood (18-24)</v>
      </c>
      <c r="D1462" t="s">
        <v>41</v>
      </c>
      <c r="E1462" t="s">
        <v>16</v>
      </c>
      <c r="F1462" s="4">
        <v>1.59</v>
      </c>
      <c r="G1462" s="5">
        <v>42</v>
      </c>
      <c r="H1462" t="s">
        <v>28</v>
      </c>
      <c r="I1462" t="s">
        <v>24</v>
      </c>
      <c r="J1462" s="6">
        <v>8.99</v>
      </c>
      <c r="K1462">
        <v>1</v>
      </c>
      <c r="L1462" t="s">
        <v>19</v>
      </c>
      <c r="M1462" s="5">
        <v>5</v>
      </c>
      <c r="N1462" s="4">
        <v>0.04</v>
      </c>
      <c r="O1462" t="s">
        <v>20</v>
      </c>
    </row>
    <row r="1463" spans="1:15" x14ac:dyDescent="0.3">
      <c r="A1463" t="s">
        <v>4488</v>
      </c>
      <c r="B1463" s="5">
        <v>26</v>
      </c>
      <c r="C1463" s="5" t="str" cm="1">
        <f t="array" ref="C1463">_xlfn.IFS(worksheet[[#This Row],[age]]&lt;25,"1. Young Adulthood (18-24)",worksheet[[#This Row],[age]]&lt; 35,"2. Early Adulthood (25-34)",worksheet[[#This Row],[age]]&lt; 45,"3. Mid Adulthood (35-44)",worksheet[[#This Row],[age]]&lt; 55,"4. Mature Adulthood (45-54)",TRUE,"5. Late Adulthood/Senior (55+)")</f>
        <v>2. Early Adulthood (25-34)</v>
      </c>
      <c r="D1463" t="s">
        <v>15</v>
      </c>
      <c r="E1463" t="s">
        <v>32</v>
      </c>
      <c r="F1463" s="4">
        <v>25</v>
      </c>
      <c r="G1463" s="5">
        <v>12</v>
      </c>
      <c r="H1463" t="s">
        <v>33</v>
      </c>
      <c r="I1463" t="s">
        <v>24</v>
      </c>
      <c r="J1463" s="6">
        <v>17.989999999999998</v>
      </c>
      <c r="K1463">
        <v>0</v>
      </c>
      <c r="L1463" t="s">
        <v>19</v>
      </c>
      <c r="M1463" s="5">
        <v>2</v>
      </c>
      <c r="N1463" s="4">
        <v>1.92</v>
      </c>
      <c r="O1463" t="s">
        <v>34</v>
      </c>
    </row>
    <row r="1464" spans="1:15" x14ac:dyDescent="0.3">
      <c r="A1464" t="s">
        <v>4489</v>
      </c>
      <c r="B1464" s="5">
        <v>22</v>
      </c>
      <c r="C1464" s="5" t="str" cm="1">
        <f t="array" ref="C1464">_xlfn.IFS(worksheet[[#This Row],[age]]&lt;25,"1. Young Adulthood (18-24)",worksheet[[#This Row],[age]]&lt; 35,"2. Early Adulthood (25-34)",worksheet[[#This Row],[age]]&lt; 45,"3. Mid Adulthood (35-44)",worksheet[[#This Row],[age]]&lt; 55,"4. Mature Adulthood (45-54)",TRUE,"5. Late Adulthood/Senior (55+)")</f>
        <v>1. Young Adulthood (18-24)</v>
      </c>
      <c r="D1464" t="s">
        <v>15</v>
      </c>
      <c r="E1464" t="s">
        <v>32</v>
      </c>
      <c r="F1464" s="4">
        <v>42.86</v>
      </c>
      <c r="G1464" s="5">
        <v>54</v>
      </c>
      <c r="H1464" t="s">
        <v>49</v>
      </c>
      <c r="I1464" t="s">
        <v>24</v>
      </c>
      <c r="J1464" s="6">
        <v>17.989999999999998</v>
      </c>
      <c r="K1464">
        <v>0</v>
      </c>
      <c r="L1464" t="s">
        <v>19</v>
      </c>
      <c r="M1464" s="5">
        <v>4</v>
      </c>
      <c r="N1464" s="4">
        <v>0.78</v>
      </c>
      <c r="O1464" t="s">
        <v>20</v>
      </c>
    </row>
    <row r="1465" spans="1:15" x14ac:dyDescent="0.3">
      <c r="A1465" t="s">
        <v>4490</v>
      </c>
      <c r="B1465" s="5">
        <v>33</v>
      </c>
      <c r="C1465" s="5" t="str" cm="1">
        <f t="array" ref="C1465">_xlfn.IFS(worksheet[[#This Row],[age]]&lt;25,"1. Young Adulthood (18-24)",worksheet[[#This Row],[age]]&lt; 35,"2. Early Adulthood (25-34)",worksheet[[#This Row],[age]]&lt; 45,"3. Mid Adulthood (35-44)",worksheet[[#This Row],[age]]&lt; 55,"4. Mature Adulthood (45-54)",TRUE,"5. Late Adulthood/Senior (55+)")</f>
        <v>2. Early Adulthood (25-34)</v>
      </c>
      <c r="D1465" t="s">
        <v>27</v>
      </c>
      <c r="E1465" t="s">
        <v>16</v>
      </c>
      <c r="F1465" s="4">
        <v>3.05</v>
      </c>
      <c r="G1465" s="5">
        <v>28</v>
      </c>
      <c r="H1465" t="s">
        <v>17</v>
      </c>
      <c r="I1465" t="s">
        <v>46</v>
      </c>
      <c r="J1465" s="6">
        <v>8.99</v>
      </c>
      <c r="K1465">
        <v>1</v>
      </c>
      <c r="L1465" t="s">
        <v>43</v>
      </c>
      <c r="M1465" s="5">
        <v>5</v>
      </c>
      <c r="N1465" s="4">
        <v>0.11</v>
      </c>
      <c r="O1465" t="s">
        <v>39</v>
      </c>
    </row>
    <row r="1466" spans="1:15" x14ac:dyDescent="0.3">
      <c r="A1466" t="s">
        <v>4491</v>
      </c>
      <c r="B1466" s="5">
        <v>25</v>
      </c>
      <c r="C1466" s="5" t="str" cm="1">
        <f t="array" ref="C1466">_xlfn.IFS(worksheet[[#This Row],[age]]&lt;25,"1. Young Adulthood (18-24)",worksheet[[#This Row],[age]]&lt; 35,"2. Early Adulthood (25-34)",worksheet[[#This Row],[age]]&lt; 45,"3. Mid Adulthood (35-44)",worksheet[[#This Row],[age]]&lt; 55,"4. Mature Adulthood (45-54)",TRUE,"5. Late Adulthood/Senior (55+)")</f>
        <v>2. Early Adulthood (25-34)</v>
      </c>
      <c r="D1466" t="s">
        <v>41</v>
      </c>
      <c r="E1466" t="s">
        <v>16</v>
      </c>
      <c r="F1466" s="4">
        <v>9.6999999999999993</v>
      </c>
      <c r="G1466" s="5">
        <v>4</v>
      </c>
      <c r="H1466" t="s">
        <v>70</v>
      </c>
      <c r="I1466" t="s">
        <v>55</v>
      </c>
      <c r="J1466" s="6">
        <v>8.99</v>
      </c>
      <c r="K1466">
        <v>0</v>
      </c>
      <c r="L1466" t="s">
        <v>43</v>
      </c>
      <c r="M1466" s="5">
        <v>2</v>
      </c>
      <c r="N1466" s="4">
        <v>1.94</v>
      </c>
      <c r="O1466" t="s">
        <v>34</v>
      </c>
    </row>
    <row r="1467" spans="1:15" x14ac:dyDescent="0.3">
      <c r="A1467" t="s">
        <v>4495</v>
      </c>
      <c r="B1467" s="5">
        <v>26</v>
      </c>
      <c r="C1467" s="5" t="str" cm="1">
        <f t="array" ref="C1467">_xlfn.IFS(worksheet[[#This Row],[age]]&lt;25,"1. Young Adulthood (18-24)",worksheet[[#This Row],[age]]&lt; 35,"2. Early Adulthood (25-34)",worksheet[[#This Row],[age]]&lt; 45,"3. Mid Adulthood (35-44)",worksheet[[#This Row],[age]]&lt; 55,"4. Mature Adulthood (45-54)",TRUE,"5. Late Adulthood/Senior (55+)")</f>
        <v>2. Early Adulthood (25-34)</v>
      </c>
      <c r="D1467" t="s">
        <v>41</v>
      </c>
      <c r="E1467" t="s">
        <v>16</v>
      </c>
      <c r="F1467" s="4">
        <v>1.54</v>
      </c>
      <c r="G1467" s="5">
        <v>20</v>
      </c>
      <c r="H1467" t="s">
        <v>70</v>
      </c>
      <c r="I1467" t="s">
        <v>57</v>
      </c>
      <c r="J1467" s="6">
        <v>8.99</v>
      </c>
      <c r="K1467">
        <v>1</v>
      </c>
      <c r="L1467" t="s">
        <v>43</v>
      </c>
      <c r="M1467" s="5">
        <v>4</v>
      </c>
      <c r="N1467" s="4">
        <v>7.0000000000000007E-2</v>
      </c>
      <c r="O1467" t="s">
        <v>34</v>
      </c>
    </row>
    <row r="1468" spans="1:15" x14ac:dyDescent="0.3">
      <c r="A1468" t="s">
        <v>4500</v>
      </c>
      <c r="B1468" s="5">
        <v>18</v>
      </c>
      <c r="C1468" s="5" t="str" cm="1">
        <f t="array" ref="C1468">_xlfn.IFS(worksheet[[#This Row],[age]]&lt;25,"1. Young Adulthood (18-24)",worksheet[[#This Row],[age]]&lt; 35,"2. Early Adulthood (25-34)",worksheet[[#This Row],[age]]&lt; 45,"3. Mid Adulthood (35-44)",worksheet[[#This Row],[age]]&lt; 55,"4. Mature Adulthood (45-54)",TRUE,"5. Late Adulthood/Senior (55+)")</f>
        <v>1. Young Adulthood (18-24)</v>
      </c>
      <c r="D1468" t="s">
        <v>41</v>
      </c>
      <c r="E1468" t="s">
        <v>22</v>
      </c>
      <c r="F1468" s="4">
        <v>20.23</v>
      </c>
      <c r="G1468" s="5">
        <v>36</v>
      </c>
      <c r="H1468" t="s">
        <v>23</v>
      </c>
      <c r="I1468" t="s">
        <v>24</v>
      </c>
      <c r="J1468" s="6">
        <v>13.99</v>
      </c>
      <c r="K1468">
        <v>0</v>
      </c>
      <c r="L1468" t="s">
        <v>61</v>
      </c>
      <c r="M1468" s="5">
        <v>4</v>
      </c>
      <c r="N1468" s="4">
        <v>0.55000000000000004</v>
      </c>
      <c r="O1468" t="s">
        <v>39</v>
      </c>
    </row>
    <row r="1469" spans="1:15" x14ac:dyDescent="0.3">
      <c r="A1469" t="s">
        <v>4504</v>
      </c>
      <c r="B1469" s="5">
        <v>29</v>
      </c>
      <c r="C1469" s="5" t="str" cm="1">
        <f t="array" ref="C1469">_xlfn.IFS(worksheet[[#This Row],[age]]&lt;25,"1. Young Adulthood (18-24)",worksheet[[#This Row],[age]]&lt; 35,"2. Early Adulthood (25-34)",worksheet[[#This Row],[age]]&lt; 45,"3. Mid Adulthood (35-44)",worksheet[[#This Row],[age]]&lt; 55,"4. Mature Adulthood (45-54)",TRUE,"5. Late Adulthood/Senior (55+)")</f>
        <v>2. Early Adulthood (25-34)</v>
      </c>
      <c r="D1469" t="s">
        <v>41</v>
      </c>
      <c r="E1469" t="s">
        <v>22</v>
      </c>
      <c r="F1469" s="4">
        <v>23.05</v>
      </c>
      <c r="G1469" s="5">
        <v>36</v>
      </c>
      <c r="H1469" t="s">
        <v>17</v>
      </c>
      <c r="I1469" t="s">
        <v>24</v>
      </c>
      <c r="J1469" s="6">
        <v>13.99</v>
      </c>
      <c r="K1469">
        <v>0</v>
      </c>
      <c r="L1469" t="s">
        <v>19</v>
      </c>
      <c r="M1469" s="5">
        <v>4</v>
      </c>
      <c r="N1469" s="4">
        <v>0.62</v>
      </c>
      <c r="O1469" t="s">
        <v>52</v>
      </c>
    </row>
    <row r="1470" spans="1:15" x14ac:dyDescent="0.3">
      <c r="A1470" t="s">
        <v>4508</v>
      </c>
      <c r="B1470" s="5">
        <v>32</v>
      </c>
      <c r="C1470" s="5" t="str" cm="1">
        <f t="array" ref="C1470">_xlfn.IFS(worksheet[[#This Row],[age]]&lt;25,"1. Young Adulthood (18-24)",worksheet[[#This Row],[age]]&lt; 35,"2. Early Adulthood (25-34)",worksheet[[#This Row],[age]]&lt; 45,"3. Mid Adulthood (35-44)",worksheet[[#This Row],[age]]&lt; 55,"4. Mature Adulthood (45-54)",TRUE,"5. Late Adulthood/Senior (55+)")</f>
        <v>2. Early Adulthood (25-34)</v>
      </c>
      <c r="D1470" t="s">
        <v>41</v>
      </c>
      <c r="E1470" t="s">
        <v>16</v>
      </c>
      <c r="F1470" s="4">
        <v>14.22</v>
      </c>
      <c r="G1470" s="5">
        <v>48</v>
      </c>
      <c r="H1470" t="s">
        <v>70</v>
      </c>
      <c r="I1470" t="s">
        <v>18</v>
      </c>
      <c r="J1470" s="6">
        <v>8.99</v>
      </c>
      <c r="K1470">
        <v>1</v>
      </c>
      <c r="L1470" t="s">
        <v>29</v>
      </c>
      <c r="M1470" s="5">
        <v>3</v>
      </c>
      <c r="N1470" s="4">
        <v>0.28999999999999998</v>
      </c>
      <c r="O1470" t="s">
        <v>47</v>
      </c>
    </row>
    <row r="1471" spans="1:15" x14ac:dyDescent="0.3">
      <c r="A1471" t="s">
        <v>4510</v>
      </c>
      <c r="B1471" s="5">
        <v>30</v>
      </c>
      <c r="C1471" s="5" t="str" cm="1">
        <f t="array" ref="C1471">_xlfn.IFS(worksheet[[#This Row],[age]]&lt;25,"1. Young Adulthood (18-24)",worksheet[[#This Row],[age]]&lt; 35,"2. Early Adulthood (25-34)",worksheet[[#This Row],[age]]&lt; 45,"3. Mid Adulthood (35-44)",worksheet[[#This Row],[age]]&lt; 55,"4. Mature Adulthood (45-54)",TRUE,"5. Late Adulthood/Senior (55+)")</f>
        <v>2. Early Adulthood (25-34)</v>
      </c>
      <c r="D1471" t="s">
        <v>27</v>
      </c>
      <c r="E1471" t="s">
        <v>32</v>
      </c>
      <c r="F1471" s="4">
        <v>5.97</v>
      </c>
      <c r="G1471" s="5">
        <v>2</v>
      </c>
      <c r="H1471" t="s">
        <v>49</v>
      </c>
      <c r="I1471" t="s">
        <v>57</v>
      </c>
      <c r="J1471" s="6">
        <v>17.989999999999998</v>
      </c>
      <c r="K1471">
        <v>0</v>
      </c>
      <c r="L1471" t="s">
        <v>61</v>
      </c>
      <c r="M1471" s="5">
        <v>3</v>
      </c>
      <c r="N1471" s="4">
        <v>1.99</v>
      </c>
      <c r="O1471" t="s">
        <v>34</v>
      </c>
    </row>
    <row r="1472" spans="1:15" x14ac:dyDescent="0.3">
      <c r="A1472" t="s">
        <v>4516</v>
      </c>
      <c r="B1472" s="5">
        <v>22</v>
      </c>
      <c r="C1472" s="5" t="str" cm="1">
        <f t="array" ref="C1472">_xlfn.IFS(worksheet[[#This Row],[age]]&lt;25,"1. Young Adulthood (18-24)",worksheet[[#This Row],[age]]&lt; 35,"2. Early Adulthood (25-34)",worksheet[[#This Row],[age]]&lt; 45,"3. Mid Adulthood (35-44)",worksheet[[#This Row],[age]]&lt; 55,"4. Mature Adulthood (45-54)",TRUE,"5. Late Adulthood/Senior (55+)")</f>
        <v>1. Young Adulthood (18-24)</v>
      </c>
      <c r="D1472" t="s">
        <v>27</v>
      </c>
      <c r="E1472" t="s">
        <v>32</v>
      </c>
      <c r="F1472" s="4">
        <v>15.39</v>
      </c>
      <c r="G1472" s="5">
        <v>58</v>
      </c>
      <c r="H1472" t="s">
        <v>17</v>
      </c>
      <c r="I1472" t="s">
        <v>55</v>
      </c>
      <c r="J1472" s="6">
        <v>17.989999999999998</v>
      </c>
      <c r="K1472">
        <v>1</v>
      </c>
      <c r="L1472" t="s">
        <v>61</v>
      </c>
      <c r="M1472" s="5">
        <v>2</v>
      </c>
      <c r="N1472" s="4">
        <v>0.26</v>
      </c>
      <c r="O1472" t="s">
        <v>25</v>
      </c>
    </row>
    <row r="1473" spans="1:15" x14ac:dyDescent="0.3">
      <c r="A1473" t="s">
        <v>4517</v>
      </c>
      <c r="B1473" s="5">
        <v>18</v>
      </c>
      <c r="C1473" s="5" t="str" cm="1">
        <f t="array" ref="C1473">_xlfn.IFS(worksheet[[#This Row],[age]]&lt;25,"1. Young Adulthood (18-24)",worksheet[[#This Row],[age]]&lt; 35,"2. Early Adulthood (25-34)",worksheet[[#This Row],[age]]&lt; 45,"3. Mid Adulthood (35-44)",worksheet[[#This Row],[age]]&lt; 55,"4. Mature Adulthood (45-54)",TRUE,"5. Late Adulthood/Senior (55+)")</f>
        <v>1. Young Adulthood (18-24)</v>
      </c>
      <c r="D1473" t="s">
        <v>27</v>
      </c>
      <c r="E1473" t="s">
        <v>16</v>
      </c>
      <c r="F1473" s="4">
        <v>3.19</v>
      </c>
      <c r="G1473" s="5">
        <v>16</v>
      </c>
      <c r="H1473" t="s">
        <v>70</v>
      </c>
      <c r="I1473" t="s">
        <v>46</v>
      </c>
      <c r="J1473" s="6">
        <v>8.99</v>
      </c>
      <c r="K1473">
        <v>1</v>
      </c>
      <c r="L1473" t="s">
        <v>19</v>
      </c>
      <c r="M1473" s="5">
        <v>4</v>
      </c>
      <c r="N1473" s="4">
        <v>0.19</v>
      </c>
      <c r="O1473" t="s">
        <v>20</v>
      </c>
    </row>
    <row r="1474" spans="1:15" x14ac:dyDescent="0.3">
      <c r="A1474" t="s">
        <v>4524</v>
      </c>
      <c r="B1474" s="5">
        <v>28</v>
      </c>
      <c r="C1474" s="5" t="str" cm="1">
        <f t="array" ref="C1474">_xlfn.IFS(worksheet[[#This Row],[age]]&lt;25,"1. Young Adulthood (18-24)",worksheet[[#This Row],[age]]&lt; 35,"2. Early Adulthood (25-34)",worksheet[[#This Row],[age]]&lt; 45,"3. Mid Adulthood (35-44)",worksheet[[#This Row],[age]]&lt; 55,"4. Mature Adulthood (45-54)",TRUE,"5. Late Adulthood/Senior (55+)")</f>
        <v>2. Early Adulthood (25-34)</v>
      </c>
      <c r="D1474" t="s">
        <v>27</v>
      </c>
      <c r="E1474" t="s">
        <v>32</v>
      </c>
      <c r="F1474" s="4">
        <v>4.1399999999999997</v>
      </c>
      <c r="G1474" s="5">
        <v>37</v>
      </c>
      <c r="H1474" t="s">
        <v>49</v>
      </c>
      <c r="I1474" t="s">
        <v>57</v>
      </c>
      <c r="J1474" s="6">
        <v>17.989999999999998</v>
      </c>
      <c r="K1474">
        <v>1</v>
      </c>
      <c r="L1474" t="s">
        <v>19</v>
      </c>
      <c r="M1474" s="5">
        <v>2</v>
      </c>
      <c r="N1474" s="4">
        <v>0.11</v>
      </c>
      <c r="O1474" t="s">
        <v>52</v>
      </c>
    </row>
    <row r="1475" spans="1:15" x14ac:dyDescent="0.3">
      <c r="A1475" t="s">
        <v>4529</v>
      </c>
      <c r="B1475" s="5">
        <v>27</v>
      </c>
      <c r="C1475" s="5" t="str" cm="1">
        <f t="array" ref="C1475">_xlfn.IFS(worksheet[[#This Row],[age]]&lt;25,"1. Young Adulthood (18-24)",worksheet[[#This Row],[age]]&lt; 35,"2. Early Adulthood (25-34)",worksheet[[#This Row],[age]]&lt; 45,"3. Mid Adulthood (35-44)",worksheet[[#This Row],[age]]&lt; 55,"4. Mature Adulthood (45-54)",TRUE,"5. Late Adulthood/Senior (55+)")</f>
        <v>2. Early Adulthood (25-34)</v>
      </c>
      <c r="D1475" t="s">
        <v>15</v>
      </c>
      <c r="E1475" t="s">
        <v>16</v>
      </c>
      <c r="F1475" s="4">
        <v>12.8</v>
      </c>
      <c r="G1475" s="5">
        <v>43</v>
      </c>
      <c r="H1475" t="s">
        <v>70</v>
      </c>
      <c r="I1475" t="s">
        <v>18</v>
      </c>
      <c r="J1475" s="6">
        <v>8.99</v>
      </c>
      <c r="K1475">
        <v>1</v>
      </c>
      <c r="L1475" t="s">
        <v>37</v>
      </c>
      <c r="M1475" s="5">
        <v>2</v>
      </c>
      <c r="N1475" s="4">
        <v>0.28999999999999998</v>
      </c>
      <c r="O1475" t="s">
        <v>34</v>
      </c>
    </row>
    <row r="1476" spans="1:15" x14ac:dyDescent="0.3">
      <c r="A1476" t="s">
        <v>4538</v>
      </c>
      <c r="B1476" s="5">
        <v>27</v>
      </c>
      <c r="C1476" s="5" t="str" cm="1">
        <f t="array" ref="C1476">_xlfn.IFS(worksheet[[#This Row],[age]]&lt;25,"1. Young Adulthood (18-24)",worksheet[[#This Row],[age]]&lt; 35,"2. Early Adulthood (25-34)",worksheet[[#This Row],[age]]&lt; 45,"3. Mid Adulthood (35-44)",worksheet[[#This Row],[age]]&lt; 55,"4. Mature Adulthood (45-54)",TRUE,"5. Late Adulthood/Senior (55+)")</f>
        <v>2. Early Adulthood (25-34)</v>
      </c>
      <c r="D1476" t="s">
        <v>27</v>
      </c>
      <c r="E1476" t="s">
        <v>32</v>
      </c>
      <c r="F1476" s="4">
        <v>15.99</v>
      </c>
      <c r="G1476" s="5">
        <v>37</v>
      </c>
      <c r="H1476" t="s">
        <v>17</v>
      </c>
      <c r="I1476" t="s">
        <v>57</v>
      </c>
      <c r="J1476" s="6">
        <v>17.989999999999998</v>
      </c>
      <c r="K1476">
        <v>1</v>
      </c>
      <c r="L1476" t="s">
        <v>19</v>
      </c>
      <c r="M1476" s="5">
        <v>2</v>
      </c>
      <c r="N1476" s="4">
        <v>0.42</v>
      </c>
      <c r="O1476" t="s">
        <v>30</v>
      </c>
    </row>
    <row r="1477" spans="1:15" x14ac:dyDescent="0.3">
      <c r="A1477" t="s">
        <v>4539</v>
      </c>
      <c r="B1477" s="5">
        <v>21</v>
      </c>
      <c r="C1477" s="5" t="str" cm="1">
        <f t="array" ref="C1477">_xlfn.IFS(worksheet[[#This Row],[age]]&lt;25,"1. Young Adulthood (18-24)",worksheet[[#This Row],[age]]&lt; 35,"2. Early Adulthood (25-34)",worksheet[[#This Row],[age]]&lt; 45,"3. Mid Adulthood (35-44)",worksheet[[#This Row],[age]]&lt; 55,"4. Mature Adulthood (45-54)",TRUE,"5. Late Adulthood/Senior (55+)")</f>
        <v>1. Young Adulthood (18-24)</v>
      </c>
      <c r="D1477" t="s">
        <v>41</v>
      </c>
      <c r="E1477" t="s">
        <v>16</v>
      </c>
      <c r="F1477" s="4">
        <v>21.57</v>
      </c>
      <c r="G1477" s="5">
        <v>47</v>
      </c>
      <c r="H1477" t="s">
        <v>70</v>
      </c>
      <c r="I1477" t="s">
        <v>24</v>
      </c>
      <c r="J1477" s="6">
        <v>8.99</v>
      </c>
      <c r="K1477">
        <v>1</v>
      </c>
      <c r="L1477" t="s">
        <v>37</v>
      </c>
      <c r="M1477" s="5">
        <v>3</v>
      </c>
      <c r="N1477" s="4">
        <v>0.45</v>
      </c>
      <c r="O1477" t="s">
        <v>47</v>
      </c>
    </row>
    <row r="1478" spans="1:15" x14ac:dyDescent="0.3">
      <c r="A1478" s="1" t="s">
        <v>4541</v>
      </c>
      <c r="B1478" s="5">
        <v>27</v>
      </c>
      <c r="C1478" s="5" t="str" cm="1">
        <f t="array" ref="C1478">_xlfn.IFS(worksheet[[#This Row],[age]]&lt;25,"1. Young Adulthood (18-24)",worksheet[[#This Row],[age]]&lt; 35,"2. Early Adulthood (25-34)",worksheet[[#This Row],[age]]&lt; 45,"3. Mid Adulthood (35-44)",worksheet[[#This Row],[age]]&lt; 55,"4. Mature Adulthood (45-54)",TRUE,"5. Late Adulthood/Senior (55+)")</f>
        <v>2. Early Adulthood (25-34)</v>
      </c>
      <c r="D1478" t="s">
        <v>15</v>
      </c>
      <c r="E1478" t="s">
        <v>22</v>
      </c>
      <c r="F1478" s="4">
        <v>20.059999999999999</v>
      </c>
      <c r="G1478" s="5">
        <v>45</v>
      </c>
      <c r="H1478" t="s">
        <v>23</v>
      </c>
      <c r="I1478" t="s">
        <v>46</v>
      </c>
      <c r="J1478" s="6">
        <v>13.99</v>
      </c>
      <c r="K1478">
        <v>0</v>
      </c>
      <c r="L1478" t="s">
        <v>37</v>
      </c>
      <c r="M1478" s="5">
        <v>4</v>
      </c>
      <c r="N1478" s="4">
        <v>0.44</v>
      </c>
      <c r="O1478" t="s">
        <v>20</v>
      </c>
    </row>
    <row r="1479" spans="1:15" x14ac:dyDescent="0.3">
      <c r="A1479" t="s">
        <v>4542</v>
      </c>
      <c r="B1479" s="5">
        <v>28</v>
      </c>
      <c r="C1479" s="5" t="str" cm="1">
        <f t="array" ref="C1479">_xlfn.IFS(worksheet[[#This Row],[age]]&lt;25,"1. Young Adulthood (18-24)",worksheet[[#This Row],[age]]&lt; 35,"2. Early Adulthood (25-34)",worksheet[[#This Row],[age]]&lt; 45,"3. Mid Adulthood (35-44)",worksheet[[#This Row],[age]]&lt; 55,"4. Mature Adulthood (45-54)",TRUE,"5. Late Adulthood/Senior (55+)")</f>
        <v>2. Early Adulthood (25-34)</v>
      </c>
      <c r="D1479" t="s">
        <v>15</v>
      </c>
      <c r="E1479" t="s">
        <v>16</v>
      </c>
      <c r="F1479" s="4">
        <v>0.79</v>
      </c>
      <c r="G1479" s="5">
        <v>40</v>
      </c>
      <c r="H1479" t="s">
        <v>28</v>
      </c>
      <c r="I1479" t="s">
        <v>46</v>
      </c>
      <c r="J1479" s="6">
        <v>8.99</v>
      </c>
      <c r="K1479">
        <v>1</v>
      </c>
      <c r="L1479" t="s">
        <v>19</v>
      </c>
      <c r="M1479" s="5">
        <v>1</v>
      </c>
      <c r="N1479" s="4">
        <v>0.02</v>
      </c>
      <c r="O1479" t="s">
        <v>20</v>
      </c>
    </row>
    <row r="1480" spans="1:15" x14ac:dyDescent="0.3">
      <c r="A1480" t="s">
        <v>4543</v>
      </c>
      <c r="B1480" s="5">
        <v>18</v>
      </c>
      <c r="C1480" s="5" t="str" cm="1">
        <f t="array" ref="C1480">_xlfn.IFS(worksheet[[#This Row],[age]]&lt;25,"1. Young Adulthood (18-24)",worksheet[[#This Row],[age]]&lt; 35,"2. Early Adulthood (25-34)",worksheet[[#This Row],[age]]&lt; 45,"3. Mid Adulthood (35-44)",worksheet[[#This Row],[age]]&lt; 55,"4. Mature Adulthood (45-54)",TRUE,"5. Late Adulthood/Senior (55+)")</f>
        <v>1. Young Adulthood (18-24)</v>
      </c>
      <c r="D1480" t="s">
        <v>41</v>
      </c>
      <c r="E1480" t="s">
        <v>22</v>
      </c>
      <c r="F1480" s="4">
        <v>3.49</v>
      </c>
      <c r="G1480" s="5">
        <v>54</v>
      </c>
      <c r="H1480" t="s">
        <v>33</v>
      </c>
      <c r="I1480" t="s">
        <v>46</v>
      </c>
      <c r="J1480" s="6">
        <v>13.99</v>
      </c>
      <c r="K1480">
        <v>1</v>
      </c>
      <c r="L1480" t="s">
        <v>29</v>
      </c>
      <c r="M1480" s="5">
        <v>3</v>
      </c>
      <c r="N1480" s="4">
        <v>0.06</v>
      </c>
      <c r="O1480" t="s">
        <v>25</v>
      </c>
    </row>
    <row r="1481" spans="1:15" x14ac:dyDescent="0.3">
      <c r="A1481" t="s">
        <v>4544</v>
      </c>
      <c r="B1481" s="5">
        <v>19</v>
      </c>
      <c r="C1481" s="5" t="str" cm="1">
        <f t="array" ref="C1481">_xlfn.IFS(worksheet[[#This Row],[age]]&lt;25,"1. Young Adulthood (18-24)",worksheet[[#This Row],[age]]&lt; 35,"2. Early Adulthood (25-34)",worksheet[[#This Row],[age]]&lt; 45,"3. Mid Adulthood (35-44)",worksheet[[#This Row],[age]]&lt; 55,"4. Mature Adulthood (45-54)",TRUE,"5. Late Adulthood/Senior (55+)")</f>
        <v>1. Young Adulthood (18-24)</v>
      </c>
      <c r="D1481" t="s">
        <v>15</v>
      </c>
      <c r="E1481" t="s">
        <v>32</v>
      </c>
      <c r="F1481" s="4">
        <v>8.1199999999999992</v>
      </c>
      <c r="G1481" s="5">
        <v>2</v>
      </c>
      <c r="H1481" t="s">
        <v>23</v>
      </c>
      <c r="I1481" t="s">
        <v>46</v>
      </c>
      <c r="J1481" s="6">
        <v>17.989999999999998</v>
      </c>
      <c r="K1481">
        <v>0</v>
      </c>
      <c r="L1481" t="s">
        <v>43</v>
      </c>
      <c r="M1481" s="5">
        <v>1</v>
      </c>
      <c r="N1481" s="4">
        <v>2.71</v>
      </c>
      <c r="O1481" t="s">
        <v>20</v>
      </c>
    </row>
    <row r="1482" spans="1:15" x14ac:dyDescent="0.3">
      <c r="A1482" t="s">
        <v>4545</v>
      </c>
      <c r="B1482" s="5">
        <v>34</v>
      </c>
      <c r="C1482" s="5" t="str" cm="1">
        <f t="array" ref="C1482">_xlfn.IFS(worksheet[[#This Row],[age]]&lt;25,"1. Young Adulthood (18-24)",worksheet[[#This Row],[age]]&lt; 35,"2. Early Adulthood (25-34)",worksheet[[#This Row],[age]]&lt; 45,"3. Mid Adulthood (35-44)",worksheet[[#This Row],[age]]&lt; 55,"4. Mature Adulthood (45-54)",TRUE,"5. Late Adulthood/Senior (55+)")</f>
        <v>2. Early Adulthood (25-34)</v>
      </c>
      <c r="D1482" t="s">
        <v>41</v>
      </c>
      <c r="E1482" t="s">
        <v>32</v>
      </c>
      <c r="F1482" s="4">
        <v>28.39</v>
      </c>
      <c r="G1482" s="5">
        <v>41</v>
      </c>
      <c r="H1482" t="s">
        <v>17</v>
      </c>
      <c r="I1482" t="s">
        <v>46</v>
      </c>
      <c r="J1482" s="6">
        <v>17.989999999999998</v>
      </c>
      <c r="K1482">
        <v>0</v>
      </c>
      <c r="L1482" t="s">
        <v>29</v>
      </c>
      <c r="M1482" s="5">
        <v>2</v>
      </c>
      <c r="N1482" s="4">
        <v>0.68</v>
      </c>
      <c r="O1482" t="s">
        <v>34</v>
      </c>
    </row>
    <row r="1483" spans="1:15" x14ac:dyDescent="0.3">
      <c r="A1483" t="s">
        <v>4548</v>
      </c>
      <c r="B1483" s="5">
        <v>24</v>
      </c>
      <c r="C1483" s="5" t="str" cm="1">
        <f t="array" ref="C1483">_xlfn.IFS(worksheet[[#This Row],[age]]&lt;25,"1. Young Adulthood (18-24)",worksheet[[#This Row],[age]]&lt; 35,"2. Early Adulthood (25-34)",worksheet[[#This Row],[age]]&lt; 45,"3. Mid Adulthood (35-44)",worksheet[[#This Row],[age]]&lt; 55,"4. Mature Adulthood (45-54)",TRUE,"5. Late Adulthood/Senior (55+)")</f>
        <v>1. Young Adulthood (18-24)</v>
      </c>
      <c r="D1483" t="s">
        <v>41</v>
      </c>
      <c r="E1483" t="s">
        <v>22</v>
      </c>
      <c r="F1483" s="4">
        <v>3.05</v>
      </c>
      <c r="G1483" s="5">
        <v>9</v>
      </c>
      <c r="H1483" t="s">
        <v>70</v>
      </c>
      <c r="I1483" t="s">
        <v>18</v>
      </c>
      <c r="J1483" s="6">
        <v>13.99</v>
      </c>
      <c r="K1483">
        <v>1</v>
      </c>
      <c r="L1483" t="s">
        <v>29</v>
      </c>
      <c r="M1483" s="5">
        <v>1</v>
      </c>
      <c r="N1483" s="4">
        <v>0.3</v>
      </c>
      <c r="O1483" t="s">
        <v>20</v>
      </c>
    </row>
    <row r="1484" spans="1:15" x14ac:dyDescent="0.3">
      <c r="A1484" t="s">
        <v>4549</v>
      </c>
      <c r="B1484" s="5">
        <v>34</v>
      </c>
      <c r="C1484" s="5" t="str" cm="1">
        <f t="array" ref="C1484">_xlfn.IFS(worksheet[[#This Row],[age]]&lt;25,"1. Young Adulthood (18-24)",worksheet[[#This Row],[age]]&lt; 35,"2. Early Adulthood (25-34)",worksheet[[#This Row],[age]]&lt; 45,"3. Mid Adulthood (35-44)",worksheet[[#This Row],[age]]&lt; 55,"4. Mature Adulthood (45-54)",TRUE,"5. Late Adulthood/Senior (55+)")</f>
        <v>2. Early Adulthood (25-34)</v>
      </c>
      <c r="D1484" t="s">
        <v>15</v>
      </c>
      <c r="E1484" t="s">
        <v>32</v>
      </c>
      <c r="F1484" s="4">
        <v>8.64</v>
      </c>
      <c r="G1484" s="5">
        <v>8</v>
      </c>
      <c r="H1484" t="s">
        <v>33</v>
      </c>
      <c r="I1484" t="s">
        <v>18</v>
      </c>
      <c r="J1484" s="6">
        <v>17.989999999999998</v>
      </c>
      <c r="K1484">
        <v>0</v>
      </c>
      <c r="L1484" t="s">
        <v>19</v>
      </c>
      <c r="M1484" s="5">
        <v>4</v>
      </c>
      <c r="N1484" s="4">
        <v>0.96</v>
      </c>
      <c r="O1484" t="s">
        <v>20</v>
      </c>
    </row>
    <row r="1485" spans="1:15" x14ac:dyDescent="0.3">
      <c r="A1485" s="1" t="s">
        <v>4551</v>
      </c>
      <c r="B1485" s="5">
        <v>31</v>
      </c>
      <c r="C1485" s="5" t="str" cm="1">
        <f t="array" ref="C1485">_xlfn.IFS(worksheet[[#This Row],[age]]&lt;25,"1. Young Adulthood (18-24)",worksheet[[#This Row],[age]]&lt; 35,"2. Early Adulthood (25-34)",worksheet[[#This Row],[age]]&lt; 45,"3. Mid Adulthood (35-44)",worksheet[[#This Row],[age]]&lt; 55,"4. Mature Adulthood (45-54)",TRUE,"5. Late Adulthood/Senior (55+)")</f>
        <v>2. Early Adulthood (25-34)</v>
      </c>
      <c r="D1485" t="s">
        <v>27</v>
      </c>
      <c r="E1485" t="s">
        <v>32</v>
      </c>
      <c r="F1485" s="4">
        <v>5.68</v>
      </c>
      <c r="G1485" s="5">
        <v>49</v>
      </c>
      <c r="H1485" t="s">
        <v>28</v>
      </c>
      <c r="I1485" t="s">
        <v>46</v>
      </c>
      <c r="J1485" s="6">
        <v>17.989999999999998</v>
      </c>
      <c r="K1485">
        <v>1</v>
      </c>
      <c r="L1485" t="s">
        <v>29</v>
      </c>
      <c r="M1485" s="5">
        <v>2</v>
      </c>
      <c r="N1485" s="4">
        <v>0.11</v>
      </c>
      <c r="O1485" t="s">
        <v>47</v>
      </c>
    </row>
    <row r="1486" spans="1:15" x14ac:dyDescent="0.3">
      <c r="A1486" s="1" t="s">
        <v>4552</v>
      </c>
      <c r="B1486" s="5">
        <v>28</v>
      </c>
      <c r="C1486" s="5" t="str" cm="1">
        <f t="array" ref="C1486">_xlfn.IFS(worksheet[[#This Row],[age]]&lt;25,"1. Young Adulthood (18-24)",worksheet[[#This Row],[age]]&lt; 35,"2. Early Adulthood (25-34)",worksheet[[#This Row],[age]]&lt; 45,"3. Mid Adulthood (35-44)",worksheet[[#This Row],[age]]&lt; 55,"4. Mature Adulthood (45-54)",TRUE,"5. Late Adulthood/Senior (55+)")</f>
        <v>2. Early Adulthood (25-34)</v>
      </c>
      <c r="D1486" t="s">
        <v>27</v>
      </c>
      <c r="E1486" t="s">
        <v>32</v>
      </c>
      <c r="F1486" s="4">
        <v>10.53</v>
      </c>
      <c r="G1486" s="5">
        <v>23</v>
      </c>
      <c r="H1486" t="s">
        <v>28</v>
      </c>
      <c r="I1486" t="s">
        <v>55</v>
      </c>
      <c r="J1486" s="6">
        <v>17.989999999999998</v>
      </c>
      <c r="K1486">
        <v>0</v>
      </c>
      <c r="L1486" t="s">
        <v>61</v>
      </c>
      <c r="M1486" s="5">
        <v>2</v>
      </c>
      <c r="N1486" s="4">
        <v>0.44</v>
      </c>
      <c r="O1486" t="s">
        <v>34</v>
      </c>
    </row>
    <row r="1487" spans="1:15" x14ac:dyDescent="0.3">
      <c r="A1487" t="s">
        <v>4559</v>
      </c>
      <c r="B1487" s="5">
        <v>20</v>
      </c>
      <c r="C1487" s="5" t="str" cm="1">
        <f t="array" ref="C1487">_xlfn.IFS(worksheet[[#This Row],[age]]&lt;25,"1. Young Adulthood (18-24)",worksheet[[#This Row],[age]]&lt; 35,"2. Early Adulthood (25-34)",worksheet[[#This Row],[age]]&lt; 45,"3. Mid Adulthood (35-44)",worksheet[[#This Row],[age]]&lt; 55,"4. Mature Adulthood (45-54)",TRUE,"5. Late Adulthood/Senior (55+)")</f>
        <v>1. Young Adulthood (18-24)</v>
      </c>
      <c r="D1487" t="s">
        <v>41</v>
      </c>
      <c r="E1487" t="s">
        <v>22</v>
      </c>
      <c r="F1487" s="4">
        <v>12.93</v>
      </c>
      <c r="G1487" s="5">
        <v>14</v>
      </c>
      <c r="H1487" t="s">
        <v>49</v>
      </c>
      <c r="I1487" t="s">
        <v>46</v>
      </c>
      <c r="J1487" s="6">
        <v>13.99</v>
      </c>
      <c r="K1487">
        <v>0</v>
      </c>
      <c r="L1487" t="s">
        <v>29</v>
      </c>
      <c r="M1487" s="5">
        <v>1</v>
      </c>
      <c r="N1487" s="4">
        <v>0.86</v>
      </c>
      <c r="O1487" t="s">
        <v>30</v>
      </c>
    </row>
    <row r="1488" spans="1:15" x14ac:dyDescent="0.3">
      <c r="A1488" t="s">
        <v>4566</v>
      </c>
      <c r="B1488" s="5">
        <v>29</v>
      </c>
      <c r="C1488" s="5" t="str" cm="1">
        <f t="array" ref="C1488">_xlfn.IFS(worksheet[[#This Row],[age]]&lt;25,"1. Young Adulthood (18-24)",worksheet[[#This Row],[age]]&lt; 35,"2. Early Adulthood (25-34)",worksheet[[#This Row],[age]]&lt; 45,"3. Mid Adulthood (35-44)",worksheet[[#This Row],[age]]&lt; 55,"4. Mature Adulthood (45-54)",TRUE,"5. Late Adulthood/Senior (55+)")</f>
        <v>2. Early Adulthood (25-34)</v>
      </c>
      <c r="D1488" t="s">
        <v>27</v>
      </c>
      <c r="E1488" t="s">
        <v>16</v>
      </c>
      <c r="F1488" s="4">
        <v>8.5500000000000007</v>
      </c>
      <c r="G1488" s="5">
        <v>40</v>
      </c>
      <c r="H1488" t="s">
        <v>70</v>
      </c>
      <c r="I1488" t="s">
        <v>57</v>
      </c>
      <c r="J1488" s="6">
        <v>8.99</v>
      </c>
      <c r="K1488">
        <v>1</v>
      </c>
      <c r="L1488" t="s">
        <v>43</v>
      </c>
      <c r="M1488" s="5">
        <v>1</v>
      </c>
      <c r="N1488" s="4">
        <v>0.21</v>
      </c>
      <c r="O1488" t="s">
        <v>39</v>
      </c>
    </row>
    <row r="1489" spans="1:15" x14ac:dyDescent="0.3">
      <c r="A1489" t="s">
        <v>4567</v>
      </c>
      <c r="B1489" s="5">
        <v>30</v>
      </c>
      <c r="C1489" s="5" t="str" cm="1">
        <f t="array" ref="C1489">_xlfn.IFS(worksheet[[#This Row],[age]]&lt;25,"1. Young Adulthood (18-24)",worksheet[[#This Row],[age]]&lt; 35,"2. Early Adulthood (25-34)",worksheet[[#This Row],[age]]&lt; 45,"3. Mid Adulthood (35-44)",worksheet[[#This Row],[age]]&lt; 55,"4. Mature Adulthood (45-54)",TRUE,"5. Late Adulthood/Senior (55+)")</f>
        <v>2. Early Adulthood (25-34)</v>
      </c>
      <c r="D1489" t="s">
        <v>41</v>
      </c>
      <c r="E1489" t="s">
        <v>32</v>
      </c>
      <c r="F1489" s="4">
        <v>1.87</v>
      </c>
      <c r="G1489" s="5">
        <v>6</v>
      </c>
      <c r="H1489" t="s">
        <v>28</v>
      </c>
      <c r="I1489" t="s">
        <v>55</v>
      </c>
      <c r="J1489" s="6">
        <v>17.989999999999998</v>
      </c>
      <c r="K1489">
        <v>0</v>
      </c>
      <c r="L1489" t="s">
        <v>61</v>
      </c>
      <c r="M1489" s="5">
        <v>2</v>
      </c>
      <c r="N1489" s="4">
        <v>0.27</v>
      </c>
      <c r="O1489" t="s">
        <v>47</v>
      </c>
    </row>
    <row r="1490" spans="1:15" x14ac:dyDescent="0.3">
      <c r="A1490" t="s">
        <v>4568</v>
      </c>
      <c r="B1490" s="5">
        <v>20</v>
      </c>
      <c r="C1490" s="5" t="str" cm="1">
        <f t="array" ref="C1490">_xlfn.IFS(worksheet[[#This Row],[age]]&lt;25,"1. Young Adulthood (18-24)",worksheet[[#This Row],[age]]&lt; 35,"2. Early Adulthood (25-34)",worksheet[[#This Row],[age]]&lt; 45,"3. Mid Adulthood (35-44)",worksheet[[#This Row],[age]]&lt; 55,"4. Mature Adulthood (45-54)",TRUE,"5. Late Adulthood/Senior (55+)")</f>
        <v>1. Young Adulthood (18-24)</v>
      </c>
      <c r="D1490" t="s">
        <v>15</v>
      </c>
      <c r="E1490" t="s">
        <v>32</v>
      </c>
      <c r="F1490" s="4">
        <v>12.02</v>
      </c>
      <c r="G1490" s="5">
        <v>23</v>
      </c>
      <c r="H1490" t="s">
        <v>28</v>
      </c>
      <c r="I1490" t="s">
        <v>55</v>
      </c>
      <c r="J1490" s="6">
        <v>17.989999999999998</v>
      </c>
      <c r="K1490">
        <v>0</v>
      </c>
      <c r="L1490" t="s">
        <v>43</v>
      </c>
      <c r="M1490" s="5">
        <v>1</v>
      </c>
      <c r="N1490" s="4">
        <v>0.5</v>
      </c>
      <c r="O1490" t="s">
        <v>39</v>
      </c>
    </row>
    <row r="1491" spans="1:15" x14ac:dyDescent="0.3">
      <c r="A1491" t="s">
        <v>4570</v>
      </c>
      <c r="B1491" s="5">
        <v>21</v>
      </c>
      <c r="C1491" s="5" t="str" cm="1">
        <f t="array" ref="C1491">_xlfn.IFS(worksheet[[#This Row],[age]]&lt;25,"1. Young Adulthood (18-24)",worksheet[[#This Row],[age]]&lt; 35,"2. Early Adulthood (25-34)",worksheet[[#This Row],[age]]&lt; 45,"3. Mid Adulthood (35-44)",worksheet[[#This Row],[age]]&lt; 55,"4. Mature Adulthood (45-54)",TRUE,"5. Late Adulthood/Senior (55+)")</f>
        <v>1. Young Adulthood (18-24)</v>
      </c>
      <c r="D1491" t="s">
        <v>41</v>
      </c>
      <c r="E1491" t="s">
        <v>16</v>
      </c>
      <c r="F1491" s="4">
        <v>11.16</v>
      </c>
      <c r="G1491" s="5">
        <v>58</v>
      </c>
      <c r="H1491" t="s">
        <v>49</v>
      </c>
      <c r="I1491" t="s">
        <v>57</v>
      </c>
      <c r="J1491" s="6">
        <v>8.99</v>
      </c>
      <c r="K1491">
        <v>1</v>
      </c>
      <c r="L1491" t="s">
        <v>29</v>
      </c>
      <c r="M1491" s="5">
        <v>3</v>
      </c>
      <c r="N1491" s="4">
        <v>0.19</v>
      </c>
      <c r="O1491" t="s">
        <v>39</v>
      </c>
    </row>
    <row r="1492" spans="1:15" x14ac:dyDescent="0.3">
      <c r="A1492" t="s">
        <v>4571</v>
      </c>
      <c r="B1492" s="5">
        <v>29</v>
      </c>
      <c r="C1492" s="5" t="str" cm="1">
        <f t="array" ref="C1492">_xlfn.IFS(worksheet[[#This Row],[age]]&lt;25,"1. Young Adulthood (18-24)",worksheet[[#This Row],[age]]&lt; 35,"2. Early Adulthood (25-34)",worksheet[[#This Row],[age]]&lt; 45,"3. Mid Adulthood (35-44)",worksheet[[#This Row],[age]]&lt; 55,"4. Mature Adulthood (45-54)",TRUE,"5. Late Adulthood/Senior (55+)")</f>
        <v>2. Early Adulthood (25-34)</v>
      </c>
      <c r="D1492" t="s">
        <v>15</v>
      </c>
      <c r="E1492" t="s">
        <v>22</v>
      </c>
      <c r="F1492" s="4">
        <v>3.2</v>
      </c>
      <c r="G1492" s="5">
        <v>54</v>
      </c>
      <c r="H1492" t="s">
        <v>28</v>
      </c>
      <c r="I1492" t="s">
        <v>46</v>
      </c>
      <c r="J1492" s="6">
        <v>13.99</v>
      </c>
      <c r="K1492">
        <v>1</v>
      </c>
      <c r="L1492" t="s">
        <v>19</v>
      </c>
      <c r="M1492" s="5">
        <v>2</v>
      </c>
      <c r="N1492" s="4">
        <v>0.06</v>
      </c>
      <c r="O1492" t="s">
        <v>52</v>
      </c>
    </row>
    <row r="1493" spans="1:15" x14ac:dyDescent="0.3">
      <c r="A1493" t="s">
        <v>4573</v>
      </c>
      <c r="B1493" s="5">
        <v>28</v>
      </c>
      <c r="C1493" s="5" t="str" cm="1">
        <f t="array" ref="C1493">_xlfn.IFS(worksheet[[#This Row],[age]]&lt;25,"1. Young Adulthood (18-24)",worksheet[[#This Row],[age]]&lt; 35,"2. Early Adulthood (25-34)",worksheet[[#This Row],[age]]&lt; 45,"3. Mid Adulthood (35-44)",worksheet[[#This Row],[age]]&lt; 55,"4. Mature Adulthood (45-54)",TRUE,"5. Late Adulthood/Senior (55+)")</f>
        <v>2. Early Adulthood (25-34)</v>
      </c>
      <c r="D1493" t="s">
        <v>15</v>
      </c>
      <c r="E1493" t="s">
        <v>22</v>
      </c>
      <c r="F1493" s="4">
        <v>8.8699999999999992</v>
      </c>
      <c r="G1493" s="5">
        <v>39</v>
      </c>
      <c r="H1493" t="s">
        <v>17</v>
      </c>
      <c r="I1493" t="s">
        <v>55</v>
      </c>
      <c r="J1493" s="6">
        <v>13.99</v>
      </c>
      <c r="K1493">
        <v>1</v>
      </c>
      <c r="L1493" t="s">
        <v>43</v>
      </c>
      <c r="M1493" s="5">
        <v>1</v>
      </c>
      <c r="N1493" s="4">
        <v>0.22</v>
      </c>
      <c r="O1493" t="s">
        <v>52</v>
      </c>
    </row>
    <row r="1494" spans="1:15" x14ac:dyDescent="0.3">
      <c r="A1494" t="s">
        <v>4574</v>
      </c>
      <c r="B1494" s="5">
        <v>25</v>
      </c>
      <c r="C1494" s="5" t="str" cm="1">
        <f t="array" ref="C1494">_xlfn.IFS(worksheet[[#This Row],[age]]&lt;25,"1. Young Adulthood (18-24)",worksheet[[#This Row],[age]]&lt; 35,"2. Early Adulthood (25-34)",worksheet[[#This Row],[age]]&lt; 45,"3. Mid Adulthood (35-44)",worksheet[[#This Row],[age]]&lt; 55,"4. Mature Adulthood (45-54)",TRUE,"5. Late Adulthood/Senior (55+)")</f>
        <v>2. Early Adulthood (25-34)</v>
      </c>
      <c r="D1494" t="s">
        <v>15</v>
      </c>
      <c r="E1494" t="s">
        <v>32</v>
      </c>
      <c r="F1494" s="4">
        <v>2.9</v>
      </c>
      <c r="G1494" s="5">
        <v>29</v>
      </c>
      <c r="H1494" t="s">
        <v>70</v>
      </c>
      <c r="I1494" t="s">
        <v>57</v>
      </c>
      <c r="J1494" s="6">
        <v>17.989999999999998</v>
      </c>
      <c r="K1494">
        <v>1</v>
      </c>
      <c r="L1494" t="s">
        <v>61</v>
      </c>
      <c r="M1494" s="5">
        <v>2</v>
      </c>
      <c r="N1494" s="4">
        <v>0.1</v>
      </c>
      <c r="O1494" t="s">
        <v>25</v>
      </c>
    </row>
    <row r="1495" spans="1:15" x14ac:dyDescent="0.3">
      <c r="A1495" t="s">
        <v>4575</v>
      </c>
      <c r="B1495" s="5">
        <v>25</v>
      </c>
      <c r="C1495" s="5" t="str" cm="1">
        <f t="array" ref="C1495">_xlfn.IFS(worksheet[[#This Row],[age]]&lt;25,"1. Young Adulthood (18-24)",worksheet[[#This Row],[age]]&lt; 35,"2. Early Adulthood (25-34)",worksheet[[#This Row],[age]]&lt; 45,"3. Mid Adulthood (35-44)",worksheet[[#This Row],[age]]&lt; 55,"4. Mature Adulthood (45-54)",TRUE,"5. Late Adulthood/Senior (55+)")</f>
        <v>2. Early Adulthood (25-34)</v>
      </c>
      <c r="D1495" t="s">
        <v>27</v>
      </c>
      <c r="E1495" t="s">
        <v>16</v>
      </c>
      <c r="F1495" s="4">
        <v>0.17</v>
      </c>
      <c r="G1495" s="5">
        <v>58</v>
      </c>
      <c r="H1495" t="s">
        <v>17</v>
      </c>
      <c r="I1495" t="s">
        <v>57</v>
      </c>
      <c r="J1495" s="6">
        <v>8.99</v>
      </c>
      <c r="K1495">
        <v>1</v>
      </c>
      <c r="L1495" t="s">
        <v>43</v>
      </c>
      <c r="M1495" s="5">
        <v>4</v>
      </c>
      <c r="N1495" s="4">
        <v>0</v>
      </c>
      <c r="O1495" t="s">
        <v>52</v>
      </c>
    </row>
    <row r="1496" spans="1:15" x14ac:dyDescent="0.3">
      <c r="A1496" t="s">
        <v>4585</v>
      </c>
      <c r="B1496" s="5">
        <v>33</v>
      </c>
      <c r="C1496" s="5" t="str" cm="1">
        <f t="array" ref="C1496">_xlfn.IFS(worksheet[[#This Row],[age]]&lt;25,"1. Young Adulthood (18-24)",worksheet[[#This Row],[age]]&lt; 35,"2. Early Adulthood (25-34)",worksheet[[#This Row],[age]]&lt; 45,"3. Mid Adulthood (35-44)",worksheet[[#This Row],[age]]&lt; 55,"4. Mature Adulthood (45-54)",TRUE,"5. Late Adulthood/Senior (55+)")</f>
        <v>2. Early Adulthood (25-34)</v>
      </c>
      <c r="D1496" t="s">
        <v>41</v>
      </c>
      <c r="E1496" t="s">
        <v>22</v>
      </c>
      <c r="F1496" s="4">
        <v>16.27</v>
      </c>
      <c r="G1496" s="5">
        <v>2</v>
      </c>
      <c r="H1496" t="s">
        <v>17</v>
      </c>
      <c r="I1496" t="s">
        <v>55</v>
      </c>
      <c r="J1496" s="6">
        <v>13.99</v>
      </c>
      <c r="K1496">
        <v>0</v>
      </c>
      <c r="L1496" t="s">
        <v>29</v>
      </c>
      <c r="M1496" s="5">
        <v>2</v>
      </c>
      <c r="N1496" s="4">
        <v>5.42</v>
      </c>
      <c r="O1496" t="s">
        <v>47</v>
      </c>
    </row>
    <row r="1497" spans="1:15" x14ac:dyDescent="0.3">
      <c r="A1497" t="s">
        <v>4593</v>
      </c>
      <c r="B1497" s="5">
        <v>30</v>
      </c>
      <c r="C1497" s="5" t="str" cm="1">
        <f t="array" ref="C1497">_xlfn.IFS(worksheet[[#This Row],[age]]&lt;25,"1. Young Adulthood (18-24)",worksheet[[#This Row],[age]]&lt; 35,"2. Early Adulthood (25-34)",worksheet[[#This Row],[age]]&lt; 45,"3. Mid Adulthood (35-44)",worksheet[[#This Row],[age]]&lt; 55,"4. Mature Adulthood (45-54)",TRUE,"5. Late Adulthood/Senior (55+)")</f>
        <v>2. Early Adulthood (25-34)</v>
      </c>
      <c r="D1497" t="s">
        <v>41</v>
      </c>
      <c r="E1497" t="s">
        <v>22</v>
      </c>
      <c r="F1497" s="4">
        <v>3.18</v>
      </c>
      <c r="G1497" s="5">
        <v>27</v>
      </c>
      <c r="H1497" t="s">
        <v>33</v>
      </c>
      <c r="I1497" t="s">
        <v>55</v>
      </c>
      <c r="J1497" s="6">
        <v>13.99</v>
      </c>
      <c r="K1497">
        <v>1</v>
      </c>
      <c r="L1497" t="s">
        <v>61</v>
      </c>
      <c r="M1497" s="5">
        <v>1</v>
      </c>
      <c r="N1497" s="4">
        <v>0.11</v>
      </c>
      <c r="O1497" t="s">
        <v>47</v>
      </c>
    </row>
    <row r="1498" spans="1:15" x14ac:dyDescent="0.3">
      <c r="A1498" t="s">
        <v>4596</v>
      </c>
      <c r="B1498" s="5">
        <v>23</v>
      </c>
      <c r="C1498" s="5" t="str" cm="1">
        <f t="array" ref="C1498">_xlfn.IFS(worksheet[[#This Row],[age]]&lt;25,"1. Young Adulthood (18-24)",worksheet[[#This Row],[age]]&lt; 35,"2. Early Adulthood (25-34)",worksheet[[#This Row],[age]]&lt; 45,"3. Mid Adulthood (35-44)",worksheet[[#This Row],[age]]&lt; 55,"4. Mature Adulthood (45-54)",TRUE,"5. Late Adulthood/Senior (55+)")</f>
        <v>1. Young Adulthood (18-24)</v>
      </c>
      <c r="D1498" t="s">
        <v>15</v>
      </c>
      <c r="E1498" t="s">
        <v>22</v>
      </c>
      <c r="F1498" s="4">
        <v>5.52</v>
      </c>
      <c r="G1498" s="5">
        <v>9</v>
      </c>
      <c r="H1498" t="s">
        <v>33</v>
      </c>
      <c r="I1498" t="s">
        <v>24</v>
      </c>
      <c r="J1498" s="6">
        <v>13.99</v>
      </c>
      <c r="K1498">
        <v>0</v>
      </c>
      <c r="L1498" t="s">
        <v>19</v>
      </c>
      <c r="M1498" s="5">
        <v>4</v>
      </c>
      <c r="N1498" s="4">
        <v>0.55000000000000004</v>
      </c>
      <c r="O1498" t="s">
        <v>34</v>
      </c>
    </row>
    <row r="1499" spans="1:15" x14ac:dyDescent="0.3">
      <c r="A1499" t="s">
        <v>4600</v>
      </c>
      <c r="B1499" s="5">
        <v>29</v>
      </c>
      <c r="C1499" s="5" t="str" cm="1">
        <f t="array" ref="C1499">_xlfn.IFS(worksheet[[#This Row],[age]]&lt;25,"1. Young Adulthood (18-24)",worksheet[[#This Row],[age]]&lt; 35,"2. Early Adulthood (25-34)",worksheet[[#This Row],[age]]&lt; 45,"3. Mid Adulthood (35-44)",worksheet[[#This Row],[age]]&lt; 55,"4. Mature Adulthood (45-54)",TRUE,"5. Late Adulthood/Senior (55+)")</f>
        <v>2. Early Adulthood (25-34)</v>
      </c>
      <c r="D1499" t="s">
        <v>15</v>
      </c>
      <c r="E1499" t="s">
        <v>16</v>
      </c>
      <c r="F1499" s="4">
        <v>27.02</v>
      </c>
      <c r="G1499" s="5">
        <v>9</v>
      </c>
      <c r="H1499" t="s">
        <v>49</v>
      </c>
      <c r="I1499" t="s">
        <v>24</v>
      </c>
      <c r="J1499" s="6">
        <v>8.99</v>
      </c>
      <c r="K1499">
        <v>0</v>
      </c>
      <c r="L1499" t="s">
        <v>29</v>
      </c>
      <c r="M1499" s="5">
        <v>3</v>
      </c>
      <c r="N1499" s="4">
        <v>2.7</v>
      </c>
      <c r="O1499" t="s">
        <v>47</v>
      </c>
    </row>
    <row r="1500" spans="1:15" x14ac:dyDescent="0.3">
      <c r="A1500" t="s">
        <v>4602</v>
      </c>
      <c r="B1500" s="5">
        <v>29</v>
      </c>
      <c r="C1500" s="5" t="str" cm="1">
        <f t="array" ref="C1500">_xlfn.IFS(worksheet[[#This Row],[age]]&lt;25,"1. Young Adulthood (18-24)",worksheet[[#This Row],[age]]&lt; 35,"2. Early Adulthood (25-34)",worksheet[[#This Row],[age]]&lt; 45,"3. Mid Adulthood (35-44)",worksheet[[#This Row],[age]]&lt; 55,"4. Mature Adulthood (45-54)",TRUE,"5. Late Adulthood/Senior (55+)")</f>
        <v>2. Early Adulthood (25-34)</v>
      </c>
      <c r="D1500" t="s">
        <v>27</v>
      </c>
      <c r="E1500" t="s">
        <v>16</v>
      </c>
      <c r="F1500" s="4">
        <v>4.84</v>
      </c>
      <c r="G1500" s="5">
        <v>49</v>
      </c>
      <c r="H1500" t="s">
        <v>70</v>
      </c>
      <c r="I1500" t="s">
        <v>55</v>
      </c>
      <c r="J1500" s="6">
        <v>8.99</v>
      </c>
      <c r="K1500">
        <v>1</v>
      </c>
      <c r="L1500" t="s">
        <v>29</v>
      </c>
      <c r="M1500" s="5">
        <v>3</v>
      </c>
      <c r="N1500" s="4">
        <v>0.1</v>
      </c>
      <c r="O1500" t="s">
        <v>39</v>
      </c>
    </row>
    <row r="1501" spans="1:15" x14ac:dyDescent="0.3">
      <c r="A1501" t="s">
        <v>4605</v>
      </c>
      <c r="B1501" s="5">
        <v>30</v>
      </c>
      <c r="C1501" s="5" t="str" cm="1">
        <f t="array" ref="C1501">_xlfn.IFS(worksheet[[#This Row],[age]]&lt;25,"1. Young Adulthood (18-24)",worksheet[[#This Row],[age]]&lt; 35,"2. Early Adulthood (25-34)",worksheet[[#This Row],[age]]&lt; 45,"3. Mid Adulthood (35-44)",worksheet[[#This Row],[age]]&lt; 55,"4. Mature Adulthood (45-54)",TRUE,"5. Late Adulthood/Senior (55+)")</f>
        <v>2. Early Adulthood (25-34)</v>
      </c>
      <c r="D1501" t="s">
        <v>41</v>
      </c>
      <c r="E1501" t="s">
        <v>22</v>
      </c>
      <c r="F1501" s="4">
        <v>4.99</v>
      </c>
      <c r="G1501" s="5">
        <v>17</v>
      </c>
      <c r="H1501" t="s">
        <v>28</v>
      </c>
      <c r="I1501" t="s">
        <v>57</v>
      </c>
      <c r="J1501" s="6">
        <v>13.99</v>
      </c>
      <c r="K1501">
        <v>0</v>
      </c>
      <c r="L1501" t="s">
        <v>43</v>
      </c>
      <c r="M1501" s="5">
        <v>5</v>
      </c>
      <c r="N1501" s="4">
        <v>0.28000000000000003</v>
      </c>
      <c r="O1501" t="s">
        <v>20</v>
      </c>
    </row>
    <row r="1502" spans="1:15" x14ac:dyDescent="0.3">
      <c r="A1502" t="s">
        <v>4607</v>
      </c>
      <c r="B1502" s="5">
        <v>25</v>
      </c>
      <c r="C1502" s="5" t="str" cm="1">
        <f t="array" ref="C1502">_xlfn.IFS(worksheet[[#This Row],[age]]&lt;25,"1. Young Adulthood (18-24)",worksheet[[#This Row],[age]]&lt; 35,"2. Early Adulthood (25-34)",worksheet[[#This Row],[age]]&lt; 45,"3. Mid Adulthood (35-44)",worksheet[[#This Row],[age]]&lt; 55,"4. Mature Adulthood (45-54)",TRUE,"5. Late Adulthood/Senior (55+)")</f>
        <v>2. Early Adulthood (25-34)</v>
      </c>
      <c r="D1502" t="s">
        <v>41</v>
      </c>
      <c r="E1502" t="s">
        <v>22</v>
      </c>
      <c r="F1502" s="4">
        <v>12.66</v>
      </c>
      <c r="G1502" s="5">
        <v>25</v>
      </c>
      <c r="H1502" t="s">
        <v>49</v>
      </c>
      <c r="I1502" t="s">
        <v>55</v>
      </c>
      <c r="J1502" s="6">
        <v>13.99</v>
      </c>
      <c r="K1502">
        <v>0</v>
      </c>
      <c r="L1502" t="s">
        <v>43</v>
      </c>
      <c r="M1502" s="5">
        <v>5</v>
      </c>
      <c r="N1502" s="4">
        <v>0.49</v>
      </c>
      <c r="O1502" t="s">
        <v>52</v>
      </c>
    </row>
    <row r="1503" spans="1:15" x14ac:dyDescent="0.3">
      <c r="A1503" t="s">
        <v>4608</v>
      </c>
      <c r="B1503" s="5">
        <v>19</v>
      </c>
      <c r="C1503" s="5" t="str" cm="1">
        <f t="array" ref="C1503">_xlfn.IFS(worksheet[[#This Row],[age]]&lt;25,"1. Young Adulthood (18-24)",worksheet[[#This Row],[age]]&lt; 35,"2. Early Adulthood (25-34)",worksheet[[#This Row],[age]]&lt; 45,"3. Mid Adulthood (35-44)",worksheet[[#This Row],[age]]&lt; 55,"4. Mature Adulthood (45-54)",TRUE,"5. Late Adulthood/Senior (55+)")</f>
        <v>1. Young Adulthood (18-24)</v>
      </c>
      <c r="D1503" t="s">
        <v>41</v>
      </c>
      <c r="E1503" t="s">
        <v>22</v>
      </c>
      <c r="F1503" s="4">
        <v>43.11</v>
      </c>
      <c r="G1503" s="5">
        <v>9</v>
      </c>
      <c r="H1503" t="s">
        <v>23</v>
      </c>
      <c r="I1503" t="s">
        <v>55</v>
      </c>
      <c r="J1503" s="6">
        <v>13.99</v>
      </c>
      <c r="K1503">
        <v>0</v>
      </c>
      <c r="L1503" t="s">
        <v>37</v>
      </c>
      <c r="M1503" s="5">
        <v>1</v>
      </c>
      <c r="N1503" s="4">
        <v>4.3099999999999996</v>
      </c>
      <c r="O1503" t="s">
        <v>47</v>
      </c>
    </row>
    <row r="1504" spans="1:15" x14ac:dyDescent="0.3">
      <c r="A1504" t="s">
        <v>4609</v>
      </c>
      <c r="B1504" s="5">
        <v>23</v>
      </c>
      <c r="C1504" s="5" t="str" cm="1">
        <f t="array" ref="C1504">_xlfn.IFS(worksheet[[#This Row],[age]]&lt;25,"1. Young Adulthood (18-24)",worksheet[[#This Row],[age]]&lt; 35,"2. Early Adulthood (25-34)",worksheet[[#This Row],[age]]&lt; 45,"3. Mid Adulthood (35-44)",worksheet[[#This Row],[age]]&lt; 55,"4. Mature Adulthood (45-54)",TRUE,"5. Late Adulthood/Senior (55+)")</f>
        <v>1. Young Adulthood (18-24)</v>
      </c>
      <c r="D1504" t="s">
        <v>41</v>
      </c>
      <c r="E1504" t="s">
        <v>32</v>
      </c>
      <c r="F1504" s="4">
        <v>8.41</v>
      </c>
      <c r="G1504" s="5">
        <v>29</v>
      </c>
      <c r="H1504" t="s">
        <v>28</v>
      </c>
      <c r="I1504" t="s">
        <v>57</v>
      </c>
      <c r="J1504" s="6">
        <v>17.989999999999998</v>
      </c>
      <c r="K1504">
        <v>0</v>
      </c>
      <c r="L1504" t="s">
        <v>37</v>
      </c>
      <c r="M1504" s="5">
        <v>4</v>
      </c>
      <c r="N1504" s="4">
        <v>0.28000000000000003</v>
      </c>
      <c r="O1504" t="s">
        <v>47</v>
      </c>
    </row>
    <row r="1505" spans="1:15" x14ac:dyDescent="0.3">
      <c r="A1505" t="s">
        <v>4612</v>
      </c>
      <c r="B1505" s="5">
        <v>27</v>
      </c>
      <c r="C1505" s="5" t="str" cm="1">
        <f t="array" ref="C1505">_xlfn.IFS(worksheet[[#This Row],[age]]&lt;25,"1. Young Adulthood (18-24)",worksheet[[#This Row],[age]]&lt; 35,"2. Early Adulthood (25-34)",worksheet[[#This Row],[age]]&lt; 45,"3. Mid Adulthood (35-44)",worksheet[[#This Row],[age]]&lt; 55,"4. Mature Adulthood (45-54)",TRUE,"5. Late Adulthood/Senior (55+)")</f>
        <v>2. Early Adulthood (25-34)</v>
      </c>
      <c r="D1505" t="s">
        <v>41</v>
      </c>
      <c r="E1505" t="s">
        <v>32</v>
      </c>
      <c r="F1505" s="4">
        <v>9.6</v>
      </c>
      <c r="G1505" s="5">
        <v>60</v>
      </c>
      <c r="H1505" t="s">
        <v>70</v>
      </c>
      <c r="I1505" t="s">
        <v>57</v>
      </c>
      <c r="J1505" s="6">
        <v>17.989999999999998</v>
      </c>
      <c r="K1505">
        <v>1</v>
      </c>
      <c r="L1505" t="s">
        <v>61</v>
      </c>
      <c r="M1505" s="5">
        <v>1</v>
      </c>
      <c r="N1505" s="4">
        <v>0.16</v>
      </c>
      <c r="O1505" t="s">
        <v>39</v>
      </c>
    </row>
    <row r="1506" spans="1:15" x14ac:dyDescent="0.3">
      <c r="A1506" t="s">
        <v>4617</v>
      </c>
      <c r="B1506" s="5">
        <v>29</v>
      </c>
      <c r="C1506" s="5" t="str" cm="1">
        <f t="array" ref="C1506">_xlfn.IFS(worksheet[[#This Row],[age]]&lt;25,"1. Young Adulthood (18-24)",worksheet[[#This Row],[age]]&lt; 35,"2. Early Adulthood (25-34)",worksheet[[#This Row],[age]]&lt; 45,"3. Mid Adulthood (35-44)",worksheet[[#This Row],[age]]&lt; 55,"4. Mature Adulthood (45-54)",TRUE,"5. Late Adulthood/Senior (55+)")</f>
        <v>2. Early Adulthood (25-34)</v>
      </c>
      <c r="D1506" t="s">
        <v>41</v>
      </c>
      <c r="E1506" t="s">
        <v>16</v>
      </c>
      <c r="F1506" s="4">
        <v>10.93</v>
      </c>
      <c r="G1506" s="5">
        <v>59</v>
      </c>
      <c r="H1506" t="s">
        <v>28</v>
      </c>
      <c r="I1506" t="s">
        <v>55</v>
      </c>
      <c r="J1506" s="6">
        <v>8.99</v>
      </c>
      <c r="K1506">
        <v>1</v>
      </c>
      <c r="L1506" t="s">
        <v>29</v>
      </c>
      <c r="M1506" s="5">
        <v>3</v>
      </c>
      <c r="N1506" s="4">
        <v>0.18</v>
      </c>
      <c r="O1506" t="s">
        <v>30</v>
      </c>
    </row>
    <row r="1507" spans="1:15" x14ac:dyDescent="0.3">
      <c r="A1507" t="s">
        <v>4618</v>
      </c>
      <c r="B1507" s="5">
        <v>32</v>
      </c>
      <c r="C1507" s="5" t="str" cm="1">
        <f t="array" ref="C1507">_xlfn.IFS(worksheet[[#This Row],[age]]&lt;25,"1. Young Adulthood (18-24)",worksheet[[#This Row],[age]]&lt; 35,"2. Early Adulthood (25-34)",worksheet[[#This Row],[age]]&lt; 45,"3. Mid Adulthood (35-44)",worksheet[[#This Row],[age]]&lt; 55,"4. Mature Adulthood (45-54)",TRUE,"5. Late Adulthood/Senior (55+)")</f>
        <v>2. Early Adulthood (25-34)</v>
      </c>
      <c r="D1507" t="s">
        <v>27</v>
      </c>
      <c r="E1507" t="s">
        <v>32</v>
      </c>
      <c r="F1507" s="4">
        <v>18.579999999999998</v>
      </c>
      <c r="G1507" s="5">
        <v>18</v>
      </c>
      <c r="H1507" t="s">
        <v>70</v>
      </c>
      <c r="I1507" t="s">
        <v>57</v>
      </c>
      <c r="J1507" s="6">
        <v>17.989999999999998</v>
      </c>
      <c r="K1507">
        <v>0</v>
      </c>
      <c r="L1507" t="s">
        <v>19</v>
      </c>
      <c r="M1507" s="5">
        <v>5</v>
      </c>
      <c r="N1507" s="4">
        <v>0.98</v>
      </c>
      <c r="O1507" t="s">
        <v>39</v>
      </c>
    </row>
    <row r="1508" spans="1:15" x14ac:dyDescent="0.3">
      <c r="A1508" t="s">
        <v>4620</v>
      </c>
      <c r="B1508" s="5">
        <v>30</v>
      </c>
      <c r="C1508" s="5" t="str" cm="1">
        <f t="array" ref="C1508">_xlfn.IFS(worksheet[[#This Row],[age]]&lt;25,"1. Young Adulthood (18-24)",worksheet[[#This Row],[age]]&lt; 35,"2. Early Adulthood (25-34)",worksheet[[#This Row],[age]]&lt; 45,"3. Mid Adulthood (35-44)",worksheet[[#This Row],[age]]&lt; 55,"4. Mature Adulthood (45-54)",TRUE,"5. Late Adulthood/Senior (55+)")</f>
        <v>2. Early Adulthood (25-34)</v>
      </c>
      <c r="D1508" t="s">
        <v>41</v>
      </c>
      <c r="E1508" t="s">
        <v>32</v>
      </c>
      <c r="F1508" s="4">
        <v>46.55</v>
      </c>
      <c r="G1508" s="5">
        <v>48</v>
      </c>
      <c r="H1508" t="s">
        <v>70</v>
      </c>
      <c r="I1508" t="s">
        <v>55</v>
      </c>
      <c r="J1508" s="6">
        <v>17.989999999999998</v>
      </c>
      <c r="K1508">
        <v>0</v>
      </c>
      <c r="L1508" t="s">
        <v>29</v>
      </c>
      <c r="M1508" s="5">
        <v>3</v>
      </c>
      <c r="N1508" s="4">
        <v>0.95</v>
      </c>
      <c r="O1508" t="s">
        <v>39</v>
      </c>
    </row>
    <row r="1509" spans="1:15" x14ac:dyDescent="0.3">
      <c r="A1509" t="s">
        <v>4625</v>
      </c>
      <c r="B1509" s="5">
        <v>25</v>
      </c>
      <c r="C1509" s="5" t="str" cm="1">
        <f t="array" ref="C1509">_xlfn.IFS(worksheet[[#This Row],[age]]&lt;25,"1. Young Adulthood (18-24)",worksheet[[#This Row],[age]]&lt; 35,"2. Early Adulthood (25-34)",worksheet[[#This Row],[age]]&lt; 45,"3. Mid Adulthood (35-44)",worksheet[[#This Row],[age]]&lt; 55,"4. Mature Adulthood (45-54)",TRUE,"5. Late Adulthood/Senior (55+)")</f>
        <v>2. Early Adulthood (25-34)</v>
      </c>
      <c r="D1509" t="s">
        <v>27</v>
      </c>
      <c r="E1509" t="s">
        <v>16</v>
      </c>
      <c r="F1509" s="4">
        <v>22.29</v>
      </c>
      <c r="G1509" s="5">
        <v>54</v>
      </c>
      <c r="H1509" t="s">
        <v>17</v>
      </c>
      <c r="I1509" t="s">
        <v>24</v>
      </c>
      <c r="J1509" s="6">
        <v>8.99</v>
      </c>
      <c r="K1509">
        <v>0</v>
      </c>
      <c r="L1509" t="s">
        <v>61</v>
      </c>
      <c r="M1509" s="5">
        <v>5</v>
      </c>
      <c r="N1509" s="4">
        <v>0.41</v>
      </c>
      <c r="O1509" t="s">
        <v>52</v>
      </c>
    </row>
    <row r="1510" spans="1:15" x14ac:dyDescent="0.3">
      <c r="A1510" t="s">
        <v>4626</v>
      </c>
      <c r="B1510" s="5">
        <v>29</v>
      </c>
      <c r="C1510" s="5" t="str" cm="1">
        <f t="array" ref="C1510">_xlfn.IFS(worksheet[[#This Row],[age]]&lt;25,"1. Young Adulthood (18-24)",worksheet[[#This Row],[age]]&lt; 35,"2. Early Adulthood (25-34)",worksheet[[#This Row],[age]]&lt; 45,"3. Mid Adulthood (35-44)",worksheet[[#This Row],[age]]&lt; 55,"4. Mature Adulthood (45-54)",TRUE,"5. Late Adulthood/Senior (55+)")</f>
        <v>2. Early Adulthood (25-34)</v>
      </c>
      <c r="D1510" t="s">
        <v>41</v>
      </c>
      <c r="E1510" t="s">
        <v>16</v>
      </c>
      <c r="F1510" s="4">
        <v>8.06</v>
      </c>
      <c r="G1510" s="5">
        <v>13</v>
      </c>
      <c r="H1510" t="s">
        <v>70</v>
      </c>
      <c r="I1510" t="s">
        <v>24</v>
      </c>
      <c r="J1510" s="6">
        <v>8.99</v>
      </c>
      <c r="K1510">
        <v>0</v>
      </c>
      <c r="L1510" t="s">
        <v>61</v>
      </c>
      <c r="M1510" s="5">
        <v>2</v>
      </c>
      <c r="N1510" s="4">
        <v>0.57999999999999996</v>
      </c>
      <c r="O1510" t="s">
        <v>39</v>
      </c>
    </row>
    <row r="1511" spans="1:15" x14ac:dyDescent="0.3">
      <c r="A1511" t="s">
        <v>4628</v>
      </c>
      <c r="B1511" s="5">
        <v>29</v>
      </c>
      <c r="C1511" s="5" t="str" cm="1">
        <f t="array" ref="C1511">_xlfn.IFS(worksheet[[#This Row],[age]]&lt;25,"1. Young Adulthood (18-24)",worksheet[[#This Row],[age]]&lt; 35,"2. Early Adulthood (25-34)",worksheet[[#This Row],[age]]&lt; 45,"3. Mid Adulthood (35-44)",worksheet[[#This Row],[age]]&lt; 55,"4. Mature Adulthood (45-54)",TRUE,"5. Late Adulthood/Senior (55+)")</f>
        <v>2. Early Adulthood (25-34)</v>
      </c>
      <c r="D1511" t="s">
        <v>15</v>
      </c>
      <c r="E1511" t="s">
        <v>22</v>
      </c>
      <c r="F1511" s="4">
        <v>7.29</v>
      </c>
      <c r="G1511" s="5">
        <v>44</v>
      </c>
      <c r="H1511" t="s">
        <v>70</v>
      </c>
      <c r="I1511" t="s">
        <v>55</v>
      </c>
      <c r="J1511" s="6">
        <v>13.99</v>
      </c>
      <c r="K1511">
        <v>1</v>
      </c>
      <c r="L1511" t="s">
        <v>19</v>
      </c>
      <c r="M1511" s="5">
        <v>3</v>
      </c>
      <c r="N1511" s="4">
        <v>0.16</v>
      </c>
      <c r="O1511" t="s">
        <v>39</v>
      </c>
    </row>
    <row r="1512" spans="1:15" x14ac:dyDescent="0.3">
      <c r="A1512" t="s">
        <v>4630</v>
      </c>
      <c r="B1512" s="5">
        <v>22</v>
      </c>
      <c r="C1512" s="5" t="str" cm="1">
        <f t="array" ref="C1512">_xlfn.IFS(worksheet[[#This Row],[age]]&lt;25,"1. Young Adulthood (18-24)",worksheet[[#This Row],[age]]&lt; 35,"2. Early Adulthood (25-34)",worksheet[[#This Row],[age]]&lt; 45,"3. Mid Adulthood (35-44)",worksheet[[#This Row],[age]]&lt; 55,"4. Mature Adulthood (45-54)",TRUE,"5. Late Adulthood/Senior (55+)")</f>
        <v>1. Young Adulthood (18-24)</v>
      </c>
      <c r="D1512" t="s">
        <v>15</v>
      </c>
      <c r="E1512" t="s">
        <v>16</v>
      </c>
      <c r="F1512" s="4">
        <v>0.91</v>
      </c>
      <c r="G1512" s="5">
        <v>39</v>
      </c>
      <c r="H1512" t="s">
        <v>49</v>
      </c>
      <c r="I1512" t="s">
        <v>57</v>
      </c>
      <c r="J1512" s="6">
        <v>8.99</v>
      </c>
      <c r="K1512">
        <v>1</v>
      </c>
      <c r="L1512" t="s">
        <v>29</v>
      </c>
      <c r="M1512" s="5">
        <v>1</v>
      </c>
      <c r="N1512" s="4">
        <v>0.02</v>
      </c>
      <c r="O1512" t="s">
        <v>30</v>
      </c>
    </row>
    <row r="1513" spans="1:15" x14ac:dyDescent="0.3">
      <c r="A1513" t="s">
        <v>4631</v>
      </c>
      <c r="B1513" s="5">
        <v>33</v>
      </c>
      <c r="C1513" s="5" t="str" cm="1">
        <f t="array" ref="C1513">_xlfn.IFS(worksheet[[#This Row],[age]]&lt;25,"1. Young Adulthood (18-24)",worksheet[[#This Row],[age]]&lt; 35,"2. Early Adulthood (25-34)",worksheet[[#This Row],[age]]&lt; 45,"3. Mid Adulthood (35-44)",worksheet[[#This Row],[age]]&lt; 55,"4. Mature Adulthood (45-54)",TRUE,"5. Late Adulthood/Senior (55+)")</f>
        <v>2. Early Adulthood (25-34)</v>
      </c>
      <c r="D1513" t="s">
        <v>41</v>
      </c>
      <c r="E1513" t="s">
        <v>16</v>
      </c>
      <c r="F1513" s="4">
        <v>3.15</v>
      </c>
      <c r="G1513" s="5">
        <v>42</v>
      </c>
      <c r="H1513" t="s">
        <v>70</v>
      </c>
      <c r="I1513" t="s">
        <v>24</v>
      </c>
      <c r="J1513" s="6">
        <v>8.99</v>
      </c>
      <c r="K1513">
        <v>1</v>
      </c>
      <c r="L1513" t="s">
        <v>29</v>
      </c>
      <c r="M1513" s="5">
        <v>1</v>
      </c>
      <c r="N1513" s="4">
        <v>7.0000000000000007E-2</v>
      </c>
      <c r="O1513" t="s">
        <v>30</v>
      </c>
    </row>
    <row r="1514" spans="1:15" x14ac:dyDescent="0.3">
      <c r="A1514" t="s">
        <v>4632</v>
      </c>
      <c r="B1514" s="5">
        <v>25</v>
      </c>
      <c r="C1514" s="5" t="str" cm="1">
        <f t="array" ref="C1514">_xlfn.IFS(worksheet[[#This Row],[age]]&lt;25,"1. Young Adulthood (18-24)",worksheet[[#This Row],[age]]&lt; 35,"2. Early Adulthood (25-34)",worksheet[[#This Row],[age]]&lt; 45,"3. Mid Adulthood (35-44)",worksheet[[#This Row],[age]]&lt; 55,"4. Mature Adulthood (45-54)",TRUE,"5. Late Adulthood/Senior (55+)")</f>
        <v>2. Early Adulthood (25-34)</v>
      </c>
      <c r="D1514" t="s">
        <v>27</v>
      </c>
      <c r="E1514" t="s">
        <v>16</v>
      </c>
      <c r="F1514" s="4">
        <v>5.78</v>
      </c>
      <c r="G1514" s="5">
        <v>45</v>
      </c>
      <c r="H1514" t="s">
        <v>23</v>
      </c>
      <c r="I1514" t="s">
        <v>57</v>
      </c>
      <c r="J1514" s="6">
        <v>8.99</v>
      </c>
      <c r="K1514">
        <v>1</v>
      </c>
      <c r="L1514" t="s">
        <v>61</v>
      </c>
      <c r="M1514" s="5">
        <v>4</v>
      </c>
      <c r="N1514" s="4">
        <v>0.13</v>
      </c>
      <c r="O1514" t="s">
        <v>25</v>
      </c>
    </row>
    <row r="1515" spans="1:15" x14ac:dyDescent="0.3">
      <c r="A1515" t="s">
        <v>4634</v>
      </c>
      <c r="B1515" s="5">
        <v>21</v>
      </c>
      <c r="C1515" s="5" t="str" cm="1">
        <f t="array" ref="C1515">_xlfn.IFS(worksheet[[#This Row],[age]]&lt;25,"1. Young Adulthood (18-24)",worksheet[[#This Row],[age]]&lt; 35,"2. Early Adulthood (25-34)",worksheet[[#This Row],[age]]&lt; 45,"3. Mid Adulthood (35-44)",worksheet[[#This Row],[age]]&lt; 55,"4. Mature Adulthood (45-54)",TRUE,"5. Late Adulthood/Senior (55+)")</f>
        <v>1. Young Adulthood (18-24)</v>
      </c>
      <c r="D1515" t="s">
        <v>27</v>
      </c>
      <c r="E1515" t="s">
        <v>16</v>
      </c>
      <c r="F1515" s="4">
        <v>5.49</v>
      </c>
      <c r="G1515" s="5">
        <v>31</v>
      </c>
      <c r="H1515" t="s">
        <v>28</v>
      </c>
      <c r="I1515" t="s">
        <v>24</v>
      </c>
      <c r="J1515" s="6">
        <v>8.99</v>
      </c>
      <c r="K1515">
        <v>1</v>
      </c>
      <c r="L1515" t="s">
        <v>43</v>
      </c>
      <c r="M1515" s="5">
        <v>2</v>
      </c>
      <c r="N1515" s="4">
        <v>0.17</v>
      </c>
      <c r="O1515" t="s">
        <v>47</v>
      </c>
    </row>
    <row r="1516" spans="1:15" x14ac:dyDescent="0.3">
      <c r="A1516" t="s">
        <v>4635</v>
      </c>
      <c r="B1516" s="5">
        <v>19</v>
      </c>
      <c r="C1516" s="5" t="str" cm="1">
        <f t="array" ref="C1516">_xlfn.IFS(worksheet[[#This Row],[age]]&lt;25,"1. Young Adulthood (18-24)",worksheet[[#This Row],[age]]&lt; 35,"2. Early Adulthood (25-34)",worksheet[[#This Row],[age]]&lt; 45,"3. Mid Adulthood (35-44)",worksheet[[#This Row],[age]]&lt; 55,"4. Mature Adulthood (45-54)",TRUE,"5. Late Adulthood/Senior (55+)")</f>
        <v>1. Young Adulthood (18-24)</v>
      </c>
      <c r="D1516" t="s">
        <v>15</v>
      </c>
      <c r="E1516" t="s">
        <v>32</v>
      </c>
      <c r="F1516" s="4">
        <v>1.87</v>
      </c>
      <c r="G1516" s="5">
        <v>6</v>
      </c>
      <c r="H1516" t="s">
        <v>49</v>
      </c>
      <c r="I1516" t="s">
        <v>46</v>
      </c>
      <c r="J1516" s="6">
        <v>17.989999999999998</v>
      </c>
      <c r="K1516">
        <v>1</v>
      </c>
      <c r="L1516" t="s">
        <v>37</v>
      </c>
      <c r="M1516" s="5">
        <v>1</v>
      </c>
      <c r="N1516" s="4">
        <v>0.27</v>
      </c>
      <c r="O1516" t="s">
        <v>20</v>
      </c>
    </row>
    <row r="1517" spans="1:15" x14ac:dyDescent="0.3">
      <c r="A1517" t="s">
        <v>4636</v>
      </c>
      <c r="B1517" s="5">
        <v>23</v>
      </c>
      <c r="C1517" s="5" t="str" cm="1">
        <f t="array" ref="C1517">_xlfn.IFS(worksheet[[#This Row],[age]]&lt;25,"1. Young Adulthood (18-24)",worksheet[[#This Row],[age]]&lt; 35,"2. Early Adulthood (25-34)",worksheet[[#This Row],[age]]&lt; 45,"3. Mid Adulthood (35-44)",worksheet[[#This Row],[age]]&lt; 55,"4. Mature Adulthood (45-54)",TRUE,"5. Late Adulthood/Senior (55+)")</f>
        <v>1. Young Adulthood (18-24)</v>
      </c>
      <c r="D1517" t="s">
        <v>15</v>
      </c>
      <c r="E1517" t="s">
        <v>16</v>
      </c>
      <c r="F1517" s="4">
        <v>15.3</v>
      </c>
      <c r="G1517" s="5">
        <v>49</v>
      </c>
      <c r="H1517" t="s">
        <v>28</v>
      </c>
      <c r="I1517" t="s">
        <v>57</v>
      </c>
      <c r="J1517" s="6">
        <v>8.99</v>
      </c>
      <c r="K1517">
        <v>1</v>
      </c>
      <c r="L1517" t="s">
        <v>19</v>
      </c>
      <c r="M1517" s="5">
        <v>3</v>
      </c>
      <c r="N1517" s="4">
        <v>0.31</v>
      </c>
      <c r="O1517" t="s">
        <v>39</v>
      </c>
    </row>
    <row r="1518" spans="1:15" x14ac:dyDescent="0.3">
      <c r="A1518" t="s">
        <v>4637</v>
      </c>
      <c r="B1518" s="5">
        <v>19</v>
      </c>
      <c r="C1518" s="5" t="str" cm="1">
        <f t="array" ref="C1518">_xlfn.IFS(worksheet[[#This Row],[age]]&lt;25,"1. Young Adulthood (18-24)",worksheet[[#This Row],[age]]&lt; 35,"2. Early Adulthood (25-34)",worksheet[[#This Row],[age]]&lt; 45,"3. Mid Adulthood (35-44)",worksheet[[#This Row],[age]]&lt; 55,"4. Mature Adulthood (45-54)",TRUE,"5. Late Adulthood/Senior (55+)")</f>
        <v>1. Young Adulthood (18-24)</v>
      </c>
      <c r="D1518" t="s">
        <v>27</v>
      </c>
      <c r="E1518" t="s">
        <v>22</v>
      </c>
      <c r="F1518" s="4">
        <v>0.82</v>
      </c>
      <c r="G1518" s="5">
        <v>39</v>
      </c>
      <c r="H1518" t="s">
        <v>49</v>
      </c>
      <c r="I1518" t="s">
        <v>57</v>
      </c>
      <c r="J1518" s="6">
        <v>13.99</v>
      </c>
      <c r="K1518">
        <v>1</v>
      </c>
      <c r="L1518" t="s">
        <v>37</v>
      </c>
      <c r="M1518" s="5">
        <v>5</v>
      </c>
      <c r="N1518" s="4">
        <v>0.02</v>
      </c>
      <c r="O1518" t="s">
        <v>30</v>
      </c>
    </row>
    <row r="1519" spans="1:15" x14ac:dyDescent="0.3">
      <c r="A1519" t="s">
        <v>4639</v>
      </c>
      <c r="B1519" s="5">
        <v>31</v>
      </c>
      <c r="C1519" s="5" t="str" cm="1">
        <f t="array" ref="C1519">_xlfn.IFS(worksheet[[#This Row],[age]]&lt;25,"1. Young Adulthood (18-24)",worksheet[[#This Row],[age]]&lt; 35,"2. Early Adulthood (25-34)",worksheet[[#This Row],[age]]&lt; 45,"3. Mid Adulthood (35-44)",worksheet[[#This Row],[age]]&lt; 55,"4. Mature Adulthood (45-54)",TRUE,"5. Late Adulthood/Senior (55+)")</f>
        <v>2. Early Adulthood (25-34)</v>
      </c>
      <c r="D1519" t="s">
        <v>27</v>
      </c>
      <c r="E1519" t="s">
        <v>32</v>
      </c>
      <c r="F1519" s="4">
        <v>2.2000000000000002</v>
      </c>
      <c r="G1519" s="5">
        <v>43</v>
      </c>
      <c r="H1519" t="s">
        <v>23</v>
      </c>
      <c r="I1519" t="s">
        <v>55</v>
      </c>
      <c r="J1519" s="6">
        <v>17.989999999999998</v>
      </c>
      <c r="K1519">
        <v>1</v>
      </c>
      <c r="L1519" t="s">
        <v>37</v>
      </c>
      <c r="M1519" s="5">
        <v>5</v>
      </c>
      <c r="N1519" s="4">
        <v>0.05</v>
      </c>
      <c r="O1519" t="s">
        <v>30</v>
      </c>
    </row>
    <row r="1520" spans="1:15" x14ac:dyDescent="0.3">
      <c r="A1520" t="s">
        <v>4641</v>
      </c>
      <c r="B1520" s="5">
        <v>25</v>
      </c>
      <c r="C1520" s="5" t="str" cm="1">
        <f t="array" ref="C1520">_xlfn.IFS(worksheet[[#This Row],[age]]&lt;25,"1. Young Adulthood (18-24)",worksheet[[#This Row],[age]]&lt; 35,"2. Early Adulthood (25-34)",worksheet[[#This Row],[age]]&lt; 45,"3. Mid Adulthood (35-44)",worksheet[[#This Row],[age]]&lt; 55,"4. Mature Adulthood (45-54)",TRUE,"5. Late Adulthood/Senior (55+)")</f>
        <v>2. Early Adulthood (25-34)</v>
      </c>
      <c r="D1520" t="s">
        <v>15</v>
      </c>
      <c r="E1520" t="s">
        <v>32</v>
      </c>
      <c r="F1520" s="4">
        <v>5.75</v>
      </c>
      <c r="G1520" s="5">
        <v>7</v>
      </c>
      <c r="H1520" t="s">
        <v>70</v>
      </c>
      <c r="I1520" t="s">
        <v>46</v>
      </c>
      <c r="J1520" s="6">
        <v>17.989999999999998</v>
      </c>
      <c r="K1520">
        <v>0</v>
      </c>
      <c r="L1520" t="s">
        <v>61</v>
      </c>
      <c r="M1520" s="5">
        <v>3</v>
      </c>
      <c r="N1520" s="4">
        <v>0.72</v>
      </c>
      <c r="O1520" t="s">
        <v>52</v>
      </c>
    </row>
    <row r="1521" spans="1:15" x14ac:dyDescent="0.3">
      <c r="A1521" t="s">
        <v>4644</v>
      </c>
      <c r="B1521" s="5">
        <v>21</v>
      </c>
      <c r="C1521" s="5" t="str" cm="1">
        <f t="array" ref="C1521">_xlfn.IFS(worksheet[[#This Row],[age]]&lt;25,"1. Young Adulthood (18-24)",worksheet[[#This Row],[age]]&lt; 35,"2. Early Adulthood (25-34)",worksheet[[#This Row],[age]]&lt; 45,"3. Mid Adulthood (35-44)",worksheet[[#This Row],[age]]&lt; 55,"4. Mature Adulthood (45-54)",TRUE,"5. Late Adulthood/Senior (55+)")</f>
        <v>1. Young Adulthood (18-24)</v>
      </c>
      <c r="D1521" t="s">
        <v>15</v>
      </c>
      <c r="E1521" t="s">
        <v>22</v>
      </c>
      <c r="F1521" s="4">
        <v>8.27</v>
      </c>
      <c r="G1521" s="5">
        <v>53</v>
      </c>
      <c r="H1521" t="s">
        <v>33</v>
      </c>
      <c r="I1521" t="s">
        <v>24</v>
      </c>
      <c r="J1521" s="6">
        <v>13.99</v>
      </c>
      <c r="K1521">
        <v>1</v>
      </c>
      <c r="L1521" t="s">
        <v>61</v>
      </c>
      <c r="M1521" s="5">
        <v>3</v>
      </c>
      <c r="N1521" s="4">
        <v>0.15</v>
      </c>
      <c r="O1521" t="s">
        <v>52</v>
      </c>
    </row>
    <row r="1522" spans="1:15" x14ac:dyDescent="0.3">
      <c r="A1522" t="s">
        <v>4645</v>
      </c>
      <c r="B1522" s="5">
        <v>32</v>
      </c>
      <c r="C1522" s="5" t="str" cm="1">
        <f t="array" ref="C1522">_xlfn.IFS(worksheet[[#This Row],[age]]&lt;25,"1. Young Adulthood (18-24)",worksheet[[#This Row],[age]]&lt; 35,"2. Early Adulthood (25-34)",worksheet[[#This Row],[age]]&lt; 45,"3. Mid Adulthood (35-44)",worksheet[[#This Row],[age]]&lt; 55,"4. Mature Adulthood (45-54)",TRUE,"5. Late Adulthood/Senior (55+)")</f>
        <v>2. Early Adulthood (25-34)</v>
      </c>
      <c r="D1522" t="s">
        <v>15</v>
      </c>
      <c r="E1522" t="s">
        <v>22</v>
      </c>
      <c r="F1522" s="4">
        <v>3.37</v>
      </c>
      <c r="G1522" s="5">
        <v>19</v>
      </c>
      <c r="H1522" t="s">
        <v>23</v>
      </c>
      <c r="I1522" t="s">
        <v>55</v>
      </c>
      <c r="J1522" s="6">
        <v>13.99</v>
      </c>
      <c r="K1522">
        <v>1</v>
      </c>
      <c r="L1522" t="s">
        <v>29</v>
      </c>
      <c r="M1522" s="5">
        <v>1</v>
      </c>
      <c r="N1522" s="4">
        <v>0.17</v>
      </c>
      <c r="O1522" t="s">
        <v>20</v>
      </c>
    </row>
    <row r="1523" spans="1:15" x14ac:dyDescent="0.3">
      <c r="A1523" t="s">
        <v>4649</v>
      </c>
      <c r="B1523" s="5">
        <v>23</v>
      </c>
      <c r="C1523" s="5" t="str" cm="1">
        <f t="array" ref="C1523">_xlfn.IFS(worksheet[[#This Row],[age]]&lt;25,"1. Young Adulthood (18-24)",worksheet[[#This Row],[age]]&lt; 35,"2. Early Adulthood (25-34)",worksheet[[#This Row],[age]]&lt; 45,"3. Mid Adulthood (35-44)",worksheet[[#This Row],[age]]&lt; 55,"4. Mature Adulthood (45-54)",TRUE,"5. Late Adulthood/Senior (55+)")</f>
        <v>1. Young Adulthood (18-24)</v>
      </c>
      <c r="D1523" t="s">
        <v>27</v>
      </c>
      <c r="E1523" t="s">
        <v>32</v>
      </c>
      <c r="F1523" s="4">
        <v>18.149999999999999</v>
      </c>
      <c r="G1523" s="5">
        <v>16</v>
      </c>
      <c r="H1523" t="s">
        <v>33</v>
      </c>
      <c r="I1523" t="s">
        <v>46</v>
      </c>
      <c r="J1523" s="6">
        <v>17.989999999999998</v>
      </c>
      <c r="K1523">
        <v>0</v>
      </c>
      <c r="L1523" t="s">
        <v>37</v>
      </c>
      <c r="M1523" s="5">
        <v>2</v>
      </c>
      <c r="N1523" s="4">
        <v>1.07</v>
      </c>
      <c r="O1523" t="s">
        <v>20</v>
      </c>
    </row>
    <row r="1524" spans="1:15" x14ac:dyDescent="0.3">
      <c r="A1524" t="s">
        <v>4655</v>
      </c>
      <c r="B1524" s="5">
        <v>33</v>
      </c>
      <c r="C1524" s="5" t="str" cm="1">
        <f t="array" ref="C1524">_xlfn.IFS(worksheet[[#This Row],[age]]&lt;25,"1. Young Adulthood (18-24)",worksheet[[#This Row],[age]]&lt; 35,"2. Early Adulthood (25-34)",worksheet[[#This Row],[age]]&lt; 45,"3. Mid Adulthood (35-44)",worksheet[[#This Row],[age]]&lt; 55,"4. Mature Adulthood (45-54)",TRUE,"5. Late Adulthood/Senior (55+)")</f>
        <v>2. Early Adulthood (25-34)</v>
      </c>
      <c r="D1524" t="s">
        <v>15</v>
      </c>
      <c r="E1524" t="s">
        <v>16</v>
      </c>
      <c r="F1524" s="4">
        <v>8.92</v>
      </c>
      <c r="G1524" s="5">
        <v>48</v>
      </c>
      <c r="H1524" t="s">
        <v>70</v>
      </c>
      <c r="I1524" t="s">
        <v>55</v>
      </c>
      <c r="J1524" s="6">
        <v>8.99</v>
      </c>
      <c r="K1524">
        <v>1</v>
      </c>
      <c r="L1524" t="s">
        <v>29</v>
      </c>
      <c r="M1524" s="5">
        <v>5</v>
      </c>
      <c r="N1524" s="4">
        <v>0.18</v>
      </c>
      <c r="O1524" t="s">
        <v>47</v>
      </c>
    </row>
    <row r="1525" spans="1:15" x14ac:dyDescent="0.3">
      <c r="A1525" t="s">
        <v>4660</v>
      </c>
      <c r="B1525" s="5">
        <v>24</v>
      </c>
      <c r="C1525" s="5" t="str" cm="1">
        <f t="array" ref="C1525">_xlfn.IFS(worksheet[[#This Row],[age]]&lt;25,"1. Young Adulthood (18-24)",worksheet[[#This Row],[age]]&lt; 35,"2. Early Adulthood (25-34)",worksheet[[#This Row],[age]]&lt; 45,"3. Mid Adulthood (35-44)",worksheet[[#This Row],[age]]&lt; 55,"4. Mature Adulthood (45-54)",TRUE,"5. Late Adulthood/Senior (55+)")</f>
        <v>1. Young Adulthood (18-24)</v>
      </c>
      <c r="D1525" t="s">
        <v>15</v>
      </c>
      <c r="E1525" t="s">
        <v>16</v>
      </c>
      <c r="F1525" s="4">
        <v>11.85</v>
      </c>
      <c r="G1525" s="5">
        <v>0</v>
      </c>
      <c r="H1525" t="s">
        <v>28</v>
      </c>
      <c r="I1525" t="s">
        <v>24</v>
      </c>
      <c r="J1525" s="6">
        <v>8.99</v>
      </c>
      <c r="K1525">
        <v>0</v>
      </c>
      <c r="L1525" t="s">
        <v>37</v>
      </c>
      <c r="M1525" s="5">
        <v>3</v>
      </c>
      <c r="N1525" s="4">
        <v>11.85</v>
      </c>
      <c r="O1525" t="s">
        <v>25</v>
      </c>
    </row>
    <row r="1526" spans="1:15" x14ac:dyDescent="0.3">
      <c r="A1526" t="s">
        <v>4665</v>
      </c>
      <c r="B1526" s="5">
        <v>31</v>
      </c>
      <c r="C1526" s="5" t="str" cm="1">
        <f t="array" ref="C1526">_xlfn.IFS(worksheet[[#This Row],[age]]&lt;25,"1. Young Adulthood (18-24)",worksheet[[#This Row],[age]]&lt; 35,"2. Early Adulthood (25-34)",worksheet[[#This Row],[age]]&lt; 45,"3. Mid Adulthood (35-44)",worksheet[[#This Row],[age]]&lt; 55,"4. Mature Adulthood (45-54)",TRUE,"5. Late Adulthood/Senior (55+)")</f>
        <v>2. Early Adulthood (25-34)</v>
      </c>
      <c r="D1526" t="s">
        <v>15</v>
      </c>
      <c r="E1526" t="s">
        <v>16</v>
      </c>
      <c r="F1526" s="4">
        <v>7.64</v>
      </c>
      <c r="G1526" s="5">
        <v>46</v>
      </c>
      <c r="H1526" t="s">
        <v>70</v>
      </c>
      <c r="I1526" t="s">
        <v>18</v>
      </c>
      <c r="J1526" s="6">
        <v>8.99</v>
      </c>
      <c r="K1526">
        <v>1</v>
      </c>
      <c r="L1526" t="s">
        <v>61</v>
      </c>
      <c r="M1526" s="5">
        <v>4</v>
      </c>
      <c r="N1526" s="4">
        <v>0.16</v>
      </c>
      <c r="O1526" t="s">
        <v>30</v>
      </c>
    </row>
    <row r="1527" spans="1:15" x14ac:dyDescent="0.3">
      <c r="A1527" t="s">
        <v>4668</v>
      </c>
      <c r="B1527" s="5">
        <v>18</v>
      </c>
      <c r="C1527" s="5" t="str" cm="1">
        <f t="array" ref="C1527">_xlfn.IFS(worksheet[[#This Row],[age]]&lt;25,"1. Young Adulthood (18-24)",worksheet[[#This Row],[age]]&lt; 35,"2. Early Adulthood (25-34)",worksheet[[#This Row],[age]]&lt; 45,"3. Mid Adulthood (35-44)",worksheet[[#This Row],[age]]&lt; 55,"4. Mature Adulthood (45-54)",TRUE,"5. Late Adulthood/Senior (55+)")</f>
        <v>1. Young Adulthood (18-24)</v>
      </c>
      <c r="D1527" t="s">
        <v>15</v>
      </c>
      <c r="E1527" t="s">
        <v>32</v>
      </c>
      <c r="F1527" s="4">
        <v>27.6</v>
      </c>
      <c r="G1527" s="5">
        <v>11</v>
      </c>
      <c r="H1527" t="s">
        <v>17</v>
      </c>
      <c r="I1527" t="s">
        <v>46</v>
      </c>
      <c r="J1527" s="6">
        <v>17.989999999999998</v>
      </c>
      <c r="K1527">
        <v>0</v>
      </c>
      <c r="L1527" t="s">
        <v>37</v>
      </c>
      <c r="M1527" s="5">
        <v>5</v>
      </c>
      <c r="N1527" s="4">
        <v>2.2999999999999998</v>
      </c>
      <c r="O1527" t="s">
        <v>39</v>
      </c>
    </row>
    <row r="1528" spans="1:15" x14ac:dyDescent="0.3">
      <c r="A1528" t="s">
        <v>4669</v>
      </c>
      <c r="B1528" s="5">
        <v>20</v>
      </c>
      <c r="C1528" s="5" t="str" cm="1">
        <f t="array" ref="C1528">_xlfn.IFS(worksheet[[#This Row],[age]]&lt;25,"1. Young Adulthood (18-24)",worksheet[[#This Row],[age]]&lt; 35,"2. Early Adulthood (25-34)",worksheet[[#This Row],[age]]&lt; 45,"3. Mid Adulthood (35-44)",worksheet[[#This Row],[age]]&lt; 55,"4. Mature Adulthood (45-54)",TRUE,"5. Late Adulthood/Senior (55+)")</f>
        <v>1. Young Adulthood (18-24)</v>
      </c>
      <c r="D1528" t="s">
        <v>41</v>
      </c>
      <c r="E1528" t="s">
        <v>32</v>
      </c>
      <c r="F1528" s="4">
        <v>8.8699999999999992</v>
      </c>
      <c r="G1528" s="5">
        <v>24</v>
      </c>
      <c r="H1528" t="s">
        <v>33</v>
      </c>
      <c r="I1528" t="s">
        <v>46</v>
      </c>
      <c r="J1528" s="6">
        <v>17.989999999999998</v>
      </c>
      <c r="K1528">
        <v>0</v>
      </c>
      <c r="L1528" t="s">
        <v>29</v>
      </c>
      <c r="M1528" s="5">
        <v>1</v>
      </c>
      <c r="N1528" s="4">
        <v>0.35</v>
      </c>
      <c r="O1528" t="s">
        <v>20</v>
      </c>
    </row>
    <row r="1529" spans="1:15" x14ac:dyDescent="0.3">
      <c r="A1529" t="s">
        <v>4671</v>
      </c>
      <c r="B1529" s="5">
        <v>28</v>
      </c>
      <c r="C1529" s="5" t="str" cm="1">
        <f t="array" ref="C1529">_xlfn.IFS(worksheet[[#This Row],[age]]&lt;25,"1. Young Adulthood (18-24)",worksheet[[#This Row],[age]]&lt; 35,"2. Early Adulthood (25-34)",worksheet[[#This Row],[age]]&lt; 45,"3. Mid Adulthood (35-44)",worksheet[[#This Row],[age]]&lt; 55,"4. Mature Adulthood (45-54)",TRUE,"5. Late Adulthood/Senior (55+)")</f>
        <v>2. Early Adulthood (25-34)</v>
      </c>
      <c r="D1529" t="s">
        <v>27</v>
      </c>
      <c r="E1529" t="s">
        <v>32</v>
      </c>
      <c r="F1529" s="4">
        <v>16.690000000000001</v>
      </c>
      <c r="G1529" s="5">
        <v>47</v>
      </c>
      <c r="H1529" t="s">
        <v>49</v>
      </c>
      <c r="I1529" t="s">
        <v>24</v>
      </c>
      <c r="J1529" s="6">
        <v>17.989999999999998</v>
      </c>
      <c r="K1529">
        <v>1</v>
      </c>
      <c r="L1529" t="s">
        <v>37</v>
      </c>
      <c r="M1529" s="5">
        <v>3</v>
      </c>
      <c r="N1529" s="4">
        <v>0.35</v>
      </c>
      <c r="O1529" t="s">
        <v>39</v>
      </c>
    </row>
    <row r="1530" spans="1:15" x14ac:dyDescent="0.3">
      <c r="A1530" t="s">
        <v>4680</v>
      </c>
      <c r="B1530" s="5">
        <v>23</v>
      </c>
      <c r="C1530" s="5" t="str" cm="1">
        <f t="array" ref="C1530">_xlfn.IFS(worksheet[[#This Row],[age]]&lt;25,"1. Young Adulthood (18-24)",worksheet[[#This Row],[age]]&lt; 35,"2. Early Adulthood (25-34)",worksheet[[#This Row],[age]]&lt; 45,"3. Mid Adulthood (35-44)",worksheet[[#This Row],[age]]&lt; 55,"4. Mature Adulthood (45-54)",TRUE,"5. Late Adulthood/Senior (55+)")</f>
        <v>1. Young Adulthood (18-24)</v>
      </c>
      <c r="D1530" t="s">
        <v>27</v>
      </c>
      <c r="E1530" t="s">
        <v>16</v>
      </c>
      <c r="F1530" s="4">
        <v>27.77</v>
      </c>
      <c r="G1530" s="5">
        <v>21</v>
      </c>
      <c r="H1530" t="s">
        <v>28</v>
      </c>
      <c r="I1530" t="s">
        <v>46</v>
      </c>
      <c r="J1530" s="6">
        <v>8.99</v>
      </c>
      <c r="K1530">
        <v>0</v>
      </c>
      <c r="L1530" t="s">
        <v>43</v>
      </c>
      <c r="M1530" s="5">
        <v>2</v>
      </c>
      <c r="N1530" s="4">
        <v>1.26</v>
      </c>
      <c r="O1530" t="s">
        <v>47</v>
      </c>
    </row>
    <row r="1531" spans="1:15" x14ac:dyDescent="0.3">
      <c r="A1531" t="s">
        <v>4686</v>
      </c>
      <c r="B1531" s="5">
        <v>21</v>
      </c>
      <c r="C1531" s="5" t="str" cm="1">
        <f t="array" ref="C1531">_xlfn.IFS(worksheet[[#This Row],[age]]&lt;25,"1. Young Adulthood (18-24)",worksheet[[#This Row],[age]]&lt; 35,"2. Early Adulthood (25-34)",worksheet[[#This Row],[age]]&lt; 45,"3. Mid Adulthood (35-44)",worksheet[[#This Row],[age]]&lt; 55,"4. Mature Adulthood (45-54)",TRUE,"5. Late Adulthood/Senior (55+)")</f>
        <v>1. Young Adulthood (18-24)</v>
      </c>
      <c r="D1531" t="s">
        <v>41</v>
      </c>
      <c r="E1531" t="s">
        <v>22</v>
      </c>
      <c r="F1531" s="4">
        <v>4.5199999999999996</v>
      </c>
      <c r="G1531" s="5">
        <v>3</v>
      </c>
      <c r="H1531" t="s">
        <v>33</v>
      </c>
      <c r="I1531" t="s">
        <v>24</v>
      </c>
      <c r="J1531" s="6">
        <v>13.99</v>
      </c>
      <c r="K1531">
        <v>0</v>
      </c>
      <c r="L1531" t="s">
        <v>29</v>
      </c>
      <c r="M1531" s="5">
        <v>3</v>
      </c>
      <c r="N1531" s="4">
        <v>1.1299999999999999</v>
      </c>
      <c r="O1531" t="s">
        <v>30</v>
      </c>
    </row>
    <row r="1532" spans="1:15" x14ac:dyDescent="0.3">
      <c r="A1532" t="s">
        <v>4688</v>
      </c>
      <c r="B1532" s="5">
        <v>34</v>
      </c>
      <c r="C1532" s="5" t="str" cm="1">
        <f t="array" ref="C1532">_xlfn.IFS(worksheet[[#This Row],[age]]&lt;25,"1. Young Adulthood (18-24)",worksheet[[#This Row],[age]]&lt; 35,"2. Early Adulthood (25-34)",worksheet[[#This Row],[age]]&lt; 45,"3. Mid Adulthood (35-44)",worksheet[[#This Row],[age]]&lt; 55,"4. Mature Adulthood (45-54)",TRUE,"5. Late Adulthood/Senior (55+)")</f>
        <v>2. Early Adulthood (25-34)</v>
      </c>
      <c r="D1532" t="s">
        <v>27</v>
      </c>
      <c r="E1532" t="s">
        <v>16</v>
      </c>
      <c r="F1532" s="4">
        <v>12.42</v>
      </c>
      <c r="G1532" s="5">
        <v>28</v>
      </c>
      <c r="H1532" t="s">
        <v>70</v>
      </c>
      <c r="I1532" t="s">
        <v>55</v>
      </c>
      <c r="J1532" s="6">
        <v>8.99</v>
      </c>
      <c r="K1532">
        <v>0</v>
      </c>
      <c r="L1532" t="s">
        <v>61</v>
      </c>
      <c r="M1532" s="5">
        <v>2</v>
      </c>
      <c r="N1532" s="4">
        <v>0.43</v>
      </c>
      <c r="O1532" t="s">
        <v>52</v>
      </c>
    </row>
    <row r="1533" spans="1:15" x14ac:dyDescent="0.3">
      <c r="A1533" t="s">
        <v>4690</v>
      </c>
      <c r="B1533" s="5">
        <v>23</v>
      </c>
      <c r="C1533" s="5" t="str" cm="1">
        <f t="array" ref="C1533">_xlfn.IFS(worksheet[[#This Row],[age]]&lt;25,"1. Young Adulthood (18-24)",worksheet[[#This Row],[age]]&lt; 35,"2. Early Adulthood (25-34)",worksheet[[#This Row],[age]]&lt; 45,"3. Mid Adulthood (35-44)",worksheet[[#This Row],[age]]&lt; 55,"4. Mature Adulthood (45-54)",TRUE,"5. Late Adulthood/Senior (55+)")</f>
        <v>1. Young Adulthood (18-24)</v>
      </c>
      <c r="D1533" t="s">
        <v>41</v>
      </c>
      <c r="E1533" t="s">
        <v>22</v>
      </c>
      <c r="F1533" s="4">
        <v>14.9</v>
      </c>
      <c r="G1533" s="5">
        <v>40</v>
      </c>
      <c r="H1533" t="s">
        <v>28</v>
      </c>
      <c r="I1533" t="s">
        <v>57</v>
      </c>
      <c r="J1533" s="6">
        <v>13.99</v>
      </c>
      <c r="K1533">
        <v>1</v>
      </c>
      <c r="L1533" t="s">
        <v>43</v>
      </c>
      <c r="M1533" s="5">
        <v>1</v>
      </c>
      <c r="N1533" s="4">
        <v>0.36</v>
      </c>
      <c r="O1533" t="s">
        <v>25</v>
      </c>
    </row>
    <row r="1534" spans="1:15" x14ac:dyDescent="0.3">
      <c r="A1534" t="s">
        <v>4691</v>
      </c>
      <c r="B1534" s="5">
        <v>30</v>
      </c>
      <c r="C1534" s="5" t="str" cm="1">
        <f t="array" ref="C1534">_xlfn.IFS(worksheet[[#This Row],[age]]&lt;25,"1. Young Adulthood (18-24)",worksheet[[#This Row],[age]]&lt; 35,"2. Early Adulthood (25-34)",worksheet[[#This Row],[age]]&lt; 45,"3. Mid Adulthood (35-44)",worksheet[[#This Row],[age]]&lt; 55,"4. Mature Adulthood (45-54)",TRUE,"5. Late Adulthood/Senior (55+)")</f>
        <v>2. Early Adulthood (25-34)</v>
      </c>
      <c r="D1534" t="s">
        <v>15</v>
      </c>
      <c r="E1534" t="s">
        <v>32</v>
      </c>
      <c r="F1534" s="4">
        <v>7.13</v>
      </c>
      <c r="G1534" s="5">
        <v>49</v>
      </c>
      <c r="H1534" t="s">
        <v>49</v>
      </c>
      <c r="I1534" t="s">
        <v>55</v>
      </c>
      <c r="J1534" s="6">
        <v>17.989999999999998</v>
      </c>
      <c r="K1534">
        <v>1</v>
      </c>
      <c r="L1534" t="s">
        <v>37</v>
      </c>
      <c r="M1534" s="5">
        <v>3</v>
      </c>
      <c r="N1534" s="4">
        <v>0.14000000000000001</v>
      </c>
      <c r="O1534" t="s">
        <v>39</v>
      </c>
    </row>
    <row r="1535" spans="1:15" x14ac:dyDescent="0.3">
      <c r="A1535" t="s">
        <v>4692</v>
      </c>
      <c r="B1535" s="5">
        <v>20</v>
      </c>
      <c r="C1535" s="5" t="str" cm="1">
        <f t="array" ref="C1535">_xlfn.IFS(worksheet[[#This Row],[age]]&lt;25,"1. Young Adulthood (18-24)",worksheet[[#This Row],[age]]&lt; 35,"2. Early Adulthood (25-34)",worksheet[[#This Row],[age]]&lt; 45,"3. Mid Adulthood (35-44)",worksheet[[#This Row],[age]]&lt; 55,"4. Mature Adulthood (45-54)",TRUE,"5. Late Adulthood/Senior (55+)")</f>
        <v>1. Young Adulthood (18-24)</v>
      </c>
      <c r="D1535" t="s">
        <v>41</v>
      </c>
      <c r="E1535" t="s">
        <v>32</v>
      </c>
      <c r="F1535" s="4">
        <v>7.81</v>
      </c>
      <c r="G1535" s="5">
        <v>53</v>
      </c>
      <c r="H1535" t="s">
        <v>33</v>
      </c>
      <c r="I1535" t="s">
        <v>18</v>
      </c>
      <c r="J1535" s="6">
        <v>17.989999999999998</v>
      </c>
      <c r="K1535">
        <v>1</v>
      </c>
      <c r="L1535" t="s">
        <v>19</v>
      </c>
      <c r="M1535" s="5">
        <v>4</v>
      </c>
      <c r="N1535" s="4">
        <v>0.14000000000000001</v>
      </c>
      <c r="O1535" t="s">
        <v>39</v>
      </c>
    </row>
    <row r="1536" spans="1:15" x14ac:dyDescent="0.3">
      <c r="A1536" t="s">
        <v>4698</v>
      </c>
      <c r="B1536" s="5">
        <v>34</v>
      </c>
      <c r="C1536" s="5" t="str" cm="1">
        <f t="array" ref="C1536">_xlfn.IFS(worksheet[[#This Row],[age]]&lt;25,"1. Young Adulthood (18-24)",worksheet[[#This Row],[age]]&lt; 35,"2. Early Adulthood (25-34)",worksheet[[#This Row],[age]]&lt; 45,"3. Mid Adulthood (35-44)",worksheet[[#This Row],[age]]&lt; 55,"4. Mature Adulthood (45-54)",TRUE,"5. Late Adulthood/Senior (55+)")</f>
        <v>2. Early Adulthood (25-34)</v>
      </c>
      <c r="D1536" t="s">
        <v>15</v>
      </c>
      <c r="E1536" t="s">
        <v>22</v>
      </c>
      <c r="F1536" s="4">
        <v>33.380000000000003</v>
      </c>
      <c r="G1536" s="5">
        <v>53</v>
      </c>
      <c r="H1536" t="s">
        <v>17</v>
      </c>
      <c r="I1536" t="s">
        <v>18</v>
      </c>
      <c r="J1536" s="6">
        <v>13.99</v>
      </c>
      <c r="K1536">
        <v>0</v>
      </c>
      <c r="L1536" t="s">
        <v>37</v>
      </c>
      <c r="M1536" s="5">
        <v>5</v>
      </c>
      <c r="N1536" s="4">
        <v>0.62</v>
      </c>
      <c r="O1536" t="s">
        <v>39</v>
      </c>
    </row>
    <row r="1537" spans="1:15" x14ac:dyDescent="0.3">
      <c r="A1537" t="s">
        <v>4699</v>
      </c>
      <c r="B1537" s="5">
        <v>32</v>
      </c>
      <c r="C1537" s="5" t="str" cm="1">
        <f t="array" ref="C1537">_xlfn.IFS(worksheet[[#This Row],[age]]&lt;25,"1. Young Adulthood (18-24)",worksheet[[#This Row],[age]]&lt; 35,"2. Early Adulthood (25-34)",worksheet[[#This Row],[age]]&lt; 45,"3. Mid Adulthood (35-44)",worksheet[[#This Row],[age]]&lt; 55,"4. Mature Adulthood (45-54)",TRUE,"5. Late Adulthood/Senior (55+)")</f>
        <v>2. Early Adulthood (25-34)</v>
      </c>
      <c r="D1537" t="s">
        <v>15</v>
      </c>
      <c r="E1537" t="s">
        <v>22</v>
      </c>
      <c r="F1537" s="4">
        <v>14.18</v>
      </c>
      <c r="G1537" s="5">
        <v>59</v>
      </c>
      <c r="H1537" t="s">
        <v>49</v>
      </c>
      <c r="I1537" t="s">
        <v>46</v>
      </c>
      <c r="J1537" s="6">
        <v>13.99</v>
      </c>
      <c r="K1537">
        <v>1</v>
      </c>
      <c r="L1537" t="s">
        <v>37</v>
      </c>
      <c r="M1537" s="5">
        <v>1</v>
      </c>
      <c r="N1537" s="4">
        <v>0.24</v>
      </c>
      <c r="O1537" t="s">
        <v>47</v>
      </c>
    </row>
    <row r="1538" spans="1:15" x14ac:dyDescent="0.3">
      <c r="A1538" t="s">
        <v>4700</v>
      </c>
      <c r="B1538" s="5">
        <v>33</v>
      </c>
      <c r="C1538" s="5" t="str" cm="1">
        <f t="array" ref="C1538">_xlfn.IFS(worksheet[[#This Row],[age]]&lt;25,"1. Young Adulthood (18-24)",worksheet[[#This Row],[age]]&lt; 35,"2. Early Adulthood (25-34)",worksheet[[#This Row],[age]]&lt; 45,"3. Mid Adulthood (35-44)",worksheet[[#This Row],[age]]&lt; 55,"4. Mature Adulthood (45-54)",TRUE,"5. Late Adulthood/Senior (55+)")</f>
        <v>2. Early Adulthood (25-34)</v>
      </c>
      <c r="D1538" t="s">
        <v>15</v>
      </c>
      <c r="E1538" t="s">
        <v>22</v>
      </c>
      <c r="F1538" s="4">
        <v>6.97</v>
      </c>
      <c r="G1538" s="5">
        <v>44</v>
      </c>
      <c r="H1538" t="s">
        <v>28</v>
      </c>
      <c r="I1538" t="s">
        <v>57</v>
      </c>
      <c r="J1538" s="6">
        <v>13.99</v>
      </c>
      <c r="K1538">
        <v>1</v>
      </c>
      <c r="L1538" t="s">
        <v>43</v>
      </c>
      <c r="M1538" s="5">
        <v>3</v>
      </c>
      <c r="N1538" s="4">
        <v>0.15</v>
      </c>
      <c r="O1538" t="s">
        <v>39</v>
      </c>
    </row>
    <row r="1539" spans="1:15" x14ac:dyDescent="0.3">
      <c r="A1539" t="s">
        <v>4702</v>
      </c>
      <c r="B1539" s="5">
        <v>33</v>
      </c>
      <c r="C1539" s="5" t="str" cm="1">
        <f t="array" ref="C1539">_xlfn.IFS(worksheet[[#This Row],[age]]&lt;25,"1. Young Adulthood (18-24)",worksheet[[#This Row],[age]]&lt; 35,"2. Early Adulthood (25-34)",worksheet[[#This Row],[age]]&lt; 45,"3. Mid Adulthood (35-44)",worksheet[[#This Row],[age]]&lt; 55,"4. Mature Adulthood (45-54)",TRUE,"5. Late Adulthood/Senior (55+)")</f>
        <v>2. Early Adulthood (25-34)</v>
      </c>
      <c r="D1539" t="s">
        <v>15</v>
      </c>
      <c r="E1539" t="s">
        <v>32</v>
      </c>
      <c r="F1539" s="4">
        <v>6.35</v>
      </c>
      <c r="G1539" s="5">
        <v>30</v>
      </c>
      <c r="H1539" t="s">
        <v>28</v>
      </c>
      <c r="I1539" t="s">
        <v>57</v>
      </c>
      <c r="J1539" s="6">
        <v>17.989999999999998</v>
      </c>
      <c r="K1539">
        <v>0</v>
      </c>
      <c r="L1539" t="s">
        <v>61</v>
      </c>
      <c r="M1539" s="5">
        <v>5</v>
      </c>
      <c r="N1539" s="4">
        <v>0.2</v>
      </c>
      <c r="O1539" t="s">
        <v>25</v>
      </c>
    </row>
    <row r="1540" spans="1:15" x14ac:dyDescent="0.3">
      <c r="A1540" t="s">
        <v>4704</v>
      </c>
      <c r="B1540" s="5">
        <v>20</v>
      </c>
      <c r="C1540" s="5" t="str" cm="1">
        <f t="array" ref="C1540">_xlfn.IFS(worksheet[[#This Row],[age]]&lt;25,"1. Young Adulthood (18-24)",worksheet[[#This Row],[age]]&lt; 35,"2. Early Adulthood (25-34)",worksheet[[#This Row],[age]]&lt; 45,"3. Mid Adulthood (35-44)",worksheet[[#This Row],[age]]&lt; 55,"4. Mature Adulthood (45-54)",TRUE,"5. Late Adulthood/Senior (55+)")</f>
        <v>1. Young Adulthood (18-24)</v>
      </c>
      <c r="D1540" t="s">
        <v>27</v>
      </c>
      <c r="E1540" t="s">
        <v>16</v>
      </c>
      <c r="F1540" s="4">
        <v>47</v>
      </c>
      <c r="G1540" s="5">
        <v>25</v>
      </c>
      <c r="H1540" t="s">
        <v>49</v>
      </c>
      <c r="I1540" t="s">
        <v>57</v>
      </c>
      <c r="J1540" s="6">
        <v>8.99</v>
      </c>
      <c r="K1540">
        <v>0</v>
      </c>
      <c r="L1540" t="s">
        <v>37</v>
      </c>
      <c r="M1540" s="5">
        <v>4</v>
      </c>
      <c r="N1540" s="4">
        <v>1.81</v>
      </c>
      <c r="O1540" t="s">
        <v>39</v>
      </c>
    </row>
    <row r="1541" spans="1:15" x14ac:dyDescent="0.3">
      <c r="A1541" t="s">
        <v>4708</v>
      </c>
      <c r="B1541" s="5">
        <v>26</v>
      </c>
      <c r="C1541" s="5" t="str" cm="1">
        <f t="array" ref="C1541">_xlfn.IFS(worksheet[[#This Row],[age]]&lt;25,"1. Young Adulthood (18-24)",worksheet[[#This Row],[age]]&lt; 35,"2. Early Adulthood (25-34)",worksheet[[#This Row],[age]]&lt; 45,"3. Mid Adulthood (35-44)",worksheet[[#This Row],[age]]&lt; 55,"4. Mature Adulthood (45-54)",TRUE,"5. Late Adulthood/Senior (55+)")</f>
        <v>2. Early Adulthood (25-34)</v>
      </c>
      <c r="D1541" t="s">
        <v>15</v>
      </c>
      <c r="E1541" t="s">
        <v>22</v>
      </c>
      <c r="F1541" s="4">
        <v>12.76</v>
      </c>
      <c r="G1541" s="5">
        <v>54</v>
      </c>
      <c r="H1541" t="s">
        <v>28</v>
      </c>
      <c r="I1541" t="s">
        <v>55</v>
      </c>
      <c r="J1541" s="6">
        <v>13.99</v>
      </c>
      <c r="K1541">
        <v>0</v>
      </c>
      <c r="L1541" t="s">
        <v>61</v>
      </c>
      <c r="M1541" s="5">
        <v>4</v>
      </c>
      <c r="N1541" s="4">
        <v>0.23</v>
      </c>
      <c r="O1541" t="s">
        <v>39</v>
      </c>
    </row>
    <row r="1542" spans="1:15" x14ac:dyDescent="0.3">
      <c r="A1542" t="s">
        <v>4709</v>
      </c>
      <c r="B1542" s="5">
        <v>25</v>
      </c>
      <c r="C1542" s="5" t="str" cm="1">
        <f t="array" ref="C1542">_xlfn.IFS(worksheet[[#This Row],[age]]&lt;25,"1. Young Adulthood (18-24)",worksheet[[#This Row],[age]]&lt; 35,"2. Early Adulthood (25-34)",worksheet[[#This Row],[age]]&lt; 45,"3. Mid Adulthood (35-44)",worksheet[[#This Row],[age]]&lt; 55,"4. Mature Adulthood (45-54)",TRUE,"5. Late Adulthood/Senior (55+)")</f>
        <v>2. Early Adulthood (25-34)</v>
      </c>
      <c r="D1542" t="s">
        <v>41</v>
      </c>
      <c r="E1542" t="s">
        <v>22</v>
      </c>
      <c r="F1542" s="4">
        <v>26.47</v>
      </c>
      <c r="G1542" s="5">
        <v>60</v>
      </c>
      <c r="H1542" t="s">
        <v>70</v>
      </c>
      <c r="I1542" t="s">
        <v>18</v>
      </c>
      <c r="J1542" s="6">
        <v>13.99</v>
      </c>
      <c r="K1542">
        <v>0</v>
      </c>
      <c r="L1542" t="s">
        <v>43</v>
      </c>
      <c r="M1542" s="5">
        <v>1</v>
      </c>
      <c r="N1542" s="4">
        <v>0.43</v>
      </c>
      <c r="O1542" t="s">
        <v>20</v>
      </c>
    </row>
    <row r="1543" spans="1:15" x14ac:dyDescent="0.3">
      <c r="A1543" t="s">
        <v>4713</v>
      </c>
      <c r="B1543" s="5">
        <v>32</v>
      </c>
      <c r="C1543" s="5" t="str" cm="1">
        <f t="array" ref="C1543">_xlfn.IFS(worksheet[[#This Row],[age]]&lt;25,"1. Young Adulthood (18-24)",worksheet[[#This Row],[age]]&lt; 35,"2. Early Adulthood (25-34)",worksheet[[#This Row],[age]]&lt; 45,"3. Mid Adulthood (35-44)",worksheet[[#This Row],[age]]&lt; 55,"4. Mature Adulthood (45-54)",TRUE,"5. Late Adulthood/Senior (55+)")</f>
        <v>2. Early Adulthood (25-34)</v>
      </c>
      <c r="D1543" t="s">
        <v>27</v>
      </c>
      <c r="E1543" t="s">
        <v>22</v>
      </c>
      <c r="F1543" s="4">
        <v>22.99</v>
      </c>
      <c r="G1543" s="5">
        <v>31</v>
      </c>
      <c r="H1543" t="s">
        <v>17</v>
      </c>
      <c r="I1543" t="s">
        <v>24</v>
      </c>
      <c r="J1543" s="6">
        <v>13.99</v>
      </c>
      <c r="K1543">
        <v>0</v>
      </c>
      <c r="L1543" t="s">
        <v>37</v>
      </c>
      <c r="M1543" s="5">
        <v>1</v>
      </c>
      <c r="N1543" s="4">
        <v>0.72</v>
      </c>
      <c r="O1543" t="s">
        <v>25</v>
      </c>
    </row>
    <row r="1544" spans="1:15" x14ac:dyDescent="0.3">
      <c r="A1544" t="s">
        <v>4715</v>
      </c>
      <c r="B1544" s="5">
        <v>29</v>
      </c>
      <c r="C1544" s="5" t="str" cm="1">
        <f t="array" ref="C1544">_xlfn.IFS(worksheet[[#This Row],[age]]&lt;25,"1. Young Adulthood (18-24)",worksheet[[#This Row],[age]]&lt; 35,"2. Early Adulthood (25-34)",worksheet[[#This Row],[age]]&lt; 45,"3. Mid Adulthood (35-44)",worksheet[[#This Row],[age]]&lt; 55,"4. Mature Adulthood (45-54)",TRUE,"5. Late Adulthood/Senior (55+)")</f>
        <v>2. Early Adulthood (25-34)</v>
      </c>
      <c r="D1544" t="s">
        <v>15</v>
      </c>
      <c r="E1544" t="s">
        <v>32</v>
      </c>
      <c r="F1544" s="4">
        <v>4.46</v>
      </c>
      <c r="G1544" s="5">
        <v>42</v>
      </c>
      <c r="H1544" t="s">
        <v>28</v>
      </c>
      <c r="I1544" t="s">
        <v>57</v>
      </c>
      <c r="J1544" s="6">
        <v>17.989999999999998</v>
      </c>
      <c r="K1544">
        <v>1</v>
      </c>
      <c r="L1544" t="s">
        <v>43</v>
      </c>
      <c r="M1544" s="5">
        <v>4</v>
      </c>
      <c r="N1544" s="4">
        <v>0.1</v>
      </c>
      <c r="O1544" t="s">
        <v>47</v>
      </c>
    </row>
    <row r="1545" spans="1:15" x14ac:dyDescent="0.3">
      <c r="A1545" t="s">
        <v>4716</v>
      </c>
      <c r="B1545" s="5">
        <v>34</v>
      </c>
      <c r="C1545" s="5" t="str" cm="1">
        <f t="array" ref="C1545">_xlfn.IFS(worksheet[[#This Row],[age]]&lt;25,"1. Young Adulthood (18-24)",worksheet[[#This Row],[age]]&lt; 35,"2. Early Adulthood (25-34)",worksheet[[#This Row],[age]]&lt; 45,"3. Mid Adulthood (35-44)",worksheet[[#This Row],[age]]&lt; 55,"4. Mature Adulthood (45-54)",TRUE,"5. Late Adulthood/Senior (55+)")</f>
        <v>2. Early Adulthood (25-34)</v>
      </c>
      <c r="D1545" t="s">
        <v>15</v>
      </c>
      <c r="E1545" t="s">
        <v>32</v>
      </c>
      <c r="F1545" s="4">
        <v>2.94</v>
      </c>
      <c r="G1545" s="5">
        <v>39</v>
      </c>
      <c r="H1545" t="s">
        <v>70</v>
      </c>
      <c r="I1545" t="s">
        <v>55</v>
      </c>
      <c r="J1545" s="6">
        <v>17.989999999999998</v>
      </c>
      <c r="K1545">
        <v>1</v>
      </c>
      <c r="L1545" t="s">
        <v>29</v>
      </c>
      <c r="M1545" s="5">
        <v>1</v>
      </c>
      <c r="N1545" s="4">
        <v>7.0000000000000007E-2</v>
      </c>
      <c r="O1545" t="s">
        <v>52</v>
      </c>
    </row>
    <row r="1546" spans="1:15" x14ac:dyDescent="0.3">
      <c r="A1546" s="1" t="s">
        <v>4719</v>
      </c>
      <c r="B1546" s="5">
        <v>31</v>
      </c>
      <c r="C1546" s="5" t="str" cm="1">
        <f t="array" ref="C1546">_xlfn.IFS(worksheet[[#This Row],[age]]&lt;25,"1. Young Adulthood (18-24)",worksheet[[#This Row],[age]]&lt; 35,"2. Early Adulthood (25-34)",worksheet[[#This Row],[age]]&lt; 45,"3. Mid Adulthood (35-44)",worksheet[[#This Row],[age]]&lt; 55,"4. Mature Adulthood (45-54)",TRUE,"5. Late Adulthood/Senior (55+)")</f>
        <v>2. Early Adulthood (25-34)</v>
      </c>
      <c r="D1546" t="s">
        <v>15</v>
      </c>
      <c r="E1546" t="s">
        <v>16</v>
      </c>
      <c r="F1546" s="4">
        <v>10.38</v>
      </c>
      <c r="G1546" s="5">
        <v>42</v>
      </c>
      <c r="H1546" t="s">
        <v>70</v>
      </c>
      <c r="I1546" t="s">
        <v>57</v>
      </c>
      <c r="J1546" s="6">
        <v>8.99</v>
      </c>
      <c r="K1546">
        <v>1</v>
      </c>
      <c r="L1546" t="s">
        <v>37</v>
      </c>
      <c r="M1546" s="5">
        <v>1</v>
      </c>
      <c r="N1546" s="4">
        <v>0.24</v>
      </c>
      <c r="O1546" t="s">
        <v>20</v>
      </c>
    </row>
    <row r="1547" spans="1:15" x14ac:dyDescent="0.3">
      <c r="A1547" t="s">
        <v>4724</v>
      </c>
      <c r="B1547" s="5">
        <v>18</v>
      </c>
      <c r="C1547" s="5" t="str" cm="1">
        <f t="array" ref="C1547">_xlfn.IFS(worksheet[[#This Row],[age]]&lt;25,"1. Young Adulthood (18-24)",worksheet[[#This Row],[age]]&lt; 35,"2. Early Adulthood (25-34)",worksheet[[#This Row],[age]]&lt; 45,"3. Mid Adulthood (35-44)",worksheet[[#This Row],[age]]&lt; 55,"4. Mature Adulthood (45-54)",TRUE,"5. Late Adulthood/Senior (55+)")</f>
        <v>1. Young Adulthood (18-24)</v>
      </c>
      <c r="D1547" t="s">
        <v>27</v>
      </c>
      <c r="E1547" t="s">
        <v>22</v>
      </c>
      <c r="F1547" s="4">
        <v>9.77</v>
      </c>
      <c r="G1547" s="5">
        <v>57</v>
      </c>
      <c r="H1547" t="s">
        <v>17</v>
      </c>
      <c r="I1547" t="s">
        <v>55</v>
      </c>
      <c r="J1547" s="6">
        <v>13.99</v>
      </c>
      <c r="K1547">
        <v>1</v>
      </c>
      <c r="L1547" t="s">
        <v>29</v>
      </c>
      <c r="M1547" s="5">
        <v>2</v>
      </c>
      <c r="N1547" s="4">
        <v>0.17</v>
      </c>
      <c r="O1547" t="s">
        <v>25</v>
      </c>
    </row>
    <row r="1548" spans="1:15" x14ac:dyDescent="0.3">
      <c r="A1548" t="s">
        <v>4725</v>
      </c>
      <c r="B1548" s="5">
        <v>34</v>
      </c>
      <c r="C1548" s="5" t="str" cm="1">
        <f t="array" ref="C1548">_xlfn.IFS(worksheet[[#This Row],[age]]&lt;25,"1. Young Adulthood (18-24)",worksheet[[#This Row],[age]]&lt; 35,"2. Early Adulthood (25-34)",worksheet[[#This Row],[age]]&lt; 45,"3. Mid Adulthood (35-44)",worksheet[[#This Row],[age]]&lt; 55,"4. Mature Adulthood (45-54)",TRUE,"5. Late Adulthood/Senior (55+)")</f>
        <v>2. Early Adulthood (25-34)</v>
      </c>
      <c r="D1548" t="s">
        <v>41</v>
      </c>
      <c r="E1548" t="s">
        <v>32</v>
      </c>
      <c r="F1548" s="4">
        <v>3.92</v>
      </c>
      <c r="G1548" s="5">
        <v>4</v>
      </c>
      <c r="H1548" t="s">
        <v>49</v>
      </c>
      <c r="I1548" t="s">
        <v>18</v>
      </c>
      <c r="J1548" s="6">
        <v>17.989999999999998</v>
      </c>
      <c r="K1548">
        <v>0</v>
      </c>
      <c r="L1548" t="s">
        <v>19</v>
      </c>
      <c r="M1548" s="5">
        <v>1</v>
      </c>
      <c r="N1548" s="4">
        <v>0.78</v>
      </c>
      <c r="O1548" t="s">
        <v>20</v>
      </c>
    </row>
    <row r="1549" spans="1:15" x14ac:dyDescent="0.3">
      <c r="A1549" t="s">
        <v>4728</v>
      </c>
      <c r="B1549" s="5">
        <v>23</v>
      </c>
      <c r="C1549" s="5" t="str" cm="1">
        <f t="array" ref="C1549">_xlfn.IFS(worksheet[[#This Row],[age]]&lt;25,"1. Young Adulthood (18-24)",worksheet[[#This Row],[age]]&lt; 35,"2. Early Adulthood (25-34)",worksheet[[#This Row],[age]]&lt; 45,"3. Mid Adulthood (35-44)",worksheet[[#This Row],[age]]&lt; 55,"4. Mature Adulthood (45-54)",TRUE,"5. Late Adulthood/Senior (55+)")</f>
        <v>1. Young Adulthood (18-24)</v>
      </c>
      <c r="D1549" t="s">
        <v>41</v>
      </c>
      <c r="E1549" t="s">
        <v>32</v>
      </c>
      <c r="F1549" s="4">
        <v>16.510000000000002</v>
      </c>
      <c r="G1549" s="5">
        <v>41</v>
      </c>
      <c r="H1549" t="s">
        <v>33</v>
      </c>
      <c r="I1549" t="s">
        <v>57</v>
      </c>
      <c r="J1549" s="6">
        <v>17.989999999999998</v>
      </c>
      <c r="K1549">
        <v>1</v>
      </c>
      <c r="L1549" t="s">
        <v>19</v>
      </c>
      <c r="M1549" s="5">
        <v>5</v>
      </c>
      <c r="N1549" s="4">
        <v>0.39</v>
      </c>
      <c r="O1549" t="s">
        <v>39</v>
      </c>
    </row>
    <row r="1550" spans="1:15" x14ac:dyDescent="0.3">
      <c r="A1550" t="s">
        <v>4730</v>
      </c>
      <c r="B1550" s="5">
        <v>31</v>
      </c>
      <c r="C1550" s="5" t="str" cm="1">
        <f t="array" ref="C1550">_xlfn.IFS(worksheet[[#This Row],[age]]&lt;25,"1. Young Adulthood (18-24)",worksheet[[#This Row],[age]]&lt; 35,"2. Early Adulthood (25-34)",worksheet[[#This Row],[age]]&lt; 45,"3. Mid Adulthood (35-44)",worksheet[[#This Row],[age]]&lt; 55,"4. Mature Adulthood (45-54)",TRUE,"5. Late Adulthood/Senior (55+)")</f>
        <v>2. Early Adulthood (25-34)</v>
      </c>
      <c r="D1550" t="s">
        <v>41</v>
      </c>
      <c r="E1550" t="s">
        <v>22</v>
      </c>
      <c r="F1550" s="4">
        <v>2.2000000000000002</v>
      </c>
      <c r="G1550" s="5">
        <v>29</v>
      </c>
      <c r="H1550" t="s">
        <v>28</v>
      </c>
      <c r="I1550" t="s">
        <v>18</v>
      </c>
      <c r="J1550" s="6">
        <v>13.99</v>
      </c>
      <c r="K1550">
        <v>1</v>
      </c>
      <c r="L1550" t="s">
        <v>43</v>
      </c>
      <c r="M1550" s="5">
        <v>1</v>
      </c>
      <c r="N1550" s="4">
        <v>7.0000000000000007E-2</v>
      </c>
      <c r="O1550" t="s">
        <v>47</v>
      </c>
    </row>
    <row r="1551" spans="1:15" x14ac:dyDescent="0.3">
      <c r="A1551" t="s">
        <v>4731</v>
      </c>
      <c r="B1551" s="5">
        <v>31</v>
      </c>
      <c r="C1551" s="5" t="str" cm="1">
        <f t="array" ref="C1551">_xlfn.IFS(worksheet[[#This Row],[age]]&lt;25,"1. Young Adulthood (18-24)",worksheet[[#This Row],[age]]&lt; 35,"2. Early Adulthood (25-34)",worksheet[[#This Row],[age]]&lt; 45,"3. Mid Adulthood (35-44)",worksheet[[#This Row],[age]]&lt; 55,"4. Mature Adulthood (45-54)",TRUE,"5. Late Adulthood/Senior (55+)")</f>
        <v>2. Early Adulthood (25-34)</v>
      </c>
      <c r="D1551" t="s">
        <v>27</v>
      </c>
      <c r="E1551" t="s">
        <v>22</v>
      </c>
      <c r="F1551" s="4">
        <v>2.02</v>
      </c>
      <c r="G1551" s="5">
        <v>39</v>
      </c>
      <c r="H1551" t="s">
        <v>23</v>
      </c>
      <c r="I1551" t="s">
        <v>24</v>
      </c>
      <c r="J1551" s="6">
        <v>13.99</v>
      </c>
      <c r="K1551">
        <v>1</v>
      </c>
      <c r="L1551" t="s">
        <v>61</v>
      </c>
      <c r="M1551" s="5">
        <v>4</v>
      </c>
      <c r="N1551" s="4">
        <v>0.05</v>
      </c>
      <c r="O1551" t="s">
        <v>47</v>
      </c>
    </row>
    <row r="1552" spans="1:15" x14ac:dyDescent="0.3">
      <c r="A1552" t="s">
        <v>4732</v>
      </c>
      <c r="B1552" s="5">
        <v>31</v>
      </c>
      <c r="C1552" s="5" t="str" cm="1">
        <f t="array" ref="C1552">_xlfn.IFS(worksheet[[#This Row],[age]]&lt;25,"1. Young Adulthood (18-24)",worksheet[[#This Row],[age]]&lt; 35,"2. Early Adulthood (25-34)",worksheet[[#This Row],[age]]&lt; 45,"3. Mid Adulthood (35-44)",worksheet[[#This Row],[age]]&lt; 55,"4. Mature Adulthood (45-54)",TRUE,"5. Late Adulthood/Senior (55+)")</f>
        <v>2. Early Adulthood (25-34)</v>
      </c>
      <c r="D1552" t="s">
        <v>41</v>
      </c>
      <c r="E1552" t="s">
        <v>22</v>
      </c>
      <c r="F1552" s="4">
        <v>54.98</v>
      </c>
      <c r="G1552" s="5">
        <v>57</v>
      </c>
      <c r="H1552" t="s">
        <v>17</v>
      </c>
      <c r="I1552" t="s">
        <v>55</v>
      </c>
      <c r="J1552" s="6">
        <v>13.99</v>
      </c>
      <c r="K1552">
        <v>0</v>
      </c>
      <c r="L1552" t="s">
        <v>19</v>
      </c>
      <c r="M1552" s="5">
        <v>4</v>
      </c>
      <c r="N1552" s="4">
        <v>0.95</v>
      </c>
      <c r="O1552" t="s">
        <v>34</v>
      </c>
    </row>
    <row r="1553" spans="1:15" x14ac:dyDescent="0.3">
      <c r="A1553" t="s">
        <v>4734</v>
      </c>
      <c r="B1553" s="5">
        <v>32</v>
      </c>
      <c r="C1553" s="5" t="str" cm="1">
        <f t="array" ref="C1553">_xlfn.IFS(worksheet[[#This Row],[age]]&lt;25,"1. Young Adulthood (18-24)",worksheet[[#This Row],[age]]&lt; 35,"2. Early Adulthood (25-34)",worksheet[[#This Row],[age]]&lt; 45,"3. Mid Adulthood (35-44)",worksheet[[#This Row],[age]]&lt; 55,"4. Mature Adulthood (45-54)",TRUE,"5. Late Adulthood/Senior (55+)")</f>
        <v>2. Early Adulthood (25-34)</v>
      </c>
      <c r="D1553" t="s">
        <v>15</v>
      </c>
      <c r="E1553" t="s">
        <v>22</v>
      </c>
      <c r="F1553" s="4">
        <v>1.43</v>
      </c>
      <c r="G1553" s="5">
        <v>19</v>
      </c>
      <c r="H1553" t="s">
        <v>33</v>
      </c>
      <c r="I1553" t="s">
        <v>46</v>
      </c>
      <c r="J1553" s="6">
        <v>13.99</v>
      </c>
      <c r="K1553">
        <v>1</v>
      </c>
      <c r="L1553" t="s">
        <v>19</v>
      </c>
      <c r="M1553" s="5">
        <v>2</v>
      </c>
      <c r="N1553" s="4">
        <v>7.0000000000000007E-2</v>
      </c>
      <c r="O1553" t="s">
        <v>52</v>
      </c>
    </row>
    <row r="1554" spans="1:15" x14ac:dyDescent="0.3">
      <c r="A1554" t="s">
        <v>4743</v>
      </c>
      <c r="B1554" s="5">
        <v>28</v>
      </c>
      <c r="C1554" s="5" t="str" cm="1">
        <f t="array" ref="C1554">_xlfn.IFS(worksheet[[#This Row],[age]]&lt;25,"1. Young Adulthood (18-24)",worksheet[[#This Row],[age]]&lt; 35,"2. Early Adulthood (25-34)",worksheet[[#This Row],[age]]&lt; 45,"3. Mid Adulthood (35-44)",worksheet[[#This Row],[age]]&lt; 55,"4. Mature Adulthood (45-54)",TRUE,"5. Late Adulthood/Senior (55+)")</f>
        <v>2. Early Adulthood (25-34)</v>
      </c>
      <c r="D1554" t="s">
        <v>27</v>
      </c>
      <c r="E1554" t="s">
        <v>32</v>
      </c>
      <c r="F1554" s="4">
        <v>10.38</v>
      </c>
      <c r="G1554" s="5">
        <v>33</v>
      </c>
      <c r="H1554" t="s">
        <v>33</v>
      </c>
      <c r="I1554" t="s">
        <v>24</v>
      </c>
      <c r="J1554" s="6">
        <v>17.989999999999998</v>
      </c>
      <c r="K1554">
        <v>1</v>
      </c>
      <c r="L1554" t="s">
        <v>61</v>
      </c>
      <c r="M1554" s="5">
        <v>3</v>
      </c>
      <c r="N1554" s="4">
        <v>0.31</v>
      </c>
      <c r="O1554" t="s">
        <v>52</v>
      </c>
    </row>
    <row r="1555" spans="1:15" x14ac:dyDescent="0.3">
      <c r="A1555" s="1" t="s">
        <v>4747</v>
      </c>
      <c r="B1555" s="5">
        <v>31</v>
      </c>
      <c r="C1555" s="5" t="str" cm="1">
        <f t="array" ref="C1555">_xlfn.IFS(worksheet[[#This Row],[age]]&lt;25,"1. Young Adulthood (18-24)",worksheet[[#This Row],[age]]&lt; 35,"2. Early Adulthood (25-34)",worksheet[[#This Row],[age]]&lt; 45,"3. Mid Adulthood (35-44)",worksheet[[#This Row],[age]]&lt; 55,"4. Mature Adulthood (45-54)",TRUE,"5. Late Adulthood/Senior (55+)")</f>
        <v>2. Early Adulthood (25-34)</v>
      </c>
      <c r="D1555" t="s">
        <v>15</v>
      </c>
      <c r="E1555" t="s">
        <v>22</v>
      </c>
      <c r="F1555" s="4">
        <v>23.56</v>
      </c>
      <c r="G1555" s="5">
        <v>40</v>
      </c>
      <c r="H1555" t="s">
        <v>70</v>
      </c>
      <c r="I1555" t="s">
        <v>57</v>
      </c>
      <c r="J1555" s="6">
        <v>13.99</v>
      </c>
      <c r="K1555">
        <v>0</v>
      </c>
      <c r="L1555" t="s">
        <v>29</v>
      </c>
      <c r="M1555" s="5">
        <v>5</v>
      </c>
      <c r="N1555" s="4">
        <v>0.56999999999999995</v>
      </c>
      <c r="O1555" t="s">
        <v>25</v>
      </c>
    </row>
    <row r="1556" spans="1:15" x14ac:dyDescent="0.3">
      <c r="A1556" t="s">
        <v>4754</v>
      </c>
      <c r="B1556" s="5">
        <v>18</v>
      </c>
      <c r="C1556" s="5" t="str" cm="1">
        <f t="array" ref="C1556">_xlfn.IFS(worksheet[[#This Row],[age]]&lt;25,"1. Young Adulthood (18-24)",worksheet[[#This Row],[age]]&lt; 35,"2. Early Adulthood (25-34)",worksheet[[#This Row],[age]]&lt; 45,"3. Mid Adulthood (35-44)",worksheet[[#This Row],[age]]&lt; 55,"4. Mature Adulthood (45-54)",TRUE,"5. Late Adulthood/Senior (55+)")</f>
        <v>1. Young Adulthood (18-24)</v>
      </c>
      <c r="D1556" t="s">
        <v>15</v>
      </c>
      <c r="E1556" t="s">
        <v>32</v>
      </c>
      <c r="F1556" s="4">
        <v>12.22</v>
      </c>
      <c r="G1556" s="5">
        <v>48</v>
      </c>
      <c r="H1556" t="s">
        <v>23</v>
      </c>
      <c r="I1556" t="s">
        <v>18</v>
      </c>
      <c r="J1556" s="6">
        <v>17.989999999999998</v>
      </c>
      <c r="K1556">
        <v>0</v>
      </c>
      <c r="L1556" t="s">
        <v>37</v>
      </c>
      <c r="M1556" s="5">
        <v>5</v>
      </c>
      <c r="N1556" s="4">
        <v>0.25</v>
      </c>
      <c r="O1556" t="s">
        <v>25</v>
      </c>
    </row>
    <row r="1557" spans="1:15" x14ac:dyDescent="0.3">
      <c r="A1557" t="s">
        <v>4755</v>
      </c>
      <c r="B1557" s="5">
        <v>23</v>
      </c>
      <c r="C1557" s="5" t="str" cm="1">
        <f t="array" ref="C1557">_xlfn.IFS(worksheet[[#This Row],[age]]&lt;25,"1. Young Adulthood (18-24)",worksheet[[#This Row],[age]]&lt; 35,"2. Early Adulthood (25-34)",worksheet[[#This Row],[age]]&lt; 45,"3. Mid Adulthood (35-44)",worksheet[[#This Row],[age]]&lt; 55,"4. Mature Adulthood (45-54)",TRUE,"5. Late Adulthood/Senior (55+)")</f>
        <v>1. Young Adulthood (18-24)</v>
      </c>
      <c r="D1557" t="s">
        <v>27</v>
      </c>
      <c r="E1557" t="s">
        <v>22</v>
      </c>
      <c r="F1557" s="4">
        <v>3.9</v>
      </c>
      <c r="G1557" s="5">
        <v>1</v>
      </c>
      <c r="H1557" t="s">
        <v>33</v>
      </c>
      <c r="I1557" t="s">
        <v>57</v>
      </c>
      <c r="J1557" s="6">
        <v>13.99</v>
      </c>
      <c r="K1557">
        <v>0</v>
      </c>
      <c r="L1557" t="s">
        <v>61</v>
      </c>
      <c r="M1557" s="5">
        <v>1</v>
      </c>
      <c r="N1557" s="4">
        <v>1.95</v>
      </c>
      <c r="O1557" t="s">
        <v>25</v>
      </c>
    </row>
    <row r="1558" spans="1:15" x14ac:dyDescent="0.3">
      <c r="A1558" t="s">
        <v>4756</v>
      </c>
      <c r="B1558" s="5">
        <v>21</v>
      </c>
      <c r="C1558" s="5" t="str" cm="1">
        <f t="array" ref="C1558">_xlfn.IFS(worksheet[[#This Row],[age]]&lt;25,"1. Young Adulthood (18-24)",worksheet[[#This Row],[age]]&lt; 35,"2. Early Adulthood (25-34)",worksheet[[#This Row],[age]]&lt; 45,"3. Mid Adulthood (35-44)",worksheet[[#This Row],[age]]&lt; 55,"4. Mature Adulthood (45-54)",TRUE,"5. Late Adulthood/Senior (55+)")</f>
        <v>1. Young Adulthood (18-24)</v>
      </c>
      <c r="D1558" t="s">
        <v>27</v>
      </c>
      <c r="E1558" t="s">
        <v>32</v>
      </c>
      <c r="F1558" s="4">
        <v>19.77</v>
      </c>
      <c r="G1558" s="5">
        <v>22</v>
      </c>
      <c r="H1558" t="s">
        <v>23</v>
      </c>
      <c r="I1558" t="s">
        <v>57</v>
      </c>
      <c r="J1558" s="6">
        <v>17.989999999999998</v>
      </c>
      <c r="K1558">
        <v>0</v>
      </c>
      <c r="L1558" t="s">
        <v>61</v>
      </c>
      <c r="M1558" s="5">
        <v>4</v>
      </c>
      <c r="N1558" s="4">
        <v>0.86</v>
      </c>
      <c r="O1558" t="s">
        <v>39</v>
      </c>
    </row>
    <row r="1559" spans="1:15" x14ac:dyDescent="0.3">
      <c r="A1559" t="s">
        <v>4759</v>
      </c>
      <c r="B1559" s="5">
        <v>21</v>
      </c>
      <c r="C1559" s="5" t="str" cm="1">
        <f t="array" ref="C1559">_xlfn.IFS(worksheet[[#This Row],[age]]&lt;25,"1. Young Adulthood (18-24)",worksheet[[#This Row],[age]]&lt; 35,"2. Early Adulthood (25-34)",worksheet[[#This Row],[age]]&lt; 45,"3. Mid Adulthood (35-44)",worksheet[[#This Row],[age]]&lt; 55,"4. Mature Adulthood (45-54)",TRUE,"5. Late Adulthood/Senior (55+)")</f>
        <v>1. Young Adulthood (18-24)</v>
      </c>
      <c r="D1559" t="s">
        <v>15</v>
      </c>
      <c r="E1559" t="s">
        <v>22</v>
      </c>
      <c r="F1559" s="4">
        <v>61.8</v>
      </c>
      <c r="G1559" s="5">
        <v>41</v>
      </c>
      <c r="H1559" t="s">
        <v>23</v>
      </c>
      <c r="I1559" t="s">
        <v>46</v>
      </c>
      <c r="J1559" s="6">
        <v>13.99</v>
      </c>
      <c r="K1559">
        <v>0</v>
      </c>
      <c r="L1559" t="s">
        <v>43</v>
      </c>
      <c r="M1559" s="5">
        <v>3</v>
      </c>
      <c r="N1559" s="4">
        <v>1.47</v>
      </c>
      <c r="O1559" t="s">
        <v>30</v>
      </c>
    </row>
    <row r="1560" spans="1:15" x14ac:dyDescent="0.3">
      <c r="A1560" t="s">
        <v>4765</v>
      </c>
      <c r="B1560" s="5">
        <v>21</v>
      </c>
      <c r="C1560" s="5" t="str" cm="1">
        <f t="array" ref="C1560">_xlfn.IFS(worksheet[[#This Row],[age]]&lt;25,"1. Young Adulthood (18-24)",worksheet[[#This Row],[age]]&lt; 35,"2. Early Adulthood (25-34)",worksheet[[#This Row],[age]]&lt; 45,"3. Mid Adulthood (35-44)",worksheet[[#This Row],[age]]&lt; 55,"4. Mature Adulthood (45-54)",TRUE,"5. Late Adulthood/Senior (55+)")</f>
        <v>1. Young Adulthood (18-24)</v>
      </c>
      <c r="D1560" t="s">
        <v>15</v>
      </c>
      <c r="E1560" t="s">
        <v>16</v>
      </c>
      <c r="F1560" s="4">
        <v>2.73</v>
      </c>
      <c r="G1560" s="5">
        <v>48</v>
      </c>
      <c r="H1560" t="s">
        <v>28</v>
      </c>
      <c r="I1560" t="s">
        <v>18</v>
      </c>
      <c r="J1560" s="6">
        <v>8.99</v>
      </c>
      <c r="K1560">
        <v>1</v>
      </c>
      <c r="L1560" t="s">
        <v>43</v>
      </c>
      <c r="M1560" s="5">
        <v>5</v>
      </c>
      <c r="N1560" s="4">
        <v>0.06</v>
      </c>
      <c r="O1560" t="s">
        <v>30</v>
      </c>
    </row>
    <row r="1561" spans="1:15" x14ac:dyDescent="0.3">
      <c r="A1561" t="s">
        <v>4766</v>
      </c>
      <c r="B1561" s="5">
        <v>28</v>
      </c>
      <c r="C1561" s="5" t="str" cm="1">
        <f t="array" ref="C1561">_xlfn.IFS(worksheet[[#This Row],[age]]&lt;25,"1. Young Adulthood (18-24)",worksheet[[#This Row],[age]]&lt; 35,"2. Early Adulthood (25-34)",worksheet[[#This Row],[age]]&lt; 45,"3. Mid Adulthood (35-44)",worksheet[[#This Row],[age]]&lt; 55,"4. Mature Adulthood (45-54)",TRUE,"5. Late Adulthood/Senior (55+)")</f>
        <v>2. Early Adulthood (25-34)</v>
      </c>
      <c r="D1561" t="s">
        <v>15</v>
      </c>
      <c r="E1561" t="s">
        <v>32</v>
      </c>
      <c r="F1561" s="4">
        <v>17.100000000000001</v>
      </c>
      <c r="G1561" s="5">
        <v>16</v>
      </c>
      <c r="H1561" t="s">
        <v>17</v>
      </c>
      <c r="I1561" t="s">
        <v>55</v>
      </c>
      <c r="J1561" s="6">
        <v>17.989999999999998</v>
      </c>
      <c r="K1561">
        <v>0</v>
      </c>
      <c r="L1561" t="s">
        <v>29</v>
      </c>
      <c r="M1561" s="5">
        <v>4</v>
      </c>
      <c r="N1561" s="4">
        <v>1.01</v>
      </c>
      <c r="O1561" t="s">
        <v>20</v>
      </c>
    </row>
    <row r="1562" spans="1:15" x14ac:dyDescent="0.3">
      <c r="A1562" t="s">
        <v>4768</v>
      </c>
      <c r="B1562" s="5">
        <v>27</v>
      </c>
      <c r="C1562" s="5" t="str" cm="1">
        <f t="array" ref="C1562">_xlfn.IFS(worksheet[[#This Row],[age]]&lt;25,"1. Young Adulthood (18-24)",worksheet[[#This Row],[age]]&lt; 35,"2. Early Adulthood (25-34)",worksheet[[#This Row],[age]]&lt; 45,"3. Mid Adulthood (35-44)",worksheet[[#This Row],[age]]&lt; 55,"4. Mature Adulthood (45-54)",TRUE,"5. Late Adulthood/Senior (55+)")</f>
        <v>2. Early Adulthood (25-34)</v>
      </c>
      <c r="D1562" t="s">
        <v>41</v>
      </c>
      <c r="E1562" t="s">
        <v>16</v>
      </c>
      <c r="F1562" s="4">
        <v>31</v>
      </c>
      <c r="G1562" s="5">
        <v>57</v>
      </c>
      <c r="H1562" t="s">
        <v>49</v>
      </c>
      <c r="I1562" t="s">
        <v>18</v>
      </c>
      <c r="J1562" s="6">
        <v>8.99</v>
      </c>
      <c r="K1562">
        <v>0</v>
      </c>
      <c r="L1562" t="s">
        <v>29</v>
      </c>
      <c r="M1562" s="5">
        <v>5</v>
      </c>
      <c r="N1562" s="4">
        <v>0.53</v>
      </c>
      <c r="O1562" t="s">
        <v>39</v>
      </c>
    </row>
    <row r="1563" spans="1:15" x14ac:dyDescent="0.3">
      <c r="A1563" t="s">
        <v>4773</v>
      </c>
      <c r="B1563" s="5">
        <v>19</v>
      </c>
      <c r="C1563" s="5" t="str" cm="1">
        <f t="array" ref="C1563">_xlfn.IFS(worksheet[[#This Row],[age]]&lt;25,"1. Young Adulthood (18-24)",worksheet[[#This Row],[age]]&lt; 35,"2. Early Adulthood (25-34)",worksheet[[#This Row],[age]]&lt; 45,"3. Mid Adulthood (35-44)",worksheet[[#This Row],[age]]&lt; 55,"4. Mature Adulthood (45-54)",TRUE,"5. Late Adulthood/Senior (55+)")</f>
        <v>1. Young Adulthood (18-24)</v>
      </c>
      <c r="D1563" t="s">
        <v>15</v>
      </c>
      <c r="E1563" t="s">
        <v>16</v>
      </c>
      <c r="F1563" s="4">
        <v>1.23</v>
      </c>
      <c r="G1563" s="5">
        <v>47</v>
      </c>
      <c r="H1563" t="s">
        <v>28</v>
      </c>
      <c r="I1563" t="s">
        <v>24</v>
      </c>
      <c r="J1563" s="6">
        <v>8.99</v>
      </c>
      <c r="K1563">
        <v>1</v>
      </c>
      <c r="L1563" t="s">
        <v>37</v>
      </c>
      <c r="M1563" s="5">
        <v>4</v>
      </c>
      <c r="N1563" s="4">
        <v>0.03</v>
      </c>
      <c r="O1563" t="s">
        <v>25</v>
      </c>
    </row>
    <row r="1564" spans="1:15" x14ac:dyDescent="0.3">
      <c r="A1564" t="s">
        <v>4777</v>
      </c>
      <c r="B1564" s="5">
        <v>20</v>
      </c>
      <c r="C1564" s="5" t="str" cm="1">
        <f t="array" ref="C1564">_xlfn.IFS(worksheet[[#This Row],[age]]&lt;25,"1. Young Adulthood (18-24)",worksheet[[#This Row],[age]]&lt; 35,"2. Early Adulthood (25-34)",worksheet[[#This Row],[age]]&lt; 45,"3. Mid Adulthood (35-44)",worksheet[[#This Row],[age]]&lt; 55,"4. Mature Adulthood (45-54)",TRUE,"5. Late Adulthood/Senior (55+)")</f>
        <v>1. Young Adulthood (18-24)</v>
      </c>
      <c r="D1564" t="s">
        <v>15</v>
      </c>
      <c r="E1564" t="s">
        <v>16</v>
      </c>
      <c r="F1564" s="4">
        <v>0.37</v>
      </c>
      <c r="G1564" s="5">
        <v>27</v>
      </c>
      <c r="H1564" t="s">
        <v>17</v>
      </c>
      <c r="I1564" t="s">
        <v>55</v>
      </c>
      <c r="J1564" s="6">
        <v>8.99</v>
      </c>
      <c r="K1564">
        <v>1</v>
      </c>
      <c r="L1564" t="s">
        <v>43</v>
      </c>
      <c r="M1564" s="5">
        <v>1</v>
      </c>
      <c r="N1564" s="4">
        <v>0.01</v>
      </c>
      <c r="O1564" t="s">
        <v>30</v>
      </c>
    </row>
    <row r="1565" spans="1:15" x14ac:dyDescent="0.3">
      <c r="A1565" t="s">
        <v>4779</v>
      </c>
      <c r="B1565" s="5">
        <v>30</v>
      </c>
      <c r="C1565" s="5" t="str" cm="1">
        <f t="array" ref="C1565">_xlfn.IFS(worksheet[[#This Row],[age]]&lt;25,"1. Young Adulthood (18-24)",worksheet[[#This Row],[age]]&lt; 35,"2. Early Adulthood (25-34)",worksheet[[#This Row],[age]]&lt; 45,"3. Mid Adulthood (35-44)",worksheet[[#This Row],[age]]&lt; 55,"4. Mature Adulthood (45-54)",TRUE,"5. Late Adulthood/Senior (55+)")</f>
        <v>2. Early Adulthood (25-34)</v>
      </c>
      <c r="D1565" t="s">
        <v>15</v>
      </c>
      <c r="E1565" t="s">
        <v>32</v>
      </c>
      <c r="F1565" s="4">
        <v>21.23</v>
      </c>
      <c r="G1565" s="5">
        <v>50</v>
      </c>
      <c r="H1565" t="s">
        <v>17</v>
      </c>
      <c r="I1565" t="s">
        <v>24</v>
      </c>
      <c r="J1565" s="6">
        <v>17.989999999999998</v>
      </c>
      <c r="K1565">
        <v>0</v>
      </c>
      <c r="L1565" t="s">
        <v>61</v>
      </c>
      <c r="M1565" s="5">
        <v>2</v>
      </c>
      <c r="N1565" s="4">
        <v>0.42</v>
      </c>
      <c r="O1565" t="s">
        <v>30</v>
      </c>
    </row>
    <row r="1566" spans="1:15" x14ac:dyDescent="0.3">
      <c r="A1566" t="s">
        <v>4782</v>
      </c>
      <c r="B1566" s="5">
        <v>19</v>
      </c>
      <c r="C1566" s="5" t="str" cm="1">
        <f t="array" ref="C1566">_xlfn.IFS(worksheet[[#This Row],[age]]&lt;25,"1. Young Adulthood (18-24)",worksheet[[#This Row],[age]]&lt; 35,"2. Early Adulthood (25-34)",worksheet[[#This Row],[age]]&lt; 45,"3. Mid Adulthood (35-44)",worksheet[[#This Row],[age]]&lt; 55,"4. Mature Adulthood (45-54)",TRUE,"5. Late Adulthood/Senior (55+)")</f>
        <v>1. Young Adulthood (18-24)</v>
      </c>
      <c r="D1566" t="s">
        <v>15</v>
      </c>
      <c r="E1566" t="s">
        <v>32</v>
      </c>
      <c r="F1566" s="4">
        <v>13.21</v>
      </c>
      <c r="G1566" s="5">
        <v>32</v>
      </c>
      <c r="H1566" t="s">
        <v>28</v>
      </c>
      <c r="I1566" t="s">
        <v>55</v>
      </c>
      <c r="J1566" s="6">
        <v>17.989999999999998</v>
      </c>
      <c r="K1566">
        <v>1</v>
      </c>
      <c r="L1566" t="s">
        <v>29</v>
      </c>
      <c r="M1566" s="5">
        <v>2</v>
      </c>
      <c r="N1566" s="4">
        <v>0.4</v>
      </c>
      <c r="O1566" t="s">
        <v>20</v>
      </c>
    </row>
    <row r="1567" spans="1:15" x14ac:dyDescent="0.3">
      <c r="A1567" t="s">
        <v>4784</v>
      </c>
      <c r="B1567" s="5">
        <v>32</v>
      </c>
      <c r="C1567" s="5" t="str" cm="1">
        <f t="array" ref="C1567">_xlfn.IFS(worksheet[[#This Row],[age]]&lt;25,"1. Young Adulthood (18-24)",worksheet[[#This Row],[age]]&lt; 35,"2. Early Adulthood (25-34)",worksheet[[#This Row],[age]]&lt; 45,"3. Mid Adulthood (35-44)",worksheet[[#This Row],[age]]&lt; 55,"4. Mature Adulthood (45-54)",TRUE,"5. Late Adulthood/Senior (55+)")</f>
        <v>2. Early Adulthood (25-34)</v>
      </c>
      <c r="D1567" t="s">
        <v>27</v>
      </c>
      <c r="E1567" t="s">
        <v>22</v>
      </c>
      <c r="F1567" s="4">
        <v>12.46</v>
      </c>
      <c r="G1567" s="5">
        <v>17</v>
      </c>
      <c r="H1567" t="s">
        <v>17</v>
      </c>
      <c r="I1567" t="s">
        <v>46</v>
      </c>
      <c r="J1567" s="6">
        <v>13.99</v>
      </c>
      <c r="K1567">
        <v>0</v>
      </c>
      <c r="L1567" t="s">
        <v>37</v>
      </c>
      <c r="M1567" s="5">
        <v>5</v>
      </c>
      <c r="N1567" s="4">
        <v>0.69</v>
      </c>
      <c r="O1567" t="s">
        <v>47</v>
      </c>
    </row>
    <row r="1568" spans="1:15" x14ac:dyDescent="0.3">
      <c r="A1568" t="s">
        <v>4787</v>
      </c>
      <c r="B1568" s="5">
        <v>24</v>
      </c>
      <c r="C1568" s="5" t="str" cm="1">
        <f t="array" ref="C1568">_xlfn.IFS(worksheet[[#This Row],[age]]&lt;25,"1. Young Adulthood (18-24)",worksheet[[#This Row],[age]]&lt; 35,"2. Early Adulthood (25-34)",worksheet[[#This Row],[age]]&lt; 45,"3. Mid Adulthood (35-44)",worksheet[[#This Row],[age]]&lt; 55,"4. Mature Adulthood (45-54)",TRUE,"5. Late Adulthood/Senior (55+)")</f>
        <v>1. Young Adulthood (18-24)</v>
      </c>
      <c r="D1568" t="s">
        <v>15</v>
      </c>
      <c r="E1568" t="s">
        <v>32</v>
      </c>
      <c r="F1568" s="4">
        <v>5.54</v>
      </c>
      <c r="G1568" s="5">
        <v>47</v>
      </c>
      <c r="H1568" t="s">
        <v>17</v>
      </c>
      <c r="I1568" t="s">
        <v>57</v>
      </c>
      <c r="J1568" s="6">
        <v>17.989999999999998</v>
      </c>
      <c r="K1568">
        <v>0</v>
      </c>
      <c r="L1568" t="s">
        <v>43</v>
      </c>
      <c r="M1568" s="5">
        <v>5</v>
      </c>
      <c r="N1568" s="4">
        <v>0.12</v>
      </c>
      <c r="O1568" t="s">
        <v>52</v>
      </c>
    </row>
    <row r="1569" spans="1:15" x14ac:dyDescent="0.3">
      <c r="A1569" t="s">
        <v>4791</v>
      </c>
      <c r="B1569" s="5">
        <v>24</v>
      </c>
      <c r="C1569" s="5" t="str" cm="1">
        <f t="array" ref="C1569">_xlfn.IFS(worksheet[[#This Row],[age]]&lt;25,"1. Young Adulthood (18-24)",worksheet[[#This Row],[age]]&lt; 35,"2. Early Adulthood (25-34)",worksheet[[#This Row],[age]]&lt; 45,"3. Mid Adulthood (35-44)",worksheet[[#This Row],[age]]&lt; 55,"4. Mature Adulthood (45-54)",TRUE,"5. Late Adulthood/Senior (55+)")</f>
        <v>1. Young Adulthood (18-24)</v>
      </c>
      <c r="D1569" t="s">
        <v>27</v>
      </c>
      <c r="E1569" t="s">
        <v>22</v>
      </c>
      <c r="F1569" s="4">
        <v>30.63</v>
      </c>
      <c r="G1569" s="5">
        <v>58</v>
      </c>
      <c r="H1569" t="s">
        <v>33</v>
      </c>
      <c r="I1569" t="s">
        <v>24</v>
      </c>
      <c r="J1569" s="6">
        <v>13.99</v>
      </c>
      <c r="K1569">
        <v>0</v>
      </c>
      <c r="L1569" t="s">
        <v>37</v>
      </c>
      <c r="M1569" s="5">
        <v>4</v>
      </c>
      <c r="N1569" s="4">
        <v>0.52</v>
      </c>
      <c r="O1569" t="s">
        <v>25</v>
      </c>
    </row>
    <row r="1570" spans="1:15" x14ac:dyDescent="0.3">
      <c r="A1570" t="s">
        <v>4792</v>
      </c>
      <c r="B1570" s="5">
        <v>29</v>
      </c>
      <c r="C1570" s="5" t="str" cm="1">
        <f t="array" ref="C1570">_xlfn.IFS(worksheet[[#This Row],[age]]&lt;25,"1. Young Adulthood (18-24)",worksheet[[#This Row],[age]]&lt; 35,"2. Early Adulthood (25-34)",worksheet[[#This Row],[age]]&lt; 45,"3. Mid Adulthood (35-44)",worksheet[[#This Row],[age]]&lt; 55,"4. Mature Adulthood (45-54)",TRUE,"5. Late Adulthood/Senior (55+)")</f>
        <v>2. Early Adulthood (25-34)</v>
      </c>
      <c r="D1570" t="s">
        <v>27</v>
      </c>
      <c r="E1570" t="s">
        <v>32</v>
      </c>
      <c r="F1570" s="4">
        <v>3.17</v>
      </c>
      <c r="G1570" s="5">
        <v>8</v>
      </c>
      <c r="H1570" t="s">
        <v>49</v>
      </c>
      <c r="I1570" t="s">
        <v>18</v>
      </c>
      <c r="J1570" s="6">
        <v>17.989999999999998</v>
      </c>
      <c r="K1570">
        <v>1</v>
      </c>
      <c r="L1570" t="s">
        <v>29</v>
      </c>
      <c r="M1570" s="5">
        <v>2</v>
      </c>
      <c r="N1570" s="4">
        <v>0.35</v>
      </c>
      <c r="O1570" t="s">
        <v>20</v>
      </c>
    </row>
    <row r="1571" spans="1:15" x14ac:dyDescent="0.3">
      <c r="A1571" t="s">
        <v>4794</v>
      </c>
      <c r="B1571" s="5">
        <v>18</v>
      </c>
      <c r="C1571" s="5" t="str" cm="1">
        <f t="array" ref="C1571">_xlfn.IFS(worksheet[[#This Row],[age]]&lt;25,"1. Young Adulthood (18-24)",worksheet[[#This Row],[age]]&lt; 35,"2. Early Adulthood (25-34)",worksheet[[#This Row],[age]]&lt; 45,"3. Mid Adulthood (35-44)",worksheet[[#This Row],[age]]&lt; 55,"4. Mature Adulthood (45-54)",TRUE,"5. Late Adulthood/Senior (55+)")</f>
        <v>1. Young Adulthood (18-24)</v>
      </c>
      <c r="D1571" t="s">
        <v>27</v>
      </c>
      <c r="E1571" t="s">
        <v>16</v>
      </c>
      <c r="F1571" s="4">
        <v>18.12</v>
      </c>
      <c r="G1571" s="5">
        <v>2</v>
      </c>
      <c r="H1571" t="s">
        <v>70</v>
      </c>
      <c r="I1571" t="s">
        <v>57</v>
      </c>
      <c r="J1571" s="6">
        <v>8.99</v>
      </c>
      <c r="K1571">
        <v>0</v>
      </c>
      <c r="L1571" t="s">
        <v>37</v>
      </c>
      <c r="M1571" s="5">
        <v>1</v>
      </c>
      <c r="N1571" s="4">
        <v>6.04</v>
      </c>
      <c r="O1571" t="s">
        <v>34</v>
      </c>
    </row>
    <row r="1572" spans="1:15" x14ac:dyDescent="0.3">
      <c r="A1572" t="s">
        <v>4796</v>
      </c>
      <c r="B1572" s="5">
        <v>20</v>
      </c>
      <c r="C1572" s="5" t="str" cm="1">
        <f t="array" ref="C1572">_xlfn.IFS(worksheet[[#This Row],[age]]&lt;25,"1. Young Adulthood (18-24)",worksheet[[#This Row],[age]]&lt; 35,"2. Early Adulthood (25-34)",worksheet[[#This Row],[age]]&lt; 45,"3. Mid Adulthood (35-44)",worksheet[[#This Row],[age]]&lt; 55,"4. Mature Adulthood (45-54)",TRUE,"5. Late Adulthood/Senior (55+)")</f>
        <v>1. Young Adulthood (18-24)</v>
      </c>
      <c r="D1572" t="s">
        <v>15</v>
      </c>
      <c r="E1572" t="s">
        <v>22</v>
      </c>
      <c r="F1572" s="4">
        <v>2.75</v>
      </c>
      <c r="G1572" s="5">
        <v>2</v>
      </c>
      <c r="H1572" t="s">
        <v>17</v>
      </c>
      <c r="I1572" t="s">
        <v>18</v>
      </c>
      <c r="J1572" s="6">
        <v>13.99</v>
      </c>
      <c r="K1572">
        <v>0</v>
      </c>
      <c r="L1572" t="s">
        <v>61</v>
      </c>
      <c r="M1572" s="5">
        <v>2</v>
      </c>
      <c r="N1572" s="4">
        <v>0.92</v>
      </c>
      <c r="O1572" t="s">
        <v>25</v>
      </c>
    </row>
    <row r="1573" spans="1:15" x14ac:dyDescent="0.3">
      <c r="A1573" t="s">
        <v>4799</v>
      </c>
      <c r="B1573" s="5">
        <v>25</v>
      </c>
      <c r="C1573" s="5" t="str" cm="1">
        <f t="array" ref="C1573">_xlfn.IFS(worksheet[[#This Row],[age]]&lt;25,"1. Young Adulthood (18-24)",worksheet[[#This Row],[age]]&lt; 35,"2. Early Adulthood (25-34)",worksheet[[#This Row],[age]]&lt; 45,"3. Mid Adulthood (35-44)",worksheet[[#This Row],[age]]&lt; 55,"4. Mature Adulthood (45-54)",TRUE,"5. Late Adulthood/Senior (55+)")</f>
        <v>2. Early Adulthood (25-34)</v>
      </c>
      <c r="D1573" t="s">
        <v>41</v>
      </c>
      <c r="E1573" t="s">
        <v>22</v>
      </c>
      <c r="F1573" s="4">
        <v>3.84</v>
      </c>
      <c r="G1573" s="5">
        <v>45</v>
      </c>
      <c r="H1573" t="s">
        <v>17</v>
      </c>
      <c r="I1573" t="s">
        <v>24</v>
      </c>
      <c r="J1573" s="6">
        <v>13.99</v>
      </c>
      <c r="K1573">
        <v>1</v>
      </c>
      <c r="L1573" t="s">
        <v>37</v>
      </c>
      <c r="M1573" s="5">
        <v>5</v>
      </c>
      <c r="N1573" s="4">
        <v>0.08</v>
      </c>
      <c r="O1573" t="s">
        <v>30</v>
      </c>
    </row>
    <row r="1574" spans="1:15" x14ac:dyDescent="0.3">
      <c r="A1574" t="s">
        <v>4803</v>
      </c>
      <c r="B1574" s="5">
        <v>25</v>
      </c>
      <c r="C1574" s="5" t="str" cm="1">
        <f t="array" ref="C1574">_xlfn.IFS(worksheet[[#This Row],[age]]&lt;25,"1. Young Adulthood (18-24)",worksheet[[#This Row],[age]]&lt; 35,"2. Early Adulthood (25-34)",worksheet[[#This Row],[age]]&lt; 45,"3. Mid Adulthood (35-44)",worksheet[[#This Row],[age]]&lt; 55,"4. Mature Adulthood (45-54)",TRUE,"5. Late Adulthood/Senior (55+)")</f>
        <v>2. Early Adulthood (25-34)</v>
      </c>
      <c r="D1574" t="s">
        <v>27</v>
      </c>
      <c r="E1574" t="s">
        <v>32</v>
      </c>
      <c r="F1574" s="4">
        <v>50.94</v>
      </c>
      <c r="G1574" s="5">
        <v>28</v>
      </c>
      <c r="H1574" t="s">
        <v>17</v>
      </c>
      <c r="I1574" t="s">
        <v>24</v>
      </c>
      <c r="J1574" s="6">
        <v>17.989999999999998</v>
      </c>
      <c r="K1574">
        <v>0</v>
      </c>
      <c r="L1574" t="s">
        <v>37</v>
      </c>
      <c r="M1574" s="5">
        <v>4</v>
      </c>
      <c r="N1574" s="4">
        <v>1.76</v>
      </c>
      <c r="O1574" t="s">
        <v>30</v>
      </c>
    </row>
    <row r="1575" spans="1:15" x14ac:dyDescent="0.3">
      <c r="A1575" t="s">
        <v>4806</v>
      </c>
      <c r="B1575" s="5">
        <v>21</v>
      </c>
      <c r="C1575" s="5" t="str" cm="1">
        <f t="array" ref="C1575">_xlfn.IFS(worksheet[[#This Row],[age]]&lt;25,"1. Young Adulthood (18-24)",worksheet[[#This Row],[age]]&lt; 35,"2. Early Adulthood (25-34)",worksheet[[#This Row],[age]]&lt; 45,"3. Mid Adulthood (35-44)",worksheet[[#This Row],[age]]&lt; 55,"4. Mature Adulthood (45-54)",TRUE,"5. Late Adulthood/Senior (55+)")</f>
        <v>1. Young Adulthood (18-24)</v>
      </c>
      <c r="D1575" t="s">
        <v>41</v>
      </c>
      <c r="E1575" t="s">
        <v>22</v>
      </c>
      <c r="F1575" s="4">
        <v>0.19</v>
      </c>
      <c r="G1575" s="5">
        <v>59</v>
      </c>
      <c r="H1575" t="s">
        <v>70</v>
      </c>
      <c r="I1575" t="s">
        <v>24</v>
      </c>
      <c r="J1575" s="6">
        <v>13.99</v>
      </c>
      <c r="K1575">
        <v>1</v>
      </c>
      <c r="L1575" t="s">
        <v>37</v>
      </c>
      <c r="M1575" s="5">
        <v>3</v>
      </c>
      <c r="N1575" s="4">
        <v>0</v>
      </c>
      <c r="O1575" t="s">
        <v>39</v>
      </c>
    </row>
    <row r="1576" spans="1:15" x14ac:dyDescent="0.3">
      <c r="A1576" t="s">
        <v>4807</v>
      </c>
      <c r="B1576" s="5">
        <v>32</v>
      </c>
      <c r="C1576" s="5" t="str" cm="1">
        <f t="array" ref="C1576">_xlfn.IFS(worksheet[[#This Row],[age]]&lt;25,"1. Young Adulthood (18-24)",worksheet[[#This Row],[age]]&lt; 35,"2. Early Adulthood (25-34)",worksheet[[#This Row],[age]]&lt; 45,"3. Mid Adulthood (35-44)",worksheet[[#This Row],[age]]&lt; 55,"4. Mature Adulthood (45-54)",TRUE,"5. Late Adulthood/Senior (55+)")</f>
        <v>2. Early Adulthood (25-34)</v>
      </c>
      <c r="D1576" t="s">
        <v>41</v>
      </c>
      <c r="E1576" t="s">
        <v>22</v>
      </c>
      <c r="F1576" s="4">
        <v>7.88</v>
      </c>
      <c r="G1576" s="5">
        <v>38</v>
      </c>
      <c r="H1576" t="s">
        <v>23</v>
      </c>
      <c r="I1576" t="s">
        <v>57</v>
      </c>
      <c r="J1576" s="6">
        <v>13.99</v>
      </c>
      <c r="K1576">
        <v>1</v>
      </c>
      <c r="L1576" t="s">
        <v>37</v>
      </c>
      <c r="M1576" s="5">
        <v>1</v>
      </c>
      <c r="N1576" s="4">
        <v>0.2</v>
      </c>
      <c r="O1576" t="s">
        <v>30</v>
      </c>
    </row>
    <row r="1577" spans="1:15" x14ac:dyDescent="0.3">
      <c r="A1577" t="s">
        <v>4809</v>
      </c>
      <c r="B1577" s="5">
        <v>29</v>
      </c>
      <c r="C1577" s="5" t="str" cm="1">
        <f t="array" ref="C1577">_xlfn.IFS(worksheet[[#This Row],[age]]&lt;25,"1. Young Adulthood (18-24)",worksheet[[#This Row],[age]]&lt; 35,"2. Early Adulthood (25-34)",worksheet[[#This Row],[age]]&lt; 45,"3. Mid Adulthood (35-44)",worksheet[[#This Row],[age]]&lt; 55,"4. Mature Adulthood (45-54)",TRUE,"5. Late Adulthood/Senior (55+)")</f>
        <v>2. Early Adulthood (25-34)</v>
      </c>
      <c r="D1577" t="s">
        <v>27</v>
      </c>
      <c r="E1577" t="s">
        <v>16</v>
      </c>
      <c r="F1577" s="4">
        <v>15.6</v>
      </c>
      <c r="G1577" s="5">
        <v>11</v>
      </c>
      <c r="H1577" t="s">
        <v>49</v>
      </c>
      <c r="I1577" t="s">
        <v>57</v>
      </c>
      <c r="J1577" s="6">
        <v>8.99</v>
      </c>
      <c r="K1577">
        <v>0</v>
      </c>
      <c r="L1577" t="s">
        <v>29</v>
      </c>
      <c r="M1577" s="5">
        <v>2</v>
      </c>
      <c r="N1577" s="4">
        <v>1.3</v>
      </c>
      <c r="O1577" t="s">
        <v>52</v>
      </c>
    </row>
    <row r="1578" spans="1:15" x14ac:dyDescent="0.3">
      <c r="A1578" t="s">
        <v>4813</v>
      </c>
      <c r="B1578" s="5">
        <v>22</v>
      </c>
      <c r="C1578" s="5" t="str" cm="1">
        <f t="array" ref="C1578">_xlfn.IFS(worksheet[[#This Row],[age]]&lt;25,"1. Young Adulthood (18-24)",worksheet[[#This Row],[age]]&lt; 35,"2. Early Adulthood (25-34)",worksheet[[#This Row],[age]]&lt; 45,"3. Mid Adulthood (35-44)",worksheet[[#This Row],[age]]&lt; 55,"4. Mature Adulthood (45-54)",TRUE,"5. Late Adulthood/Senior (55+)")</f>
        <v>1. Young Adulthood (18-24)</v>
      </c>
      <c r="D1578" t="s">
        <v>27</v>
      </c>
      <c r="E1578" t="s">
        <v>16</v>
      </c>
      <c r="F1578" s="4">
        <v>4.4000000000000004</v>
      </c>
      <c r="G1578" s="5">
        <v>34</v>
      </c>
      <c r="H1578" t="s">
        <v>23</v>
      </c>
      <c r="I1578" t="s">
        <v>18</v>
      </c>
      <c r="J1578" s="6">
        <v>8.99</v>
      </c>
      <c r="K1578">
        <v>1</v>
      </c>
      <c r="L1578" t="s">
        <v>29</v>
      </c>
      <c r="M1578" s="5">
        <v>5</v>
      </c>
      <c r="N1578" s="4">
        <v>0.13</v>
      </c>
      <c r="O1578" t="s">
        <v>20</v>
      </c>
    </row>
    <row r="1579" spans="1:15" x14ac:dyDescent="0.3">
      <c r="A1579" t="s">
        <v>4817</v>
      </c>
      <c r="B1579" s="5">
        <v>31</v>
      </c>
      <c r="C1579" s="5" t="str" cm="1">
        <f t="array" ref="C1579">_xlfn.IFS(worksheet[[#This Row],[age]]&lt;25,"1. Young Adulthood (18-24)",worksheet[[#This Row],[age]]&lt; 35,"2. Early Adulthood (25-34)",worksheet[[#This Row],[age]]&lt; 45,"3. Mid Adulthood (35-44)",worksheet[[#This Row],[age]]&lt; 55,"4. Mature Adulthood (45-54)",TRUE,"5. Late Adulthood/Senior (55+)")</f>
        <v>2. Early Adulthood (25-34)</v>
      </c>
      <c r="D1579" t="s">
        <v>41</v>
      </c>
      <c r="E1579" t="s">
        <v>22</v>
      </c>
      <c r="F1579" s="4">
        <v>8.85</v>
      </c>
      <c r="G1579" s="5">
        <v>5</v>
      </c>
      <c r="H1579" t="s">
        <v>33</v>
      </c>
      <c r="I1579" t="s">
        <v>57</v>
      </c>
      <c r="J1579" s="6">
        <v>13.99</v>
      </c>
      <c r="K1579">
        <v>0</v>
      </c>
      <c r="L1579" t="s">
        <v>19</v>
      </c>
      <c r="M1579" s="5">
        <v>1</v>
      </c>
      <c r="N1579" s="4">
        <v>1.47</v>
      </c>
      <c r="O1579" t="s">
        <v>25</v>
      </c>
    </row>
    <row r="1580" spans="1:15" x14ac:dyDescent="0.3">
      <c r="A1580" t="s">
        <v>4821</v>
      </c>
      <c r="B1580" s="5">
        <v>23</v>
      </c>
      <c r="C1580" s="5" t="str" cm="1">
        <f t="array" ref="C1580">_xlfn.IFS(worksheet[[#This Row],[age]]&lt;25,"1. Young Adulthood (18-24)",worksheet[[#This Row],[age]]&lt; 35,"2. Early Adulthood (25-34)",worksheet[[#This Row],[age]]&lt; 45,"3. Mid Adulthood (35-44)",worksheet[[#This Row],[age]]&lt; 55,"4. Mature Adulthood (45-54)",TRUE,"5. Late Adulthood/Senior (55+)")</f>
        <v>1. Young Adulthood (18-24)</v>
      </c>
      <c r="D1580" t="s">
        <v>41</v>
      </c>
      <c r="E1580" t="s">
        <v>16</v>
      </c>
      <c r="F1580" s="4">
        <v>1.81</v>
      </c>
      <c r="G1580" s="5">
        <v>0</v>
      </c>
      <c r="H1580" t="s">
        <v>23</v>
      </c>
      <c r="I1580" t="s">
        <v>46</v>
      </c>
      <c r="J1580" s="6">
        <v>8.99</v>
      </c>
      <c r="K1580">
        <v>0</v>
      </c>
      <c r="L1580" t="s">
        <v>29</v>
      </c>
      <c r="M1580" s="5">
        <v>5</v>
      </c>
      <c r="N1580" s="4">
        <v>1.81</v>
      </c>
      <c r="O1580" t="s">
        <v>34</v>
      </c>
    </row>
    <row r="1581" spans="1:15" x14ac:dyDescent="0.3">
      <c r="A1581" t="s">
        <v>4824</v>
      </c>
      <c r="B1581" s="5">
        <v>20</v>
      </c>
      <c r="C1581" s="5" t="str" cm="1">
        <f t="array" ref="C1581">_xlfn.IFS(worksheet[[#This Row],[age]]&lt;25,"1. Young Adulthood (18-24)",worksheet[[#This Row],[age]]&lt; 35,"2. Early Adulthood (25-34)",worksheet[[#This Row],[age]]&lt; 45,"3. Mid Adulthood (35-44)",worksheet[[#This Row],[age]]&lt; 55,"4. Mature Adulthood (45-54)",TRUE,"5. Late Adulthood/Senior (55+)")</f>
        <v>1. Young Adulthood (18-24)</v>
      </c>
      <c r="D1581" t="s">
        <v>27</v>
      </c>
      <c r="E1581" t="s">
        <v>32</v>
      </c>
      <c r="F1581" s="4">
        <v>4.18</v>
      </c>
      <c r="G1581" s="5">
        <v>36</v>
      </c>
      <c r="H1581" t="s">
        <v>70</v>
      </c>
      <c r="I1581" t="s">
        <v>57</v>
      </c>
      <c r="J1581" s="6">
        <v>17.989999999999998</v>
      </c>
      <c r="K1581">
        <v>1</v>
      </c>
      <c r="L1581" t="s">
        <v>37</v>
      </c>
      <c r="M1581" s="5">
        <v>3</v>
      </c>
      <c r="N1581" s="4">
        <v>0.11</v>
      </c>
      <c r="O1581" t="s">
        <v>52</v>
      </c>
    </row>
    <row r="1582" spans="1:15" x14ac:dyDescent="0.3">
      <c r="A1582" t="s">
        <v>4826</v>
      </c>
      <c r="B1582" s="5">
        <v>22</v>
      </c>
      <c r="C1582" s="5" t="str" cm="1">
        <f t="array" ref="C1582">_xlfn.IFS(worksheet[[#This Row],[age]]&lt;25,"1. Young Adulthood (18-24)",worksheet[[#This Row],[age]]&lt; 35,"2. Early Adulthood (25-34)",worksheet[[#This Row],[age]]&lt; 45,"3. Mid Adulthood (35-44)",worksheet[[#This Row],[age]]&lt; 55,"4. Mature Adulthood (45-54)",TRUE,"5. Late Adulthood/Senior (55+)")</f>
        <v>1. Young Adulthood (18-24)</v>
      </c>
      <c r="D1582" t="s">
        <v>41</v>
      </c>
      <c r="E1582" t="s">
        <v>32</v>
      </c>
      <c r="F1582" s="4">
        <v>0.77</v>
      </c>
      <c r="G1582" s="5">
        <v>29</v>
      </c>
      <c r="H1582" t="s">
        <v>70</v>
      </c>
      <c r="I1582" t="s">
        <v>55</v>
      </c>
      <c r="J1582" s="6">
        <v>17.989999999999998</v>
      </c>
      <c r="K1582">
        <v>1</v>
      </c>
      <c r="L1582" t="s">
        <v>37</v>
      </c>
      <c r="M1582" s="5">
        <v>1</v>
      </c>
      <c r="N1582" s="4">
        <v>0.03</v>
      </c>
      <c r="O1582" t="s">
        <v>34</v>
      </c>
    </row>
    <row r="1583" spans="1:15" x14ac:dyDescent="0.3">
      <c r="A1583" t="s">
        <v>4829</v>
      </c>
      <c r="B1583" s="5">
        <v>27</v>
      </c>
      <c r="C1583" s="5" t="str" cm="1">
        <f t="array" ref="C1583">_xlfn.IFS(worksheet[[#This Row],[age]]&lt;25,"1. Young Adulthood (18-24)",worksheet[[#This Row],[age]]&lt; 35,"2. Early Adulthood (25-34)",worksheet[[#This Row],[age]]&lt; 45,"3. Mid Adulthood (35-44)",worksheet[[#This Row],[age]]&lt; 55,"4. Mature Adulthood (45-54)",TRUE,"5. Late Adulthood/Senior (55+)")</f>
        <v>2. Early Adulthood (25-34)</v>
      </c>
      <c r="D1583" t="s">
        <v>15</v>
      </c>
      <c r="E1583" t="s">
        <v>32</v>
      </c>
      <c r="F1583" s="4">
        <v>27.3</v>
      </c>
      <c r="G1583" s="5">
        <v>4</v>
      </c>
      <c r="H1583" t="s">
        <v>49</v>
      </c>
      <c r="I1583" t="s">
        <v>46</v>
      </c>
      <c r="J1583" s="6">
        <v>17.989999999999998</v>
      </c>
      <c r="K1583">
        <v>0</v>
      </c>
      <c r="L1583" t="s">
        <v>43</v>
      </c>
      <c r="M1583" s="5">
        <v>3</v>
      </c>
      <c r="N1583" s="4">
        <v>5.46</v>
      </c>
      <c r="O1583" t="s">
        <v>30</v>
      </c>
    </row>
    <row r="1584" spans="1:15" x14ac:dyDescent="0.3">
      <c r="A1584" t="s">
        <v>4832</v>
      </c>
      <c r="B1584" s="5">
        <v>22</v>
      </c>
      <c r="C1584" s="5" t="str" cm="1">
        <f t="array" ref="C1584">_xlfn.IFS(worksheet[[#This Row],[age]]&lt;25,"1. Young Adulthood (18-24)",worksheet[[#This Row],[age]]&lt; 35,"2. Early Adulthood (25-34)",worksheet[[#This Row],[age]]&lt; 45,"3. Mid Adulthood (35-44)",worksheet[[#This Row],[age]]&lt; 55,"4. Mature Adulthood (45-54)",TRUE,"5. Late Adulthood/Senior (55+)")</f>
        <v>1. Young Adulthood (18-24)</v>
      </c>
      <c r="D1584" t="s">
        <v>27</v>
      </c>
      <c r="E1584" t="s">
        <v>32</v>
      </c>
      <c r="F1584" s="4">
        <v>4.9800000000000004</v>
      </c>
      <c r="G1584" s="5">
        <v>0</v>
      </c>
      <c r="H1584" t="s">
        <v>49</v>
      </c>
      <c r="I1584" t="s">
        <v>18</v>
      </c>
      <c r="J1584" s="6">
        <v>17.989999999999998</v>
      </c>
      <c r="K1584">
        <v>0</v>
      </c>
      <c r="L1584" t="s">
        <v>43</v>
      </c>
      <c r="M1584" s="5">
        <v>5</v>
      </c>
      <c r="N1584" s="4">
        <v>4.9800000000000004</v>
      </c>
      <c r="O1584" t="s">
        <v>30</v>
      </c>
    </row>
    <row r="1585" spans="1:15" x14ac:dyDescent="0.3">
      <c r="A1585" t="s">
        <v>4836</v>
      </c>
      <c r="B1585" s="5">
        <v>29</v>
      </c>
      <c r="C1585" s="5" t="str" cm="1">
        <f t="array" ref="C1585">_xlfn.IFS(worksheet[[#This Row],[age]]&lt;25,"1. Young Adulthood (18-24)",worksheet[[#This Row],[age]]&lt; 35,"2. Early Adulthood (25-34)",worksheet[[#This Row],[age]]&lt; 45,"3. Mid Adulthood (35-44)",worksheet[[#This Row],[age]]&lt; 55,"4. Mature Adulthood (45-54)",TRUE,"5. Late Adulthood/Senior (55+)")</f>
        <v>2. Early Adulthood (25-34)</v>
      </c>
      <c r="D1585" t="s">
        <v>27</v>
      </c>
      <c r="E1585" t="s">
        <v>16</v>
      </c>
      <c r="F1585" s="4">
        <v>11.19</v>
      </c>
      <c r="G1585" s="5">
        <v>11</v>
      </c>
      <c r="H1585" t="s">
        <v>17</v>
      </c>
      <c r="I1585" t="s">
        <v>24</v>
      </c>
      <c r="J1585" s="6">
        <v>8.99</v>
      </c>
      <c r="K1585">
        <v>0</v>
      </c>
      <c r="L1585" t="s">
        <v>37</v>
      </c>
      <c r="M1585" s="5">
        <v>2</v>
      </c>
      <c r="N1585" s="4">
        <v>0.93</v>
      </c>
      <c r="O1585" t="s">
        <v>47</v>
      </c>
    </row>
    <row r="1586" spans="1:15" x14ac:dyDescent="0.3">
      <c r="A1586" t="s">
        <v>4837</v>
      </c>
      <c r="B1586" s="5">
        <v>34</v>
      </c>
      <c r="C1586" s="5" t="str" cm="1">
        <f t="array" ref="C1586">_xlfn.IFS(worksheet[[#This Row],[age]]&lt;25,"1. Young Adulthood (18-24)",worksheet[[#This Row],[age]]&lt; 35,"2. Early Adulthood (25-34)",worksheet[[#This Row],[age]]&lt; 45,"3. Mid Adulthood (35-44)",worksheet[[#This Row],[age]]&lt; 55,"4. Mature Adulthood (45-54)",TRUE,"5. Late Adulthood/Senior (55+)")</f>
        <v>2. Early Adulthood (25-34)</v>
      </c>
      <c r="D1586" t="s">
        <v>41</v>
      </c>
      <c r="E1586" t="s">
        <v>16</v>
      </c>
      <c r="F1586" s="4">
        <v>1.77</v>
      </c>
      <c r="G1586" s="5">
        <v>10</v>
      </c>
      <c r="H1586" t="s">
        <v>17</v>
      </c>
      <c r="I1586" t="s">
        <v>46</v>
      </c>
      <c r="J1586" s="6">
        <v>8.99</v>
      </c>
      <c r="K1586">
        <v>1</v>
      </c>
      <c r="L1586" t="s">
        <v>61</v>
      </c>
      <c r="M1586" s="5">
        <v>2</v>
      </c>
      <c r="N1586" s="4">
        <v>0.16</v>
      </c>
      <c r="O1586" t="s">
        <v>39</v>
      </c>
    </row>
    <row r="1587" spans="1:15" x14ac:dyDescent="0.3">
      <c r="A1587" t="s">
        <v>4843</v>
      </c>
      <c r="B1587" s="5">
        <v>23</v>
      </c>
      <c r="C1587" s="5" t="str" cm="1">
        <f t="array" ref="C1587">_xlfn.IFS(worksheet[[#This Row],[age]]&lt;25,"1. Young Adulthood (18-24)",worksheet[[#This Row],[age]]&lt; 35,"2. Early Adulthood (25-34)",worksheet[[#This Row],[age]]&lt; 45,"3. Mid Adulthood (35-44)",worksheet[[#This Row],[age]]&lt; 55,"4. Mature Adulthood (45-54)",TRUE,"5. Late Adulthood/Senior (55+)")</f>
        <v>1. Young Adulthood (18-24)</v>
      </c>
      <c r="D1587" t="s">
        <v>15</v>
      </c>
      <c r="E1587" t="s">
        <v>32</v>
      </c>
      <c r="F1587" s="4">
        <v>0.24</v>
      </c>
      <c r="G1587" s="5">
        <v>23</v>
      </c>
      <c r="H1587" t="s">
        <v>28</v>
      </c>
      <c r="I1587" t="s">
        <v>24</v>
      </c>
      <c r="J1587" s="6">
        <v>17.989999999999998</v>
      </c>
      <c r="K1587">
        <v>1</v>
      </c>
      <c r="L1587" t="s">
        <v>43</v>
      </c>
      <c r="M1587" s="5">
        <v>2</v>
      </c>
      <c r="N1587" s="4">
        <v>0.01</v>
      </c>
      <c r="O1587" t="s">
        <v>34</v>
      </c>
    </row>
    <row r="1588" spans="1:15" x14ac:dyDescent="0.3">
      <c r="A1588" t="s">
        <v>4849</v>
      </c>
      <c r="B1588" s="5">
        <v>18</v>
      </c>
      <c r="C1588" s="5" t="str" cm="1">
        <f t="array" ref="C1588">_xlfn.IFS(worksheet[[#This Row],[age]]&lt;25,"1. Young Adulthood (18-24)",worksheet[[#This Row],[age]]&lt; 35,"2. Early Adulthood (25-34)",worksheet[[#This Row],[age]]&lt; 45,"3. Mid Adulthood (35-44)",worksheet[[#This Row],[age]]&lt; 55,"4. Mature Adulthood (45-54)",TRUE,"5. Late Adulthood/Senior (55+)")</f>
        <v>1. Young Adulthood (18-24)</v>
      </c>
      <c r="D1588" t="s">
        <v>27</v>
      </c>
      <c r="E1588" t="s">
        <v>22</v>
      </c>
      <c r="F1588" s="4">
        <v>6.99</v>
      </c>
      <c r="G1588" s="5">
        <v>46</v>
      </c>
      <c r="H1588" t="s">
        <v>17</v>
      </c>
      <c r="I1588" t="s">
        <v>55</v>
      </c>
      <c r="J1588" s="6">
        <v>13.99</v>
      </c>
      <c r="K1588">
        <v>1</v>
      </c>
      <c r="L1588" t="s">
        <v>29</v>
      </c>
      <c r="M1588" s="5">
        <v>5</v>
      </c>
      <c r="N1588" s="4">
        <v>0.15</v>
      </c>
      <c r="O1588" t="s">
        <v>47</v>
      </c>
    </row>
    <row r="1589" spans="1:15" x14ac:dyDescent="0.3">
      <c r="A1589" s="1" t="s">
        <v>4853</v>
      </c>
      <c r="B1589" s="5">
        <v>22</v>
      </c>
      <c r="C1589" s="5" t="str" cm="1">
        <f t="array" ref="C1589">_xlfn.IFS(worksheet[[#This Row],[age]]&lt;25,"1. Young Adulthood (18-24)",worksheet[[#This Row],[age]]&lt; 35,"2. Early Adulthood (25-34)",worksheet[[#This Row],[age]]&lt; 45,"3. Mid Adulthood (35-44)",worksheet[[#This Row],[age]]&lt; 55,"4. Mature Adulthood (45-54)",TRUE,"5. Late Adulthood/Senior (55+)")</f>
        <v>1. Young Adulthood (18-24)</v>
      </c>
      <c r="D1589" t="s">
        <v>27</v>
      </c>
      <c r="E1589" t="s">
        <v>32</v>
      </c>
      <c r="F1589" s="4">
        <v>14.35</v>
      </c>
      <c r="G1589" s="5">
        <v>1</v>
      </c>
      <c r="H1589" t="s">
        <v>23</v>
      </c>
      <c r="I1589" t="s">
        <v>46</v>
      </c>
      <c r="J1589" s="6">
        <v>17.989999999999998</v>
      </c>
      <c r="K1589">
        <v>0</v>
      </c>
      <c r="L1589" t="s">
        <v>61</v>
      </c>
      <c r="M1589" s="5">
        <v>5</v>
      </c>
      <c r="N1589" s="4">
        <v>7.17</v>
      </c>
      <c r="O1589" t="s">
        <v>25</v>
      </c>
    </row>
    <row r="1590" spans="1:15" x14ac:dyDescent="0.3">
      <c r="A1590" t="s">
        <v>4855</v>
      </c>
      <c r="B1590" s="5">
        <v>29</v>
      </c>
      <c r="C1590" s="5" t="str" cm="1">
        <f t="array" ref="C1590">_xlfn.IFS(worksheet[[#This Row],[age]]&lt;25,"1. Young Adulthood (18-24)",worksheet[[#This Row],[age]]&lt; 35,"2. Early Adulthood (25-34)",worksheet[[#This Row],[age]]&lt; 45,"3. Mid Adulthood (35-44)",worksheet[[#This Row],[age]]&lt; 55,"4. Mature Adulthood (45-54)",TRUE,"5. Late Adulthood/Senior (55+)")</f>
        <v>2. Early Adulthood (25-34)</v>
      </c>
      <c r="D1590" t="s">
        <v>27</v>
      </c>
      <c r="E1590" t="s">
        <v>32</v>
      </c>
      <c r="F1590" s="4">
        <v>8.8699999999999992</v>
      </c>
      <c r="G1590" s="5">
        <v>41</v>
      </c>
      <c r="H1590" t="s">
        <v>23</v>
      </c>
      <c r="I1590" t="s">
        <v>24</v>
      </c>
      <c r="J1590" s="6">
        <v>17.989999999999998</v>
      </c>
      <c r="K1590">
        <v>1</v>
      </c>
      <c r="L1590" t="s">
        <v>37</v>
      </c>
      <c r="M1590" s="5">
        <v>3</v>
      </c>
      <c r="N1590" s="4">
        <v>0.21</v>
      </c>
      <c r="O1590" t="s">
        <v>34</v>
      </c>
    </row>
    <row r="1591" spans="1:15" x14ac:dyDescent="0.3">
      <c r="A1591" t="s">
        <v>4862</v>
      </c>
      <c r="B1591" s="5">
        <v>33</v>
      </c>
      <c r="C1591" s="5" t="str" cm="1">
        <f t="array" ref="C1591">_xlfn.IFS(worksheet[[#This Row],[age]]&lt;25,"1. Young Adulthood (18-24)",worksheet[[#This Row],[age]]&lt; 35,"2. Early Adulthood (25-34)",worksheet[[#This Row],[age]]&lt; 45,"3. Mid Adulthood (35-44)",worksheet[[#This Row],[age]]&lt; 55,"4. Mature Adulthood (45-54)",TRUE,"5. Late Adulthood/Senior (55+)")</f>
        <v>2. Early Adulthood (25-34)</v>
      </c>
      <c r="D1591" t="s">
        <v>15</v>
      </c>
      <c r="E1591" t="s">
        <v>32</v>
      </c>
      <c r="F1591" s="4">
        <v>1.97</v>
      </c>
      <c r="G1591" s="5">
        <v>60</v>
      </c>
      <c r="H1591" t="s">
        <v>23</v>
      </c>
      <c r="I1591" t="s">
        <v>46</v>
      </c>
      <c r="J1591" s="6">
        <v>17.989999999999998</v>
      </c>
      <c r="K1591">
        <v>1</v>
      </c>
      <c r="L1591" t="s">
        <v>37</v>
      </c>
      <c r="M1591" s="5">
        <v>2</v>
      </c>
      <c r="N1591" s="4">
        <v>0.03</v>
      </c>
      <c r="O1591" t="s">
        <v>25</v>
      </c>
    </row>
    <row r="1592" spans="1:15" x14ac:dyDescent="0.3">
      <c r="A1592" t="s">
        <v>4868</v>
      </c>
      <c r="B1592" s="5">
        <v>18</v>
      </c>
      <c r="C1592" s="5" t="str" cm="1">
        <f t="array" ref="C1592">_xlfn.IFS(worksheet[[#This Row],[age]]&lt;25,"1. Young Adulthood (18-24)",worksheet[[#This Row],[age]]&lt; 35,"2. Early Adulthood (25-34)",worksheet[[#This Row],[age]]&lt; 45,"3. Mid Adulthood (35-44)",worksheet[[#This Row],[age]]&lt; 55,"4. Mature Adulthood (45-54)",TRUE,"5. Late Adulthood/Senior (55+)")</f>
        <v>1. Young Adulthood (18-24)</v>
      </c>
      <c r="D1592" t="s">
        <v>27</v>
      </c>
      <c r="E1592" t="s">
        <v>22</v>
      </c>
      <c r="F1592" s="4">
        <v>1.59</v>
      </c>
      <c r="G1592" s="5">
        <v>10</v>
      </c>
      <c r="H1592" t="s">
        <v>49</v>
      </c>
      <c r="I1592" t="s">
        <v>55</v>
      </c>
      <c r="J1592" s="6">
        <v>13.99</v>
      </c>
      <c r="K1592">
        <v>1</v>
      </c>
      <c r="L1592" t="s">
        <v>19</v>
      </c>
      <c r="M1592" s="5">
        <v>3</v>
      </c>
      <c r="N1592" s="4">
        <v>0.14000000000000001</v>
      </c>
      <c r="O1592" t="s">
        <v>52</v>
      </c>
    </row>
    <row r="1593" spans="1:15" x14ac:dyDescent="0.3">
      <c r="A1593" t="s">
        <v>4869</v>
      </c>
      <c r="B1593" s="5">
        <v>18</v>
      </c>
      <c r="C1593" s="5" t="str" cm="1">
        <f t="array" ref="C1593">_xlfn.IFS(worksheet[[#This Row],[age]]&lt;25,"1. Young Adulthood (18-24)",worksheet[[#This Row],[age]]&lt; 35,"2. Early Adulthood (25-34)",worksheet[[#This Row],[age]]&lt; 45,"3. Mid Adulthood (35-44)",worksheet[[#This Row],[age]]&lt; 55,"4. Mature Adulthood (45-54)",TRUE,"5. Late Adulthood/Senior (55+)")</f>
        <v>1. Young Adulthood (18-24)</v>
      </c>
      <c r="D1593" t="s">
        <v>27</v>
      </c>
      <c r="E1593" t="s">
        <v>22</v>
      </c>
      <c r="F1593" s="4">
        <v>1.48</v>
      </c>
      <c r="G1593" s="5">
        <v>27</v>
      </c>
      <c r="H1593" t="s">
        <v>23</v>
      </c>
      <c r="I1593" t="s">
        <v>55</v>
      </c>
      <c r="J1593" s="6">
        <v>13.99</v>
      </c>
      <c r="K1593">
        <v>0</v>
      </c>
      <c r="L1593" t="s">
        <v>37</v>
      </c>
      <c r="M1593" s="5">
        <v>4</v>
      </c>
      <c r="N1593" s="4">
        <v>0.05</v>
      </c>
      <c r="O1593" t="s">
        <v>25</v>
      </c>
    </row>
    <row r="1594" spans="1:15" x14ac:dyDescent="0.3">
      <c r="A1594" t="s">
        <v>4870</v>
      </c>
      <c r="B1594" s="5">
        <v>28</v>
      </c>
      <c r="C1594" s="5" t="str" cm="1">
        <f t="array" ref="C1594">_xlfn.IFS(worksheet[[#This Row],[age]]&lt;25,"1. Young Adulthood (18-24)",worksheet[[#This Row],[age]]&lt; 35,"2. Early Adulthood (25-34)",worksheet[[#This Row],[age]]&lt; 45,"3. Mid Adulthood (35-44)",worksheet[[#This Row],[age]]&lt; 55,"4. Mature Adulthood (45-54)",TRUE,"5. Late Adulthood/Senior (55+)")</f>
        <v>2. Early Adulthood (25-34)</v>
      </c>
      <c r="D1594" t="s">
        <v>27</v>
      </c>
      <c r="E1594" t="s">
        <v>16</v>
      </c>
      <c r="F1594" s="4">
        <v>9.1999999999999993</v>
      </c>
      <c r="G1594" s="5">
        <v>7</v>
      </c>
      <c r="H1594" t="s">
        <v>28</v>
      </c>
      <c r="I1594" t="s">
        <v>18</v>
      </c>
      <c r="J1594" s="6">
        <v>8.99</v>
      </c>
      <c r="K1594">
        <v>0</v>
      </c>
      <c r="L1594" t="s">
        <v>43</v>
      </c>
      <c r="M1594" s="5">
        <v>2</v>
      </c>
      <c r="N1594" s="4">
        <v>1.1499999999999999</v>
      </c>
      <c r="O1594" t="s">
        <v>47</v>
      </c>
    </row>
    <row r="1595" spans="1:15" x14ac:dyDescent="0.3">
      <c r="A1595" t="s">
        <v>4871</v>
      </c>
      <c r="B1595" s="5">
        <v>18</v>
      </c>
      <c r="C1595" s="5" t="str" cm="1">
        <f t="array" ref="C1595">_xlfn.IFS(worksheet[[#This Row],[age]]&lt;25,"1. Young Adulthood (18-24)",worksheet[[#This Row],[age]]&lt; 35,"2. Early Adulthood (25-34)",worksheet[[#This Row],[age]]&lt; 45,"3. Mid Adulthood (35-44)",worksheet[[#This Row],[age]]&lt; 55,"4. Mature Adulthood (45-54)",TRUE,"5. Late Adulthood/Senior (55+)")</f>
        <v>1. Young Adulthood (18-24)</v>
      </c>
      <c r="D1595" t="s">
        <v>15</v>
      </c>
      <c r="E1595" t="s">
        <v>16</v>
      </c>
      <c r="F1595" s="4">
        <v>12.33</v>
      </c>
      <c r="G1595" s="5">
        <v>22</v>
      </c>
      <c r="H1595" t="s">
        <v>70</v>
      </c>
      <c r="I1595" t="s">
        <v>57</v>
      </c>
      <c r="J1595" s="6">
        <v>8.99</v>
      </c>
      <c r="K1595">
        <v>0</v>
      </c>
      <c r="L1595" t="s">
        <v>43</v>
      </c>
      <c r="M1595" s="5">
        <v>5</v>
      </c>
      <c r="N1595" s="4">
        <v>0.54</v>
      </c>
      <c r="O1595" t="s">
        <v>47</v>
      </c>
    </row>
    <row r="1596" spans="1:15" x14ac:dyDescent="0.3">
      <c r="A1596" t="s">
        <v>4875</v>
      </c>
      <c r="B1596" s="5">
        <v>22</v>
      </c>
      <c r="C1596" s="5" t="str" cm="1">
        <f t="array" ref="C1596">_xlfn.IFS(worksheet[[#This Row],[age]]&lt;25,"1. Young Adulthood (18-24)",worksheet[[#This Row],[age]]&lt; 35,"2. Early Adulthood (25-34)",worksheet[[#This Row],[age]]&lt; 45,"3. Mid Adulthood (35-44)",worksheet[[#This Row],[age]]&lt; 55,"4. Mature Adulthood (45-54)",TRUE,"5. Late Adulthood/Senior (55+)")</f>
        <v>1. Young Adulthood (18-24)</v>
      </c>
      <c r="D1596" t="s">
        <v>41</v>
      </c>
      <c r="E1596" t="s">
        <v>22</v>
      </c>
      <c r="F1596" s="4">
        <v>13.64</v>
      </c>
      <c r="G1596" s="5">
        <v>18</v>
      </c>
      <c r="H1596" t="s">
        <v>70</v>
      </c>
      <c r="I1596" t="s">
        <v>24</v>
      </c>
      <c r="J1596" s="6">
        <v>13.99</v>
      </c>
      <c r="K1596">
        <v>0</v>
      </c>
      <c r="L1596" t="s">
        <v>37</v>
      </c>
      <c r="M1596" s="5">
        <v>4</v>
      </c>
      <c r="N1596" s="4">
        <v>0.72</v>
      </c>
      <c r="O1596" t="s">
        <v>52</v>
      </c>
    </row>
    <row r="1597" spans="1:15" x14ac:dyDescent="0.3">
      <c r="A1597" t="s">
        <v>4877</v>
      </c>
      <c r="B1597" s="5">
        <v>29</v>
      </c>
      <c r="C1597" s="5" t="str" cm="1">
        <f t="array" ref="C1597">_xlfn.IFS(worksheet[[#This Row],[age]]&lt;25,"1. Young Adulthood (18-24)",worksheet[[#This Row],[age]]&lt; 35,"2. Early Adulthood (25-34)",worksheet[[#This Row],[age]]&lt; 45,"3. Mid Adulthood (35-44)",worksheet[[#This Row],[age]]&lt; 55,"4. Mature Adulthood (45-54)",TRUE,"5. Late Adulthood/Senior (55+)")</f>
        <v>2. Early Adulthood (25-34)</v>
      </c>
      <c r="D1597" t="s">
        <v>27</v>
      </c>
      <c r="E1597" t="s">
        <v>32</v>
      </c>
      <c r="F1597" s="4">
        <v>9.33</v>
      </c>
      <c r="G1597" s="5">
        <v>9</v>
      </c>
      <c r="H1597" t="s">
        <v>23</v>
      </c>
      <c r="I1597" t="s">
        <v>24</v>
      </c>
      <c r="J1597" s="6">
        <v>17.989999999999998</v>
      </c>
      <c r="K1597">
        <v>0</v>
      </c>
      <c r="L1597" t="s">
        <v>43</v>
      </c>
      <c r="M1597" s="5">
        <v>5</v>
      </c>
      <c r="N1597" s="4">
        <v>0.93</v>
      </c>
      <c r="O1597" t="s">
        <v>34</v>
      </c>
    </row>
    <row r="1598" spans="1:15" x14ac:dyDescent="0.3">
      <c r="A1598" t="s">
        <v>4879</v>
      </c>
      <c r="B1598" s="5">
        <v>19</v>
      </c>
      <c r="C1598" s="5" t="str" cm="1">
        <f t="array" ref="C1598">_xlfn.IFS(worksheet[[#This Row],[age]]&lt;25,"1. Young Adulthood (18-24)",worksheet[[#This Row],[age]]&lt; 35,"2. Early Adulthood (25-34)",worksheet[[#This Row],[age]]&lt; 45,"3. Mid Adulthood (35-44)",worksheet[[#This Row],[age]]&lt; 55,"4. Mature Adulthood (45-54)",TRUE,"5. Late Adulthood/Senior (55+)")</f>
        <v>1. Young Adulthood (18-24)</v>
      </c>
      <c r="D1598" t="s">
        <v>41</v>
      </c>
      <c r="E1598" t="s">
        <v>32</v>
      </c>
      <c r="F1598" s="4">
        <v>3.28</v>
      </c>
      <c r="G1598" s="5">
        <v>30</v>
      </c>
      <c r="H1598" t="s">
        <v>49</v>
      </c>
      <c r="I1598" t="s">
        <v>57</v>
      </c>
      <c r="J1598" s="6">
        <v>17.989999999999998</v>
      </c>
      <c r="K1598">
        <v>1</v>
      </c>
      <c r="L1598" t="s">
        <v>29</v>
      </c>
      <c r="M1598" s="5">
        <v>5</v>
      </c>
      <c r="N1598" s="4">
        <v>0.11</v>
      </c>
      <c r="O1598" t="s">
        <v>30</v>
      </c>
    </row>
    <row r="1599" spans="1:15" x14ac:dyDescent="0.3">
      <c r="A1599" t="s">
        <v>4881</v>
      </c>
      <c r="B1599" s="5">
        <v>34</v>
      </c>
      <c r="C1599" s="5" t="str" cm="1">
        <f t="array" ref="C1599">_xlfn.IFS(worksheet[[#This Row],[age]]&lt;25,"1. Young Adulthood (18-24)",worksheet[[#This Row],[age]]&lt; 35,"2. Early Adulthood (25-34)",worksheet[[#This Row],[age]]&lt; 45,"3. Mid Adulthood (35-44)",worksheet[[#This Row],[age]]&lt; 55,"4. Mature Adulthood (45-54)",TRUE,"5. Late Adulthood/Senior (55+)")</f>
        <v>2. Early Adulthood (25-34)</v>
      </c>
      <c r="D1599" t="s">
        <v>41</v>
      </c>
      <c r="E1599" t="s">
        <v>16</v>
      </c>
      <c r="F1599" s="4">
        <v>11.2</v>
      </c>
      <c r="G1599" s="5">
        <v>48</v>
      </c>
      <c r="H1599" t="s">
        <v>17</v>
      </c>
      <c r="I1599" t="s">
        <v>55</v>
      </c>
      <c r="J1599" s="6">
        <v>8.99</v>
      </c>
      <c r="K1599">
        <v>1</v>
      </c>
      <c r="L1599" t="s">
        <v>29</v>
      </c>
      <c r="M1599" s="5">
        <v>4</v>
      </c>
      <c r="N1599" s="4">
        <v>0.23</v>
      </c>
      <c r="O1599" t="s">
        <v>47</v>
      </c>
    </row>
    <row r="1600" spans="1:15" x14ac:dyDescent="0.3">
      <c r="A1600" t="s">
        <v>4882</v>
      </c>
      <c r="B1600" s="5">
        <v>23</v>
      </c>
      <c r="C1600" s="5" t="str" cm="1">
        <f t="array" ref="C1600">_xlfn.IFS(worksheet[[#This Row],[age]]&lt;25,"1. Young Adulthood (18-24)",worksheet[[#This Row],[age]]&lt; 35,"2. Early Adulthood (25-34)",worksheet[[#This Row],[age]]&lt; 45,"3. Mid Adulthood (35-44)",worksheet[[#This Row],[age]]&lt; 55,"4. Mature Adulthood (45-54)",TRUE,"5. Late Adulthood/Senior (55+)")</f>
        <v>1. Young Adulthood (18-24)</v>
      </c>
      <c r="D1600" t="s">
        <v>41</v>
      </c>
      <c r="E1600" t="s">
        <v>22</v>
      </c>
      <c r="F1600" s="4">
        <v>23.96</v>
      </c>
      <c r="G1600" s="5">
        <v>32</v>
      </c>
      <c r="H1600" t="s">
        <v>33</v>
      </c>
      <c r="I1600" t="s">
        <v>46</v>
      </c>
      <c r="J1600" s="6">
        <v>13.99</v>
      </c>
      <c r="K1600">
        <v>0</v>
      </c>
      <c r="L1600" t="s">
        <v>61</v>
      </c>
      <c r="M1600" s="5">
        <v>5</v>
      </c>
      <c r="N1600" s="4">
        <v>0.73</v>
      </c>
      <c r="O1600" t="s">
        <v>52</v>
      </c>
    </row>
    <row r="1601" spans="1:15" x14ac:dyDescent="0.3">
      <c r="A1601" t="s">
        <v>4885</v>
      </c>
      <c r="B1601" s="5">
        <v>22</v>
      </c>
      <c r="C1601" s="5" t="str" cm="1">
        <f t="array" ref="C1601">_xlfn.IFS(worksheet[[#This Row],[age]]&lt;25,"1. Young Adulthood (18-24)",worksheet[[#This Row],[age]]&lt; 35,"2. Early Adulthood (25-34)",worksheet[[#This Row],[age]]&lt; 45,"3. Mid Adulthood (35-44)",worksheet[[#This Row],[age]]&lt; 55,"4. Mature Adulthood (45-54)",TRUE,"5. Late Adulthood/Senior (55+)")</f>
        <v>1. Young Adulthood (18-24)</v>
      </c>
      <c r="D1601" t="s">
        <v>27</v>
      </c>
      <c r="E1601" t="s">
        <v>32</v>
      </c>
      <c r="F1601" s="4">
        <v>5.64</v>
      </c>
      <c r="G1601" s="5">
        <v>29</v>
      </c>
      <c r="H1601" t="s">
        <v>33</v>
      </c>
      <c r="I1601" t="s">
        <v>55</v>
      </c>
      <c r="J1601" s="6">
        <v>17.989999999999998</v>
      </c>
      <c r="K1601">
        <v>0</v>
      </c>
      <c r="L1601" t="s">
        <v>37</v>
      </c>
      <c r="M1601" s="5">
        <v>1</v>
      </c>
      <c r="N1601" s="4">
        <v>0.19</v>
      </c>
      <c r="O1601" t="s">
        <v>47</v>
      </c>
    </row>
    <row r="1602" spans="1:15" x14ac:dyDescent="0.3">
      <c r="A1602" t="s">
        <v>4889</v>
      </c>
      <c r="B1602" s="5">
        <v>31</v>
      </c>
      <c r="C1602" s="5" t="str" cm="1">
        <f t="array" ref="C1602">_xlfn.IFS(worksheet[[#This Row],[age]]&lt;25,"1. Young Adulthood (18-24)",worksheet[[#This Row],[age]]&lt; 35,"2. Early Adulthood (25-34)",worksheet[[#This Row],[age]]&lt; 45,"3. Mid Adulthood (35-44)",worksheet[[#This Row],[age]]&lt; 55,"4. Mature Adulthood (45-54)",TRUE,"5. Late Adulthood/Senior (55+)")</f>
        <v>2. Early Adulthood (25-34)</v>
      </c>
      <c r="D1602" t="s">
        <v>15</v>
      </c>
      <c r="E1602" t="s">
        <v>32</v>
      </c>
      <c r="F1602" s="4">
        <v>16.79</v>
      </c>
      <c r="G1602" s="5">
        <v>42</v>
      </c>
      <c r="H1602" t="s">
        <v>23</v>
      </c>
      <c r="I1602" t="s">
        <v>57</v>
      </c>
      <c r="J1602" s="6">
        <v>17.989999999999998</v>
      </c>
      <c r="K1602">
        <v>1</v>
      </c>
      <c r="L1602" t="s">
        <v>19</v>
      </c>
      <c r="M1602" s="5">
        <v>1</v>
      </c>
      <c r="N1602" s="4">
        <v>0.39</v>
      </c>
      <c r="O1602" t="s">
        <v>30</v>
      </c>
    </row>
    <row r="1603" spans="1:15" x14ac:dyDescent="0.3">
      <c r="A1603" t="s">
        <v>4891</v>
      </c>
      <c r="B1603" s="5">
        <v>28</v>
      </c>
      <c r="C1603" s="5" t="str" cm="1">
        <f t="array" ref="C1603">_xlfn.IFS(worksheet[[#This Row],[age]]&lt;25,"1. Young Adulthood (18-24)",worksheet[[#This Row],[age]]&lt; 35,"2. Early Adulthood (25-34)",worksheet[[#This Row],[age]]&lt; 45,"3. Mid Adulthood (35-44)",worksheet[[#This Row],[age]]&lt; 55,"4. Mature Adulthood (45-54)",TRUE,"5. Late Adulthood/Senior (55+)")</f>
        <v>2. Early Adulthood (25-34)</v>
      </c>
      <c r="D1603" t="s">
        <v>27</v>
      </c>
      <c r="E1603" t="s">
        <v>22</v>
      </c>
      <c r="F1603" s="4">
        <v>25.72</v>
      </c>
      <c r="G1603" s="5">
        <v>60</v>
      </c>
      <c r="H1603" t="s">
        <v>23</v>
      </c>
      <c r="I1603" t="s">
        <v>57</v>
      </c>
      <c r="J1603" s="6">
        <v>13.99</v>
      </c>
      <c r="K1603">
        <v>0</v>
      </c>
      <c r="L1603" t="s">
        <v>29</v>
      </c>
      <c r="M1603" s="5">
        <v>3</v>
      </c>
      <c r="N1603" s="4">
        <v>0.42</v>
      </c>
      <c r="O1603" t="s">
        <v>47</v>
      </c>
    </row>
    <row r="1604" spans="1:15" x14ac:dyDescent="0.3">
      <c r="A1604" t="s">
        <v>4898</v>
      </c>
      <c r="B1604" s="5">
        <v>33</v>
      </c>
      <c r="C1604" s="5" t="str" cm="1">
        <f t="array" ref="C1604">_xlfn.IFS(worksheet[[#This Row],[age]]&lt;25,"1. Young Adulthood (18-24)",worksheet[[#This Row],[age]]&lt; 35,"2. Early Adulthood (25-34)",worksheet[[#This Row],[age]]&lt; 45,"3. Mid Adulthood (35-44)",worksheet[[#This Row],[age]]&lt; 55,"4. Mature Adulthood (45-54)",TRUE,"5. Late Adulthood/Senior (55+)")</f>
        <v>2. Early Adulthood (25-34)</v>
      </c>
      <c r="D1604" t="s">
        <v>41</v>
      </c>
      <c r="E1604" t="s">
        <v>22</v>
      </c>
      <c r="F1604" s="4">
        <v>14.5</v>
      </c>
      <c r="G1604" s="5">
        <v>60</v>
      </c>
      <c r="H1604" t="s">
        <v>70</v>
      </c>
      <c r="I1604" t="s">
        <v>55</v>
      </c>
      <c r="J1604" s="6">
        <v>13.99</v>
      </c>
      <c r="K1604">
        <v>0</v>
      </c>
      <c r="L1604" t="s">
        <v>43</v>
      </c>
      <c r="M1604" s="5">
        <v>4</v>
      </c>
      <c r="N1604" s="4">
        <v>0.24</v>
      </c>
      <c r="O1604" t="s">
        <v>20</v>
      </c>
    </row>
    <row r="1605" spans="1:15" x14ac:dyDescent="0.3">
      <c r="A1605" t="s">
        <v>4899</v>
      </c>
      <c r="B1605" s="5">
        <v>22</v>
      </c>
      <c r="C1605" s="5" t="str" cm="1">
        <f t="array" ref="C1605">_xlfn.IFS(worksheet[[#This Row],[age]]&lt;25,"1. Young Adulthood (18-24)",worksheet[[#This Row],[age]]&lt; 35,"2. Early Adulthood (25-34)",worksheet[[#This Row],[age]]&lt; 45,"3. Mid Adulthood (35-44)",worksheet[[#This Row],[age]]&lt; 55,"4. Mature Adulthood (45-54)",TRUE,"5. Late Adulthood/Senior (55+)")</f>
        <v>1. Young Adulthood (18-24)</v>
      </c>
      <c r="D1605" t="s">
        <v>41</v>
      </c>
      <c r="E1605" t="s">
        <v>32</v>
      </c>
      <c r="F1605" s="4">
        <v>33.82</v>
      </c>
      <c r="G1605" s="5">
        <v>25</v>
      </c>
      <c r="H1605" t="s">
        <v>17</v>
      </c>
      <c r="I1605" t="s">
        <v>46</v>
      </c>
      <c r="J1605" s="6">
        <v>17.989999999999998</v>
      </c>
      <c r="K1605">
        <v>0</v>
      </c>
      <c r="L1605" t="s">
        <v>43</v>
      </c>
      <c r="M1605" s="5">
        <v>5</v>
      </c>
      <c r="N1605" s="4">
        <v>1.3</v>
      </c>
      <c r="O1605" t="s">
        <v>30</v>
      </c>
    </row>
    <row r="1606" spans="1:15" x14ac:dyDescent="0.3">
      <c r="A1606" t="s">
        <v>4900</v>
      </c>
      <c r="B1606" s="5">
        <v>19</v>
      </c>
      <c r="C1606" s="5" t="str" cm="1">
        <f t="array" ref="C1606">_xlfn.IFS(worksheet[[#This Row],[age]]&lt;25,"1. Young Adulthood (18-24)",worksheet[[#This Row],[age]]&lt; 35,"2. Early Adulthood (25-34)",worksheet[[#This Row],[age]]&lt; 45,"3. Mid Adulthood (35-44)",worksheet[[#This Row],[age]]&lt; 55,"4. Mature Adulthood (45-54)",TRUE,"5. Late Adulthood/Senior (55+)")</f>
        <v>1. Young Adulthood (18-24)</v>
      </c>
      <c r="D1606" t="s">
        <v>15</v>
      </c>
      <c r="E1606" t="s">
        <v>22</v>
      </c>
      <c r="F1606" s="4">
        <v>13.27</v>
      </c>
      <c r="G1606" s="5">
        <v>35</v>
      </c>
      <c r="H1606" t="s">
        <v>70</v>
      </c>
      <c r="I1606" t="s">
        <v>24</v>
      </c>
      <c r="J1606" s="6">
        <v>13.99</v>
      </c>
      <c r="K1606">
        <v>0</v>
      </c>
      <c r="L1606" t="s">
        <v>37</v>
      </c>
      <c r="M1606" s="5">
        <v>4</v>
      </c>
      <c r="N1606" s="4">
        <v>0.37</v>
      </c>
      <c r="O1606" t="s">
        <v>25</v>
      </c>
    </row>
    <row r="1607" spans="1:15" x14ac:dyDescent="0.3">
      <c r="A1607" t="s">
        <v>4902</v>
      </c>
      <c r="B1607" s="5">
        <v>23</v>
      </c>
      <c r="C1607" s="5" t="str" cm="1">
        <f t="array" ref="C1607">_xlfn.IFS(worksheet[[#This Row],[age]]&lt;25,"1. Young Adulthood (18-24)",worksheet[[#This Row],[age]]&lt; 35,"2. Early Adulthood (25-34)",worksheet[[#This Row],[age]]&lt; 45,"3. Mid Adulthood (35-44)",worksheet[[#This Row],[age]]&lt; 55,"4. Mature Adulthood (45-54)",TRUE,"5. Late Adulthood/Senior (55+)")</f>
        <v>1. Young Adulthood (18-24)</v>
      </c>
      <c r="D1607" t="s">
        <v>41</v>
      </c>
      <c r="E1607" t="s">
        <v>16</v>
      </c>
      <c r="F1607" s="4">
        <v>17.27</v>
      </c>
      <c r="G1607" s="5">
        <v>10</v>
      </c>
      <c r="H1607" t="s">
        <v>23</v>
      </c>
      <c r="I1607" t="s">
        <v>18</v>
      </c>
      <c r="J1607" s="6">
        <v>8.99</v>
      </c>
      <c r="K1607">
        <v>0</v>
      </c>
      <c r="L1607" t="s">
        <v>43</v>
      </c>
      <c r="M1607" s="5">
        <v>4</v>
      </c>
      <c r="N1607" s="4">
        <v>1.57</v>
      </c>
      <c r="O1607" t="s">
        <v>39</v>
      </c>
    </row>
    <row r="1608" spans="1:15" x14ac:dyDescent="0.3">
      <c r="A1608" t="s">
        <v>4903</v>
      </c>
      <c r="B1608" s="5">
        <v>23</v>
      </c>
      <c r="C1608" s="5" t="str" cm="1">
        <f t="array" ref="C1608">_xlfn.IFS(worksheet[[#This Row],[age]]&lt;25,"1. Young Adulthood (18-24)",worksheet[[#This Row],[age]]&lt; 35,"2. Early Adulthood (25-34)",worksheet[[#This Row],[age]]&lt; 45,"3. Mid Adulthood (35-44)",worksheet[[#This Row],[age]]&lt; 55,"4. Mature Adulthood (45-54)",TRUE,"5. Late Adulthood/Senior (55+)")</f>
        <v>1. Young Adulthood (18-24)</v>
      </c>
      <c r="D1608" t="s">
        <v>41</v>
      </c>
      <c r="E1608" t="s">
        <v>32</v>
      </c>
      <c r="F1608" s="4">
        <v>4.93</v>
      </c>
      <c r="G1608" s="5">
        <v>38</v>
      </c>
      <c r="H1608" t="s">
        <v>17</v>
      </c>
      <c r="I1608" t="s">
        <v>55</v>
      </c>
      <c r="J1608" s="6">
        <v>17.989999999999998</v>
      </c>
      <c r="K1608">
        <v>1</v>
      </c>
      <c r="L1608" t="s">
        <v>37</v>
      </c>
      <c r="M1608" s="5">
        <v>4</v>
      </c>
      <c r="N1608" s="4">
        <v>0.13</v>
      </c>
      <c r="O1608" t="s">
        <v>20</v>
      </c>
    </row>
    <row r="1609" spans="1:15" x14ac:dyDescent="0.3">
      <c r="A1609" t="s">
        <v>4905</v>
      </c>
      <c r="B1609" s="5">
        <v>20</v>
      </c>
      <c r="C1609" s="5" t="str" cm="1">
        <f t="array" ref="C1609">_xlfn.IFS(worksheet[[#This Row],[age]]&lt;25,"1. Young Adulthood (18-24)",worksheet[[#This Row],[age]]&lt; 35,"2. Early Adulthood (25-34)",worksheet[[#This Row],[age]]&lt; 45,"3. Mid Adulthood (35-44)",worksheet[[#This Row],[age]]&lt; 55,"4. Mature Adulthood (45-54)",TRUE,"5. Late Adulthood/Senior (55+)")</f>
        <v>1. Young Adulthood (18-24)</v>
      </c>
      <c r="D1609" t="s">
        <v>27</v>
      </c>
      <c r="E1609" t="s">
        <v>22</v>
      </c>
      <c r="F1609" s="4">
        <v>2.4300000000000002</v>
      </c>
      <c r="G1609" s="5">
        <v>48</v>
      </c>
      <c r="H1609" t="s">
        <v>49</v>
      </c>
      <c r="I1609" t="s">
        <v>24</v>
      </c>
      <c r="J1609" s="6">
        <v>13.99</v>
      </c>
      <c r="K1609">
        <v>1</v>
      </c>
      <c r="L1609" t="s">
        <v>37</v>
      </c>
      <c r="M1609" s="5">
        <v>4</v>
      </c>
      <c r="N1609" s="4">
        <v>0.05</v>
      </c>
      <c r="O1609" t="s">
        <v>25</v>
      </c>
    </row>
    <row r="1610" spans="1:15" x14ac:dyDescent="0.3">
      <c r="A1610" t="s">
        <v>4909</v>
      </c>
      <c r="B1610" s="5">
        <v>31</v>
      </c>
      <c r="C1610" s="5" t="str" cm="1">
        <f t="array" ref="C1610">_xlfn.IFS(worksheet[[#This Row],[age]]&lt;25,"1. Young Adulthood (18-24)",worksheet[[#This Row],[age]]&lt; 35,"2. Early Adulthood (25-34)",worksheet[[#This Row],[age]]&lt; 45,"3. Mid Adulthood (35-44)",worksheet[[#This Row],[age]]&lt; 55,"4. Mature Adulthood (45-54)",TRUE,"5. Late Adulthood/Senior (55+)")</f>
        <v>2. Early Adulthood (25-34)</v>
      </c>
      <c r="D1610" t="s">
        <v>41</v>
      </c>
      <c r="E1610" t="s">
        <v>22</v>
      </c>
      <c r="F1610" s="4">
        <v>10.69</v>
      </c>
      <c r="G1610" s="5">
        <v>20</v>
      </c>
      <c r="H1610" t="s">
        <v>17</v>
      </c>
      <c r="I1610" t="s">
        <v>57</v>
      </c>
      <c r="J1610" s="6">
        <v>13.99</v>
      </c>
      <c r="K1610">
        <v>0</v>
      </c>
      <c r="L1610" t="s">
        <v>19</v>
      </c>
      <c r="M1610" s="5">
        <v>4</v>
      </c>
      <c r="N1610" s="4">
        <v>0.51</v>
      </c>
      <c r="O1610" t="s">
        <v>47</v>
      </c>
    </row>
    <row r="1611" spans="1:15" x14ac:dyDescent="0.3">
      <c r="A1611" t="s">
        <v>4911</v>
      </c>
      <c r="B1611" s="5">
        <v>23</v>
      </c>
      <c r="C1611" s="5" t="str" cm="1">
        <f t="array" ref="C1611">_xlfn.IFS(worksheet[[#This Row],[age]]&lt;25,"1. Young Adulthood (18-24)",worksheet[[#This Row],[age]]&lt; 35,"2. Early Adulthood (25-34)",worksheet[[#This Row],[age]]&lt; 45,"3. Mid Adulthood (35-44)",worksheet[[#This Row],[age]]&lt; 55,"4. Mature Adulthood (45-54)",TRUE,"5. Late Adulthood/Senior (55+)")</f>
        <v>1. Young Adulthood (18-24)</v>
      </c>
      <c r="D1611" t="s">
        <v>15</v>
      </c>
      <c r="E1611" t="s">
        <v>32</v>
      </c>
      <c r="F1611" s="4">
        <v>4.05</v>
      </c>
      <c r="G1611" s="5">
        <v>10</v>
      </c>
      <c r="H1611" t="s">
        <v>28</v>
      </c>
      <c r="I1611" t="s">
        <v>24</v>
      </c>
      <c r="J1611" s="6">
        <v>17.989999999999998</v>
      </c>
      <c r="K1611">
        <v>1</v>
      </c>
      <c r="L1611" t="s">
        <v>43</v>
      </c>
      <c r="M1611" s="5">
        <v>1</v>
      </c>
      <c r="N1611" s="4">
        <v>0.37</v>
      </c>
      <c r="O1611" t="s">
        <v>25</v>
      </c>
    </row>
    <row r="1612" spans="1:15" x14ac:dyDescent="0.3">
      <c r="A1612" t="s">
        <v>4917</v>
      </c>
      <c r="B1612" s="5">
        <v>20</v>
      </c>
      <c r="C1612" s="5" t="str" cm="1">
        <f t="array" ref="C1612">_xlfn.IFS(worksheet[[#This Row],[age]]&lt;25,"1. Young Adulthood (18-24)",worksheet[[#This Row],[age]]&lt; 35,"2. Early Adulthood (25-34)",worksheet[[#This Row],[age]]&lt; 45,"3. Mid Adulthood (35-44)",worksheet[[#This Row],[age]]&lt; 55,"4. Mature Adulthood (45-54)",TRUE,"5. Late Adulthood/Senior (55+)")</f>
        <v>1. Young Adulthood (18-24)</v>
      </c>
      <c r="D1612" t="s">
        <v>41</v>
      </c>
      <c r="E1612" t="s">
        <v>22</v>
      </c>
      <c r="F1612" s="4">
        <v>22.07</v>
      </c>
      <c r="G1612" s="5">
        <v>39</v>
      </c>
      <c r="H1612" t="s">
        <v>17</v>
      </c>
      <c r="I1612" t="s">
        <v>18</v>
      </c>
      <c r="J1612" s="6">
        <v>13.99</v>
      </c>
      <c r="K1612">
        <v>0</v>
      </c>
      <c r="L1612" t="s">
        <v>43</v>
      </c>
      <c r="M1612" s="5">
        <v>4</v>
      </c>
      <c r="N1612" s="4">
        <v>0.55000000000000004</v>
      </c>
      <c r="O1612" t="s">
        <v>34</v>
      </c>
    </row>
    <row r="1613" spans="1:15" x14ac:dyDescent="0.3">
      <c r="A1613" t="s">
        <v>4920</v>
      </c>
      <c r="B1613" s="5">
        <v>20</v>
      </c>
      <c r="C1613" s="5" t="str" cm="1">
        <f t="array" ref="C1613">_xlfn.IFS(worksheet[[#This Row],[age]]&lt;25,"1. Young Adulthood (18-24)",worksheet[[#This Row],[age]]&lt; 35,"2. Early Adulthood (25-34)",worksheet[[#This Row],[age]]&lt; 45,"3. Mid Adulthood (35-44)",worksheet[[#This Row],[age]]&lt; 55,"4. Mature Adulthood (45-54)",TRUE,"5. Late Adulthood/Senior (55+)")</f>
        <v>1. Young Adulthood (18-24)</v>
      </c>
      <c r="D1613" t="s">
        <v>15</v>
      </c>
      <c r="E1613" t="s">
        <v>22</v>
      </c>
      <c r="F1613" s="4">
        <v>5.41</v>
      </c>
      <c r="G1613" s="5">
        <v>38</v>
      </c>
      <c r="H1613" t="s">
        <v>70</v>
      </c>
      <c r="I1613" t="s">
        <v>18</v>
      </c>
      <c r="J1613" s="6">
        <v>13.99</v>
      </c>
      <c r="K1613">
        <v>1</v>
      </c>
      <c r="L1613" t="s">
        <v>43</v>
      </c>
      <c r="M1613" s="5">
        <v>1</v>
      </c>
      <c r="N1613" s="4">
        <v>0.14000000000000001</v>
      </c>
      <c r="O1613" t="s">
        <v>25</v>
      </c>
    </row>
    <row r="1614" spans="1:15" x14ac:dyDescent="0.3">
      <c r="A1614" t="s">
        <v>4929</v>
      </c>
      <c r="B1614" s="5">
        <v>25</v>
      </c>
      <c r="C1614" s="5" t="str" cm="1">
        <f t="array" ref="C1614">_xlfn.IFS(worksheet[[#This Row],[age]]&lt;25,"1. Young Adulthood (18-24)",worksheet[[#This Row],[age]]&lt; 35,"2. Early Adulthood (25-34)",worksheet[[#This Row],[age]]&lt; 45,"3. Mid Adulthood (35-44)",worksheet[[#This Row],[age]]&lt; 55,"4. Mature Adulthood (45-54)",TRUE,"5. Late Adulthood/Senior (55+)")</f>
        <v>2. Early Adulthood (25-34)</v>
      </c>
      <c r="D1614" t="s">
        <v>27</v>
      </c>
      <c r="E1614" t="s">
        <v>22</v>
      </c>
      <c r="F1614" s="4">
        <v>7.36</v>
      </c>
      <c r="G1614" s="5">
        <v>1</v>
      </c>
      <c r="H1614" t="s">
        <v>70</v>
      </c>
      <c r="I1614" t="s">
        <v>24</v>
      </c>
      <c r="J1614" s="6">
        <v>13.99</v>
      </c>
      <c r="K1614">
        <v>0</v>
      </c>
      <c r="L1614" t="s">
        <v>43</v>
      </c>
      <c r="M1614" s="5">
        <v>4</v>
      </c>
      <c r="N1614" s="4">
        <v>3.68</v>
      </c>
      <c r="O1614" t="s">
        <v>47</v>
      </c>
    </row>
    <row r="1615" spans="1:15" x14ac:dyDescent="0.3">
      <c r="A1615" t="s">
        <v>4930</v>
      </c>
      <c r="B1615" s="5">
        <v>29</v>
      </c>
      <c r="C1615" s="5" t="str" cm="1">
        <f t="array" ref="C1615">_xlfn.IFS(worksheet[[#This Row],[age]]&lt;25,"1. Young Adulthood (18-24)",worksheet[[#This Row],[age]]&lt; 35,"2. Early Adulthood (25-34)",worksheet[[#This Row],[age]]&lt; 45,"3. Mid Adulthood (35-44)",worksheet[[#This Row],[age]]&lt; 55,"4. Mature Adulthood (45-54)",TRUE,"5. Late Adulthood/Senior (55+)")</f>
        <v>2. Early Adulthood (25-34)</v>
      </c>
      <c r="D1615" t="s">
        <v>15</v>
      </c>
      <c r="E1615" t="s">
        <v>22</v>
      </c>
      <c r="F1615" s="4">
        <v>14.85</v>
      </c>
      <c r="G1615" s="5">
        <v>39</v>
      </c>
      <c r="H1615" t="s">
        <v>17</v>
      </c>
      <c r="I1615" t="s">
        <v>24</v>
      </c>
      <c r="J1615" s="6">
        <v>13.99</v>
      </c>
      <c r="K1615">
        <v>0</v>
      </c>
      <c r="L1615" t="s">
        <v>61</v>
      </c>
      <c r="M1615" s="5">
        <v>5</v>
      </c>
      <c r="N1615" s="4">
        <v>0.37</v>
      </c>
      <c r="O1615" t="s">
        <v>30</v>
      </c>
    </row>
    <row r="1616" spans="1:15" x14ac:dyDescent="0.3">
      <c r="A1616" t="s">
        <v>4935</v>
      </c>
      <c r="B1616" s="5">
        <v>29</v>
      </c>
      <c r="C1616" s="5" t="str" cm="1">
        <f t="array" ref="C1616">_xlfn.IFS(worksheet[[#This Row],[age]]&lt;25,"1. Young Adulthood (18-24)",worksheet[[#This Row],[age]]&lt; 35,"2. Early Adulthood (25-34)",worksheet[[#This Row],[age]]&lt; 45,"3. Mid Adulthood (35-44)",worksheet[[#This Row],[age]]&lt; 55,"4. Mature Adulthood (45-54)",TRUE,"5. Late Adulthood/Senior (55+)")</f>
        <v>2. Early Adulthood (25-34)</v>
      </c>
      <c r="D1616" t="s">
        <v>41</v>
      </c>
      <c r="E1616" t="s">
        <v>16</v>
      </c>
      <c r="F1616" s="4">
        <v>5.94</v>
      </c>
      <c r="G1616" s="5">
        <v>38</v>
      </c>
      <c r="H1616" t="s">
        <v>49</v>
      </c>
      <c r="I1616" t="s">
        <v>57</v>
      </c>
      <c r="J1616" s="6">
        <v>8.99</v>
      </c>
      <c r="K1616">
        <v>1</v>
      </c>
      <c r="L1616" t="s">
        <v>43</v>
      </c>
      <c r="M1616" s="5">
        <v>3</v>
      </c>
      <c r="N1616" s="4">
        <v>0.15</v>
      </c>
      <c r="O1616" t="s">
        <v>34</v>
      </c>
    </row>
    <row r="1617" spans="1:15" x14ac:dyDescent="0.3">
      <c r="A1617" t="s">
        <v>4937</v>
      </c>
      <c r="B1617" s="5">
        <v>28</v>
      </c>
      <c r="C1617" s="5" t="str" cm="1">
        <f t="array" ref="C1617">_xlfn.IFS(worksheet[[#This Row],[age]]&lt;25,"1. Young Adulthood (18-24)",worksheet[[#This Row],[age]]&lt; 35,"2. Early Adulthood (25-34)",worksheet[[#This Row],[age]]&lt; 45,"3. Mid Adulthood (35-44)",worksheet[[#This Row],[age]]&lt; 55,"4. Mature Adulthood (45-54)",TRUE,"5. Late Adulthood/Senior (55+)")</f>
        <v>2. Early Adulthood (25-34)</v>
      </c>
      <c r="D1617" t="s">
        <v>15</v>
      </c>
      <c r="E1617" t="s">
        <v>16</v>
      </c>
      <c r="F1617" s="4">
        <v>1.58</v>
      </c>
      <c r="G1617" s="5">
        <v>27</v>
      </c>
      <c r="H1617" t="s">
        <v>70</v>
      </c>
      <c r="I1617" t="s">
        <v>46</v>
      </c>
      <c r="J1617" s="6">
        <v>8.99</v>
      </c>
      <c r="K1617">
        <v>1</v>
      </c>
      <c r="L1617" t="s">
        <v>61</v>
      </c>
      <c r="M1617" s="5">
        <v>5</v>
      </c>
      <c r="N1617" s="4">
        <v>0.06</v>
      </c>
      <c r="O1617" t="s">
        <v>39</v>
      </c>
    </row>
    <row r="1618" spans="1:15" x14ac:dyDescent="0.3">
      <c r="A1618" t="s">
        <v>4940</v>
      </c>
      <c r="B1618" s="5">
        <v>21</v>
      </c>
      <c r="C1618" s="5" t="str" cm="1">
        <f t="array" ref="C1618">_xlfn.IFS(worksheet[[#This Row],[age]]&lt;25,"1. Young Adulthood (18-24)",worksheet[[#This Row],[age]]&lt; 35,"2. Early Adulthood (25-34)",worksheet[[#This Row],[age]]&lt; 45,"3. Mid Adulthood (35-44)",worksheet[[#This Row],[age]]&lt; 55,"4. Mature Adulthood (45-54)",TRUE,"5. Late Adulthood/Senior (55+)")</f>
        <v>1. Young Adulthood (18-24)</v>
      </c>
      <c r="D1618" t="s">
        <v>15</v>
      </c>
      <c r="E1618" t="s">
        <v>32</v>
      </c>
      <c r="F1618" s="4">
        <v>8.16</v>
      </c>
      <c r="G1618" s="5">
        <v>49</v>
      </c>
      <c r="H1618" t="s">
        <v>33</v>
      </c>
      <c r="I1618" t="s">
        <v>55</v>
      </c>
      <c r="J1618" s="6">
        <v>17.989999999999998</v>
      </c>
      <c r="K1618">
        <v>1</v>
      </c>
      <c r="L1618" t="s">
        <v>43</v>
      </c>
      <c r="M1618" s="5">
        <v>3</v>
      </c>
      <c r="N1618" s="4">
        <v>0.16</v>
      </c>
      <c r="O1618" t="s">
        <v>30</v>
      </c>
    </row>
    <row r="1619" spans="1:15" x14ac:dyDescent="0.3">
      <c r="A1619" t="s">
        <v>4942</v>
      </c>
      <c r="B1619" s="5">
        <v>23</v>
      </c>
      <c r="C1619" s="5" t="str" cm="1">
        <f t="array" ref="C1619">_xlfn.IFS(worksheet[[#This Row],[age]]&lt;25,"1. Young Adulthood (18-24)",worksheet[[#This Row],[age]]&lt; 35,"2. Early Adulthood (25-34)",worksheet[[#This Row],[age]]&lt; 45,"3. Mid Adulthood (35-44)",worksheet[[#This Row],[age]]&lt; 55,"4. Mature Adulthood (45-54)",TRUE,"5. Late Adulthood/Senior (55+)")</f>
        <v>1. Young Adulthood (18-24)</v>
      </c>
      <c r="D1619" t="s">
        <v>15</v>
      </c>
      <c r="E1619" t="s">
        <v>32</v>
      </c>
      <c r="F1619" s="4">
        <v>4.59</v>
      </c>
      <c r="G1619" s="5">
        <v>35</v>
      </c>
      <c r="H1619" t="s">
        <v>70</v>
      </c>
      <c r="I1619" t="s">
        <v>46</v>
      </c>
      <c r="J1619" s="6">
        <v>17.989999999999998</v>
      </c>
      <c r="K1619">
        <v>1</v>
      </c>
      <c r="L1619" t="s">
        <v>29</v>
      </c>
      <c r="M1619" s="5">
        <v>5</v>
      </c>
      <c r="N1619" s="4">
        <v>0.13</v>
      </c>
      <c r="O1619" t="s">
        <v>34</v>
      </c>
    </row>
    <row r="1620" spans="1:15" x14ac:dyDescent="0.3">
      <c r="A1620" t="s">
        <v>4943</v>
      </c>
      <c r="B1620" s="5">
        <v>24</v>
      </c>
      <c r="C1620" s="5" t="str" cm="1">
        <f t="array" ref="C1620">_xlfn.IFS(worksheet[[#This Row],[age]]&lt;25,"1. Young Adulthood (18-24)",worksheet[[#This Row],[age]]&lt; 35,"2. Early Adulthood (25-34)",worksheet[[#This Row],[age]]&lt; 45,"3. Mid Adulthood (35-44)",worksheet[[#This Row],[age]]&lt; 55,"4. Mature Adulthood (45-54)",TRUE,"5. Late Adulthood/Senior (55+)")</f>
        <v>1. Young Adulthood (18-24)</v>
      </c>
      <c r="D1620" t="s">
        <v>41</v>
      </c>
      <c r="E1620" t="s">
        <v>16</v>
      </c>
      <c r="F1620" s="4">
        <v>14.73</v>
      </c>
      <c r="G1620" s="5">
        <v>31</v>
      </c>
      <c r="H1620" t="s">
        <v>17</v>
      </c>
      <c r="I1620" t="s">
        <v>57</v>
      </c>
      <c r="J1620" s="6">
        <v>8.99</v>
      </c>
      <c r="K1620">
        <v>1</v>
      </c>
      <c r="L1620" t="s">
        <v>43</v>
      </c>
      <c r="M1620" s="5">
        <v>2</v>
      </c>
      <c r="N1620" s="4">
        <v>0.46</v>
      </c>
      <c r="O1620" t="s">
        <v>30</v>
      </c>
    </row>
    <row r="1621" spans="1:15" x14ac:dyDescent="0.3">
      <c r="A1621" t="s">
        <v>4945</v>
      </c>
      <c r="B1621" s="5">
        <v>19</v>
      </c>
      <c r="C1621" s="5" t="str" cm="1">
        <f t="array" ref="C1621">_xlfn.IFS(worksheet[[#This Row],[age]]&lt;25,"1. Young Adulthood (18-24)",worksheet[[#This Row],[age]]&lt; 35,"2. Early Adulthood (25-34)",worksheet[[#This Row],[age]]&lt; 45,"3. Mid Adulthood (35-44)",worksheet[[#This Row],[age]]&lt; 55,"4. Mature Adulthood (45-54)",TRUE,"5. Late Adulthood/Senior (55+)")</f>
        <v>1. Young Adulthood (18-24)</v>
      </c>
      <c r="D1621" t="s">
        <v>27</v>
      </c>
      <c r="E1621" t="s">
        <v>22</v>
      </c>
      <c r="F1621" s="4">
        <v>12.01</v>
      </c>
      <c r="G1621" s="5">
        <v>0</v>
      </c>
      <c r="H1621" t="s">
        <v>17</v>
      </c>
      <c r="I1621" t="s">
        <v>18</v>
      </c>
      <c r="J1621" s="6">
        <v>13.99</v>
      </c>
      <c r="K1621">
        <v>0</v>
      </c>
      <c r="L1621" t="s">
        <v>29</v>
      </c>
      <c r="M1621" s="5">
        <v>3</v>
      </c>
      <c r="N1621" s="4">
        <v>12.01</v>
      </c>
      <c r="O1621" t="s">
        <v>52</v>
      </c>
    </row>
    <row r="1622" spans="1:15" x14ac:dyDescent="0.3">
      <c r="A1622" t="s">
        <v>4948</v>
      </c>
      <c r="B1622" s="5">
        <v>30</v>
      </c>
      <c r="C1622" s="5" t="str" cm="1">
        <f t="array" ref="C1622">_xlfn.IFS(worksheet[[#This Row],[age]]&lt;25,"1. Young Adulthood (18-24)",worksheet[[#This Row],[age]]&lt; 35,"2. Early Adulthood (25-34)",worksheet[[#This Row],[age]]&lt; 45,"3. Mid Adulthood (35-44)",worksheet[[#This Row],[age]]&lt; 55,"4. Mature Adulthood (45-54)",TRUE,"5. Late Adulthood/Senior (55+)")</f>
        <v>2. Early Adulthood (25-34)</v>
      </c>
      <c r="D1622" t="s">
        <v>15</v>
      </c>
      <c r="E1622" t="s">
        <v>32</v>
      </c>
      <c r="F1622" s="4">
        <v>14.88</v>
      </c>
      <c r="G1622" s="5">
        <v>16</v>
      </c>
      <c r="H1622" t="s">
        <v>33</v>
      </c>
      <c r="I1622" t="s">
        <v>46</v>
      </c>
      <c r="J1622" s="6">
        <v>17.989999999999998</v>
      </c>
      <c r="K1622">
        <v>0</v>
      </c>
      <c r="L1622" t="s">
        <v>61</v>
      </c>
      <c r="M1622" s="5">
        <v>5</v>
      </c>
      <c r="N1622" s="4">
        <v>0.88</v>
      </c>
      <c r="O1622" t="s">
        <v>39</v>
      </c>
    </row>
    <row r="1623" spans="1:15" x14ac:dyDescent="0.3">
      <c r="A1623" t="s">
        <v>4950</v>
      </c>
      <c r="B1623" s="5">
        <v>23</v>
      </c>
      <c r="C1623" s="5" t="str" cm="1">
        <f t="array" ref="C1623">_xlfn.IFS(worksheet[[#This Row],[age]]&lt;25,"1. Young Adulthood (18-24)",worksheet[[#This Row],[age]]&lt; 35,"2. Early Adulthood (25-34)",worksheet[[#This Row],[age]]&lt; 45,"3. Mid Adulthood (35-44)",worksheet[[#This Row],[age]]&lt; 55,"4. Mature Adulthood (45-54)",TRUE,"5. Late Adulthood/Senior (55+)")</f>
        <v>1. Young Adulthood (18-24)</v>
      </c>
      <c r="D1623" t="s">
        <v>15</v>
      </c>
      <c r="E1623" t="s">
        <v>22</v>
      </c>
      <c r="F1623" s="4">
        <v>36.880000000000003</v>
      </c>
      <c r="G1623" s="5">
        <v>52</v>
      </c>
      <c r="H1623" t="s">
        <v>49</v>
      </c>
      <c r="I1623" t="s">
        <v>24</v>
      </c>
      <c r="J1623" s="6">
        <v>13.99</v>
      </c>
      <c r="K1623">
        <v>0</v>
      </c>
      <c r="L1623" t="s">
        <v>19</v>
      </c>
      <c r="M1623" s="5">
        <v>3</v>
      </c>
      <c r="N1623" s="4">
        <v>0.7</v>
      </c>
      <c r="O1623" t="s">
        <v>39</v>
      </c>
    </row>
    <row r="1624" spans="1:15" x14ac:dyDescent="0.3">
      <c r="A1624" t="s">
        <v>4951</v>
      </c>
      <c r="B1624" s="5">
        <v>18</v>
      </c>
      <c r="C1624" s="5" t="str" cm="1">
        <f t="array" ref="C1624">_xlfn.IFS(worksheet[[#This Row],[age]]&lt;25,"1. Young Adulthood (18-24)",worksheet[[#This Row],[age]]&lt; 35,"2. Early Adulthood (25-34)",worksheet[[#This Row],[age]]&lt; 45,"3. Mid Adulthood (35-44)",worksheet[[#This Row],[age]]&lt; 55,"4. Mature Adulthood (45-54)",TRUE,"5. Late Adulthood/Senior (55+)")</f>
        <v>1. Young Adulthood (18-24)</v>
      </c>
      <c r="D1624" t="s">
        <v>27</v>
      </c>
      <c r="E1624" t="s">
        <v>22</v>
      </c>
      <c r="F1624" s="4">
        <v>13.02</v>
      </c>
      <c r="G1624" s="5">
        <v>6</v>
      </c>
      <c r="H1624" t="s">
        <v>17</v>
      </c>
      <c r="I1624" t="s">
        <v>55</v>
      </c>
      <c r="J1624" s="6">
        <v>13.99</v>
      </c>
      <c r="K1624">
        <v>0</v>
      </c>
      <c r="L1624" t="s">
        <v>29</v>
      </c>
      <c r="M1624" s="5">
        <v>5</v>
      </c>
      <c r="N1624" s="4">
        <v>1.86</v>
      </c>
      <c r="O1624" t="s">
        <v>52</v>
      </c>
    </row>
    <row r="1625" spans="1:15" x14ac:dyDescent="0.3">
      <c r="A1625" t="s">
        <v>4954</v>
      </c>
      <c r="B1625" s="5">
        <v>33</v>
      </c>
      <c r="C1625" s="5" t="str" cm="1">
        <f t="array" ref="C1625">_xlfn.IFS(worksheet[[#This Row],[age]]&lt;25,"1. Young Adulthood (18-24)",worksheet[[#This Row],[age]]&lt; 35,"2. Early Adulthood (25-34)",worksheet[[#This Row],[age]]&lt; 45,"3. Mid Adulthood (35-44)",worksheet[[#This Row],[age]]&lt; 55,"4. Mature Adulthood (45-54)",TRUE,"5. Late Adulthood/Senior (55+)")</f>
        <v>2. Early Adulthood (25-34)</v>
      </c>
      <c r="D1625" t="s">
        <v>15</v>
      </c>
      <c r="E1625" t="s">
        <v>16</v>
      </c>
      <c r="F1625" s="4">
        <v>10.34</v>
      </c>
      <c r="G1625" s="5">
        <v>20</v>
      </c>
      <c r="H1625" t="s">
        <v>23</v>
      </c>
      <c r="I1625" t="s">
        <v>46</v>
      </c>
      <c r="J1625" s="6">
        <v>8.99</v>
      </c>
      <c r="K1625">
        <v>0</v>
      </c>
      <c r="L1625" t="s">
        <v>43</v>
      </c>
      <c r="M1625" s="5">
        <v>3</v>
      </c>
      <c r="N1625" s="4">
        <v>0.49</v>
      </c>
      <c r="O1625" t="s">
        <v>25</v>
      </c>
    </row>
    <row r="1626" spans="1:15" x14ac:dyDescent="0.3">
      <c r="A1626" t="s">
        <v>4955</v>
      </c>
      <c r="B1626" s="5">
        <v>32</v>
      </c>
      <c r="C1626" s="5" t="str" cm="1">
        <f t="array" ref="C1626">_xlfn.IFS(worksheet[[#This Row],[age]]&lt;25,"1. Young Adulthood (18-24)",worksheet[[#This Row],[age]]&lt; 35,"2. Early Adulthood (25-34)",worksheet[[#This Row],[age]]&lt; 45,"3. Mid Adulthood (35-44)",worksheet[[#This Row],[age]]&lt; 55,"4. Mature Adulthood (45-54)",TRUE,"5. Late Adulthood/Senior (55+)")</f>
        <v>2. Early Adulthood (25-34)</v>
      </c>
      <c r="D1626" t="s">
        <v>41</v>
      </c>
      <c r="E1626" t="s">
        <v>22</v>
      </c>
      <c r="F1626" s="4">
        <v>40.69</v>
      </c>
      <c r="G1626" s="5">
        <v>23</v>
      </c>
      <c r="H1626" t="s">
        <v>49</v>
      </c>
      <c r="I1626" t="s">
        <v>57</v>
      </c>
      <c r="J1626" s="6">
        <v>13.99</v>
      </c>
      <c r="K1626">
        <v>0</v>
      </c>
      <c r="L1626" t="s">
        <v>43</v>
      </c>
      <c r="M1626" s="5">
        <v>3</v>
      </c>
      <c r="N1626" s="4">
        <v>1.7</v>
      </c>
      <c r="O1626" t="s">
        <v>47</v>
      </c>
    </row>
    <row r="1627" spans="1:15" x14ac:dyDescent="0.3">
      <c r="A1627" t="s">
        <v>4957</v>
      </c>
      <c r="B1627" s="5">
        <v>33</v>
      </c>
      <c r="C1627" s="5" t="str" cm="1">
        <f t="array" ref="C1627">_xlfn.IFS(worksheet[[#This Row],[age]]&lt;25,"1. Young Adulthood (18-24)",worksheet[[#This Row],[age]]&lt; 35,"2. Early Adulthood (25-34)",worksheet[[#This Row],[age]]&lt; 45,"3. Mid Adulthood (35-44)",worksheet[[#This Row],[age]]&lt; 55,"4. Mature Adulthood (45-54)",TRUE,"5. Late Adulthood/Senior (55+)")</f>
        <v>2. Early Adulthood (25-34)</v>
      </c>
      <c r="D1627" t="s">
        <v>15</v>
      </c>
      <c r="E1627" t="s">
        <v>32</v>
      </c>
      <c r="F1627" s="4">
        <v>13.25</v>
      </c>
      <c r="G1627" s="5">
        <v>10</v>
      </c>
      <c r="H1627" t="s">
        <v>23</v>
      </c>
      <c r="I1627" t="s">
        <v>18</v>
      </c>
      <c r="J1627" s="6">
        <v>17.989999999999998</v>
      </c>
      <c r="K1627">
        <v>0</v>
      </c>
      <c r="L1627" t="s">
        <v>19</v>
      </c>
      <c r="M1627" s="5">
        <v>1</v>
      </c>
      <c r="N1627" s="4">
        <v>1.2</v>
      </c>
      <c r="O1627" t="s">
        <v>47</v>
      </c>
    </row>
    <row r="1628" spans="1:15" x14ac:dyDescent="0.3">
      <c r="A1628" t="s">
        <v>4959</v>
      </c>
      <c r="B1628" s="5">
        <v>28</v>
      </c>
      <c r="C1628" s="5" t="str" cm="1">
        <f t="array" ref="C1628">_xlfn.IFS(worksheet[[#This Row],[age]]&lt;25,"1. Young Adulthood (18-24)",worksheet[[#This Row],[age]]&lt; 35,"2. Early Adulthood (25-34)",worksheet[[#This Row],[age]]&lt; 45,"3. Mid Adulthood (35-44)",worksheet[[#This Row],[age]]&lt; 55,"4. Mature Adulthood (45-54)",TRUE,"5. Late Adulthood/Senior (55+)")</f>
        <v>2. Early Adulthood (25-34)</v>
      </c>
      <c r="D1628" t="s">
        <v>27</v>
      </c>
      <c r="E1628" t="s">
        <v>16</v>
      </c>
      <c r="F1628" s="4">
        <v>2.4700000000000002</v>
      </c>
      <c r="G1628" s="5">
        <v>37</v>
      </c>
      <c r="H1628" t="s">
        <v>70</v>
      </c>
      <c r="I1628" t="s">
        <v>55</v>
      </c>
      <c r="J1628" s="6">
        <v>8.99</v>
      </c>
      <c r="K1628">
        <v>1</v>
      </c>
      <c r="L1628" t="s">
        <v>43</v>
      </c>
      <c r="M1628" s="5">
        <v>1</v>
      </c>
      <c r="N1628" s="4">
        <v>7.0000000000000007E-2</v>
      </c>
      <c r="O1628" t="s">
        <v>30</v>
      </c>
    </row>
    <row r="1629" spans="1:15" x14ac:dyDescent="0.3">
      <c r="A1629" t="s">
        <v>4961</v>
      </c>
      <c r="B1629" s="5">
        <v>34</v>
      </c>
      <c r="C1629" s="5" t="str" cm="1">
        <f t="array" ref="C1629">_xlfn.IFS(worksheet[[#This Row],[age]]&lt;25,"1. Young Adulthood (18-24)",worksheet[[#This Row],[age]]&lt; 35,"2. Early Adulthood (25-34)",worksheet[[#This Row],[age]]&lt; 45,"3. Mid Adulthood (35-44)",worksheet[[#This Row],[age]]&lt; 55,"4. Mature Adulthood (45-54)",TRUE,"5. Late Adulthood/Senior (55+)")</f>
        <v>2. Early Adulthood (25-34)</v>
      </c>
      <c r="D1629" t="s">
        <v>27</v>
      </c>
      <c r="E1629" t="s">
        <v>16</v>
      </c>
      <c r="F1629" s="4">
        <v>7.71</v>
      </c>
      <c r="G1629" s="5">
        <v>32</v>
      </c>
      <c r="H1629" t="s">
        <v>23</v>
      </c>
      <c r="I1629" t="s">
        <v>57</v>
      </c>
      <c r="J1629" s="6">
        <v>8.99</v>
      </c>
      <c r="K1629">
        <v>1</v>
      </c>
      <c r="L1629" t="s">
        <v>61</v>
      </c>
      <c r="M1629" s="5">
        <v>5</v>
      </c>
      <c r="N1629" s="4">
        <v>0.23</v>
      </c>
      <c r="O1629" t="s">
        <v>20</v>
      </c>
    </row>
    <row r="1630" spans="1:15" x14ac:dyDescent="0.3">
      <c r="A1630" t="s">
        <v>4962</v>
      </c>
      <c r="B1630" s="5">
        <v>24</v>
      </c>
      <c r="C1630" s="5" t="str" cm="1">
        <f t="array" ref="C1630">_xlfn.IFS(worksheet[[#This Row],[age]]&lt;25,"1. Young Adulthood (18-24)",worksheet[[#This Row],[age]]&lt; 35,"2. Early Adulthood (25-34)",worksheet[[#This Row],[age]]&lt; 45,"3. Mid Adulthood (35-44)",worksheet[[#This Row],[age]]&lt; 55,"4. Mature Adulthood (45-54)",TRUE,"5. Late Adulthood/Senior (55+)")</f>
        <v>1. Young Adulthood (18-24)</v>
      </c>
      <c r="D1630" t="s">
        <v>27</v>
      </c>
      <c r="E1630" t="s">
        <v>16</v>
      </c>
      <c r="F1630" s="4">
        <v>2.2999999999999998</v>
      </c>
      <c r="G1630" s="5">
        <v>37</v>
      </c>
      <c r="H1630" t="s">
        <v>33</v>
      </c>
      <c r="I1630" t="s">
        <v>24</v>
      </c>
      <c r="J1630" s="6">
        <v>8.99</v>
      </c>
      <c r="K1630">
        <v>1</v>
      </c>
      <c r="L1630" t="s">
        <v>19</v>
      </c>
      <c r="M1630" s="5">
        <v>4</v>
      </c>
      <c r="N1630" s="4">
        <v>0.06</v>
      </c>
      <c r="O1630" t="s">
        <v>39</v>
      </c>
    </row>
    <row r="1631" spans="1:15" x14ac:dyDescent="0.3">
      <c r="A1631" t="s">
        <v>4964</v>
      </c>
      <c r="B1631" s="5">
        <v>32</v>
      </c>
      <c r="C1631" s="5" t="str" cm="1">
        <f t="array" ref="C1631">_xlfn.IFS(worksheet[[#This Row],[age]]&lt;25,"1. Young Adulthood (18-24)",worksheet[[#This Row],[age]]&lt; 35,"2. Early Adulthood (25-34)",worksheet[[#This Row],[age]]&lt; 45,"3. Mid Adulthood (35-44)",worksheet[[#This Row],[age]]&lt; 55,"4. Mature Adulthood (45-54)",TRUE,"5. Late Adulthood/Senior (55+)")</f>
        <v>2. Early Adulthood (25-34)</v>
      </c>
      <c r="D1631" t="s">
        <v>41</v>
      </c>
      <c r="E1631" t="s">
        <v>22</v>
      </c>
      <c r="F1631" s="4">
        <v>2.81</v>
      </c>
      <c r="G1631" s="5">
        <v>19</v>
      </c>
      <c r="H1631" t="s">
        <v>33</v>
      </c>
      <c r="I1631" t="s">
        <v>24</v>
      </c>
      <c r="J1631" s="6">
        <v>13.99</v>
      </c>
      <c r="K1631">
        <v>0</v>
      </c>
      <c r="L1631" t="s">
        <v>43</v>
      </c>
      <c r="M1631" s="5">
        <v>4</v>
      </c>
      <c r="N1631" s="4">
        <v>0.14000000000000001</v>
      </c>
      <c r="O1631" t="s">
        <v>30</v>
      </c>
    </row>
    <row r="1632" spans="1:15" x14ac:dyDescent="0.3">
      <c r="A1632" t="s">
        <v>4967</v>
      </c>
      <c r="B1632" s="5">
        <v>19</v>
      </c>
      <c r="C1632" s="5" t="str" cm="1">
        <f t="array" ref="C1632">_xlfn.IFS(worksheet[[#This Row],[age]]&lt;25,"1. Young Adulthood (18-24)",worksheet[[#This Row],[age]]&lt; 35,"2. Early Adulthood (25-34)",worksheet[[#This Row],[age]]&lt; 45,"3. Mid Adulthood (35-44)",worksheet[[#This Row],[age]]&lt; 55,"4. Mature Adulthood (45-54)",TRUE,"5. Late Adulthood/Senior (55+)")</f>
        <v>1. Young Adulthood (18-24)</v>
      </c>
      <c r="D1632" t="s">
        <v>41</v>
      </c>
      <c r="E1632" t="s">
        <v>22</v>
      </c>
      <c r="F1632" s="4">
        <v>4.71</v>
      </c>
      <c r="G1632" s="5">
        <v>17</v>
      </c>
      <c r="H1632" t="s">
        <v>33</v>
      </c>
      <c r="I1632" t="s">
        <v>55</v>
      </c>
      <c r="J1632" s="6">
        <v>13.99</v>
      </c>
      <c r="K1632">
        <v>1</v>
      </c>
      <c r="L1632" t="s">
        <v>37</v>
      </c>
      <c r="M1632" s="5">
        <v>2</v>
      </c>
      <c r="N1632" s="4">
        <v>0.26</v>
      </c>
      <c r="O1632" t="s">
        <v>52</v>
      </c>
    </row>
    <row r="1633" spans="1:15" x14ac:dyDescent="0.3">
      <c r="A1633" t="s">
        <v>4968</v>
      </c>
      <c r="B1633" s="5">
        <v>23</v>
      </c>
      <c r="C1633" s="5" t="str" cm="1">
        <f t="array" ref="C1633">_xlfn.IFS(worksheet[[#This Row],[age]]&lt;25,"1. Young Adulthood (18-24)",worksheet[[#This Row],[age]]&lt; 35,"2. Early Adulthood (25-34)",worksheet[[#This Row],[age]]&lt; 45,"3. Mid Adulthood (35-44)",worksheet[[#This Row],[age]]&lt; 55,"4. Mature Adulthood (45-54)",TRUE,"5. Late Adulthood/Senior (55+)")</f>
        <v>1. Young Adulthood (18-24)</v>
      </c>
      <c r="D1633" t="s">
        <v>41</v>
      </c>
      <c r="E1633" t="s">
        <v>16</v>
      </c>
      <c r="F1633" s="4">
        <v>7.33</v>
      </c>
      <c r="G1633" s="5">
        <v>20</v>
      </c>
      <c r="H1633" t="s">
        <v>17</v>
      </c>
      <c r="I1633" t="s">
        <v>18</v>
      </c>
      <c r="J1633" s="6">
        <v>8.99</v>
      </c>
      <c r="K1633">
        <v>1</v>
      </c>
      <c r="L1633" t="s">
        <v>43</v>
      </c>
      <c r="M1633" s="5">
        <v>1</v>
      </c>
      <c r="N1633" s="4">
        <v>0.35</v>
      </c>
      <c r="O1633" t="s">
        <v>52</v>
      </c>
    </row>
    <row r="1634" spans="1:15" x14ac:dyDescent="0.3">
      <c r="A1634" t="s">
        <v>4970</v>
      </c>
      <c r="B1634" s="5">
        <v>24</v>
      </c>
      <c r="C1634" s="5" t="str" cm="1">
        <f t="array" ref="C1634">_xlfn.IFS(worksheet[[#This Row],[age]]&lt;25,"1. Young Adulthood (18-24)",worksheet[[#This Row],[age]]&lt; 35,"2. Early Adulthood (25-34)",worksheet[[#This Row],[age]]&lt; 45,"3. Mid Adulthood (35-44)",worksheet[[#This Row],[age]]&lt; 55,"4. Mature Adulthood (45-54)",TRUE,"5. Late Adulthood/Senior (55+)")</f>
        <v>1. Young Adulthood (18-24)</v>
      </c>
      <c r="D1634" t="s">
        <v>41</v>
      </c>
      <c r="E1634" t="s">
        <v>22</v>
      </c>
      <c r="F1634" s="4">
        <v>9.02</v>
      </c>
      <c r="G1634" s="5">
        <v>13</v>
      </c>
      <c r="H1634" t="s">
        <v>33</v>
      </c>
      <c r="I1634" t="s">
        <v>57</v>
      </c>
      <c r="J1634" s="6">
        <v>13.99</v>
      </c>
      <c r="K1634">
        <v>0</v>
      </c>
      <c r="L1634" t="s">
        <v>37</v>
      </c>
      <c r="M1634" s="5">
        <v>1</v>
      </c>
      <c r="N1634" s="4">
        <v>0.64</v>
      </c>
      <c r="O1634" t="s">
        <v>30</v>
      </c>
    </row>
    <row r="1635" spans="1:15" x14ac:dyDescent="0.3">
      <c r="A1635" t="s">
        <v>4976</v>
      </c>
      <c r="B1635" s="5">
        <v>22</v>
      </c>
      <c r="C1635" s="5" t="str" cm="1">
        <f t="array" ref="C1635">_xlfn.IFS(worksheet[[#This Row],[age]]&lt;25,"1. Young Adulthood (18-24)",worksheet[[#This Row],[age]]&lt; 35,"2. Early Adulthood (25-34)",worksheet[[#This Row],[age]]&lt; 45,"3. Mid Adulthood (35-44)",worksheet[[#This Row],[age]]&lt; 55,"4. Mature Adulthood (45-54)",TRUE,"5. Late Adulthood/Senior (55+)")</f>
        <v>1. Young Adulthood (18-24)</v>
      </c>
      <c r="D1635" t="s">
        <v>27</v>
      </c>
      <c r="E1635" t="s">
        <v>32</v>
      </c>
      <c r="F1635" s="4">
        <v>1.7</v>
      </c>
      <c r="G1635" s="5">
        <v>20</v>
      </c>
      <c r="H1635" t="s">
        <v>33</v>
      </c>
      <c r="I1635" t="s">
        <v>55</v>
      </c>
      <c r="J1635" s="6">
        <v>17.989999999999998</v>
      </c>
      <c r="K1635">
        <v>0</v>
      </c>
      <c r="L1635" t="s">
        <v>37</v>
      </c>
      <c r="M1635" s="5">
        <v>5</v>
      </c>
      <c r="N1635" s="4">
        <v>0.08</v>
      </c>
      <c r="O1635" t="s">
        <v>34</v>
      </c>
    </row>
    <row r="1636" spans="1:15" x14ac:dyDescent="0.3">
      <c r="A1636" t="s">
        <v>4977</v>
      </c>
      <c r="B1636" s="5">
        <v>21</v>
      </c>
      <c r="C1636" s="5" t="str" cm="1">
        <f t="array" ref="C1636">_xlfn.IFS(worksheet[[#This Row],[age]]&lt;25,"1. Young Adulthood (18-24)",worksheet[[#This Row],[age]]&lt; 35,"2. Early Adulthood (25-34)",worksheet[[#This Row],[age]]&lt; 45,"3. Mid Adulthood (35-44)",worksheet[[#This Row],[age]]&lt; 55,"4. Mature Adulthood (45-54)",TRUE,"5. Late Adulthood/Senior (55+)")</f>
        <v>1. Young Adulthood (18-24)</v>
      </c>
      <c r="D1636" t="s">
        <v>27</v>
      </c>
      <c r="E1636" t="s">
        <v>16</v>
      </c>
      <c r="F1636" s="4">
        <v>23.24</v>
      </c>
      <c r="G1636" s="5">
        <v>10</v>
      </c>
      <c r="H1636" t="s">
        <v>49</v>
      </c>
      <c r="I1636" t="s">
        <v>57</v>
      </c>
      <c r="J1636" s="6">
        <v>8.99</v>
      </c>
      <c r="K1636">
        <v>0</v>
      </c>
      <c r="L1636" t="s">
        <v>61</v>
      </c>
      <c r="M1636" s="5">
        <v>3</v>
      </c>
      <c r="N1636" s="4">
        <v>2.11</v>
      </c>
      <c r="O1636" t="s">
        <v>39</v>
      </c>
    </row>
    <row r="1637" spans="1:15" x14ac:dyDescent="0.3">
      <c r="A1637" t="s">
        <v>4979</v>
      </c>
      <c r="B1637" s="5">
        <v>30</v>
      </c>
      <c r="C1637" s="5" t="str" cm="1">
        <f t="array" ref="C1637">_xlfn.IFS(worksheet[[#This Row],[age]]&lt;25,"1. Young Adulthood (18-24)",worksheet[[#This Row],[age]]&lt; 35,"2. Early Adulthood (25-34)",worksheet[[#This Row],[age]]&lt; 45,"3. Mid Adulthood (35-44)",worksheet[[#This Row],[age]]&lt; 55,"4. Mature Adulthood (45-54)",TRUE,"5. Late Adulthood/Senior (55+)")</f>
        <v>2. Early Adulthood (25-34)</v>
      </c>
      <c r="D1637" t="s">
        <v>15</v>
      </c>
      <c r="E1637" t="s">
        <v>22</v>
      </c>
      <c r="F1637" s="4">
        <v>3.79</v>
      </c>
      <c r="G1637" s="5">
        <v>20</v>
      </c>
      <c r="H1637" t="s">
        <v>17</v>
      </c>
      <c r="I1637" t="s">
        <v>55</v>
      </c>
      <c r="J1637" s="6">
        <v>13.99</v>
      </c>
      <c r="K1637">
        <v>1</v>
      </c>
      <c r="L1637" t="s">
        <v>29</v>
      </c>
      <c r="M1637" s="5">
        <v>5</v>
      </c>
      <c r="N1637" s="4">
        <v>0.18</v>
      </c>
      <c r="O1637" t="s">
        <v>30</v>
      </c>
    </row>
    <row r="1638" spans="1:15" x14ac:dyDescent="0.3">
      <c r="A1638" t="s">
        <v>4982</v>
      </c>
      <c r="B1638" s="5">
        <v>33</v>
      </c>
      <c r="C1638" s="5" t="str" cm="1">
        <f t="array" ref="C1638">_xlfn.IFS(worksheet[[#This Row],[age]]&lt;25,"1. Young Adulthood (18-24)",worksheet[[#This Row],[age]]&lt; 35,"2. Early Adulthood (25-34)",worksheet[[#This Row],[age]]&lt; 45,"3. Mid Adulthood (35-44)",worksheet[[#This Row],[age]]&lt; 55,"4. Mature Adulthood (45-54)",TRUE,"5. Late Adulthood/Senior (55+)")</f>
        <v>2. Early Adulthood (25-34)</v>
      </c>
      <c r="D1638" t="s">
        <v>15</v>
      </c>
      <c r="E1638" t="s">
        <v>22</v>
      </c>
      <c r="F1638" s="4">
        <v>7.87</v>
      </c>
      <c r="G1638" s="5">
        <v>42</v>
      </c>
      <c r="H1638" t="s">
        <v>23</v>
      </c>
      <c r="I1638" t="s">
        <v>57</v>
      </c>
      <c r="J1638" s="6">
        <v>13.99</v>
      </c>
      <c r="K1638">
        <v>0</v>
      </c>
      <c r="L1638" t="s">
        <v>43</v>
      </c>
      <c r="M1638" s="5">
        <v>5</v>
      </c>
      <c r="N1638" s="4">
        <v>0.18</v>
      </c>
      <c r="O1638" t="s">
        <v>25</v>
      </c>
    </row>
    <row r="1639" spans="1:15" x14ac:dyDescent="0.3">
      <c r="A1639" t="s">
        <v>4990</v>
      </c>
      <c r="B1639" s="5">
        <v>18</v>
      </c>
      <c r="C1639" s="5" t="str" cm="1">
        <f t="array" ref="C1639">_xlfn.IFS(worksheet[[#This Row],[age]]&lt;25,"1. Young Adulthood (18-24)",worksheet[[#This Row],[age]]&lt; 35,"2. Early Adulthood (25-34)",worksheet[[#This Row],[age]]&lt; 45,"3. Mid Adulthood (35-44)",worksheet[[#This Row],[age]]&lt; 55,"4. Mature Adulthood (45-54)",TRUE,"5. Late Adulthood/Senior (55+)")</f>
        <v>1. Young Adulthood (18-24)</v>
      </c>
      <c r="D1639" t="s">
        <v>41</v>
      </c>
      <c r="E1639" t="s">
        <v>22</v>
      </c>
      <c r="F1639" s="4">
        <v>0.64</v>
      </c>
      <c r="G1639" s="5">
        <v>18</v>
      </c>
      <c r="H1639" t="s">
        <v>28</v>
      </c>
      <c r="I1639" t="s">
        <v>18</v>
      </c>
      <c r="J1639" s="6">
        <v>13.99</v>
      </c>
      <c r="K1639">
        <v>1</v>
      </c>
      <c r="L1639" t="s">
        <v>29</v>
      </c>
      <c r="M1639" s="5">
        <v>2</v>
      </c>
      <c r="N1639" s="4">
        <v>0.03</v>
      </c>
      <c r="O1639" t="s">
        <v>34</v>
      </c>
    </row>
    <row r="1640" spans="1:15" x14ac:dyDescent="0.3">
      <c r="A1640" t="s">
        <v>4994</v>
      </c>
      <c r="B1640" s="5">
        <v>20</v>
      </c>
      <c r="C1640" s="5" t="str" cm="1">
        <f t="array" ref="C1640">_xlfn.IFS(worksheet[[#This Row],[age]]&lt;25,"1. Young Adulthood (18-24)",worksheet[[#This Row],[age]]&lt; 35,"2. Early Adulthood (25-34)",worksheet[[#This Row],[age]]&lt; 45,"3. Mid Adulthood (35-44)",worksheet[[#This Row],[age]]&lt; 55,"4. Mature Adulthood (45-54)",TRUE,"5. Late Adulthood/Senior (55+)")</f>
        <v>1. Young Adulthood (18-24)</v>
      </c>
      <c r="D1640" t="s">
        <v>41</v>
      </c>
      <c r="E1640" t="s">
        <v>22</v>
      </c>
      <c r="F1640" s="4">
        <v>13.57</v>
      </c>
      <c r="G1640" s="5">
        <v>45</v>
      </c>
      <c r="H1640" t="s">
        <v>33</v>
      </c>
      <c r="I1640" t="s">
        <v>24</v>
      </c>
      <c r="J1640" s="6">
        <v>13.99</v>
      </c>
      <c r="K1640">
        <v>1</v>
      </c>
      <c r="L1640" t="s">
        <v>43</v>
      </c>
      <c r="M1640" s="5">
        <v>1</v>
      </c>
      <c r="N1640" s="4">
        <v>0.28999999999999998</v>
      </c>
      <c r="O1640" t="s">
        <v>25</v>
      </c>
    </row>
    <row r="1641" spans="1:15" x14ac:dyDescent="0.3">
      <c r="A1641" t="s">
        <v>4995</v>
      </c>
      <c r="B1641" s="5">
        <v>30</v>
      </c>
      <c r="C1641" s="5" t="str" cm="1">
        <f t="array" ref="C1641">_xlfn.IFS(worksheet[[#This Row],[age]]&lt;25,"1. Young Adulthood (18-24)",worksheet[[#This Row],[age]]&lt; 35,"2. Early Adulthood (25-34)",worksheet[[#This Row],[age]]&lt; 45,"3. Mid Adulthood (35-44)",worksheet[[#This Row],[age]]&lt; 55,"4. Mature Adulthood (45-54)",TRUE,"5. Late Adulthood/Senior (55+)")</f>
        <v>2. Early Adulthood (25-34)</v>
      </c>
      <c r="D1641" t="s">
        <v>27</v>
      </c>
      <c r="E1641" t="s">
        <v>16</v>
      </c>
      <c r="F1641" s="4">
        <v>10.64</v>
      </c>
      <c r="G1641" s="5">
        <v>2</v>
      </c>
      <c r="H1641" t="s">
        <v>23</v>
      </c>
      <c r="I1641" t="s">
        <v>57</v>
      </c>
      <c r="J1641" s="6">
        <v>8.99</v>
      </c>
      <c r="K1641">
        <v>0</v>
      </c>
      <c r="L1641" t="s">
        <v>61</v>
      </c>
      <c r="M1641" s="5">
        <v>2</v>
      </c>
      <c r="N1641" s="4">
        <v>3.55</v>
      </c>
      <c r="O1641" t="s">
        <v>39</v>
      </c>
    </row>
    <row r="1642" spans="1:15" x14ac:dyDescent="0.3">
      <c r="A1642" t="s">
        <v>4998</v>
      </c>
      <c r="B1642" s="5">
        <v>25</v>
      </c>
      <c r="C1642" s="5" t="str" cm="1">
        <f t="array" ref="C1642">_xlfn.IFS(worksheet[[#This Row],[age]]&lt;25,"1. Young Adulthood (18-24)",worksheet[[#This Row],[age]]&lt; 35,"2. Early Adulthood (25-34)",worksheet[[#This Row],[age]]&lt; 45,"3. Mid Adulthood (35-44)",worksheet[[#This Row],[age]]&lt; 55,"4. Mature Adulthood (45-54)",TRUE,"5. Late Adulthood/Senior (55+)")</f>
        <v>2. Early Adulthood (25-34)</v>
      </c>
      <c r="D1642" t="s">
        <v>15</v>
      </c>
      <c r="E1642" t="s">
        <v>22</v>
      </c>
      <c r="F1642" s="4">
        <v>16.760000000000002</v>
      </c>
      <c r="G1642" s="5">
        <v>53</v>
      </c>
      <c r="H1642" t="s">
        <v>17</v>
      </c>
      <c r="I1642" t="s">
        <v>55</v>
      </c>
      <c r="J1642" s="6">
        <v>13.99</v>
      </c>
      <c r="K1642">
        <v>0</v>
      </c>
      <c r="L1642" t="s">
        <v>61</v>
      </c>
      <c r="M1642" s="5">
        <v>4</v>
      </c>
      <c r="N1642" s="4">
        <v>0.31</v>
      </c>
      <c r="O1642" t="s">
        <v>39</v>
      </c>
    </row>
    <row r="1643" spans="1:15" x14ac:dyDescent="0.3">
      <c r="A1643" t="s">
        <v>4999</v>
      </c>
      <c r="B1643" s="5">
        <v>28</v>
      </c>
      <c r="C1643" s="5" t="str" cm="1">
        <f t="array" ref="C1643">_xlfn.IFS(worksheet[[#This Row],[age]]&lt;25,"1. Young Adulthood (18-24)",worksheet[[#This Row],[age]]&lt; 35,"2. Early Adulthood (25-34)",worksheet[[#This Row],[age]]&lt; 45,"3. Mid Adulthood (35-44)",worksheet[[#This Row],[age]]&lt; 55,"4. Mature Adulthood (45-54)",TRUE,"5. Late Adulthood/Senior (55+)")</f>
        <v>2. Early Adulthood (25-34)</v>
      </c>
      <c r="D1643" t="s">
        <v>15</v>
      </c>
      <c r="E1643" t="s">
        <v>16</v>
      </c>
      <c r="F1643" s="4">
        <v>14.14</v>
      </c>
      <c r="G1643" s="5">
        <v>16</v>
      </c>
      <c r="H1643" t="s">
        <v>49</v>
      </c>
      <c r="I1643" t="s">
        <v>24</v>
      </c>
      <c r="J1643" s="6">
        <v>8.99</v>
      </c>
      <c r="K1643">
        <v>0</v>
      </c>
      <c r="L1643" t="s">
        <v>19</v>
      </c>
      <c r="M1643" s="5">
        <v>3</v>
      </c>
      <c r="N1643" s="4">
        <v>0.83</v>
      </c>
      <c r="O1643" t="s">
        <v>30</v>
      </c>
    </row>
    <row r="1644" spans="1:15" x14ac:dyDescent="0.3">
      <c r="A1644" t="s">
        <v>5004</v>
      </c>
      <c r="B1644" s="5">
        <v>18</v>
      </c>
      <c r="C1644" s="5" t="str" cm="1">
        <f t="array" ref="C1644">_xlfn.IFS(worksheet[[#This Row],[age]]&lt;25,"1. Young Adulthood (18-24)",worksheet[[#This Row],[age]]&lt; 35,"2. Early Adulthood (25-34)",worksheet[[#This Row],[age]]&lt; 45,"3. Mid Adulthood (35-44)",worksheet[[#This Row],[age]]&lt; 55,"4. Mature Adulthood (45-54)",TRUE,"5. Late Adulthood/Senior (55+)")</f>
        <v>1. Young Adulthood (18-24)</v>
      </c>
      <c r="D1644" t="s">
        <v>15</v>
      </c>
      <c r="E1644" t="s">
        <v>32</v>
      </c>
      <c r="F1644" s="4">
        <v>46.06</v>
      </c>
      <c r="G1644" s="5">
        <v>57</v>
      </c>
      <c r="H1644" t="s">
        <v>28</v>
      </c>
      <c r="I1644" t="s">
        <v>57</v>
      </c>
      <c r="J1644" s="6">
        <v>17.989999999999998</v>
      </c>
      <c r="K1644">
        <v>0</v>
      </c>
      <c r="L1644" t="s">
        <v>29</v>
      </c>
      <c r="M1644" s="5">
        <v>4</v>
      </c>
      <c r="N1644" s="4">
        <v>0.79</v>
      </c>
      <c r="O1644" t="s">
        <v>47</v>
      </c>
    </row>
    <row r="1645" spans="1:15" x14ac:dyDescent="0.3">
      <c r="A1645" t="s">
        <v>5008</v>
      </c>
      <c r="B1645" s="5">
        <v>32</v>
      </c>
      <c r="C1645" s="5" t="str" cm="1">
        <f t="array" ref="C1645">_xlfn.IFS(worksheet[[#This Row],[age]]&lt;25,"1. Young Adulthood (18-24)",worksheet[[#This Row],[age]]&lt; 35,"2. Early Adulthood (25-34)",worksheet[[#This Row],[age]]&lt; 45,"3. Mid Adulthood (35-44)",worksheet[[#This Row],[age]]&lt; 55,"4. Mature Adulthood (45-54)",TRUE,"5. Late Adulthood/Senior (55+)")</f>
        <v>2. Early Adulthood (25-34)</v>
      </c>
      <c r="D1645" t="s">
        <v>15</v>
      </c>
      <c r="E1645" t="s">
        <v>22</v>
      </c>
      <c r="F1645" s="4">
        <v>14.48</v>
      </c>
      <c r="G1645" s="5">
        <v>55</v>
      </c>
      <c r="H1645" t="s">
        <v>23</v>
      </c>
      <c r="I1645" t="s">
        <v>57</v>
      </c>
      <c r="J1645" s="6">
        <v>13.99</v>
      </c>
      <c r="K1645">
        <v>0</v>
      </c>
      <c r="L1645" t="s">
        <v>37</v>
      </c>
      <c r="M1645" s="5">
        <v>5</v>
      </c>
      <c r="N1645" s="4">
        <v>0.26</v>
      </c>
      <c r="O1645" t="s">
        <v>20</v>
      </c>
    </row>
    <row r="1646" spans="1:15" x14ac:dyDescent="0.3">
      <c r="A1646" t="s">
        <v>5013</v>
      </c>
      <c r="B1646" s="5">
        <v>28</v>
      </c>
      <c r="C1646" s="5" t="str" cm="1">
        <f t="array" ref="C1646">_xlfn.IFS(worksheet[[#This Row],[age]]&lt;25,"1. Young Adulthood (18-24)",worksheet[[#This Row],[age]]&lt; 35,"2. Early Adulthood (25-34)",worksheet[[#This Row],[age]]&lt; 45,"3. Mid Adulthood (35-44)",worksheet[[#This Row],[age]]&lt; 55,"4. Mature Adulthood (45-54)",TRUE,"5. Late Adulthood/Senior (55+)")</f>
        <v>2. Early Adulthood (25-34)</v>
      </c>
      <c r="D1646" t="s">
        <v>27</v>
      </c>
      <c r="E1646" t="s">
        <v>22</v>
      </c>
      <c r="F1646" s="4">
        <v>0.34</v>
      </c>
      <c r="G1646" s="5">
        <v>38</v>
      </c>
      <c r="H1646" t="s">
        <v>70</v>
      </c>
      <c r="I1646" t="s">
        <v>57</v>
      </c>
      <c r="J1646" s="6">
        <v>13.99</v>
      </c>
      <c r="K1646">
        <v>1</v>
      </c>
      <c r="L1646" t="s">
        <v>19</v>
      </c>
      <c r="M1646" s="5">
        <v>4</v>
      </c>
      <c r="N1646" s="4">
        <v>0.01</v>
      </c>
      <c r="O1646" t="s">
        <v>34</v>
      </c>
    </row>
    <row r="1647" spans="1:15" x14ac:dyDescent="0.3">
      <c r="A1647" t="s">
        <v>5016</v>
      </c>
      <c r="B1647" s="5">
        <v>30</v>
      </c>
      <c r="C1647" s="5" t="str" cm="1">
        <f t="array" ref="C1647">_xlfn.IFS(worksheet[[#This Row],[age]]&lt;25,"1. Young Adulthood (18-24)",worksheet[[#This Row],[age]]&lt; 35,"2. Early Adulthood (25-34)",worksheet[[#This Row],[age]]&lt; 45,"3. Mid Adulthood (35-44)",worksheet[[#This Row],[age]]&lt; 55,"4. Mature Adulthood (45-54)",TRUE,"5. Late Adulthood/Senior (55+)")</f>
        <v>2. Early Adulthood (25-34)</v>
      </c>
      <c r="D1647" t="s">
        <v>27</v>
      </c>
      <c r="E1647" t="s">
        <v>16</v>
      </c>
      <c r="F1647" s="4">
        <v>6.93</v>
      </c>
      <c r="G1647" s="5">
        <v>50</v>
      </c>
      <c r="H1647" t="s">
        <v>28</v>
      </c>
      <c r="I1647" t="s">
        <v>57</v>
      </c>
      <c r="J1647" s="6">
        <v>8.99</v>
      </c>
      <c r="K1647">
        <v>1</v>
      </c>
      <c r="L1647" t="s">
        <v>19</v>
      </c>
      <c r="M1647" s="5">
        <v>2</v>
      </c>
      <c r="N1647" s="4">
        <v>0.14000000000000001</v>
      </c>
      <c r="O1647" t="s">
        <v>47</v>
      </c>
    </row>
    <row r="1648" spans="1:15" x14ac:dyDescent="0.3">
      <c r="A1648" t="s">
        <v>5019</v>
      </c>
      <c r="B1648" s="5">
        <v>31</v>
      </c>
      <c r="C1648" s="5" t="str" cm="1">
        <f t="array" ref="C1648">_xlfn.IFS(worksheet[[#This Row],[age]]&lt;25,"1. Young Adulthood (18-24)",worksheet[[#This Row],[age]]&lt; 35,"2. Early Adulthood (25-34)",worksheet[[#This Row],[age]]&lt; 45,"3. Mid Adulthood (35-44)",worksheet[[#This Row],[age]]&lt; 55,"4. Mature Adulthood (45-54)",TRUE,"5. Late Adulthood/Senior (55+)")</f>
        <v>2. Early Adulthood (25-34)</v>
      </c>
      <c r="D1648" t="s">
        <v>15</v>
      </c>
      <c r="E1648" t="s">
        <v>22</v>
      </c>
      <c r="F1648" s="4">
        <v>12.62</v>
      </c>
      <c r="G1648" s="5">
        <v>28</v>
      </c>
      <c r="H1648" t="s">
        <v>28</v>
      </c>
      <c r="I1648" t="s">
        <v>24</v>
      </c>
      <c r="J1648" s="6">
        <v>13.99</v>
      </c>
      <c r="K1648">
        <v>0</v>
      </c>
      <c r="L1648" t="s">
        <v>43</v>
      </c>
      <c r="M1648" s="5">
        <v>5</v>
      </c>
      <c r="N1648" s="4">
        <v>0.44</v>
      </c>
      <c r="O1648" t="s">
        <v>34</v>
      </c>
    </row>
    <row r="1649" spans="1:15" x14ac:dyDescent="0.3">
      <c r="A1649" t="s">
        <v>5020</v>
      </c>
      <c r="B1649" s="5">
        <v>19</v>
      </c>
      <c r="C1649" s="5" t="str" cm="1">
        <f t="array" ref="C1649">_xlfn.IFS(worksheet[[#This Row],[age]]&lt;25,"1. Young Adulthood (18-24)",worksheet[[#This Row],[age]]&lt; 35,"2. Early Adulthood (25-34)",worksheet[[#This Row],[age]]&lt; 45,"3. Mid Adulthood (35-44)",worksheet[[#This Row],[age]]&lt; 55,"4. Mature Adulthood (45-54)",TRUE,"5. Late Adulthood/Senior (55+)")</f>
        <v>1. Young Adulthood (18-24)</v>
      </c>
      <c r="D1649" t="s">
        <v>41</v>
      </c>
      <c r="E1649" t="s">
        <v>22</v>
      </c>
      <c r="F1649" s="4">
        <v>3.45</v>
      </c>
      <c r="G1649" s="5">
        <v>18</v>
      </c>
      <c r="H1649" t="s">
        <v>17</v>
      </c>
      <c r="I1649" t="s">
        <v>57</v>
      </c>
      <c r="J1649" s="6">
        <v>13.99</v>
      </c>
      <c r="K1649">
        <v>1</v>
      </c>
      <c r="L1649" t="s">
        <v>61</v>
      </c>
      <c r="M1649" s="5">
        <v>3</v>
      </c>
      <c r="N1649" s="4">
        <v>0.18</v>
      </c>
      <c r="O1649" t="s">
        <v>39</v>
      </c>
    </row>
    <row r="1650" spans="1:15" x14ac:dyDescent="0.3">
      <c r="A1650" t="s">
        <v>5022</v>
      </c>
      <c r="B1650" s="5">
        <v>27</v>
      </c>
      <c r="C1650" s="5" t="str" cm="1">
        <f t="array" ref="C1650">_xlfn.IFS(worksheet[[#This Row],[age]]&lt;25,"1. Young Adulthood (18-24)",worksheet[[#This Row],[age]]&lt; 35,"2. Early Adulthood (25-34)",worksheet[[#This Row],[age]]&lt; 45,"3. Mid Adulthood (35-44)",worksheet[[#This Row],[age]]&lt; 55,"4. Mature Adulthood (45-54)",TRUE,"5. Late Adulthood/Senior (55+)")</f>
        <v>2. Early Adulthood (25-34)</v>
      </c>
      <c r="D1650" t="s">
        <v>15</v>
      </c>
      <c r="E1650" t="s">
        <v>16</v>
      </c>
      <c r="F1650" s="4">
        <v>71.38</v>
      </c>
      <c r="G1650" s="5">
        <v>32</v>
      </c>
      <c r="H1650" t="s">
        <v>49</v>
      </c>
      <c r="I1650" t="s">
        <v>24</v>
      </c>
      <c r="J1650" s="6">
        <v>8.99</v>
      </c>
      <c r="K1650">
        <v>0</v>
      </c>
      <c r="L1650" t="s">
        <v>43</v>
      </c>
      <c r="M1650" s="5">
        <v>5</v>
      </c>
      <c r="N1650" s="4">
        <v>2.16</v>
      </c>
      <c r="O1650" t="s">
        <v>47</v>
      </c>
    </row>
    <row r="1651" spans="1:15" x14ac:dyDescent="0.3">
      <c r="A1651" t="s">
        <v>5024</v>
      </c>
      <c r="B1651" s="5">
        <v>20</v>
      </c>
      <c r="C1651" s="5" t="str" cm="1">
        <f t="array" ref="C1651">_xlfn.IFS(worksheet[[#This Row],[age]]&lt;25,"1. Young Adulthood (18-24)",worksheet[[#This Row],[age]]&lt; 35,"2. Early Adulthood (25-34)",worksheet[[#This Row],[age]]&lt; 45,"3. Mid Adulthood (35-44)",worksheet[[#This Row],[age]]&lt; 55,"4. Mature Adulthood (45-54)",TRUE,"5. Late Adulthood/Senior (55+)")</f>
        <v>1. Young Adulthood (18-24)</v>
      </c>
      <c r="D1651" t="s">
        <v>15</v>
      </c>
      <c r="E1651" t="s">
        <v>22</v>
      </c>
      <c r="F1651" s="4">
        <v>0.75</v>
      </c>
      <c r="G1651" s="5">
        <v>53</v>
      </c>
      <c r="H1651" t="s">
        <v>28</v>
      </c>
      <c r="I1651" t="s">
        <v>57</v>
      </c>
      <c r="J1651" s="6">
        <v>13.99</v>
      </c>
      <c r="K1651">
        <v>1</v>
      </c>
      <c r="L1651" t="s">
        <v>43</v>
      </c>
      <c r="M1651" s="5">
        <v>3</v>
      </c>
      <c r="N1651" s="4">
        <v>0.01</v>
      </c>
      <c r="O1651" t="s">
        <v>20</v>
      </c>
    </row>
    <row r="1652" spans="1:15" x14ac:dyDescent="0.3">
      <c r="A1652" t="s">
        <v>5030</v>
      </c>
      <c r="B1652" s="5">
        <v>20</v>
      </c>
      <c r="C1652" s="5" t="str" cm="1">
        <f t="array" ref="C1652">_xlfn.IFS(worksheet[[#This Row],[age]]&lt;25,"1. Young Adulthood (18-24)",worksheet[[#This Row],[age]]&lt; 35,"2. Early Adulthood (25-34)",worksheet[[#This Row],[age]]&lt; 45,"3. Mid Adulthood (35-44)",worksheet[[#This Row],[age]]&lt; 55,"4. Mature Adulthood (45-54)",TRUE,"5. Late Adulthood/Senior (55+)")</f>
        <v>1. Young Adulthood (18-24)</v>
      </c>
      <c r="D1652" t="s">
        <v>41</v>
      </c>
      <c r="E1652" t="s">
        <v>16</v>
      </c>
      <c r="F1652" s="4">
        <v>8</v>
      </c>
      <c r="G1652" s="5">
        <v>58</v>
      </c>
      <c r="H1652" t="s">
        <v>33</v>
      </c>
      <c r="I1652" t="s">
        <v>57</v>
      </c>
      <c r="J1652" s="6">
        <v>8.99</v>
      </c>
      <c r="K1652">
        <v>1</v>
      </c>
      <c r="L1652" t="s">
        <v>19</v>
      </c>
      <c r="M1652" s="5">
        <v>4</v>
      </c>
      <c r="N1652" s="4">
        <v>0.14000000000000001</v>
      </c>
      <c r="O1652" t="s">
        <v>52</v>
      </c>
    </row>
    <row r="1653" spans="1:15" x14ac:dyDescent="0.3">
      <c r="A1653" s="1" t="s">
        <v>5035</v>
      </c>
      <c r="B1653" s="5">
        <v>34</v>
      </c>
      <c r="C1653" s="5" t="str" cm="1">
        <f t="array" ref="C1653">_xlfn.IFS(worksheet[[#This Row],[age]]&lt;25,"1. Young Adulthood (18-24)",worksheet[[#This Row],[age]]&lt; 35,"2. Early Adulthood (25-34)",worksheet[[#This Row],[age]]&lt; 45,"3. Mid Adulthood (35-44)",worksheet[[#This Row],[age]]&lt; 55,"4. Mature Adulthood (45-54)",TRUE,"5. Late Adulthood/Senior (55+)")</f>
        <v>2. Early Adulthood (25-34)</v>
      </c>
      <c r="D1653" t="s">
        <v>41</v>
      </c>
      <c r="E1653" t="s">
        <v>22</v>
      </c>
      <c r="F1653" s="4">
        <v>10.25</v>
      </c>
      <c r="G1653" s="5">
        <v>41</v>
      </c>
      <c r="H1653" t="s">
        <v>33</v>
      </c>
      <c r="I1653" t="s">
        <v>55</v>
      </c>
      <c r="J1653" s="6">
        <v>13.99</v>
      </c>
      <c r="K1653">
        <v>1</v>
      </c>
      <c r="L1653" t="s">
        <v>29</v>
      </c>
      <c r="M1653" s="5">
        <v>3</v>
      </c>
      <c r="N1653" s="4">
        <v>0.24</v>
      </c>
      <c r="O1653" t="s">
        <v>52</v>
      </c>
    </row>
    <row r="1654" spans="1:15" x14ac:dyDescent="0.3">
      <c r="A1654" t="s">
        <v>5036</v>
      </c>
      <c r="B1654" s="5">
        <v>23</v>
      </c>
      <c r="C1654" s="5" t="str" cm="1">
        <f t="array" ref="C1654">_xlfn.IFS(worksheet[[#This Row],[age]]&lt;25,"1. Young Adulthood (18-24)",worksheet[[#This Row],[age]]&lt; 35,"2. Early Adulthood (25-34)",worksheet[[#This Row],[age]]&lt; 45,"3. Mid Adulthood (35-44)",worksheet[[#This Row],[age]]&lt; 55,"4. Mature Adulthood (45-54)",TRUE,"5. Late Adulthood/Senior (55+)")</f>
        <v>1. Young Adulthood (18-24)</v>
      </c>
      <c r="D1654" t="s">
        <v>15</v>
      </c>
      <c r="E1654" t="s">
        <v>22</v>
      </c>
      <c r="F1654" s="4">
        <v>3.1</v>
      </c>
      <c r="G1654" s="5">
        <v>12</v>
      </c>
      <c r="H1654" t="s">
        <v>23</v>
      </c>
      <c r="I1654" t="s">
        <v>46</v>
      </c>
      <c r="J1654" s="6">
        <v>13.99</v>
      </c>
      <c r="K1654">
        <v>1</v>
      </c>
      <c r="L1654" t="s">
        <v>29</v>
      </c>
      <c r="M1654" s="5">
        <v>5</v>
      </c>
      <c r="N1654" s="4">
        <v>0.24</v>
      </c>
      <c r="O1654" t="s">
        <v>47</v>
      </c>
    </row>
    <row r="1655" spans="1:15" x14ac:dyDescent="0.3">
      <c r="A1655" t="s">
        <v>5038</v>
      </c>
      <c r="B1655" s="5">
        <v>19</v>
      </c>
      <c r="C1655" s="5" t="str" cm="1">
        <f t="array" ref="C1655">_xlfn.IFS(worksheet[[#This Row],[age]]&lt;25,"1. Young Adulthood (18-24)",worksheet[[#This Row],[age]]&lt; 35,"2. Early Adulthood (25-34)",worksheet[[#This Row],[age]]&lt; 45,"3. Mid Adulthood (35-44)",worksheet[[#This Row],[age]]&lt; 55,"4. Mature Adulthood (45-54)",TRUE,"5. Late Adulthood/Senior (55+)")</f>
        <v>1. Young Adulthood (18-24)</v>
      </c>
      <c r="D1655" t="s">
        <v>27</v>
      </c>
      <c r="E1655" t="s">
        <v>16</v>
      </c>
      <c r="F1655" s="4">
        <v>49.17</v>
      </c>
      <c r="G1655" s="5">
        <v>11</v>
      </c>
      <c r="H1655" t="s">
        <v>23</v>
      </c>
      <c r="I1655" t="s">
        <v>55</v>
      </c>
      <c r="J1655" s="6">
        <v>8.99</v>
      </c>
      <c r="K1655">
        <v>0</v>
      </c>
      <c r="L1655" t="s">
        <v>61</v>
      </c>
      <c r="M1655" s="5">
        <v>4</v>
      </c>
      <c r="N1655" s="4">
        <v>4.0999999999999996</v>
      </c>
      <c r="O1655" t="s">
        <v>30</v>
      </c>
    </row>
    <row r="1656" spans="1:15" x14ac:dyDescent="0.3">
      <c r="A1656" t="s">
        <v>53</v>
      </c>
      <c r="B1656" s="5">
        <v>39</v>
      </c>
      <c r="C1656" s="5" t="str" cm="1">
        <f t="array" ref="C1656">_xlfn.IFS(worksheet[[#This Row],[age]]&lt;25,"1. Young Adulthood (18-24)",worksheet[[#This Row],[age]]&lt; 35,"2. Early Adulthood (25-34)",worksheet[[#This Row],[age]]&lt; 45,"3. Mid Adulthood (35-44)",worksheet[[#This Row],[age]]&lt; 55,"4. Mature Adulthood (45-54)",TRUE,"5. Late Adulthood/Senior (55+)")</f>
        <v>3. Mid Adulthood (35-44)</v>
      </c>
      <c r="D1656" t="s">
        <v>27</v>
      </c>
      <c r="E1656" t="s">
        <v>16</v>
      </c>
      <c r="F1656" s="4">
        <v>10.97</v>
      </c>
      <c r="G1656" s="5">
        <v>10</v>
      </c>
      <c r="H1656" t="s">
        <v>33</v>
      </c>
      <c r="I1656" t="s">
        <v>24</v>
      </c>
      <c r="J1656" s="6">
        <v>8.99</v>
      </c>
      <c r="K1656">
        <v>0</v>
      </c>
      <c r="L1656" t="s">
        <v>43</v>
      </c>
      <c r="M1656" s="5">
        <v>1</v>
      </c>
      <c r="N1656" s="4">
        <v>1</v>
      </c>
      <c r="O1656" t="s">
        <v>47</v>
      </c>
    </row>
    <row r="1657" spans="1:15" x14ac:dyDescent="0.3">
      <c r="A1657" t="s">
        <v>65</v>
      </c>
      <c r="B1657" s="5">
        <v>36</v>
      </c>
      <c r="C1657" s="5" t="str" cm="1">
        <f t="array" ref="C1657">_xlfn.IFS(worksheet[[#This Row],[age]]&lt;25,"1. Young Adulthood (18-24)",worksheet[[#This Row],[age]]&lt; 35,"2. Early Adulthood (25-34)",worksheet[[#This Row],[age]]&lt; 45,"3. Mid Adulthood (35-44)",worksheet[[#This Row],[age]]&lt; 55,"4. Mature Adulthood (45-54)",TRUE,"5. Late Adulthood/Senior (55+)")</f>
        <v>3. Mid Adulthood (35-44)</v>
      </c>
      <c r="D1657" t="s">
        <v>15</v>
      </c>
      <c r="E1657" t="s">
        <v>22</v>
      </c>
      <c r="F1657" s="4">
        <v>34.6</v>
      </c>
      <c r="G1657" s="5">
        <v>19</v>
      </c>
      <c r="H1657" t="s">
        <v>33</v>
      </c>
      <c r="I1657" t="s">
        <v>57</v>
      </c>
      <c r="J1657" s="6">
        <v>13.99</v>
      </c>
      <c r="K1657">
        <v>0</v>
      </c>
      <c r="L1657" t="s">
        <v>29</v>
      </c>
      <c r="M1657" s="5">
        <v>3</v>
      </c>
      <c r="N1657" s="4">
        <v>1.73</v>
      </c>
      <c r="O1657" t="s">
        <v>20</v>
      </c>
    </row>
    <row r="1658" spans="1:15" x14ac:dyDescent="0.3">
      <c r="A1658" t="s">
        <v>79</v>
      </c>
      <c r="B1658" s="5">
        <v>35</v>
      </c>
      <c r="C1658" s="5" t="str" cm="1">
        <f t="array" ref="C1658">_xlfn.IFS(worksheet[[#This Row],[age]]&lt;25,"1. Young Adulthood (18-24)",worksheet[[#This Row],[age]]&lt; 35,"2. Early Adulthood (25-34)",worksheet[[#This Row],[age]]&lt; 45,"3. Mid Adulthood (35-44)",worksheet[[#This Row],[age]]&lt; 55,"4. Mature Adulthood (45-54)",TRUE,"5. Late Adulthood/Senior (55+)")</f>
        <v>3. Mid Adulthood (35-44)</v>
      </c>
      <c r="D1658" t="s">
        <v>15</v>
      </c>
      <c r="E1658" t="s">
        <v>22</v>
      </c>
      <c r="F1658" s="4">
        <v>22.59</v>
      </c>
      <c r="G1658" s="5">
        <v>16</v>
      </c>
      <c r="H1658" t="s">
        <v>23</v>
      </c>
      <c r="I1658" t="s">
        <v>57</v>
      </c>
      <c r="J1658" s="6">
        <v>13.99</v>
      </c>
      <c r="K1658">
        <v>0</v>
      </c>
      <c r="L1658" t="s">
        <v>61</v>
      </c>
      <c r="M1658" s="5">
        <v>2</v>
      </c>
      <c r="N1658" s="4">
        <v>1.33</v>
      </c>
      <c r="O1658" t="s">
        <v>47</v>
      </c>
    </row>
    <row r="1659" spans="1:15" x14ac:dyDescent="0.3">
      <c r="A1659" t="s">
        <v>86</v>
      </c>
      <c r="B1659" s="5">
        <v>36</v>
      </c>
      <c r="C1659" s="5" t="str" cm="1">
        <f t="array" ref="C1659">_xlfn.IFS(worksheet[[#This Row],[age]]&lt;25,"1. Young Adulthood (18-24)",worksheet[[#This Row],[age]]&lt; 35,"2. Early Adulthood (25-34)",worksheet[[#This Row],[age]]&lt; 45,"3. Mid Adulthood (35-44)",worksheet[[#This Row],[age]]&lt; 55,"4. Mature Adulthood (45-54)",TRUE,"5. Late Adulthood/Senior (55+)")</f>
        <v>3. Mid Adulthood (35-44)</v>
      </c>
      <c r="D1659" t="s">
        <v>15</v>
      </c>
      <c r="E1659" t="s">
        <v>16</v>
      </c>
      <c r="F1659" s="4">
        <v>1.68</v>
      </c>
      <c r="G1659" s="5">
        <v>10</v>
      </c>
      <c r="H1659" t="s">
        <v>17</v>
      </c>
      <c r="I1659" t="s">
        <v>18</v>
      </c>
      <c r="J1659" s="6">
        <v>8.99</v>
      </c>
      <c r="K1659">
        <v>1</v>
      </c>
      <c r="L1659" t="s">
        <v>43</v>
      </c>
      <c r="M1659" s="5">
        <v>4</v>
      </c>
      <c r="N1659" s="4">
        <v>0.15</v>
      </c>
      <c r="O1659" t="s">
        <v>20</v>
      </c>
    </row>
    <row r="1660" spans="1:15" x14ac:dyDescent="0.3">
      <c r="A1660" t="s">
        <v>92</v>
      </c>
      <c r="B1660" s="5">
        <v>42</v>
      </c>
      <c r="C1660" s="5" t="str" cm="1">
        <f t="array" ref="C1660">_xlfn.IFS(worksheet[[#This Row],[age]]&lt;25,"1. Young Adulthood (18-24)",worksheet[[#This Row],[age]]&lt; 35,"2. Early Adulthood (25-34)",worksheet[[#This Row],[age]]&lt; 45,"3. Mid Adulthood (35-44)",worksheet[[#This Row],[age]]&lt; 55,"4. Mature Adulthood (45-54)",TRUE,"5. Late Adulthood/Senior (55+)")</f>
        <v>3. Mid Adulthood (35-44)</v>
      </c>
      <c r="D1660" t="s">
        <v>27</v>
      </c>
      <c r="E1660" t="s">
        <v>16</v>
      </c>
      <c r="F1660" s="4">
        <v>49.49</v>
      </c>
      <c r="G1660" s="5">
        <v>39</v>
      </c>
      <c r="H1660" t="s">
        <v>23</v>
      </c>
      <c r="I1660" t="s">
        <v>24</v>
      </c>
      <c r="J1660" s="6">
        <v>8.99</v>
      </c>
      <c r="K1660">
        <v>0</v>
      </c>
      <c r="L1660" t="s">
        <v>61</v>
      </c>
      <c r="M1660" s="5">
        <v>5</v>
      </c>
      <c r="N1660" s="4">
        <v>1.24</v>
      </c>
      <c r="O1660" t="s">
        <v>34</v>
      </c>
    </row>
    <row r="1661" spans="1:15" x14ac:dyDescent="0.3">
      <c r="A1661" t="s">
        <v>102</v>
      </c>
      <c r="B1661" s="5">
        <v>38</v>
      </c>
      <c r="C1661" s="5" t="str" cm="1">
        <f t="array" ref="C1661">_xlfn.IFS(worksheet[[#This Row],[age]]&lt;25,"1. Young Adulthood (18-24)",worksheet[[#This Row],[age]]&lt; 35,"2. Early Adulthood (25-34)",worksheet[[#This Row],[age]]&lt; 45,"3. Mid Adulthood (35-44)",worksheet[[#This Row],[age]]&lt; 55,"4. Mature Adulthood (45-54)",TRUE,"5. Late Adulthood/Senior (55+)")</f>
        <v>3. Mid Adulthood (35-44)</v>
      </c>
      <c r="D1661" t="s">
        <v>41</v>
      </c>
      <c r="E1661" t="s">
        <v>32</v>
      </c>
      <c r="F1661" s="4">
        <v>29.84</v>
      </c>
      <c r="G1661" s="5">
        <v>56</v>
      </c>
      <c r="H1661" t="s">
        <v>49</v>
      </c>
      <c r="I1661" t="s">
        <v>55</v>
      </c>
      <c r="J1661" s="6">
        <v>17.989999999999998</v>
      </c>
      <c r="K1661">
        <v>0</v>
      </c>
      <c r="L1661" t="s">
        <v>61</v>
      </c>
      <c r="M1661" s="5">
        <v>4</v>
      </c>
      <c r="N1661" s="4">
        <v>0.52</v>
      </c>
      <c r="O1661" t="s">
        <v>30</v>
      </c>
    </row>
    <row r="1662" spans="1:15" x14ac:dyDescent="0.3">
      <c r="A1662" t="s">
        <v>104</v>
      </c>
      <c r="B1662" s="5">
        <v>43</v>
      </c>
      <c r="C1662" s="5" t="str" cm="1">
        <f t="array" ref="C1662">_xlfn.IFS(worksheet[[#This Row],[age]]&lt;25,"1. Young Adulthood (18-24)",worksheet[[#This Row],[age]]&lt; 35,"2. Early Adulthood (25-34)",worksheet[[#This Row],[age]]&lt; 45,"3. Mid Adulthood (35-44)",worksheet[[#This Row],[age]]&lt; 55,"4. Mature Adulthood (45-54)",TRUE,"5. Late Adulthood/Senior (55+)")</f>
        <v>3. Mid Adulthood (35-44)</v>
      </c>
      <c r="D1662" t="s">
        <v>27</v>
      </c>
      <c r="E1662" t="s">
        <v>32</v>
      </c>
      <c r="F1662" s="4">
        <v>2.5</v>
      </c>
      <c r="G1662" s="5">
        <v>33</v>
      </c>
      <c r="H1662" t="s">
        <v>23</v>
      </c>
      <c r="I1662" t="s">
        <v>18</v>
      </c>
      <c r="J1662" s="6">
        <v>17.989999999999998</v>
      </c>
      <c r="K1662">
        <v>1</v>
      </c>
      <c r="L1662" t="s">
        <v>61</v>
      </c>
      <c r="M1662" s="5">
        <v>3</v>
      </c>
      <c r="N1662" s="4">
        <v>7.0000000000000007E-2</v>
      </c>
      <c r="O1662" t="s">
        <v>20</v>
      </c>
    </row>
    <row r="1663" spans="1:15" x14ac:dyDescent="0.3">
      <c r="A1663" t="s">
        <v>110</v>
      </c>
      <c r="B1663" s="5">
        <v>35</v>
      </c>
      <c r="C1663" s="5" t="str" cm="1">
        <f t="array" ref="C1663">_xlfn.IFS(worksheet[[#This Row],[age]]&lt;25,"1. Young Adulthood (18-24)",worksheet[[#This Row],[age]]&lt; 35,"2. Early Adulthood (25-34)",worksheet[[#This Row],[age]]&lt; 45,"3. Mid Adulthood (35-44)",worksheet[[#This Row],[age]]&lt; 55,"4. Mature Adulthood (45-54)",TRUE,"5. Late Adulthood/Senior (55+)")</f>
        <v>3. Mid Adulthood (35-44)</v>
      </c>
      <c r="D1663" t="s">
        <v>41</v>
      </c>
      <c r="E1663" t="s">
        <v>22</v>
      </c>
      <c r="F1663" s="4">
        <v>25.08</v>
      </c>
      <c r="G1663" s="5">
        <v>2</v>
      </c>
      <c r="H1663" t="s">
        <v>33</v>
      </c>
      <c r="I1663" t="s">
        <v>18</v>
      </c>
      <c r="J1663" s="6">
        <v>13.99</v>
      </c>
      <c r="K1663">
        <v>0</v>
      </c>
      <c r="L1663" t="s">
        <v>29</v>
      </c>
      <c r="M1663" s="5">
        <v>5</v>
      </c>
      <c r="N1663" s="4">
        <v>8.36</v>
      </c>
      <c r="O1663" t="s">
        <v>20</v>
      </c>
    </row>
    <row r="1664" spans="1:15" x14ac:dyDescent="0.3">
      <c r="A1664" t="s">
        <v>118</v>
      </c>
      <c r="B1664" s="5">
        <v>41</v>
      </c>
      <c r="C1664" s="5" t="str" cm="1">
        <f t="array" ref="C1664">_xlfn.IFS(worksheet[[#This Row],[age]]&lt;25,"1. Young Adulthood (18-24)",worksheet[[#This Row],[age]]&lt; 35,"2. Early Adulthood (25-34)",worksheet[[#This Row],[age]]&lt; 45,"3. Mid Adulthood (35-44)",worksheet[[#This Row],[age]]&lt; 55,"4. Mature Adulthood (45-54)",TRUE,"5. Late Adulthood/Senior (55+)")</f>
        <v>3. Mid Adulthood (35-44)</v>
      </c>
      <c r="D1664" t="s">
        <v>41</v>
      </c>
      <c r="E1664" t="s">
        <v>16</v>
      </c>
      <c r="F1664" s="4">
        <v>15.26</v>
      </c>
      <c r="G1664" s="5">
        <v>21</v>
      </c>
      <c r="H1664" t="s">
        <v>49</v>
      </c>
      <c r="I1664" t="s">
        <v>55</v>
      </c>
      <c r="J1664" s="6">
        <v>8.99</v>
      </c>
      <c r="K1664">
        <v>0</v>
      </c>
      <c r="L1664" t="s">
        <v>37</v>
      </c>
      <c r="M1664" s="5">
        <v>5</v>
      </c>
      <c r="N1664" s="4">
        <v>0.69</v>
      </c>
      <c r="O1664" t="s">
        <v>30</v>
      </c>
    </row>
    <row r="1665" spans="1:15" x14ac:dyDescent="0.3">
      <c r="A1665" t="s">
        <v>129</v>
      </c>
      <c r="B1665" s="5">
        <v>35</v>
      </c>
      <c r="C1665" s="5" t="str" cm="1">
        <f t="array" ref="C1665">_xlfn.IFS(worksheet[[#This Row],[age]]&lt;25,"1. Young Adulthood (18-24)",worksheet[[#This Row],[age]]&lt; 35,"2. Early Adulthood (25-34)",worksheet[[#This Row],[age]]&lt; 45,"3. Mid Adulthood (35-44)",worksheet[[#This Row],[age]]&lt; 55,"4. Mature Adulthood (45-54)",TRUE,"5. Late Adulthood/Senior (55+)")</f>
        <v>3. Mid Adulthood (35-44)</v>
      </c>
      <c r="D1665" t="s">
        <v>27</v>
      </c>
      <c r="E1665" t="s">
        <v>22</v>
      </c>
      <c r="F1665" s="4">
        <v>17.53</v>
      </c>
      <c r="G1665" s="5">
        <v>38</v>
      </c>
      <c r="H1665" t="s">
        <v>33</v>
      </c>
      <c r="I1665" t="s">
        <v>46</v>
      </c>
      <c r="J1665" s="6">
        <v>13.99</v>
      </c>
      <c r="K1665">
        <v>1</v>
      </c>
      <c r="L1665" t="s">
        <v>61</v>
      </c>
      <c r="M1665" s="5">
        <v>1</v>
      </c>
      <c r="N1665" s="4">
        <v>0.45</v>
      </c>
      <c r="O1665" t="s">
        <v>20</v>
      </c>
    </row>
    <row r="1666" spans="1:15" x14ac:dyDescent="0.3">
      <c r="A1666" t="s">
        <v>131</v>
      </c>
      <c r="B1666" s="5">
        <v>37</v>
      </c>
      <c r="C1666" s="5" t="str" cm="1">
        <f t="array" ref="C1666">_xlfn.IFS(worksheet[[#This Row],[age]]&lt;25,"1. Young Adulthood (18-24)",worksheet[[#This Row],[age]]&lt; 35,"2. Early Adulthood (25-34)",worksheet[[#This Row],[age]]&lt; 45,"3. Mid Adulthood (35-44)",worksheet[[#This Row],[age]]&lt; 55,"4. Mature Adulthood (45-54)",TRUE,"5. Late Adulthood/Senior (55+)")</f>
        <v>3. Mid Adulthood (35-44)</v>
      </c>
      <c r="D1666" t="s">
        <v>41</v>
      </c>
      <c r="E1666" t="s">
        <v>16</v>
      </c>
      <c r="F1666" s="4">
        <v>9.69</v>
      </c>
      <c r="G1666" s="5">
        <v>24</v>
      </c>
      <c r="H1666" t="s">
        <v>28</v>
      </c>
      <c r="I1666" t="s">
        <v>24</v>
      </c>
      <c r="J1666" s="6">
        <v>8.99</v>
      </c>
      <c r="K1666">
        <v>0</v>
      </c>
      <c r="L1666" t="s">
        <v>61</v>
      </c>
      <c r="M1666" s="5">
        <v>4</v>
      </c>
      <c r="N1666" s="4">
        <v>0.39</v>
      </c>
      <c r="O1666" t="s">
        <v>34</v>
      </c>
    </row>
    <row r="1667" spans="1:15" x14ac:dyDescent="0.3">
      <c r="A1667" t="s">
        <v>133</v>
      </c>
      <c r="B1667" s="5">
        <v>41</v>
      </c>
      <c r="C1667" s="5" t="str" cm="1">
        <f t="array" ref="C1667">_xlfn.IFS(worksheet[[#This Row],[age]]&lt;25,"1. Young Adulthood (18-24)",worksheet[[#This Row],[age]]&lt; 35,"2. Early Adulthood (25-34)",worksheet[[#This Row],[age]]&lt; 45,"3. Mid Adulthood (35-44)",worksheet[[#This Row],[age]]&lt; 55,"4. Mature Adulthood (45-54)",TRUE,"5. Late Adulthood/Senior (55+)")</f>
        <v>3. Mid Adulthood (35-44)</v>
      </c>
      <c r="D1667" t="s">
        <v>27</v>
      </c>
      <c r="E1667" t="s">
        <v>32</v>
      </c>
      <c r="F1667" s="4">
        <v>18.87</v>
      </c>
      <c r="G1667" s="5">
        <v>9</v>
      </c>
      <c r="H1667" t="s">
        <v>23</v>
      </c>
      <c r="I1667" t="s">
        <v>18</v>
      </c>
      <c r="J1667" s="6">
        <v>17.989999999999998</v>
      </c>
      <c r="K1667">
        <v>0</v>
      </c>
      <c r="L1667" t="s">
        <v>19</v>
      </c>
      <c r="M1667" s="5">
        <v>3</v>
      </c>
      <c r="N1667" s="4">
        <v>1.89</v>
      </c>
      <c r="O1667" t="s">
        <v>52</v>
      </c>
    </row>
    <row r="1668" spans="1:15" x14ac:dyDescent="0.3">
      <c r="A1668" s="1" t="s">
        <v>137</v>
      </c>
      <c r="B1668" s="5">
        <v>36</v>
      </c>
      <c r="C1668" s="5" t="str" cm="1">
        <f t="array" ref="C1668">_xlfn.IFS(worksheet[[#This Row],[age]]&lt;25,"1. Young Adulthood (18-24)",worksheet[[#This Row],[age]]&lt; 35,"2. Early Adulthood (25-34)",worksheet[[#This Row],[age]]&lt; 45,"3. Mid Adulthood (35-44)",worksheet[[#This Row],[age]]&lt; 55,"4. Mature Adulthood (45-54)",TRUE,"5. Late Adulthood/Senior (55+)")</f>
        <v>3. Mid Adulthood (35-44)</v>
      </c>
      <c r="D1668" t="s">
        <v>15</v>
      </c>
      <c r="E1668" t="s">
        <v>32</v>
      </c>
      <c r="F1668" s="4">
        <v>13.38</v>
      </c>
      <c r="G1668" s="5">
        <v>22</v>
      </c>
      <c r="H1668" t="s">
        <v>70</v>
      </c>
      <c r="I1668" t="s">
        <v>24</v>
      </c>
      <c r="J1668" s="6">
        <v>17.989999999999998</v>
      </c>
      <c r="K1668">
        <v>0</v>
      </c>
      <c r="L1668" t="s">
        <v>19</v>
      </c>
      <c r="M1668" s="5">
        <v>4</v>
      </c>
      <c r="N1668" s="4">
        <v>0.57999999999999996</v>
      </c>
      <c r="O1668" t="s">
        <v>52</v>
      </c>
    </row>
    <row r="1669" spans="1:15" x14ac:dyDescent="0.3">
      <c r="A1669" t="s">
        <v>154</v>
      </c>
      <c r="B1669" s="5">
        <v>42</v>
      </c>
      <c r="C1669" s="5" t="str" cm="1">
        <f t="array" ref="C1669">_xlfn.IFS(worksheet[[#This Row],[age]]&lt;25,"1. Young Adulthood (18-24)",worksheet[[#This Row],[age]]&lt; 35,"2. Early Adulthood (25-34)",worksheet[[#This Row],[age]]&lt; 45,"3. Mid Adulthood (35-44)",worksheet[[#This Row],[age]]&lt; 55,"4. Mature Adulthood (45-54)",TRUE,"5. Late Adulthood/Senior (55+)")</f>
        <v>3. Mid Adulthood (35-44)</v>
      </c>
      <c r="D1669" t="s">
        <v>41</v>
      </c>
      <c r="E1669" t="s">
        <v>32</v>
      </c>
      <c r="F1669" s="4">
        <v>18.170000000000002</v>
      </c>
      <c r="G1669" s="5">
        <v>2</v>
      </c>
      <c r="H1669" t="s">
        <v>49</v>
      </c>
      <c r="I1669" t="s">
        <v>46</v>
      </c>
      <c r="J1669" s="6">
        <v>17.989999999999998</v>
      </c>
      <c r="K1669">
        <v>0</v>
      </c>
      <c r="L1669" t="s">
        <v>29</v>
      </c>
      <c r="M1669" s="5">
        <v>4</v>
      </c>
      <c r="N1669" s="4">
        <v>6.06</v>
      </c>
      <c r="O1669" t="s">
        <v>25</v>
      </c>
    </row>
    <row r="1670" spans="1:15" x14ac:dyDescent="0.3">
      <c r="A1670" t="s">
        <v>156</v>
      </c>
      <c r="B1670" s="5">
        <v>35</v>
      </c>
      <c r="C1670" s="5" t="str" cm="1">
        <f t="array" ref="C1670">_xlfn.IFS(worksheet[[#This Row],[age]]&lt;25,"1. Young Adulthood (18-24)",worksheet[[#This Row],[age]]&lt; 35,"2. Early Adulthood (25-34)",worksheet[[#This Row],[age]]&lt; 45,"3. Mid Adulthood (35-44)",worksheet[[#This Row],[age]]&lt; 55,"4. Mature Adulthood (45-54)",TRUE,"5. Late Adulthood/Senior (55+)")</f>
        <v>3. Mid Adulthood (35-44)</v>
      </c>
      <c r="D1670" t="s">
        <v>41</v>
      </c>
      <c r="E1670" t="s">
        <v>16</v>
      </c>
      <c r="F1670" s="4">
        <v>4.58</v>
      </c>
      <c r="G1670" s="5">
        <v>42</v>
      </c>
      <c r="H1670" t="s">
        <v>49</v>
      </c>
      <c r="I1670" t="s">
        <v>57</v>
      </c>
      <c r="J1670" s="6">
        <v>8.99</v>
      </c>
      <c r="K1670">
        <v>1</v>
      </c>
      <c r="L1670" t="s">
        <v>61</v>
      </c>
      <c r="M1670" s="5">
        <v>4</v>
      </c>
      <c r="N1670" s="4">
        <v>0.11</v>
      </c>
      <c r="O1670" t="s">
        <v>39</v>
      </c>
    </row>
    <row r="1671" spans="1:15" x14ac:dyDescent="0.3">
      <c r="A1671" t="s">
        <v>171</v>
      </c>
      <c r="B1671" s="5">
        <v>40</v>
      </c>
      <c r="C1671" s="5" t="str" cm="1">
        <f t="array" ref="C1671">_xlfn.IFS(worksheet[[#This Row],[age]]&lt;25,"1. Young Adulthood (18-24)",worksheet[[#This Row],[age]]&lt; 35,"2. Early Adulthood (25-34)",worksheet[[#This Row],[age]]&lt; 45,"3. Mid Adulthood (35-44)",worksheet[[#This Row],[age]]&lt; 55,"4. Mature Adulthood (45-54)",TRUE,"5. Late Adulthood/Senior (55+)")</f>
        <v>3. Mid Adulthood (35-44)</v>
      </c>
      <c r="D1671" t="s">
        <v>41</v>
      </c>
      <c r="E1671" t="s">
        <v>32</v>
      </c>
      <c r="F1671" s="4">
        <v>12.26</v>
      </c>
      <c r="G1671" s="5">
        <v>3</v>
      </c>
      <c r="H1671" t="s">
        <v>70</v>
      </c>
      <c r="I1671" t="s">
        <v>24</v>
      </c>
      <c r="J1671" s="6">
        <v>17.989999999999998</v>
      </c>
      <c r="K1671">
        <v>0</v>
      </c>
      <c r="L1671" t="s">
        <v>37</v>
      </c>
      <c r="M1671" s="5">
        <v>5</v>
      </c>
      <c r="N1671" s="4">
        <v>3.06</v>
      </c>
      <c r="O1671" t="s">
        <v>39</v>
      </c>
    </row>
    <row r="1672" spans="1:15" x14ac:dyDescent="0.3">
      <c r="A1672" t="s">
        <v>173</v>
      </c>
      <c r="B1672" s="5">
        <v>35</v>
      </c>
      <c r="C1672" s="5" t="str" cm="1">
        <f t="array" ref="C1672">_xlfn.IFS(worksheet[[#This Row],[age]]&lt;25,"1. Young Adulthood (18-24)",worksheet[[#This Row],[age]]&lt; 35,"2. Early Adulthood (25-34)",worksheet[[#This Row],[age]]&lt; 45,"3. Mid Adulthood (35-44)",worksheet[[#This Row],[age]]&lt; 55,"4. Mature Adulthood (45-54)",TRUE,"5. Late Adulthood/Senior (55+)")</f>
        <v>3. Mid Adulthood (35-44)</v>
      </c>
      <c r="D1672" t="s">
        <v>27</v>
      </c>
      <c r="E1672" t="s">
        <v>16</v>
      </c>
      <c r="F1672" s="4">
        <v>26.9</v>
      </c>
      <c r="G1672" s="5">
        <v>49</v>
      </c>
      <c r="H1672" t="s">
        <v>49</v>
      </c>
      <c r="I1672" t="s">
        <v>55</v>
      </c>
      <c r="J1672" s="6">
        <v>8.99</v>
      </c>
      <c r="K1672">
        <v>0</v>
      </c>
      <c r="L1672" t="s">
        <v>19</v>
      </c>
      <c r="M1672" s="5">
        <v>2</v>
      </c>
      <c r="N1672" s="4">
        <v>0.54</v>
      </c>
      <c r="O1672" t="s">
        <v>30</v>
      </c>
    </row>
    <row r="1673" spans="1:15" x14ac:dyDescent="0.3">
      <c r="A1673" t="s">
        <v>183</v>
      </c>
      <c r="B1673" s="5">
        <v>40</v>
      </c>
      <c r="C1673" s="5" t="str" cm="1">
        <f t="array" ref="C1673">_xlfn.IFS(worksheet[[#This Row],[age]]&lt;25,"1. Young Adulthood (18-24)",worksheet[[#This Row],[age]]&lt; 35,"2. Early Adulthood (25-34)",worksheet[[#This Row],[age]]&lt; 45,"3. Mid Adulthood (35-44)",worksheet[[#This Row],[age]]&lt; 55,"4. Mature Adulthood (45-54)",TRUE,"5. Late Adulthood/Senior (55+)")</f>
        <v>3. Mid Adulthood (35-44)</v>
      </c>
      <c r="D1673" t="s">
        <v>27</v>
      </c>
      <c r="E1673" t="s">
        <v>22</v>
      </c>
      <c r="F1673" s="4">
        <v>32.880000000000003</v>
      </c>
      <c r="G1673" s="5">
        <v>36</v>
      </c>
      <c r="H1673" t="s">
        <v>49</v>
      </c>
      <c r="I1673" t="s">
        <v>55</v>
      </c>
      <c r="J1673" s="6">
        <v>13.99</v>
      </c>
      <c r="K1673">
        <v>0</v>
      </c>
      <c r="L1673" t="s">
        <v>29</v>
      </c>
      <c r="M1673" s="5">
        <v>4</v>
      </c>
      <c r="N1673" s="4">
        <v>0.89</v>
      </c>
      <c r="O1673" t="s">
        <v>25</v>
      </c>
    </row>
    <row r="1674" spans="1:15" x14ac:dyDescent="0.3">
      <c r="A1674" t="s">
        <v>184</v>
      </c>
      <c r="B1674" s="5">
        <v>41</v>
      </c>
      <c r="C1674" s="5" t="str" cm="1">
        <f t="array" ref="C1674">_xlfn.IFS(worksheet[[#This Row],[age]]&lt;25,"1. Young Adulthood (18-24)",worksheet[[#This Row],[age]]&lt; 35,"2. Early Adulthood (25-34)",worksheet[[#This Row],[age]]&lt; 45,"3. Mid Adulthood (35-44)",worksheet[[#This Row],[age]]&lt; 55,"4. Mature Adulthood (45-54)",TRUE,"5. Late Adulthood/Senior (55+)")</f>
        <v>3. Mid Adulthood (35-44)</v>
      </c>
      <c r="D1674" t="s">
        <v>27</v>
      </c>
      <c r="E1674" t="s">
        <v>22</v>
      </c>
      <c r="F1674" s="4">
        <v>6.26</v>
      </c>
      <c r="G1674" s="5">
        <v>16</v>
      </c>
      <c r="H1674" t="s">
        <v>33</v>
      </c>
      <c r="I1674" t="s">
        <v>57</v>
      </c>
      <c r="J1674" s="6">
        <v>13.99</v>
      </c>
      <c r="K1674">
        <v>0</v>
      </c>
      <c r="L1674" t="s">
        <v>29</v>
      </c>
      <c r="M1674" s="5">
        <v>4</v>
      </c>
      <c r="N1674" s="4">
        <v>0.37</v>
      </c>
      <c r="O1674" t="s">
        <v>20</v>
      </c>
    </row>
    <row r="1675" spans="1:15" x14ac:dyDescent="0.3">
      <c r="A1675" t="s">
        <v>196</v>
      </c>
      <c r="B1675" s="5">
        <v>42</v>
      </c>
      <c r="C1675" s="5" t="str" cm="1">
        <f t="array" ref="C1675">_xlfn.IFS(worksheet[[#This Row],[age]]&lt;25,"1. Young Adulthood (18-24)",worksheet[[#This Row],[age]]&lt; 35,"2. Early Adulthood (25-34)",worksheet[[#This Row],[age]]&lt; 45,"3. Mid Adulthood (35-44)",worksheet[[#This Row],[age]]&lt; 55,"4. Mature Adulthood (45-54)",TRUE,"5. Late Adulthood/Senior (55+)")</f>
        <v>3. Mid Adulthood (35-44)</v>
      </c>
      <c r="D1675" t="s">
        <v>41</v>
      </c>
      <c r="E1675" t="s">
        <v>32</v>
      </c>
      <c r="F1675" s="4">
        <v>0.88</v>
      </c>
      <c r="G1675" s="5">
        <v>33</v>
      </c>
      <c r="H1675" t="s">
        <v>33</v>
      </c>
      <c r="I1675" t="s">
        <v>46</v>
      </c>
      <c r="J1675" s="6">
        <v>17.989999999999998</v>
      </c>
      <c r="K1675">
        <v>1</v>
      </c>
      <c r="L1675" t="s">
        <v>61</v>
      </c>
      <c r="M1675" s="5">
        <v>1</v>
      </c>
      <c r="N1675" s="4">
        <v>0.03</v>
      </c>
      <c r="O1675" t="s">
        <v>47</v>
      </c>
    </row>
    <row r="1676" spans="1:15" x14ac:dyDescent="0.3">
      <c r="A1676" t="s">
        <v>209</v>
      </c>
      <c r="B1676" s="5">
        <v>37</v>
      </c>
      <c r="C1676" s="5" t="str" cm="1">
        <f t="array" ref="C1676">_xlfn.IFS(worksheet[[#This Row],[age]]&lt;25,"1. Young Adulthood (18-24)",worksheet[[#This Row],[age]]&lt; 35,"2. Early Adulthood (25-34)",worksheet[[#This Row],[age]]&lt; 45,"3. Mid Adulthood (35-44)",worksheet[[#This Row],[age]]&lt; 55,"4. Mature Adulthood (45-54)",TRUE,"5. Late Adulthood/Senior (55+)")</f>
        <v>3. Mid Adulthood (35-44)</v>
      </c>
      <c r="D1676" t="s">
        <v>41</v>
      </c>
      <c r="E1676" t="s">
        <v>22</v>
      </c>
      <c r="F1676" s="4">
        <v>31.31</v>
      </c>
      <c r="G1676" s="5">
        <v>53</v>
      </c>
      <c r="H1676" t="s">
        <v>49</v>
      </c>
      <c r="I1676" t="s">
        <v>24</v>
      </c>
      <c r="J1676" s="6">
        <v>13.99</v>
      </c>
      <c r="K1676">
        <v>0</v>
      </c>
      <c r="L1676" t="s">
        <v>19</v>
      </c>
      <c r="M1676" s="5">
        <v>1</v>
      </c>
      <c r="N1676" s="4">
        <v>0.57999999999999996</v>
      </c>
      <c r="O1676" t="s">
        <v>25</v>
      </c>
    </row>
    <row r="1677" spans="1:15" x14ac:dyDescent="0.3">
      <c r="A1677" t="s">
        <v>216</v>
      </c>
      <c r="B1677" s="5">
        <v>40</v>
      </c>
      <c r="C1677" s="5" t="str" cm="1">
        <f t="array" ref="C1677">_xlfn.IFS(worksheet[[#This Row],[age]]&lt;25,"1. Young Adulthood (18-24)",worksheet[[#This Row],[age]]&lt; 35,"2. Early Adulthood (25-34)",worksheet[[#This Row],[age]]&lt; 45,"3. Mid Adulthood (35-44)",worksheet[[#This Row],[age]]&lt; 55,"4. Mature Adulthood (45-54)",TRUE,"5. Late Adulthood/Senior (55+)")</f>
        <v>3. Mid Adulthood (35-44)</v>
      </c>
      <c r="D1677" t="s">
        <v>15</v>
      </c>
      <c r="E1677" t="s">
        <v>16</v>
      </c>
      <c r="F1677" s="4">
        <v>8.1300000000000008</v>
      </c>
      <c r="G1677" s="5">
        <v>4</v>
      </c>
      <c r="H1677" t="s">
        <v>33</v>
      </c>
      <c r="I1677" t="s">
        <v>57</v>
      </c>
      <c r="J1677" s="6">
        <v>8.99</v>
      </c>
      <c r="K1677">
        <v>0</v>
      </c>
      <c r="L1677" t="s">
        <v>19</v>
      </c>
      <c r="M1677" s="5">
        <v>4</v>
      </c>
      <c r="N1677" s="4">
        <v>1.63</v>
      </c>
      <c r="O1677" t="s">
        <v>39</v>
      </c>
    </row>
    <row r="1678" spans="1:15" x14ac:dyDescent="0.3">
      <c r="A1678" s="1" t="s">
        <v>217</v>
      </c>
      <c r="B1678" s="5">
        <v>44</v>
      </c>
      <c r="C1678" s="5" t="str" cm="1">
        <f t="array" ref="C1678">_xlfn.IFS(worksheet[[#This Row],[age]]&lt;25,"1. Young Adulthood (18-24)",worksheet[[#This Row],[age]]&lt; 35,"2. Early Adulthood (25-34)",worksheet[[#This Row],[age]]&lt; 45,"3. Mid Adulthood (35-44)",worksheet[[#This Row],[age]]&lt; 55,"4. Mature Adulthood (45-54)",TRUE,"5. Late Adulthood/Senior (55+)")</f>
        <v>3. Mid Adulthood (35-44)</v>
      </c>
      <c r="D1678" t="s">
        <v>41</v>
      </c>
      <c r="E1678" t="s">
        <v>32</v>
      </c>
      <c r="F1678" s="4">
        <v>38.18</v>
      </c>
      <c r="G1678" s="5">
        <v>49</v>
      </c>
      <c r="H1678" t="s">
        <v>33</v>
      </c>
      <c r="I1678" t="s">
        <v>18</v>
      </c>
      <c r="J1678" s="6">
        <v>17.989999999999998</v>
      </c>
      <c r="K1678">
        <v>0</v>
      </c>
      <c r="L1678" t="s">
        <v>19</v>
      </c>
      <c r="M1678" s="5">
        <v>3</v>
      </c>
      <c r="N1678" s="4">
        <v>0.76</v>
      </c>
      <c r="O1678" t="s">
        <v>52</v>
      </c>
    </row>
    <row r="1679" spans="1:15" x14ac:dyDescent="0.3">
      <c r="A1679" t="s">
        <v>239</v>
      </c>
      <c r="B1679" s="5">
        <v>44</v>
      </c>
      <c r="C1679" s="5" t="str" cm="1">
        <f t="array" ref="C1679">_xlfn.IFS(worksheet[[#This Row],[age]]&lt;25,"1. Young Adulthood (18-24)",worksheet[[#This Row],[age]]&lt; 35,"2. Early Adulthood (25-34)",worksheet[[#This Row],[age]]&lt; 45,"3. Mid Adulthood (35-44)",worksheet[[#This Row],[age]]&lt; 55,"4. Mature Adulthood (45-54)",TRUE,"5. Late Adulthood/Senior (55+)")</f>
        <v>3. Mid Adulthood (35-44)</v>
      </c>
      <c r="D1679" t="s">
        <v>15</v>
      </c>
      <c r="E1679" t="s">
        <v>16</v>
      </c>
      <c r="F1679" s="4">
        <v>14.91</v>
      </c>
      <c r="G1679" s="5">
        <v>47</v>
      </c>
      <c r="H1679" t="s">
        <v>23</v>
      </c>
      <c r="I1679" t="s">
        <v>55</v>
      </c>
      <c r="J1679" s="6">
        <v>8.99</v>
      </c>
      <c r="K1679">
        <v>1</v>
      </c>
      <c r="L1679" t="s">
        <v>37</v>
      </c>
      <c r="M1679" s="5">
        <v>5</v>
      </c>
      <c r="N1679" s="4">
        <v>0.31</v>
      </c>
      <c r="O1679" t="s">
        <v>34</v>
      </c>
    </row>
    <row r="1680" spans="1:15" x14ac:dyDescent="0.3">
      <c r="A1680" t="s">
        <v>241</v>
      </c>
      <c r="B1680" s="5">
        <v>42</v>
      </c>
      <c r="C1680" s="5" t="str" cm="1">
        <f t="array" ref="C1680">_xlfn.IFS(worksheet[[#This Row],[age]]&lt;25,"1. Young Adulthood (18-24)",worksheet[[#This Row],[age]]&lt; 35,"2. Early Adulthood (25-34)",worksheet[[#This Row],[age]]&lt; 45,"3. Mid Adulthood (35-44)",worksheet[[#This Row],[age]]&lt; 55,"4. Mature Adulthood (45-54)",TRUE,"5. Late Adulthood/Senior (55+)")</f>
        <v>3. Mid Adulthood (35-44)</v>
      </c>
      <c r="D1680" t="s">
        <v>15</v>
      </c>
      <c r="E1680" t="s">
        <v>16</v>
      </c>
      <c r="F1680" s="4">
        <v>2.6</v>
      </c>
      <c r="G1680" s="5">
        <v>50</v>
      </c>
      <c r="H1680" t="s">
        <v>49</v>
      </c>
      <c r="I1680" t="s">
        <v>46</v>
      </c>
      <c r="J1680" s="6">
        <v>8.99</v>
      </c>
      <c r="K1680">
        <v>1</v>
      </c>
      <c r="L1680" t="s">
        <v>61</v>
      </c>
      <c r="M1680" s="5">
        <v>4</v>
      </c>
      <c r="N1680" s="4">
        <v>0.05</v>
      </c>
      <c r="O1680" t="s">
        <v>39</v>
      </c>
    </row>
    <row r="1681" spans="1:15" x14ac:dyDescent="0.3">
      <c r="A1681" t="s">
        <v>248</v>
      </c>
      <c r="B1681" s="5">
        <v>36</v>
      </c>
      <c r="C1681" s="5" t="str" cm="1">
        <f t="array" ref="C1681">_xlfn.IFS(worksheet[[#This Row],[age]]&lt;25,"1. Young Adulthood (18-24)",worksheet[[#This Row],[age]]&lt; 35,"2. Early Adulthood (25-34)",worksheet[[#This Row],[age]]&lt; 45,"3. Mid Adulthood (35-44)",worksheet[[#This Row],[age]]&lt; 55,"4. Mature Adulthood (45-54)",TRUE,"5. Late Adulthood/Senior (55+)")</f>
        <v>3. Mid Adulthood (35-44)</v>
      </c>
      <c r="D1681" t="s">
        <v>27</v>
      </c>
      <c r="E1681" t="s">
        <v>32</v>
      </c>
      <c r="F1681" s="4">
        <v>50.98</v>
      </c>
      <c r="G1681" s="5">
        <v>23</v>
      </c>
      <c r="H1681" t="s">
        <v>28</v>
      </c>
      <c r="I1681" t="s">
        <v>24</v>
      </c>
      <c r="J1681" s="6">
        <v>17.989999999999998</v>
      </c>
      <c r="K1681">
        <v>0</v>
      </c>
      <c r="L1681" t="s">
        <v>19</v>
      </c>
      <c r="M1681" s="5">
        <v>4</v>
      </c>
      <c r="N1681" s="4">
        <v>2.12</v>
      </c>
      <c r="O1681" t="s">
        <v>47</v>
      </c>
    </row>
    <row r="1682" spans="1:15" x14ac:dyDescent="0.3">
      <c r="A1682" t="s">
        <v>255</v>
      </c>
      <c r="B1682" s="5">
        <v>36</v>
      </c>
      <c r="C1682" s="5" t="str" cm="1">
        <f t="array" ref="C1682">_xlfn.IFS(worksheet[[#This Row],[age]]&lt;25,"1. Young Adulthood (18-24)",worksheet[[#This Row],[age]]&lt; 35,"2. Early Adulthood (25-34)",worksheet[[#This Row],[age]]&lt; 45,"3. Mid Adulthood (35-44)",worksheet[[#This Row],[age]]&lt; 55,"4. Mature Adulthood (45-54)",TRUE,"5. Late Adulthood/Senior (55+)")</f>
        <v>3. Mid Adulthood (35-44)</v>
      </c>
      <c r="D1682" t="s">
        <v>27</v>
      </c>
      <c r="E1682" t="s">
        <v>16</v>
      </c>
      <c r="F1682" s="4">
        <v>3.58</v>
      </c>
      <c r="G1682" s="5">
        <v>14</v>
      </c>
      <c r="H1682" t="s">
        <v>70</v>
      </c>
      <c r="I1682" t="s">
        <v>57</v>
      </c>
      <c r="J1682" s="6">
        <v>8.99</v>
      </c>
      <c r="K1682">
        <v>1</v>
      </c>
      <c r="L1682" t="s">
        <v>43</v>
      </c>
      <c r="M1682" s="5">
        <v>2</v>
      </c>
      <c r="N1682" s="4">
        <v>0.24</v>
      </c>
      <c r="O1682" t="s">
        <v>39</v>
      </c>
    </row>
    <row r="1683" spans="1:15" x14ac:dyDescent="0.3">
      <c r="A1683" t="s">
        <v>258</v>
      </c>
      <c r="B1683" s="5">
        <v>42</v>
      </c>
      <c r="C1683" s="5" t="str" cm="1">
        <f t="array" ref="C1683">_xlfn.IFS(worksheet[[#This Row],[age]]&lt;25,"1. Young Adulthood (18-24)",worksheet[[#This Row],[age]]&lt; 35,"2. Early Adulthood (25-34)",worksheet[[#This Row],[age]]&lt; 45,"3. Mid Adulthood (35-44)",worksheet[[#This Row],[age]]&lt; 55,"4. Mature Adulthood (45-54)",TRUE,"5. Late Adulthood/Senior (55+)")</f>
        <v>3. Mid Adulthood (35-44)</v>
      </c>
      <c r="D1683" t="s">
        <v>27</v>
      </c>
      <c r="E1683" t="s">
        <v>16</v>
      </c>
      <c r="F1683" s="4">
        <v>2.98</v>
      </c>
      <c r="G1683" s="5">
        <v>29</v>
      </c>
      <c r="H1683" t="s">
        <v>28</v>
      </c>
      <c r="I1683" t="s">
        <v>18</v>
      </c>
      <c r="J1683" s="6">
        <v>8.99</v>
      </c>
      <c r="K1683">
        <v>1</v>
      </c>
      <c r="L1683" t="s">
        <v>29</v>
      </c>
      <c r="M1683" s="5">
        <v>4</v>
      </c>
      <c r="N1683" s="4">
        <v>0.1</v>
      </c>
      <c r="O1683" t="s">
        <v>47</v>
      </c>
    </row>
    <row r="1684" spans="1:15" x14ac:dyDescent="0.3">
      <c r="A1684" s="1" t="s">
        <v>269</v>
      </c>
      <c r="B1684" s="5">
        <v>36</v>
      </c>
      <c r="C1684" s="5" t="str" cm="1">
        <f t="array" ref="C1684">_xlfn.IFS(worksheet[[#This Row],[age]]&lt;25,"1. Young Adulthood (18-24)",worksheet[[#This Row],[age]]&lt; 35,"2. Early Adulthood (25-34)",worksheet[[#This Row],[age]]&lt; 45,"3. Mid Adulthood (35-44)",worksheet[[#This Row],[age]]&lt; 55,"4. Mature Adulthood (45-54)",TRUE,"5. Late Adulthood/Senior (55+)")</f>
        <v>3. Mid Adulthood (35-44)</v>
      </c>
      <c r="D1684" t="s">
        <v>15</v>
      </c>
      <c r="E1684" t="s">
        <v>32</v>
      </c>
      <c r="F1684" s="4">
        <v>18.47</v>
      </c>
      <c r="G1684" s="5">
        <v>28</v>
      </c>
      <c r="H1684" t="s">
        <v>28</v>
      </c>
      <c r="I1684" t="s">
        <v>57</v>
      </c>
      <c r="J1684" s="6">
        <v>17.989999999999998</v>
      </c>
      <c r="K1684">
        <v>0</v>
      </c>
      <c r="L1684" t="s">
        <v>61</v>
      </c>
      <c r="M1684" s="5">
        <v>2</v>
      </c>
      <c r="N1684" s="4">
        <v>0.64</v>
      </c>
      <c r="O1684" t="s">
        <v>34</v>
      </c>
    </row>
    <row r="1685" spans="1:15" x14ac:dyDescent="0.3">
      <c r="A1685" t="s">
        <v>270</v>
      </c>
      <c r="B1685" s="5">
        <v>40</v>
      </c>
      <c r="C1685" s="5" t="str" cm="1">
        <f t="array" ref="C1685">_xlfn.IFS(worksheet[[#This Row],[age]]&lt;25,"1. Young Adulthood (18-24)",worksheet[[#This Row],[age]]&lt; 35,"2. Early Adulthood (25-34)",worksheet[[#This Row],[age]]&lt; 45,"3. Mid Adulthood (35-44)",worksheet[[#This Row],[age]]&lt; 55,"4. Mature Adulthood (45-54)",TRUE,"5. Late Adulthood/Senior (55+)")</f>
        <v>3. Mid Adulthood (35-44)</v>
      </c>
      <c r="D1685" t="s">
        <v>27</v>
      </c>
      <c r="E1685" t="s">
        <v>22</v>
      </c>
      <c r="F1685" s="4">
        <v>22.52</v>
      </c>
      <c r="G1685" s="5">
        <v>8</v>
      </c>
      <c r="H1685" t="s">
        <v>17</v>
      </c>
      <c r="I1685" t="s">
        <v>46</v>
      </c>
      <c r="J1685" s="6">
        <v>13.99</v>
      </c>
      <c r="K1685">
        <v>0</v>
      </c>
      <c r="L1685" t="s">
        <v>43</v>
      </c>
      <c r="M1685" s="5">
        <v>5</v>
      </c>
      <c r="N1685" s="4">
        <v>2.5</v>
      </c>
      <c r="O1685" t="s">
        <v>47</v>
      </c>
    </row>
    <row r="1686" spans="1:15" x14ac:dyDescent="0.3">
      <c r="A1686" t="s">
        <v>275</v>
      </c>
      <c r="B1686" s="5">
        <v>37</v>
      </c>
      <c r="C1686" s="5" t="str" cm="1">
        <f t="array" ref="C1686">_xlfn.IFS(worksheet[[#This Row],[age]]&lt;25,"1. Young Adulthood (18-24)",worksheet[[#This Row],[age]]&lt; 35,"2. Early Adulthood (25-34)",worksheet[[#This Row],[age]]&lt; 45,"3. Mid Adulthood (35-44)",worksheet[[#This Row],[age]]&lt; 55,"4. Mature Adulthood (45-54)",TRUE,"5. Late Adulthood/Senior (55+)")</f>
        <v>3. Mid Adulthood (35-44)</v>
      </c>
      <c r="D1686" t="s">
        <v>41</v>
      </c>
      <c r="E1686" t="s">
        <v>22</v>
      </c>
      <c r="F1686" s="4">
        <v>13.86</v>
      </c>
      <c r="G1686" s="5">
        <v>46</v>
      </c>
      <c r="H1686" t="s">
        <v>49</v>
      </c>
      <c r="I1686" t="s">
        <v>46</v>
      </c>
      <c r="J1686" s="6">
        <v>13.99</v>
      </c>
      <c r="K1686">
        <v>1</v>
      </c>
      <c r="L1686" t="s">
        <v>19</v>
      </c>
      <c r="M1686" s="5">
        <v>3</v>
      </c>
      <c r="N1686" s="4">
        <v>0.28999999999999998</v>
      </c>
      <c r="O1686" t="s">
        <v>52</v>
      </c>
    </row>
    <row r="1687" spans="1:15" x14ac:dyDescent="0.3">
      <c r="A1687" t="s">
        <v>278</v>
      </c>
      <c r="B1687" s="5">
        <v>37</v>
      </c>
      <c r="C1687" s="5" t="str" cm="1">
        <f t="array" ref="C1687">_xlfn.IFS(worksheet[[#This Row],[age]]&lt;25,"1. Young Adulthood (18-24)",worksheet[[#This Row],[age]]&lt; 35,"2. Early Adulthood (25-34)",worksheet[[#This Row],[age]]&lt; 45,"3. Mid Adulthood (35-44)",worksheet[[#This Row],[age]]&lt; 55,"4. Mature Adulthood (45-54)",TRUE,"5. Late Adulthood/Senior (55+)")</f>
        <v>3. Mid Adulthood (35-44)</v>
      </c>
      <c r="D1687" t="s">
        <v>41</v>
      </c>
      <c r="E1687" t="s">
        <v>16</v>
      </c>
      <c r="F1687" s="4">
        <v>4.84</v>
      </c>
      <c r="G1687" s="5">
        <v>25</v>
      </c>
      <c r="H1687" t="s">
        <v>17</v>
      </c>
      <c r="I1687" t="s">
        <v>46</v>
      </c>
      <c r="J1687" s="6">
        <v>8.99</v>
      </c>
      <c r="K1687">
        <v>1</v>
      </c>
      <c r="L1687" t="s">
        <v>43</v>
      </c>
      <c r="M1687" s="5">
        <v>5</v>
      </c>
      <c r="N1687" s="4">
        <v>0.19</v>
      </c>
      <c r="O1687" t="s">
        <v>20</v>
      </c>
    </row>
    <row r="1688" spans="1:15" x14ac:dyDescent="0.3">
      <c r="A1688" t="s">
        <v>279</v>
      </c>
      <c r="B1688" s="5">
        <v>36</v>
      </c>
      <c r="C1688" s="5" t="str" cm="1">
        <f t="array" ref="C1688">_xlfn.IFS(worksheet[[#This Row],[age]]&lt;25,"1. Young Adulthood (18-24)",worksheet[[#This Row],[age]]&lt; 35,"2. Early Adulthood (25-34)",worksheet[[#This Row],[age]]&lt; 45,"3. Mid Adulthood (35-44)",worksheet[[#This Row],[age]]&lt; 55,"4. Mature Adulthood (45-54)",TRUE,"5. Late Adulthood/Senior (55+)")</f>
        <v>3. Mid Adulthood (35-44)</v>
      </c>
      <c r="D1688" t="s">
        <v>15</v>
      </c>
      <c r="E1688" t="s">
        <v>32</v>
      </c>
      <c r="F1688" s="4">
        <v>8.6999999999999993</v>
      </c>
      <c r="G1688" s="5">
        <v>45</v>
      </c>
      <c r="H1688" t="s">
        <v>49</v>
      </c>
      <c r="I1688" t="s">
        <v>24</v>
      </c>
      <c r="J1688" s="6">
        <v>17.989999999999998</v>
      </c>
      <c r="K1688">
        <v>0</v>
      </c>
      <c r="L1688" t="s">
        <v>43</v>
      </c>
      <c r="M1688" s="5">
        <v>4</v>
      </c>
      <c r="N1688" s="4">
        <v>0.19</v>
      </c>
      <c r="O1688" t="s">
        <v>30</v>
      </c>
    </row>
    <row r="1689" spans="1:15" x14ac:dyDescent="0.3">
      <c r="A1689" t="s">
        <v>281</v>
      </c>
      <c r="B1689" s="5">
        <v>43</v>
      </c>
      <c r="C1689" s="5" t="str" cm="1">
        <f t="array" ref="C1689">_xlfn.IFS(worksheet[[#This Row],[age]]&lt;25,"1. Young Adulthood (18-24)",worksheet[[#This Row],[age]]&lt; 35,"2. Early Adulthood (25-34)",worksheet[[#This Row],[age]]&lt; 45,"3. Mid Adulthood (35-44)",worksheet[[#This Row],[age]]&lt; 55,"4. Mature Adulthood (45-54)",TRUE,"5. Late Adulthood/Senior (55+)")</f>
        <v>3. Mid Adulthood (35-44)</v>
      </c>
      <c r="D1689" t="s">
        <v>41</v>
      </c>
      <c r="E1689" t="s">
        <v>16</v>
      </c>
      <c r="F1689" s="4">
        <v>0.53</v>
      </c>
      <c r="G1689" s="5">
        <v>22</v>
      </c>
      <c r="H1689" t="s">
        <v>23</v>
      </c>
      <c r="I1689" t="s">
        <v>18</v>
      </c>
      <c r="J1689" s="6">
        <v>8.99</v>
      </c>
      <c r="K1689">
        <v>1</v>
      </c>
      <c r="L1689" t="s">
        <v>43</v>
      </c>
      <c r="M1689" s="5">
        <v>1</v>
      </c>
      <c r="N1689" s="4">
        <v>0.02</v>
      </c>
      <c r="O1689" t="s">
        <v>39</v>
      </c>
    </row>
    <row r="1690" spans="1:15" x14ac:dyDescent="0.3">
      <c r="A1690" t="s">
        <v>285</v>
      </c>
      <c r="B1690" s="5">
        <v>38</v>
      </c>
      <c r="C1690" s="5" t="str" cm="1">
        <f t="array" ref="C1690">_xlfn.IFS(worksheet[[#This Row],[age]]&lt;25,"1. Young Adulthood (18-24)",worksheet[[#This Row],[age]]&lt; 35,"2. Early Adulthood (25-34)",worksheet[[#This Row],[age]]&lt; 45,"3. Mid Adulthood (35-44)",worksheet[[#This Row],[age]]&lt; 55,"4. Mature Adulthood (45-54)",TRUE,"5. Late Adulthood/Senior (55+)")</f>
        <v>3. Mid Adulthood (35-44)</v>
      </c>
      <c r="D1690" t="s">
        <v>27</v>
      </c>
      <c r="E1690" t="s">
        <v>16</v>
      </c>
      <c r="F1690" s="4">
        <v>33.5</v>
      </c>
      <c r="G1690" s="5">
        <v>56</v>
      </c>
      <c r="H1690" t="s">
        <v>28</v>
      </c>
      <c r="I1690" t="s">
        <v>46</v>
      </c>
      <c r="J1690" s="6">
        <v>8.99</v>
      </c>
      <c r="K1690">
        <v>0</v>
      </c>
      <c r="L1690" t="s">
        <v>43</v>
      </c>
      <c r="M1690" s="5">
        <v>2</v>
      </c>
      <c r="N1690" s="4">
        <v>0.59</v>
      </c>
      <c r="O1690" t="s">
        <v>20</v>
      </c>
    </row>
    <row r="1691" spans="1:15" x14ac:dyDescent="0.3">
      <c r="A1691" t="s">
        <v>287</v>
      </c>
      <c r="B1691" s="5">
        <v>39</v>
      </c>
      <c r="C1691" s="5" t="str" cm="1">
        <f t="array" ref="C1691">_xlfn.IFS(worksheet[[#This Row],[age]]&lt;25,"1. Young Adulthood (18-24)",worksheet[[#This Row],[age]]&lt; 35,"2. Early Adulthood (25-34)",worksheet[[#This Row],[age]]&lt; 45,"3. Mid Adulthood (35-44)",worksheet[[#This Row],[age]]&lt; 55,"4. Mature Adulthood (45-54)",TRUE,"5. Late Adulthood/Senior (55+)")</f>
        <v>3. Mid Adulthood (35-44)</v>
      </c>
      <c r="D1691" t="s">
        <v>27</v>
      </c>
      <c r="E1691" t="s">
        <v>32</v>
      </c>
      <c r="F1691" s="4">
        <v>47.79</v>
      </c>
      <c r="G1691" s="5">
        <v>12</v>
      </c>
      <c r="H1691" t="s">
        <v>70</v>
      </c>
      <c r="I1691" t="s">
        <v>18</v>
      </c>
      <c r="J1691" s="6">
        <v>17.989999999999998</v>
      </c>
      <c r="K1691">
        <v>0</v>
      </c>
      <c r="L1691" t="s">
        <v>19</v>
      </c>
      <c r="M1691" s="5">
        <v>1</v>
      </c>
      <c r="N1691" s="4">
        <v>3.68</v>
      </c>
      <c r="O1691" t="s">
        <v>47</v>
      </c>
    </row>
    <row r="1692" spans="1:15" x14ac:dyDescent="0.3">
      <c r="A1692" s="1" t="s">
        <v>290</v>
      </c>
      <c r="B1692" s="5">
        <v>42</v>
      </c>
      <c r="C1692" s="5" t="str" cm="1">
        <f t="array" ref="C1692">_xlfn.IFS(worksheet[[#This Row],[age]]&lt;25,"1. Young Adulthood (18-24)",worksheet[[#This Row],[age]]&lt; 35,"2. Early Adulthood (25-34)",worksheet[[#This Row],[age]]&lt; 45,"3. Mid Adulthood (35-44)",worksheet[[#This Row],[age]]&lt; 55,"4. Mature Adulthood (45-54)",TRUE,"5. Late Adulthood/Senior (55+)")</f>
        <v>3. Mid Adulthood (35-44)</v>
      </c>
      <c r="D1692" t="s">
        <v>27</v>
      </c>
      <c r="E1692" t="s">
        <v>22</v>
      </c>
      <c r="F1692" s="4">
        <v>9.91</v>
      </c>
      <c r="G1692" s="5">
        <v>14</v>
      </c>
      <c r="H1692" t="s">
        <v>17</v>
      </c>
      <c r="I1692" t="s">
        <v>55</v>
      </c>
      <c r="J1692" s="6">
        <v>13.99</v>
      </c>
      <c r="K1692">
        <v>0</v>
      </c>
      <c r="L1692" t="s">
        <v>29</v>
      </c>
      <c r="M1692" s="5">
        <v>1</v>
      </c>
      <c r="N1692" s="4">
        <v>0.66</v>
      </c>
      <c r="O1692" t="s">
        <v>47</v>
      </c>
    </row>
    <row r="1693" spans="1:15" x14ac:dyDescent="0.3">
      <c r="A1693" t="s">
        <v>292</v>
      </c>
      <c r="B1693" s="5">
        <v>36</v>
      </c>
      <c r="C1693" s="5" t="str" cm="1">
        <f t="array" ref="C1693">_xlfn.IFS(worksheet[[#This Row],[age]]&lt;25,"1. Young Adulthood (18-24)",worksheet[[#This Row],[age]]&lt; 35,"2. Early Adulthood (25-34)",worksheet[[#This Row],[age]]&lt; 45,"3. Mid Adulthood (35-44)",worksheet[[#This Row],[age]]&lt; 55,"4. Mature Adulthood (45-54)",TRUE,"5. Late Adulthood/Senior (55+)")</f>
        <v>3. Mid Adulthood (35-44)</v>
      </c>
      <c r="D1693" t="s">
        <v>15</v>
      </c>
      <c r="E1693" t="s">
        <v>22</v>
      </c>
      <c r="F1693" s="4">
        <v>32.78</v>
      </c>
      <c r="G1693" s="5">
        <v>51</v>
      </c>
      <c r="H1693" t="s">
        <v>28</v>
      </c>
      <c r="I1693" t="s">
        <v>46</v>
      </c>
      <c r="J1693" s="6">
        <v>13.99</v>
      </c>
      <c r="K1693">
        <v>0</v>
      </c>
      <c r="L1693" t="s">
        <v>37</v>
      </c>
      <c r="M1693" s="5">
        <v>5</v>
      </c>
      <c r="N1693" s="4">
        <v>0.63</v>
      </c>
      <c r="O1693" t="s">
        <v>52</v>
      </c>
    </row>
    <row r="1694" spans="1:15" x14ac:dyDescent="0.3">
      <c r="A1694" t="s">
        <v>293</v>
      </c>
      <c r="B1694" s="5">
        <v>35</v>
      </c>
      <c r="C1694" s="5" t="str" cm="1">
        <f t="array" ref="C1694">_xlfn.IFS(worksheet[[#This Row],[age]]&lt;25,"1. Young Adulthood (18-24)",worksheet[[#This Row],[age]]&lt; 35,"2. Early Adulthood (25-34)",worksheet[[#This Row],[age]]&lt; 45,"3. Mid Adulthood (35-44)",worksheet[[#This Row],[age]]&lt; 55,"4. Mature Adulthood (45-54)",TRUE,"5. Late Adulthood/Senior (55+)")</f>
        <v>3. Mid Adulthood (35-44)</v>
      </c>
      <c r="D1694" t="s">
        <v>41</v>
      </c>
      <c r="E1694" t="s">
        <v>32</v>
      </c>
      <c r="F1694" s="4">
        <v>1.95</v>
      </c>
      <c r="G1694" s="5">
        <v>52</v>
      </c>
      <c r="H1694" t="s">
        <v>17</v>
      </c>
      <c r="I1694" t="s">
        <v>57</v>
      </c>
      <c r="J1694" s="6">
        <v>17.989999999999998</v>
      </c>
      <c r="K1694">
        <v>1</v>
      </c>
      <c r="L1694" t="s">
        <v>61</v>
      </c>
      <c r="M1694" s="5">
        <v>5</v>
      </c>
      <c r="N1694" s="4">
        <v>0.04</v>
      </c>
      <c r="O1694" t="s">
        <v>30</v>
      </c>
    </row>
    <row r="1695" spans="1:15" x14ac:dyDescent="0.3">
      <c r="A1695" t="s">
        <v>295</v>
      </c>
      <c r="B1695" s="5">
        <v>41</v>
      </c>
      <c r="C1695" s="5" t="str" cm="1">
        <f t="array" ref="C1695">_xlfn.IFS(worksheet[[#This Row],[age]]&lt;25,"1. Young Adulthood (18-24)",worksheet[[#This Row],[age]]&lt; 35,"2. Early Adulthood (25-34)",worksheet[[#This Row],[age]]&lt; 45,"3. Mid Adulthood (35-44)",worksheet[[#This Row],[age]]&lt; 55,"4. Mature Adulthood (45-54)",TRUE,"5. Late Adulthood/Senior (55+)")</f>
        <v>3. Mid Adulthood (35-44)</v>
      </c>
      <c r="D1695" t="s">
        <v>27</v>
      </c>
      <c r="E1695" t="s">
        <v>16</v>
      </c>
      <c r="F1695" s="4">
        <v>36.94</v>
      </c>
      <c r="G1695" s="5">
        <v>6</v>
      </c>
      <c r="H1695" t="s">
        <v>17</v>
      </c>
      <c r="I1695" t="s">
        <v>57</v>
      </c>
      <c r="J1695" s="6">
        <v>8.99</v>
      </c>
      <c r="K1695">
        <v>0</v>
      </c>
      <c r="L1695" t="s">
        <v>61</v>
      </c>
      <c r="M1695" s="5">
        <v>4</v>
      </c>
      <c r="N1695" s="4">
        <v>5.28</v>
      </c>
      <c r="O1695" t="s">
        <v>30</v>
      </c>
    </row>
    <row r="1696" spans="1:15" x14ac:dyDescent="0.3">
      <c r="A1696" t="s">
        <v>302</v>
      </c>
      <c r="B1696" s="5">
        <v>40</v>
      </c>
      <c r="C1696" s="5" t="str" cm="1">
        <f t="array" ref="C1696">_xlfn.IFS(worksheet[[#This Row],[age]]&lt;25,"1. Young Adulthood (18-24)",worksheet[[#This Row],[age]]&lt; 35,"2. Early Adulthood (25-34)",worksheet[[#This Row],[age]]&lt; 45,"3. Mid Adulthood (35-44)",worksheet[[#This Row],[age]]&lt; 55,"4. Mature Adulthood (45-54)",TRUE,"5. Late Adulthood/Senior (55+)")</f>
        <v>3. Mid Adulthood (35-44)</v>
      </c>
      <c r="D1696" t="s">
        <v>27</v>
      </c>
      <c r="E1696" t="s">
        <v>16</v>
      </c>
      <c r="F1696" s="4">
        <v>7.02</v>
      </c>
      <c r="G1696" s="5">
        <v>44</v>
      </c>
      <c r="H1696" t="s">
        <v>17</v>
      </c>
      <c r="I1696" t="s">
        <v>57</v>
      </c>
      <c r="J1696" s="6">
        <v>8.99</v>
      </c>
      <c r="K1696">
        <v>1</v>
      </c>
      <c r="L1696" t="s">
        <v>19</v>
      </c>
      <c r="M1696" s="5">
        <v>4</v>
      </c>
      <c r="N1696" s="4">
        <v>0.16</v>
      </c>
      <c r="O1696" t="s">
        <v>34</v>
      </c>
    </row>
    <row r="1697" spans="1:15" x14ac:dyDescent="0.3">
      <c r="A1697" t="s">
        <v>307</v>
      </c>
      <c r="B1697" s="5">
        <v>42</v>
      </c>
      <c r="C1697" s="5" t="str" cm="1">
        <f t="array" ref="C1697">_xlfn.IFS(worksheet[[#This Row],[age]]&lt;25,"1. Young Adulthood (18-24)",worksheet[[#This Row],[age]]&lt; 35,"2. Early Adulthood (25-34)",worksheet[[#This Row],[age]]&lt; 45,"3. Mid Adulthood (35-44)",worksheet[[#This Row],[age]]&lt; 55,"4. Mature Adulthood (45-54)",TRUE,"5. Late Adulthood/Senior (55+)")</f>
        <v>3. Mid Adulthood (35-44)</v>
      </c>
      <c r="D1697" t="s">
        <v>15</v>
      </c>
      <c r="E1697" t="s">
        <v>16</v>
      </c>
      <c r="F1697" s="4">
        <v>5.55</v>
      </c>
      <c r="G1697" s="5">
        <v>47</v>
      </c>
      <c r="H1697" t="s">
        <v>23</v>
      </c>
      <c r="I1697" t="s">
        <v>57</v>
      </c>
      <c r="J1697" s="6">
        <v>8.99</v>
      </c>
      <c r="K1697">
        <v>1</v>
      </c>
      <c r="L1697" t="s">
        <v>19</v>
      </c>
      <c r="M1697" s="5">
        <v>2</v>
      </c>
      <c r="N1697" s="4">
        <v>0.12</v>
      </c>
      <c r="O1697" t="s">
        <v>30</v>
      </c>
    </row>
    <row r="1698" spans="1:15" x14ac:dyDescent="0.3">
      <c r="A1698" t="s">
        <v>312</v>
      </c>
      <c r="B1698" s="5">
        <v>41</v>
      </c>
      <c r="C1698" s="5" t="str" cm="1">
        <f t="array" ref="C1698">_xlfn.IFS(worksheet[[#This Row],[age]]&lt;25,"1. Young Adulthood (18-24)",worksheet[[#This Row],[age]]&lt; 35,"2. Early Adulthood (25-34)",worksheet[[#This Row],[age]]&lt; 45,"3. Mid Adulthood (35-44)",worksheet[[#This Row],[age]]&lt; 55,"4. Mature Adulthood (45-54)",TRUE,"5. Late Adulthood/Senior (55+)")</f>
        <v>3. Mid Adulthood (35-44)</v>
      </c>
      <c r="D1698" t="s">
        <v>41</v>
      </c>
      <c r="E1698" t="s">
        <v>16</v>
      </c>
      <c r="F1698" s="4">
        <v>7.73</v>
      </c>
      <c r="G1698" s="5">
        <v>31</v>
      </c>
      <c r="H1698" t="s">
        <v>28</v>
      </c>
      <c r="I1698" t="s">
        <v>57</v>
      </c>
      <c r="J1698" s="6">
        <v>8.99</v>
      </c>
      <c r="K1698">
        <v>1</v>
      </c>
      <c r="L1698" t="s">
        <v>19</v>
      </c>
      <c r="M1698" s="5">
        <v>4</v>
      </c>
      <c r="N1698" s="4">
        <v>0.24</v>
      </c>
      <c r="O1698" t="s">
        <v>52</v>
      </c>
    </row>
    <row r="1699" spans="1:15" x14ac:dyDescent="0.3">
      <c r="A1699" t="s">
        <v>317</v>
      </c>
      <c r="B1699" s="5">
        <v>44</v>
      </c>
      <c r="C1699" s="5" t="str" cm="1">
        <f t="array" ref="C1699">_xlfn.IFS(worksheet[[#This Row],[age]]&lt;25,"1. Young Adulthood (18-24)",worksheet[[#This Row],[age]]&lt; 35,"2. Early Adulthood (25-34)",worksheet[[#This Row],[age]]&lt; 45,"3. Mid Adulthood (35-44)",worksheet[[#This Row],[age]]&lt; 55,"4. Mature Adulthood (45-54)",TRUE,"5. Late Adulthood/Senior (55+)")</f>
        <v>3. Mid Adulthood (35-44)</v>
      </c>
      <c r="D1699" t="s">
        <v>41</v>
      </c>
      <c r="E1699" t="s">
        <v>22</v>
      </c>
      <c r="F1699" s="4">
        <v>1.17</v>
      </c>
      <c r="G1699" s="5">
        <v>51</v>
      </c>
      <c r="H1699" t="s">
        <v>49</v>
      </c>
      <c r="I1699" t="s">
        <v>57</v>
      </c>
      <c r="J1699" s="6">
        <v>13.99</v>
      </c>
      <c r="K1699">
        <v>1</v>
      </c>
      <c r="L1699" t="s">
        <v>61</v>
      </c>
      <c r="M1699" s="5">
        <v>3</v>
      </c>
      <c r="N1699" s="4">
        <v>0.02</v>
      </c>
      <c r="O1699" t="s">
        <v>39</v>
      </c>
    </row>
    <row r="1700" spans="1:15" x14ac:dyDescent="0.3">
      <c r="A1700" t="s">
        <v>323</v>
      </c>
      <c r="B1700" s="5">
        <v>35</v>
      </c>
      <c r="C1700" s="5" t="str" cm="1">
        <f t="array" ref="C1700">_xlfn.IFS(worksheet[[#This Row],[age]]&lt;25,"1. Young Adulthood (18-24)",worksheet[[#This Row],[age]]&lt; 35,"2. Early Adulthood (25-34)",worksheet[[#This Row],[age]]&lt; 45,"3. Mid Adulthood (35-44)",worksheet[[#This Row],[age]]&lt; 55,"4. Mature Adulthood (45-54)",TRUE,"5. Late Adulthood/Senior (55+)")</f>
        <v>3. Mid Adulthood (35-44)</v>
      </c>
      <c r="D1700" t="s">
        <v>41</v>
      </c>
      <c r="E1700" t="s">
        <v>32</v>
      </c>
      <c r="F1700" s="4">
        <v>1.1100000000000001</v>
      </c>
      <c r="G1700" s="5">
        <v>13</v>
      </c>
      <c r="H1700" t="s">
        <v>49</v>
      </c>
      <c r="I1700" t="s">
        <v>24</v>
      </c>
      <c r="J1700" s="6">
        <v>17.989999999999998</v>
      </c>
      <c r="K1700">
        <v>0</v>
      </c>
      <c r="L1700" t="s">
        <v>61</v>
      </c>
      <c r="M1700" s="5">
        <v>4</v>
      </c>
      <c r="N1700" s="4">
        <v>0.08</v>
      </c>
      <c r="O1700" t="s">
        <v>25</v>
      </c>
    </row>
    <row r="1701" spans="1:15" x14ac:dyDescent="0.3">
      <c r="A1701" t="s">
        <v>329</v>
      </c>
      <c r="B1701" s="5">
        <v>37</v>
      </c>
      <c r="C1701" s="5" t="str" cm="1">
        <f t="array" ref="C1701">_xlfn.IFS(worksheet[[#This Row],[age]]&lt;25,"1. Young Adulthood (18-24)",worksheet[[#This Row],[age]]&lt; 35,"2. Early Adulthood (25-34)",worksheet[[#This Row],[age]]&lt; 45,"3. Mid Adulthood (35-44)",worksheet[[#This Row],[age]]&lt; 55,"4. Mature Adulthood (45-54)",TRUE,"5. Late Adulthood/Senior (55+)")</f>
        <v>3. Mid Adulthood (35-44)</v>
      </c>
      <c r="D1701" t="s">
        <v>41</v>
      </c>
      <c r="E1701" t="s">
        <v>32</v>
      </c>
      <c r="F1701" s="4">
        <v>13.91</v>
      </c>
      <c r="G1701" s="5">
        <v>27</v>
      </c>
      <c r="H1701" t="s">
        <v>28</v>
      </c>
      <c r="I1701" t="s">
        <v>46</v>
      </c>
      <c r="J1701" s="6">
        <v>17.989999999999998</v>
      </c>
      <c r="K1701">
        <v>0</v>
      </c>
      <c r="L1701" t="s">
        <v>43</v>
      </c>
      <c r="M1701" s="5">
        <v>5</v>
      </c>
      <c r="N1701" s="4">
        <v>0.5</v>
      </c>
      <c r="O1701" t="s">
        <v>47</v>
      </c>
    </row>
    <row r="1702" spans="1:15" x14ac:dyDescent="0.3">
      <c r="A1702" t="s">
        <v>330</v>
      </c>
      <c r="B1702" s="5">
        <v>44</v>
      </c>
      <c r="C1702" s="5" t="str" cm="1">
        <f t="array" ref="C1702">_xlfn.IFS(worksheet[[#This Row],[age]]&lt;25,"1. Young Adulthood (18-24)",worksheet[[#This Row],[age]]&lt; 35,"2. Early Adulthood (25-34)",worksheet[[#This Row],[age]]&lt; 45,"3. Mid Adulthood (35-44)",worksheet[[#This Row],[age]]&lt; 55,"4. Mature Adulthood (45-54)",TRUE,"5. Late Adulthood/Senior (55+)")</f>
        <v>3. Mid Adulthood (35-44)</v>
      </c>
      <c r="D1702" t="s">
        <v>27</v>
      </c>
      <c r="E1702" t="s">
        <v>32</v>
      </c>
      <c r="F1702" s="4">
        <v>3.73</v>
      </c>
      <c r="G1702" s="5">
        <v>49</v>
      </c>
      <c r="H1702" t="s">
        <v>33</v>
      </c>
      <c r="I1702" t="s">
        <v>18</v>
      </c>
      <c r="J1702" s="6">
        <v>17.989999999999998</v>
      </c>
      <c r="K1702">
        <v>1</v>
      </c>
      <c r="L1702" t="s">
        <v>61</v>
      </c>
      <c r="M1702" s="5">
        <v>5</v>
      </c>
      <c r="N1702" s="4">
        <v>7.0000000000000007E-2</v>
      </c>
      <c r="O1702" t="s">
        <v>30</v>
      </c>
    </row>
    <row r="1703" spans="1:15" x14ac:dyDescent="0.3">
      <c r="A1703" t="s">
        <v>335</v>
      </c>
      <c r="B1703" s="5">
        <v>36</v>
      </c>
      <c r="C1703" s="5" t="str" cm="1">
        <f t="array" ref="C1703">_xlfn.IFS(worksheet[[#This Row],[age]]&lt;25,"1. Young Adulthood (18-24)",worksheet[[#This Row],[age]]&lt; 35,"2. Early Adulthood (25-34)",worksheet[[#This Row],[age]]&lt; 45,"3. Mid Adulthood (35-44)",worksheet[[#This Row],[age]]&lt; 55,"4. Mature Adulthood (45-54)",TRUE,"5. Late Adulthood/Senior (55+)")</f>
        <v>3. Mid Adulthood (35-44)</v>
      </c>
      <c r="D1703" t="s">
        <v>27</v>
      </c>
      <c r="E1703" t="s">
        <v>16</v>
      </c>
      <c r="F1703" s="4">
        <v>20.03</v>
      </c>
      <c r="G1703" s="5">
        <v>16</v>
      </c>
      <c r="H1703" t="s">
        <v>17</v>
      </c>
      <c r="I1703" t="s">
        <v>55</v>
      </c>
      <c r="J1703" s="6">
        <v>8.99</v>
      </c>
      <c r="K1703">
        <v>0</v>
      </c>
      <c r="L1703" t="s">
        <v>37</v>
      </c>
      <c r="M1703" s="5">
        <v>5</v>
      </c>
      <c r="N1703" s="4">
        <v>1.18</v>
      </c>
      <c r="O1703" t="s">
        <v>47</v>
      </c>
    </row>
    <row r="1704" spans="1:15" x14ac:dyDescent="0.3">
      <c r="A1704" s="1" t="s">
        <v>336</v>
      </c>
      <c r="B1704" s="5">
        <v>37</v>
      </c>
      <c r="C1704" s="5" t="str" cm="1">
        <f t="array" ref="C1704">_xlfn.IFS(worksheet[[#This Row],[age]]&lt;25,"1. Young Adulthood (18-24)",worksheet[[#This Row],[age]]&lt; 35,"2. Early Adulthood (25-34)",worksheet[[#This Row],[age]]&lt; 45,"3. Mid Adulthood (35-44)",worksheet[[#This Row],[age]]&lt; 55,"4. Mature Adulthood (45-54)",TRUE,"5. Late Adulthood/Senior (55+)")</f>
        <v>3. Mid Adulthood (35-44)</v>
      </c>
      <c r="D1704" t="s">
        <v>15</v>
      </c>
      <c r="E1704" t="s">
        <v>16</v>
      </c>
      <c r="F1704" s="4">
        <v>20.45</v>
      </c>
      <c r="G1704" s="5">
        <v>54</v>
      </c>
      <c r="H1704" t="s">
        <v>28</v>
      </c>
      <c r="I1704" t="s">
        <v>55</v>
      </c>
      <c r="J1704" s="6">
        <v>8.99</v>
      </c>
      <c r="K1704">
        <v>0</v>
      </c>
      <c r="L1704" t="s">
        <v>37</v>
      </c>
      <c r="M1704" s="5">
        <v>4</v>
      </c>
      <c r="N1704" s="4">
        <v>0.37</v>
      </c>
      <c r="O1704" t="s">
        <v>20</v>
      </c>
    </row>
    <row r="1705" spans="1:15" x14ac:dyDescent="0.3">
      <c r="A1705" t="s">
        <v>339</v>
      </c>
      <c r="B1705" s="5">
        <v>35</v>
      </c>
      <c r="C1705" s="5" t="str" cm="1">
        <f t="array" ref="C1705">_xlfn.IFS(worksheet[[#This Row],[age]]&lt;25,"1. Young Adulthood (18-24)",worksheet[[#This Row],[age]]&lt; 35,"2. Early Adulthood (25-34)",worksheet[[#This Row],[age]]&lt; 45,"3. Mid Adulthood (35-44)",worksheet[[#This Row],[age]]&lt; 55,"4. Mature Adulthood (45-54)",TRUE,"5. Late Adulthood/Senior (55+)")</f>
        <v>3. Mid Adulthood (35-44)</v>
      </c>
      <c r="D1705" t="s">
        <v>15</v>
      </c>
      <c r="E1705" t="s">
        <v>16</v>
      </c>
      <c r="F1705" s="4">
        <v>10.43</v>
      </c>
      <c r="G1705" s="5">
        <v>46</v>
      </c>
      <c r="H1705" t="s">
        <v>33</v>
      </c>
      <c r="I1705" t="s">
        <v>24</v>
      </c>
      <c r="J1705" s="6">
        <v>8.99</v>
      </c>
      <c r="K1705">
        <v>1</v>
      </c>
      <c r="L1705" t="s">
        <v>61</v>
      </c>
      <c r="M1705" s="5">
        <v>4</v>
      </c>
      <c r="N1705" s="4">
        <v>0.22</v>
      </c>
      <c r="O1705" t="s">
        <v>25</v>
      </c>
    </row>
    <row r="1706" spans="1:15" x14ac:dyDescent="0.3">
      <c r="A1706" t="s">
        <v>344</v>
      </c>
      <c r="B1706" s="5">
        <v>41</v>
      </c>
      <c r="C1706" s="5" t="str" cm="1">
        <f t="array" ref="C1706">_xlfn.IFS(worksheet[[#This Row],[age]]&lt;25,"1. Young Adulthood (18-24)",worksheet[[#This Row],[age]]&lt; 35,"2. Early Adulthood (25-34)",worksheet[[#This Row],[age]]&lt; 45,"3. Mid Adulthood (35-44)",worksheet[[#This Row],[age]]&lt; 55,"4. Mature Adulthood (45-54)",TRUE,"5. Late Adulthood/Senior (55+)")</f>
        <v>3. Mid Adulthood (35-44)</v>
      </c>
      <c r="D1706" t="s">
        <v>15</v>
      </c>
      <c r="E1706" t="s">
        <v>16</v>
      </c>
      <c r="F1706" s="4">
        <v>18.510000000000002</v>
      </c>
      <c r="G1706" s="5">
        <v>8</v>
      </c>
      <c r="H1706" t="s">
        <v>28</v>
      </c>
      <c r="I1706" t="s">
        <v>24</v>
      </c>
      <c r="J1706" s="6">
        <v>8.99</v>
      </c>
      <c r="K1706">
        <v>0</v>
      </c>
      <c r="L1706" t="s">
        <v>61</v>
      </c>
      <c r="M1706" s="5">
        <v>2</v>
      </c>
      <c r="N1706" s="4">
        <v>2.06</v>
      </c>
      <c r="O1706" t="s">
        <v>30</v>
      </c>
    </row>
    <row r="1707" spans="1:15" x14ac:dyDescent="0.3">
      <c r="A1707" t="s">
        <v>354</v>
      </c>
      <c r="B1707" s="5">
        <v>37</v>
      </c>
      <c r="C1707" s="5" t="str" cm="1">
        <f t="array" ref="C1707">_xlfn.IFS(worksheet[[#This Row],[age]]&lt;25,"1. Young Adulthood (18-24)",worksheet[[#This Row],[age]]&lt; 35,"2. Early Adulthood (25-34)",worksheet[[#This Row],[age]]&lt; 45,"3. Mid Adulthood (35-44)",worksheet[[#This Row],[age]]&lt; 55,"4. Mature Adulthood (45-54)",TRUE,"5. Late Adulthood/Senior (55+)")</f>
        <v>3. Mid Adulthood (35-44)</v>
      </c>
      <c r="D1707" t="s">
        <v>41</v>
      </c>
      <c r="E1707" t="s">
        <v>22</v>
      </c>
      <c r="F1707" s="4">
        <v>16.010000000000002</v>
      </c>
      <c r="G1707" s="5">
        <v>11</v>
      </c>
      <c r="H1707" t="s">
        <v>23</v>
      </c>
      <c r="I1707" t="s">
        <v>46</v>
      </c>
      <c r="J1707" s="6">
        <v>13.99</v>
      </c>
      <c r="K1707">
        <v>0</v>
      </c>
      <c r="L1707" t="s">
        <v>37</v>
      </c>
      <c r="M1707" s="5">
        <v>4</v>
      </c>
      <c r="N1707" s="4">
        <v>1.33</v>
      </c>
      <c r="O1707" t="s">
        <v>34</v>
      </c>
    </row>
    <row r="1708" spans="1:15" x14ac:dyDescent="0.3">
      <c r="A1708" t="s">
        <v>355</v>
      </c>
      <c r="B1708" s="5">
        <v>39</v>
      </c>
      <c r="C1708" s="5" t="str" cm="1">
        <f t="array" ref="C1708">_xlfn.IFS(worksheet[[#This Row],[age]]&lt;25,"1. Young Adulthood (18-24)",worksheet[[#This Row],[age]]&lt; 35,"2. Early Adulthood (25-34)",worksheet[[#This Row],[age]]&lt; 45,"3. Mid Adulthood (35-44)",worksheet[[#This Row],[age]]&lt; 55,"4. Mature Adulthood (45-54)",TRUE,"5. Late Adulthood/Senior (55+)")</f>
        <v>3. Mid Adulthood (35-44)</v>
      </c>
      <c r="D1708" t="s">
        <v>27</v>
      </c>
      <c r="E1708" t="s">
        <v>16</v>
      </c>
      <c r="F1708" s="4">
        <v>33.36</v>
      </c>
      <c r="G1708" s="5">
        <v>37</v>
      </c>
      <c r="H1708" t="s">
        <v>49</v>
      </c>
      <c r="I1708" t="s">
        <v>18</v>
      </c>
      <c r="J1708" s="6">
        <v>8.99</v>
      </c>
      <c r="K1708">
        <v>1</v>
      </c>
      <c r="L1708" t="s">
        <v>29</v>
      </c>
      <c r="M1708" s="5">
        <v>1</v>
      </c>
      <c r="N1708" s="4">
        <v>0.88</v>
      </c>
      <c r="O1708" t="s">
        <v>25</v>
      </c>
    </row>
    <row r="1709" spans="1:15" x14ac:dyDescent="0.3">
      <c r="A1709" t="s">
        <v>368</v>
      </c>
      <c r="B1709" s="5">
        <v>40</v>
      </c>
      <c r="C1709" s="5" t="str" cm="1">
        <f t="array" ref="C1709">_xlfn.IFS(worksheet[[#This Row],[age]]&lt;25,"1. Young Adulthood (18-24)",worksheet[[#This Row],[age]]&lt; 35,"2. Early Adulthood (25-34)",worksheet[[#This Row],[age]]&lt; 45,"3. Mid Adulthood (35-44)",worksheet[[#This Row],[age]]&lt; 55,"4. Mature Adulthood (45-54)",TRUE,"5. Late Adulthood/Senior (55+)")</f>
        <v>3. Mid Adulthood (35-44)</v>
      </c>
      <c r="D1709" t="s">
        <v>15</v>
      </c>
      <c r="E1709" t="s">
        <v>22</v>
      </c>
      <c r="F1709" s="4">
        <v>7.82</v>
      </c>
      <c r="G1709" s="5">
        <v>8</v>
      </c>
      <c r="H1709" t="s">
        <v>70</v>
      </c>
      <c r="I1709" t="s">
        <v>57</v>
      </c>
      <c r="J1709" s="6">
        <v>13.99</v>
      </c>
      <c r="K1709">
        <v>0</v>
      </c>
      <c r="L1709" t="s">
        <v>61</v>
      </c>
      <c r="M1709" s="5">
        <v>2</v>
      </c>
      <c r="N1709" s="4">
        <v>0.87</v>
      </c>
      <c r="O1709" t="s">
        <v>52</v>
      </c>
    </row>
    <row r="1710" spans="1:15" x14ac:dyDescent="0.3">
      <c r="A1710" t="s">
        <v>377</v>
      </c>
      <c r="B1710" s="5">
        <v>40</v>
      </c>
      <c r="C1710" s="5" t="str" cm="1">
        <f t="array" ref="C1710">_xlfn.IFS(worksheet[[#This Row],[age]]&lt;25,"1. Young Adulthood (18-24)",worksheet[[#This Row],[age]]&lt; 35,"2. Early Adulthood (25-34)",worksheet[[#This Row],[age]]&lt; 45,"3. Mid Adulthood (35-44)",worksheet[[#This Row],[age]]&lt; 55,"4. Mature Adulthood (45-54)",TRUE,"5. Late Adulthood/Senior (55+)")</f>
        <v>3. Mid Adulthood (35-44)</v>
      </c>
      <c r="D1710" t="s">
        <v>41</v>
      </c>
      <c r="E1710" t="s">
        <v>22</v>
      </c>
      <c r="F1710" s="4">
        <v>13.33</v>
      </c>
      <c r="G1710" s="5">
        <v>24</v>
      </c>
      <c r="H1710" t="s">
        <v>70</v>
      </c>
      <c r="I1710" t="s">
        <v>18</v>
      </c>
      <c r="J1710" s="6">
        <v>13.99</v>
      </c>
      <c r="K1710">
        <v>0</v>
      </c>
      <c r="L1710" t="s">
        <v>29</v>
      </c>
      <c r="M1710" s="5">
        <v>3</v>
      </c>
      <c r="N1710" s="4">
        <v>0.53</v>
      </c>
      <c r="O1710" t="s">
        <v>39</v>
      </c>
    </row>
    <row r="1711" spans="1:15" x14ac:dyDescent="0.3">
      <c r="A1711" t="s">
        <v>384</v>
      </c>
      <c r="B1711" s="5">
        <v>35</v>
      </c>
      <c r="C1711" s="5" t="str" cm="1">
        <f t="array" ref="C1711">_xlfn.IFS(worksheet[[#This Row],[age]]&lt;25,"1. Young Adulthood (18-24)",worksheet[[#This Row],[age]]&lt; 35,"2. Early Adulthood (25-34)",worksheet[[#This Row],[age]]&lt; 45,"3. Mid Adulthood (35-44)",worksheet[[#This Row],[age]]&lt; 55,"4. Mature Adulthood (45-54)",TRUE,"5. Late Adulthood/Senior (55+)")</f>
        <v>3. Mid Adulthood (35-44)</v>
      </c>
      <c r="D1711" t="s">
        <v>15</v>
      </c>
      <c r="E1711" t="s">
        <v>22</v>
      </c>
      <c r="F1711" s="4">
        <v>0.23</v>
      </c>
      <c r="G1711" s="5">
        <v>54</v>
      </c>
      <c r="H1711" t="s">
        <v>28</v>
      </c>
      <c r="I1711" t="s">
        <v>55</v>
      </c>
      <c r="J1711" s="6">
        <v>13.99</v>
      </c>
      <c r="K1711">
        <v>1</v>
      </c>
      <c r="L1711" t="s">
        <v>19</v>
      </c>
      <c r="M1711" s="5">
        <v>5</v>
      </c>
      <c r="N1711" s="4">
        <v>0</v>
      </c>
      <c r="O1711" t="s">
        <v>30</v>
      </c>
    </row>
    <row r="1712" spans="1:15" x14ac:dyDescent="0.3">
      <c r="A1712" t="s">
        <v>391</v>
      </c>
      <c r="B1712" s="5">
        <v>40</v>
      </c>
      <c r="C1712" s="5" t="str" cm="1">
        <f t="array" ref="C1712">_xlfn.IFS(worksheet[[#This Row],[age]]&lt;25,"1. Young Adulthood (18-24)",worksheet[[#This Row],[age]]&lt; 35,"2. Early Adulthood (25-34)",worksheet[[#This Row],[age]]&lt; 45,"3. Mid Adulthood (35-44)",worksheet[[#This Row],[age]]&lt; 55,"4. Mature Adulthood (45-54)",TRUE,"5. Late Adulthood/Senior (55+)")</f>
        <v>3. Mid Adulthood (35-44)</v>
      </c>
      <c r="D1712" t="s">
        <v>27</v>
      </c>
      <c r="E1712" t="s">
        <v>22</v>
      </c>
      <c r="F1712" s="4">
        <v>7.02</v>
      </c>
      <c r="G1712" s="5">
        <v>18</v>
      </c>
      <c r="H1712" t="s">
        <v>17</v>
      </c>
      <c r="I1712" t="s">
        <v>57</v>
      </c>
      <c r="J1712" s="6">
        <v>13.99</v>
      </c>
      <c r="K1712">
        <v>0</v>
      </c>
      <c r="L1712" t="s">
        <v>43</v>
      </c>
      <c r="M1712" s="5">
        <v>4</v>
      </c>
      <c r="N1712" s="4">
        <v>0.37</v>
      </c>
      <c r="O1712" t="s">
        <v>25</v>
      </c>
    </row>
    <row r="1713" spans="1:15" x14ac:dyDescent="0.3">
      <c r="A1713" t="s">
        <v>402</v>
      </c>
      <c r="B1713" s="5">
        <v>39</v>
      </c>
      <c r="C1713" s="5" t="str" cm="1">
        <f t="array" ref="C1713">_xlfn.IFS(worksheet[[#This Row],[age]]&lt;25,"1. Young Adulthood (18-24)",worksheet[[#This Row],[age]]&lt; 35,"2. Early Adulthood (25-34)",worksheet[[#This Row],[age]]&lt; 45,"3. Mid Adulthood (35-44)",worksheet[[#This Row],[age]]&lt; 55,"4. Mature Adulthood (45-54)",TRUE,"5. Late Adulthood/Senior (55+)")</f>
        <v>3. Mid Adulthood (35-44)</v>
      </c>
      <c r="D1713" t="s">
        <v>15</v>
      </c>
      <c r="E1713" t="s">
        <v>22</v>
      </c>
      <c r="F1713" s="4">
        <v>5.56</v>
      </c>
      <c r="G1713" s="5">
        <v>47</v>
      </c>
      <c r="H1713" t="s">
        <v>28</v>
      </c>
      <c r="I1713" t="s">
        <v>18</v>
      </c>
      <c r="J1713" s="6">
        <v>13.99</v>
      </c>
      <c r="K1713">
        <v>1</v>
      </c>
      <c r="L1713" t="s">
        <v>29</v>
      </c>
      <c r="M1713" s="5">
        <v>5</v>
      </c>
      <c r="N1713" s="4">
        <v>0.12</v>
      </c>
      <c r="O1713" t="s">
        <v>52</v>
      </c>
    </row>
    <row r="1714" spans="1:15" x14ac:dyDescent="0.3">
      <c r="A1714" t="s">
        <v>405</v>
      </c>
      <c r="B1714" s="5">
        <v>38</v>
      </c>
      <c r="C1714" s="5" t="str" cm="1">
        <f t="array" ref="C1714">_xlfn.IFS(worksheet[[#This Row],[age]]&lt;25,"1. Young Adulthood (18-24)",worksheet[[#This Row],[age]]&lt; 35,"2. Early Adulthood (25-34)",worksheet[[#This Row],[age]]&lt; 45,"3. Mid Adulthood (35-44)",worksheet[[#This Row],[age]]&lt; 55,"4. Mature Adulthood (45-54)",TRUE,"5. Late Adulthood/Senior (55+)")</f>
        <v>3. Mid Adulthood (35-44)</v>
      </c>
      <c r="D1714" t="s">
        <v>41</v>
      </c>
      <c r="E1714" t="s">
        <v>22</v>
      </c>
      <c r="F1714" s="4">
        <v>13.61</v>
      </c>
      <c r="G1714" s="5">
        <v>16</v>
      </c>
      <c r="H1714" t="s">
        <v>17</v>
      </c>
      <c r="I1714" t="s">
        <v>55</v>
      </c>
      <c r="J1714" s="6">
        <v>13.99</v>
      </c>
      <c r="K1714">
        <v>0</v>
      </c>
      <c r="L1714" t="s">
        <v>43</v>
      </c>
      <c r="M1714" s="5">
        <v>5</v>
      </c>
      <c r="N1714" s="4">
        <v>0.8</v>
      </c>
      <c r="O1714" t="s">
        <v>34</v>
      </c>
    </row>
    <row r="1715" spans="1:15" x14ac:dyDescent="0.3">
      <c r="A1715" t="s">
        <v>407</v>
      </c>
      <c r="B1715" s="5">
        <v>41</v>
      </c>
      <c r="C1715" s="5" t="str" cm="1">
        <f t="array" ref="C1715">_xlfn.IFS(worksheet[[#This Row],[age]]&lt;25,"1. Young Adulthood (18-24)",worksheet[[#This Row],[age]]&lt; 35,"2. Early Adulthood (25-34)",worksheet[[#This Row],[age]]&lt; 45,"3. Mid Adulthood (35-44)",worksheet[[#This Row],[age]]&lt; 55,"4. Mature Adulthood (45-54)",TRUE,"5. Late Adulthood/Senior (55+)")</f>
        <v>3. Mid Adulthood (35-44)</v>
      </c>
      <c r="D1715" t="s">
        <v>41</v>
      </c>
      <c r="E1715" t="s">
        <v>32</v>
      </c>
      <c r="F1715" s="4">
        <v>4.41</v>
      </c>
      <c r="G1715" s="5">
        <v>56</v>
      </c>
      <c r="H1715" t="s">
        <v>17</v>
      </c>
      <c r="I1715" t="s">
        <v>18</v>
      </c>
      <c r="J1715" s="6">
        <v>17.989999999999998</v>
      </c>
      <c r="K1715">
        <v>1</v>
      </c>
      <c r="L1715" t="s">
        <v>19</v>
      </c>
      <c r="M1715" s="5">
        <v>2</v>
      </c>
      <c r="N1715" s="4">
        <v>0.08</v>
      </c>
      <c r="O1715" t="s">
        <v>34</v>
      </c>
    </row>
    <row r="1716" spans="1:15" x14ac:dyDescent="0.3">
      <c r="A1716" t="s">
        <v>408</v>
      </c>
      <c r="B1716" s="5">
        <v>36</v>
      </c>
      <c r="C1716" s="5" t="str" cm="1">
        <f t="array" ref="C1716">_xlfn.IFS(worksheet[[#This Row],[age]]&lt;25,"1. Young Adulthood (18-24)",worksheet[[#This Row],[age]]&lt; 35,"2. Early Adulthood (25-34)",worksheet[[#This Row],[age]]&lt; 45,"3. Mid Adulthood (35-44)",worksheet[[#This Row],[age]]&lt; 55,"4. Mature Adulthood (45-54)",TRUE,"5. Late Adulthood/Senior (55+)")</f>
        <v>3. Mid Adulthood (35-44)</v>
      </c>
      <c r="D1716" t="s">
        <v>15</v>
      </c>
      <c r="E1716" t="s">
        <v>32</v>
      </c>
      <c r="F1716" s="4">
        <v>12.92</v>
      </c>
      <c r="G1716" s="5">
        <v>14</v>
      </c>
      <c r="H1716" t="s">
        <v>33</v>
      </c>
      <c r="I1716" t="s">
        <v>57</v>
      </c>
      <c r="J1716" s="6">
        <v>17.989999999999998</v>
      </c>
      <c r="K1716">
        <v>0</v>
      </c>
      <c r="L1716" t="s">
        <v>19</v>
      </c>
      <c r="M1716" s="5">
        <v>5</v>
      </c>
      <c r="N1716" s="4">
        <v>0.86</v>
      </c>
      <c r="O1716" t="s">
        <v>25</v>
      </c>
    </row>
    <row r="1717" spans="1:15" x14ac:dyDescent="0.3">
      <c r="A1717" t="s">
        <v>414</v>
      </c>
      <c r="B1717" s="5">
        <v>38</v>
      </c>
      <c r="C1717" s="5" t="str" cm="1">
        <f t="array" ref="C1717">_xlfn.IFS(worksheet[[#This Row],[age]]&lt;25,"1. Young Adulthood (18-24)",worksheet[[#This Row],[age]]&lt; 35,"2. Early Adulthood (25-34)",worksheet[[#This Row],[age]]&lt; 45,"3. Mid Adulthood (35-44)",worksheet[[#This Row],[age]]&lt; 55,"4. Mature Adulthood (45-54)",TRUE,"5. Late Adulthood/Senior (55+)")</f>
        <v>3. Mid Adulthood (35-44)</v>
      </c>
      <c r="D1717" t="s">
        <v>41</v>
      </c>
      <c r="E1717" t="s">
        <v>22</v>
      </c>
      <c r="F1717" s="4">
        <v>18.899999999999999</v>
      </c>
      <c r="G1717" s="5">
        <v>54</v>
      </c>
      <c r="H1717" t="s">
        <v>17</v>
      </c>
      <c r="I1717" t="s">
        <v>57</v>
      </c>
      <c r="J1717" s="6">
        <v>13.99</v>
      </c>
      <c r="K1717">
        <v>1</v>
      </c>
      <c r="L1717" t="s">
        <v>19</v>
      </c>
      <c r="M1717" s="5">
        <v>4</v>
      </c>
      <c r="N1717" s="4">
        <v>0.34</v>
      </c>
      <c r="O1717" t="s">
        <v>34</v>
      </c>
    </row>
    <row r="1718" spans="1:15" x14ac:dyDescent="0.3">
      <c r="A1718" t="s">
        <v>418</v>
      </c>
      <c r="B1718" s="5">
        <v>37</v>
      </c>
      <c r="C1718" s="5" t="str" cm="1">
        <f t="array" ref="C1718">_xlfn.IFS(worksheet[[#This Row],[age]]&lt;25,"1. Young Adulthood (18-24)",worksheet[[#This Row],[age]]&lt; 35,"2. Early Adulthood (25-34)",worksheet[[#This Row],[age]]&lt; 45,"3. Mid Adulthood (35-44)",worksheet[[#This Row],[age]]&lt; 55,"4. Mature Adulthood (45-54)",TRUE,"5. Late Adulthood/Senior (55+)")</f>
        <v>3. Mid Adulthood (35-44)</v>
      </c>
      <c r="D1718" t="s">
        <v>27</v>
      </c>
      <c r="E1718" t="s">
        <v>16</v>
      </c>
      <c r="F1718" s="4">
        <v>7.59</v>
      </c>
      <c r="G1718" s="5">
        <v>5</v>
      </c>
      <c r="H1718" t="s">
        <v>23</v>
      </c>
      <c r="I1718" t="s">
        <v>55</v>
      </c>
      <c r="J1718" s="6">
        <v>8.99</v>
      </c>
      <c r="K1718">
        <v>0</v>
      </c>
      <c r="L1718" t="s">
        <v>29</v>
      </c>
      <c r="M1718" s="5">
        <v>2</v>
      </c>
      <c r="N1718" s="4">
        <v>1.26</v>
      </c>
      <c r="O1718" t="s">
        <v>30</v>
      </c>
    </row>
    <row r="1719" spans="1:15" x14ac:dyDescent="0.3">
      <c r="A1719" t="s">
        <v>422</v>
      </c>
      <c r="B1719" s="5">
        <v>44</v>
      </c>
      <c r="C1719" s="5" t="str" cm="1">
        <f t="array" ref="C1719">_xlfn.IFS(worksheet[[#This Row],[age]]&lt;25,"1. Young Adulthood (18-24)",worksheet[[#This Row],[age]]&lt; 35,"2. Early Adulthood (25-34)",worksheet[[#This Row],[age]]&lt; 45,"3. Mid Adulthood (35-44)",worksheet[[#This Row],[age]]&lt; 55,"4. Mature Adulthood (45-54)",TRUE,"5. Late Adulthood/Senior (55+)")</f>
        <v>3. Mid Adulthood (35-44)</v>
      </c>
      <c r="D1719" t="s">
        <v>41</v>
      </c>
      <c r="E1719" t="s">
        <v>32</v>
      </c>
      <c r="F1719" s="4">
        <v>2.5099999999999998</v>
      </c>
      <c r="G1719" s="5">
        <v>30</v>
      </c>
      <c r="H1719" t="s">
        <v>23</v>
      </c>
      <c r="I1719" t="s">
        <v>24</v>
      </c>
      <c r="J1719" s="6">
        <v>17.989999999999998</v>
      </c>
      <c r="K1719">
        <v>0</v>
      </c>
      <c r="L1719" t="s">
        <v>37</v>
      </c>
      <c r="M1719" s="5">
        <v>4</v>
      </c>
      <c r="N1719" s="4">
        <v>0.08</v>
      </c>
      <c r="O1719" t="s">
        <v>25</v>
      </c>
    </row>
    <row r="1720" spans="1:15" x14ac:dyDescent="0.3">
      <c r="A1720" t="s">
        <v>428</v>
      </c>
      <c r="B1720" s="5">
        <v>36</v>
      </c>
      <c r="C1720" s="5" t="str" cm="1">
        <f t="array" ref="C1720">_xlfn.IFS(worksheet[[#This Row],[age]]&lt;25,"1. Young Adulthood (18-24)",worksheet[[#This Row],[age]]&lt; 35,"2. Early Adulthood (25-34)",worksheet[[#This Row],[age]]&lt; 45,"3. Mid Adulthood (35-44)",worksheet[[#This Row],[age]]&lt; 55,"4. Mature Adulthood (45-54)",TRUE,"5. Late Adulthood/Senior (55+)")</f>
        <v>3. Mid Adulthood (35-44)</v>
      </c>
      <c r="D1720" t="s">
        <v>15</v>
      </c>
      <c r="E1720" t="s">
        <v>16</v>
      </c>
      <c r="F1720" s="4">
        <v>29.27</v>
      </c>
      <c r="G1720" s="5">
        <v>35</v>
      </c>
      <c r="H1720" t="s">
        <v>23</v>
      </c>
      <c r="I1720" t="s">
        <v>18</v>
      </c>
      <c r="J1720" s="6">
        <v>8.99</v>
      </c>
      <c r="K1720">
        <v>0</v>
      </c>
      <c r="L1720" t="s">
        <v>19</v>
      </c>
      <c r="M1720" s="5">
        <v>4</v>
      </c>
      <c r="N1720" s="4">
        <v>0.81</v>
      </c>
      <c r="O1720" t="s">
        <v>39</v>
      </c>
    </row>
    <row r="1721" spans="1:15" x14ac:dyDescent="0.3">
      <c r="A1721" t="s">
        <v>431</v>
      </c>
      <c r="B1721" s="5">
        <v>38</v>
      </c>
      <c r="C1721" s="5" t="str" cm="1">
        <f t="array" ref="C1721">_xlfn.IFS(worksheet[[#This Row],[age]]&lt;25,"1. Young Adulthood (18-24)",worksheet[[#This Row],[age]]&lt; 35,"2. Early Adulthood (25-34)",worksheet[[#This Row],[age]]&lt; 45,"3. Mid Adulthood (35-44)",worksheet[[#This Row],[age]]&lt; 55,"4. Mature Adulthood (45-54)",TRUE,"5. Late Adulthood/Senior (55+)")</f>
        <v>3. Mid Adulthood (35-44)</v>
      </c>
      <c r="D1721" t="s">
        <v>15</v>
      </c>
      <c r="E1721" t="s">
        <v>16</v>
      </c>
      <c r="F1721" s="4">
        <v>14.43</v>
      </c>
      <c r="G1721" s="5">
        <v>16</v>
      </c>
      <c r="H1721" t="s">
        <v>49</v>
      </c>
      <c r="I1721" t="s">
        <v>57</v>
      </c>
      <c r="J1721" s="6">
        <v>8.99</v>
      </c>
      <c r="K1721">
        <v>0</v>
      </c>
      <c r="L1721" t="s">
        <v>61</v>
      </c>
      <c r="M1721" s="5">
        <v>1</v>
      </c>
      <c r="N1721" s="4">
        <v>0.85</v>
      </c>
      <c r="O1721" t="s">
        <v>52</v>
      </c>
    </row>
    <row r="1722" spans="1:15" x14ac:dyDescent="0.3">
      <c r="A1722" t="s">
        <v>434</v>
      </c>
      <c r="B1722" s="5">
        <v>38</v>
      </c>
      <c r="C1722" s="5" t="str" cm="1">
        <f t="array" ref="C1722">_xlfn.IFS(worksheet[[#This Row],[age]]&lt;25,"1. Young Adulthood (18-24)",worksheet[[#This Row],[age]]&lt; 35,"2. Early Adulthood (25-34)",worksheet[[#This Row],[age]]&lt; 45,"3. Mid Adulthood (35-44)",worksheet[[#This Row],[age]]&lt; 55,"4. Mature Adulthood (45-54)",TRUE,"5. Late Adulthood/Senior (55+)")</f>
        <v>3. Mid Adulthood (35-44)</v>
      </c>
      <c r="D1722" t="s">
        <v>15</v>
      </c>
      <c r="E1722" t="s">
        <v>32</v>
      </c>
      <c r="F1722" s="4">
        <v>1.81</v>
      </c>
      <c r="G1722" s="5">
        <v>22</v>
      </c>
      <c r="H1722" t="s">
        <v>28</v>
      </c>
      <c r="I1722" t="s">
        <v>46</v>
      </c>
      <c r="J1722" s="6">
        <v>17.989999999999998</v>
      </c>
      <c r="K1722">
        <v>1</v>
      </c>
      <c r="L1722" t="s">
        <v>19</v>
      </c>
      <c r="M1722" s="5">
        <v>4</v>
      </c>
      <c r="N1722" s="4">
        <v>0.08</v>
      </c>
      <c r="O1722" t="s">
        <v>20</v>
      </c>
    </row>
    <row r="1723" spans="1:15" x14ac:dyDescent="0.3">
      <c r="A1723" t="s">
        <v>435</v>
      </c>
      <c r="B1723" s="5">
        <v>41</v>
      </c>
      <c r="C1723" s="5" t="str" cm="1">
        <f t="array" ref="C1723">_xlfn.IFS(worksheet[[#This Row],[age]]&lt;25,"1. Young Adulthood (18-24)",worksheet[[#This Row],[age]]&lt; 35,"2. Early Adulthood (25-34)",worksheet[[#This Row],[age]]&lt; 45,"3. Mid Adulthood (35-44)",worksheet[[#This Row],[age]]&lt; 55,"4. Mature Adulthood (45-54)",TRUE,"5. Late Adulthood/Senior (55+)")</f>
        <v>3. Mid Adulthood (35-44)</v>
      </c>
      <c r="D1723" t="s">
        <v>15</v>
      </c>
      <c r="E1723" t="s">
        <v>16</v>
      </c>
      <c r="F1723" s="4">
        <v>12.04</v>
      </c>
      <c r="G1723" s="5">
        <v>32</v>
      </c>
      <c r="H1723" t="s">
        <v>33</v>
      </c>
      <c r="I1723" t="s">
        <v>55</v>
      </c>
      <c r="J1723" s="6">
        <v>8.99</v>
      </c>
      <c r="K1723">
        <v>1</v>
      </c>
      <c r="L1723" t="s">
        <v>61</v>
      </c>
      <c r="M1723" s="5">
        <v>1</v>
      </c>
      <c r="N1723" s="4">
        <v>0.36</v>
      </c>
      <c r="O1723" t="s">
        <v>30</v>
      </c>
    </row>
    <row r="1724" spans="1:15" x14ac:dyDescent="0.3">
      <c r="A1724" t="s">
        <v>437</v>
      </c>
      <c r="B1724" s="5">
        <v>43</v>
      </c>
      <c r="C1724" s="5" t="str" cm="1">
        <f t="array" ref="C1724">_xlfn.IFS(worksheet[[#This Row],[age]]&lt;25,"1. Young Adulthood (18-24)",worksheet[[#This Row],[age]]&lt; 35,"2. Early Adulthood (25-34)",worksheet[[#This Row],[age]]&lt; 45,"3. Mid Adulthood (35-44)",worksheet[[#This Row],[age]]&lt; 55,"4. Mature Adulthood (45-54)",TRUE,"5. Late Adulthood/Senior (55+)")</f>
        <v>3. Mid Adulthood (35-44)</v>
      </c>
      <c r="D1724" t="s">
        <v>27</v>
      </c>
      <c r="E1724" t="s">
        <v>32</v>
      </c>
      <c r="F1724" s="4">
        <v>12.37</v>
      </c>
      <c r="G1724" s="5">
        <v>37</v>
      </c>
      <c r="H1724" t="s">
        <v>23</v>
      </c>
      <c r="I1724" t="s">
        <v>55</v>
      </c>
      <c r="J1724" s="6">
        <v>17.989999999999998</v>
      </c>
      <c r="K1724">
        <v>1</v>
      </c>
      <c r="L1724" t="s">
        <v>29</v>
      </c>
      <c r="M1724" s="5">
        <v>3</v>
      </c>
      <c r="N1724" s="4">
        <v>0.33</v>
      </c>
      <c r="O1724" t="s">
        <v>39</v>
      </c>
    </row>
    <row r="1725" spans="1:15" x14ac:dyDescent="0.3">
      <c r="A1725" t="s">
        <v>438</v>
      </c>
      <c r="B1725" s="5">
        <v>42</v>
      </c>
      <c r="C1725" s="5" t="str" cm="1">
        <f t="array" ref="C1725">_xlfn.IFS(worksheet[[#This Row],[age]]&lt;25,"1. Young Adulthood (18-24)",worksheet[[#This Row],[age]]&lt; 35,"2. Early Adulthood (25-34)",worksheet[[#This Row],[age]]&lt; 45,"3. Mid Adulthood (35-44)",worksheet[[#This Row],[age]]&lt; 55,"4. Mature Adulthood (45-54)",TRUE,"5. Late Adulthood/Senior (55+)")</f>
        <v>3. Mid Adulthood (35-44)</v>
      </c>
      <c r="D1725" t="s">
        <v>27</v>
      </c>
      <c r="E1725" t="s">
        <v>16</v>
      </c>
      <c r="F1725" s="4">
        <v>7.27</v>
      </c>
      <c r="G1725" s="5">
        <v>7</v>
      </c>
      <c r="H1725" t="s">
        <v>17</v>
      </c>
      <c r="I1725" t="s">
        <v>46</v>
      </c>
      <c r="J1725" s="6">
        <v>8.99</v>
      </c>
      <c r="K1725">
        <v>0</v>
      </c>
      <c r="L1725" t="s">
        <v>29</v>
      </c>
      <c r="M1725" s="5">
        <v>2</v>
      </c>
      <c r="N1725" s="4">
        <v>0.91</v>
      </c>
      <c r="O1725" t="s">
        <v>39</v>
      </c>
    </row>
    <row r="1726" spans="1:15" x14ac:dyDescent="0.3">
      <c r="A1726" t="s">
        <v>448</v>
      </c>
      <c r="B1726" s="5">
        <v>43</v>
      </c>
      <c r="C1726" s="5" t="str" cm="1">
        <f t="array" ref="C1726">_xlfn.IFS(worksheet[[#This Row],[age]]&lt;25,"1. Young Adulthood (18-24)",worksheet[[#This Row],[age]]&lt; 35,"2. Early Adulthood (25-34)",worksheet[[#This Row],[age]]&lt; 45,"3. Mid Adulthood (35-44)",worksheet[[#This Row],[age]]&lt; 55,"4. Mature Adulthood (45-54)",TRUE,"5. Late Adulthood/Senior (55+)")</f>
        <v>3. Mid Adulthood (35-44)</v>
      </c>
      <c r="D1726" t="s">
        <v>15</v>
      </c>
      <c r="E1726" t="s">
        <v>32</v>
      </c>
      <c r="F1726" s="4">
        <v>86.73</v>
      </c>
      <c r="G1726" s="5">
        <v>26</v>
      </c>
      <c r="H1726" t="s">
        <v>17</v>
      </c>
      <c r="I1726" t="s">
        <v>18</v>
      </c>
      <c r="J1726" s="6">
        <v>17.989999999999998</v>
      </c>
      <c r="K1726">
        <v>0</v>
      </c>
      <c r="L1726" t="s">
        <v>37</v>
      </c>
      <c r="M1726" s="5">
        <v>3</v>
      </c>
      <c r="N1726" s="4">
        <v>3.21</v>
      </c>
      <c r="O1726" t="s">
        <v>39</v>
      </c>
    </row>
    <row r="1727" spans="1:15" x14ac:dyDescent="0.3">
      <c r="A1727" t="s">
        <v>453</v>
      </c>
      <c r="B1727" s="5">
        <v>42</v>
      </c>
      <c r="C1727" s="5" t="str" cm="1">
        <f t="array" ref="C1727">_xlfn.IFS(worksheet[[#This Row],[age]]&lt;25,"1. Young Adulthood (18-24)",worksheet[[#This Row],[age]]&lt; 35,"2. Early Adulthood (25-34)",worksheet[[#This Row],[age]]&lt; 45,"3. Mid Adulthood (35-44)",worksheet[[#This Row],[age]]&lt; 55,"4. Mature Adulthood (45-54)",TRUE,"5. Late Adulthood/Senior (55+)")</f>
        <v>3. Mid Adulthood (35-44)</v>
      </c>
      <c r="D1727" t="s">
        <v>41</v>
      </c>
      <c r="E1727" t="s">
        <v>32</v>
      </c>
      <c r="F1727" s="4">
        <v>8.3699999999999992</v>
      </c>
      <c r="G1727" s="5">
        <v>21</v>
      </c>
      <c r="H1727" t="s">
        <v>23</v>
      </c>
      <c r="I1727" t="s">
        <v>57</v>
      </c>
      <c r="J1727" s="6">
        <v>17.989999999999998</v>
      </c>
      <c r="K1727">
        <v>0</v>
      </c>
      <c r="L1727" t="s">
        <v>29</v>
      </c>
      <c r="M1727" s="5">
        <v>3</v>
      </c>
      <c r="N1727" s="4">
        <v>0.38</v>
      </c>
      <c r="O1727" t="s">
        <v>52</v>
      </c>
    </row>
    <row r="1728" spans="1:15" x14ac:dyDescent="0.3">
      <c r="A1728" t="s">
        <v>456</v>
      </c>
      <c r="B1728" s="5">
        <v>44</v>
      </c>
      <c r="C1728" s="5" t="str" cm="1">
        <f t="array" ref="C1728">_xlfn.IFS(worksheet[[#This Row],[age]]&lt;25,"1. Young Adulthood (18-24)",worksheet[[#This Row],[age]]&lt; 35,"2. Early Adulthood (25-34)",worksheet[[#This Row],[age]]&lt; 45,"3. Mid Adulthood (35-44)",worksheet[[#This Row],[age]]&lt; 55,"4. Mature Adulthood (45-54)",TRUE,"5. Late Adulthood/Senior (55+)")</f>
        <v>3. Mid Adulthood (35-44)</v>
      </c>
      <c r="D1728" t="s">
        <v>41</v>
      </c>
      <c r="E1728" t="s">
        <v>32</v>
      </c>
      <c r="F1728" s="4">
        <v>1.83</v>
      </c>
      <c r="G1728" s="5">
        <v>25</v>
      </c>
      <c r="H1728" t="s">
        <v>17</v>
      </c>
      <c r="I1728" t="s">
        <v>18</v>
      </c>
      <c r="J1728" s="6">
        <v>17.989999999999998</v>
      </c>
      <c r="K1728">
        <v>0</v>
      </c>
      <c r="L1728" t="s">
        <v>43</v>
      </c>
      <c r="M1728" s="5">
        <v>5</v>
      </c>
      <c r="N1728" s="4">
        <v>7.0000000000000007E-2</v>
      </c>
      <c r="O1728" t="s">
        <v>47</v>
      </c>
    </row>
    <row r="1729" spans="1:15" x14ac:dyDescent="0.3">
      <c r="A1729" t="s">
        <v>459</v>
      </c>
      <c r="B1729" s="5">
        <v>40</v>
      </c>
      <c r="C1729" s="5" t="str" cm="1">
        <f t="array" ref="C1729">_xlfn.IFS(worksheet[[#This Row],[age]]&lt;25,"1. Young Adulthood (18-24)",worksheet[[#This Row],[age]]&lt; 35,"2. Early Adulthood (25-34)",worksheet[[#This Row],[age]]&lt; 45,"3. Mid Adulthood (35-44)",worksheet[[#This Row],[age]]&lt; 55,"4. Mature Adulthood (45-54)",TRUE,"5. Late Adulthood/Senior (55+)")</f>
        <v>3. Mid Adulthood (35-44)</v>
      </c>
      <c r="D1729" t="s">
        <v>27</v>
      </c>
      <c r="E1729" t="s">
        <v>32</v>
      </c>
      <c r="F1729" s="4">
        <v>8.64</v>
      </c>
      <c r="G1729" s="5">
        <v>35</v>
      </c>
      <c r="H1729" t="s">
        <v>49</v>
      </c>
      <c r="I1729" t="s">
        <v>46</v>
      </c>
      <c r="J1729" s="6">
        <v>17.989999999999998</v>
      </c>
      <c r="K1729">
        <v>0</v>
      </c>
      <c r="L1729" t="s">
        <v>37</v>
      </c>
      <c r="M1729" s="5">
        <v>5</v>
      </c>
      <c r="N1729" s="4">
        <v>0.24</v>
      </c>
      <c r="O1729" t="s">
        <v>39</v>
      </c>
    </row>
    <row r="1730" spans="1:15" x14ac:dyDescent="0.3">
      <c r="A1730" t="s">
        <v>462</v>
      </c>
      <c r="B1730" s="5">
        <v>36</v>
      </c>
      <c r="C1730" s="5" t="str" cm="1">
        <f t="array" ref="C1730">_xlfn.IFS(worksheet[[#This Row],[age]]&lt;25,"1. Young Adulthood (18-24)",worksheet[[#This Row],[age]]&lt; 35,"2. Early Adulthood (25-34)",worksheet[[#This Row],[age]]&lt; 45,"3. Mid Adulthood (35-44)",worksheet[[#This Row],[age]]&lt; 55,"4. Mature Adulthood (45-54)",TRUE,"5. Late Adulthood/Senior (55+)")</f>
        <v>3. Mid Adulthood (35-44)</v>
      </c>
      <c r="D1730" t="s">
        <v>41</v>
      </c>
      <c r="E1730" t="s">
        <v>32</v>
      </c>
      <c r="F1730" s="4">
        <v>11.31</v>
      </c>
      <c r="G1730" s="5">
        <v>7</v>
      </c>
      <c r="H1730" t="s">
        <v>70</v>
      </c>
      <c r="I1730" t="s">
        <v>18</v>
      </c>
      <c r="J1730" s="6">
        <v>17.989999999999998</v>
      </c>
      <c r="K1730">
        <v>0</v>
      </c>
      <c r="L1730" t="s">
        <v>43</v>
      </c>
      <c r="M1730" s="5">
        <v>3</v>
      </c>
      <c r="N1730" s="4">
        <v>1.41</v>
      </c>
      <c r="O1730" t="s">
        <v>20</v>
      </c>
    </row>
    <row r="1731" spans="1:15" x14ac:dyDescent="0.3">
      <c r="A1731" t="s">
        <v>469</v>
      </c>
      <c r="B1731" s="5">
        <v>41</v>
      </c>
      <c r="C1731" s="5" t="str" cm="1">
        <f t="array" ref="C1731">_xlfn.IFS(worksheet[[#This Row],[age]]&lt;25,"1. Young Adulthood (18-24)",worksheet[[#This Row],[age]]&lt; 35,"2. Early Adulthood (25-34)",worksheet[[#This Row],[age]]&lt; 45,"3. Mid Adulthood (35-44)",worksheet[[#This Row],[age]]&lt; 55,"4. Mature Adulthood (45-54)",TRUE,"5. Late Adulthood/Senior (55+)")</f>
        <v>3. Mid Adulthood (35-44)</v>
      </c>
      <c r="D1731" t="s">
        <v>27</v>
      </c>
      <c r="E1731" t="s">
        <v>22</v>
      </c>
      <c r="F1731" s="4">
        <v>6.47</v>
      </c>
      <c r="G1731" s="5">
        <v>32</v>
      </c>
      <c r="H1731" t="s">
        <v>17</v>
      </c>
      <c r="I1731" t="s">
        <v>18</v>
      </c>
      <c r="J1731" s="6">
        <v>13.99</v>
      </c>
      <c r="K1731">
        <v>1</v>
      </c>
      <c r="L1731" t="s">
        <v>19</v>
      </c>
      <c r="M1731" s="5">
        <v>4</v>
      </c>
      <c r="N1731" s="4">
        <v>0.2</v>
      </c>
      <c r="O1731" t="s">
        <v>30</v>
      </c>
    </row>
    <row r="1732" spans="1:15" x14ac:dyDescent="0.3">
      <c r="A1732" t="s">
        <v>471</v>
      </c>
      <c r="B1732" s="5">
        <v>38</v>
      </c>
      <c r="C1732" s="5" t="str" cm="1">
        <f t="array" ref="C1732">_xlfn.IFS(worksheet[[#This Row],[age]]&lt;25,"1. Young Adulthood (18-24)",worksheet[[#This Row],[age]]&lt; 35,"2. Early Adulthood (25-34)",worksheet[[#This Row],[age]]&lt; 45,"3. Mid Adulthood (35-44)",worksheet[[#This Row],[age]]&lt; 55,"4. Mature Adulthood (45-54)",TRUE,"5. Late Adulthood/Senior (55+)")</f>
        <v>3. Mid Adulthood (35-44)</v>
      </c>
      <c r="D1732" t="s">
        <v>27</v>
      </c>
      <c r="E1732" t="s">
        <v>22</v>
      </c>
      <c r="F1732" s="4">
        <v>7.34</v>
      </c>
      <c r="G1732" s="5">
        <v>56</v>
      </c>
      <c r="H1732" t="s">
        <v>23</v>
      </c>
      <c r="I1732" t="s">
        <v>18</v>
      </c>
      <c r="J1732" s="6">
        <v>13.99</v>
      </c>
      <c r="K1732">
        <v>1</v>
      </c>
      <c r="L1732" t="s">
        <v>19</v>
      </c>
      <c r="M1732" s="5">
        <v>4</v>
      </c>
      <c r="N1732" s="4">
        <v>0.13</v>
      </c>
      <c r="O1732" t="s">
        <v>39</v>
      </c>
    </row>
    <row r="1733" spans="1:15" x14ac:dyDescent="0.3">
      <c r="A1733" t="s">
        <v>481</v>
      </c>
      <c r="B1733" s="5">
        <v>36</v>
      </c>
      <c r="C1733" s="5" t="str" cm="1">
        <f t="array" ref="C1733">_xlfn.IFS(worksheet[[#This Row],[age]]&lt;25,"1. Young Adulthood (18-24)",worksheet[[#This Row],[age]]&lt; 35,"2. Early Adulthood (25-34)",worksheet[[#This Row],[age]]&lt; 45,"3. Mid Adulthood (35-44)",worksheet[[#This Row],[age]]&lt; 55,"4. Mature Adulthood (45-54)",TRUE,"5. Late Adulthood/Senior (55+)")</f>
        <v>3. Mid Adulthood (35-44)</v>
      </c>
      <c r="D1733" t="s">
        <v>15</v>
      </c>
      <c r="E1733" t="s">
        <v>16</v>
      </c>
      <c r="F1733" s="4">
        <v>16.649999999999999</v>
      </c>
      <c r="G1733" s="5">
        <v>36</v>
      </c>
      <c r="H1733" t="s">
        <v>33</v>
      </c>
      <c r="I1733" t="s">
        <v>57</v>
      </c>
      <c r="J1733" s="6">
        <v>8.99</v>
      </c>
      <c r="K1733">
        <v>1</v>
      </c>
      <c r="L1733" t="s">
        <v>37</v>
      </c>
      <c r="M1733" s="5">
        <v>2</v>
      </c>
      <c r="N1733" s="4">
        <v>0.45</v>
      </c>
      <c r="O1733" t="s">
        <v>52</v>
      </c>
    </row>
    <row r="1734" spans="1:15" x14ac:dyDescent="0.3">
      <c r="A1734" t="s">
        <v>484</v>
      </c>
      <c r="B1734" s="5">
        <v>40</v>
      </c>
      <c r="C1734" s="5" t="str" cm="1">
        <f t="array" ref="C1734">_xlfn.IFS(worksheet[[#This Row],[age]]&lt;25,"1. Young Adulthood (18-24)",worksheet[[#This Row],[age]]&lt; 35,"2. Early Adulthood (25-34)",worksheet[[#This Row],[age]]&lt; 45,"3. Mid Adulthood (35-44)",worksheet[[#This Row],[age]]&lt; 55,"4. Mature Adulthood (45-54)",TRUE,"5. Late Adulthood/Senior (55+)")</f>
        <v>3. Mid Adulthood (35-44)</v>
      </c>
      <c r="D1734" t="s">
        <v>41</v>
      </c>
      <c r="E1734" t="s">
        <v>16</v>
      </c>
      <c r="F1734" s="4">
        <v>10.98</v>
      </c>
      <c r="G1734" s="5">
        <v>28</v>
      </c>
      <c r="H1734" t="s">
        <v>49</v>
      </c>
      <c r="I1734" t="s">
        <v>24</v>
      </c>
      <c r="J1734" s="6">
        <v>8.99</v>
      </c>
      <c r="K1734">
        <v>1</v>
      </c>
      <c r="L1734" t="s">
        <v>37</v>
      </c>
      <c r="M1734" s="5">
        <v>1</v>
      </c>
      <c r="N1734" s="4">
        <v>0.38</v>
      </c>
      <c r="O1734" t="s">
        <v>20</v>
      </c>
    </row>
    <row r="1735" spans="1:15" x14ac:dyDescent="0.3">
      <c r="A1735" t="s">
        <v>496</v>
      </c>
      <c r="B1735" s="5">
        <v>42</v>
      </c>
      <c r="C1735" s="5" t="str" cm="1">
        <f t="array" ref="C1735">_xlfn.IFS(worksheet[[#This Row],[age]]&lt;25,"1. Young Adulthood (18-24)",worksheet[[#This Row],[age]]&lt; 35,"2. Early Adulthood (25-34)",worksheet[[#This Row],[age]]&lt; 45,"3. Mid Adulthood (35-44)",worksheet[[#This Row],[age]]&lt; 55,"4. Mature Adulthood (45-54)",TRUE,"5. Late Adulthood/Senior (55+)")</f>
        <v>3. Mid Adulthood (35-44)</v>
      </c>
      <c r="D1735" t="s">
        <v>15</v>
      </c>
      <c r="E1735" t="s">
        <v>32</v>
      </c>
      <c r="F1735" s="4">
        <v>4.26</v>
      </c>
      <c r="G1735" s="5">
        <v>6</v>
      </c>
      <c r="H1735" t="s">
        <v>70</v>
      </c>
      <c r="I1735" t="s">
        <v>57</v>
      </c>
      <c r="J1735" s="6">
        <v>17.989999999999998</v>
      </c>
      <c r="K1735">
        <v>0</v>
      </c>
      <c r="L1735" t="s">
        <v>29</v>
      </c>
      <c r="M1735" s="5">
        <v>5</v>
      </c>
      <c r="N1735" s="4">
        <v>0.61</v>
      </c>
      <c r="O1735" t="s">
        <v>34</v>
      </c>
    </row>
    <row r="1736" spans="1:15" x14ac:dyDescent="0.3">
      <c r="A1736" t="s">
        <v>506</v>
      </c>
      <c r="B1736" s="5">
        <v>38</v>
      </c>
      <c r="C1736" s="5" t="str" cm="1">
        <f t="array" ref="C1736">_xlfn.IFS(worksheet[[#This Row],[age]]&lt;25,"1. Young Adulthood (18-24)",worksheet[[#This Row],[age]]&lt; 35,"2. Early Adulthood (25-34)",worksheet[[#This Row],[age]]&lt; 45,"3. Mid Adulthood (35-44)",worksheet[[#This Row],[age]]&lt; 55,"4. Mature Adulthood (45-54)",TRUE,"5. Late Adulthood/Senior (55+)")</f>
        <v>3. Mid Adulthood (35-44)</v>
      </c>
      <c r="D1736" t="s">
        <v>41</v>
      </c>
      <c r="E1736" t="s">
        <v>22</v>
      </c>
      <c r="F1736" s="4">
        <v>0.61</v>
      </c>
      <c r="G1736" s="5">
        <v>9</v>
      </c>
      <c r="H1736" t="s">
        <v>70</v>
      </c>
      <c r="I1736" t="s">
        <v>24</v>
      </c>
      <c r="J1736" s="6">
        <v>13.99</v>
      </c>
      <c r="K1736">
        <v>0</v>
      </c>
      <c r="L1736" t="s">
        <v>61</v>
      </c>
      <c r="M1736" s="5">
        <v>4</v>
      </c>
      <c r="N1736" s="4">
        <v>0.06</v>
      </c>
      <c r="O1736" t="s">
        <v>52</v>
      </c>
    </row>
    <row r="1737" spans="1:15" x14ac:dyDescent="0.3">
      <c r="A1737" t="s">
        <v>514</v>
      </c>
      <c r="B1737" s="5">
        <v>40</v>
      </c>
      <c r="C1737" s="5" t="str" cm="1">
        <f t="array" ref="C1737">_xlfn.IFS(worksheet[[#This Row],[age]]&lt;25,"1. Young Adulthood (18-24)",worksheet[[#This Row],[age]]&lt; 35,"2. Early Adulthood (25-34)",worksheet[[#This Row],[age]]&lt; 45,"3. Mid Adulthood (35-44)",worksheet[[#This Row],[age]]&lt; 55,"4. Mature Adulthood (45-54)",TRUE,"5. Late Adulthood/Senior (55+)")</f>
        <v>3. Mid Adulthood (35-44)</v>
      </c>
      <c r="D1737" t="s">
        <v>27</v>
      </c>
      <c r="E1737" t="s">
        <v>16</v>
      </c>
      <c r="F1737" s="4">
        <v>7.31</v>
      </c>
      <c r="G1737" s="5">
        <v>3</v>
      </c>
      <c r="H1737" t="s">
        <v>17</v>
      </c>
      <c r="I1737" t="s">
        <v>57</v>
      </c>
      <c r="J1737" s="6">
        <v>8.99</v>
      </c>
      <c r="K1737">
        <v>0</v>
      </c>
      <c r="L1737" t="s">
        <v>37</v>
      </c>
      <c r="M1737" s="5">
        <v>1</v>
      </c>
      <c r="N1737" s="4">
        <v>1.83</v>
      </c>
      <c r="O1737" t="s">
        <v>20</v>
      </c>
    </row>
    <row r="1738" spans="1:15" x14ac:dyDescent="0.3">
      <c r="A1738" t="s">
        <v>519</v>
      </c>
      <c r="B1738" s="5">
        <v>35</v>
      </c>
      <c r="C1738" s="5" t="str" cm="1">
        <f t="array" ref="C1738">_xlfn.IFS(worksheet[[#This Row],[age]]&lt;25,"1. Young Adulthood (18-24)",worksheet[[#This Row],[age]]&lt; 35,"2. Early Adulthood (25-34)",worksheet[[#This Row],[age]]&lt; 45,"3. Mid Adulthood (35-44)",worksheet[[#This Row],[age]]&lt; 55,"4. Mature Adulthood (45-54)",TRUE,"5. Late Adulthood/Senior (55+)")</f>
        <v>3. Mid Adulthood (35-44)</v>
      </c>
      <c r="D1738" t="s">
        <v>15</v>
      </c>
      <c r="E1738" t="s">
        <v>16</v>
      </c>
      <c r="F1738" s="4">
        <v>9.58</v>
      </c>
      <c r="G1738" s="5">
        <v>13</v>
      </c>
      <c r="H1738" t="s">
        <v>70</v>
      </c>
      <c r="I1738" t="s">
        <v>24</v>
      </c>
      <c r="J1738" s="6">
        <v>8.99</v>
      </c>
      <c r="K1738">
        <v>0</v>
      </c>
      <c r="L1738" t="s">
        <v>37</v>
      </c>
      <c r="M1738" s="5">
        <v>1</v>
      </c>
      <c r="N1738" s="4">
        <v>0.68</v>
      </c>
      <c r="O1738" t="s">
        <v>34</v>
      </c>
    </row>
    <row r="1739" spans="1:15" x14ac:dyDescent="0.3">
      <c r="A1739" t="s">
        <v>521</v>
      </c>
      <c r="B1739" s="5">
        <v>36</v>
      </c>
      <c r="C1739" s="5" t="str" cm="1">
        <f t="array" ref="C1739">_xlfn.IFS(worksheet[[#This Row],[age]]&lt;25,"1. Young Adulthood (18-24)",worksheet[[#This Row],[age]]&lt; 35,"2. Early Adulthood (25-34)",worksheet[[#This Row],[age]]&lt; 45,"3. Mid Adulthood (35-44)",worksheet[[#This Row],[age]]&lt; 55,"4. Mature Adulthood (45-54)",TRUE,"5. Late Adulthood/Senior (55+)")</f>
        <v>3. Mid Adulthood (35-44)</v>
      </c>
      <c r="D1739" t="s">
        <v>27</v>
      </c>
      <c r="E1739" t="s">
        <v>16</v>
      </c>
      <c r="F1739" s="4">
        <v>22.91</v>
      </c>
      <c r="G1739" s="5">
        <v>0</v>
      </c>
      <c r="H1739" t="s">
        <v>28</v>
      </c>
      <c r="I1739" t="s">
        <v>18</v>
      </c>
      <c r="J1739" s="6">
        <v>8.99</v>
      </c>
      <c r="K1739">
        <v>0</v>
      </c>
      <c r="L1739" t="s">
        <v>29</v>
      </c>
      <c r="M1739" s="5">
        <v>1</v>
      </c>
      <c r="N1739" s="4">
        <v>22.91</v>
      </c>
      <c r="O1739" t="s">
        <v>30</v>
      </c>
    </row>
    <row r="1740" spans="1:15" x14ac:dyDescent="0.3">
      <c r="A1740" t="s">
        <v>524</v>
      </c>
      <c r="B1740" s="5">
        <v>39</v>
      </c>
      <c r="C1740" s="5" t="str" cm="1">
        <f t="array" ref="C1740">_xlfn.IFS(worksheet[[#This Row],[age]]&lt;25,"1. Young Adulthood (18-24)",worksheet[[#This Row],[age]]&lt; 35,"2. Early Adulthood (25-34)",worksheet[[#This Row],[age]]&lt; 45,"3. Mid Adulthood (35-44)",worksheet[[#This Row],[age]]&lt; 55,"4. Mature Adulthood (45-54)",TRUE,"5. Late Adulthood/Senior (55+)")</f>
        <v>3. Mid Adulthood (35-44)</v>
      </c>
      <c r="D1740" t="s">
        <v>27</v>
      </c>
      <c r="E1740" t="s">
        <v>32</v>
      </c>
      <c r="F1740" s="4">
        <v>17.14</v>
      </c>
      <c r="G1740" s="5">
        <v>3</v>
      </c>
      <c r="H1740" t="s">
        <v>28</v>
      </c>
      <c r="I1740" t="s">
        <v>24</v>
      </c>
      <c r="J1740" s="6">
        <v>17.989999999999998</v>
      </c>
      <c r="K1740">
        <v>0</v>
      </c>
      <c r="L1740" t="s">
        <v>61</v>
      </c>
      <c r="M1740" s="5">
        <v>5</v>
      </c>
      <c r="N1740" s="4">
        <v>4.29</v>
      </c>
      <c r="O1740" t="s">
        <v>47</v>
      </c>
    </row>
    <row r="1741" spans="1:15" x14ac:dyDescent="0.3">
      <c r="A1741" t="s">
        <v>538</v>
      </c>
      <c r="B1741" s="5">
        <v>36</v>
      </c>
      <c r="C1741" s="5" t="str" cm="1">
        <f t="array" ref="C1741">_xlfn.IFS(worksheet[[#This Row],[age]]&lt;25,"1. Young Adulthood (18-24)",worksheet[[#This Row],[age]]&lt; 35,"2. Early Adulthood (25-34)",worksheet[[#This Row],[age]]&lt; 45,"3. Mid Adulthood (35-44)",worksheet[[#This Row],[age]]&lt; 55,"4. Mature Adulthood (45-54)",TRUE,"5. Late Adulthood/Senior (55+)")</f>
        <v>3. Mid Adulthood (35-44)</v>
      </c>
      <c r="D1741" t="s">
        <v>15</v>
      </c>
      <c r="E1741" t="s">
        <v>32</v>
      </c>
      <c r="F1741" s="4">
        <v>23.5</v>
      </c>
      <c r="G1741" s="5">
        <v>1</v>
      </c>
      <c r="H1741" t="s">
        <v>33</v>
      </c>
      <c r="I1741" t="s">
        <v>46</v>
      </c>
      <c r="J1741" s="6">
        <v>17.989999999999998</v>
      </c>
      <c r="K1741">
        <v>0</v>
      </c>
      <c r="L1741" t="s">
        <v>43</v>
      </c>
      <c r="M1741" s="5">
        <v>1</v>
      </c>
      <c r="N1741" s="4">
        <v>11.75</v>
      </c>
      <c r="O1741" t="s">
        <v>20</v>
      </c>
    </row>
    <row r="1742" spans="1:15" x14ac:dyDescent="0.3">
      <c r="A1742" t="s">
        <v>543</v>
      </c>
      <c r="B1742" s="5">
        <v>42</v>
      </c>
      <c r="C1742" s="5" t="str" cm="1">
        <f t="array" ref="C1742">_xlfn.IFS(worksheet[[#This Row],[age]]&lt;25,"1. Young Adulthood (18-24)",worksheet[[#This Row],[age]]&lt; 35,"2. Early Adulthood (25-34)",worksheet[[#This Row],[age]]&lt; 45,"3. Mid Adulthood (35-44)",worksheet[[#This Row],[age]]&lt; 55,"4. Mature Adulthood (45-54)",TRUE,"5. Late Adulthood/Senior (55+)")</f>
        <v>3. Mid Adulthood (35-44)</v>
      </c>
      <c r="D1742" t="s">
        <v>27</v>
      </c>
      <c r="E1742" t="s">
        <v>16</v>
      </c>
      <c r="F1742" s="4">
        <v>8.5</v>
      </c>
      <c r="G1742" s="5">
        <v>32</v>
      </c>
      <c r="H1742" t="s">
        <v>28</v>
      </c>
      <c r="I1742" t="s">
        <v>55</v>
      </c>
      <c r="J1742" s="6">
        <v>8.99</v>
      </c>
      <c r="K1742">
        <v>1</v>
      </c>
      <c r="L1742" t="s">
        <v>43</v>
      </c>
      <c r="M1742" s="5">
        <v>2</v>
      </c>
      <c r="N1742" s="4">
        <v>0.26</v>
      </c>
      <c r="O1742" t="s">
        <v>47</v>
      </c>
    </row>
    <row r="1743" spans="1:15" x14ac:dyDescent="0.3">
      <c r="A1743" t="s">
        <v>547</v>
      </c>
      <c r="B1743" s="5">
        <v>36</v>
      </c>
      <c r="C1743" s="5" t="str" cm="1">
        <f t="array" ref="C1743">_xlfn.IFS(worksheet[[#This Row],[age]]&lt;25,"1. Young Adulthood (18-24)",worksheet[[#This Row],[age]]&lt; 35,"2. Early Adulthood (25-34)",worksheet[[#This Row],[age]]&lt; 45,"3. Mid Adulthood (35-44)",worksheet[[#This Row],[age]]&lt; 55,"4. Mature Adulthood (45-54)",TRUE,"5. Late Adulthood/Senior (55+)")</f>
        <v>3. Mid Adulthood (35-44)</v>
      </c>
      <c r="D1743" t="s">
        <v>15</v>
      </c>
      <c r="E1743" t="s">
        <v>22</v>
      </c>
      <c r="F1743" s="4">
        <v>31.46</v>
      </c>
      <c r="G1743" s="5">
        <v>47</v>
      </c>
      <c r="H1743" t="s">
        <v>33</v>
      </c>
      <c r="I1743" t="s">
        <v>55</v>
      </c>
      <c r="J1743" s="6">
        <v>13.99</v>
      </c>
      <c r="K1743">
        <v>0</v>
      </c>
      <c r="L1743" t="s">
        <v>43</v>
      </c>
      <c r="M1743" s="5">
        <v>3</v>
      </c>
      <c r="N1743" s="4">
        <v>0.66</v>
      </c>
      <c r="O1743" t="s">
        <v>47</v>
      </c>
    </row>
    <row r="1744" spans="1:15" x14ac:dyDescent="0.3">
      <c r="A1744" t="s">
        <v>548</v>
      </c>
      <c r="B1744" s="5">
        <v>40</v>
      </c>
      <c r="C1744" s="5" t="str" cm="1">
        <f t="array" ref="C1744">_xlfn.IFS(worksheet[[#This Row],[age]]&lt;25,"1. Young Adulthood (18-24)",worksheet[[#This Row],[age]]&lt; 35,"2. Early Adulthood (25-34)",worksheet[[#This Row],[age]]&lt; 45,"3. Mid Adulthood (35-44)",worksheet[[#This Row],[age]]&lt; 55,"4. Mature Adulthood (45-54)",TRUE,"5. Late Adulthood/Senior (55+)")</f>
        <v>3. Mid Adulthood (35-44)</v>
      </c>
      <c r="D1744" t="s">
        <v>41</v>
      </c>
      <c r="E1744" t="s">
        <v>22</v>
      </c>
      <c r="F1744" s="4">
        <v>13.4</v>
      </c>
      <c r="G1744" s="5">
        <v>49</v>
      </c>
      <c r="H1744" t="s">
        <v>17</v>
      </c>
      <c r="I1744" t="s">
        <v>24</v>
      </c>
      <c r="J1744" s="6">
        <v>13.99</v>
      </c>
      <c r="K1744">
        <v>1</v>
      </c>
      <c r="L1744" t="s">
        <v>29</v>
      </c>
      <c r="M1744" s="5">
        <v>1</v>
      </c>
      <c r="N1744" s="4">
        <v>0.27</v>
      </c>
      <c r="O1744" t="s">
        <v>52</v>
      </c>
    </row>
    <row r="1745" spans="1:15" x14ac:dyDescent="0.3">
      <c r="A1745" t="s">
        <v>549</v>
      </c>
      <c r="B1745" s="5">
        <v>37</v>
      </c>
      <c r="C1745" s="5" t="str" cm="1">
        <f t="array" ref="C1745">_xlfn.IFS(worksheet[[#This Row],[age]]&lt;25,"1. Young Adulthood (18-24)",worksheet[[#This Row],[age]]&lt; 35,"2. Early Adulthood (25-34)",worksheet[[#This Row],[age]]&lt; 45,"3. Mid Adulthood (35-44)",worksheet[[#This Row],[age]]&lt; 55,"4. Mature Adulthood (45-54)",TRUE,"5. Late Adulthood/Senior (55+)")</f>
        <v>3. Mid Adulthood (35-44)</v>
      </c>
      <c r="D1745" t="s">
        <v>27</v>
      </c>
      <c r="E1745" t="s">
        <v>16</v>
      </c>
      <c r="F1745" s="4">
        <v>7.36</v>
      </c>
      <c r="G1745" s="5">
        <v>38</v>
      </c>
      <c r="H1745" t="s">
        <v>33</v>
      </c>
      <c r="I1745" t="s">
        <v>46</v>
      </c>
      <c r="J1745" s="6">
        <v>8.99</v>
      </c>
      <c r="K1745">
        <v>1</v>
      </c>
      <c r="L1745" t="s">
        <v>37</v>
      </c>
      <c r="M1745" s="5">
        <v>2</v>
      </c>
      <c r="N1745" s="4">
        <v>0.19</v>
      </c>
      <c r="O1745" t="s">
        <v>39</v>
      </c>
    </row>
    <row r="1746" spans="1:15" x14ac:dyDescent="0.3">
      <c r="A1746" t="s">
        <v>552</v>
      </c>
      <c r="B1746" s="5">
        <v>35</v>
      </c>
      <c r="C1746" s="5" t="str" cm="1">
        <f t="array" ref="C1746">_xlfn.IFS(worksheet[[#This Row],[age]]&lt;25,"1. Young Adulthood (18-24)",worksheet[[#This Row],[age]]&lt; 35,"2. Early Adulthood (25-34)",worksheet[[#This Row],[age]]&lt; 45,"3. Mid Adulthood (35-44)",worksheet[[#This Row],[age]]&lt; 55,"4. Mature Adulthood (45-54)",TRUE,"5. Late Adulthood/Senior (55+)")</f>
        <v>3. Mid Adulthood (35-44)</v>
      </c>
      <c r="D1746" t="s">
        <v>27</v>
      </c>
      <c r="E1746" t="s">
        <v>22</v>
      </c>
      <c r="F1746" s="4">
        <v>8.39</v>
      </c>
      <c r="G1746" s="5">
        <v>0</v>
      </c>
      <c r="H1746" t="s">
        <v>17</v>
      </c>
      <c r="I1746" t="s">
        <v>18</v>
      </c>
      <c r="J1746" s="6">
        <v>13.99</v>
      </c>
      <c r="K1746">
        <v>0</v>
      </c>
      <c r="L1746" t="s">
        <v>61</v>
      </c>
      <c r="M1746" s="5">
        <v>2</v>
      </c>
      <c r="N1746" s="4">
        <v>8.39</v>
      </c>
      <c r="O1746" t="s">
        <v>47</v>
      </c>
    </row>
    <row r="1747" spans="1:15" x14ac:dyDescent="0.3">
      <c r="A1747" t="s">
        <v>559</v>
      </c>
      <c r="B1747" s="5">
        <v>38</v>
      </c>
      <c r="C1747" s="5" t="str" cm="1">
        <f t="array" ref="C1747">_xlfn.IFS(worksheet[[#This Row],[age]]&lt;25,"1. Young Adulthood (18-24)",worksheet[[#This Row],[age]]&lt; 35,"2. Early Adulthood (25-34)",worksheet[[#This Row],[age]]&lt; 45,"3. Mid Adulthood (35-44)",worksheet[[#This Row],[age]]&lt; 55,"4. Mature Adulthood (45-54)",TRUE,"5. Late Adulthood/Senior (55+)")</f>
        <v>3. Mid Adulthood (35-44)</v>
      </c>
      <c r="D1747" t="s">
        <v>27</v>
      </c>
      <c r="E1747" t="s">
        <v>32</v>
      </c>
      <c r="F1747" s="4">
        <v>1.18</v>
      </c>
      <c r="G1747" s="5">
        <v>4</v>
      </c>
      <c r="H1747" t="s">
        <v>17</v>
      </c>
      <c r="I1747" t="s">
        <v>24</v>
      </c>
      <c r="J1747" s="6">
        <v>17.989999999999998</v>
      </c>
      <c r="K1747">
        <v>0</v>
      </c>
      <c r="L1747" t="s">
        <v>37</v>
      </c>
      <c r="M1747" s="5">
        <v>3</v>
      </c>
      <c r="N1747" s="4">
        <v>0.24</v>
      </c>
      <c r="O1747" t="s">
        <v>20</v>
      </c>
    </row>
    <row r="1748" spans="1:15" x14ac:dyDescent="0.3">
      <c r="A1748" t="s">
        <v>564</v>
      </c>
      <c r="B1748" s="5">
        <v>39</v>
      </c>
      <c r="C1748" s="5" t="str" cm="1">
        <f t="array" ref="C1748">_xlfn.IFS(worksheet[[#This Row],[age]]&lt;25,"1. Young Adulthood (18-24)",worksheet[[#This Row],[age]]&lt; 35,"2. Early Adulthood (25-34)",worksheet[[#This Row],[age]]&lt; 45,"3. Mid Adulthood (35-44)",worksheet[[#This Row],[age]]&lt; 55,"4. Mature Adulthood (45-54)",TRUE,"5. Late Adulthood/Senior (55+)")</f>
        <v>3. Mid Adulthood (35-44)</v>
      </c>
      <c r="D1748" t="s">
        <v>41</v>
      </c>
      <c r="E1748" t="s">
        <v>22</v>
      </c>
      <c r="F1748" s="4">
        <v>8.99</v>
      </c>
      <c r="G1748" s="5">
        <v>32</v>
      </c>
      <c r="H1748" t="s">
        <v>28</v>
      </c>
      <c r="I1748" t="s">
        <v>18</v>
      </c>
      <c r="J1748" s="6">
        <v>13.99</v>
      </c>
      <c r="K1748">
        <v>1</v>
      </c>
      <c r="L1748" t="s">
        <v>19</v>
      </c>
      <c r="M1748" s="5">
        <v>3</v>
      </c>
      <c r="N1748" s="4">
        <v>0.27</v>
      </c>
      <c r="O1748" t="s">
        <v>52</v>
      </c>
    </row>
    <row r="1749" spans="1:15" x14ac:dyDescent="0.3">
      <c r="A1749" t="s">
        <v>567</v>
      </c>
      <c r="B1749" s="5">
        <v>44</v>
      </c>
      <c r="C1749" s="5" t="str" cm="1">
        <f t="array" ref="C1749">_xlfn.IFS(worksheet[[#This Row],[age]]&lt;25,"1. Young Adulthood (18-24)",worksheet[[#This Row],[age]]&lt; 35,"2. Early Adulthood (25-34)",worksheet[[#This Row],[age]]&lt; 45,"3. Mid Adulthood (35-44)",worksheet[[#This Row],[age]]&lt; 55,"4. Mature Adulthood (45-54)",TRUE,"5. Late Adulthood/Senior (55+)")</f>
        <v>3. Mid Adulthood (35-44)</v>
      </c>
      <c r="D1749" t="s">
        <v>27</v>
      </c>
      <c r="E1749" t="s">
        <v>16</v>
      </c>
      <c r="F1749" s="4">
        <v>55.55</v>
      </c>
      <c r="G1749" s="5">
        <v>17</v>
      </c>
      <c r="H1749" t="s">
        <v>17</v>
      </c>
      <c r="I1749" t="s">
        <v>55</v>
      </c>
      <c r="J1749" s="6">
        <v>8.99</v>
      </c>
      <c r="K1749">
        <v>0</v>
      </c>
      <c r="L1749" t="s">
        <v>37</v>
      </c>
      <c r="M1749" s="5">
        <v>2</v>
      </c>
      <c r="N1749" s="4">
        <v>3.09</v>
      </c>
      <c r="O1749" t="s">
        <v>39</v>
      </c>
    </row>
    <row r="1750" spans="1:15" x14ac:dyDescent="0.3">
      <c r="A1750" t="s">
        <v>571</v>
      </c>
      <c r="B1750" s="5">
        <v>43</v>
      </c>
      <c r="C1750" s="5" t="str" cm="1">
        <f t="array" ref="C1750">_xlfn.IFS(worksheet[[#This Row],[age]]&lt;25,"1. Young Adulthood (18-24)",worksheet[[#This Row],[age]]&lt; 35,"2. Early Adulthood (25-34)",worksheet[[#This Row],[age]]&lt; 45,"3. Mid Adulthood (35-44)",worksheet[[#This Row],[age]]&lt; 55,"4. Mature Adulthood (45-54)",TRUE,"5. Late Adulthood/Senior (55+)")</f>
        <v>3. Mid Adulthood (35-44)</v>
      </c>
      <c r="D1750" t="s">
        <v>41</v>
      </c>
      <c r="E1750" t="s">
        <v>32</v>
      </c>
      <c r="F1750" s="4">
        <v>4.6399999999999997</v>
      </c>
      <c r="G1750" s="5">
        <v>7</v>
      </c>
      <c r="H1750" t="s">
        <v>33</v>
      </c>
      <c r="I1750" t="s">
        <v>57</v>
      </c>
      <c r="J1750" s="6">
        <v>17.989999999999998</v>
      </c>
      <c r="K1750">
        <v>0</v>
      </c>
      <c r="L1750" t="s">
        <v>37</v>
      </c>
      <c r="M1750" s="5">
        <v>5</v>
      </c>
      <c r="N1750" s="4">
        <v>0.57999999999999996</v>
      </c>
      <c r="O1750" t="s">
        <v>52</v>
      </c>
    </row>
    <row r="1751" spans="1:15" x14ac:dyDescent="0.3">
      <c r="A1751" t="s">
        <v>581</v>
      </c>
      <c r="B1751" s="5">
        <v>41</v>
      </c>
      <c r="C1751" s="5" t="str" cm="1">
        <f t="array" ref="C1751">_xlfn.IFS(worksheet[[#This Row],[age]]&lt;25,"1. Young Adulthood (18-24)",worksheet[[#This Row],[age]]&lt; 35,"2. Early Adulthood (25-34)",worksheet[[#This Row],[age]]&lt; 45,"3. Mid Adulthood (35-44)",worksheet[[#This Row],[age]]&lt; 55,"4. Mature Adulthood (45-54)",TRUE,"5. Late Adulthood/Senior (55+)")</f>
        <v>3. Mid Adulthood (35-44)</v>
      </c>
      <c r="D1751" t="s">
        <v>27</v>
      </c>
      <c r="E1751" t="s">
        <v>22</v>
      </c>
      <c r="F1751" s="4">
        <v>23.03</v>
      </c>
      <c r="G1751" s="5">
        <v>50</v>
      </c>
      <c r="H1751" t="s">
        <v>23</v>
      </c>
      <c r="I1751" t="s">
        <v>18</v>
      </c>
      <c r="J1751" s="6">
        <v>13.99</v>
      </c>
      <c r="K1751">
        <v>0</v>
      </c>
      <c r="L1751" t="s">
        <v>61</v>
      </c>
      <c r="M1751" s="5">
        <v>3</v>
      </c>
      <c r="N1751" s="4">
        <v>0.45</v>
      </c>
      <c r="O1751" t="s">
        <v>30</v>
      </c>
    </row>
    <row r="1752" spans="1:15" x14ac:dyDescent="0.3">
      <c r="A1752" t="s">
        <v>584</v>
      </c>
      <c r="B1752" s="5">
        <v>41</v>
      </c>
      <c r="C1752" s="5" t="str" cm="1">
        <f t="array" ref="C1752">_xlfn.IFS(worksheet[[#This Row],[age]]&lt;25,"1. Young Adulthood (18-24)",worksheet[[#This Row],[age]]&lt; 35,"2. Early Adulthood (25-34)",worksheet[[#This Row],[age]]&lt; 45,"3. Mid Adulthood (35-44)",worksheet[[#This Row],[age]]&lt; 55,"4. Mature Adulthood (45-54)",TRUE,"5. Late Adulthood/Senior (55+)")</f>
        <v>3. Mid Adulthood (35-44)</v>
      </c>
      <c r="D1752" t="s">
        <v>41</v>
      </c>
      <c r="E1752" t="s">
        <v>32</v>
      </c>
      <c r="F1752" s="4">
        <v>22.75</v>
      </c>
      <c r="G1752" s="5">
        <v>22</v>
      </c>
      <c r="H1752" t="s">
        <v>23</v>
      </c>
      <c r="I1752" t="s">
        <v>18</v>
      </c>
      <c r="J1752" s="6">
        <v>17.989999999999998</v>
      </c>
      <c r="K1752">
        <v>0</v>
      </c>
      <c r="L1752" t="s">
        <v>19</v>
      </c>
      <c r="M1752" s="5">
        <v>2</v>
      </c>
      <c r="N1752" s="4">
        <v>0.99</v>
      </c>
      <c r="O1752" t="s">
        <v>34</v>
      </c>
    </row>
    <row r="1753" spans="1:15" x14ac:dyDescent="0.3">
      <c r="A1753" t="s">
        <v>585</v>
      </c>
      <c r="B1753" s="5">
        <v>38</v>
      </c>
      <c r="C1753" s="5" t="str" cm="1">
        <f t="array" ref="C1753">_xlfn.IFS(worksheet[[#This Row],[age]]&lt;25,"1. Young Adulthood (18-24)",worksheet[[#This Row],[age]]&lt; 35,"2. Early Adulthood (25-34)",worksheet[[#This Row],[age]]&lt; 45,"3. Mid Adulthood (35-44)",worksheet[[#This Row],[age]]&lt; 55,"4. Mature Adulthood (45-54)",TRUE,"5. Late Adulthood/Senior (55+)")</f>
        <v>3. Mid Adulthood (35-44)</v>
      </c>
      <c r="D1753" t="s">
        <v>15</v>
      </c>
      <c r="E1753" t="s">
        <v>16</v>
      </c>
      <c r="F1753" s="4">
        <v>4.55</v>
      </c>
      <c r="G1753" s="5">
        <v>18</v>
      </c>
      <c r="H1753" t="s">
        <v>17</v>
      </c>
      <c r="I1753" t="s">
        <v>18</v>
      </c>
      <c r="J1753" s="6">
        <v>8.99</v>
      </c>
      <c r="K1753">
        <v>1</v>
      </c>
      <c r="L1753" t="s">
        <v>61</v>
      </c>
      <c r="M1753" s="5">
        <v>5</v>
      </c>
      <c r="N1753" s="4">
        <v>0.24</v>
      </c>
      <c r="O1753" t="s">
        <v>30</v>
      </c>
    </row>
    <row r="1754" spans="1:15" x14ac:dyDescent="0.3">
      <c r="A1754" t="s">
        <v>586</v>
      </c>
      <c r="B1754" s="5">
        <v>42</v>
      </c>
      <c r="C1754" s="5" t="str" cm="1">
        <f t="array" ref="C1754">_xlfn.IFS(worksheet[[#This Row],[age]]&lt;25,"1. Young Adulthood (18-24)",worksheet[[#This Row],[age]]&lt; 35,"2. Early Adulthood (25-34)",worksheet[[#This Row],[age]]&lt; 45,"3. Mid Adulthood (35-44)",worksheet[[#This Row],[age]]&lt; 55,"4. Mature Adulthood (45-54)",TRUE,"5. Late Adulthood/Senior (55+)")</f>
        <v>3. Mid Adulthood (35-44)</v>
      </c>
      <c r="D1754" t="s">
        <v>41</v>
      </c>
      <c r="E1754" t="s">
        <v>16</v>
      </c>
      <c r="F1754" s="4">
        <v>0.79</v>
      </c>
      <c r="G1754" s="5">
        <v>18</v>
      </c>
      <c r="H1754" t="s">
        <v>49</v>
      </c>
      <c r="I1754" t="s">
        <v>46</v>
      </c>
      <c r="J1754" s="6">
        <v>8.99</v>
      </c>
      <c r="K1754">
        <v>1</v>
      </c>
      <c r="L1754" t="s">
        <v>43</v>
      </c>
      <c r="M1754" s="5">
        <v>4</v>
      </c>
      <c r="N1754" s="4">
        <v>0.04</v>
      </c>
      <c r="O1754" t="s">
        <v>20</v>
      </c>
    </row>
    <row r="1755" spans="1:15" x14ac:dyDescent="0.3">
      <c r="A1755" t="s">
        <v>591</v>
      </c>
      <c r="B1755" s="5">
        <v>37</v>
      </c>
      <c r="C1755" s="5" t="str" cm="1">
        <f t="array" ref="C1755">_xlfn.IFS(worksheet[[#This Row],[age]]&lt;25,"1. Young Adulthood (18-24)",worksheet[[#This Row],[age]]&lt; 35,"2. Early Adulthood (25-34)",worksheet[[#This Row],[age]]&lt; 45,"3. Mid Adulthood (35-44)",worksheet[[#This Row],[age]]&lt; 55,"4. Mature Adulthood (45-54)",TRUE,"5. Late Adulthood/Senior (55+)")</f>
        <v>3. Mid Adulthood (35-44)</v>
      </c>
      <c r="D1755" t="s">
        <v>15</v>
      </c>
      <c r="E1755" t="s">
        <v>32</v>
      </c>
      <c r="F1755" s="4">
        <v>1.99</v>
      </c>
      <c r="G1755" s="5">
        <v>13</v>
      </c>
      <c r="H1755" t="s">
        <v>28</v>
      </c>
      <c r="I1755" t="s">
        <v>57</v>
      </c>
      <c r="J1755" s="6">
        <v>17.989999999999998</v>
      </c>
      <c r="K1755">
        <v>0</v>
      </c>
      <c r="L1755" t="s">
        <v>37</v>
      </c>
      <c r="M1755" s="5">
        <v>4</v>
      </c>
      <c r="N1755" s="4">
        <v>0.14000000000000001</v>
      </c>
      <c r="O1755" t="s">
        <v>34</v>
      </c>
    </row>
    <row r="1756" spans="1:15" x14ac:dyDescent="0.3">
      <c r="A1756" t="s">
        <v>598</v>
      </c>
      <c r="B1756" s="5">
        <v>44</v>
      </c>
      <c r="C1756" s="5" t="str" cm="1">
        <f t="array" ref="C1756">_xlfn.IFS(worksheet[[#This Row],[age]]&lt;25,"1. Young Adulthood (18-24)",worksheet[[#This Row],[age]]&lt; 35,"2. Early Adulthood (25-34)",worksheet[[#This Row],[age]]&lt; 45,"3. Mid Adulthood (35-44)",worksheet[[#This Row],[age]]&lt; 55,"4. Mature Adulthood (45-54)",TRUE,"5. Late Adulthood/Senior (55+)")</f>
        <v>3. Mid Adulthood (35-44)</v>
      </c>
      <c r="D1756" t="s">
        <v>27</v>
      </c>
      <c r="E1756" t="s">
        <v>22</v>
      </c>
      <c r="F1756" s="4">
        <v>0.78</v>
      </c>
      <c r="G1756" s="5">
        <v>3</v>
      </c>
      <c r="H1756" t="s">
        <v>70</v>
      </c>
      <c r="I1756" t="s">
        <v>24</v>
      </c>
      <c r="J1756" s="6">
        <v>13.99</v>
      </c>
      <c r="K1756">
        <v>0</v>
      </c>
      <c r="L1756" t="s">
        <v>61</v>
      </c>
      <c r="M1756" s="5">
        <v>3</v>
      </c>
      <c r="N1756" s="4">
        <v>0.2</v>
      </c>
      <c r="O1756" t="s">
        <v>30</v>
      </c>
    </row>
    <row r="1757" spans="1:15" x14ac:dyDescent="0.3">
      <c r="A1757" t="s">
        <v>599</v>
      </c>
      <c r="B1757" s="5">
        <v>43</v>
      </c>
      <c r="C1757" s="5" t="str" cm="1">
        <f t="array" ref="C1757">_xlfn.IFS(worksheet[[#This Row],[age]]&lt;25,"1. Young Adulthood (18-24)",worksheet[[#This Row],[age]]&lt; 35,"2. Early Adulthood (25-34)",worksheet[[#This Row],[age]]&lt; 45,"3. Mid Adulthood (35-44)",worksheet[[#This Row],[age]]&lt; 55,"4. Mature Adulthood (45-54)",TRUE,"5. Late Adulthood/Senior (55+)")</f>
        <v>3. Mid Adulthood (35-44)</v>
      </c>
      <c r="D1757" t="s">
        <v>41</v>
      </c>
      <c r="E1757" t="s">
        <v>22</v>
      </c>
      <c r="F1757" s="4">
        <v>31.73</v>
      </c>
      <c r="G1757" s="5">
        <v>34</v>
      </c>
      <c r="H1757" t="s">
        <v>28</v>
      </c>
      <c r="I1757" t="s">
        <v>18</v>
      </c>
      <c r="J1757" s="6">
        <v>13.99</v>
      </c>
      <c r="K1757">
        <v>0</v>
      </c>
      <c r="L1757" t="s">
        <v>61</v>
      </c>
      <c r="M1757" s="5">
        <v>3</v>
      </c>
      <c r="N1757" s="4">
        <v>0.91</v>
      </c>
      <c r="O1757" t="s">
        <v>34</v>
      </c>
    </row>
    <row r="1758" spans="1:15" x14ac:dyDescent="0.3">
      <c r="A1758" t="s">
        <v>607</v>
      </c>
      <c r="B1758" s="5">
        <v>44</v>
      </c>
      <c r="C1758" s="5" t="str" cm="1">
        <f t="array" ref="C1758">_xlfn.IFS(worksheet[[#This Row],[age]]&lt;25,"1. Young Adulthood (18-24)",worksheet[[#This Row],[age]]&lt; 35,"2. Early Adulthood (25-34)",worksheet[[#This Row],[age]]&lt; 45,"3. Mid Adulthood (35-44)",worksheet[[#This Row],[age]]&lt; 55,"4. Mature Adulthood (45-54)",TRUE,"5. Late Adulthood/Senior (55+)")</f>
        <v>3. Mid Adulthood (35-44)</v>
      </c>
      <c r="D1758" t="s">
        <v>15</v>
      </c>
      <c r="E1758" t="s">
        <v>32</v>
      </c>
      <c r="F1758" s="4">
        <v>1.41</v>
      </c>
      <c r="G1758" s="5">
        <v>33</v>
      </c>
      <c r="H1758" t="s">
        <v>49</v>
      </c>
      <c r="I1758" t="s">
        <v>46</v>
      </c>
      <c r="J1758" s="6">
        <v>17.989999999999998</v>
      </c>
      <c r="K1758">
        <v>1</v>
      </c>
      <c r="L1758" t="s">
        <v>61</v>
      </c>
      <c r="M1758" s="5">
        <v>1</v>
      </c>
      <c r="N1758" s="4">
        <v>0.04</v>
      </c>
      <c r="O1758" t="s">
        <v>52</v>
      </c>
    </row>
    <row r="1759" spans="1:15" x14ac:dyDescent="0.3">
      <c r="A1759" t="s">
        <v>612</v>
      </c>
      <c r="B1759" s="5">
        <v>44</v>
      </c>
      <c r="C1759" s="5" t="str" cm="1">
        <f t="array" ref="C1759">_xlfn.IFS(worksheet[[#This Row],[age]]&lt;25,"1. Young Adulthood (18-24)",worksheet[[#This Row],[age]]&lt; 35,"2. Early Adulthood (25-34)",worksheet[[#This Row],[age]]&lt; 45,"3. Mid Adulthood (35-44)",worksheet[[#This Row],[age]]&lt; 55,"4. Mature Adulthood (45-54)",TRUE,"5. Late Adulthood/Senior (55+)")</f>
        <v>3. Mid Adulthood (35-44)</v>
      </c>
      <c r="D1759" t="s">
        <v>41</v>
      </c>
      <c r="E1759" t="s">
        <v>16</v>
      </c>
      <c r="F1759" s="4">
        <v>6.67</v>
      </c>
      <c r="G1759" s="5">
        <v>25</v>
      </c>
      <c r="H1759" t="s">
        <v>17</v>
      </c>
      <c r="I1759" t="s">
        <v>57</v>
      </c>
      <c r="J1759" s="6">
        <v>8.99</v>
      </c>
      <c r="K1759">
        <v>0</v>
      </c>
      <c r="L1759" t="s">
        <v>29</v>
      </c>
      <c r="M1759" s="5">
        <v>5</v>
      </c>
      <c r="N1759" s="4">
        <v>0.26</v>
      </c>
      <c r="O1759" t="s">
        <v>30</v>
      </c>
    </row>
    <row r="1760" spans="1:15" x14ac:dyDescent="0.3">
      <c r="A1760" t="s">
        <v>623</v>
      </c>
      <c r="B1760" s="5">
        <v>44</v>
      </c>
      <c r="C1760" s="5" t="str" cm="1">
        <f t="array" ref="C1760">_xlfn.IFS(worksheet[[#This Row],[age]]&lt;25,"1. Young Adulthood (18-24)",worksheet[[#This Row],[age]]&lt; 35,"2. Early Adulthood (25-34)",worksheet[[#This Row],[age]]&lt; 45,"3. Mid Adulthood (35-44)",worksheet[[#This Row],[age]]&lt; 55,"4. Mature Adulthood (45-54)",TRUE,"5. Late Adulthood/Senior (55+)")</f>
        <v>3. Mid Adulthood (35-44)</v>
      </c>
      <c r="D1760" t="s">
        <v>41</v>
      </c>
      <c r="E1760" t="s">
        <v>32</v>
      </c>
      <c r="F1760" s="4">
        <v>18.920000000000002</v>
      </c>
      <c r="G1760" s="5">
        <v>0</v>
      </c>
      <c r="H1760" t="s">
        <v>33</v>
      </c>
      <c r="I1760" t="s">
        <v>57</v>
      </c>
      <c r="J1760" s="6">
        <v>17.989999999999998</v>
      </c>
      <c r="K1760">
        <v>0</v>
      </c>
      <c r="L1760" t="s">
        <v>29</v>
      </c>
      <c r="M1760" s="5">
        <v>4</v>
      </c>
      <c r="N1760" s="4">
        <v>18.920000000000002</v>
      </c>
      <c r="O1760" t="s">
        <v>39</v>
      </c>
    </row>
    <row r="1761" spans="1:15" x14ac:dyDescent="0.3">
      <c r="A1761" t="s">
        <v>626</v>
      </c>
      <c r="B1761" s="5">
        <v>41</v>
      </c>
      <c r="C1761" s="5" t="str" cm="1">
        <f t="array" ref="C1761">_xlfn.IFS(worksheet[[#This Row],[age]]&lt;25,"1. Young Adulthood (18-24)",worksheet[[#This Row],[age]]&lt; 35,"2. Early Adulthood (25-34)",worksheet[[#This Row],[age]]&lt; 45,"3. Mid Adulthood (35-44)",worksheet[[#This Row],[age]]&lt; 55,"4. Mature Adulthood (45-54)",TRUE,"5. Late Adulthood/Senior (55+)")</f>
        <v>3. Mid Adulthood (35-44)</v>
      </c>
      <c r="D1761" t="s">
        <v>27</v>
      </c>
      <c r="E1761" t="s">
        <v>16</v>
      </c>
      <c r="F1761" s="4">
        <v>40.64</v>
      </c>
      <c r="G1761" s="5">
        <v>31</v>
      </c>
      <c r="H1761" t="s">
        <v>17</v>
      </c>
      <c r="I1761" t="s">
        <v>46</v>
      </c>
      <c r="J1761" s="6">
        <v>8.99</v>
      </c>
      <c r="K1761">
        <v>0</v>
      </c>
      <c r="L1761" t="s">
        <v>19</v>
      </c>
      <c r="M1761" s="5">
        <v>2</v>
      </c>
      <c r="N1761" s="4">
        <v>1.27</v>
      </c>
      <c r="O1761" t="s">
        <v>20</v>
      </c>
    </row>
    <row r="1762" spans="1:15" x14ac:dyDescent="0.3">
      <c r="A1762" t="s">
        <v>633</v>
      </c>
      <c r="B1762" s="5">
        <v>43</v>
      </c>
      <c r="C1762" s="5" t="str" cm="1">
        <f t="array" ref="C1762">_xlfn.IFS(worksheet[[#This Row],[age]]&lt;25,"1. Young Adulthood (18-24)",worksheet[[#This Row],[age]]&lt; 35,"2. Early Adulthood (25-34)",worksheet[[#This Row],[age]]&lt; 45,"3. Mid Adulthood (35-44)",worksheet[[#This Row],[age]]&lt; 55,"4. Mature Adulthood (45-54)",TRUE,"5. Late Adulthood/Senior (55+)")</f>
        <v>3. Mid Adulthood (35-44)</v>
      </c>
      <c r="D1762" t="s">
        <v>41</v>
      </c>
      <c r="E1762" t="s">
        <v>16</v>
      </c>
      <c r="F1762" s="4">
        <v>9.58</v>
      </c>
      <c r="G1762" s="5">
        <v>13</v>
      </c>
      <c r="H1762" t="s">
        <v>33</v>
      </c>
      <c r="I1762" t="s">
        <v>55</v>
      </c>
      <c r="J1762" s="6">
        <v>8.99</v>
      </c>
      <c r="K1762">
        <v>0</v>
      </c>
      <c r="L1762" t="s">
        <v>37</v>
      </c>
      <c r="M1762" s="5">
        <v>4</v>
      </c>
      <c r="N1762" s="4">
        <v>0.68</v>
      </c>
      <c r="O1762" t="s">
        <v>30</v>
      </c>
    </row>
    <row r="1763" spans="1:15" x14ac:dyDescent="0.3">
      <c r="A1763" t="s">
        <v>638</v>
      </c>
      <c r="B1763" s="5">
        <v>44</v>
      </c>
      <c r="C1763" s="5" t="str" cm="1">
        <f t="array" ref="C1763">_xlfn.IFS(worksheet[[#This Row],[age]]&lt;25,"1. Young Adulthood (18-24)",worksheet[[#This Row],[age]]&lt; 35,"2. Early Adulthood (25-34)",worksheet[[#This Row],[age]]&lt; 45,"3. Mid Adulthood (35-44)",worksheet[[#This Row],[age]]&lt; 55,"4. Mature Adulthood (45-54)",TRUE,"5. Late Adulthood/Senior (55+)")</f>
        <v>3. Mid Adulthood (35-44)</v>
      </c>
      <c r="D1763" t="s">
        <v>41</v>
      </c>
      <c r="E1763" t="s">
        <v>32</v>
      </c>
      <c r="F1763" s="4">
        <v>3.95</v>
      </c>
      <c r="G1763" s="5">
        <v>26</v>
      </c>
      <c r="H1763" t="s">
        <v>28</v>
      </c>
      <c r="I1763" t="s">
        <v>55</v>
      </c>
      <c r="J1763" s="6">
        <v>17.989999999999998</v>
      </c>
      <c r="K1763">
        <v>1</v>
      </c>
      <c r="L1763" t="s">
        <v>19</v>
      </c>
      <c r="M1763" s="5">
        <v>4</v>
      </c>
      <c r="N1763" s="4">
        <v>0.15</v>
      </c>
      <c r="O1763" t="s">
        <v>20</v>
      </c>
    </row>
    <row r="1764" spans="1:15" x14ac:dyDescent="0.3">
      <c r="A1764" t="s">
        <v>641</v>
      </c>
      <c r="B1764" s="5">
        <v>44</v>
      </c>
      <c r="C1764" s="5" t="str" cm="1">
        <f t="array" ref="C1764">_xlfn.IFS(worksheet[[#This Row],[age]]&lt;25,"1. Young Adulthood (18-24)",worksheet[[#This Row],[age]]&lt; 35,"2. Early Adulthood (25-34)",worksheet[[#This Row],[age]]&lt; 45,"3. Mid Adulthood (35-44)",worksheet[[#This Row],[age]]&lt; 55,"4. Mature Adulthood (45-54)",TRUE,"5. Late Adulthood/Senior (55+)")</f>
        <v>3. Mid Adulthood (35-44)</v>
      </c>
      <c r="D1764" t="s">
        <v>27</v>
      </c>
      <c r="E1764" t="s">
        <v>16</v>
      </c>
      <c r="F1764" s="4">
        <v>6.71</v>
      </c>
      <c r="G1764" s="5">
        <v>40</v>
      </c>
      <c r="H1764" t="s">
        <v>28</v>
      </c>
      <c r="I1764" t="s">
        <v>24</v>
      </c>
      <c r="J1764" s="6">
        <v>8.99</v>
      </c>
      <c r="K1764">
        <v>1</v>
      </c>
      <c r="L1764" t="s">
        <v>29</v>
      </c>
      <c r="M1764" s="5">
        <v>1</v>
      </c>
      <c r="N1764" s="4">
        <v>0.16</v>
      </c>
      <c r="O1764" t="s">
        <v>25</v>
      </c>
    </row>
    <row r="1765" spans="1:15" x14ac:dyDescent="0.3">
      <c r="A1765" t="s">
        <v>642</v>
      </c>
      <c r="B1765" s="5">
        <v>36</v>
      </c>
      <c r="C1765" s="5" t="str" cm="1">
        <f t="array" ref="C1765">_xlfn.IFS(worksheet[[#This Row],[age]]&lt;25,"1. Young Adulthood (18-24)",worksheet[[#This Row],[age]]&lt; 35,"2. Early Adulthood (25-34)",worksheet[[#This Row],[age]]&lt; 45,"3. Mid Adulthood (35-44)",worksheet[[#This Row],[age]]&lt; 55,"4. Mature Adulthood (45-54)",TRUE,"5. Late Adulthood/Senior (55+)")</f>
        <v>3. Mid Adulthood (35-44)</v>
      </c>
      <c r="D1765" t="s">
        <v>27</v>
      </c>
      <c r="E1765" t="s">
        <v>16</v>
      </c>
      <c r="F1765" s="4">
        <v>14.33</v>
      </c>
      <c r="G1765" s="5">
        <v>44</v>
      </c>
      <c r="H1765" t="s">
        <v>49</v>
      </c>
      <c r="I1765" t="s">
        <v>46</v>
      </c>
      <c r="J1765" s="6">
        <v>8.99</v>
      </c>
      <c r="K1765">
        <v>1</v>
      </c>
      <c r="L1765" t="s">
        <v>19</v>
      </c>
      <c r="M1765" s="5">
        <v>2</v>
      </c>
      <c r="N1765" s="4">
        <v>0.32</v>
      </c>
      <c r="O1765" t="s">
        <v>30</v>
      </c>
    </row>
    <row r="1766" spans="1:15" x14ac:dyDescent="0.3">
      <c r="A1766" t="s">
        <v>644</v>
      </c>
      <c r="B1766" s="5">
        <v>35</v>
      </c>
      <c r="C1766" s="5" t="str" cm="1">
        <f t="array" ref="C1766">_xlfn.IFS(worksheet[[#This Row],[age]]&lt;25,"1. Young Adulthood (18-24)",worksheet[[#This Row],[age]]&lt; 35,"2. Early Adulthood (25-34)",worksheet[[#This Row],[age]]&lt; 45,"3. Mid Adulthood (35-44)",worksheet[[#This Row],[age]]&lt; 55,"4. Mature Adulthood (45-54)",TRUE,"5. Late Adulthood/Senior (55+)")</f>
        <v>3. Mid Adulthood (35-44)</v>
      </c>
      <c r="D1766" t="s">
        <v>41</v>
      </c>
      <c r="E1766" t="s">
        <v>22</v>
      </c>
      <c r="F1766" s="4">
        <v>16.34</v>
      </c>
      <c r="G1766" s="5">
        <v>39</v>
      </c>
      <c r="H1766" t="s">
        <v>28</v>
      </c>
      <c r="I1766" t="s">
        <v>55</v>
      </c>
      <c r="J1766" s="6">
        <v>13.99</v>
      </c>
      <c r="K1766">
        <v>1</v>
      </c>
      <c r="L1766" t="s">
        <v>19</v>
      </c>
      <c r="M1766" s="5">
        <v>2</v>
      </c>
      <c r="N1766" s="4">
        <v>0.41</v>
      </c>
      <c r="O1766" t="s">
        <v>52</v>
      </c>
    </row>
    <row r="1767" spans="1:15" x14ac:dyDescent="0.3">
      <c r="A1767" t="s">
        <v>646</v>
      </c>
      <c r="B1767" s="5">
        <v>42</v>
      </c>
      <c r="C1767" s="5" t="str" cm="1">
        <f t="array" ref="C1767">_xlfn.IFS(worksheet[[#This Row],[age]]&lt;25,"1. Young Adulthood (18-24)",worksheet[[#This Row],[age]]&lt; 35,"2. Early Adulthood (25-34)",worksheet[[#This Row],[age]]&lt; 45,"3. Mid Adulthood (35-44)",worksheet[[#This Row],[age]]&lt; 55,"4. Mature Adulthood (45-54)",TRUE,"5. Late Adulthood/Senior (55+)")</f>
        <v>3. Mid Adulthood (35-44)</v>
      </c>
      <c r="D1767" t="s">
        <v>15</v>
      </c>
      <c r="E1767" t="s">
        <v>22</v>
      </c>
      <c r="F1767" s="4">
        <v>0.68</v>
      </c>
      <c r="G1767" s="5">
        <v>50</v>
      </c>
      <c r="H1767" t="s">
        <v>17</v>
      </c>
      <c r="I1767" t="s">
        <v>24</v>
      </c>
      <c r="J1767" s="6">
        <v>13.99</v>
      </c>
      <c r="K1767">
        <v>1</v>
      </c>
      <c r="L1767" t="s">
        <v>19</v>
      </c>
      <c r="M1767" s="5">
        <v>4</v>
      </c>
      <c r="N1767" s="4">
        <v>0.01</v>
      </c>
      <c r="O1767" t="s">
        <v>25</v>
      </c>
    </row>
    <row r="1768" spans="1:15" x14ac:dyDescent="0.3">
      <c r="A1768" t="s">
        <v>657</v>
      </c>
      <c r="B1768" s="5">
        <v>40</v>
      </c>
      <c r="C1768" s="5" t="str" cm="1">
        <f t="array" ref="C1768">_xlfn.IFS(worksheet[[#This Row],[age]]&lt;25,"1. Young Adulthood (18-24)",worksheet[[#This Row],[age]]&lt; 35,"2. Early Adulthood (25-34)",worksheet[[#This Row],[age]]&lt; 45,"3. Mid Adulthood (35-44)",worksheet[[#This Row],[age]]&lt; 55,"4. Mature Adulthood (45-54)",TRUE,"5. Late Adulthood/Senior (55+)")</f>
        <v>3. Mid Adulthood (35-44)</v>
      </c>
      <c r="D1768" t="s">
        <v>27</v>
      </c>
      <c r="E1768" t="s">
        <v>22</v>
      </c>
      <c r="F1768" s="4">
        <v>0.68</v>
      </c>
      <c r="G1768" s="5">
        <v>37</v>
      </c>
      <c r="H1768" t="s">
        <v>17</v>
      </c>
      <c r="I1768" t="s">
        <v>46</v>
      </c>
      <c r="J1768" s="6">
        <v>13.99</v>
      </c>
      <c r="K1768">
        <v>1</v>
      </c>
      <c r="L1768" t="s">
        <v>37</v>
      </c>
      <c r="M1768" s="5">
        <v>3</v>
      </c>
      <c r="N1768" s="4">
        <v>0.02</v>
      </c>
      <c r="O1768" t="s">
        <v>34</v>
      </c>
    </row>
    <row r="1769" spans="1:15" x14ac:dyDescent="0.3">
      <c r="A1769" t="s">
        <v>659</v>
      </c>
      <c r="B1769" s="5">
        <v>36</v>
      </c>
      <c r="C1769" s="5" t="str" cm="1">
        <f t="array" ref="C1769">_xlfn.IFS(worksheet[[#This Row],[age]]&lt;25,"1. Young Adulthood (18-24)",worksheet[[#This Row],[age]]&lt; 35,"2. Early Adulthood (25-34)",worksheet[[#This Row],[age]]&lt; 45,"3. Mid Adulthood (35-44)",worksheet[[#This Row],[age]]&lt; 55,"4. Mature Adulthood (45-54)",TRUE,"5. Late Adulthood/Senior (55+)")</f>
        <v>3. Mid Adulthood (35-44)</v>
      </c>
      <c r="D1769" t="s">
        <v>15</v>
      </c>
      <c r="E1769" t="s">
        <v>32</v>
      </c>
      <c r="F1769" s="4">
        <v>11.87</v>
      </c>
      <c r="G1769" s="5">
        <v>5</v>
      </c>
      <c r="H1769" t="s">
        <v>70</v>
      </c>
      <c r="I1769" t="s">
        <v>18</v>
      </c>
      <c r="J1769" s="6">
        <v>17.989999999999998</v>
      </c>
      <c r="K1769">
        <v>0</v>
      </c>
      <c r="L1769" t="s">
        <v>19</v>
      </c>
      <c r="M1769" s="5">
        <v>4</v>
      </c>
      <c r="N1769" s="4">
        <v>1.98</v>
      </c>
      <c r="O1769" t="s">
        <v>47</v>
      </c>
    </row>
    <row r="1770" spans="1:15" x14ac:dyDescent="0.3">
      <c r="A1770" t="s">
        <v>664</v>
      </c>
      <c r="B1770" s="5">
        <v>42</v>
      </c>
      <c r="C1770" s="5" t="str" cm="1">
        <f t="array" ref="C1770">_xlfn.IFS(worksheet[[#This Row],[age]]&lt;25,"1. Young Adulthood (18-24)",worksheet[[#This Row],[age]]&lt; 35,"2. Early Adulthood (25-34)",worksheet[[#This Row],[age]]&lt; 45,"3. Mid Adulthood (35-44)",worksheet[[#This Row],[age]]&lt; 55,"4. Mature Adulthood (45-54)",TRUE,"5. Late Adulthood/Senior (55+)")</f>
        <v>3. Mid Adulthood (35-44)</v>
      </c>
      <c r="D1770" t="s">
        <v>15</v>
      </c>
      <c r="E1770" t="s">
        <v>32</v>
      </c>
      <c r="F1770" s="4">
        <v>3.6</v>
      </c>
      <c r="G1770" s="5">
        <v>2</v>
      </c>
      <c r="H1770" t="s">
        <v>33</v>
      </c>
      <c r="I1770" t="s">
        <v>18</v>
      </c>
      <c r="J1770" s="6">
        <v>17.989999999999998</v>
      </c>
      <c r="K1770">
        <v>0</v>
      </c>
      <c r="L1770" t="s">
        <v>61</v>
      </c>
      <c r="M1770" s="5">
        <v>1</v>
      </c>
      <c r="N1770" s="4">
        <v>1.2</v>
      </c>
      <c r="O1770" t="s">
        <v>20</v>
      </c>
    </row>
    <row r="1771" spans="1:15" x14ac:dyDescent="0.3">
      <c r="A1771" t="s">
        <v>667</v>
      </c>
      <c r="B1771" s="5">
        <v>40</v>
      </c>
      <c r="C1771" s="5" t="str" cm="1">
        <f t="array" ref="C1771">_xlfn.IFS(worksheet[[#This Row],[age]]&lt;25,"1. Young Adulthood (18-24)",worksheet[[#This Row],[age]]&lt; 35,"2. Early Adulthood (25-34)",worksheet[[#This Row],[age]]&lt; 45,"3. Mid Adulthood (35-44)",worksheet[[#This Row],[age]]&lt; 55,"4. Mature Adulthood (45-54)",TRUE,"5. Late Adulthood/Senior (55+)")</f>
        <v>3. Mid Adulthood (35-44)</v>
      </c>
      <c r="D1771" t="s">
        <v>41</v>
      </c>
      <c r="E1771" t="s">
        <v>22</v>
      </c>
      <c r="F1771" s="4">
        <v>9.61</v>
      </c>
      <c r="G1771" s="5">
        <v>39</v>
      </c>
      <c r="H1771" t="s">
        <v>33</v>
      </c>
      <c r="I1771" t="s">
        <v>55</v>
      </c>
      <c r="J1771" s="6">
        <v>13.99</v>
      </c>
      <c r="K1771">
        <v>1</v>
      </c>
      <c r="L1771" t="s">
        <v>37</v>
      </c>
      <c r="M1771" s="5">
        <v>2</v>
      </c>
      <c r="N1771" s="4">
        <v>0.24</v>
      </c>
      <c r="O1771" t="s">
        <v>52</v>
      </c>
    </row>
    <row r="1772" spans="1:15" x14ac:dyDescent="0.3">
      <c r="A1772" t="s">
        <v>679</v>
      </c>
      <c r="B1772" s="5">
        <v>42</v>
      </c>
      <c r="C1772" s="5" t="str" cm="1">
        <f t="array" ref="C1772">_xlfn.IFS(worksheet[[#This Row],[age]]&lt;25,"1. Young Adulthood (18-24)",worksheet[[#This Row],[age]]&lt; 35,"2. Early Adulthood (25-34)",worksheet[[#This Row],[age]]&lt; 45,"3. Mid Adulthood (35-44)",worksheet[[#This Row],[age]]&lt; 55,"4. Mature Adulthood (45-54)",TRUE,"5. Late Adulthood/Senior (55+)")</f>
        <v>3. Mid Adulthood (35-44)</v>
      </c>
      <c r="D1772" t="s">
        <v>15</v>
      </c>
      <c r="E1772" t="s">
        <v>22</v>
      </c>
      <c r="F1772" s="4">
        <v>1.1100000000000001</v>
      </c>
      <c r="G1772" s="5">
        <v>14</v>
      </c>
      <c r="H1772" t="s">
        <v>33</v>
      </c>
      <c r="I1772" t="s">
        <v>24</v>
      </c>
      <c r="J1772" s="6">
        <v>13.99</v>
      </c>
      <c r="K1772">
        <v>1</v>
      </c>
      <c r="L1772" t="s">
        <v>19</v>
      </c>
      <c r="M1772" s="5">
        <v>2</v>
      </c>
      <c r="N1772" s="4">
        <v>7.0000000000000007E-2</v>
      </c>
      <c r="O1772" t="s">
        <v>30</v>
      </c>
    </row>
    <row r="1773" spans="1:15" x14ac:dyDescent="0.3">
      <c r="A1773" t="s">
        <v>689</v>
      </c>
      <c r="B1773" s="5">
        <v>39</v>
      </c>
      <c r="C1773" s="5" t="str" cm="1">
        <f t="array" ref="C1773">_xlfn.IFS(worksheet[[#This Row],[age]]&lt;25,"1. Young Adulthood (18-24)",worksheet[[#This Row],[age]]&lt; 35,"2. Early Adulthood (25-34)",worksheet[[#This Row],[age]]&lt; 45,"3. Mid Adulthood (35-44)",worksheet[[#This Row],[age]]&lt; 55,"4. Mature Adulthood (45-54)",TRUE,"5. Late Adulthood/Senior (55+)")</f>
        <v>3. Mid Adulthood (35-44)</v>
      </c>
      <c r="D1773" t="s">
        <v>27</v>
      </c>
      <c r="E1773" t="s">
        <v>16</v>
      </c>
      <c r="F1773" s="4">
        <v>1.28</v>
      </c>
      <c r="G1773" s="5">
        <v>45</v>
      </c>
      <c r="H1773" t="s">
        <v>17</v>
      </c>
      <c r="I1773" t="s">
        <v>18</v>
      </c>
      <c r="J1773" s="6">
        <v>8.99</v>
      </c>
      <c r="K1773">
        <v>1</v>
      </c>
      <c r="L1773" t="s">
        <v>19</v>
      </c>
      <c r="M1773" s="5">
        <v>5</v>
      </c>
      <c r="N1773" s="4">
        <v>0.03</v>
      </c>
      <c r="O1773" t="s">
        <v>34</v>
      </c>
    </row>
    <row r="1774" spans="1:15" x14ac:dyDescent="0.3">
      <c r="A1774" t="s">
        <v>704</v>
      </c>
      <c r="B1774" s="5">
        <v>43</v>
      </c>
      <c r="C1774" s="5" t="str" cm="1">
        <f t="array" ref="C1774">_xlfn.IFS(worksheet[[#This Row],[age]]&lt;25,"1. Young Adulthood (18-24)",worksheet[[#This Row],[age]]&lt; 35,"2. Early Adulthood (25-34)",worksheet[[#This Row],[age]]&lt; 45,"3. Mid Adulthood (35-44)",worksheet[[#This Row],[age]]&lt; 55,"4. Mature Adulthood (45-54)",TRUE,"5. Late Adulthood/Senior (55+)")</f>
        <v>3. Mid Adulthood (35-44)</v>
      </c>
      <c r="D1774" t="s">
        <v>41</v>
      </c>
      <c r="E1774" t="s">
        <v>22</v>
      </c>
      <c r="F1774" s="4">
        <v>8.99</v>
      </c>
      <c r="G1774" s="5">
        <v>53</v>
      </c>
      <c r="H1774" t="s">
        <v>70</v>
      </c>
      <c r="I1774" t="s">
        <v>46</v>
      </c>
      <c r="J1774" s="6">
        <v>13.99</v>
      </c>
      <c r="K1774">
        <v>1</v>
      </c>
      <c r="L1774" t="s">
        <v>29</v>
      </c>
      <c r="M1774" s="5">
        <v>1</v>
      </c>
      <c r="N1774" s="4">
        <v>0.17</v>
      </c>
      <c r="O1774" t="s">
        <v>20</v>
      </c>
    </row>
    <row r="1775" spans="1:15" x14ac:dyDescent="0.3">
      <c r="A1775" t="s">
        <v>710</v>
      </c>
      <c r="B1775" s="5">
        <v>42</v>
      </c>
      <c r="C1775" s="5" t="str" cm="1">
        <f t="array" ref="C1775">_xlfn.IFS(worksheet[[#This Row],[age]]&lt;25,"1. Young Adulthood (18-24)",worksheet[[#This Row],[age]]&lt; 35,"2. Early Adulthood (25-34)",worksheet[[#This Row],[age]]&lt; 45,"3. Mid Adulthood (35-44)",worksheet[[#This Row],[age]]&lt; 55,"4. Mature Adulthood (45-54)",TRUE,"5. Late Adulthood/Senior (55+)")</f>
        <v>3. Mid Adulthood (35-44)</v>
      </c>
      <c r="D1775" t="s">
        <v>41</v>
      </c>
      <c r="E1775" t="s">
        <v>22</v>
      </c>
      <c r="F1775" s="4">
        <v>1.65</v>
      </c>
      <c r="G1775" s="5">
        <v>41</v>
      </c>
      <c r="H1775" t="s">
        <v>17</v>
      </c>
      <c r="I1775" t="s">
        <v>24</v>
      </c>
      <c r="J1775" s="6">
        <v>13.99</v>
      </c>
      <c r="K1775">
        <v>1</v>
      </c>
      <c r="L1775" t="s">
        <v>43</v>
      </c>
      <c r="M1775" s="5">
        <v>3</v>
      </c>
      <c r="N1775" s="4">
        <v>0.04</v>
      </c>
      <c r="O1775" t="s">
        <v>20</v>
      </c>
    </row>
    <row r="1776" spans="1:15" x14ac:dyDescent="0.3">
      <c r="A1776" t="s">
        <v>721</v>
      </c>
      <c r="B1776" s="5">
        <v>36</v>
      </c>
      <c r="C1776" s="5" t="str" cm="1">
        <f t="array" ref="C1776">_xlfn.IFS(worksheet[[#This Row],[age]]&lt;25,"1. Young Adulthood (18-24)",worksheet[[#This Row],[age]]&lt; 35,"2. Early Adulthood (25-34)",worksheet[[#This Row],[age]]&lt; 45,"3. Mid Adulthood (35-44)",worksheet[[#This Row],[age]]&lt; 55,"4. Mature Adulthood (45-54)",TRUE,"5. Late Adulthood/Senior (55+)")</f>
        <v>3. Mid Adulthood (35-44)</v>
      </c>
      <c r="D1776" t="s">
        <v>27</v>
      </c>
      <c r="E1776" t="s">
        <v>32</v>
      </c>
      <c r="F1776" s="4">
        <v>22.1</v>
      </c>
      <c r="G1776" s="5">
        <v>40</v>
      </c>
      <c r="H1776" t="s">
        <v>49</v>
      </c>
      <c r="I1776" t="s">
        <v>18</v>
      </c>
      <c r="J1776" s="6">
        <v>17.989999999999998</v>
      </c>
      <c r="K1776">
        <v>0</v>
      </c>
      <c r="L1776" t="s">
        <v>29</v>
      </c>
      <c r="M1776" s="5">
        <v>4</v>
      </c>
      <c r="N1776" s="4">
        <v>0.54</v>
      </c>
      <c r="O1776" t="s">
        <v>52</v>
      </c>
    </row>
    <row r="1777" spans="1:15" x14ac:dyDescent="0.3">
      <c r="A1777" t="s">
        <v>722</v>
      </c>
      <c r="B1777" s="5">
        <v>37</v>
      </c>
      <c r="C1777" s="5" t="str" cm="1">
        <f t="array" ref="C1777">_xlfn.IFS(worksheet[[#This Row],[age]]&lt;25,"1. Young Adulthood (18-24)",worksheet[[#This Row],[age]]&lt; 35,"2. Early Adulthood (25-34)",worksheet[[#This Row],[age]]&lt; 45,"3. Mid Adulthood (35-44)",worksheet[[#This Row],[age]]&lt; 55,"4. Mature Adulthood (45-54)",TRUE,"5. Late Adulthood/Senior (55+)")</f>
        <v>3. Mid Adulthood (35-44)</v>
      </c>
      <c r="D1777" t="s">
        <v>27</v>
      </c>
      <c r="E1777" t="s">
        <v>16</v>
      </c>
      <c r="F1777" s="4">
        <v>6.47</v>
      </c>
      <c r="G1777" s="5">
        <v>21</v>
      </c>
      <c r="H1777" t="s">
        <v>70</v>
      </c>
      <c r="I1777" t="s">
        <v>24</v>
      </c>
      <c r="J1777" s="6">
        <v>8.99</v>
      </c>
      <c r="K1777">
        <v>1</v>
      </c>
      <c r="L1777" t="s">
        <v>19</v>
      </c>
      <c r="M1777" s="5">
        <v>3</v>
      </c>
      <c r="N1777" s="4">
        <v>0.28999999999999998</v>
      </c>
      <c r="O1777" t="s">
        <v>20</v>
      </c>
    </row>
    <row r="1778" spans="1:15" x14ac:dyDescent="0.3">
      <c r="A1778" t="s">
        <v>724</v>
      </c>
      <c r="B1778" s="5">
        <v>38</v>
      </c>
      <c r="C1778" s="5" t="str" cm="1">
        <f t="array" ref="C1778">_xlfn.IFS(worksheet[[#This Row],[age]]&lt;25,"1. Young Adulthood (18-24)",worksheet[[#This Row],[age]]&lt; 35,"2. Early Adulthood (25-34)",worksheet[[#This Row],[age]]&lt; 45,"3. Mid Adulthood (35-44)",worksheet[[#This Row],[age]]&lt; 55,"4. Mature Adulthood (45-54)",TRUE,"5. Late Adulthood/Senior (55+)")</f>
        <v>3. Mid Adulthood (35-44)</v>
      </c>
      <c r="D1778" t="s">
        <v>27</v>
      </c>
      <c r="E1778" t="s">
        <v>16</v>
      </c>
      <c r="F1778" s="4">
        <v>3.49</v>
      </c>
      <c r="G1778" s="5">
        <v>54</v>
      </c>
      <c r="H1778" t="s">
        <v>28</v>
      </c>
      <c r="I1778" t="s">
        <v>57</v>
      </c>
      <c r="J1778" s="6">
        <v>8.99</v>
      </c>
      <c r="K1778">
        <v>1</v>
      </c>
      <c r="L1778" t="s">
        <v>43</v>
      </c>
      <c r="M1778" s="5">
        <v>5</v>
      </c>
      <c r="N1778" s="4">
        <v>0.06</v>
      </c>
      <c r="O1778" t="s">
        <v>34</v>
      </c>
    </row>
    <row r="1779" spans="1:15" x14ac:dyDescent="0.3">
      <c r="A1779" t="s">
        <v>725</v>
      </c>
      <c r="B1779" s="5">
        <v>36</v>
      </c>
      <c r="C1779" s="5" t="str" cm="1">
        <f t="array" ref="C1779">_xlfn.IFS(worksheet[[#This Row],[age]]&lt;25,"1. Young Adulthood (18-24)",worksheet[[#This Row],[age]]&lt; 35,"2. Early Adulthood (25-34)",worksheet[[#This Row],[age]]&lt; 45,"3. Mid Adulthood (35-44)",worksheet[[#This Row],[age]]&lt; 55,"4. Mature Adulthood (45-54)",TRUE,"5. Late Adulthood/Senior (55+)")</f>
        <v>3. Mid Adulthood (35-44)</v>
      </c>
      <c r="D1779" t="s">
        <v>27</v>
      </c>
      <c r="E1779" t="s">
        <v>16</v>
      </c>
      <c r="F1779" s="4">
        <v>0.99</v>
      </c>
      <c r="G1779" s="5">
        <v>24</v>
      </c>
      <c r="H1779" t="s">
        <v>17</v>
      </c>
      <c r="I1779" t="s">
        <v>46</v>
      </c>
      <c r="J1779" s="6">
        <v>8.99</v>
      </c>
      <c r="K1779">
        <v>1</v>
      </c>
      <c r="L1779" t="s">
        <v>37</v>
      </c>
      <c r="M1779" s="5">
        <v>3</v>
      </c>
      <c r="N1779" s="4">
        <v>0.04</v>
      </c>
      <c r="O1779" t="s">
        <v>47</v>
      </c>
    </row>
    <row r="1780" spans="1:15" x14ac:dyDescent="0.3">
      <c r="A1780" t="s">
        <v>733</v>
      </c>
      <c r="B1780" s="5">
        <v>44</v>
      </c>
      <c r="C1780" s="5" t="str" cm="1">
        <f t="array" ref="C1780">_xlfn.IFS(worksheet[[#This Row],[age]]&lt;25,"1. Young Adulthood (18-24)",worksheet[[#This Row],[age]]&lt; 35,"2. Early Adulthood (25-34)",worksheet[[#This Row],[age]]&lt; 45,"3. Mid Adulthood (35-44)",worksheet[[#This Row],[age]]&lt; 55,"4. Mature Adulthood (45-54)",TRUE,"5. Late Adulthood/Senior (55+)")</f>
        <v>3. Mid Adulthood (35-44)</v>
      </c>
      <c r="D1780" t="s">
        <v>15</v>
      </c>
      <c r="E1780" t="s">
        <v>32</v>
      </c>
      <c r="F1780" s="4">
        <v>18.75</v>
      </c>
      <c r="G1780" s="5">
        <v>44</v>
      </c>
      <c r="H1780" t="s">
        <v>28</v>
      </c>
      <c r="I1780" t="s">
        <v>55</v>
      </c>
      <c r="J1780" s="6">
        <v>17.989999999999998</v>
      </c>
      <c r="K1780">
        <v>0</v>
      </c>
      <c r="L1780" t="s">
        <v>43</v>
      </c>
      <c r="M1780" s="5">
        <v>5</v>
      </c>
      <c r="N1780" s="4">
        <v>0.42</v>
      </c>
      <c r="O1780" t="s">
        <v>20</v>
      </c>
    </row>
    <row r="1781" spans="1:15" x14ac:dyDescent="0.3">
      <c r="A1781" t="s">
        <v>738</v>
      </c>
      <c r="B1781" s="5">
        <v>36</v>
      </c>
      <c r="C1781" s="5" t="str" cm="1">
        <f t="array" ref="C1781">_xlfn.IFS(worksheet[[#This Row],[age]]&lt;25,"1. Young Adulthood (18-24)",worksheet[[#This Row],[age]]&lt; 35,"2. Early Adulthood (25-34)",worksheet[[#This Row],[age]]&lt; 45,"3. Mid Adulthood (35-44)",worksheet[[#This Row],[age]]&lt; 55,"4. Mature Adulthood (45-54)",TRUE,"5. Late Adulthood/Senior (55+)")</f>
        <v>3. Mid Adulthood (35-44)</v>
      </c>
      <c r="D1781" t="s">
        <v>15</v>
      </c>
      <c r="E1781" t="s">
        <v>22</v>
      </c>
      <c r="F1781" s="4">
        <v>25.82</v>
      </c>
      <c r="G1781" s="5">
        <v>3</v>
      </c>
      <c r="H1781" t="s">
        <v>17</v>
      </c>
      <c r="I1781" t="s">
        <v>24</v>
      </c>
      <c r="J1781" s="6">
        <v>13.99</v>
      </c>
      <c r="K1781">
        <v>0</v>
      </c>
      <c r="L1781" t="s">
        <v>43</v>
      </c>
      <c r="M1781" s="5">
        <v>1</v>
      </c>
      <c r="N1781" s="4">
        <v>6.46</v>
      </c>
      <c r="O1781" t="s">
        <v>47</v>
      </c>
    </row>
    <row r="1782" spans="1:15" x14ac:dyDescent="0.3">
      <c r="A1782" t="s">
        <v>741</v>
      </c>
      <c r="B1782" s="5">
        <v>39</v>
      </c>
      <c r="C1782" s="5" t="str" cm="1">
        <f t="array" ref="C1782">_xlfn.IFS(worksheet[[#This Row],[age]]&lt;25,"1. Young Adulthood (18-24)",worksheet[[#This Row],[age]]&lt; 35,"2. Early Adulthood (25-34)",worksheet[[#This Row],[age]]&lt; 45,"3. Mid Adulthood (35-44)",worksheet[[#This Row],[age]]&lt; 55,"4. Mature Adulthood (45-54)",TRUE,"5. Late Adulthood/Senior (55+)")</f>
        <v>3. Mid Adulthood (35-44)</v>
      </c>
      <c r="D1782" t="s">
        <v>15</v>
      </c>
      <c r="E1782" t="s">
        <v>22</v>
      </c>
      <c r="F1782" s="4">
        <v>8.6300000000000008</v>
      </c>
      <c r="G1782" s="5">
        <v>8</v>
      </c>
      <c r="H1782" t="s">
        <v>33</v>
      </c>
      <c r="I1782" t="s">
        <v>24</v>
      </c>
      <c r="J1782" s="6">
        <v>13.99</v>
      </c>
      <c r="K1782">
        <v>0</v>
      </c>
      <c r="L1782" t="s">
        <v>37</v>
      </c>
      <c r="M1782" s="5">
        <v>4</v>
      </c>
      <c r="N1782" s="4">
        <v>0.96</v>
      </c>
      <c r="O1782" t="s">
        <v>39</v>
      </c>
    </row>
    <row r="1783" spans="1:15" x14ac:dyDescent="0.3">
      <c r="A1783" t="s">
        <v>742</v>
      </c>
      <c r="B1783" s="5">
        <v>44</v>
      </c>
      <c r="C1783" s="5" t="str" cm="1">
        <f t="array" ref="C1783">_xlfn.IFS(worksheet[[#This Row],[age]]&lt;25,"1. Young Adulthood (18-24)",worksheet[[#This Row],[age]]&lt; 35,"2. Early Adulthood (25-34)",worksheet[[#This Row],[age]]&lt; 45,"3. Mid Adulthood (35-44)",worksheet[[#This Row],[age]]&lt; 55,"4. Mature Adulthood (45-54)",TRUE,"5. Late Adulthood/Senior (55+)")</f>
        <v>3. Mid Adulthood (35-44)</v>
      </c>
      <c r="D1783" t="s">
        <v>27</v>
      </c>
      <c r="E1783" t="s">
        <v>22</v>
      </c>
      <c r="F1783" s="4">
        <v>22.85</v>
      </c>
      <c r="G1783" s="5">
        <v>1</v>
      </c>
      <c r="H1783" t="s">
        <v>49</v>
      </c>
      <c r="I1783" t="s">
        <v>57</v>
      </c>
      <c r="J1783" s="6">
        <v>13.99</v>
      </c>
      <c r="K1783">
        <v>0</v>
      </c>
      <c r="L1783" t="s">
        <v>61</v>
      </c>
      <c r="M1783" s="5">
        <v>3</v>
      </c>
      <c r="N1783" s="4">
        <v>11.43</v>
      </c>
      <c r="O1783" t="s">
        <v>47</v>
      </c>
    </row>
    <row r="1784" spans="1:15" x14ac:dyDescent="0.3">
      <c r="A1784" t="s">
        <v>743</v>
      </c>
      <c r="B1784" s="5">
        <v>43</v>
      </c>
      <c r="C1784" s="5" t="str" cm="1">
        <f t="array" ref="C1784">_xlfn.IFS(worksheet[[#This Row],[age]]&lt;25,"1. Young Adulthood (18-24)",worksheet[[#This Row],[age]]&lt; 35,"2. Early Adulthood (25-34)",worksheet[[#This Row],[age]]&lt; 45,"3. Mid Adulthood (35-44)",worksheet[[#This Row],[age]]&lt; 55,"4. Mature Adulthood (45-54)",TRUE,"5. Late Adulthood/Senior (55+)")</f>
        <v>3. Mid Adulthood (35-44)</v>
      </c>
      <c r="D1784" t="s">
        <v>27</v>
      </c>
      <c r="E1784" t="s">
        <v>16</v>
      </c>
      <c r="F1784" s="4">
        <v>5.59</v>
      </c>
      <c r="G1784" s="5">
        <v>32</v>
      </c>
      <c r="H1784" t="s">
        <v>23</v>
      </c>
      <c r="I1784" t="s">
        <v>18</v>
      </c>
      <c r="J1784" s="6">
        <v>8.99</v>
      </c>
      <c r="K1784">
        <v>1</v>
      </c>
      <c r="L1784" t="s">
        <v>37</v>
      </c>
      <c r="M1784" s="5">
        <v>4</v>
      </c>
      <c r="N1784" s="4">
        <v>0.17</v>
      </c>
      <c r="O1784" t="s">
        <v>52</v>
      </c>
    </row>
    <row r="1785" spans="1:15" x14ac:dyDescent="0.3">
      <c r="A1785" t="s">
        <v>744</v>
      </c>
      <c r="B1785" s="5">
        <v>35</v>
      </c>
      <c r="C1785" s="5" t="str" cm="1">
        <f t="array" ref="C1785">_xlfn.IFS(worksheet[[#This Row],[age]]&lt;25,"1. Young Adulthood (18-24)",worksheet[[#This Row],[age]]&lt; 35,"2. Early Adulthood (25-34)",worksheet[[#This Row],[age]]&lt; 45,"3. Mid Adulthood (35-44)",worksheet[[#This Row],[age]]&lt; 55,"4. Mature Adulthood (45-54)",TRUE,"5. Late Adulthood/Senior (55+)")</f>
        <v>3. Mid Adulthood (35-44)</v>
      </c>
      <c r="D1785" t="s">
        <v>41</v>
      </c>
      <c r="E1785" t="s">
        <v>22</v>
      </c>
      <c r="F1785" s="4">
        <v>11.93</v>
      </c>
      <c r="G1785" s="5">
        <v>45</v>
      </c>
      <c r="H1785" t="s">
        <v>23</v>
      </c>
      <c r="I1785" t="s">
        <v>55</v>
      </c>
      <c r="J1785" s="6">
        <v>13.99</v>
      </c>
      <c r="K1785">
        <v>1</v>
      </c>
      <c r="L1785" t="s">
        <v>19</v>
      </c>
      <c r="M1785" s="5">
        <v>1</v>
      </c>
      <c r="N1785" s="4">
        <v>0.26</v>
      </c>
      <c r="O1785" t="s">
        <v>52</v>
      </c>
    </row>
    <row r="1786" spans="1:15" x14ac:dyDescent="0.3">
      <c r="A1786" t="s">
        <v>751</v>
      </c>
      <c r="B1786" s="5">
        <v>41</v>
      </c>
      <c r="C1786" s="5" t="str" cm="1">
        <f t="array" ref="C1786">_xlfn.IFS(worksheet[[#This Row],[age]]&lt;25,"1. Young Adulthood (18-24)",worksheet[[#This Row],[age]]&lt; 35,"2. Early Adulthood (25-34)",worksheet[[#This Row],[age]]&lt; 45,"3. Mid Adulthood (35-44)",worksheet[[#This Row],[age]]&lt; 55,"4. Mature Adulthood (45-54)",TRUE,"5. Late Adulthood/Senior (55+)")</f>
        <v>3. Mid Adulthood (35-44)</v>
      </c>
      <c r="D1786" t="s">
        <v>41</v>
      </c>
      <c r="E1786" t="s">
        <v>22</v>
      </c>
      <c r="F1786" s="4">
        <v>28.13</v>
      </c>
      <c r="G1786" s="5">
        <v>42</v>
      </c>
      <c r="H1786" t="s">
        <v>33</v>
      </c>
      <c r="I1786" t="s">
        <v>24</v>
      </c>
      <c r="J1786" s="6">
        <v>13.99</v>
      </c>
      <c r="K1786">
        <v>0</v>
      </c>
      <c r="L1786" t="s">
        <v>61</v>
      </c>
      <c r="M1786" s="5">
        <v>2</v>
      </c>
      <c r="N1786" s="4">
        <v>0.65</v>
      </c>
      <c r="O1786" t="s">
        <v>52</v>
      </c>
    </row>
    <row r="1787" spans="1:15" x14ac:dyDescent="0.3">
      <c r="A1787" t="s">
        <v>752</v>
      </c>
      <c r="B1787" s="5">
        <v>38</v>
      </c>
      <c r="C1787" s="5" t="str" cm="1">
        <f t="array" ref="C1787">_xlfn.IFS(worksheet[[#This Row],[age]]&lt;25,"1. Young Adulthood (18-24)",worksheet[[#This Row],[age]]&lt; 35,"2. Early Adulthood (25-34)",worksheet[[#This Row],[age]]&lt; 45,"3. Mid Adulthood (35-44)",worksheet[[#This Row],[age]]&lt; 55,"4. Mature Adulthood (45-54)",TRUE,"5. Late Adulthood/Senior (55+)")</f>
        <v>3. Mid Adulthood (35-44)</v>
      </c>
      <c r="D1787" t="s">
        <v>41</v>
      </c>
      <c r="E1787" t="s">
        <v>16</v>
      </c>
      <c r="F1787" s="4">
        <v>15.32</v>
      </c>
      <c r="G1787" s="5">
        <v>56</v>
      </c>
      <c r="H1787" t="s">
        <v>23</v>
      </c>
      <c r="I1787" t="s">
        <v>24</v>
      </c>
      <c r="J1787" s="6">
        <v>8.99</v>
      </c>
      <c r="K1787">
        <v>1</v>
      </c>
      <c r="L1787" t="s">
        <v>29</v>
      </c>
      <c r="M1787" s="5">
        <v>2</v>
      </c>
      <c r="N1787" s="4">
        <v>0.27</v>
      </c>
      <c r="O1787" t="s">
        <v>20</v>
      </c>
    </row>
    <row r="1788" spans="1:15" x14ac:dyDescent="0.3">
      <c r="A1788" t="s">
        <v>761</v>
      </c>
      <c r="B1788" s="5">
        <v>37</v>
      </c>
      <c r="C1788" s="5" t="str" cm="1">
        <f t="array" ref="C1788">_xlfn.IFS(worksheet[[#This Row],[age]]&lt;25,"1. Young Adulthood (18-24)",worksheet[[#This Row],[age]]&lt; 35,"2. Early Adulthood (25-34)",worksheet[[#This Row],[age]]&lt; 45,"3. Mid Adulthood (35-44)",worksheet[[#This Row],[age]]&lt; 55,"4. Mature Adulthood (45-54)",TRUE,"5. Late Adulthood/Senior (55+)")</f>
        <v>3. Mid Adulthood (35-44)</v>
      </c>
      <c r="D1788" t="s">
        <v>15</v>
      </c>
      <c r="E1788" t="s">
        <v>32</v>
      </c>
      <c r="F1788" s="4">
        <v>28.08</v>
      </c>
      <c r="G1788" s="5">
        <v>25</v>
      </c>
      <c r="H1788" t="s">
        <v>70</v>
      </c>
      <c r="I1788" t="s">
        <v>18</v>
      </c>
      <c r="J1788" s="6">
        <v>17.989999999999998</v>
      </c>
      <c r="K1788">
        <v>0</v>
      </c>
      <c r="L1788" t="s">
        <v>61</v>
      </c>
      <c r="M1788" s="5">
        <v>4</v>
      </c>
      <c r="N1788" s="4">
        <v>1.08</v>
      </c>
      <c r="O1788" t="s">
        <v>34</v>
      </c>
    </row>
    <row r="1789" spans="1:15" x14ac:dyDescent="0.3">
      <c r="A1789" t="s">
        <v>763</v>
      </c>
      <c r="B1789" s="5">
        <v>44</v>
      </c>
      <c r="C1789" s="5" t="str" cm="1">
        <f t="array" ref="C1789">_xlfn.IFS(worksheet[[#This Row],[age]]&lt;25,"1. Young Adulthood (18-24)",worksheet[[#This Row],[age]]&lt; 35,"2. Early Adulthood (25-34)",worksheet[[#This Row],[age]]&lt; 45,"3. Mid Adulthood (35-44)",worksheet[[#This Row],[age]]&lt; 55,"4. Mature Adulthood (45-54)",TRUE,"5. Late Adulthood/Senior (55+)")</f>
        <v>3. Mid Adulthood (35-44)</v>
      </c>
      <c r="D1789" t="s">
        <v>41</v>
      </c>
      <c r="E1789" t="s">
        <v>32</v>
      </c>
      <c r="F1789" s="4">
        <v>20.32</v>
      </c>
      <c r="G1789" s="5">
        <v>46</v>
      </c>
      <c r="H1789" t="s">
        <v>33</v>
      </c>
      <c r="I1789" t="s">
        <v>46</v>
      </c>
      <c r="J1789" s="6">
        <v>17.989999999999998</v>
      </c>
      <c r="K1789">
        <v>0</v>
      </c>
      <c r="L1789" t="s">
        <v>37</v>
      </c>
      <c r="M1789" s="5">
        <v>3</v>
      </c>
      <c r="N1789" s="4">
        <v>0.43</v>
      </c>
      <c r="O1789" t="s">
        <v>34</v>
      </c>
    </row>
    <row r="1790" spans="1:15" x14ac:dyDescent="0.3">
      <c r="A1790" t="s">
        <v>773</v>
      </c>
      <c r="B1790" s="5">
        <v>43</v>
      </c>
      <c r="C1790" s="5" t="str" cm="1">
        <f t="array" ref="C1790">_xlfn.IFS(worksheet[[#This Row],[age]]&lt;25,"1. Young Adulthood (18-24)",worksheet[[#This Row],[age]]&lt; 35,"2. Early Adulthood (25-34)",worksheet[[#This Row],[age]]&lt; 45,"3. Mid Adulthood (35-44)",worksheet[[#This Row],[age]]&lt; 55,"4. Mature Adulthood (45-54)",TRUE,"5. Late Adulthood/Senior (55+)")</f>
        <v>3. Mid Adulthood (35-44)</v>
      </c>
      <c r="D1790" t="s">
        <v>15</v>
      </c>
      <c r="E1790" t="s">
        <v>16</v>
      </c>
      <c r="F1790" s="4">
        <v>0.59</v>
      </c>
      <c r="G1790" s="5">
        <v>11</v>
      </c>
      <c r="H1790" t="s">
        <v>23</v>
      </c>
      <c r="I1790" t="s">
        <v>24</v>
      </c>
      <c r="J1790" s="6">
        <v>8.99</v>
      </c>
      <c r="K1790">
        <v>1</v>
      </c>
      <c r="L1790" t="s">
        <v>37</v>
      </c>
      <c r="M1790" s="5">
        <v>3</v>
      </c>
      <c r="N1790" s="4">
        <v>0.05</v>
      </c>
      <c r="O1790" t="s">
        <v>30</v>
      </c>
    </row>
    <row r="1791" spans="1:15" x14ac:dyDescent="0.3">
      <c r="A1791" t="s">
        <v>776</v>
      </c>
      <c r="B1791" s="5">
        <v>39</v>
      </c>
      <c r="C1791" s="5" t="str" cm="1">
        <f t="array" ref="C1791">_xlfn.IFS(worksheet[[#This Row],[age]]&lt;25,"1. Young Adulthood (18-24)",worksheet[[#This Row],[age]]&lt; 35,"2. Early Adulthood (25-34)",worksheet[[#This Row],[age]]&lt; 45,"3. Mid Adulthood (35-44)",worksheet[[#This Row],[age]]&lt; 55,"4. Mature Adulthood (45-54)",TRUE,"5. Late Adulthood/Senior (55+)")</f>
        <v>3. Mid Adulthood (35-44)</v>
      </c>
      <c r="D1791" t="s">
        <v>27</v>
      </c>
      <c r="E1791" t="s">
        <v>22</v>
      </c>
      <c r="F1791" s="4">
        <v>67.05</v>
      </c>
      <c r="G1791" s="5">
        <v>24</v>
      </c>
      <c r="H1791" t="s">
        <v>33</v>
      </c>
      <c r="I1791" t="s">
        <v>24</v>
      </c>
      <c r="J1791" s="6">
        <v>13.99</v>
      </c>
      <c r="K1791">
        <v>0</v>
      </c>
      <c r="L1791" t="s">
        <v>43</v>
      </c>
      <c r="M1791" s="5">
        <v>2</v>
      </c>
      <c r="N1791" s="4">
        <v>2.68</v>
      </c>
      <c r="O1791" t="s">
        <v>39</v>
      </c>
    </row>
    <row r="1792" spans="1:15" x14ac:dyDescent="0.3">
      <c r="A1792" t="s">
        <v>780</v>
      </c>
      <c r="B1792" s="5">
        <v>35</v>
      </c>
      <c r="C1792" s="5" t="str" cm="1">
        <f t="array" ref="C1792">_xlfn.IFS(worksheet[[#This Row],[age]]&lt;25,"1. Young Adulthood (18-24)",worksheet[[#This Row],[age]]&lt; 35,"2. Early Adulthood (25-34)",worksheet[[#This Row],[age]]&lt; 45,"3. Mid Adulthood (35-44)",worksheet[[#This Row],[age]]&lt; 55,"4. Mature Adulthood (45-54)",TRUE,"5. Late Adulthood/Senior (55+)")</f>
        <v>3. Mid Adulthood (35-44)</v>
      </c>
      <c r="D1792" t="s">
        <v>27</v>
      </c>
      <c r="E1792" t="s">
        <v>16</v>
      </c>
      <c r="F1792" s="4">
        <v>11.85</v>
      </c>
      <c r="G1792" s="5">
        <v>57</v>
      </c>
      <c r="H1792" t="s">
        <v>70</v>
      </c>
      <c r="I1792" t="s">
        <v>18</v>
      </c>
      <c r="J1792" s="6">
        <v>8.99</v>
      </c>
      <c r="K1792">
        <v>1</v>
      </c>
      <c r="L1792" t="s">
        <v>19</v>
      </c>
      <c r="M1792" s="5">
        <v>3</v>
      </c>
      <c r="N1792" s="4">
        <v>0.2</v>
      </c>
      <c r="O1792" t="s">
        <v>52</v>
      </c>
    </row>
    <row r="1793" spans="1:15" x14ac:dyDescent="0.3">
      <c r="A1793" t="s">
        <v>781</v>
      </c>
      <c r="B1793" s="5">
        <v>36</v>
      </c>
      <c r="C1793" s="5" t="str" cm="1">
        <f t="array" ref="C1793">_xlfn.IFS(worksheet[[#This Row],[age]]&lt;25,"1. Young Adulthood (18-24)",worksheet[[#This Row],[age]]&lt; 35,"2. Early Adulthood (25-34)",worksheet[[#This Row],[age]]&lt; 45,"3. Mid Adulthood (35-44)",worksheet[[#This Row],[age]]&lt; 55,"4. Mature Adulthood (45-54)",TRUE,"5. Late Adulthood/Senior (55+)")</f>
        <v>3. Mid Adulthood (35-44)</v>
      </c>
      <c r="D1793" t="s">
        <v>15</v>
      </c>
      <c r="E1793" t="s">
        <v>32</v>
      </c>
      <c r="F1793" s="4">
        <v>24.09</v>
      </c>
      <c r="G1793" s="5">
        <v>36</v>
      </c>
      <c r="H1793" t="s">
        <v>33</v>
      </c>
      <c r="I1793" t="s">
        <v>46</v>
      </c>
      <c r="J1793" s="6">
        <v>17.989999999999998</v>
      </c>
      <c r="K1793">
        <v>0</v>
      </c>
      <c r="L1793" t="s">
        <v>61</v>
      </c>
      <c r="M1793" s="5">
        <v>5</v>
      </c>
      <c r="N1793" s="4">
        <v>0.65</v>
      </c>
      <c r="O1793" t="s">
        <v>30</v>
      </c>
    </row>
    <row r="1794" spans="1:15" x14ac:dyDescent="0.3">
      <c r="A1794" t="s">
        <v>786</v>
      </c>
      <c r="B1794" s="5">
        <v>39</v>
      </c>
      <c r="C1794" s="5" t="str" cm="1">
        <f t="array" ref="C1794">_xlfn.IFS(worksheet[[#This Row],[age]]&lt;25,"1. Young Adulthood (18-24)",worksheet[[#This Row],[age]]&lt; 35,"2. Early Adulthood (25-34)",worksheet[[#This Row],[age]]&lt; 45,"3. Mid Adulthood (35-44)",worksheet[[#This Row],[age]]&lt; 55,"4. Mature Adulthood (45-54)",TRUE,"5. Late Adulthood/Senior (55+)")</f>
        <v>3. Mid Adulthood (35-44)</v>
      </c>
      <c r="D1794" t="s">
        <v>27</v>
      </c>
      <c r="E1794" t="s">
        <v>22</v>
      </c>
      <c r="F1794" s="4">
        <v>20.87</v>
      </c>
      <c r="G1794" s="5">
        <v>59</v>
      </c>
      <c r="H1794" t="s">
        <v>23</v>
      </c>
      <c r="I1794" t="s">
        <v>18</v>
      </c>
      <c r="J1794" s="6">
        <v>13.99</v>
      </c>
      <c r="K1794">
        <v>0</v>
      </c>
      <c r="L1794" t="s">
        <v>61</v>
      </c>
      <c r="M1794" s="5">
        <v>1</v>
      </c>
      <c r="N1794" s="4">
        <v>0.35</v>
      </c>
      <c r="O1794" t="s">
        <v>39</v>
      </c>
    </row>
    <row r="1795" spans="1:15" x14ac:dyDescent="0.3">
      <c r="A1795" t="s">
        <v>788</v>
      </c>
      <c r="B1795" s="5">
        <v>38</v>
      </c>
      <c r="C1795" s="5" t="str" cm="1">
        <f t="array" ref="C1795">_xlfn.IFS(worksheet[[#This Row],[age]]&lt;25,"1. Young Adulthood (18-24)",worksheet[[#This Row],[age]]&lt; 35,"2. Early Adulthood (25-34)",worksheet[[#This Row],[age]]&lt; 45,"3. Mid Adulthood (35-44)",worksheet[[#This Row],[age]]&lt; 55,"4. Mature Adulthood (45-54)",TRUE,"5. Late Adulthood/Senior (55+)")</f>
        <v>3. Mid Adulthood (35-44)</v>
      </c>
      <c r="D1795" t="s">
        <v>15</v>
      </c>
      <c r="E1795" t="s">
        <v>16</v>
      </c>
      <c r="F1795" s="4">
        <v>10.25</v>
      </c>
      <c r="G1795" s="5">
        <v>42</v>
      </c>
      <c r="H1795" t="s">
        <v>23</v>
      </c>
      <c r="I1795" t="s">
        <v>55</v>
      </c>
      <c r="J1795" s="6">
        <v>8.99</v>
      </c>
      <c r="K1795">
        <v>1</v>
      </c>
      <c r="L1795" t="s">
        <v>43</v>
      </c>
      <c r="M1795" s="5">
        <v>2</v>
      </c>
      <c r="N1795" s="4">
        <v>0.24</v>
      </c>
      <c r="O1795" t="s">
        <v>20</v>
      </c>
    </row>
    <row r="1796" spans="1:15" x14ac:dyDescent="0.3">
      <c r="A1796" t="s">
        <v>792</v>
      </c>
      <c r="B1796" s="5">
        <v>39</v>
      </c>
      <c r="C1796" s="5" t="str" cm="1">
        <f t="array" ref="C1796">_xlfn.IFS(worksheet[[#This Row],[age]]&lt;25,"1. Young Adulthood (18-24)",worksheet[[#This Row],[age]]&lt; 35,"2. Early Adulthood (25-34)",worksheet[[#This Row],[age]]&lt; 45,"3. Mid Adulthood (35-44)",worksheet[[#This Row],[age]]&lt; 55,"4. Mature Adulthood (45-54)",TRUE,"5. Late Adulthood/Senior (55+)")</f>
        <v>3. Mid Adulthood (35-44)</v>
      </c>
      <c r="D1796" t="s">
        <v>41</v>
      </c>
      <c r="E1796" t="s">
        <v>22</v>
      </c>
      <c r="F1796" s="4">
        <v>1.97</v>
      </c>
      <c r="G1796" s="5">
        <v>53</v>
      </c>
      <c r="H1796" t="s">
        <v>28</v>
      </c>
      <c r="I1796" t="s">
        <v>24</v>
      </c>
      <c r="J1796" s="6">
        <v>13.99</v>
      </c>
      <c r="K1796">
        <v>1</v>
      </c>
      <c r="L1796" t="s">
        <v>37</v>
      </c>
      <c r="M1796" s="5">
        <v>2</v>
      </c>
      <c r="N1796" s="4">
        <v>0.04</v>
      </c>
      <c r="O1796" t="s">
        <v>30</v>
      </c>
    </row>
    <row r="1797" spans="1:15" x14ac:dyDescent="0.3">
      <c r="A1797" t="s">
        <v>805</v>
      </c>
      <c r="B1797" s="5">
        <v>40</v>
      </c>
      <c r="C1797" s="5" t="str" cm="1">
        <f t="array" ref="C1797">_xlfn.IFS(worksheet[[#This Row],[age]]&lt;25,"1. Young Adulthood (18-24)",worksheet[[#This Row],[age]]&lt; 35,"2. Early Adulthood (25-34)",worksheet[[#This Row],[age]]&lt; 45,"3. Mid Adulthood (35-44)",worksheet[[#This Row],[age]]&lt; 55,"4. Mature Adulthood (45-54)",TRUE,"5. Late Adulthood/Senior (55+)")</f>
        <v>3. Mid Adulthood (35-44)</v>
      </c>
      <c r="D1797" t="s">
        <v>27</v>
      </c>
      <c r="E1797" t="s">
        <v>16</v>
      </c>
      <c r="F1797" s="4">
        <v>33.549999999999997</v>
      </c>
      <c r="G1797" s="5">
        <v>5</v>
      </c>
      <c r="H1797" t="s">
        <v>17</v>
      </c>
      <c r="I1797" t="s">
        <v>24</v>
      </c>
      <c r="J1797" s="6">
        <v>8.99</v>
      </c>
      <c r="K1797">
        <v>0</v>
      </c>
      <c r="L1797" t="s">
        <v>43</v>
      </c>
      <c r="M1797" s="5">
        <v>1</v>
      </c>
      <c r="N1797" s="4">
        <v>5.59</v>
      </c>
      <c r="O1797" t="s">
        <v>34</v>
      </c>
    </row>
    <row r="1798" spans="1:15" x14ac:dyDescent="0.3">
      <c r="A1798" t="s">
        <v>808</v>
      </c>
      <c r="B1798" s="5">
        <v>43</v>
      </c>
      <c r="C1798" s="5" t="str" cm="1">
        <f t="array" ref="C1798">_xlfn.IFS(worksheet[[#This Row],[age]]&lt;25,"1. Young Adulthood (18-24)",worksheet[[#This Row],[age]]&lt; 35,"2. Early Adulthood (25-34)",worksheet[[#This Row],[age]]&lt; 45,"3. Mid Adulthood (35-44)",worksheet[[#This Row],[age]]&lt; 55,"4. Mature Adulthood (45-54)",TRUE,"5. Late Adulthood/Senior (55+)")</f>
        <v>3. Mid Adulthood (35-44)</v>
      </c>
      <c r="D1798" t="s">
        <v>15</v>
      </c>
      <c r="E1798" t="s">
        <v>32</v>
      </c>
      <c r="F1798" s="4">
        <v>4.17</v>
      </c>
      <c r="G1798" s="5">
        <v>46</v>
      </c>
      <c r="H1798" t="s">
        <v>49</v>
      </c>
      <c r="I1798" t="s">
        <v>24</v>
      </c>
      <c r="J1798" s="6">
        <v>17.989999999999998</v>
      </c>
      <c r="K1798">
        <v>1</v>
      </c>
      <c r="L1798" t="s">
        <v>61</v>
      </c>
      <c r="M1798" s="5">
        <v>1</v>
      </c>
      <c r="N1798" s="4">
        <v>0.09</v>
      </c>
      <c r="O1798" t="s">
        <v>47</v>
      </c>
    </row>
    <row r="1799" spans="1:15" x14ac:dyDescent="0.3">
      <c r="A1799" t="s">
        <v>809</v>
      </c>
      <c r="B1799" s="5">
        <v>36</v>
      </c>
      <c r="C1799" s="5" t="str" cm="1">
        <f t="array" ref="C1799">_xlfn.IFS(worksheet[[#This Row],[age]]&lt;25,"1. Young Adulthood (18-24)",worksheet[[#This Row],[age]]&lt; 35,"2. Early Adulthood (25-34)",worksheet[[#This Row],[age]]&lt; 45,"3. Mid Adulthood (35-44)",worksheet[[#This Row],[age]]&lt; 55,"4. Mature Adulthood (45-54)",TRUE,"5. Late Adulthood/Senior (55+)")</f>
        <v>3. Mid Adulthood (35-44)</v>
      </c>
      <c r="D1799" t="s">
        <v>15</v>
      </c>
      <c r="E1799" t="s">
        <v>16</v>
      </c>
      <c r="F1799" s="4">
        <v>14.63</v>
      </c>
      <c r="G1799" s="5">
        <v>52</v>
      </c>
      <c r="H1799" t="s">
        <v>49</v>
      </c>
      <c r="I1799" t="s">
        <v>55</v>
      </c>
      <c r="J1799" s="6">
        <v>8.99</v>
      </c>
      <c r="K1799">
        <v>1</v>
      </c>
      <c r="L1799" t="s">
        <v>29</v>
      </c>
      <c r="M1799" s="5">
        <v>1</v>
      </c>
      <c r="N1799" s="4">
        <v>0.28000000000000003</v>
      </c>
      <c r="O1799" t="s">
        <v>34</v>
      </c>
    </row>
    <row r="1800" spans="1:15" x14ac:dyDescent="0.3">
      <c r="A1800" t="s">
        <v>817</v>
      </c>
      <c r="B1800" s="5">
        <v>43</v>
      </c>
      <c r="C1800" s="5" t="str" cm="1">
        <f t="array" ref="C1800">_xlfn.IFS(worksheet[[#This Row],[age]]&lt;25,"1. Young Adulthood (18-24)",worksheet[[#This Row],[age]]&lt; 35,"2. Early Adulthood (25-34)",worksheet[[#This Row],[age]]&lt; 45,"3. Mid Adulthood (35-44)",worksheet[[#This Row],[age]]&lt; 55,"4. Mature Adulthood (45-54)",TRUE,"5. Late Adulthood/Senior (55+)")</f>
        <v>3. Mid Adulthood (35-44)</v>
      </c>
      <c r="D1800" t="s">
        <v>41</v>
      </c>
      <c r="E1800" t="s">
        <v>32</v>
      </c>
      <c r="F1800" s="4">
        <v>4.17</v>
      </c>
      <c r="G1800" s="5">
        <v>24</v>
      </c>
      <c r="H1800" t="s">
        <v>49</v>
      </c>
      <c r="I1800" t="s">
        <v>46</v>
      </c>
      <c r="J1800" s="6">
        <v>17.989999999999998</v>
      </c>
      <c r="K1800">
        <v>1</v>
      </c>
      <c r="L1800" t="s">
        <v>29</v>
      </c>
      <c r="M1800" s="5">
        <v>4</v>
      </c>
      <c r="N1800" s="4">
        <v>0.17</v>
      </c>
      <c r="O1800" t="s">
        <v>39</v>
      </c>
    </row>
    <row r="1801" spans="1:15" x14ac:dyDescent="0.3">
      <c r="A1801" t="s">
        <v>821</v>
      </c>
      <c r="B1801" s="5">
        <v>38</v>
      </c>
      <c r="C1801" s="5" t="str" cm="1">
        <f t="array" ref="C1801">_xlfn.IFS(worksheet[[#This Row],[age]]&lt;25,"1. Young Adulthood (18-24)",worksheet[[#This Row],[age]]&lt; 35,"2. Early Adulthood (25-34)",worksheet[[#This Row],[age]]&lt; 45,"3. Mid Adulthood (35-44)",worksheet[[#This Row],[age]]&lt; 55,"4. Mature Adulthood (45-54)",TRUE,"5. Late Adulthood/Senior (55+)")</f>
        <v>3. Mid Adulthood (35-44)</v>
      </c>
      <c r="D1801" t="s">
        <v>41</v>
      </c>
      <c r="E1801" t="s">
        <v>32</v>
      </c>
      <c r="F1801" s="4">
        <v>1.05</v>
      </c>
      <c r="G1801" s="5">
        <v>24</v>
      </c>
      <c r="H1801" t="s">
        <v>33</v>
      </c>
      <c r="I1801" t="s">
        <v>46</v>
      </c>
      <c r="J1801" s="6">
        <v>17.989999999999998</v>
      </c>
      <c r="K1801">
        <v>0</v>
      </c>
      <c r="L1801" t="s">
        <v>37</v>
      </c>
      <c r="M1801" s="5">
        <v>4</v>
      </c>
      <c r="N1801" s="4">
        <v>0.04</v>
      </c>
      <c r="O1801" t="s">
        <v>25</v>
      </c>
    </row>
    <row r="1802" spans="1:15" x14ac:dyDescent="0.3">
      <c r="A1802" t="s">
        <v>824</v>
      </c>
      <c r="B1802" s="5">
        <v>38</v>
      </c>
      <c r="C1802" s="5" t="str" cm="1">
        <f t="array" ref="C1802">_xlfn.IFS(worksheet[[#This Row],[age]]&lt;25,"1. Young Adulthood (18-24)",worksheet[[#This Row],[age]]&lt; 35,"2. Early Adulthood (25-34)",worksheet[[#This Row],[age]]&lt; 45,"3. Mid Adulthood (35-44)",worksheet[[#This Row],[age]]&lt; 55,"4. Mature Adulthood (45-54)",TRUE,"5. Late Adulthood/Senior (55+)")</f>
        <v>3. Mid Adulthood (35-44)</v>
      </c>
      <c r="D1802" t="s">
        <v>15</v>
      </c>
      <c r="E1802" t="s">
        <v>16</v>
      </c>
      <c r="F1802" s="4">
        <v>16.27</v>
      </c>
      <c r="G1802" s="5">
        <v>24</v>
      </c>
      <c r="H1802" t="s">
        <v>17</v>
      </c>
      <c r="I1802" t="s">
        <v>55</v>
      </c>
      <c r="J1802" s="6">
        <v>8.99</v>
      </c>
      <c r="K1802">
        <v>0</v>
      </c>
      <c r="L1802" t="s">
        <v>19</v>
      </c>
      <c r="M1802" s="5">
        <v>2</v>
      </c>
      <c r="N1802" s="4">
        <v>0.65</v>
      </c>
      <c r="O1802" t="s">
        <v>39</v>
      </c>
    </row>
    <row r="1803" spans="1:15" x14ac:dyDescent="0.3">
      <c r="A1803" t="s">
        <v>827</v>
      </c>
      <c r="B1803" s="5">
        <v>44</v>
      </c>
      <c r="C1803" s="5" t="str" cm="1">
        <f t="array" ref="C1803">_xlfn.IFS(worksheet[[#This Row],[age]]&lt;25,"1. Young Adulthood (18-24)",worksheet[[#This Row],[age]]&lt; 35,"2. Early Adulthood (25-34)",worksheet[[#This Row],[age]]&lt; 45,"3. Mid Adulthood (35-44)",worksheet[[#This Row],[age]]&lt; 55,"4. Mature Adulthood (45-54)",TRUE,"5. Late Adulthood/Senior (55+)")</f>
        <v>3. Mid Adulthood (35-44)</v>
      </c>
      <c r="D1803" t="s">
        <v>41</v>
      </c>
      <c r="E1803" t="s">
        <v>16</v>
      </c>
      <c r="F1803" s="4">
        <v>9</v>
      </c>
      <c r="G1803" s="5">
        <v>33</v>
      </c>
      <c r="H1803" t="s">
        <v>49</v>
      </c>
      <c r="I1803" t="s">
        <v>18</v>
      </c>
      <c r="J1803" s="6">
        <v>8.99</v>
      </c>
      <c r="K1803">
        <v>1</v>
      </c>
      <c r="L1803" t="s">
        <v>29</v>
      </c>
      <c r="M1803" s="5">
        <v>1</v>
      </c>
      <c r="N1803" s="4">
        <v>0.26</v>
      </c>
      <c r="O1803" t="s">
        <v>20</v>
      </c>
    </row>
    <row r="1804" spans="1:15" x14ac:dyDescent="0.3">
      <c r="A1804" t="s">
        <v>828</v>
      </c>
      <c r="B1804" s="5">
        <v>36</v>
      </c>
      <c r="C1804" s="5" t="str" cm="1">
        <f t="array" ref="C1804">_xlfn.IFS(worksheet[[#This Row],[age]]&lt;25,"1. Young Adulthood (18-24)",worksheet[[#This Row],[age]]&lt; 35,"2. Early Adulthood (25-34)",worksheet[[#This Row],[age]]&lt; 45,"3. Mid Adulthood (35-44)",worksheet[[#This Row],[age]]&lt; 55,"4. Mature Adulthood (45-54)",TRUE,"5. Late Adulthood/Senior (55+)")</f>
        <v>3. Mid Adulthood (35-44)</v>
      </c>
      <c r="D1804" t="s">
        <v>27</v>
      </c>
      <c r="E1804" t="s">
        <v>22</v>
      </c>
      <c r="F1804" s="4">
        <v>9.1999999999999993</v>
      </c>
      <c r="G1804" s="5">
        <v>7</v>
      </c>
      <c r="H1804" t="s">
        <v>33</v>
      </c>
      <c r="I1804" t="s">
        <v>55</v>
      </c>
      <c r="J1804" s="6">
        <v>13.99</v>
      </c>
      <c r="K1804">
        <v>0</v>
      </c>
      <c r="L1804" t="s">
        <v>37</v>
      </c>
      <c r="M1804" s="5">
        <v>2</v>
      </c>
      <c r="N1804" s="4">
        <v>1.1499999999999999</v>
      </c>
      <c r="O1804" t="s">
        <v>20</v>
      </c>
    </row>
    <row r="1805" spans="1:15" x14ac:dyDescent="0.3">
      <c r="A1805" t="s">
        <v>833</v>
      </c>
      <c r="B1805" s="5">
        <v>36</v>
      </c>
      <c r="C1805" s="5" t="str" cm="1">
        <f t="array" ref="C1805">_xlfn.IFS(worksheet[[#This Row],[age]]&lt;25,"1. Young Adulthood (18-24)",worksheet[[#This Row],[age]]&lt; 35,"2. Early Adulthood (25-34)",worksheet[[#This Row],[age]]&lt; 45,"3. Mid Adulthood (35-44)",worksheet[[#This Row],[age]]&lt; 55,"4. Mature Adulthood (45-54)",TRUE,"5. Late Adulthood/Senior (55+)")</f>
        <v>3. Mid Adulthood (35-44)</v>
      </c>
      <c r="D1805" t="s">
        <v>41</v>
      </c>
      <c r="E1805" t="s">
        <v>22</v>
      </c>
      <c r="F1805" s="4">
        <v>14.29</v>
      </c>
      <c r="G1805" s="5">
        <v>4</v>
      </c>
      <c r="H1805" t="s">
        <v>17</v>
      </c>
      <c r="I1805" t="s">
        <v>24</v>
      </c>
      <c r="J1805" s="6">
        <v>13.99</v>
      </c>
      <c r="K1805">
        <v>0</v>
      </c>
      <c r="L1805" t="s">
        <v>61</v>
      </c>
      <c r="M1805" s="5">
        <v>4</v>
      </c>
      <c r="N1805" s="4">
        <v>2.86</v>
      </c>
      <c r="O1805" t="s">
        <v>25</v>
      </c>
    </row>
    <row r="1806" spans="1:15" x14ac:dyDescent="0.3">
      <c r="A1806" t="s">
        <v>866</v>
      </c>
      <c r="B1806" s="5">
        <v>37</v>
      </c>
      <c r="C1806" s="5" t="str" cm="1">
        <f t="array" ref="C1806">_xlfn.IFS(worksheet[[#This Row],[age]]&lt;25,"1. Young Adulthood (18-24)",worksheet[[#This Row],[age]]&lt; 35,"2. Early Adulthood (25-34)",worksheet[[#This Row],[age]]&lt; 45,"3. Mid Adulthood (35-44)",worksheet[[#This Row],[age]]&lt; 55,"4. Mature Adulthood (45-54)",TRUE,"5. Late Adulthood/Senior (55+)")</f>
        <v>3. Mid Adulthood (35-44)</v>
      </c>
      <c r="D1806" t="s">
        <v>15</v>
      </c>
      <c r="E1806" t="s">
        <v>22</v>
      </c>
      <c r="F1806" s="4">
        <v>11.76</v>
      </c>
      <c r="G1806" s="5">
        <v>17</v>
      </c>
      <c r="H1806" t="s">
        <v>33</v>
      </c>
      <c r="I1806" t="s">
        <v>55</v>
      </c>
      <c r="J1806" s="6">
        <v>13.99</v>
      </c>
      <c r="K1806">
        <v>0</v>
      </c>
      <c r="L1806" t="s">
        <v>29</v>
      </c>
      <c r="M1806" s="5">
        <v>3</v>
      </c>
      <c r="N1806" s="4">
        <v>0.65</v>
      </c>
      <c r="O1806" t="s">
        <v>47</v>
      </c>
    </row>
    <row r="1807" spans="1:15" x14ac:dyDescent="0.3">
      <c r="A1807" t="s">
        <v>887</v>
      </c>
      <c r="B1807" s="5">
        <v>37</v>
      </c>
      <c r="C1807" s="5" t="str" cm="1">
        <f t="array" ref="C1807">_xlfn.IFS(worksheet[[#This Row],[age]]&lt;25,"1. Young Adulthood (18-24)",worksheet[[#This Row],[age]]&lt; 35,"2. Early Adulthood (25-34)",worksheet[[#This Row],[age]]&lt; 45,"3. Mid Adulthood (35-44)",worksheet[[#This Row],[age]]&lt; 55,"4. Mature Adulthood (45-54)",TRUE,"5. Late Adulthood/Senior (55+)")</f>
        <v>3. Mid Adulthood (35-44)</v>
      </c>
      <c r="D1807" t="s">
        <v>41</v>
      </c>
      <c r="E1807" t="s">
        <v>16</v>
      </c>
      <c r="F1807" s="4">
        <v>21.82</v>
      </c>
      <c r="G1807" s="5">
        <v>40</v>
      </c>
      <c r="H1807" t="s">
        <v>23</v>
      </c>
      <c r="I1807" t="s">
        <v>57</v>
      </c>
      <c r="J1807" s="6">
        <v>8.99</v>
      </c>
      <c r="K1807">
        <v>0</v>
      </c>
      <c r="L1807" t="s">
        <v>61</v>
      </c>
      <c r="M1807" s="5">
        <v>2</v>
      </c>
      <c r="N1807" s="4">
        <v>0.53</v>
      </c>
      <c r="O1807" t="s">
        <v>30</v>
      </c>
    </row>
    <row r="1808" spans="1:15" x14ac:dyDescent="0.3">
      <c r="A1808" t="s">
        <v>889</v>
      </c>
      <c r="B1808" s="5">
        <v>38</v>
      </c>
      <c r="C1808" s="5" t="str" cm="1">
        <f t="array" ref="C1808">_xlfn.IFS(worksheet[[#This Row],[age]]&lt;25,"1. Young Adulthood (18-24)",worksheet[[#This Row],[age]]&lt; 35,"2. Early Adulthood (25-34)",worksheet[[#This Row],[age]]&lt; 45,"3. Mid Adulthood (35-44)",worksheet[[#This Row],[age]]&lt; 55,"4. Mature Adulthood (45-54)",TRUE,"5. Late Adulthood/Senior (55+)")</f>
        <v>3. Mid Adulthood (35-44)</v>
      </c>
      <c r="D1808" t="s">
        <v>15</v>
      </c>
      <c r="E1808" t="s">
        <v>22</v>
      </c>
      <c r="F1808" s="4">
        <v>3.39</v>
      </c>
      <c r="G1808" s="5">
        <v>35</v>
      </c>
      <c r="H1808" t="s">
        <v>49</v>
      </c>
      <c r="I1808" t="s">
        <v>55</v>
      </c>
      <c r="J1808" s="6">
        <v>13.99</v>
      </c>
      <c r="K1808">
        <v>1</v>
      </c>
      <c r="L1808" t="s">
        <v>37</v>
      </c>
      <c r="M1808" s="5">
        <v>1</v>
      </c>
      <c r="N1808" s="4">
        <v>0.09</v>
      </c>
      <c r="O1808" t="s">
        <v>30</v>
      </c>
    </row>
    <row r="1809" spans="1:15" x14ac:dyDescent="0.3">
      <c r="A1809" t="s">
        <v>891</v>
      </c>
      <c r="B1809" s="5">
        <v>40</v>
      </c>
      <c r="C1809" s="5" t="str" cm="1">
        <f t="array" ref="C1809">_xlfn.IFS(worksheet[[#This Row],[age]]&lt;25,"1. Young Adulthood (18-24)",worksheet[[#This Row],[age]]&lt; 35,"2. Early Adulthood (25-34)",worksheet[[#This Row],[age]]&lt; 45,"3. Mid Adulthood (35-44)",worksheet[[#This Row],[age]]&lt; 55,"4. Mature Adulthood (45-54)",TRUE,"5. Late Adulthood/Senior (55+)")</f>
        <v>3. Mid Adulthood (35-44)</v>
      </c>
      <c r="D1809" t="s">
        <v>27</v>
      </c>
      <c r="E1809" t="s">
        <v>16</v>
      </c>
      <c r="F1809" s="4">
        <v>23.97</v>
      </c>
      <c r="G1809" s="5">
        <v>48</v>
      </c>
      <c r="H1809" t="s">
        <v>49</v>
      </c>
      <c r="I1809" t="s">
        <v>55</v>
      </c>
      <c r="J1809" s="6">
        <v>8.99</v>
      </c>
      <c r="K1809">
        <v>0</v>
      </c>
      <c r="L1809" t="s">
        <v>37</v>
      </c>
      <c r="M1809" s="5">
        <v>5</v>
      </c>
      <c r="N1809" s="4">
        <v>0.49</v>
      </c>
      <c r="O1809" t="s">
        <v>20</v>
      </c>
    </row>
    <row r="1810" spans="1:15" x14ac:dyDescent="0.3">
      <c r="A1810" t="s">
        <v>909</v>
      </c>
      <c r="B1810" s="5">
        <v>41</v>
      </c>
      <c r="C1810" s="5" t="str" cm="1">
        <f t="array" ref="C1810">_xlfn.IFS(worksheet[[#This Row],[age]]&lt;25,"1. Young Adulthood (18-24)",worksheet[[#This Row],[age]]&lt; 35,"2. Early Adulthood (25-34)",worksheet[[#This Row],[age]]&lt; 45,"3. Mid Adulthood (35-44)",worksheet[[#This Row],[age]]&lt; 55,"4. Mature Adulthood (45-54)",TRUE,"5. Late Adulthood/Senior (55+)")</f>
        <v>3. Mid Adulthood (35-44)</v>
      </c>
      <c r="D1810" t="s">
        <v>27</v>
      </c>
      <c r="E1810" t="s">
        <v>32</v>
      </c>
      <c r="F1810" s="4">
        <v>0.43</v>
      </c>
      <c r="G1810" s="5">
        <v>2</v>
      </c>
      <c r="H1810" t="s">
        <v>33</v>
      </c>
      <c r="I1810" t="s">
        <v>24</v>
      </c>
      <c r="J1810" s="6">
        <v>17.989999999999998</v>
      </c>
      <c r="K1810">
        <v>0</v>
      </c>
      <c r="L1810" t="s">
        <v>19</v>
      </c>
      <c r="M1810" s="5">
        <v>5</v>
      </c>
      <c r="N1810" s="4">
        <v>0.14000000000000001</v>
      </c>
      <c r="O1810" t="s">
        <v>34</v>
      </c>
    </row>
    <row r="1811" spans="1:15" x14ac:dyDescent="0.3">
      <c r="A1811" t="s">
        <v>920</v>
      </c>
      <c r="B1811" s="5">
        <v>40</v>
      </c>
      <c r="C1811" s="5" t="str" cm="1">
        <f t="array" ref="C1811">_xlfn.IFS(worksheet[[#This Row],[age]]&lt;25,"1. Young Adulthood (18-24)",worksheet[[#This Row],[age]]&lt; 35,"2. Early Adulthood (25-34)",worksheet[[#This Row],[age]]&lt; 45,"3. Mid Adulthood (35-44)",worksheet[[#This Row],[age]]&lt; 55,"4. Mature Adulthood (45-54)",TRUE,"5. Late Adulthood/Senior (55+)")</f>
        <v>3. Mid Adulthood (35-44)</v>
      </c>
      <c r="D1811" t="s">
        <v>15</v>
      </c>
      <c r="E1811" t="s">
        <v>32</v>
      </c>
      <c r="F1811" s="4">
        <v>1.2</v>
      </c>
      <c r="G1811" s="5">
        <v>7</v>
      </c>
      <c r="H1811" t="s">
        <v>17</v>
      </c>
      <c r="I1811" t="s">
        <v>57</v>
      </c>
      <c r="J1811" s="6">
        <v>17.989999999999998</v>
      </c>
      <c r="K1811">
        <v>1</v>
      </c>
      <c r="L1811" t="s">
        <v>43</v>
      </c>
      <c r="M1811" s="5">
        <v>1</v>
      </c>
      <c r="N1811" s="4">
        <v>0.15</v>
      </c>
      <c r="O1811" t="s">
        <v>20</v>
      </c>
    </row>
    <row r="1812" spans="1:15" x14ac:dyDescent="0.3">
      <c r="A1812" t="s">
        <v>924</v>
      </c>
      <c r="B1812" s="5">
        <v>43</v>
      </c>
      <c r="C1812" s="5" t="str" cm="1">
        <f t="array" ref="C1812">_xlfn.IFS(worksheet[[#This Row],[age]]&lt;25,"1. Young Adulthood (18-24)",worksheet[[#This Row],[age]]&lt; 35,"2. Early Adulthood (25-34)",worksheet[[#This Row],[age]]&lt; 45,"3. Mid Adulthood (35-44)",worksheet[[#This Row],[age]]&lt; 55,"4. Mature Adulthood (45-54)",TRUE,"5. Late Adulthood/Senior (55+)")</f>
        <v>3. Mid Adulthood (35-44)</v>
      </c>
      <c r="D1812" t="s">
        <v>27</v>
      </c>
      <c r="E1812" t="s">
        <v>16</v>
      </c>
      <c r="F1812" s="4">
        <v>0.69</v>
      </c>
      <c r="G1812" s="5">
        <v>39</v>
      </c>
      <c r="H1812" t="s">
        <v>49</v>
      </c>
      <c r="I1812" t="s">
        <v>46</v>
      </c>
      <c r="J1812" s="6">
        <v>8.99</v>
      </c>
      <c r="K1812">
        <v>1</v>
      </c>
      <c r="L1812" t="s">
        <v>37</v>
      </c>
      <c r="M1812" s="5">
        <v>1</v>
      </c>
      <c r="N1812" s="4">
        <v>0.02</v>
      </c>
      <c r="O1812" t="s">
        <v>20</v>
      </c>
    </row>
    <row r="1813" spans="1:15" x14ac:dyDescent="0.3">
      <c r="A1813" t="s">
        <v>934</v>
      </c>
      <c r="B1813" s="5">
        <v>40</v>
      </c>
      <c r="C1813" s="5" t="str" cm="1">
        <f t="array" ref="C1813">_xlfn.IFS(worksheet[[#This Row],[age]]&lt;25,"1. Young Adulthood (18-24)",worksheet[[#This Row],[age]]&lt; 35,"2. Early Adulthood (25-34)",worksheet[[#This Row],[age]]&lt; 45,"3. Mid Adulthood (35-44)",worksheet[[#This Row],[age]]&lt; 55,"4. Mature Adulthood (45-54)",TRUE,"5. Late Adulthood/Senior (55+)")</f>
        <v>3. Mid Adulthood (35-44)</v>
      </c>
      <c r="D1813" t="s">
        <v>15</v>
      </c>
      <c r="E1813" t="s">
        <v>22</v>
      </c>
      <c r="F1813" s="4">
        <v>14.34</v>
      </c>
      <c r="G1813" s="5">
        <v>15</v>
      </c>
      <c r="H1813" t="s">
        <v>70</v>
      </c>
      <c r="I1813" t="s">
        <v>55</v>
      </c>
      <c r="J1813" s="6">
        <v>13.99</v>
      </c>
      <c r="K1813">
        <v>0</v>
      </c>
      <c r="L1813" t="s">
        <v>37</v>
      </c>
      <c r="M1813" s="5">
        <v>1</v>
      </c>
      <c r="N1813" s="4">
        <v>0.9</v>
      </c>
      <c r="O1813" t="s">
        <v>25</v>
      </c>
    </row>
    <row r="1814" spans="1:15" x14ac:dyDescent="0.3">
      <c r="A1814" t="s">
        <v>938</v>
      </c>
      <c r="B1814" s="5">
        <v>38</v>
      </c>
      <c r="C1814" s="5" t="str" cm="1">
        <f t="array" ref="C1814">_xlfn.IFS(worksheet[[#This Row],[age]]&lt;25,"1. Young Adulthood (18-24)",worksheet[[#This Row],[age]]&lt; 35,"2. Early Adulthood (25-34)",worksheet[[#This Row],[age]]&lt; 45,"3. Mid Adulthood (35-44)",worksheet[[#This Row],[age]]&lt; 55,"4. Mature Adulthood (45-54)",TRUE,"5. Late Adulthood/Senior (55+)")</f>
        <v>3. Mid Adulthood (35-44)</v>
      </c>
      <c r="D1814" t="s">
        <v>15</v>
      </c>
      <c r="E1814" t="s">
        <v>32</v>
      </c>
      <c r="F1814" s="4">
        <v>20.79</v>
      </c>
      <c r="G1814" s="5">
        <v>21</v>
      </c>
      <c r="H1814" t="s">
        <v>28</v>
      </c>
      <c r="I1814" t="s">
        <v>18</v>
      </c>
      <c r="J1814" s="6">
        <v>17.989999999999998</v>
      </c>
      <c r="K1814">
        <v>0</v>
      </c>
      <c r="L1814" t="s">
        <v>61</v>
      </c>
      <c r="M1814" s="5">
        <v>4</v>
      </c>
      <c r="N1814" s="4">
        <v>0.94</v>
      </c>
      <c r="O1814" t="s">
        <v>34</v>
      </c>
    </row>
    <row r="1815" spans="1:15" x14ac:dyDescent="0.3">
      <c r="A1815" t="s">
        <v>940</v>
      </c>
      <c r="B1815" s="5">
        <v>38</v>
      </c>
      <c r="C1815" s="5" t="str" cm="1">
        <f t="array" ref="C1815">_xlfn.IFS(worksheet[[#This Row],[age]]&lt;25,"1. Young Adulthood (18-24)",worksheet[[#This Row],[age]]&lt; 35,"2. Early Adulthood (25-34)",worksheet[[#This Row],[age]]&lt; 45,"3. Mid Adulthood (35-44)",worksheet[[#This Row],[age]]&lt; 55,"4. Mature Adulthood (45-54)",TRUE,"5. Late Adulthood/Senior (55+)")</f>
        <v>3. Mid Adulthood (35-44)</v>
      </c>
      <c r="D1815" t="s">
        <v>15</v>
      </c>
      <c r="E1815" t="s">
        <v>16</v>
      </c>
      <c r="F1815" s="4">
        <v>11.42</v>
      </c>
      <c r="G1815" s="5">
        <v>5</v>
      </c>
      <c r="H1815" t="s">
        <v>49</v>
      </c>
      <c r="I1815" t="s">
        <v>46</v>
      </c>
      <c r="J1815" s="6">
        <v>8.99</v>
      </c>
      <c r="K1815">
        <v>0</v>
      </c>
      <c r="L1815" t="s">
        <v>29</v>
      </c>
      <c r="M1815" s="5">
        <v>5</v>
      </c>
      <c r="N1815" s="4">
        <v>1.9</v>
      </c>
      <c r="O1815" t="s">
        <v>39</v>
      </c>
    </row>
    <row r="1816" spans="1:15" x14ac:dyDescent="0.3">
      <c r="A1816" t="s">
        <v>941</v>
      </c>
      <c r="B1816" s="5">
        <v>43</v>
      </c>
      <c r="C1816" s="5" t="str" cm="1">
        <f t="array" ref="C1816">_xlfn.IFS(worksheet[[#This Row],[age]]&lt;25,"1. Young Adulthood (18-24)",worksheet[[#This Row],[age]]&lt; 35,"2. Early Adulthood (25-34)",worksheet[[#This Row],[age]]&lt; 45,"3. Mid Adulthood (35-44)",worksheet[[#This Row],[age]]&lt; 55,"4. Mature Adulthood (45-54)",TRUE,"5. Late Adulthood/Senior (55+)")</f>
        <v>3. Mid Adulthood (35-44)</v>
      </c>
      <c r="D1816" t="s">
        <v>27</v>
      </c>
      <c r="E1816" t="s">
        <v>32</v>
      </c>
      <c r="F1816" s="4">
        <v>17.91</v>
      </c>
      <c r="G1816" s="5">
        <v>26</v>
      </c>
      <c r="H1816" t="s">
        <v>17</v>
      </c>
      <c r="I1816" t="s">
        <v>55</v>
      </c>
      <c r="J1816" s="6">
        <v>17.989999999999998</v>
      </c>
      <c r="K1816">
        <v>0</v>
      </c>
      <c r="L1816" t="s">
        <v>19</v>
      </c>
      <c r="M1816" s="5">
        <v>1</v>
      </c>
      <c r="N1816" s="4">
        <v>0.66</v>
      </c>
      <c r="O1816" t="s">
        <v>20</v>
      </c>
    </row>
    <row r="1817" spans="1:15" x14ac:dyDescent="0.3">
      <c r="A1817" t="s">
        <v>947</v>
      </c>
      <c r="B1817" s="5">
        <v>41</v>
      </c>
      <c r="C1817" s="5" t="str" cm="1">
        <f t="array" ref="C1817">_xlfn.IFS(worksheet[[#This Row],[age]]&lt;25,"1. Young Adulthood (18-24)",worksheet[[#This Row],[age]]&lt; 35,"2. Early Adulthood (25-34)",worksheet[[#This Row],[age]]&lt; 45,"3. Mid Adulthood (35-44)",worksheet[[#This Row],[age]]&lt; 55,"4. Mature Adulthood (45-54)",TRUE,"5. Late Adulthood/Senior (55+)")</f>
        <v>3. Mid Adulthood (35-44)</v>
      </c>
      <c r="D1817" t="s">
        <v>15</v>
      </c>
      <c r="E1817" t="s">
        <v>22</v>
      </c>
      <c r="F1817" s="4">
        <v>12.78</v>
      </c>
      <c r="G1817" s="5">
        <v>48</v>
      </c>
      <c r="H1817" t="s">
        <v>23</v>
      </c>
      <c r="I1817" t="s">
        <v>55</v>
      </c>
      <c r="J1817" s="6">
        <v>13.99</v>
      </c>
      <c r="K1817">
        <v>1</v>
      </c>
      <c r="L1817" t="s">
        <v>29</v>
      </c>
      <c r="M1817" s="5">
        <v>5</v>
      </c>
      <c r="N1817" s="4">
        <v>0.26</v>
      </c>
      <c r="O1817" t="s">
        <v>25</v>
      </c>
    </row>
    <row r="1818" spans="1:15" x14ac:dyDescent="0.3">
      <c r="A1818" t="s">
        <v>960</v>
      </c>
      <c r="B1818" s="5">
        <v>41</v>
      </c>
      <c r="C1818" s="5" t="str" cm="1">
        <f t="array" ref="C1818">_xlfn.IFS(worksheet[[#This Row],[age]]&lt;25,"1. Young Adulthood (18-24)",worksheet[[#This Row],[age]]&lt; 35,"2. Early Adulthood (25-34)",worksheet[[#This Row],[age]]&lt; 45,"3. Mid Adulthood (35-44)",worksheet[[#This Row],[age]]&lt; 55,"4. Mature Adulthood (45-54)",TRUE,"5. Late Adulthood/Senior (55+)")</f>
        <v>3. Mid Adulthood (35-44)</v>
      </c>
      <c r="D1818" t="s">
        <v>15</v>
      </c>
      <c r="E1818" t="s">
        <v>32</v>
      </c>
      <c r="F1818" s="4">
        <v>26.57</v>
      </c>
      <c r="G1818" s="5">
        <v>58</v>
      </c>
      <c r="H1818" t="s">
        <v>23</v>
      </c>
      <c r="I1818" t="s">
        <v>55</v>
      </c>
      <c r="J1818" s="6">
        <v>17.989999999999998</v>
      </c>
      <c r="K1818">
        <v>0</v>
      </c>
      <c r="L1818" t="s">
        <v>29</v>
      </c>
      <c r="M1818" s="5">
        <v>3</v>
      </c>
      <c r="N1818" s="4">
        <v>0.45</v>
      </c>
      <c r="O1818" t="s">
        <v>47</v>
      </c>
    </row>
    <row r="1819" spans="1:15" x14ac:dyDescent="0.3">
      <c r="A1819" t="s">
        <v>961</v>
      </c>
      <c r="B1819" s="5">
        <v>41</v>
      </c>
      <c r="C1819" s="5" t="str" cm="1">
        <f t="array" ref="C1819">_xlfn.IFS(worksheet[[#This Row],[age]]&lt;25,"1. Young Adulthood (18-24)",worksheet[[#This Row],[age]]&lt; 35,"2. Early Adulthood (25-34)",worksheet[[#This Row],[age]]&lt; 45,"3. Mid Adulthood (35-44)",worksheet[[#This Row],[age]]&lt; 55,"4. Mature Adulthood (45-54)",TRUE,"5. Late Adulthood/Senior (55+)")</f>
        <v>3. Mid Adulthood (35-44)</v>
      </c>
      <c r="D1819" t="s">
        <v>41</v>
      </c>
      <c r="E1819" t="s">
        <v>16</v>
      </c>
      <c r="F1819" s="4">
        <v>4.32</v>
      </c>
      <c r="G1819" s="5">
        <v>0</v>
      </c>
      <c r="H1819" t="s">
        <v>49</v>
      </c>
      <c r="I1819" t="s">
        <v>57</v>
      </c>
      <c r="J1819" s="6">
        <v>8.99</v>
      </c>
      <c r="K1819">
        <v>1</v>
      </c>
      <c r="L1819" t="s">
        <v>43</v>
      </c>
      <c r="M1819" s="5">
        <v>1</v>
      </c>
      <c r="N1819" s="4">
        <v>4.32</v>
      </c>
      <c r="O1819" t="s">
        <v>34</v>
      </c>
    </row>
    <row r="1820" spans="1:15" x14ac:dyDescent="0.3">
      <c r="A1820" t="s">
        <v>962</v>
      </c>
      <c r="B1820" s="5">
        <v>35</v>
      </c>
      <c r="C1820" s="5" t="str" cm="1">
        <f t="array" ref="C1820">_xlfn.IFS(worksheet[[#This Row],[age]]&lt;25,"1. Young Adulthood (18-24)",worksheet[[#This Row],[age]]&lt; 35,"2. Early Adulthood (25-34)",worksheet[[#This Row],[age]]&lt; 45,"3. Mid Adulthood (35-44)",worksheet[[#This Row],[age]]&lt; 55,"4. Mature Adulthood (45-54)",TRUE,"5. Late Adulthood/Senior (55+)")</f>
        <v>3. Mid Adulthood (35-44)</v>
      </c>
      <c r="D1820" t="s">
        <v>41</v>
      </c>
      <c r="E1820" t="s">
        <v>32</v>
      </c>
      <c r="F1820" s="4">
        <v>14.76</v>
      </c>
      <c r="G1820" s="5">
        <v>26</v>
      </c>
      <c r="H1820" t="s">
        <v>49</v>
      </c>
      <c r="I1820" t="s">
        <v>55</v>
      </c>
      <c r="J1820" s="6">
        <v>17.989999999999998</v>
      </c>
      <c r="K1820">
        <v>0</v>
      </c>
      <c r="L1820" t="s">
        <v>61</v>
      </c>
      <c r="M1820" s="5">
        <v>4</v>
      </c>
      <c r="N1820" s="4">
        <v>0.55000000000000004</v>
      </c>
      <c r="O1820" t="s">
        <v>30</v>
      </c>
    </row>
    <row r="1821" spans="1:15" x14ac:dyDescent="0.3">
      <c r="A1821" t="s">
        <v>964</v>
      </c>
      <c r="B1821" s="5">
        <v>44</v>
      </c>
      <c r="C1821" s="5" t="str" cm="1">
        <f t="array" ref="C1821">_xlfn.IFS(worksheet[[#This Row],[age]]&lt;25,"1. Young Adulthood (18-24)",worksheet[[#This Row],[age]]&lt; 35,"2. Early Adulthood (25-34)",worksheet[[#This Row],[age]]&lt; 45,"3. Mid Adulthood (35-44)",worksheet[[#This Row],[age]]&lt; 55,"4. Mature Adulthood (45-54)",TRUE,"5. Late Adulthood/Senior (55+)")</f>
        <v>3. Mid Adulthood (35-44)</v>
      </c>
      <c r="D1821" t="s">
        <v>15</v>
      </c>
      <c r="E1821" t="s">
        <v>22</v>
      </c>
      <c r="F1821" s="4">
        <v>2.14</v>
      </c>
      <c r="G1821" s="5">
        <v>4</v>
      </c>
      <c r="H1821" t="s">
        <v>28</v>
      </c>
      <c r="I1821" t="s">
        <v>55</v>
      </c>
      <c r="J1821" s="6">
        <v>13.99</v>
      </c>
      <c r="K1821">
        <v>1</v>
      </c>
      <c r="L1821" t="s">
        <v>29</v>
      </c>
      <c r="M1821" s="5">
        <v>2</v>
      </c>
      <c r="N1821" s="4">
        <v>0.43</v>
      </c>
      <c r="O1821" t="s">
        <v>47</v>
      </c>
    </row>
    <row r="1822" spans="1:15" x14ac:dyDescent="0.3">
      <c r="A1822" t="s">
        <v>965</v>
      </c>
      <c r="B1822" s="5">
        <v>38</v>
      </c>
      <c r="C1822" s="5" t="str" cm="1">
        <f t="array" ref="C1822">_xlfn.IFS(worksheet[[#This Row],[age]]&lt;25,"1. Young Adulthood (18-24)",worksheet[[#This Row],[age]]&lt; 35,"2. Early Adulthood (25-34)",worksheet[[#This Row],[age]]&lt; 45,"3. Mid Adulthood (35-44)",worksheet[[#This Row],[age]]&lt; 55,"4. Mature Adulthood (45-54)",TRUE,"5. Late Adulthood/Senior (55+)")</f>
        <v>3. Mid Adulthood (35-44)</v>
      </c>
      <c r="D1822" t="s">
        <v>15</v>
      </c>
      <c r="E1822" t="s">
        <v>16</v>
      </c>
      <c r="F1822" s="4">
        <v>53.06</v>
      </c>
      <c r="G1822" s="5">
        <v>55</v>
      </c>
      <c r="H1822" t="s">
        <v>17</v>
      </c>
      <c r="I1822" t="s">
        <v>46</v>
      </c>
      <c r="J1822" s="6">
        <v>8.99</v>
      </c>
      <c r="K1822">
        <v>0</v>
      </c>
      <c r="L1822" t="s">
        <v>43</v>
      </c>
      <c r="M1822" s="5">
        <v>4</v>
      </c>
      <c r="N1822" s="4">
        <v>0.95</v>
      </c>
      <c r="O1822" t="s">
        <v>34</v>
      </c>
    </row>
    <row r="1823" spans="1:15" x14ac:dyDescent="0.3">
      <c r="A1823" t="s">
        <v>970</v>
      </c>
      <c r="B1823" s="5">
        <v>38</v>
      </c>
      <c r="C1823" s="5" t="str" cm="1">
        <f t="array" ref="C1823">_xlfn.IFS(worksheet[[#This Row],[age]]&lt;25,"1. Young Adulthood (18-24)",worksheet[[#This Row],[age]]&lt; 35,"2. Early Adulthood (25-34)",worksheet[[#This Row],[age]]&lt; 45,"3. Mid Adulthood (35-44)",worksheet[[#This Row],[age]]&lt; 55,"4. Mature Adulthood (45-54)",TRUE,"5. Late Adulthood/Senior (55+)")</f>
        <v>3. Mid Adulthood (35-44)</v>
      </c>
      <c r="D1823" t="s">
        <v>41</v>
      </c>
      <c r="E1823" t="s">
        <v>16</v>
      </c>
      <c r="F1823" s="4">
        <v>3.86</v>
      </c>
      <c r="G1823" s="5">
        <v>37</v>
      </c>
      <c r="H1823" t="s">
        <v>49</v>
      </c>
      <c r="I1823" t="s">
        <v>46</v>
      </c>
      <c r="J1823" s="6">
        <v>8.99</v>
      </c>
      <c r="K1823">
        <v>1</v>
      </c>
      <c r="L1823" t="s">
        <v>43</v>
      </c>
      <c r="M1823" s="5">
        <v>4</v>
      </c>
      <c r="N1823" s="4">
        <v>0.1</v>
      </c>
      <c r="O1823" t="s">
        <v>39</v>
      </c>
    </row>
    <row r="1824" spans="1:15" x14ac:dyDescent="0.3">
      <c r="A1824" t="s">
        <v>973</v>
      </c>
      <c r="B1824" s="5">
        <v>38</v>
      </c>
      <c r="C1824" s="5" t="str" cm="1">
        <f t="array" ref="C1824">_xlfn.IFS(worksheet[[#This Row],[age]]&lt;25,"1. Young Adulthood (18-24)",worksheet[[#This Row],[age]]&lt; 35,"2. Early Adulthood (25-34)",worksheet[[#This Row],[age]]&lt; 45,"3. Mid Adulthood (35-44)",worksheet[[#This Row],[age]]&lt; 55,"4. Mature Adulthood (45-54)",TRUE,"5. Late Adulthood/Senior (55+)")</f>
        <v>3. Mid Adulthood (35-44)</v>
      </c>
      <c r="D1824" t="s">
        <v>27</v>
      </c>
      <c r="E1824" t="s">
        <v>32</v>
      </c>
      <c r="F1824" s="4">
        <v>4.12</v>
      </c>
      <c r="G1824" s="5">
        <v>54</v>
      </c>
      <c r="H1824" t="s">
        <v>33</v>
      </c>
      <c r="I1824" t="s">
        <v>57</v>
      </c>
      <c r="J1824" s="6">
        <v>17.989999999999998</v>
      </c>
      <c r="K1824">
        <v>1</v>
      </c>
      <c r="L1824" t="s">
        <v>19</v>
      </c>
      <c r="M1824" s="5">
        <v>1</v>
      </c>
      <c r="N1824" s="4">
        <v>7.0000000000000007E-2</v>
      </c>
      <c r="O1824" t="s">
        <v>39</v>
      </c>
    </row>
    <row r="1825" spans="1:15" x14ac:dyDescent="0.3">
      <c r="A1825" t="s">
        <v>986</v>
      </c>
      <c r="B1825" s="5">
        <v>39</v>
      </c>
      <c r="C1825" s="5" t="str" cm="1">
        <f t="array" ref="C1825">_xlfn.IFS(worksheet[[#This Row],[age]]&lt;25,"1. Young Adulthood (18-24)",worksheet[[#This Row],[age]]&lt; 35,"2. Early Adulthood (25-34)",worksheet[[#This Row],[age]]&lt; 45,"3. Mid Adulthood (35-44)",worksheet[[#This Row],[age]]&lt; 55,"4. Mature Adulthood (45-54)",TRUE,"5. Late Adulthood/Senior (55+)")</f>
        <v>3. Mid Adulthood (35-44)</v>
      </c>
      <c r="D1825" t="s">
        <v>15</v>
      </c>
      <c r="E1825" t="s">
        <v>32</v>
      </c>
      <c r="F1825" s="4">
        <v>1.83</v>
      </c>
      <c r="G1825" s="5">
        <v>12</v>
      </c>
      <c r="H1825" t="s">
        <v>17</v>
      </c>
      <c r="I1825" t="s">
        <v>24</v>
      </c>
      <c r="J1825" s="6">
        <v>17.989999999999998</v>
      </c>
      <c r="K1825">
        <v>1</v>
      </c>
      <c r="L1825" t="s">
        <v>61</v>
      </c>
      <c r="M1825" s="5">
        <v>3</v>
      </c>
      <c r="N1825" s="4">
        <v>0.14000000000000001</v>
      </c>
      <c r="O1825" t="s">
        <v>39</v>
      </c>
    </row>
    <row r="1826" spans="1:15" x14ac:dyDescent="0.3">
      <c r="A1826" t="s">
        <v>991</v>
      </c>
      <c r="B1826" s="5">
        <v>41</v>
      </c>
      <c r="C1826" s="5" t="str" cm="1">
        <f t="array" ref="C1826">_xlfn.IFS(worksheet[[#This Row],[age]]&lt;25,"1. Young Adulthood (18-24)",worksheet[[#This Row],[age]]&lt; 35,"2. Early Adulthood (25-34)",worksheet[[#This Row],[age]]&lt; 45,"3. Mid Adulthood (35-44)",worksheet[[#This Row],[age]]&lt; 55,"4. Mature Adulthood (45-54)",TRUE,"5. Late Adulthood/Senior (55+)")</f>
        <v>3. Mid Adulthood (35-44)</v>
      </c>
      <c r="D1826" t="s">
        <v>15</v>
      </c>
      <c r="E1826" t="s">
        <v>16</v>
      </c>
      <c r="F1826" s="4">
        <v>9.25</v>
      </c>
      <c r="G1826" s="5">
        <v>47</v>
      </c>
      <c r="H1826" t="s">
        <v>33</v>
      </c>
      <c r="I1826" t="s">
        <v>55</v>
      </c>
      <c r="J1826" s="6">
        <v>8.99</v>
      </c>
      <c r="K1826">
        <v>1</v>
      </c>
      <c r="L1826" t="s">
        <v>37</v>
      </c>
      <c r="M1826" s="5">
        <v>5</v>
      </c>
      <c r="N1826" s="4">
        <v>0.19</v>
      </c>
      <c r="O1826" t="s">
        <v>30</v>
      </c>
    </row>
    <row r="1827" spans="1:15" x14ac:dyDescent="0.3">
      <c r="A1827" t="s">
        <v>998</v>
      </c>
      <c r="B1827" s="5">
        <v>39</v>
      </c>
      <c r="C1827" s="5" t="str" cm="1">
        <f t="array" ref="C1827">_xlfn.IFS(worksheet[[#This Row],[age]]&lt;25,"1. Young Adulthood (18-24)",worksheet[[#This Row],[age]]&lt; 35,"2. Early Adulthood (25-34)",worksheet[[#This Row],[age]]&lt; 45,"3. Mid Adulthood (35-44)",worksheet[[#This Row],[age]]&lt; 55,"4. Mature Adulthood (45-54)",TRUE,"5. Late Adulthood/Senior (55+)")</f>
        <v>3. Mid Adulthood (35-44)</v>
      </c>
      <c r="D1827" t="s">
        <v>15</v>
      </c>
      <c r="E1827" t="s">
        <v>22</v>
      </c>
      <c r="F1827" s="4">
        <v>8.27</v>
      </c>
      <c r="G1827" s="5">
        <v>36</v>
      </c>
      <c r="H1827" t="s">
        <v>49</v>
      </c>
      <c r="I1827" t="s">
        <v>46</v>
      </c>
      <c r="J1827" s="6">
        <v>13.99</v>
      </c>
      <c r="K1827">
        <v>1</v>
      </c>
      <c r="L1827" t="s">
        <v>19</v>
      </c>
      <c r="M1827" s="5">
        <v>2</v>
      </c>
      <c r="N1827" s="4">
        <v>0.22</v>
      </c>
      <c r="O1827" t="s">
        <v>52</v>
      </c>
    </row>
    <row r="1828" spans="1:15" x14ac:dyDescent="0.3">
      <c r="A1828" t="s">
        <v>1001</v>
      </c>
      <c r="B1828" s="5">
        <v>42</v>
      </c>
      <c r="C1828" s="5" t="str" cm="1">
        <f t="array" ref="C1828">_xlfn.IFS(worksheet[[#This Row],[age]]&lt;25,"1. Young Adulthood (18-24)",worksheet[[#This Row],[age]]&lt; 35,"2. Early Adulthood (25-34)",worksheet[[#This Row],[age]]&lt; 45,"3. Mid Adulthood (35-44)",worksheet[[#This Row],[age]]&lt; 55,"4. Mature Adulthood (45-54)",TRUE,"5. Late Adulthood/Senior (55+)")</f>
        <v>3. Mid Adulthood (35-44)</v>
      </c>
      <c r="D1828" t="s">
        <v>41</v>
      </c>
      <c r="E1828" t="s">
        <v>16</v>
      </c>
      <c r="F1828" s="4">
        <v>14.77</v>
      </c>
      <c r="G1828" s="5">
        <v>29</v>
      </c>
      <c r="H1828" t="s">
        <v>23</v>
      </c>
      <c r="I1828" t="s">
        <v>24</v>
      </c>
      <c r="J1828" s="6">
        <v>8.99</v>
      </c>
      <c r="K1828">
        <v>1</v>
      </c>
      <c r="L1828" t="s">
        <v>19</v>
      </c>
      <c r="M1828" s="5">
        <v>3</v>
      </c>
      <c r="N1828" s="4">
        <v>0.49</v>
      </c>
      <c r="O1828" t="s">
        <v>34</v>
      </c>
    </row>
    <row r="1829" spans="1:15" x14ac:dyDescent="0.3">
      <c r="A1829" t="s">
        <v>1012</v>
      </c>
      <c r="B1829" s="5">
        <v>44</v>
      </c>
      <c r="C1829" s="5" t="str" cm="1">
        <f t="array" ref="C1829">_xlfn.IFS(worksheet[[#This Row],[age]]&lt;25,"1. Young Adulthood (18-24)",worksheet[[#This Row],[age]]&lt; 35,"2. Early Adulthood (25-34)",worksheet[[#This Row],[age]]&lt; 45,"3. Mid Adulthood (35-44)",worksheet[[#This Row],[age]]&lt; 55,"4. Mature Adulthood (45-54)",TRUE,"5. Late Adulthood/Senior (55+)")</f>
        <v>3. Mid Adulthood (35-44)</v>
      </c>
      <c r="D1829" t="s">
        <v>27</v>
      </c>
      <c r="E1829" t="s">
        <v>32</v>
      </c>
      <c r="F1829" s="4">
        <v>9.89</v>
      </c>
      <c r="G1829" s="5">
        <v>25</v>
      </c>
      <c r="H1829" t="s">
        <v>49</v>
      </c>
      <c r="I1829" t="s">
        <v>55</v>
      </c>
      <c r="J1829" s="6">
        <v>17.989999999999998</v>
      </c>
      <c r="K1829">
        <v>0</v>
      </c>
      <c r="L1829" t="s">
        <v>61</v>
      </c>
      <c r="M1829" s="5">
        <v>4</v>
      </c>
      <c r="N1829" s="4">
        <v>0.38</v>
      </c>
      <c r="O1829" t="s">
        <v>47</v>
      </c>
    </row>
    <row r="1830" spans="1:15" x14ac:dyDescent="0.3">
      <c r="A1830" t="s">
        <v>1021</v>
      </c>
      <c r="B1830" s="5">
        <v>42</v>
      </c>
      <c r="C1830" s="5" t="str" cm="1">
        <f t="array" ref="C1830">_xlfn.IFS(worksheet[[#This Row],[age]]&lt;25,"1. Young Adulthood (18-24)",worksheet[[#This Row],[age]]&lt; 35,"2. Early Adulthood (25-34)",worksheet[[#This Row],[age]]&lt; 45,"3. Mid Adulthood (35-44)",worksheet[[#This Row],[age]]&lt; 55,"4. Mature Adulthood (45-54)",TRUE,"5. Late Adulthood/Senior (55+)")</f>
        <v>3. Mid Adulthood (35-44)</v>
      </c>
      <c r="D1830" t="s">
        <v>15</v>
      </c>
      <c r="E1830" t="s">
        <v>22</v>
      </c>
      <c r="F1830" s="4">
        <v>0.45</v>
      </c>
      <c r="G1830" s="5">
        <v>15</v>
      </c>
      <c r="H1830" t="s">
        <v>17</v>
      </c>
      <c r="I1830" t="s">
        <v>46</v>
      </c>
      <c r="J1830" s="6">
        <v>13.99</v>
      </c>
      <c r="K1830">
        <v>1</v>
      </c>
      <c r="L1830" t="s">
        <v>19</v>
      </c>
      <c r="M1830" s="5">
        <v>5</v>
      </c>
      <c r="N1830" s="4">
        <v>0.03</v>
      </c>
      <c r="O1830" t="s">
        <v>39</v>
      </c>
    </row>
    <row r="1831" spans="1:15" x14ac:dyDescent="0.3">
      <c r="A1831" t="s">
        <v>1026</v>
      </c>
      <c r="B1831" s="5">
        <v>44</v>
      </c>
      <c r="C1831" s="5" t="str" cm="1">
        <f t="array" ref="C1831">_xlfn.IFS(worksheet[[#This Row],[age]]&lt;25,"1. Young Adulthood (18-24)",worksheet[[#This Row],[age]]&lt; 35,"2. Early Adulthood (25-34)",worksheet[[#This Row],[age]]&lt; 45,"3. Mid Adulthood (35-44)",worksheet[[#This Row],[age]]&lt; 55,"4. Mature Adulthood (45-54)",TRUE,"5. Late Adulthood/Senior (55+)")</f>
        <v>3. Mid Adulthood (35-44)</v>
      </c>
      <c r="D1831" t="s">
        <v>15</v>
      </c>
      <c r="E1831" t="s">
        <v>32</v>
      </c>
      <c r="F1831" s="4">
        <v>7.91</v>
      </c>
      <c r="G1831" s="5">
        <v>7</v>
      </c>
      <c r="H1831" t="s">
        <v>49</v>
      </c>
      <c r="I1831" t="s">
        <v>24</v>
      </c>
      <c r="J1831" s="6">
        <v>17.989999999999998</v>
      </c>
      <c r="K1831">
        <v>0</v>
      </c>
      <c r="L1831" t="s">
        <v>37</v>
      </c>
      <c r="M1831" s="5">
        <v>1</v>
      </c>
      <c r="N1831" s="4">
        <v>0.99</v>
      </c>
      <c r="O1831" t="s">
        <v>52</v>
      </c>
    </row>
    <row r="1832" spans="1:15" x14ac:dyDescent="0.3">
      <c r="A1832" t="s">
        <v>1029</v>
      </c>
      <c r="B1832" s="5">
        <v>39</v>
      </c>
      <c r="C1832" s="5" t="str" cm="1">
        <f t="array" ref="C1832">_xlfn.IFS(worksheet[[#This Row],[age]]&lt;25,"1. Young Adulthood (18-24)",worksheet[[#This Row],[age]]&lt; 35,"2. Early Adulthood (25-34)",worksheet[[#This Row],[age]]&lt; 45,"3. Mid Adulthood (35-44)",worksheet[[#This Row],[age]]&lt; 55,"4. Mature Adulthood (45-54)",TRUE,"5. Late Adulthood/Senior (55+)")</f>
        <v>3. Mid Adulthood (35-44)</v>
      </c>
      <c r="D1832" t="s">
        <v>15</v>
      </c>
      <c r="E1832" t="s">
        <v>22</v>
      </c>
      <c r="F1832" s="4">
        <v>23.44</v>
      </c>
      <c r="G1832" s="5">
        <v>22</v>
      </c>
      <c r="H1832" t="s">
        <v>33</v>
      </c>
      <c r="I1832" t="s">
        <v>18</v>
      </c>
      <c r="J1832" s="6">
        <v>13.99</v>
      </c>
      <c r="K1832">
        <v>0</v>
      </c>
      <c r="L1832" t="s">
        <v>37</v>
      </c>
      <c r="M1832" s="5">
        <v>5</v>
      </c>
      <c r="N1832" s="4">
        <v>1.02</v>
      </c>
      <c r="O1832" t="s">
        <v>47</v>
      </c>
    </row>
    <row r="1833" spans="1:15" x14ac:dyDescent="0.3">
      <c r="A1833" t="s">
        <v>1033</v>
      </c>
      <c r="B1833" s="5">
        <v>37</v>
      </c>
      <c r="C1833" s="5" t="str" cm="1">
        <f t="array" ref="C1833">_xlfn.IFS(worksheet[[#This Row],[age]]&lt;25,"1. Young Adulthood (18-24)",worksheet[[#This Row],[age]]&lt; 35,"2. Early Adulthood (25-34)",worksheet[[#This Row],[age]]&lt; 45,"3. Mid Adulthood (35-44)",worksheet[[#This Row],[age]]&lt; 55,"4. Mature Adulthood (45-54)",TRUE,"5. Late Adulthood/Senior (55+)")</f>
        <v>3. Mid Adulthood (35-44)</v>
      </c>
      <c r="D1833" t="s">
        <v>41</v>
      </c>
      <c r="E1833" t="s">
        <v>32</v>
      </c>
      <c r="F1833" s="4">
        <v>6.42</v>
      </c>
      <c r="G1833" s="5">
        <v>3</v>
      </c>
      <c r="H1833" t="s">
        <v>70</v>
      </c>
      <c r="I1833" t="s">
        <v>46</v>
      </c>
      <c r="J1833" s="6">
        <v>17.989999999999998</v>
      </c>
      <c r="K1833">
        <v>0</v>
      </c>
      <c r="L1833" t="s">
        <v>37</v>
      </c>
      <c r="M1833" s="5">
        <v>1</v>
      </c>
      <c r="N1833" s="4">
        <v>1.6</v>
      </c>
      <c r="O1833" t="s">
        <v>47</v>
      </c>
    </row>
    <row r="1834" spans="1:15" x14ac:dyDescent="0.3">
      <c r="A1834" t="s">
        <v>1036</v>
      </c>
      <c r="B1834" s="5">
        <v>38</v>
      </c>
      <c r="C1834" s="5" t="str" cm="1">
        <f t="array" ref="C1834">_xlfn.IFS(worksheet[[#This Row],[age]]&lt;25,"1. Young Adulthood (18-24)",worksheet[[#This Row],[age]]&lt; 35,"2. Early Adulthood (25-34)",worksheet[[#This Row],[age]]&lt; 45,"3. Mid Adulthood (35-44)",worksheet[[#This Row],[age]]&lt; 55,"4. Mature Adulthood (45-54)",TRUE,"5. Late Adulthood/Senior (55+)")</f>
        <v>3. Mid Adulthood (35-44)</v>
      </c>
      <c r="D1834" t="s">
        <v>27</v>
      </c>
      <c r="E1834" t="s">
        <v>16</v>
      </c>
      <c r="F1834" s="4">
        <v>23.78</v>
      </c>
      <c r="G1834" s="5">
        <v>1</v>
      </c>
      <c r="H1834" t="s">
        <v>33</v>
      </c>
      <c r="I1834" t="s">
        <v>55</v>
      </c>
      <c r="J1834" s="6">
        <v>8.99</v>
      </c>
      <c r="K1834">
        <v>0</v>
      </c>
      <c r="L1834" t="s">
        <v>61</v>
      </c>
      <c r="M1834" s="5">
        <v>2</v>
      </c>
      <c r="N1834" s="4">
        <v>11.89</v>
      </c>
      <c r="O1834" t="s">
        <v>20</v>
      </c>
    </row>
    <row r="1835" spans="1:15" x14ac:dyDescent="0.3">
      <c r="A1835" t="s">
        <v>1041</v>
      </c>
      <c r="B1835" s="5">
        <v>39</v>
      </c>
      <c r="C1835" s="5" t="str" cm="1">
        <f t="array" ref="C1835">_xlfn.IFS(worksheet[[#This Row],[age]]&lt;25,"1. Young Adulthood (18-24)",worksheet[[#This Row],[age]]&lt; 35,"2. Early Adulthood (25-34)",worksheet[[#This Row],[age]]&lt; 45,"3. Mid Adulthood (35-44)",worksheet[[#This Row],[age]]&lt; 55,"4. Mature Adulthood (45-54)",TRUE,"5. Late Adulthood/Senior (55+)")</f>
        <v>3. Mid Adulthood (35-44)</v>
      </c>
      <c r="D1835" t="s">
        <v>27</v>
      </c>
      <c r="E1835" t="s">
        <v>16</v>
      </c>
      <c r="F1835" s="4">
        <v>17.350000000000001</v>
      </c>
      <c r="G1835" s="5">
        <v>29</v>
      </c>
      <c r="H1835" t="s">
        <v>49</v>
      </c>
      <c r="I1835" t="s">
        <v>57</v>
      </c>
      <c r="J1835" s="6">
        <v>8.99</v>
      </c>
      <c r="K1835">
        <v>0</v>
      </c>
      <c r="L1835" t="s">
        <v>43</v>
      </c>
      <c r="M1835" s="5">
        <v>4</v>
      </c>
      <c r="N1835" s="4">
        <v>0.57999999999999996</v>
      </c>
      <c r="O1835" t="s">
        <v>34</v>
      </c>
    </row>
    <row r="1836" spans="1:15" x14ac:dyDescent="0.3">
      <c r="A1836" t="s">
        <v>1049</v>
      </c>
      <c r="B1836" s="5">
        <v>38</v>
      </c>
      <c r="C1836" s="5" t="str" cm="1">
        <f t="array" ref="C1836">_xlfn.IFS(worksheet[[#This Row],[age]]&lt;25,"1. Young Adulthood (18-24)",worksheet[[#This Row],[age]]&lt; 35,"2. Early Adulthood (25-34)",worksheet[[#This Row],[age]]&lt; 45,"3. Mid Adulthood (35-44)",worksheet[[#This Row],[age]]&lt; 55,"4. Mature Adulthood (45-54)",TRUE,"5. Late Adulthood/Senior (55+)")</f>
        <v>3. Mid Adulthood (35-44)</v>
      </c>
      <c r="D1836" t="s">
        <v>41</v>
      </c>
      <c r="E1836" t="s">
        <v>22</v>
      </c>
      <c r="F1836" s="4">
        <v>1.21</v>
      </c>
      <c r="G1836" s="5">
        <v>21</v>
      </c>
      <c r="H1836" t="s">
        <v>49</v>
      </c>
      <c r="I1836" t="s">
        <v>18</v>
      </c>
      <c r="J1836" s="6">
        <v>13.99</v>
      </c>
      <c r="K1836">
        <v>0</v>
      </c>
      <c r="L1836" t="s">
        <v>43</v>
      </c>
      <c r="M1836" s="5">
        <v>4</v>
      </c>
      <c r="N1836" s="4">
        <v>0.06</v>
      </c>
      <c r="O1836" t="s">
        <v>39</v>
      </c>
    </row>
    <row r="1837" spans="1:15" x14ac:dyDescent="0.3">
      <c r="A1837" t="s">
        <v>1059</v>
      </c>
      <c r="B1837" s="5">
        <v>43</v>
      </c>
      <c r="C1837" s="5" t="str" cm="1">
        <f t="array" ref="C1837">_xlfn.IFS(worksheet[[#This Row],[age]]&lt;25,"1. Young Adulthood (18-24)",worksheet[[#This Row],[age]]&lt; 35,"2. Early Adulthood (25-34)",worksheet[[#This Row],[age]]&lt; 45,"3. Mid Adulthood (35-44)",worksheet[[#This Row],[age]]&lt; 55,"4. Mature Adulthood (45-54)",TRUE,"5. Late Adulthood/Senior (55+)")</f>
        <v>3. Mid Adulthood (35-44)</v>
      </c>
      <c r="D1837" t="s">
        <v>27</v>
      </c>
      <c r="E1837" t="s">
        <v>32</v>
      </c>
      <c r="F1837" s="4">
        <v>7.18</v>
      </c>
      <c r="G1837" s="5">
        <v>14</v>
      </c>
      <c r="H1837" t="s">
        <v>23</v>
      </c>
      <c r="I1837" t="s">
        <v>24</v>
      </c>
      <c r="J1837" s="6">
        <v>17.989999999999998</v>
      </c>
      <c r="K1837">
        <v>0</v>
      </c>
      <c r="L1837" t="s">
        <v>19</v>
      </c>
      <c r="M1837" s="5">
        <v>5</v>
      </c>
      <c r="N1837" s="4">
        <v>0.48</v>
      </c>
      <c r="O1837" t="s">
        <v>39</v>
      </c>
    </row>
    <row r="1838" spans="1:15" x14ac:dyDescent="0.3">
      <c r="A1838" t="s">
        <v>1072</v>
      </c>
      <c r="B1838" s="5">
        <v>41</v>
      </c>
      <c r="C1838" s="5" t="str" cm="1">
        <f t="array" ref="C1838">_xlfn.IFS(worksheet[[#This Row],[age]]&lt;25,"1. Young Adulthood (18-24)",worksheet[[#This Row],[age]]&lt; 35,"2. Early Adulthood (25-34)",worksheet[[#This Row],[age]]&lt; 45,"3. Mid Adulthood (35-44)",worksheet[[#This Row],[age]]&lt; 55,"4. Mature Adulthood (45-54)",TRUE,"5. Late Adulthood/Senior (55+)")</f>
        <v>3. Mid Adulthood (35-44)</v>
      </c>
      <c r="D1838" t="s">
        <v>41</v>
      </c>
      <c r="E1838" t="s">
        <v>16</v>
      </c>
      <c r="F1838" s="4">
        <v>10.68</v>
      </c>
      <c r="G1838" s="5">
        <v>14</v>
      </c>
      <c r="H1838" t="s">
        <v>23</v>
      </c>
      <c r="I1838" t="s">
        <v>46</v>
      </c>
      <c r="J1838" s="6">
        <v>8.99</v>
      </c>
      <c r="K1838">
        <v>0</v>
      </c>
      <c r="L1838" t="s">
        <v>19</v>
      </c>
      <c r="M1838" s="5">
        <v>5</v>
      </c>
      <c r="N1838" s="4">
        <v>0.71</v>
      </c>
      <c r="O1838" t="s">
        <v>30</v>
      </c>
    </row>
    <row r="1839" spans="1:15" x14ac:dyDescent="0.3">
      <c r="A1839" t="s">
        <v>1076</v>
      </c>
      <c r="B1839" s="5">
        <v>42</v>
      </c>
      <c r="C1839" s="5" t="str" cm="1">
        <f t="array" ref="C1839">_xlfn.IFS(worksheet[[#This Row],[age]]&lt;25,"1. Young Adulthood (18-24)",worksheet[[#This Row],[age]]&lt; 35,"2. Early Adulthood (25-34)",worksheet[[#This Row],[age]]&lt; 45,"3. Mid Adulthood (35-44)",worksheet[[#This Row],[age]]&lt; 55,"4. Mature Adulthood (45-54)",TRUE,"5. Late Adulthood/Senior (55+)")</f>
        <v>3. Mid Adulthood (35-44)</v>
      </c>
      <c r="D1839" t="s">
        <v>27</v>
      </c>
      <c r="E1839" t="s">
        <v>22</v>
      </c>
      <c r="F1839" s="4">
        <v>27.93</v>
      </c>
      <c r="G1839" s="5">
        <v>59</v>
      </c>
      <c r="H1839" t="s">
        <v>28</v>
      </c>
      <c r="I1839" t="s">
        <v>18</v>
      </c>
      <c r="J1839" s="6">
        <v>13.99</v>
      </c>
      <c r="K1839">
        <v>0</v>
      </c>
      <c r="L1839" t="s">
        <v>29</v>
      </c>
      <c r="M1839" s="5">
        <v>4</v>
      </c>
      <c r="N1839" s="4">
        <v>0.47</v>
      </c>
      <c r="O1839" t="s">
        <v>34</v>
      </c>
    </row>
    <row r="1840" spans="1:15" x14ac:dyDescent="0.3">
      <c r="A1840" s="1" t="s">
        <v>1083</v>
      </c>
      <c r="B1840" s="5">
        <v>37</v>
      </c>
      <c r="C1840" s="5" t="str" cm="1">
        <f t="array" ref="C1840">_xlfn.IFS(worksheet[[#This Row],[age]]&lt;25,"1. Young Adulthood (18-24)",worksheet[[#This Row],[age]]&lt; 35,"2. Early Adulthood (25-34)",worksheet[[#This Row],[age]]&lt; 45,"3. Mid Adulthood (35-44)",worksheet[[#This Row],[age]]&lt; 55,"4. Mature Adulthood (45-54)",TRUE,"5. Late Adulthood/Senior (55+)")</f>
        <v>3. Mid Adulthood (35-44)</v>
      </c>
      <c r="D1840" t="s">
        <v>27</v>
      </c>
      <c r="E1840" t="s">
        <v>32</v>
      </c>
      <c r="F1840" s="4">
        <v>0.52</v>
      </c>
      <c r="G1840" s="5">
        <v>37</v>
      </c>
      <c r="H1840" t="s">
        <v>70</v>
      </c>
      <c r="I1840" t="s">
        <v>18</v>
      </c>
      <c r="J1840" s="6">
        <v>17.989999999999998</v>
      </c>
      <c r="K1840">
        <v>1</v>
      </c>
      <c r="L1840" t="s">
        <v>43</v>
      </c>
      <c r="M1840" s="5">
        <v>4</v>
      </c>
      <c r="N1840" s="4">
        <v>0.01</v>
      </c>
      <c r="O1840" t="s">
        <v>52</v>
      </c>
    </row>
    <row r="1841" spans="1:15" x14ac:dyDescent="0.3">
      <c r="A1841" t="s">
        <v>1086</v>
      </c>
      <c r="B1841" s="5">
        <v>39</v>
      </c>
      <c r="C1841" s="5" t="str" cm="1">
        <f t="array" ref="C1841">_xlfn.IFS(worksheet[[#This Row],[age]]&lt;25,"1. Young Adulthood (18-24)",worksheet[[#This Row],[age]]&lt; 35,"2. Early Adulthood (25-34)",worksheet[[#This Row],[age]]&lt; 45,"3. Mid Adulthood (35-44)",worksheet[[#This Row],[age]]&lt; 55,"4. Mature Adulthood (45-54)",TRUE,"5. Late Adulthood/Senior (55+)")</f>
        <v>3. Mid Adulthood (35-44)</v>
      </c>
      <c r="D1841" t="s">
        <v>15</v>
      </c>
      <c r="E1841" t="s">
        <v>32</v>
      </c>
      <c r="F1841" s="4">
        <v>3.98</v>
      </c>
      <c r="G1841" s="5">
        <v>39</v>
      </c>
      <c r="H1841" t="s">
        <v>28</v>
      </c>
      <c r="I1841" t="s">
        <v>57</v>
      </c>
      <c r="J1841" s="6">
        <v>17.989999999999998</v>
      </c>
      <c r="K1841">
        <v>1</v>
      </c>
      <c r="L1841" t="s">
        <v>37</v>
      </c>
      <c r="M1841" s="5">
        <v>3</v>
      </c>
      <c r="N1841" s="4">
        <v>0.1</v>
      </c>
      <c r="O1841" t="s">
        <v>30</v>
      </c>
    </row>
    <row r="1842" spans="1:15" x14ac:dyDescent="0.3">
      <c r="A1842" t="s">
        <v>1090</v>
      </c>
      <c r="B1842" s="5">
        <v>36</v>
      </c>
      <c r="C1842" s="5" t="str" cm="1">
        <f t="array" ref="C1842">_xlfn.IFS(worksheet[[#This Row],[age]]&lt;25,"1. Young Adulthood (18-24)",worksheet[[#This Row],[age]]&lt; 35,"2. Early Adulthood (25-34)",worksheet[[#This Row],[age]]&lt; 45,"3. Mid Adulthood (35-44)",worksheet[[#This Row],[age]]&lt; 55,"4. Mature Adulthood (45-54)",TRUE,"5. Late Adulthood/Senior (55+)")</f>
        <v>3. Mid Adulthood (35-44)</v>
      </c>
      <c r="D1842" t="s">
        <v>15</v>
      </c>
      <c r="E1842" t="s">
        <v>16</v>
      </c>
      <c r="F1842" s="4">
        <v>0.95</v>
      </c>
      <c r="G1842" s="5">
        <v>41</v>
      </c>
      <c r="H1842" t="s">
        <v>70</v>
      </c>
      <c r="I1842" t="s">
        <v>55</v>
      </c>
      <c r="J1842" s="6">
        <v>8.99</v>
      </c>
      <c r="K1842">
        <v>1</v>
      </c>
      <c r="L1842" t="s">
        <v>19</v>
      </c>
      <c r="M1842" s="5">
        <v>5</v>
      </c>
      <c r="N1842" s="4">
        <v>0.02</v>
      </c>
      <c r="O1842" t="s">
        <v>52</v>
      </c>
    </row>
    <row r="1843" spans="1:15" x14ac:dyDescent="0.3">
      <c r="A1843" t="s">
        <v>1097</v>
      </c>
      <c r="B1843" s="5">
        <v>41</v>
      </c>
      <c r="C1843" s="5" t="str" cm="1">
        <f t="array" ref="C1843">_xlfn.IFS(worksheet[[#This Row],[age]]&lt;25,"1. Young Adulthood (18-24)",worksheet[[#This Row],[age]]&lt; 35,"2. Early Adulthood (25-34)",worksheet[[#This Row],[age]]&lt; 45,"3. Mid Adulthood (35-44)",worksheet[[#This Row],[age]]&lt; 55,"4. Mature Adulthood (45-54)",TRUE,"5. Late Adulthood/Senior (55+)")</f>
        <v>3. Mid Adulthood (35-44)</v>
      </c>
      <c r="D1843" t="s">
        <v>15</v>
      </c>
      <c r="E1843" t="s">
        <v>16</v>
      </c>
      <c r="F1843" s="4">
        <v>4.1500000000000004</v>
      </c>
      <c r="G1843" s="5">
        <v>39</v>
      </c>
      <c r="H1843" t="s">
        <v>28</v>
      </c>
      <c r="I1843" t="s">
        <v>46</v>
      </c>
      <c r="J1843" s="6">
        <v>8.99</v>
      </c>
      <c r="K1843">
        <v>1</v>
      </c>
      <c r="L1843" t="s">
        <v>43</v>
      </c>
      <c r="M1843" s="5">
        <v>5</v>
      </c>
      <c r="N1843" s="4">
        <v>0.1</v>
      </c>
      <c r="O1843" t="s">
        <v>47</v>
      </c>
    </row>
    <row r="1844" spans="1:15" x14ac:dyDescent="0.3">
      <c r="A1844" t="s">
        <v>1103</v>
      </c>
      <c r="B1844" s="5">
        <v>44</v>
      </c>
      <c r="C1844" s="5" t="str" cm="1">
        <f t="array" ref="C1844">_xlfn.IFS(worksheet[[#This Row],[age]]&lt;25,"1. Young Adulthood (18-24)",worksheet[[#This Row],[age]]&lt; 35,"2. Early Adulthood (25-34)",worksheet[[#This Row],[age]]&lt; 45,"3. Mid Adulthood (35-44)",worksheet[[#This Row],[age]]&lt; 55,"4. Mature Adulthood (45-54)",TRUE,"5. Late Adulthood/Senior (55+)")</f>
        <v>3. Mid Adulthood (35-44)</v>
      </c>
      <c r="D1844" t="s">
        <v>15</v>
      </c>
      <c r="E1844" t="s">
        <v>16</v>
      </c>
      <c r="F1844" s="4">
        <v>16.91</v>
      </c>
      <c r="G1844" s="5">
        <v>23</v>
      </c>
      <c r="H1844" t="s">
        <v>17</v>
      </c>
      <c r="I1844" t="s">
        <v>24</v>
      </c>
      <c r="J1844" s="6">
        <v>8.99</v>
      </c>
      <c r="K1844">
        <v>0</v>
      </c>
      <c r="L1844" t="s">
        <v>29</v>
      </c>
      <c r="M1844" s="5">
        <v>4</v>
      </c>
      <c r="N1844" s="4">
        <v>0.7</v>
      </c>
      <c r="O1844" t="s">
        <v>39</v>
      </c>
    </row>
    <row r="1845" spans="1:15" x14ac:dyDescent="0.3">
      <c r="A1845" t="s">
        <v>1113</v>
      </c>
      <c r="B1845" s="5">
        <v>44</v>
      </c>
      <c r="C1845" s="5" t="str" cm="1">
        <f t="array" ref="C1845">_xlfn.IFS(worksheet[[#This Row],[age]]&lt;25,"1. Young Adulthood (18-24)",worksheet[[#This Row],[age]]&lt; 35,"2. Early Adulthood (25-34)",worksheet[[#This Row],[age]]&lt; 45,"3. Mid Adulthood (35-44)",worksheet[[#This Row],[age]]&lt; 55,"4. Mature Adulthood (45-54)",TRUE,"5. Late Adulthood/Senior (55+)")</f>
        <v>3. Mid Adulthood (35-44)</v>
      </c>
      <c r="D1845" t="s">
        <v>27</v>
      </c>
      <c r="E1845" t="s">
        <v>16</v>
      </c>
      <c r="F1845" s="4">
        <v>3.72</v>
      </c>
      <c r="G1845" s="5">
        <v>37</v>
      </c>
      <c r="H1845" t="s">
        <v>33</v>
      </c>
      <c r="I1845" t="s">
        <v>18</v>
      </c>
      <c r="J1845" s="6">
        <v>8.99</v>
      </c>
      <c r="K1845">
        <v>1</v>
      </c>
      <c r="L1845" t="s">
        <v>37</v>
      </c>
      <c r="M1845" s="5">
        <v>1</v>
      </c>
      <c r="N1845" s="4">
        <v>0.1</v>
      </c>
      <c r="O1845" t="s">
        <v>52</v>
      </c>
    </row>
    <row r="1846" spans="1:15" x14ac:dyDescent="0.3">
      <c r="A1846" t="s">
        <v>1118</v>
      </c>
      <c r="B1846" s="5">
        <v>43</v>
      </c>
      <c r="C1846" s="5" t="str" cm="1">
        <f t="array" ref="C1846">_xlfn.IFS(worksheet[[#This Row],[age]]&lt;25,"1. Young Adulthood (18-24)",worksheet[[#This Row],[age]]&lt; 35,"2. Early Adulthood (25-34)",worksheet[[#This Row],[age]]&lt; 45,"3. Mid Adulthood (35-44)",worksheet[[#This Row],[age]]&lt; 55,"4. Mature Adulthood (45-54)",TRUE,"5. Late Adulthood/Senior (55+)")</f>
        <v>3. Mid Adulthood (35-44)</v>
      </c>
      <c r="D1846" t="s">
        <v>41</v>
      </c>
      <c r="E1846" t="s">
        <v>16</v>
      </c>
      <c r="F1846" s="4">
        <v>50.47</v>
      </c>
      <c r="G1846" s="5">
        <v>37</v>
      </c>
      <c r="H1846" t="s">
        <v>17</v>
      </c>
      <c r="I1846" t="s">
        <v>46</v>
      </c>
      <c r="J1846" s="6">
        <v>8.99</v>
      </c>
      <c r="K1846">
        <v>0</v>
      </c>
      <c r="L1846" t="s">
        <v>37</v>
      </c>
      <c r="M1846" s="5">
        <v>4</v>
      </c>
      <c r="N1846" s="4">
        <v>1.33</v>
      </c>
      <c r="O1846" t="s">
        <v>25</v>
      </c>
    </row>
    <row r="1847" spans="1:15" x14ac:dyDescent="0.3">
      <c r="A1847" t="s">
        <v>1120</v>
      </c>
      <c r="B1847" s="5">
        <v>38</v>
      </c>
      <c r="C1847" s="5" t="str" cm="1">
        <f t="array" ref="C1847">_xlfn.IFS(worksheet[[#This Row],[age]]&lt;25,"1. Young Adulthood (18-24)",worksheet[[#This Row],[age]]&lt; 35,"2. Early Adulthood (25-34)",worksheet[[#This Row],[age]]&lt; 45,"3. Mid Adulthood (35-44)",worksheet[[#This Row],[age]]&lt; 55,"4. Mature Adulthood (45-54)",TRUE,"5. Late Adulthood/Senior (55+)")</f>
        <v>3. Mid Adulthood (35-44)</v>
      </c>
      <c r="D1847" t="s">
        <v>41</v>
      </c>
      <c r="E1847" t="s">
        <v>16</v>
      </c>
      <c r="F1847" s="4">
        <v>5.46</v>
      </c>
      <c r="G1847" s="5">
        <v>5</v>
      </c>
      <c r="H1847" t="s">
        <v>33</v>
      </c>
      <c r="I1847" t="s">
        <v>18</v>
      </c>
      <c r="J1847" s="6">
        <v>8.99</v>
      </c>
      <c r="K1847">
        <v>0</v>
      </c>
      <c r="L1847" t="s">
        <v>19</v>
      </c>
      <c r="M1847" s="5">
        <v>2</v>
      </c>
      <c r="N1847" s="4">
        <v>0.91</v>
      </c>
      <c r="O1847" t="s">
        <v>34</v>
      </c>
    </row>
    <row r="1848" spans="1:15" x14ac:dyDescent="0.3">
      <c r="A1848" t="s">
        <v>1131</v>
      </c>
      <c r="B1848" s="5">
        <v>37</v>
      </c>
      <c r="C1848" s="5" t="str" cm="1">
        <f t="array" ref="C1848">_xlfn.IFS(worksheet[[#This Row],[age]]&lt;25,"1. Young Adulthood (18-24)",worksheet[[#This Row],[age]]&lt; 35,"2. Early Adulthood (25-34)",worksheet[[#This Row],[age]]&lt; 45,"3. Mid Adulthood (35-44)",worksheet[[#This Row],[age]]&lt; 55,"4. Mature Adulthood (45-54)",TRUE,"5. Late Adulthood/Senior (55+)")</f>
        <v>3. Mid Adulthood (35-44)</v>
      </c>
      <c r="D1848" t="s">
        <v>41</v>
      </c>
      <c r="E1848" t="s">
        <v>22</v>
      </c>
      <c r="F1848" s="4">
        <v>2.31</v>
      </c>
      <c r="G1848" s="5">
        <v>28</v>
      </c>
      <c r="H1848" t="s">
        <v>28</v>
      </c>
      <c r="I1848" t="s">
        <v>46</v>
      </c>
      <c r="J1848" s="6">
        <v>13.99</v>
      </c>
      <c r="K1848">
        <v>1</v>
      </c>
      <c r="L1848" t="s">
        <v>43</v>
      </c>
      <c r="M1848" s="5">
        <v>1</v>
      </c>
      <c r="N1848" s="4">
        <v>0.08</v>
      </c>
      <c r="O1848" t="s">
        <v>34</v>
      </c>
    </row>
    <row r="1849" spans="1:15" x14ac:dyDescent="0.3">
      <c r="A1849" t="s">
        <v>1134</v>
      </c>
      <c r="B1849" s="5">
        <v>41</v>
      </c>
      <c r="C1849" s="5" t="str" cm="1">
        <f t="array" ref="C1849">_xlfn.IFS(worksheet[[#This Row],[age]]&lt;25,"1. Young Adulthood (18-24)",worksheet[[#This Row],[age]]&lt; 35,"2. Early Adulthood (25-34)",worksheet[[#This Row],[age]]&lt; 45,"3. Mid Adulthood (35-44)",worksheet[[#This Row],[age]]&lt; 55,"4. Mature Adulthood (45-54)",TRUE,"5. Late Adulthood/Senior (55+)")</f>
        <v>3. Mid Adulthood (35-44)</v>
      </c>
      <c r="D1849" t="s">
        <v>15</v>
      </c>
      <c r="E1849" t="s">
        <v>32</v>
      </c>
      <c r="F1849" s="4">
        <v>2.74</v>
      </c>
      <c r="G1849" s="5">
        <v>19</v>
      </c>
      <c r="H1849" t="s">
        <v>28</v>
      </c>
      <c r="I1849" t="s">
        <v>46</v>
      </c>
      <c r="J1849" s="6">
        <v>17.989999999999998</v>
      </c>
      <c r="K1849">
        <v>1</v>
      </c>
      <c r="L1849" t="s">
        <v>37</v>
      </c>
      <c r="M1849" s="5">
        <v>3</v>
      </c>
      <c r="N1849" s="4">
        <v>0.14000000000000001</v>
      </c>
      <c r="O1849" t="s">
        <v>25</v>
      </c>
    </row>
    <row r="1850" spans="1:15" x14ac:dyDescent="0.3">
      <c r="A1850" t="s">
        <v>1145</v>
      </c>
      <c r="B1850" s="5">
        <v>40</v>
      </c>
      <c r="C1850" s="5" t="str" cm="1">
        <f t="array" ref="C1850">_xlfn.IFS(worksheet[[#This Row],[age]]&lt;25,"1. Young Adulthood (18-24)",worksheet[[#This Row],[age]]&lt; 35,"2. Early Adulthood (25-34)",worksheet[[#This Row],[age]]&lt; 45,"3. Mid Adulthood (35-44)",worksheet[[#This Row],[age]]&lt; 55,"4. Mature Adulthood (45-54)",TRUE,"5. Late Adulthood/Senior (55+)")</f>
        <v>3. Mid Adulthood (35-44)</v>
      </c>
      <c r="D1850" t="s">
        <v>15</v>
      </c>
      <c r="E1850" t="s">
        <v>16</v>
      </c>
      <c r="F1850" s="4">
        <v>0.86</v>
      </c>
      <c r="G1850" s="5">
        <v>5</v>
      </c>
      <c r="H1850" t="s">
        <v>33</v>
      </c>
      <c r="I1850" t="s">
        <v>57</v>
      </c>
      <c r="J1850" s="6">
        <v>8.99</v>
      </c>
      <c r="K1850">
        <v>1</v>
      </c>
      <c r="L1850" t="s">
        <v>37</v>
      </c>
      <c r="M1850" s="5">
        <v>2</v>
      </c>
      <c r="N1850" s="4">
        <v>0.14000000000000001</v>
      </c>
      <c r="O1850" t="s">
        <v>52</v>
      </c>
    </row>
    <row r="1851" spans="1:15" x14ac:dyDescent="0.3">
      <c r="A1851" t="s">
        <v>1146</v>
      </c>
      <c r="B1851" s="5">
        <v>42</v>
      </c>
      <c r="C1851" s="5" t="str" cm="1">
        <f t="array" ref="C1851">_xlfn.IFS(worksheet[[#This Row],[age]]&lt;25,"1. Young Adulthood (18-24)",worksheet[[#This Row],[age]]&lt; 35,"2. Early Adulthood (25-34)",worksheet[[#This Row],[age]]&lt; 45,"3. Mid Adulthood (35-44)",worksheet[[#This Row],[age]]&lt; 55,"4. Mature Adulthood (45-54)",TRUE,"5. Late Adulthood/Senior (55+)")</f>
        <v>3. Mid Adulthood (35-44)</v>
      </c>
      <c r="D1851" t="s">
        <v>41</v>
      </c>
      <c r="E1851" t="s">
        <v>32</v>
      </c>
      <c r="F1851" s="4">
        <v>1.91</v>
      </c>
      <c r="G1851" s="5">
        <v>44</v>
      </c>
      <c r="H1851" t="s">
        <v>23</v>
      </c>
      <c r="I1851" t="s">
        <v>24</v>
      </c>
      <c r="J1851" s="6">
        <v>17.989999999999998</v>
      </c>
      <c r="K1851">
        <v>1</v>
      </c>
      <c r="L1851" t="s">
        <v>29</v>
      </c>
      <c r="M1851" s="5">
        <v>1</v>
      </c>
      <c r="N1851" s="4">
        <v>0.04</v>
      </c>
      <c r="O1851" t="s">
        <v>20</v>
      </c>
    </row>
    <row r="1852" spans="1:15" x14ac:dyDescent="0.3">
      <c r="A1852" t="s">
        <v>1153</v>
      </c>
      <c r="B1852" s="5">
        <v>39</v>
      </c>
      <c r="C1852" s="5" t="str" cm="1">
        <f t="array" ref="C1852">_xlfn.IFS(worksheet[[#This Row],[age]]&lt;25,"1. Young Adulthood (18-24)",worksheet[[#This Row],[age]]&lt; 35,"2. Early Adulthood (25-34)",worksheet[[#This Row],[age]]&lt; 45,"3. Mid Adulthood (35-44)",worksheet[[#This Row],[age]]&lt; 55,"4. Mature Adulthood (45-54)",TRUE,"5. Late Adulthood/Senior (55+)")</f>
        <v>3. Mid Adulthood (35-44)</v>
      </c>
      <c r="D1852" t="s">
        <v>41</v>
      </c>
      <c r="E1852" t="s">
        <v>22</v>
      </c>
      <c r="F1852" s="4">
        <v>31.83</v>
      </c>
      <c r="G1852" s="5">
        <v>2</v>
      </c>
      <c r="H1852" t="s">
        <v>17</v>
      </c>
      <c r="I1852" t="s">
        <v>24</v>
      </c>
      <c r="J1852" s="6">
        <v>13.99</v>
      </c>
      <c r="K1852">
        <v>0</v>
      </c>
      <c r="L1852" t="s">
        <v>29</v>
      </c>
      <c r="M1852" s="5">
        <v>5</v>
      </c>
      <c r="N1852" s="4">
        <v>10.61</v>
      </c>
      <c r="O1852" t="s">
        <v>34</v>
      </c>
    </row>
    <row r="1853" spans="1:15" x14ac:dyDescent="0.3">
      <c r="A1853" t="s">
        <v>1168</v>
      </c>
      <c r="B1853" s="5">
        <v>40</v>
      </c>
      <c r="C1853" s="5" t="str" cm="1">
        <f t="array" ref="C1853">_xlfn.IFS(worksheet[[#This Row],[age]]&lt;25,"1. Young Adulthood (18-24)",worksheet[[#This Row],[age]]&lt; 35,"2. Early Adulthood (25-34)",worksheet[[#This Row],[age]]&lt; 45,"3. Mid Adulthood (35-44)",worksheet[[#This Row],[age]]&lt; 55,"4. Mature Adulthood (45-54)",TRUE,"5. Late Adulthood/Senior (55+)")</f>
        <v>3. Mid Adulthood (35-44)</v>
      </c>
      <c r="D1853" t="s">
        <v>15</v>
      </c>
      <c r="E1853" t="s">
        <v>22</v>
      </c>
      <c r="F1853" s="4">
        <v>9.41</v>
      </c>
      <c r="G1853" s="5">
        <v>46</v>
      </c>
      <c r="H1853" t="s">
        <v>17</v>
      </c>
      <c r="I1853" t="s">
        <v>18</v>
      </c>
      <c r="J1853" s="6">
        <v>13.99</v>
      </c>
      <c r="K1853">
        <v>1</v>
      </c>
      <c r="L1853" t="s">
        <v>29</v>
      </c>
      <c r="M1853" s="5">
        <v>3</v>
      </c>
      <c r="N1853" s="4">
        <v>0.2</v>
      </c>
      <c r="O1853" t="s">
        <v>30</v>
      </c>
    </row>
    <row r="1854" spans="1:15" x14ac:dyDescent="0.3">
      <c r="A1854" t="s">
        <v>1191</v>
      </c>
      <c r="B1854" s="5">
        <v>39</v>
      </c>
      <c r="C1854" s="5" t="str" cm="1">
        <f t="array" ref="C1854">_xlfn.IFS(worksheet[[#This Row],[age]]&lt;25,"1. Young Adulthood (18-24)",worksheet[[#This Row],[age]]&lt; 35,"2. Early Adulthood (25-34)",worksheet[[#This Row],[age]]&lt; 45,"3. Mid Adulthood (35-44)",worksheet[[#This Row],[age]]&lt; 55,"4. Mature Adulthood (45-54)",TRUE,"5. Late Adulthood/Senior (55+)")</f>
        <v>3. Mid Adulthood (35-44)</v>
      </c>
      <c r="D1854" t="s">
        <v>15</v>
      </c>
      <c r="E1854" t="s">
        <v>32</v>
      </c>
      <c r="F1854" s="4">
        <v>2.99</v>
      </c>
      <c r="G1854" s="5">
        <v>46</v>
      </c>
      <c r="H1854" t="s">
        <v>23</v>
      </c>
      <c r="I1854" t="s">
        <v>57</v>
      </c>
      <c r="J1854" s="6">
        <v>17.989999999999998</v>
      </c>
      <c r="K1854">
        <v>1</v>
      </c>
      <c r="L1854" t="s">
        <v>29</v>
      </c>
      <c r="M1854" s="5">
        <v>4</v>
      </c>
      <c r="N1854" s="4">
        <v>0.06</v>
      </c>
      <c r="O1854" t="s">
        <v>39</v>
      </c>
    </row>
    <row r="1855" spans="1:15" x14ac:dyDescent="0.3">
      <c r="A1855" t="s">
        <v>1208</v>
      </c>
      <c r="B1855" s="5">
        <v>36</v>
      </c>
      <c r="C1855" s="5" t="str" cm="1">
        <f t="array" ref="C1855">_xlfn.IFS(worksheet[[#This Row],[age]]&lt;25,"1. Young Adulthood (18-24)",worksheet[[#This Row],[age]]&lt; 35,"2. Early Adulthood (25-34)",worksheet[[#This Row],[age]]&lt; 45,"3. Mid Adulthood (35-44)",worksheet[[#This Row],[age]]&lt; 55,"4. Mature Adulthood (45-54)",TRUE,"5. Late Adulthood/Senior (55+)")</f>
        <v>3. Mid Adulthood (35-44)</v>
      </c>
      <c r="D1855" t="s">
        <v>15</v>
      </c>
      <c r="E1855" t="s">
        <v>16</v>
      </c>
      <c r="F1855" s="4">
        <v>18.510000000000002</v>
      </c>
      <c r="G1855" s="5">
        <v>11</v>
      </c>
      <c r="H1855" t="s">
        <v>49</v>
      </c>
      <c r="I1855" t="s">
        <v>18</v>
      </c>
      <c r="J1855" s="6">
        <v>8.99</v>
      </c>
      <c r="K1855">
        <v>0</v>
      </c>
      <c r="L1855" t="s">
        <v>37</v>
      </c>
      <c r="M1855" s="5">
        <v>3</v>
      </c>
      <c r="N1855" s="4">
        <v>1.54</v>
      </c>
      <c r="O1855" t="s">
        <v>25</v>
      </c>
    </row>
    <row r="1856" spans="1:15" x14ac:dyDescent="0.3">
      <c r="A1856" t="s">
        <v>1214</v>
      </c>
      <c r="B1856" s="5">
        <v>43</v>
      </c>
      <c r="C1856" s="5" t="str" cm="1">
        <f t="array" ref="C1856">_xlfn.IFS(worksheet[[#This Row],[age]]&lt;25,"1. Young Adulthood (18-24)",worksheet[[#This Row],[age]]&lt; 35,"2. Early Adulthood (25-34)",worksheet[[#This Row],[age]]&lt; 45,"3. Mid Adulthood (35-44)",worksheet[[#This Row],[age]]&lt; 55,"4. Mature Adulthood (45-54)",TRUE,"5. Late Adulthood/Senior (55+)")</f>
        <v>3. Mid Adulthood (35-44)</v>
      </c>
      <c r="D1856" t="s">
        <v>41</v>
      </c>
      <c r="E1856" t="s">
        <v>32</v>
      </c>
      <c r="F1856" s="4">
        <v>1.99</v>
      </c>
      <c r="G1856" s="5">
        <v>17</v>
      </c>
      <c r="H1856" t="s">
        <v>17</v>
      </c>
      <c r="I1856" t="s">
        <v>18</v>
      </c>
      <c r="J1856" s="6">
        <v>17.989999999999998</v>
      </c>
      <c r="K1856">
        <v>1</v>
      </c>
      <c r="L1856" t="s">
        <v>29</v>
      </c>
      <c r="M1856" s="5">
        <v>5</v>
      </c>
      <c r="N1856" s="4">
        <v>0.11</v>
      </c>
      <c r="O1856" t="s">
        <v>20</v>
      </c>
    </row>
    <row r="1857" spans="1:15" x14ac:dyDescent="0.3">
      <c r="A1857" t="s">
        <v>1216</v>
      </c>
      <c r="B1857" s="5">
        <v>44</v>
      </c>
      <c r="C1857" s="5" t="str" cm="1">
        <f t="array" ref="C1857">_xlfn.IFS(worksheet[[#This Row],[age]]&lt;25,"1. Young Adulthood (18-24)",worksheet[[#This Row],[age]]&lt; 35,"2. Early Adulthood (25-34)",worksheet[[#This Row],[age]]&lt; 45,"3. Mid Adulthood (35-44)",worksheet[[#This Row],[age]]&lt; 55,"4. Mature Adulthood (45-54)",TRUE,"5. Late Adulthood/Senior (55+)")</f>
        <v>3. Mid Adulthood (35-44)</v>
      </c>
      <c r="D1857" t="s">
        <v>15</v>
      </c>
      <c r="E1857" t="s">
        <v>16</v>
      </c>
      <c r="F1857" s="4">
        <v>1.4</v>
      </c>
      <c r="G1857" s="5">
        <v>58</v>
      </c>
      <c r="H1857" t="s">
        <v>28</v>
      </c>
      <c r="I1857" t="s">
        <v>18</v>
      </c>
      <c r="J1857" s="6">
        <v>8.99</v>
      </c>
      <c r="K1857">
        <v>1</v>
      </c>
      <c r="L1857" t="s">
        <v>37</v>
      </c>
      <c r="M1857" s="5">
        <v>5</v>
      </c>
      <c r="N1857" s="4">
        <v>0.02</v>
      </c>
      <c r="O1857" t="s">
        <v>30</v>
      </c>
    </row>
    <row r="1858" spans="1:15" x14ac:dyDescent="0.3">
      <c r="A1858" t="s">
        <v>1217</v>
      </c>
      <c r="B1858" s="5">
        <v>35</v>
      </c>
      <c r="C1858" s="5" t="str" cm="1">
        <f t="array" ref="C1858">_xlfn.IFS(worksheet[[#This Row],[age]]&lt;25,"1. Young Adulthood (18-24)",worksheet[[#This Row],[age]]&lt; 35,"2. Early Adulthood (25-34)",worksheet[[#This Row],[age]]&lt; 45,"3. Mid Adulthood (35-44)",worksheet[[#This Row],[age]]&lt; 55,"4. Mature Adulthood (45-54)",TRUE,"5. Late Adulthood/Senior (55+)")</f>
        <v>3. Mid Adulthood (35-44)</v>
      </c>
      <c r="D1858" t="s">
        <v>41</v>
      </c>
      <c r="E1858" t="s">
        <v>22</v>
      </c>
      <c r="F1858" s="4">
        <v>4.13</v>
      </c>
      <c r="G1858" s="5">
        <v>32</v>
      </c>
      <c r="H1858" t="s">
        <v>17</v>
      </c>
      <c r="I1858" t="s">
        <v>18</v>
      </c>
      <c r="J1858" s="6">
        <v>13.99</v>
      </c>
      <c r="K1858">
        <v>1</v>
      </c>
      <c r="L1858" t="s">
        <v>61</v>
      </c>
      <c r="M1858" s="5">
        <v>1</v>
      </c>
      <c r="N1858" s="4">
        <v>0.13</v>
      </c>
      <c r="O1858" t="s">
        <v>34</v>
      </c>
    </row>
    <row r="1859" spans="1:15" x14ac:dyDescent="0.3">
      <c r="A1859" t="s">
        <v>1221</v>
      </c>
      <c r="B1859" s="5">
        <v>41</v>
      </c>
      <c r="C1859" s="5" t="str" cm="1">
        <f t="array" ref="C1859">_xlfn.IFS(worksheet[[#This Row],[age]]&lt;25,"1. Young Adulthood (18-24)",worksheet[[#This Row],[age]]&lt; 35,"2. Early Adulthood (25-34)",worksheet[[#This Row],[age]]&lt; 45,"3. Mid Adulthood (35-44)",worksheet[[#This Row],[age]]&lt; 55,"4. Mature Adulthood (45-54)",TRUE,"5. Late Adulthood/Senior (55+)")</f>
        <v>3. Mid Adulthood (35-44)</v>
      </c>
      <c r="D1859" t="s">
        <v>15</v>
      </c>
      <c r="E1859" t="s">
        <v>22</v>
      </c>
      <c r="F1859" s="4">
        <v>22.67</v>
      </c>
      <c r="G1859" s="5">
        <v>51</v>
      </c>
      <c r="H1859" t="s">
        <v>70</v>
      </c>
      <c r="I1859" t="s">
        <v>55</v>
      </c>
      <c r="J1859" s="6">
        <v>13.99</v>
      </c>
      <c r="K1859">
        <v>0</v>
      </c>
      <c r="L1859" t="s">
        <v>43</v>
      </c>
      <c r="M1859" s="5">
        <v>2</v>
      </c>
      <c r="N1859" s="4">
        <v>0.44</v>
      </c>
      <c r="O1859" t="s">
        <v>52</v>
      </c>
    </row>
    <row r="1860" spans="1:15" x14ac:dyDescent="0.3">
      <c r="A1860" t="s">
        <v>1226</v>
      </c>
      <c r="B1860" s="5">
        <v>40</v>
      </c>
      <c r="C1860" s="5" t="str" cm="1">
        <f t="array" ref="C1860">_xlfn.IFS(worksheet[[#This Row],[age]]&lt;25,"1. Young Adulthood (18-24)",worksheet[[#This Row],[age]]&lt; 35,"2. Early Adulthood (25-34)",worksheet[[#This Row],[age]]&lt; 45,"3. Mid Adulthood (35-44)",worksheet[[#This Row],[age]]&lt; 55,"4. Mature Adulthood (45-54)",TRUE,"5. Late Adulthood/Senior (55+)")</f>
        <v>3. Mid Adulthood (35-44)</v>
      </c>
      <c r="D1860" t="s">
        <v>27</v>
      </c>
      <c r="E1860" t="s">
        <v>16</v>
      </c>
      <c r="F1860" s="4">
        <v>1.79</v>
      </c>
      <c r="G1860" s="5">
        <v>14</v>
      </c>
      <c r="H1860" t="s">
        <v>49</v>
      </c>
      <c r="I1860" t="s">
        <v>46</v>
      </c>
      <c r="J1860" s="6">
        <v>8.99</v>
      </c>
      <c r="K1860">
        <v>1</v>
      </c>
      <c r="L1860" t="s">
        <v>43</v>
      </c>
      <c r="M1860" s="5">
        <v>1</v>
      </c>
      <c r="N1860" s="4">
        <v>0.12</v>
      </c>
      <c r="O1860" t="s">
        <v>52</v>
      </c>
    </row>
    <row r="1861" spans="1:15" x14ac:dyDescent="0.3">
      <c r="A1861" t="s">
        <v>1227</v>
      </c>
      <c r="B1861" s="5">
        <v>35</v>
      </c>
      <c r="C1861" s="5" t="str" cm="1">
        <f t="array" ref="C1861">_xlfn.IFS(worksheet[[#This Row],[age]]&lt;25,"1. Young Adulthood (18-24)",worksheet[[#This Row],[age]]&lt; 35,"2. Early Adulthood (25-34)",worksheet[[#This Row],[age]]&lt; 45,"3. Mid Adulthood (35-44)",worksheet[[#This Row],[age]]&lt; 55,"4. Mature Adulthood (45-54)",TRUE,"5. Late Adulthood/Senior (55+)")</f>
        <v>3. Mid Adulthood (35-44)</v>
      </c>
      <c r="D1861" t="s">
        <v>27</v>
      </c>
      <c r="E1861" t="s">
        <v>16</v>
      </c>
      <c r="F1861" s="4">
        <v>5.61</v>
      </c>
      <c r="G1861" s="5">
        <v>18</v>
      </c>
      <c r="H1861" t="s">
        <v>23</v>
      </c>
      <c r="I1861" t="s">
        <v>24</v>
      </c>
      <c r="J1861" s="6">
        <v>8.99</v>
      </c>
      <c r="K1861">
        <v>1</v>
      </c>
      <c r="L1861" t="s">
        <v>29</v>
      </c>
      <c r="M1861" s="5">
        <v>2</v>
      </c>
      <c r="N1861" s="4">
        <v>0.3</v>
      </c>
      <c r="O1861" t="s">
        <v>34</v>
      </c>
    </row>
    <row r="1862" spans="1:15" x14ac:dyDescent="0.3">
      <c r="A1862" t="s">
        <v>1228</v>
      </c>
      <c r="B1862" s="5">
        <v>35</v>
      </c>
      <c r="C1862" s="5" t="str" cm="1">
        <f t="array" ref="C1862">_xlfn.IFS(worksheet[[#This Row],[age]]&lt;25,"1. Young Adulthood (18-24)",worksheet[[#This Row],[age]]&lt; 35,"2. Early Adulthood (25-34)",worksheet[[#This Row],[age]]&lt; 45,"3. Mid Adulthood (35-44)",worksheet[[#This Row],[age]]&lt; 55,"4. Mature Adulthood (45-54)",TRUE,"5. Late Adulthood/Senior (55+)")</f>
        <v>3. Mid Adulthood (35-44)</v>
      </c>
      <c r="D1862" t="s">
        <v>27</v>
      </c>
      <c r="E1862" t="s">
        <v>22</v>
      </c>
      <c r="F1862" s="4">
        <v>3.26</v>
      </c>
      <c r="G1862" s="5">
        <v>39</v>
      </c>
      <c r="H1862" t="s">
        <v>23</v>
      </c>
      <c r="I1862" t="s">
        <v>57</v>
      </c>
      <c r="J1862" s="6">
        <v>13.99</v>
      </c>
      <c r="K1862">
        <v>1</v>
      </c>
      <c r="L1862" t="s">
        <v>37</v>
      </c>
      <c r="M1862" s="5">
        <v>2</v>
      </c>
      <c r="N1862" s="4">
        <v>0.08</v>
      </c>
      <c r="O1862" t="s">
        <v>30</v>
      </c>
    </row>
    <row r="1863" spans="1:15" x14ac:dyDescent="0.3">
      <c r="A1863" t="s">
        <v>1229</v>
      </c>
      <c r="B1863" s="5">
        <v>42</v>
      </c>
      <c r="C1863" s="5" t="str" cm="1">
        <f t="array" ref="C1863">_xlfn.IFS(worksheet[[#This Row],[age]]&lt;25,"1. Young Adulthood (18-24)",worksheet[[#This Row],[age]]&lt; 35,"2. Early Adulthood (25-34)",worksheet[[#This Row],[age]]&lt; 45,"3. Mid Adulthood (35-44)",worksheet[[#This Row],[age]]&lt; 55,"4. Mature Adulthood (45-54)",TRUE,"5. Late Adulthood/Senior (55+)")</f>
        <v>3. Mid Adulthood (35-44)</v>
      </c>
      <c r="D1863" t="s">
        <v>27</v>
      </c>
      <c r="E1863" t="s">
        <v>22</v>
      </c>
      <c r="F1863" s="4">
        <v>3.67</v>
      </c>
      <c r="G1863" s="5">
        <v>13</v>
      </c>
      <c r="H1863" t="s">
        <v>33</v>
      </c>
      <c r="I1863" t="s">
        <v>18</v>
      </c>
      <c r="J1863" s="6">
        <v>13.99</v>
      </c>
      <c r="K1863">
        <v>1</v>
      </c>
      <c r="L1863" t="s">
        <v>37</v>
      </c>
      <c r="M1863" s="5">
        <v>3</v>
      </c>
      <c r="N1863" s="4">
        <v>0.26</v>
      </c>
      <c r="O1863" t="s">
        <v>20</v>
      </c>
    </row>
    <row r="1864" spans="1:15" x14ac:dyDescent="0.3">
      <c r="A1864" t="s">
        <v>1231</v>
      </c>
      <c r="B1864" s="5">
        <v>38</v>
      </c>
      <c r="C1864" s="5" t="str" cm="1">
        <f t="array" ref="C1864">_xlfn.IFS(worksheet[[#This Row],[age]]&lt;25,"1. Young Adulthood (18-24)",worksheet[[#This Row],[age]]&lt; 35,"2. Early Adulthood (25-34)",worksheet[[#This Row],[age]]&lt; 45,"3. Mid Adulthood (35-44)",worksheet[[#This Row],[age]]&lt; 55,"4. Mature Adulthood (45-54)",TRUE,"5. Late Adulthood/Senior (55+)")</f>
        <v>3. Mid Adulthood (35-44)</v>
      </c>
      <c r="D1864" t="s">
        <v>27</v>
      </c>
      <c r="E1864" t="s">
        <v>32</v>
      </c>
      <c r="F1864" s="4">
        <v>15.94</v>
      </c>
      <c r="G1864" s="5">
        <v>54</v>
      </c>
      <c r="H1864" t="s">
        <v>33</v>
      </c>
      <c r="I1864" t="s">
        <v>55</v>
      </c>
      <c r="J1864" s="6">
        <v>17.989999999999998</v>
      </c>
      <c r="K1864">
        <v>1</v>
      </c>
      <c r="L1864" t="s">
        <v>29</v>
      </c>
      <c r="M1864" s="5">
        <v>2</v>
      </c>
      <c r="N1864" s="4">
        <v>0.28999999999999998</v>
      </c>
      <c r="O1864" t="s">
        <v>20</v>
      </c>
    </row>
    <row r="1865" spans="1:15" x14ac:dyDescent="0.3">
      <c r="A1865" t="s">
        <v>1242</v>
      </c>
      <c r="B1865" s="5">
        <v>38</v>
      </c>
      <c r="C1865" s="5" t="str" cm="1">
        <f t="array" ref="C1865">_xlfn.IFS(worksheet[[#This Row],[age]]&lt;25,"1. Young Adulthood (18-24)",worksheet[[#This Row],[age]]&lt; 35,"2. Early Adulthood (25-34)",worksheet[[#This Row],[age]]&lt; 45,"3. Mid Adulthood (35-44)",worksheet[[#This Row],[age]]&lt; 55,"4. Mature Adulthood (45-54)",TRUE,"5. Late Adulthood/Senior (55+)")</f>
        <v>3. Mid Adulthood (35-44)</v>
      </c>
      <c r="D1865" t="s">
        <v>27</v>
      </c>
      <c r="E1865" t="s">
        <v>16</v>
      </c>
      <c r="F1865" s="4">
        <v>6.63</v>
      </c>
      <c r="G1865" s="5">
        <v>24</v>
      </c>
      <c r="H1865" t="s">
        <v>23</v>
      </c>
      <c r="I1865" t="s">
        <v>24</v>
      </c>
      <c r="J1865" s="6">
        <v>8.99</v>
      </c>
      <c r="K1865">
        <v>1</v>
      </c>
      <c r="L1865" t="s">
        <v>29</v>
      </c>
      <c r="M1865" s="5">
        <v>3</v>
      </c>
      <c r="N1865" s="4">
        <v>0.27</v>
      </c>
      <c r="O1865" t="s">
        <v>30</v>
      </c>
    </row>
    <row r="1866" spans="1:15" x14ac:dyDescent="0.3">
      <c r="A1866" t="s">
        <v>1283</v>
      </c>
      <c r="B1866" s="5">
        <v>39</v>
      </c>
      <c r="C1866" s="5" t="str" cm="1">
        <f t="array" ref="C1866">_xlfn.IFS(worksheet[[#This Row],[age]]&lt;25,"1. Young Adulthood (18-24)",worksheet[[#This Row],[age]]&lt; 35,"2. Early Adulthood (25-34)",worksheet[[#This Row],[age]]&lt; 45,"3. Mid Adulthood (35-44)",worksheet[[#This Row],[age]]&lt; 55,"4. Mature Adulthood (45-54)",TRUE,"5. Late Adulthood/Senior (55+)")</f>
        <v>3. Mid Adulthood (35-44)</v>
      </c>
      <c r="D1866" t="s">
        <v>27</v>
      </c>
      <c r="E1866" t="s">
        <v>32</v>
      </c>
      <c r="F1866" s="4">
        <v>12.07</v>
      </c>
      <c r="G1866" s="5">
        <v>15</v>
      </c>
      <c r="H1866" t="s">
        <v>49</v>
      </c>
      <c r="I1866" t="s">
        <v>55</v>
      </c>
      <c r="J1866" s="6">
        <v>17.989999999999998</v>
      </c>
      <c r="K1866">
        <v>0</v>
      </c>
      <c r="L1866" t="s">
        <v>37</v>
      </c>
      <c r="M1866" s="5">
        <v>1</v>
      </c>
      <c r="N1866" s="4">
        <v>0.75</v>
      </c>
      <c r="O1866" t="s">
        <v>52</v>
      </c>
    </row>
    <row r="1867" spans="1:15" x14ac:dyDescent="0.3">
      <c r="A1867" t="s">
        <v>1291</v>
      </c>
      <c r="B1867" s="5">
        <v>37</v>
      </c>
      <c r="C1867" s="5" t="str" cm="1">
        <f t="array" ref="C1867">_xlfn.IFS(worksheet[[#This Row],[age]]&lt;25,"1. Young Adulthood (18-24)",worksheet[[#This Row],[age]]&lt; 35,"2. Early Adulthood (25-34)",worksheet[[#This Row],[age]]&lt; 45,"3. Mid Adulthood (35-44)",worksheet[[#This Row],[age]]&lt; 55,"4. Mature Adulthood (45-54)",TRUE,"5. Late Adulthood/Senior (55+)")</f>
        <v>3. Mid Adulthood (35-44)</v>
      </c>
      <c r="D1867" t="s">
        <v>15</v>
      </c>
      <c r="E1867" t="s">
        <v>32</v>
      </c>
      <c r="F1867" s="4">
        <v>26.5</v>
      </c>
      <c r="G1867" s="5">
        <v>12</v>
      </c>
      <c r="H1867" t="s">
        <v>49</v>
      </c>
      <c r="I1867" t="s">
        <v>57</v>
      </c>
      <c r="J1867" s="6">
        <v>17.989999999999998</v>
      </c>
      <c r="K1867">
        <v>0</v>
      </c>
      <c r="L1867" t="s">
        <v>37</v>
      </c>
      <c r="M1867" s="5">
        <v>5</v>
      </c>
      <c r="N1867" s="4">
        <v>2.04</v>
      </c>
      <c r="O1867" t="s">
        <v>30</v>
      </c>
    </row>
    <row r="1868" spans="1:15" x14ac:dyDescent="0.3">
      <c r="A1868" t="s">
        <v>1295</v>
      </c>
      <c r="B1868" s="5">
        <v>36</v>
      </c>
      <c r="C1868" s="5" t="str" cm="1">
        <f t="array" ref="C1868">_xlfn.IFS(worksheet[[#This Row],[age]]&lt;25,"1. Young Adulthood (18-24)",worksheet[[#This Row],[age]]&lt; 35,"2. Early Adulthood (25-34)",worksheet[[#This Row],[age]]&lt; 45,"3. Mid Adulthood (35-44)",worksheet[[#This Row],[age]]&lt; 55,"4. Mature Adulthood (45-54)",TRUE,"5. Late Adulthood/Senior (55+)")</f>
        <v>3. Mid Adulthood (35-44)</v>
      </c>
      <c r="D1868" t="s">
        <v>15</v>
      </c>
      <c r="E1868" t="s">
        <v>22</v>
      </c>
      <c r="F1868" s="4">
        <v>2.79</v>
      </c>
      <c r="G1868" s="5">
        <v>10</v>
      </c>
      <c r="H1868" t="s">
        <v>23</v>
      </c>
      <c r="I1868" t="s">
        <v>55</v>
      </c>
      <c r="J1868" s="6">
        <v>13.99</v>
      </c>
      <c r="K1868">
        <v>1</v>
      </c>
      <c r="L1868" t="s">
        <v>19</v>
      </c>
      <c r="M1868" s="5">
        <v>1</v>
      </c>
      <c r="N1868" s="4">
        <v>0.25</v>
      </c>
      <c r="O1868" t="s">
        <v>25</v>
      </c>
    </row>
    <row r="1869" spans="1:15" x14ac:dyDescent="0.3">
      <c r="A1869" t="s">
        <v>1298</v>
      </c>
      <c r="B1869" s="5">
        <v>37</v>
      </c>
      <c r="C1869" s="5" t="str" cm="1">
        <f t="array" ref="C1869">_xlfn.IFS(worksheet[[#This Row],[age]]&lt;25,"1. Young Adulthood (18-24)",worksheet[[#This Row],[age]]&lt; 35,"2. Early Adulthood (25-34)",worksheet[[#This Row],[age]]&lt; 45,"3. Mid Adulthood (35-44)",worksheet[[#This Row],[age]]&lt; 55,"4. Mature Adulthood (45-54)",TRUE,"5. Late Adulthood/Senior (55+)")</f>
        <v>3. Mid Adulthood (35-44)</v>
      </c>
      <c r="D1869" t="s">
        <v>41</v>
      </c>
      <c r="E1869" t="s">
        <v>22</v>
      </c>
      <c r="F1869" s="4">
        <v>2.4300000000000002</v>
      </c>
      <c r="G1869" s="5">
        <v>6</v>
      </c>
      <c r="H1869" t="s">
        <v>70</v>
      </c>
      <c r="I1869" t="s">
        <v>57</v>
      </c>
      <c r="J1869" s="6">
        <v>13.99</v>
      </c>
      <c r="K1869">
        <v>0</v>
      </c>
      <c r="L1869" t="s">
        <v>29</v>
      </c>
      <c r="M1869" s="5">
        <v>5</v>
      </c>
      <c r="N1869" s="4">
        <v>0.35</v>
      </c>
      <c r="O1869" t="s">
        <v>39</v>
      </c>
    </row>
    <row r="1870" spans="1:15" x14ac:dyDescent="0.3">
      <c r="A1870" t="s">
        <v>1319</v>
      </c>
      <c r="B1870" s="5">
        <v>40</v>
      </c>
      <c r="C1870" s="5" t="str" cm="1">
        <f t="array" ref="C1870">_xlfn.IFS(worksheet[[#This Row],[age]]&lt;25,"1. Young Adulthood (18-24)",worksheet[[#This Row],[age]]&lt; 35,"2. Early Adulthood (25-34)",worksheet[[#This Row],[age]]&lt; 45,"3. Mid Adulthood (35-44)",worksheet[[#This Row],[age]]&lt; 55,"4. Mature Adulthood (45-54)",TRUE,"5. Late Adulthood/Senior (55+)")</f>
        <v>3. Mid Adulthood (35-44)</v>
      </c>
      <c r="D1870" t="s">
        <v>27</v>
      </c>
      <c r="E1870" t="s">
        <v>32</v>
      </c>
      <c r="F1870" s="4">
        <v>3.91</v>
      </c>
      <c r="G1870" s="5">
        <v>53</v>
      </c>
      <c r="H1870" t="s">
        <v>23</v>
      </c>
      <c r="I1870" t="s">
        <v>24</v>
      </c>
      <c r="J1870" s="6">
        <v>17.989999999999998</v>
      </c>
      <c r="K1870">
        <v>1</v>
      </c>
      <c r="L1870" t="s">
        <v>43</v>
      </c>
      <c r="M1870" s="5">
        <v>4</v>
      </c>
      <c r="N1870" s="4">
        <v>7.0000000000000007E-2</v>
      </c>
      <c r="O1870" t="s">
        <v>20</v>
      </c>
    </row>
    <row r="1871" spans="1:15" x14ac:dyDescent="0.3">
      <c r="A1871" s="1" t="s">
        <v>1333</v>
      </c>
      <c r="B1871" s="5">
        <v>38</v>
      </c>
      <c r="C1871" s="5" t="str" cm="1">
        <f t="array" ref="C1871">_xlfn.IFS(worksheet[[#This Row],[age]]&lt;25,"1. Young Adulthood (18-24)",worksheet[[#This Row],[age]]&lt; 35,"2. Early Adulthood (25-34)",worksheet[[#This Row],[age]]&lt; 45,"3. Mid Adulthood (35-44)",worksheet[[#This Row],[age]]&lt; 55,"4. Mature Adulthood (45-54)",TRUE,"5. Late Adulthood/Senior (55+)")</f>
        <v>3. Mid Adulthood (35-44)</v>
      </c>
      <c r="D1871" t="s">
        <v>15</v>
      </c>
      <c r="E1871" t="s">
        <v>32</v>
      </c>
      <c r="F1871" s="4">
        <v>8.36</v>
      </c>
      <c r="G1871" s="5">
        <v>1</v>
      </c>
      <c r="H1871" t="s">
        <v>49</v>
      </c>
      <c r="I1871" t="s">
        <v>18</v>
      </c>
      <c r="J1871" s="6">
        <v>17.989999999999998</v>
      </c>
      <c r="K1871">
        <v>0</v>
      </c>
      <c r="L1871" t="s">
        <v>19</v>
      </c>
      <c r="M1871" s="5">
        <v>2</v>
      </c>
      <c r="N1871" s="4">
        <v>4.18</v>
      </c>
      <c r="O1871" t="s">
        <v>30</v>
      </c>
    </row>
    <row r="1872" spans="1:15" x14ac:dyDescent="0.3">
      <c r="A1872" t="s">
        <v>1343</v>
      </c>
      <c r="B1872" s="5">
        <v>39</v>
      </c>
      <c r="C1872" s="5" t="str" cm="1">
        <f t="array" ref="C1872">_xlfn.IFS(worksheet[[#This Row],[age]]&lt;25,"1. Young Adulthood (18-24)",worksheet[[#This Row],[age]]&lt; 35,"2. Early Adulthood (25-34)",worksheet[[#This Row],[age]]&lt; 45,"3. Mid Adulthood (35-44)",worksheet[[#This Row],[age]]&lt; 55,"4. Mature Adulthood (45-54)",TRUE,"5. Late Adulthood/Senior (55+)")</f>
        <v>3. Mid Adulthood (35-44)</v>
      </c>
      <c r="D1872" t="s">
        <v>15</v>
      </c>
      <c r="E1872" t="s">
        <v>16</v>
      </c>
      <c r="F1872" s="4">
        <v>1.28</v>
      </c>
      <c r="G1872" s="5">
        <v>39</v>
      </c>
      <c r="H1872" t="s">
        <v>49</v>
      </c>
      <c r="I1872" t="s">
        <v>55</v>
      </c>
      <c r="J1872" s="6">
        <v>8.99</v>
      </c>
      <c r="K1872">
        <v>1</v>
      </c>
      <c r="L1872" t="s">
        <v>61</v>
      </c>
      <c r="M1872" s="5">
        <v>5</v>
      </c>
      <c r="N1872" s="4">
        <v>0.03</v>
      </c>
      <c r="O1872" t="s">
        <v>52</v>
      </c>
    </row>
    <row r="1873" spans="1:15" x14ac:dyDescent="0.3">
      <c r="A1873" t="s">
        <v>1348</v>
      </c>
      <c r="B1873" s="5">
        <v>42</v>
      </c>
      <c r="C1873" s="5" t="str" cm="1">
        <f t="array" ref="C1873">_xlfn.IFS(worksheet[[#This Row],[age]]&lt;25,"1. Young Adulthood (18-24)",worksheet[[#This Row],[age]]&lt; 35,"2. Early Adulthood (25-34)",worksheet[[#This Row],[age]]&lt; 45,"3. Mid Adulthood (35-44)",worksheet[[#This Row],[age]]&lt; 55,"4. Mature Adulthood (45-54)",TRUE,"5. Late Adulthood/Senior (55+)")</f>
        <v>3. Mid Adulthood (35-44)</v>
      </c>
      <c r="D1873" t="s">
        <v>27</v>
      </c>
      <c r="E1873" t="s">
        <v>16</v>
      </c>
      <c r="F1873" s="4">
        <v>23.89</v>
      </c>
      <c r="G1873" s="5">
        <v>18</v>
      </c>
      <c r="H1873" t="s">
        <v>33</v>
      </c>
      <c r="I1873" t="s">
        <v>24</v>
      </c>
      <c r="J1873" s="6">
        <v>8.99</v>
      </c>
      <c r="K1873">
        <v>0</v>
      </c>
      <c r="L1873" t="s">
        <v>29</v>
      </c>
      <c r="M1873" s="5">
        <v>4</v>
      </c>
      <c r="N1873" s="4">
        <v>1.26</v>
      </c>
      <c r="O1873" t="s">
        <v>34</v>
      </c>
    </row>
    <row r="1874" spans="1:15" x14ac:dyDescent="0.3">
      <c r="A1874" t="s">
        <v>1357</v>
      </c>
      <c r="B1874" s="5">
        <v>35</v>
      </c>
      <c r="C1874" s="5" t="str" cm="1">
        <f t="array" ref="C1874">_xlfn.IFS(worksheet[[#This Row],[age]]&lt;25,"1. Young Adulthood (18-24)",worksheet[[#This Row],[age]]&lt; 35,"2. Early Adulthood (25-34)",worksheet[[#This Row],[age]]&lt; 45,"3. Mid Adulthood (35-44)",worksheet[[#This Row],[age]]&lt; 55,"4. Mature Adulthood (45-54)",TRUE,"5. Late Adulthood/Senior (55+)")</f>
        <v>3. Mid Adulthood (35-44)</v>
      </c>
      <c r="D1874" t="s">
        <v>15</v>
      </c>
      <c r="E1874" t="s">
        <v>32</v>
      </c>
      <c r="F1874" s="4">
        <v>3.63</v>
      </c>
      <c r="G1874" s="5">
        <v>57</v>
      </c>
      <c r="H1874" t="s">
        <v>23</v>
      </c>
      <c r="I1874" t="s">
        <v>46</v>
      </c>
      <c r="J1874" s="6">
        <v>17.989999999999998</v>
      </c>
      <c r="K1874">
        <v>1</v>
      </c>
      <c r="L1874" t="s">
        <v>61</v>
      </c>
      <c r="M1874" s="5">
        <v>5</v>
      </c>
      <c r="N1874" s="4">
        <v>0.06</v>
      </c>
      <c r="O1874" t="s">
        <v>25</v>
      </c>
    </row>
    <row r="1875" spans="1:15" x14ac:dyDescent="0.3">
      <c r="A1875" t="s">
        <v>1367</v>
      </c>
      <c r="B1875" s="5">
        <v>38</v>
      </c>
      <c r="C1875" s="5" t="str" cm="1">
        <f t="array" ref="C1875">_xlfn.IFS(worksheet[[#This Row],[age]]&lt;25,"1. Young Adulthood (18-24)",worksheet[[#This Row],[age]]&lt; 35,"2. Early Adulthood (25-34)",worksheet[[#This Row],[age]]&lt; 45,"3. Mid Adulthood (35-44)",worksheet[[#This Row],[age]]&lt; 55,"4. Mature Adulthood (45-54)",TRUE,"5. Late Adulthood/Senior (55+)")</f>
        <v>3. Mid Adulthood (35-44)</v>
      </c>
      <c r="D1875" t="s">
        <v>15</v>
      </c>
      <c r="E1875" t="s">
        <v>22</v>
      </c>
      <c r="F1875" s="4">
        <v>18.329999999999998</v>
      </c>
      <c r="G1875" s="5">
        <v>21</v>
      </c>
      <c r="H1875" t="s">
        <v>17</v>
      </c>
      <c r="I1875" t="s">
        <v>55</v>
      </c>
      <c r="J1875" s="6">
        <v>13.99</v>
      </c>
      <c r="K1875">
        <v>0</v>
      </c>
      <c r="L1875" t="s">
        <v>19</v>
      </c>
      <c r="M1875" s="5">
        <v>5</v>
      </c>
      <c r="N1875" s="4">
        <v>0.83</v>
      </c>
      <c r="O1875" t="s">
        <v>47</v>
      </c>
    </row>
    <row r="1876" spans="1:15" x14ac:dyDescent="0.3">
      <c r="A1876" t="s">
        <v>1369</v>
      </c>
      <c r="B1876" s="5">
        <v>40</v>
      </c>
      <c r="C1876" s="5" t="str" cm="1">
        <f t="array" ref="C1876">_xlfn.IFS(worksheet[[#This Row],[age]]&lt;25,"1. Young Adulthood (18-24)",worksheet[[#This Row],[age]]&lt; 35,"2. Early Adulthood (25-34)",worksheet[[#This Row],[age]]&lt; 45,"3. Mid Adulthood (35-44)",worksheet[[#This Row],[age]]&lt; 55,"4. Mature Adulthood (45-54)",TRUE,"5. Late Adulthood/Senior (55+)")</f>
        <v>3. Mid Adulthood (35-44)</v>
      </c>
      <c r="D1876" t="s">
        <v>41</v>
      </c>
      <c r="E1876" t="s">
        <v>16</v>
      </c>
      <c r="F1876" s="4">
        <v>5.1100000000000003</v>
      </c>
      <c r="G1876" s="5">
        <v>8</v>
      </c>
      <c r="H1876" t="s">
        <v>70</v>
      </c>
      <c r="I1876" t="s">
        <v>55</v>
      </c>
      <c r="J1876" s="6">
        <v>8.99</v>
      </c>
      <c r="K1876">
        <v>0</v>
      </c>
      <c r="L1876" t="s">
        <v>29</v>
      </c>
      <c r="M1876" s="5">
        <v>1</v>
      </c>
      <c r="N1876" s="4">
        <v>0.56999999999999995</v>
      </c>
      <c r="O1876" t="s">
        <v>39</v>
      </c>
    </row>
    <row r="1877" spans="1:15" x14ac:dyDescent="0.3">
      <c r="A1877" t="s">
        <v>1376</v>
      </c>
      <c r="B1877" s="5">
        <v>42</v>
      </c>
      <c r="C1877" s="5" t="str" cm="1">
        <f t="array" ref="C1877">_xlfn.IFS(worksheet[[#This Row],[age]]&lt;25,"1. Young Adulthood (18-24)",worksheet[[#This Row],[age]]&lt; 35,"2. Early Adulthood (25-34)",worksheet[[#This Row],[age]]&lt; 45,"3. Mid Adulthood (35-44)",worksheet[[#This Row],[age]]&lt; 55,"4. Mature Adulthood (45-54)",TRUE,"5. Late Adulthood/Senior (55+)")</f>
        <v>3. Mid Adulthood (35-44)</v>
      </c>
      <c r="D1877" t="s">
        <v>41</v>
      </c>
      <c r="E1877" t="s">
        <v>32</v>
      </c>
      <c r="F1877" s="4">
        <v>16.37</v>
      </c>
      <c r="G1877" s="5">
        <v>45</v>
      </c>
      <c r="H1877" t="s">
        <v>28</v>
      </c>
      <c r="I1877" t="s">
        <v>55</v>
      </c>
      <c r="J1877" s="6">
        <v>17.989999999999998</v>
      </c>
      <c r="K1877">
        <v>0</v>
      </c>
      <c r="L1877" t="s">
        <v>37</v>
      </c>
      <c r="M1877" s="5">
        <v>4</v>
      </c>
      <c r="N1877" s="4">
        <v>0.36</v>
      </c>
      <c r="O1877" t="s">
        <v>47</v>
      </c>
    </row>
    <row r="1878" spans="1:15" x14ac:dyDescent="0.3">
      <c r="A1878" t="s">
        <v>1381</v>
      </c>
      <c r="B1878" s="5">
        <v>44</v>
      </c>
      <c r="C1878" s="5" t="str" cm="1">
        <f t="array" ref="C1878">_xlfn.IFS(worksheet[[#This Row],[age]]&lt;25,"1. Young Adulthood (18-24)",worksheet[[#This Row],[age]]&lt; 35,"2. Early Adulthood (25-34)",worksheet[[#This Row],[age]]&lt; 45,"3. Mid Adulthood (35-44)",worksheet[[#This Row],[age]]&lt; 55,"4. Mature Adulthood (45-54)",TRUE,"5. Late Adulthood/Senior (55+)")</f>
        <v>3. Mid Adulthood (35-44)</v>
      </c>
      <c r="D1878" t="s">
        <v>41</v>
      </c>
      <c r="E1878" t="s">
        <v>22</v>
      </c>
      <c r="F1878" s="4">
        <v>1.05</v>
      </c>
      <c r="G1878" s="5">
        <v>18</v>
      </c>
      <c r="H1878" t="s">
        <v>17</v>
      </c>
      <c r="I1878" t="s">
        <v>57</v>
      </c>
      <c r="J1878" s="6">
        <v>13.99</v>
      </c>
      <c r="K1878">
        <v>1</v>
      </c>
      <c r="L1878" t="s">
        <v>43</v>
      </c>
      <c r="M1878" s="5">
        <v>3</v>
      </c>
      <c r="N1878" s="4">
        <v>0.06</v>
      </c>
      <c r="O1878" t="s">
        <v>30</v>
      </c>
    </row>
    <row r="1879" spans="1:15" x14ac:dyDescent="0.3">
      <c r="A1879" t="s">
        <v>1389</v>
      </c>
      <c r="B1879" s="5">
        <v>40</v>
      </c>
      <c r="C1879" s="5" t="str" cm="1">
        <f t="array" ref="C1879">_xlfn.IFS(worksheet[[#This Row],[age]]&lt;25,"1. Young Adulthood (18-24)",worksheet[[#This Row],[age]]&lt; 35,"2. Early Adulthood (25-34)",worksheet[[#This Row],[age]]&lt; 45,"3. Mid Adulthood (35-44)",worksheet[[#This Row],[age]]&lt; 55,"4. Mature Adulthood (45-54)",TRUE,"5. Late Adulthood/Senior (55+)")</f>
        <v>3. Mid Adulthood (35-44)</v>
      </c>
      <c r="D1879" t="s">
        <v>41</v>
      </c>
      <c r="E1879" t="s">
        <v>16</v>
      </c>
      <c r="F1879" s="4">
        <v>1.18</v>
      </c>
      <c r="G1879" s="5">
        <v>39</v>
      </c>
      <c r="H1879" t="s">
        <v>28</v>
      </c>
      <c r="I1879" t="s">
        <v>57</v>
      </c>
      <c r="J1879" s="6">
        <v>8.99</v>
      </c>
      <c r="K1879">
        <v>1</v>
      </c>
      <c r="L1879" t="s">
        <v>37</v>
      </c>
      <c r="M1879" s="5">
        <v>2</v>
      </c>
      <c r="N1879" s="4">
        <v>0.03</v>
      </c>
      <c r="O1879" t="s">
        <v>25</v>
      </c>
    </row>
    <row r="1880" spans="1:15" x14ac:dyDescent="0.3">
      <c r="A1880" t="s">
        <v>1390</v>
      </c>
      <c r="B1880" s="5">
        <v>35</v>
      </c>
      <c r="C1880" s="5" t="str" cm="1">
        <f t="array" ref="C1880">_xlfn.IFS(worksheet[[#This Row],[age]]&lt;25,"1. Young Adulthood (18-24)",worksheet[[#This Row],[age]]&lt; 35,"2. Early Adulthood (25-34)",worksheet[[#This Row],[age]]&lt; 45,"3. Mid Adulthood (35-44)",worksheet[[#This Row],[age]]&lt; 55,"4. Mature Adulthood (45-54)",TRUE,"5. Late Adulthood/Senior (55+)")</f>
        <v>3. Mid Adulthood (35-44)</v>
      </c>
      <c r="D1880" t="s">
        <v>27</v>
      </c>
      <c r="E1880" t="s">
        <v>16</v>
      </c>
      <c r="F1880" s="4">
        <v>5</v>
      </c>
      <c r="G1880" s="5">
        <v>48</v>
      </c>
      <c r="H1880" t="s">
        <v>17</v>
      </c>
      <c r="I1880" t="s">
        <v>55</v>
      </c>
      <c r="J1880" s="6">
        <v>8.99</v>
      </c>
      <c r="K1880">
        <v>1</v>
      </c>
      <c r="L1880" t="s">
        <v>29</v>
      </c>
      <c r="M1880" s="5">
        <v>1</v>
      </c>
      <c r="N1880" s="4">
        <v>0.1</v>
      </c>
      <c r="O1880" t="s">
        <v>30</v>
      </c>
    </row>
    <row r="1881" spans="1:15" x14ac:dyDescent="0.3">
      <c r="A1881" t="s">
        <v>1395</v>
      </c>
      <c r="B1881" s="5">
        <v>36</v>
      </c>
      <c r="C1881" s="5" t="str" cm="1">
        <f t="array" ref="C1881">_xlfn.IFS(worksheet[[#This Row],[age]]&lt;25,"1. Young Adulthood (18-24)",worksheet[[#This Row],[age]]&lt; 35,"2. Early Adulthood (25-34)",worksheet[[#This Row],[age]]&lt; 45,"3. Mid Adulthood (35-44)",worksheet[[#This Row],[age]]&lt; 55,"4. Mature Adulthood (45-54)",TRUE,"5. Late Adulthood/Senior (55+)")</f>
        <v>3. Mid Adulthood (35-44)</v>
      </c>
      <c r="D1881" t="s">
        <v>27</v>
      </c>
      <c r="E1881" t="s">
        <v>16</v>
      </c>
      <c r="F1881" s="4">
        <v>0.05</v>
      </c>
      <c r="G1881" s="5">
        <v>25</v>
      </c>
      <c r="H1881" t="s">
        <v>23</v>
      </c>
      <c r="I1881" t="s">
        <v>55</v>
      </c>
      <c r="J1881" s="6">
        <v>8.99</v>
      </c>
      <c r="K1881">
        <v>1</v>
      </c>
      <c r="L1881" t="s">
        <v>37</v>
      </c>
      <c r="M1881" s="5">
        <v>4</v>
      </c>
      <c r="N1881" s="4">
        <v>0</v>
      </c>
      <c r="O1881" t="s">
        <v>20</v>
      </c>
    </row>
    <row r="1882" spans="1:15" x14ac:dyDescent="0.3">
      <c r="A1882" t="s">
        <v>1418</v>
      </c>
      <c r="B1882" s="5">
        <v>40</v>
      </c>
      <c r="C1882" s="5" t="str" cm="1">
        <f t="array" ref="C1882">_xlfn.IFS(worksheet[[#This Row],[age]]&lt;25,"1. Young Adulthood (18-24)",worksheet[[#This Row],[age]]&lt; 35,"2. Early Adulthood (25-34)",worksheet[[#This Row],[age]]&lt; 45,"3. Mid Adulthood (35-44)",worksheet[[#This Row],[age]]&lt; 55,"4. Mature Adulthood (45-54)",TRUE,"5. Late Adulthood/Senior (55+)")</f>
        <v>3. Mid Adulthood (35-44)</v>
      </c>
      <c r="D1882" t="s">
        <v>15</v>
      </c>
      <c r="E1882" t="s">
        <v>22</v>
      </c>
      <c r="F1882" s="4">
        <v>19.149999999999999</v>
      </c>
      <c r="G1882" s="5">
        <v>40</v>
      </c>
      <c r="H1882" t="s">
        <v>28</v>
      </c>
      <c r="I1882" t="s">
        <v>46</v>
      </c>
      <c r="J1882" s="6">
        <v>13.99</v>
      </c>
      <c r="K1882">
        <v>1</v>
      </c>
      <c r="L1882" t="s">
        <v>37</v>
      </c>
      <c r="M1882" s="5">
        <v>2</v>
      </c>
      <c r="N1882" s="4">
        <v>0.47</v>
      </c>
      <c r="O1882" t="s">
        <v>34</v>
      </c>
    </row>
    <row r="1883" spans="1:15" x14ac:dyDescent="0.3">
      <c r="A1883" t="s">
        <v>1437</v>
      </c>
      <c r="B1883" s="5">
        <v>37</v>
      </c>
      <c r="C1883" s="5" t="str" cm="1">
        <f t="array" ref="C1883">_xlfn.IFS(worksheet[[#This Row],[age]]&lt;25,"1. Young Adulthood (18-24)",worksheet[[#This Row],[age]]&lt; 35,"2. Early Adulthood (25-34)",worksheet[[#This Row],[age]]&lt; 45,"3. Mid Adulthood (35-44)",worksheet[[#This Row],[age]]&lt; 55,"4. Mature Adulthood (45-54)",TRUE,"5. Late Adulthood/Senior (55+)")</f>
        <v>3. Mid Adulthood (35-44)</v>
      </c>
      <c r="D1883" t="s">
        <v>41</v>
      </c>
      <c r="E1883" t="s">
        <v>16</v>
      </c>
      <c r="F1883" s="4">
        <v>4.9800000000000004</v>
      </c>
      <c r="G1883" s="5">
        <v>30</v>
      </c>
      <c r="H1883" t="s">
        <v>49</v>
      </c>
      <c r="I1883" t="s">
        <v>24</v>
      </c>
      <c r="J1883" s="6">
        <v>8.99</v>
      </c>
      <c r="K1883">
        <v>1</v>
      </c>
      <c r="L1883" t="s">
        <v>19</v>
      </c>
      <c r="M1883" s="5">
        <v>4</v>
      </c>
      <c r="N1883" s="4">
        <v>0.16</v>
      </c>
      <c r="O1883" t="s">
        <v>39</v>
      </c>
    </row>
    <row r="1884" spans="1:15" x14ac:dyDescent="0.3">
      <c r="A1884" t="s">
        <v>1440</v>
      </c>
      <c r="B1884" s="5">
        <v>44</v>
      </c>
      <c r="C1884" s="5" t="str" cm="1">
        <f t="array" ref="C1884">_xlfn.IFS(worksheet[[#This Row],[age]]&lt;25,"1. Young Adulthood (18-24)",worksheet[[#This Row],[age]]&lt; 35,"2. Early Adulthood (25-34)",worksheet[[#This Row],[age]]&lt; 45,"3. Mid Adulthood (35-44)",worksheet[[#This Row],[age]]&lt; 55,"4. Mature Adulthood (45-54)",TRUE,"5. Late Adulthood/Senior (55+)")</f>
        <v>3. Mid Adulthood (35-44)</v>
      </c>
      <c r="D1884" t="s">
        <v>41</v>
      </c>
      <c r="E1884" t="s">
        <v>16</v>
      </c>
      <c r="F1884" s="4">
        <v>4.8899999999999997</v>
      </c>
      <c r="G1884" s="5">
        <v>35</v>
      </c>
      <c r="H1884" t="s">
        <v>33</v>
      </c>
      <c r="I1884" t="s">
        <v>46</v>
      </c>
      <c r="J1884" s="6">
        <v>8.99</v>
      </c>
      <c r="K1884">
        <v>1</v>
      </c>
      <c r="L1884" t="s">
        <v>43</v>
      </c>
      <c r="M1884" s="5">
        <v>3</v>
      </c>
      <c r="N1884" s="4">
        <v>0.14000000000000001</v>
      </c>
      <c r="O1884" t="s">
        <v>30</v>
      </c>
    </row>
    <row r="1885" spans="1:15" x14ac:dyDescent="0.3">
      <c r="A1885" t="s">
        <v>1445</v>
      </c>
      <c r="B1885" s="5">
        <v>36</v>
      </c>
      <c r="C1885" s="5" t="str" cm="1">
        <f t="array" ref="C1885">_xlfn.IFS(worksheet[[#This Row],[age]]&lt;25,"1. Young Adulthood (18-24)",worksheet[[#This Row],[age]]&lt; 35,"2. Early Adulthood (25-34)",worksheet[[#This Row],[age]]&lt; 45,"3. Mid Adulthood (35-44)",worksheet[[#This Row],[age]]&lt; 55,"4. Mature Adulthood (45-54)",TRUE,"5. Late Adulthood/Senior (55+)")</f>
        <v>3. Mid Adulthood (35-44)</v>
      </c>
      <c r="D1885" t="s">
        <v>15</v>
      </c>
      <c r="E1885" t="s">
        <v>32</v>
      </c>
      <c r="F1885" s="4">
        <v>2.85</v>
      </c>
      <c r="G1885" s="5">
        <v>15</v>
      </c>
      <c r="H1885" t="s">
        <v>17</v>
      </c>
      <c r="I1885" t="s">
        <v>57</v>
      </c>
      <c r="J1885" s="6">
        <v>17.989999999999998</v>
      </c>
      <c r="K1885">
        <v>1</v>
      </c>
      <c r="L1885" t="s">
        <v>43</v>
      </c>
      <c r="M1885" s="5">
        <v>3</v>
      </c>
      <c r="N1885" s="4">
        <v>0.18</v>
      </c>
      <c r="O1885" t="s">
        <v>47</v>
      </c>
    </row>
    <row r="1886" spans="1:15" x14ac:dyDescent="0.3">
      <c r="A1886" t="s">
        <v>1449</v>
      </c>
      <c r="B1886" s="5">
        <v>39</v>
      </c>
      <c r="C1886" s="5" t="str" cm="1">
        <f t="array" ref="C1886">_xlfn.IFS(worksheet[[#This Row],[age]]&lt;25,"1. Young Adulthood (18-24)",worksheet[[#This Row],[age]]&lt; 35,"2. Early Adulthood (25-34)",worksheet[[#This Row],[age]]&lt; 45,"3. Mid Adulthood (35-44)",worksheet[[#This Row],[age]]&lt; 55,"4. Mature Adulthood (45-54)",TRUE,"5. Late Adulthood/Senior (55+)")</f>
        <v>3. Mid Adulthood (35-44)</v>
      </c>
      <c r="D1886" t="s">
        <v>15</v>
      </c>
      <c r="E1886" t="s">
        <v>32</v>
      </c>
      <c r="F1886" s="4">
        <v>13.49</v>
      </c>
      <c r="G1886" s="5">
        <v>21</v>
      </c>
      <c r="H1886" t="s">
        <v>49</v>
      </c>
      <c r="I1886" t="s">
        <v>57</v>
      </c>
      <c r="J1886" s="6">
        <v>17.989999999999998</v>
      </c>
      <c r="K1886">
        <v>0</v>
      </c>
      <c r="L1886" t="s">
        <v>61</v>
      </c>
      <c r="M1886" s="5">
        <v>4</v>
      </c>
      <c r="N1886" s="4">
        <v>0.61</v>
      </c>
      <c r="O1886" t="s">
        <v>30</v>
      </c>
    </row>
    <row r="1887" spans="1:15" x14ac:dyDescent="0.3">
      <c r="A1887" t="s">
        <v>1462</v>
      </c>
      <c r="B1887" s="5">
        <v>41</v>
      </c>
      <c r="C1887" s="5" t="str" cm="1">
        <f t="array" ref="C1887">_xlfn.IFS(worksheet[[#This Row],[age]]&lt;25,"1. Young Adulthood (18-24)",worksheet[[#This Row],[age]]&lt; 35,"2. Early Adulthood (25-34)",worksheet[[#This Row],[age]]&lt; 45,"3. Mid Adulthood (35-44)",worksheet[[#This Row],[age]]&lt; 55,"4. Mature Adulthood (45-54)",TRUE,"5. Late Adulthood/Senior (55+)")</f>
        <v>3. Mid Adulthood (35-44)</v>
      </c>
      <c r="D1887" t="s">
        <v>15</v>
      </c>
      <c r="E1887" t="s">
        <v>16</v>
      </c>
      <c r="F1887" s="4">
        <v>20.260000000000002</v>
      </c>
      <c r="G1887" s="5">
        <v>41</v>
      </c>
      <c r="H1887" t="s">
        <v>17</v>
      </c>
      <c r="I1887" t="s">
        <v>46</v>
      </c>
      <c r="J1887" s="6">
        <v>8.99</v>
      </c>
      <c r="K1887">
        <v>1</v>
      </c>
      <c r="L1887" t="s">
        <v>29</v>
      </c>
      <c r="M1887" s="5">
        <v>1</v>
      </c>
      <c r="N1887" s="4">
        <v>0.48</v>
      </c>
      <c r="O1887" t="s">
        <v>52</v>
      </c>
    </row>
    <row r="1888" spans="1:15" x14ac:dyDescent="0.3">
      <c r="A1888" t="s">
        <v>1472</v>
      </c>
      <c r="B1888" s="5">
        <v>41</v>
      </c>
      <c r="C1888" s="5" t="str" cm="1">
        <f t="array" ref="C1888">_xlfn.IFS(worksheet[[#This Row],[age]]&lt;25,"1. Young Adulthood (18-24)",worksheet[[#This Row],[age]]&lt; 35,"2. Early Adulthood (25-34)",worksheet[[#This Row],[age]]&lt; 45,"3. Mid Adulthood (35-44)",worksheet[[#This Row],[age]]&lt; 55,"4. Mature Adulthood (45-54)",TRUE,"5. Late Adulthood/Senior (55+)")</f>
        <v>3. Mid Adulthood (35-44)</v>
      </c>
      <c r="D1888" t="s">
        <v>15</v>
      </c>
      <c r="E1888" t="s">
        <v>22</v>
      </c>
      <c r="F1888" s="4">
        <v>2.95</v>
      </c>
      <c r="G1888" s="5">
        <v>4</v>
      </c>
      <c r="H1888" t="s">
        <v>28</v>
      </c>
      <c r="I1888" t="s">
        <v>46</v>
      </c>
      <c r="J1888" s="6">
        <v>13.99</v>
      </c>
      <c r="K1888">
        <v>0</v>
      </c>
      <c r="L1888" t="s">
        <v>43</v>
      </c>
      <c r="M1888" s="5">
        <v>3</v>
      </c>
      <c r="N1888" s="4">
        <v>0.59</v>
      </c>
      <c r="O1888" t="s">
        <v>25</v>
      </c>
    </row>
    <row r="1889" spans="1:15" x14ac:dyDescent="0.3">
      <c r="A1889" t="s">
        <v>1477</v>
      </c>
      <c r="B1889" s="5">
        <v>38</v>
      </c>
      <c r="C1889" s="5" t="str" cm="1">
        <f t="array" ref="C1889">_xlfn.IFS(worksheet[[#This Row],[age]]&lt;25,"1. Young Adulthood (18-24)",worksheet[[#This Row],[age]]&lt; 35,"2. Early Adulthood (25-34)",worksheet[[#This Row],[age]]&lt; 45,"3. Mid Adulthood (35-44)",worksheet[[#This Row],[age]]&lt; 55,"4. Mature Adulthood (45-54)",TRUE,"5. Late Adulthood/Senior (55+)")</f>
        <v>3. Mid Adulthood (35-44)</v>
      </c>
      <c r="D1889" t="s">
        <v>27</v>
      </c>
      <c r="E1889" t="s">
        <v>22</v>
      </c>
      <c r="F1889" s="4">
        <v>12.85</v>
      </c>
      <c r="G1889" s="5">
        <v>23</v>
      </c>
      <c r="H1889" t="s">
        <v>49</v>
      </c>
      <c r="I1889" t="s">
        <v>18</v>
      </c>
      <c r="J1889" s="6">
        <v>13.99</v>
      </c>
      <c r="K1889">
        <v>0</v>
      </c>
      <c r="L1889" t="s">
        <v>19</v>
      </c>
      <c r="M1889" s="5">
        <v>5</v>
      </c>
      <c r="N1889" s="4">
        <v>0.54</v>
      </c>
      <c r="O1889" t="s">
        <v>20</v>
      </c>
    </row>
    <row r="1890" spans="1:15" x14ac:dyDescent="0.3">
      <c r="A1890" t="s">
        <v>1479</v>
      </c>
      <c r="B1890" s="5">
        <v>41</v>
      </c>
      <c r="C1890" s="5" t="str" cm="1">
        <f t="array" ref="C1890">_xlfn.IFS(worksheet[[#This Row],[age]]&lt;25,"1. Young Adulthood (18-24)",worksheet[[#This Row],[age]]&lt; 35,"2. Early Adulthood (25-34)",worksheet[[#This Row],[age]]&lt; 45,"3. Mid Adulthood (35-44)",worksheet[[#This Row],[age]]&lt; 55,"4. Mature Adulthood (45-54)",TRUE,"5. Late Adulthood/Senior (55+)")</f>
        <v>3. Mid Adulthood (35-44)</v>
      </c>
      <c r="D1890" t="s">
        <v>27</v>
      </c>
      <c r="E1890" t="s">
        <v>22</v>
      </c>
      <c r="F1890" s="4">
        <v>53.7</v>
      </c>
      <c r="G1890" s="5">
        <v>15</v>
      </c>
      <c r="H1890" t="s">
        <v>70</v>
      </c>
      <c r="I1890" t="s">
        <v>55</v>
      </c>
      <c r="J1890" s="6">
        <v>13.99</v>
      </c>
      <c r="K1890">
        <v>0</v>
      </c>
      <c r="L1890" t="s">
        <v>43</v>
      </c>
      <c r="M1890" s="5">
        <v>5</v>
      </c>
      <c r="N1890" s="4">
        <v>3.36</v>
      </c>
      <c r="O1890" t="s">
        <v>25</v>
      </c>
    </row>
    <row r="1891" spans="1:15" x14ac:dyDescent="0.3">
      <c r="A1891" t="s">
        <v>1491</v>
      </c>
      <c r="B1891" s="5">
        <v>36</v>
      </c>
      <c r="C1891" s="5" t="str" cm="1">
        <f t="array" ref="C1891">_xlfn.IFS(worksheet[[#This Row],[age]]&lt;25,"1. Young Adulthood (18-24)",worksheet[[#This Row],[age]]&lt; 35,"2. Early Adulthood (25-34)",worksheet[[#This Row],[age]]&lt; 45,"3. Mid Adulthood (35-44)",worksheet[[#This Row],[age]]&lt; 55,"4. Mature Adulthood (45-54)",TRUE,"5. Late Adulthood/Senior (55+)")</f>
        <v>3. Mid Adulthood (35-44)</v>
      </c>
      <c r="D1891" t="s">
        <v>27</v>
      </c>
      <c r="E1891" t="s">
        <v>32</v>
      </c>
      <c r="F1891" s="4">
        <v>71.41</v>
      </c>
      <c r="G1891" s="5">
        <v>60</v>
      </c>
      <c r="H1891" t="s">
        <v>49</v>
      </c>
      <c r="I1891" t="s">
        <v>55</v>
      </c>
      <c r="J1891" s="6">
        <v>17.989999999999998</v>
      </c>
      <c r="K1891">
        <v>0</v>
      </c>
      <c r="L1891" t="s">
        <v>37</v>
      </c>
      <c r="M1891" s="5">
        <v>1</v>
      </c>
      <c r="N1891" s="4">
        <v>1.17</v>
      </c>
      <c r="O1891" t="s">
        <v>20</v>
      </c>
    </row>
    <row r="1892" spans="1:15" x14ac:dyDescent="0.3">
      <c r="A1892" t="s">
        <v>1492</v>
      </c>
      <c r="B1892" s="5">
        <v>38</v>
      </c>
      <c r="C1892" s="5" t="str" cm="1">
        <f t="array" ref="C1892">_xlfn.IFS(worksheet[[#This Row],[age]]&lt;25,"1. Young Adulthood (18-24)",worksheet[[#This Row],[age]]&lt; 35,"2. Early Adulthood (25-34)",worksheet[[#This Row],[age]]&lt; 45,"3. Mid Adulthood (35-44)",worksheet[[#This Row],[age]]&lt; 55,"4. Mature Adulthood (45-54)",TRUE,"5. Late Adulthood/Senior (55+)")</f>
        <v>3. Mid Adulthood (35-44)</v>
      </c>
      <c r="D1892" t="s">
        <v>15</v>
      </c>
      <c r="E1892" t="s">
        <v>22</v>
      </c>
      <c r="F1892" s="4">
        <v>1.24</v>
      </c>
      <c r="G1892" s="5">
        <v>55</v>
      </c>
      <c r="H1892" t="s">
        <v>23</v>
      </c>
      <c r="I1892" t="s">
        <v>18</v>
      </c>
      <c r="J1892" s="6">
        <v>13.99</v>
      </c>
      <c r="K1892">
        <v>1</v>
      </c>
      <c r="L1892" t="s">
        <v>61</v>
      </c>
      <c r="M1892" s="5">
        <v>5</v>
      </c>
      <c r="N1892" s="4">
        <v>0.02</v>
      </c>
      <c r="O1892" t="s">
        <v>34</v>
      </c>
    </row>
    <row r="1893" spans="1:15" x14ac:dyDescent="0.3">
      <c r="A1893" t="s">
        <v>1493</v>
      </c>
      <c r="B1893" s="5">
        <v>38</v>
      </c>
      <c r="C1893" s="5" t="str" cm="1">
        <f t="array" ref="C1893">_xlfn.IFS(worksheet[[#This Row],[age]]&lt;25,"1. Young Adulthood (18-24)",worksheet[[#This Row],[age]]&lt; 35,"2. Early Adulthood (25-34)",worksheet[[#This Row],[age]]&lt; 45,"3. Mid Adulthood (35-44)",worksheet[[#This Row],[age]]&lt; 55,"4. Mature Adulthood (45-54)",TRUE,"5. Late Adulthood/Senior (55+)")</f>
        <v>3. Mid Adulthood (35-44)</v>
      </c>
      <c r="D1893" t="s">
        <v>41</v>
      </c>
      <c r="E1893" t="s">
        <v>22</v>
      </c>
      <c r="F1893" s="4">
        <v>10.71</v>
      </c>
      <c r="G1893" s="5">
        <v>20</v>
      </c>
      <c r="H1893" t="s">
        <v>28</v>
      </c>
      <c r="I1893" t="s">
        <v>24</v>
      </c>
      <c r="J1893" s="6">
        <v>13.99</v>
      </c>
      <c r="K1893">
        <v>0</v>
      </c>
      <c r="L1893" t="s">
        <v>37</v>
      </c>
      <c r="M1893" s="5">
        <v>3</v>
      </c>
      <c r="N1893" s="4">
        <v>0.51</v>
      </c>
      <c r="O1893" t="s">
        <v>52</v>
      </c>
    </row>
    <row r="1894" spans="1:15" x14ac:dyDescent="0.3">
      <c r="A1894" t="s">
        <v>1497</v>
      </c>
      <c r="B1894" s="5">
        <v>44</v>
      </c>
      <c r="C1894" s="5" t="str" cm="1">
        <f t="array" ref="C1894">_xlfn.IFS(worksheet[[#This Row],[age]]&lt;25,"1. Young Adulthood (18-24)",worksheet[[#This Row],[age]]&lt; 35,"2. Early Adulthood (25-34)",worksheet[[#This Row],[age]]&lt; 45,"3. Mid Adulthood (35-44)",worksheet[[#This Row],[age]]&lt; 55,"4. Mature Adulthood (45-54)",TRUE,"5. Late Adulthood/Senior (55+)")</f>
        <v>3. Mid Adulthood (35-44)</v>
      </c>
      <c r="D1894" t="s">
        <v>15</v>
      </c>
      <c r="E1894" t="s">
        <v>22</v>
      </c>
      <c r="F1894" s="4">
        <v>1.1200000000000001</v>
      </c>
      <c r="G1894" s="5">
        <v>24</v>
      </c>
      <c r="H1894" t="s">
        <v>23</v>
      </c>
      <c r="I1894" t="s">
        <v>18</v>
      </c>
      <c r="J1894" s="6">
        <v>13.99</v>
      </c>
      <c r="K1894">
        <v>1</v>
      </c>
      <c r="L1894" t="s">
        <v>19</v>
      </c>
      <c r="M1894" s="5">
        <v>2</v>
      </c>
      <c r="N1894" s="4">
        <v>0.04</v>
      </c>
      <c r="O1894" t="s">
        <v>52</v>
      </c>
    </row>
    <row r="1895" spans="1:15" x14ac:dyDescent="0.3">
      <c r="A1895" t="s">
        <v>1503</v>
      </c>
      <c r="B1895" s="5">
        <v>40</v>
      </c>
      <c r="C1895" s="5" t="str" cm="1">
        <f t="array" ref="C1895">_xlfn.IFS(worksheet[[#This Row],[age]]&lt;25,"1. Young Adulthood (18-24)",worksheet[[#This Row],[age]]&lt; 35,"2. Early Adulthood (25-34)",worksheet[[#This Row],[age]]&lt; 45,"3. Mid Adulthood (35-44)",worksheet[[#This Row],[age]]&lt; 55,"4. Mature Adulthood (45-54)",TRUE,"5. Late Adulthood/Senior (55+)")</f>
        <v>3. Mid Adulthood (35-44)</v>
      </c>
      <c r="D1895" t="s">
        <v>41</v>
      </c>
      <c r="E1895" t="s">
        <v>32</v>
      </c>
      <c r="F1895" s="4">
        <v>0.88</v>
      </c>
      <c r="G1895" s="5">
        <v>1</v>
      </c>
      <c r="H1895" t="s">
        <v>23</v>
      </c>
      <c r="I1895" t="s">
        <v>24</v>
      </c>
      <c r="J1895" s="6">
        <v>17.989999999999998</v>
      </c>
      <c r="K1895">
        <v>0</v>
      </c>
      <c r="L1895" t="s">
        <v>61</v>
      </c>
      <c r="M1895" s="5">
        <v>2</v>
      </c>
      <c r="N1895" s="4">
        <v>0.44</v>
      </c>
      <c r="O1895" t="s">
        <v>25</v>
      </c>
    </row>
    <row r="1896" spans="1:15" x14ac:dyDescent="0.3">
      <c r="A1896" t="s">
        <v>1504</v>
      </c>
      <c r="B1896" s="5">
        <v>44</v>
      </c>
      <c r="C1896" s="5" t="str" cm="1">
        <f t="array" ref="C1896">_xlfn.IFS(worksheet[[#This Row],[age]]&lt;25,"1. Young Adulthood (18-24)",worksheet[[#This Row],[age]]&lt; 35,"2. Early Adulthood (25-34)",worksheet[[#This Row],[age]]&lt; 45,"3. Mid Adulthood (35-44)",worksheet[[#This Row],[age]]&lt; 55,"4. Mature Adulthood (45-54)",TRUE,"5. Late Adulthood/Senior (55+)")</f>
        <v>3. Mid Adulthood (35-44)</v>
      </c>
      <c r="D1896" t="s">
        <v>41</v>
      </c>
      <c r="E1896" t="s">
        <v>16</v>
      </c>
      <c r="F1896" s="4">
        <v>3.32</v>
      </c>
      <c r="G1896" s="5">
        <v>16</v>
      </c>
      <c r="H1896" t="s">
        <v>49</v>
      </c>
      <c r="I1896" t="s">
        <v>55</v>
      </c>
      <c r="J1896" s="6">
        <v>8.99</v>
      </c>
      <c r="K1896">
        <v>1</v>
      </c>
      <c r="L1896" t="s">
        <v>19</v>
      </c>
      <c r="M1896" s="5">
        <v>4</v>
      </c>
      <c r="N1896" s="4">
        <v>0.2</v>
      </c>
      <c r="O1896" t="s">
        <v>52</v>
      </c>
    </row>
    <row r="1897" spans="1:15" x14ac:dyDescent="0.3">
      <c r="A1897" t="s">
        <v>1514</v>
      </c>
      <c r="B1897" s="5">
        <v>44</v>
      </c>
      <c r="C1897" s="5" t="str" cm="1">
        <f t="array" ref="C1897">_xlfn.IFS(worksheet[[#This Row],[age]]&lt;25,"1. Young Adulthood (18-24)",worksheet[[#This Row],[age]]&lt; 35,"2. Early Adulthood (25-34)",worksheet[[#This Row],[age]]&lt; 45,"3. Mid Adulthood (35-44)",worksheet[[#This Row],[age]]&lt; 55,"4. Mature Adulthood (45-54)",TRUE,"5. Late Adulthood/Senior (55+)")</f>
        <v>3. Mid Adulthood (35-44)</v>
      </c>
      <c r="D1897" t="s">
        <v>41</v>
      </c>
      <c r="E1897" t="s">
        <v>22</v>
      </c>
      <c r="F1897" s="4">
        <v>29.87</v>
      </c>
      <c r="G1897" s="5">
        <v>6</v>
      </c>
      <c r="H1897" t="s">
        <v>17</v>
      </c>
      <c r="I1897" t="s">
        <v>24</v>
      </c>
      <c r="J1897" s="6">
        <v>13.99</v>
      </c>
      <c r="K1897">
        <v>0</v>
      </c>
      <c r="L1897" t="s">
        <v>19</v>
      </c>
      <c r="M1897" s="5">
        <v>3</v>
      </c>
      <c r="N1897" s="4">
        <v>4.2699999999999996</v>
      </c>
      <c r="O1897" t="s">
        <v>30</v>
      </c>
    </row>
    <row r="1898" spans="1:15" x14ac:dyDescent="0.3">
      <c r="A1898" t="s">
        <v>1520</v>
      </c>
      <c r="B1898" s="5">
        <v>35</v>
      </c>
      <c r="C1898" s="5" t="str" cm="1">
        <f t="array" ref="C1898">_xlfn.IFS(worksheet[[#This Row],[age]]&lt;25,"1. Young Adulthood (18-24)",worksheet[[#This Row],[age]]&lt; 35,"2. Early Adulthood (25-34)",worksheet[[#This Row],[age]]&lt; 45,"3. Mid Adulthood (35-44)",worksheet[[#This Row],[age]]&lt; 55,"4. Mature Adulthood (45-54)",TRUE,"5. Late Adulthood/Senior (55+)")</f>
        <v>3. Mid Adulthood (35-44)</v>
      </c>
      <c r="D1898" t="s">
        <v>41</v>
      </c>
      <c r="E1898" t="s">
        <v>22</v>
      </c>
      <c r="F1898" s="4">
        <v>3.65</v>
      </c>
      <c r="G1898" s="5">
        <v>42</v>
      </c>
      <c r="H1898" t="s">
        <v>70</v>
      </c>
      <c r="I1898" t="s">
        <v>57</v>
      </c>
      <c r="J1898" s="6">
        <v>13.99</v>
      </c>
      <c r="K1898">
        <v>1</v>
      </c>
      <c r="L1898" t="s">
        <v>37</v>
      </c>
      <c r="M1898" s="5">
        <v>1</v>
      </c>
      <c r="N1898" s="4">
        <v>0.08</v>
      </c>
      <c r="O1898" t="s">
        <v>30</v>
      </c>
    </row>
    <row r="1899" spans="1:15" x14ac:dyDescent="0.3">
      <c r="A1899" t="s">
        <v>1533</v>
      </c>
      <c r="B1899" s="5">
        <v>40</v>
      </c>
      <c r="C1899" s="5" t="str" cm="1">
        <f t="array" ref="C1899">_xlfn.IFS(worksheet[[#This Row],[age]]&lt;25,"1. Young Adulthood (18-24)",worksheet[[#This Row],[age]]&lt; 35,"2. Early Adulthood (25-34)",worksheet[[#This Row],[age]]&lt; 45,"3. Mid Adulthood (35-44)",worksheet[[#This Row],[age]]&lt; 55,"4. Mature Adulthood (45-54)",TRUE,"5. Late Adulthood/Senior (55+)")</f>
        <v>3. Mid Adulthood (35-44)</v>
      </c>
      <c r="D1899" t="s">
        <v>41</v>
      </c>
      <c r="E1899" t="s">
        <v>22</v>
      </c>
      <c r="F1899" s="4">
        <v>4.09</v>
      </c>
      <c r="G1899" s="5">
        <v>37</v>
      </c>
      <c r="H1899" t="s">
        <v>70</v>
      </c>
      <c r="I1899" t="s">
        <v>24</v>
      </c>
      <c r="J1899" s="6">
        <v>13.99</v>
      </c>
      <c r="K1899">
        <v>1</v>
      </c>
      <c r="L1899" t="s">
        <v>19</v>
      </c>
      <c r="M1899" s="5">
        <v>2</v>
      </c>
      <c r="N1899" s="4">
        <v>0.11</v>
      </c>
      <c r="O1899" t="s">
        <v>25</v>
      </c>
    </row>
    <row r="1900" spans="1:15" x14ac:dyDescent="0.3">
      <c r="A1900" t="s">
        <v>1535</v>
      </c>
      <c r="B1900" s="5">
        <v>36</v>
      </c>
      <c r="C1900" s="5" t="str" cm="1">
        <f t="array" ref="C1900">_xlfn.IFS(worksheet[[#This Row],[age]]&lt;25,"1. Young Adulthood (18-24)",worksheet[[#This Row],[age]]&lt; 35,"2. Early Adulthood (25-34)",worksheet[[#This Row],[age]]&lt; 45,"3. Mid Adulthood (35-44)",worksheet[[#This Row],[age]]&lt; 55,"4. Mature Adulthood (45-54)",TRUE,"5. Late Adulthood/Senior (55+)")</f>
        <v>3. Mid Adulthood (35-44)</v>
      </c>
      <c r="D1900" t="s">
        <v>15</v>
      </c>
      <c r="E1900" t="s">
        <v>32</v>
      </c>
      <c r="F1900" s="4">
        <v>5.79</v>
      </c>
      <c r="G1900" s="5">
        <v>21</v>
      </c>
      <c r="H1900" t="s">
        <v>70</v>
      </c>
      <c r="I1900" t="s">
        <v>46</v>
      </c>
      <c r="J1900" s="6">
        <v>17.989999999999998</v>
      </c>
      <c r="K1900">
        <v>0</v>
      </c>
      <c r="L1900" t="s">
        <v>19</v>
      </c>
      <c r="M1900" s="5">
        <v>3</v>
      </c>
      <c r="N1900" s="4">
        <v>0.26</v>
      </c>
      <c r="O1900" t="s">
        <v>34</v>
      </c>
    </row>
    <row r="1901" spans="1:15" x14ac:dyDescent="0.3">
      <c r="A1901" t="s">
        <v>1536</v>
      </c>
      <c r="B1901" s="5">
        <v>39</v>
      </c>
      <c r="C1901" s="5" t="str" cm="1">
        <f t="array" ref="C1901">_xlfn.IFS(worksheet[[#This Row],[age]]&lt;25,"1. Young Adulthood (18-24)",worksheet[[#This Row],[age]]&lt; 35,"2. Early Adulthood (25-34)",worksheet[[#This Row],[age]]&lt; 45,"3. Mid Adulthood (35-44)",worksheet[[#This Row],[age]]&lt; 55,"4. Mature Adulthood (45-54)",TRUE,"5. Late Adulthood/Senior (55+)")</f>
        <v>3. Mid Adulthood (35-44)</v>
      </c>
      <c r="D1901" t="s">
        <v>41</v>
      </c>
      <c r="E1901" t="s">
        <v>22</v>
      </c>
      <c r="F1901" s="4">
        <v>4.1900000000000004</v>
      </c>
      <c r="G1901" s="5">
        <v>47</v>
      </c>
      <c r="H1901" t="s">
        <v>23</v>
      </c>
      <c r="I1901" t="s">
        <v>46</v>
      </c>
      <c r="J1901" s="6">
        <v>13.99</v>
      </c>
      <c r="K1901">
        <v>1</v>
      </c>
      <c r="L1901" t="s">
        <v>29</v>
      </c>
      <c r="M1901" s="5">
        <v>2</v>
      </c>
      <c r="N1901" s="4">
        <v>0.09</v>
      </c>
      <c r="O1901" t="s">
        <v>34</v>
      </c>
    </row>
    <row r="1902" spans="1:15" x14ac:dyDescent="0.3">
      <c r="A1902" t="s">
        <v>1544</v>
      </c>
      <c r="B1902" s="5">
        <v>39</v>
      </c>
      <c r="C1902" s="5" t="str" cm="1">
        <f t="array" ref="C1902">_xlfn.IFS(worksheet[[#This Row],[age]]&lt;25,"1. Young Adulthood (18-24)",worksheet[[#This Row],[age]]&lt; 35,"2. Early Adulthood (25-34)",worksheet[[#This Row],[age]]&lt; 45,"3. Mid Adulthood (35-44)",worksheet[[#This Row],[age]]&lt; 55,"4. Mature Adulthood (45-54)",TRUE,"5. Late Adulthood/Senior (55+)")</f>
        <v>3. Mid Adulthood (35-44)</v>
      </c>
      <c r="D1902" t="s">
        <v>15</v>
      </c>
      <c r="E1902" t="s">
        <v>16</v>
      </c>
      <c r="F1902" s="4">
        <v>9.9600000000000009</v>
      </c>
      <c r="G1902" s="5">
        <v>22</v>
      </c>
      <c r="H1902" t="s">
        <v>49</v>
      </c>
      <c r="I1902" t="s">
        <v>57</v>
      </c>
      <c r="J1902" s="6">
        <v>8.99</v>
      </c>
      <c r="K1902">
        <v>0</v>
      </c>
      <c r="L1902" t="s">
        <v>19</v>
      </c>
      <c r="M1902" s="5">
        <v>5</v>
      </c>
      <c r="N1902" s="4">
        <v>0.43</v>
      </c>
      <c r="O1902" t="s">
        <v>30</v>
      </c>
    </row>
    <row r="1903" spans="1:15" x14ac:dyDescent="0.3">
      <c r="A1903" t="s">
        <v>1551</v>
      </c>
      <c r="B1903" s="5">
        <v>35</v>
      </c>
      <c r="C1903" s="5" t="str" cm="1">
        <f t="array" ref="C1903">_xlfn.IFS(worksheet[[#This Row],[age]]&lt;25,"1. Young Adulthood (18-24)",worksheet[[#This Row],[age]]&lt; 35,"2. Early Adulthood (25-34)",worksheet[[#This Row],[age]]&lt; 45,"3. Mid Adulthood (35-44)",worksheet[[#This Row],[age]]&lt; 55,"4. Mature Adulthood (45-54)",TRUE,"5. Late Adulthood/Senior (55+)")</f>
        <v>3. Mid Adulthood (35-44)</v>
      </c>
      <c r="D1903" t="s">
        <v>15</v>
      </c>
      <c r="E1903" t="s">
        <v>32</v>
      </c>
      <c r="F1903" s="4">
        <v>2.86</v>
      </c>
      <c r="G1903" s="5">
        <v>16</v>
      </c>
      <c r="H1903" t="s">
        <v>33</v>
      </c>
      <c r="I1903" t="s">
        <v>24</v>
      </c>
      <c r="J1903" s="6">
        <v>17.989999999999998</v>
      </c>
      <c r="K1903">
        <v>1</v>
      </c>
      <c r="L1903" t="s">
        <v>37</v>
      </c>
      <c r="M1903" s="5">
        <v>1</v>
      </c>
      <c r="N1903" s="4">
        <v>0.17</v>
      </c>
      <c r="O1903" t="s">
        <v>47</v>
      </c>
    </row>
    <row r="1904" spans="1:15" x14ac:dyDescent="0.3">
      <c r="A1904" t="s">
        <v>1552</v>
      </c>
      <c r="B1904" s="5">
        <v>35</v>
      </c>
      <c r="C1904" s="5" t="str" cm="1">
        <f t="array" ref="C1904">_xlfn.IFS(worksheet[[#This Row],[age]]&lt;25,"1. Young Adulthood (18-24)",worksheet[[#This Row],[age]]&lt; 35,"2. Early Adulthood (25-34)",worksheet[[#This Row],[age]]&lt; 45,"3. Mid Adulthood (35-44)",worksheet[[#This Row],[age]]&lt; 55,"4. Mature Adulthood (45-54)",TRUE,"5. Late Adulthood/Senior (55+)")</f>
        <v>3. Mid Adulthood (35-44)</v>
      </c>
      <c r="D1904" t="s">
        <v>41</v>
      </c>
      <c r="E1904" t="s">
        <v>22</v>
      </c>
      <c r="F1904" s="4">
        <v>3.52</v>
      </c>
      <c r="G1904" s="5">
        <v>24</v>
      </c>
      <c r="H1904" t="s">
        <v>49</v>
      </c>
      <c r="I1904" t="s">
        <v>24</v>
      </c>
      <c r="J1904" s="6">
        <v>13.99</v>
      </c>
      <c r="K1904">
        <v>1</v>
      </c>
      <c r="L1904" t="s">
        <v>29</v>
      </c>
      <c r="M1904" s="5">
        <v>5</v>
      </c>
      <c r="N1904" s="4">
        <v>0.14000000000000001</v>
      </c>
      <c r="O1904" t="s">
        <v>20</v>
      </c>
    </row>
    <row r="1905" spans="1:15" x14ac:dyDescent="0.3">
      <c r="A1905" t="s">
        <v>1558</v>
      </c>
      <c r="B1905" s="5">
        <v>36</v>
      </c>
      <c r="C1905" s="5" t="str" cm="1">
        <f t="array" ref="C1905">_xlfn.IFS(worksheet[[#This Row],[age]]&lt;25,"1. Young Adulthood (18-24)",worksheet[[#This Row],[age]]&lt; 35,"2. Early Adulthood (25-34)",worksheet[[#This Row],[age]]&lt; 45,"3. Mid Adulthood (35-44)",worksheet[[#This Row],[age]]&lt; 55,"4. Mature Adulthood (45-54)",TRUE,"5. Late Adulthood/Senior (55+)")</f>
        <v>3. Mid Adulthood (35-44)</v>
      </c>
      <c r="D1905" t="s">
        <v>15</v>
      </c>
      <c r="E1905" t="s">
        <v>32</v>
      </c>
      <c r="F1905" s="4">
        <v>12.74</v>
      </c>
      <c r="G1905" s="5">
        <v>58</v>
      </c>
      <c r="H1905" t="s">
        <v>28</v>
      </c>
      <c r="I1905" t="s">
        <v>55</v>
      </c>
      <c r="J1905" s="6">
        <v>17.989999999999998</v>
      </c>
      <c r="K1905">
        <v>1</v>
      </c>
      <c r="L1905" t="s">
        <v>29</v>
      </c>
      <c r="M1905" s="5">
        <v>2</v>
      </c>
      <c r="N1905" s="4">
        <v>0.22</v>
      </c>
      <c r="O1905" t="s">
        <v>30</v>
      </c>
    </row>
    <row r="1906" spans="1:15" x14ac:dyDescent="0.3">
      <c r="A1906" t="s">
        <v>1560</v>
      </c>
      <c r="B1906" s="5">
        <v>35</v>
      </c>
      <c r="C1906" s="5" t="str" cm="1">
        <f t="array" ref="C1906">_xlfn.IFS(worksheet[[#This Row],[age]]&lt;25,"1. Young Adulthood (18-24)",worksheet[[#This Row],[age]]&lt; 35,"2. Early Adulthood (25-34)",worksheet[[#This Row],[age]]&lt; 45,"3. Mid Adulthood (35-44)",worksheet[[#This Row],[age]]&lt; 55,"4. Mature Adulthood (45-54)",TRUE,"5. Late Adulthood/Senior (55+)")</f>
        <v>3. Mid Adulthood (35-44)</v>
      </c>
      <c r="D1906" t="s">
        <v>15</v>
      </c>
      <c r="E1906" t="s">
        <v>32</v>
      </c>
      <c r="F1906" s="4">
        <v>14.56</v>
      </c>
      <c r="G1906" s="5">
        <v>45</v>
      </c>
      <c r="H1906" t="s">
        <v>33</v>
      </c>
      <c r="I1906" t="s">
        <v>18</v>
      </c>
      <c r="J1906" s="6">
        <v>17.989999999999998</v>
      </c>
      <c r="K1906">
        <v>1</v>
      </c>
      <c r="L1906" t="s">
        <v>29</v>
      </c>
      <c r="M1906" s="5">
        <v>3</v>
      </c>
      <c r="N1906" s="4">
        <v>0.32</v>
      </c>
      <c r="O1906" t="s">
        <v>39</v>
      </c>
    </row>
    <row r="1907" spans="1:15" x14ac:dyDescent="0.3">
      <c r="A1907" t="s">
        <v>1563</v>
      </c>
      <c r="B1907" s="5">
        <v>36</v>
      </c>
      <c r="C1907" s="5" t="str" cm="1">
        <f t="array" ref="C1907">_xlfn.IFS(worksheet[[#This Row],[age]]&lt;25,"1. Young Adulthood (18-24)",worksheet[[#This Row],[age]]&lt; 35,"2. Early Adulthood (25-34)",worksheet[[#This Row],[age]]&lt; 45,"3. Mid Adulthood (35-44)",worksheet[[#This Row],[age]]&lt; 55,"4. Mature Adulthood (45-54)",TRUE,"5. Late Adulthood/Senior (55+)")</f>
        <v>3. Mid Adulthood (35-44)</v>
      </c>
      <c r="D1907" t="s">
        <v>41</v>
      </c>
      <c r="E1907" t="s">
        <v>16</v>
      </c>
      <c r="F1907" s="4">
        <v>0.19</v>
      </c>
      <c r="G1907" s="5">
        <v>5</v>
      </c>
      <c r="H1907" t="s">
        <v>33</v>
      </c>
      <c r="I1907" t="s">
        <v>24</v>
      </c>
      <c r="J1907" s="6">
        <v>8.99</v>
      </c>
      <c r="K1907">
        <v>1</v>
      </c>
      <c r="L1907" t="s">
        <v>37</v>
      </c>
      <c r="M1907" s="5">
        <v>2</v>
      </c>
      <c r="N1907" s="4">
        <v>0.03</v>
      </c>
      <c r="O1907" t="s">
        <v>25</v>
      </c>
    </row>
    <row r="1908" spans="1:15" x14ac:dyDescent="0.3">
      <c r="A1908" t="s">
        <v>1566</v>
      </c>
      <c r="B1908" s="5">
        <v>37</v>
      </c>
      <c r="C1908" s="5" t="str" cm="1">
        <f t="array" ref="C1908">_xlfn.IFS(worksheet[[#This Row],[age]]&lt;25,"1. Young Adulthood (18-24)",worksheet[[#This Row],[age]]&lt; 35,"2. Early Adulthood (25-34)",worksheet[[#This Row],[age]]&lt; 45,"3. Mid Adulthood (35-44)",worksheet[[#This Row],[age]]&lt; 55,"4. Mature Adulthood (45-54)",TRUE,"5. Late Adulthood/Senior (55+)")</f>
        <v>3. Mid Adulthood (35-44)</v>
      </c>
      <c r="D1908" t="s">
        <v>41</v>
      </c>
      <c r="E1908" t="s">
        <v>22</v>
      </c>
      <c r="F1908" s="4">
        <v>20.47</v>
      </c>
      <c r="G1908" s="5">
        <v>41</v>
      </c>
      <c r="H1908" t="s">
        <v>49</v>
      </c>
      <c r="I1908" t="s">
        <v>46</v>
      </c>
      <c r="J1908" s="6">
        <v>13.99</v>
      </c>
      <c r="K1908">
        <v>0</v>
      </c>
      <c r="L1908" t="s">
        <v>43</v>
      </c>
      <c r="M1908" s="5">
        <v>3</v>
      </c>
      <c r="N1908" s="4">
        <v>0.49</v>
      </c>
      <c r="O1908" t="s">
        <v>52</v>
      </c>
    </row>
    <row r="1909" spans="1:15" x14ac:dyDescent="0.3">
      <c r="A1909" t="s">
        <v>1569</v>
      </c>
      <c r="B1909" s="5">
        <v>44</v>
      </c>
      <c r="C1909" s="5" t="str" cm="1">
        <f t="array" ref="C1909">_xlfn.IFS(worksheet[[#This Row],[age]]&lt;25,"1. Young Adulthood (18-24)",worksheet[[#This Row],[age]]&lt; 35,"2. Early Adulthood (25-34)",worksheet[[#This Row],[age]]&lt; 45,"3. Mid Adulthood (35-44)",worksheet[[#This Row],[age]]&lt; 55,"4. Mature Adulthood (45-54)",TRUE,"5. Late Adulthood/Senior (55+)")</f>
        <v>3. Mid Adulthood (35-44)</v>
      </c>
      <c r="D1909" t="s">
        <v>41</v>
      </c>
      <c r="E1909" t="s">
        <v>16</v>
      </c>
      <c r="F1909" s="4">
        <v>1.45</v>
      </c>
      <c r="G1909" s="5">
        <v>18</v>
      </c>
      <c r="H1909" t="s">
        <v>49</v>
      </c>
      <c r="I1909" t="s">
        <v>18</v>
      </c>
      <c r="J1909" s="6">
        <v>8.99</v>
      </c>
      <c r="K1909">
        <v>1</v>
      </c>
      <c r="L1909" t="s">
        <v>61</v>
      </c>
      <c r="M1909" s="5">
        <v>4</v>
      </c>
      <c r="N1909" s="4">
        <v>0.08</v>
      </c>
      <c r="O1909" t="s">
        <v>34</v>
      </c>
    </row>
    <row r="1910" spans="1:15" x14ac:dyDescent="0.3">
      <c r="A1910" t="s">
        <v>1571</v>
      </c>
      <c r="B1910" s="5">
        <v>40</v>
      </c>
      <c r="C1910" s="5" t="str" cm="1">
        <f t="array" ref="C1910">_xlfn.IFS(worksheet[[#This Row],[age]]&lt;25,"1. Young Adulthood (18-24)",worksheet[[#This Row],[age]]&lt; 35,"2. Early Adulthood (25-34)",worksheet[[#This Row],[age]]&lt; 45,"3. Mid Adulthood (35-44)",worksheet[[#This Row],[age]]&lt; 55,"4. Mature Adulthood (45-54)",TRUE,"5. Late Adulthood/Senior (55+)")</f>
        <v>3. Mid Adulthood (35-44)</v>
      </c>
      <c r="D1910" t="s">
        <v>15</v>
      </c>
      <c r="E1910" t="s">
        <v>16</v>
      </c>
      <c r="F1910" s="4">
        <v>14.88</v>
      </c>
      <c r="G1910" s="5">
        <v>12</v>
      </c>
      <c r="H1910" t="s">
        <v>33</v>
      </c>
      <c r="I1910" t="s">
        <v>57</v>
      </c>
      <c r="J1910" s="6">
        <v>8.99</v>
      </c>
      <c r="K1910">
        <v>0</v>
      </c>
      <c r="L1910" t="s">
        <v>37</v>
      </c>
      <c r="M1910" s="5">
        <v>3</v>
      </c>
      <c r="N1910" s="4">
        <v>1.1399999999999999</v>
      </c>
      <c r="O1910" t="s">
        <v>25</v>
      </c>
    </row>
    <row r="1911" spans="1:15" x14ac:dyDescent="0.3">
      <c r="A1911" t="s">
        <v>1572</v>
      </c>
      <c r="B1911" s="5">
        <v>35</v>
      </c>
      <c r="C1911" s="5" t="str" cm="1">
        <f t="array" ref="C1911">_xlfn.IFS(worksheet[[#This Row],[age]]&lt;25,"1. Young Adulthood (18-24)",worksheet[[#This Row],[age]]&lt; 35,"2. Early Adulthood (25-34)",worksheet[[#This Row],[age]]&lt; 45,"3. Mid Adulthood (35-44)",worksheet[[#This Row],[age]]&lt; 55,"4. Mature Adulthood (45-54)",TRUE,"5. Late Adulthood/Senior (55+)")</f>
        <v>3. Mid Adulthood (35-44)</v>
      </c>
      <c r="D1911" t="s">
        <v>15</v>
      </c>
      <c r="E1911" t="s">
        <v>22</v>
      </c>
      <c r="F1911" s="4">
        <v>11.54</v>
      </c>
      <c r="G1911" s="5">
        <v>41</v>
      </c>
      <c r="H1911" t="s">
        <v>23</v>
      </c>
      <c r="I1911" t="s">
        <v>18</v>
      </c>
      <c r="J1911" s="6">
        <v>13.99</v>
      </c>
      <c r="K1911">
        <v>0</v>
      </c>
      <c r="L1911" t="s">
        <v>43</v>
      </c>
      <c r="M1911" s="5">
        <v>4</v>
      </c>
      <c r="N1911" s="4">
        <v>0.27</v>
      </c>
      <c r="O1911" t="s">
        <v>47</v>
      </c>
    </row>
    <row r="1912" spans="1:15" x14ac:dyDescent="0.3">
      <c r="A1912" t="s">
        <v>1574</v>
      </c>
      <c r="B1912" s="5">
        <v>36</v>
      </c>
      <c r="C1912" s="5" t="str" cm="1">
        <f t="array" ref="C1912">_xlfn.IFS(worksheet[[#This Row],[age]]&lt;25,"1. Young Adulthood (18-24)",worksheet[[#This Row],[age]]&lt; 35,"2. Early Adulthood (25-34)",worksheet[[#This Row],[age]]&lt; 45,"3. Mid Adulthood (35-44)",worksheet[[#This Row],[age]]&lt; 55,"4. Mature Adulthood (45-54)",TRUE,"5. Late Adulthood/Senior (55+)")</f>
        <v>3. Mid Adulthood (35-44)</v>
      </c>
      <c r="D1912" t="s">
        <v>27</v>
      </c>
      <c r="E1912" t="s">
        <v>32</v>
      </c>
      <c r="F1912" s="4">
        <v>3.85</v>
      </c>
      <c r="G1912" s="5">
        <v>46</v>
      </c>
      <c r="H1912" t="s">
        <v>70</v>
      </c>
      <c r="I1912" t="s">
        <v>57</v>
      </c>
      <c r="J1912" s="6">
        <v>17.989999999999998</v>
      </c>
      <c r="K1912">
        <v>1</v>
      </c>
      <c r="L1912" t="s">
        <v>43</v>
      </c>
      <c r="M1912" s="5">
        <v>2</v>
      </c>
      <c r="N1912" s="4">
        <v>0.08</v>
      </c>
      <c r="O1912" t="s">
        <v>34</v>
      </c>
    </row>
    <row r="1913" spans="1:15" x14ac:dyDescent="0.3">
      <c r="A1913" t="s">
        <v>1575</v>
      </c>
      <c r="B1913" s="5">
        <v>35</v>
      </c>
      <c r="C1913" s="5" t="str" cm="1">
        <f t="array" ref="C1913">_xlfn.IFS(worksheet[[#This Row],[age]]&lt;25,"1. Young Adulthood (18-24)",worksheet[[#This Row],[age]]&lt; 35,"2. Early Adulthood (25-34)",worksheet[[#This Row],[age]]&lt; 45,"3. Mid Adulthood (35-44)",worksheet[[#This Row],[age]]&lt; 55,"4. Mature Adulthood (45-54)",TRUE,"5. Late Adulthood/Senior (55+)")</f>
        <v>3. Mid Adulthood (35-44)</v>
      </c>
      <c r="D1913" t="s">
        <v>27</v>
      </c>
      <c r="E1913" t="s">
        <v>32</v>
      </c>
      <c r="F1913" s="4">
        <v>22.18</v>
      </c>
      <c r="G1913" s="5">
        <v>18</v>
      </c>
      <c r="H1913" t="s">
        <v>17</v>
      </c>
      <c r="I1913" t="s">
        <v>24</v>
      </c>
      <c r="J1913" s="6">
        <v>17.989999999999998</v>
      </c>
      <c r="K1913">
        <v>0</v>
      </c>
      <c r="L1913" t="s">
        <v>37</v>
      </c>
      <c r="M1913" s="5">
        <v>1</v>
      </c>
      <c r="N1913" s="4">
        <v>1.17</v>
      </c>
      <c r="O1913" t="s">
        <v>47</v>
      </c>
    </row>
    <row r="1914" spans="1:15" x14ac:dyDescent="0.3">
      <c r="A1914" t="s">
        <v>1606</v>
      </c>
      <c r="B1914" s="5">
        <v>44</v>
      </c>
      <c r="C1914" s="5" t="str" cm="1">
        <f t="array" ref="C1914">_xlfn.IFS(worksheet[[#This Row],[age]]&lt;25,"1. Young Adulthood (18-24)",worksheet[[#This Row],[age]]&lt; 35,"2. Early Adulthood (25-34)",worksheet[[#This Row],[age]]&lt; 45,"3. Mid Adulthood (35-44)",worksheet[[#This Row],[age]]&lt; 55,"4. Mature Adulthood (45-54)",TRUE,"5. Late Adulthood/Senior (55+)")</f>
        <v>3. Mid Adulthood (35-44)</v>
      </c>
      <c r="D1914" t="s">
        <v>15</v>
      </c>
      <c r="E1914" t="s">
        <v>22</v>
      </c>
      <c r="F1914" s="4">
        <v>14.26</v>
      </c>
      <c r="G1914" s="5">
        <v>20</v>
      </c>
      <c r="H1914" t="s">
        <v>70</v>
      </c>
      <c r="I1914" t="s">
        <v>46</v>
      </c>
      <c r="J1914" s="6">
        <v>13.99</v>
      </c>
      <c r="K1914">
        <v>0</v>
      </c>
      <c r="L1914" t="s">
        <v>43</v>
      </c>
      <c r="M1914" s="5">
        <v>1</v>
      </c>
      <c r="N1914" s="4">
        <v>0.68</v>
      </c>
      <c r="O1914" t="s">
        <v>25</v>
      </c>
    </row>
    <row r="1915" spans="1:15" x14ac:dyDescent="0.3">
      <c r="A1915" t="s">
        <v>1609</v>
      </c>
      <c r="B1915" s="5">
        <v>36</v>
      </c>
      <c r="C1915" s="5" t="str" cm="1">
        <f t="array" ref="C1915">_xlfn.IFS(worksheet[[#This Row],[age]]&lt;25,"1. Young Adulthood (18-24)",worksheet[[#This Row],[age]]&lt; 35,"2. Early Adulthood (25-34)",worksheet[[#This Row],[age]]&lt; 45,"3. Mid Adulthood (35-44)",worksheet[[#This Row],[age]]&lt; 55,"4. Mature Adulthood (45-54)",TRUE,"5. Late Adulthood/Senior (55+)")</f>
        <v>3. Mid Adulthood (35-44)</v>
      </c>
      <c r="D1915" t="s">
        <v>15</v>
      </c>
      <c r="E1915" t="s">
        <v>22</v>
      </c>
      <c r="F1915" s="4">
        <v>15.58</v>
      </c>
      <c r="G1915" s="5">
        <v>43</v>
      </c>
      <c r="H1915" t="s">
        <v>70</v>
      </c>
      <c r="I1915" t="s">
        <v>24</v>
      </c>
      <c r="J1915" s="6">
        <v>13.99</v>
      </c>
      <c r="K1915">
        <v>0</v>
      </c>
      <c r="L1915" t="s">
        <v>61</v>
      </c>
      <c r="M1915" s="5">
        <v>4</v>
      </c>
      <c r="N1915" s="4">
        <v>0.35</v>
      </c>
      <c r="O1915" t="s">
        <v>47</v>
      </c>
    </row>
    <row r="1916" spans="1:15" x14ac:dyDescent="0.3">
      <c r="A1916" t="s">
        <v>1611</v>
      </c>
      <c r="B1916" s="5">
        <v>35</v>
      </c>
      <c r="C1916" s="5" t="str" cm="1">
        <f t="array" ref="C1916">_xlfn.IFS(worksheet[[#This Row],[age]]&lt;25,"1. Young Adulthood (18-24)",worksheet[[#This Row],[age]]&lt; 35,"2. Early Adulthood (25-34)",worksheet[[#This Row],[age]]&lt; 45,"3. Mid Adulthood (35-44)",worksheet[[#This Row],[age]]&lt; 55,"4. Mature Adulthood (45-54)",TRUE,"5. Late Adulthood/Senior (55+)")</f>
        <v>3. Mid Adulthood (35-44)</v>
      </c>
      <c r="D1916" t="s">
        <v>15</v>
      </c>
      <c r="E1916" t="s">
        <v>32</v>
      </c>
      <c r="F1916" s="4">
        <v>14.46</v>
      </c>
      <c r="G1916" s="5">
        <v>44</v>
      </c>
      <c r="H1916" t="s">
        <v>70</v>
      </c>
      <c r="I1916" t="s">
        <v>57</v>
      </c>
      <c r="J1916" s="6">
        <v>17.989999999999998</v>
      </c>
      <c r="K1916">
        <v>1</v>
      </c>
      <c r="L1916" t="s">
        <v>37</v>
      </c>
      <c r="M1916" s="5">
        <v>1</v>
      </c>
      <c r="N1916" s="4">
        <v>0.32</v>
      </c>
      <c r="O1916" t="s">
        <v>20</v>
      </c>
    </row>
    <row r="1917" spans="1:15" x14ac:dyDescent="0.3">
      <c r="A1917" t="s">
        <v>1614</v>
      </c>
      <c r="B1917" s="5">
        <v>40</v>
      </c>
      <c r="C1917" s="5" t="str" cm="1">
        <f t="array" ref="C1917">_xlfn.IFS(worksheet[[#This Row],[age]]&lt;25,"1. Young Adulthood (18-24)",worksheet[[#This Row],[age]]&lt; 35,"2. Early Adulthood (25-34)",worksheet[[#This Row],[age]]&lt; 45,"3. Mid Adulthood (35-44)",worksheet[[#This Row],[age]]&lt; 55,"4. Mature Adulthood (45-54)",TRUE,"5. Late Adulthood/Senior (55+)")</f>
        <v>3. Mid Adulthood (35-44)</v>
      </c>
      <c r="D1917" t="s">
        <v>27</v>
      </c>
      <c r="E1917" t="s">
        <v>22</v>
      </c>
      <c r="F1917" s="4">
        <v>4.26</v>
      </c>
      <c r="G1917" s="5">
        <v>49</v>
      </c>
      <c r="H1917" t="s">
        <v>23</v>
      </c>
      <c r="I1917" t="s">
        <v>18</v>
      </c>
      <c r="J1917" s="6">
        <v>13.99</v>
      </c>
      <c r="K1917">
        <v>1</v>
      </c>
      <c r="L1917" t="s">
        <v>37</v>
      </c>
      <c r="M1917" s="5">
        <v>4</v>
      </c>
      <c r="N1917" s="4">
        <v>0.09</v>
      </c>
      <c r="O1917" t="s">
        <v>52</v>
      </c>
    </row>
    <row r="1918" spans="1:15" x14ac:dyDescent="0.3">
      <c r="A1918" t="s">
        <v>1615</v>
      </c>
      <c r="B1918" s="5">
        <v>36</v>
      </c>
      <c r="C1918" s="5" t="str" cm="1">
        <f t="array" ref="C1918">_xlfn.IFS(worksheet[[#This Row],[age]]&lt;25,"1. Young Adulthood (18-24)",worksheet[[#This Row],[age]]&lt; 35,"2. Early Adulthood (25-34)",worksheet[[#This Row],[age]]&lt; 45,"3. Mid Adulthood (35-44)",worksheet[[#This Row],[age]]&lt; 55,"4. Mature Adulthood (45-54)",TRUE,"5. Late Adulthood/Senior (55+)")</f>
        <v>3. Mid Adulthood (35-44)</v>
      </c>
      <c r="D1918" t="s">
        <v>15</v>
      </c>
      <c r="E1918" t="s">
        <v>16</v>
      </c>
      <c r="F1918" s="4">
        <v>22.43</v>
      </c>
      <c r="G1918" s="5">
        <v>2</v>
      </c>
      <c r="H1918" t="s">
        <v>49</v>
      </c>
      <c r="I1918" t="s">
        <v>57</v>
      </c>
      <c r="J1918" s="6">
        <v>8.99</v>
      </c>
      <c r="K1918">
        <v>0</v>
      </c>
      <c r="L1918" t="s">
        <v>29</v>
      </c>
      <c r="M1918" s="5">
        <v>4</v>
      </c>
      <c r="N1918" s="4">
        <v>7.48</v>
      </c>
      <c r="O1918" t="s">
        <v>39</v>
      </c>
    </row>
    <row r="1919" spans="1:15" x14ac:dyDescent="0.3">
      <c r="A1919" t="s">
        <v>1625</v>
      </c>
      <c r="B1919" s="5">
        <v>37</v>
      </c>
      <c r="C1919" s="5" t="str" cm="1">
        <f t="array" ref="C1919">_xlfn.IFS(worksheet[[#This Row],[age]]&lt;25,"1. Young Adulthood (18-24)",worksheet[[#This Row],[age]]&lt; 35,"2. Early Adulthood (25-34)",worksheet[[#This Row],[age]]&lt; 45,"3. Mid Adulthood (35-44)",worksheet[[#This Row],[age]]&lt; 55,"4. Mature Adulthood (45-54)",TRUE,"5. Late Adulthood/Senior (55+)")</f>
        <v>3. Mid Adulthood (35-44)</v>
      </c>
      <c r="D1919" t="s">
        <v>41</v>
      </c>
      <c r="E1919" t="s">
        <v>22</v>
      </c>
      <c r="F1919" s="4">
        <v>0.02</v>
      </c>
      <c r="G1919" s="5">
        <v>10</v>
      </c>
      <c r="H1919" t="s">
        <v>23</v>
      </c>
      <c r="I1919" t="s">
        <v>18</v>
      </c>
      <c r="J1919" s="6">
        <v>13.99</v>
      </c>
      <c r="K1919">
        <v>0</v>
      </c>
      <c r="L1919" t="s">
        <v>43</v>
      </c>
      <c r="M1919" s="5">
        <v>5</v>
      </c>
      <c r="N1919" s="4">
        <v>0</v>
      </c>
      <c r="O1919" t="s">
        <v>25</v>
      </c>
    </row>
    <row r="1920" spans="1:15" x14ac:dyDescent="0.3">
      <c r="A1920" t="s">
        <v>1627</v>
      </c>
      <c r="B1920" s="5">
        <v>36</v>
      </c>
      <c r="C1920" s="5" t="str" cm="1">
        <f t="array" ref="C1920">_xlfn.IFS(worksheet[[#This Row],[age]]&lt;25,"1. Young Adulthood (18-24)",worksheet[[#This Row],[age]]&lt; 35,"2. Early Adulthood (25-34)",worksheet[[#This Row],[age]]&lt; 45,"3. Mid Adulthood (35-44)",worksheet[[#This Row],[age]]&lt; 55,"4. Mature Adulthood (45-54)",TRUE,"5. Late Adulthood/Senior (55+)")</f>
        <v>3. Mid Adulthood (35-44)</v>
      </c>
      <c r="D1920" t="s">
        <v>41</v>
      </c>
      <c r="E1920" t="s">
        <v>32</v>
      </c>
      <c r="F1920" s="4">
        <v>3.24</v>
      </c>
      <c r="G1920" s="5">
        <v>53</v>
      </c>
      <c r="H1920" t="s">
        <v>49</v>
      </c>
      <c r="I1920" t="s">
        <v>55</v>
      </c>
      <c r="J1920" s="6">
        <v>17.989999999999998</v>
      </c>
      <c r="K1920">
        <v>1</v>
      </c>
      <c r="L1920" t="s">
        <v>43</v>
      </c>
      <c r="M1920" s="5">
        <v>1</v>
      </c>
      <c r="N1920" s="4">
        <v>0.06</v>
      </c>
      <c r="O1920" t="s">
        <v>30</v>
      </c>
    </row>
    <row r="1921" spans="1:15" x14ac:dyDescent="0.3">
      <c r="A1921" t="s">
        <v>1628</v>
      </c>
      <c r="B1921" s="5">
        <v>43</v>
      </c>
      <c r="C1921" s="5" t="str" cm="1">
        <f t="array" ref="C1921">_xlfn.IFS(worksheet[[#This Row],[age]]&lt;25,"1. Young Adulthood (18-24)",worksheet[[#This Row],[age]]&lt; 35,"2. Early Adulthood (25-34)",worksheet[[#This Row],[age]]&lt; 45,"3. Mid Adulthood (35-44)",worksheet[[#This Row],[age]]&lt; 55,"4. Mature Adulthood (45-54)",TRUE,"5. Late Adulthood/Senior (55+)")</f>
        <v>3. Mid Adulthood (35-44)</v>
      </c>
      <c r="D1921" t="s">
        <v>41</v>
      </c>
      <c r="E1921" t="s">
        <v>32</v>
      </c>
      <c r="F1921" s="4">
        <v>11.97</v>
      </c>
      <c r="G1921" s="5">
        <v>57</v>
      </c>
      <c r="H1921" t="s">
        <v>28</v>
      </c>
      <c r="I1921" t="s">
        <v>57</v>
      </c>
      <c r="J1921" s="6">
        <v>17.989999999999998</v>
      </c>
      <c r="K1921">
        <v>1</v>
      </c>
      <c r="L1921" t="s">
        <v>37</v>
      </c>
      <c r="M1921" s="5">
        <v>2</v>
      </c>
      <c r="N1921" s="4">
        <v>0.21</v>
      </c>
      <c r="O1921" t="s">
        <v>30</v>
      </c>
    </row>
    <row r="1922" spans="1:15" x14ac:dyDescent="0.3">
      <c r="A1922" t="s">
        <v>1633</v>
      </c>
      <c r="B1922" s="5">
        <v>42</v>
      </c>
      <c r="C1922" s="5" t="str" cm="1">
        <f t="array" ref="C1922">_xlfn.IFS(worksheet[[#This Row],[age]]&lt;25,"1. Young Adulthood (18-24)",worksheet[[#This Row],[age]]&lt; 35,"2. Early Adulthood (25-34)",worksheet[[#This Row],[age]]&lt; 45,"3. Mid Adulthood (35-44)",worksheet[[#This Row],[age]]&lt; 55,"4. Mature Adulthood (45-54)",TRUE,"5. Late Adulthood/Senior (55+)")</f>
        <v>3. Mid Adulthood (35-44)</v>
      </c>
      <c r="D1922" t="s">
        <v>27</v>
      </c>
      <c r="E1922" t="s">
        <v>16</v>
      </c>
      <c r="F1922" s="4">
        <v>1.52</v>
      </c>
      <c r="G1922" s="5">
        <v>48</v>
      </c>
      <c r="H1922" t="s">
        <v>17</v>
      </c>
      <c r="I1922" t="s">
        <v>57</v>
      </c>
      <c r="J1922" s="6">
        <v>8.99</v>
      </c>
      <c r="K1922">
        <v>1</v>
      </c>
      <c r="L1922" t="s">
        <v>37</v>
      </c>
      <c r="M1922" s="5">
        <v>5</v>
      </c>
      <c r="N1922" s="4">
        <v>0.03</v>
      </c>
      <c r="O1922" t="s">
        <v>39</v>
      </c>
    </row>
    <row r="1923" spans="1:15" x14ac:dyDescent="0.3">
      <c r="A1923" t="s">
        <v>1637</v>
      </c>
      <c r="B1923" s="5">
        <v>40</v>
      </c>
      <c r="C1923" s="5" t="str" cm="1">
        <f t="array" ref="C1923">_xlfn.IFS(worksheet[[#This Row],[age]]&lt;25,"1. Young Adulthood (18-24)",worksheet[[#This Row],[age]]&lt; 35,"2. Early Adulthood (25-34)",worksheet[[#This Row],[age]]&lt; 45,"3. Mid Adulthood (35-44)",worksheet[[#This Row],[age]]&lt; 55,"4. Mature Adulthood (45-54)",TRUE,"5. Late Adulthood/Senior (55+)")</f>
        <v>3. Mid Adulthood (35-44)</v>
      </c>
      <c r="D1923" t="s">
        <v>41</v>
      </c>
      <c r="E1923" t="s">
        <v>32</v>
      </c>
      <c r="F1923" s="4">
        <v>4.68</v>
      </c>
      <c r="G1923" s="5">
        <v>5</v>
      </c>
      <c r="H1923" t="s">
        <v>23</v>
      </c>
      <c r="I1923" t="s">
        <v>57</v>
      </c>
      <c r="J1923" s="6">
        <v>17.989999999999998</v>
      </c>
      <c r="K1923">
        <v>0</v>
      </c>
      <c r="L1923" t="s">
        <v>37</v>
      </c>
      <c r="M1923" s="5">
        <v>4</v>
      </c>
      <c r="N1923" s="4">
        <v>0.78</v>
      </c>
      <c r="O1923" t="s">
        <v>34</v>
      </c>
    </row>
    <row r="1924" spans="1:15" x14ac:dyDescent="0.3">
      <c r="A1924" t="s">
        <v>1655</v>
      </c>
      <c r="B1924" s="5">
        <v>36</v>
      </c>
      <c r="C1924" s="5" t="str" cm="1">
        <f t="array" ref="C1924">_xlfn.IFS(worksheet[[#This Row],[age]]&lt;25,"1. Young Adulthood (18-24)",worksheet[[#This Row],[age]]&lt; 35,"2. Early Adulthood (25-34)",worksheet[[#This Row],[age]]&lt; 45,"3. Mid Adulthood (35-44)",worksheet[[#This Row],[age]]&lt; 55,"4. Mature Adulthood (45-54)",TRUE,"5. Late Adulthood/Senior (55+)")</f>
        <v>3. Mid Adulthood (35-44)</v>
      </c>
      <c r="D1924" t="s">
        <v>41</v>
      </c>
      <c r="E1924" t="s">
        <v>22</v>
      </c>
      <c r="F1924" s="4">
        <v>15.05</v>
      </c>
      <c r="G1924" s="5">
        <v>37</v>
      </c>
      <c r="H1924" t="s">
        <v>17</v>
      </c>
      <c r="I1924" t="s">
        <v>55</v>
      </c>
      <c r="J1924" s="6">
        <v>13.99</v>
      </c>
      <c r="K1924">
        <v>1</v>
      </c>
      <c r="L1924" t="s">
        <v>29</v>
      </c>
      <c r="M1924" s="5">
        <v>2</v>
      </c>
      <c r="N1924" s="4">
        <v>0.4</v>
      </c>
      <c r="O1924" t="s">
        <v>39</v>
      </c>
    </row>
    <row r="1925" spans="1:15" x14ac:dyDescent="0.3">
      <c r="A1925" t="s">
        <v>1661</v>
      </c>
      <c r="B1925" s="5">
        <v>35</v>
      </c>
      <c r="C1925" s="5" t="str" cm="1">
        <f t="array" ref="C1925">_xlfn.IFS(worksheet[[#This Row],[age]]&lt;25,"1. Young Adulthood (18-24)",worksheet[[#This Row],[age]]&lt; 35,"2. Early Adulthood (25-34)",worksheet[[#This Row],[age]]&lt; 45,"3. Mid Adulthood (35-44)",worksheet[[#This Row],[age]]&lt; 55,"4. Mature Adulthood (45-54)",TRUE,"5. Late Adulthood/Senior (55+)")</f>
        <v>3. Mid Adulthood (35-44)</v>
      </c>
      <c r="D1925" t="s">
        <v>41</v>
      </c>
      <c r="E1925" t="s">
        <v>32</v>
      </c>
      <c r="F1925" s="4">
        <v>16.78</v>
      </c>
      <c r="G1925" s="5">
        <v>15</v>
      </c>
      <c r="H1925" t="s">
        <v>33</v>
      </c>
      <c r="I1925" t="s">
        <v>46</v>
      </c>
      <c r="J1925" s="6">
        <v>17.989999999999998</v>
      </c>
      <c r="K1925">
        <v>0</v>
      </c>
      <c r="L1925" t="s">
        <v>43</v>
      </c>
      <c r="M1925" s="5">
        <v>2</v>
      </c>
      <c r="N1925" s="4">
        <v>1.05</v>
      </c>
      <c r="O1925" t="s">
        <v>52</v>
      </c>
    </row>
    <row r="1926" spans="1:15" x14ac:dyDescent="0.3">
      <c r="A1926" t="s">
        <v>1662</v>
      </c>
      <c r="B1926" s="5">
        <v>37</v>
      </c>
      <c r="C1926" s="5" t="str" cm="1">
        <f t="array" ref="C1926">_xlfn.IFS(worksheet[[#This Row],[age]]&lt;25,"1. Young Adulthood (18-24)",worksheet[[#This Row],[age]]&lt; 35,"2. Early Adulthood (25-34)",worksheet[[#This Row],[age]]&lt; 45,"3. Mid Adulthood (35-44)",worksheet[[#This Row],[age]]&lt; 55,"4. Mature Adulthood (45-54)",TRUE,"5. Late Adulthood/Senior (55+)")</f>
        <v>3. Mid Adulthood (35-44)</v>
      </c>
      <c r="D1926" t="s">
        <v>15</v>
      </c>
      <c r="E1926" t="s">
        <v>16</v>
      </c>
      <c r="F1926" s="4">
        <v>24.82</v>
      </c>
      <c r="G1926" s="5">
        <v>46</v>
      </c>
      <c r="H1926" t="s">
        <v>70</v>
      </c>
      <c r="I1926" t="s">
        <v>18</v>
      </c>
      <c r="J1926" s="6">
        <v>8.99</v>
      </c>
      <c r="K1926">
        <v>0</v>
      </c>
      <c r="L1926" t="s">
        <v>29</v>
      </c>
      <c r="M1926" s="5">
        <v>2</v>
      </c>
      <c r="N1926" s="4">
        <v>0.53</v>
      </c>
      <c r="O1926" t="s">
        <v>39</v>
      </c>
    </row>
    <row r="1927" spans="1:15" x14ac:dyDescent="0.3">
      <c r="A1927" t="s">
        <v>1669</v>
      </c>
      <c r="B1927" s="5">
        <v>37</v>
      </c>
      <c r="C1927" s="5" t="str" cm="1">
        <f t="array" ref="C1927">_xlfn.IFS(worksheet[[#This Row],[age]]&lt;25,"1. Young Adulthood (18-24)",worksheet[[#This Row],[age]]&lt; 35,"2. Early Adulthood (25-34)",worksheet[[#This Row],[age]]&lt; 45,"3. Mid Adulthood (35-44)",worksheet[[#This Row],[age]]&lt; 55,"4. Mature Adulthood (45-54)",TRUE,"5. Late Adulthood/Senior (55+)")</f>
        <v>3. Mid Adulthood (35-44)</v>
      </c>
      <c r="D1927" t="s">
        <v>27</v>
      </c>
      <c r="E1927" t="s">
        <v>32</v>
      </c>
      <c r="F1927" s="4">
        <v>0.83</v>
      </c>
      <c r="G1927" s="5">
        <v>45</v>
      </c>
      <c r="H1927" t="s">
        <v>23</v>
      </c>
      <c r="I1927" t="s">
        <v>18</v>
      </c>
      <c r="J1927" s="6">
        <v>17.989999999999998</v>
      </c>
      <c r="K1927">
        <v>1</v>
      </c>
      <c r="L1927" t="s">
        <v>37</v>
      </c>
      <c r="M1927" s="5">
        <v>4</v>
      </c>
      <c r="N1927" s="4">
        <v>0.02</v>
      </c>
      <c r="O1927" t="s">
        <v>52</v>
      </c>
    </row>
    <row r="1928" spans="1:15" x14ac:dyDescent="0.3">
      <c r="A1928" t="s">
        <v>1672</v>
      </c>
      <c r="B1928" s="5">
        <v>38</v>
      </c>
      <c r="C1928" s="5" t="str" cm="1">
        <f t="array" ref="C1928">_xlfn.IFS(worksheet[[#This Row],[age]]&lt;25,"1. Young Adulthood (18-24)",worksheet[[#This Row],[age]]&lt; 35,"2. Early Adulthood (25-34)",worksheet[[#This Row],[age]]&lt; 45,"3. Mid Adulthood (35-44)",worksheet[[#This Row],[age]]&lt; 55,"4. Mature Adulthood (45-54)",TRUE,"5. Late Adulthood/Senior (55+)")</f>
        <v>3. Mid Adulthood (35-44)</v>
      </c>
      <c r="D1928" t="s">
        <v>15</v>
      </c>
      <c r="E1928" t="s">
        <v>16</v>
      </c>
      <c r="F1928" s="4">
        <v>8.81</v>
      </c>
      <c r="G1928" s="5">
        <v>17</v>
      </c>
      <c r="H1928" t="s">
        <v>17</v>
      </c>
      <c r="I1928" t="s">
        <v>24</v>
      </c>
      <c r="J1928" s="6">
        <v>8.99</v>
      </c>
      <c r="K1928">
        <v>0</v>
      </c>
      <c r="L1928" t="s">
        <v>37</v>
      </c>
      <c r="M1928" s="5">
        <v>4</v>
      </c>
      <c r="N1928" s="4">
        <v>0.49</v>
      </c>
      <c r="O1928" t="s">
        <v>39</v>
      </c>
    </row>
    <row r="1929" spans="1:15" x14ac:dyDescent="0.3">
      <c r="A1929" t="s">
        <v>1675</v>
      </c>
      <c r="B1929" s="5">
        <v>38</v>
      </c>
      <c r="C1929" s="5" t="str" cm="1">
        <f t="array" ref="C1929">_xlfn.IFS(worksheet[[#This Row],[age]]&lt;25,"1. Young Adulthood (18-24)",worksheet[[#This Row],[age]]&lt; 35,"2. Early Adulthood (25-34)",worksheet[[#This Row],[age]]&lt; 45,"3. Mid Adulthood (35-44)",worksheet[[#This Row],[age]]&lt; 55,"4. Mature Adulthood (45-54)",TRUE,"5. Late Adulthood/Senior (55+)")</f>
        <v>3. Mid Adulthood (35-44)</v>
      </c>
      <c r="D1929" t="s">
        <v>27</v>
      </c>
      <c r="E1929" t="s">
        <v>22</v>
      </c>
      <c r="F1929" s="4">
        <v>4.0599999999999996</v>
      </c>
      <c r="G1929" s="5">
        <v>26</v>
      </c>
      <c r="H1929" t="s">
        <v>49</v>
      </c>
      <c r="I1929" t="s">
        <v>55</v>
      </c>
      <c r="J1929" s="6">
        <v>13.99</v>
      </c>
      <c r="K1929">
        <v>1</v>
      </c>
      <c r="L1929" t="s">
        <v>29</v>
      </c>
      <c r="M1929" s="5">
        <v>5</v>
      </c>
      <c r="N1929" s="4">
        <v>0.15</v>
      </c>
      <c r="O1929" t="s">
        <v>47</v>
      </c>
    </row>
    <row r="1930" spans="1:15" x14ac:dyDescent="0.3">
      <c r="A1930" t="s">
        <v>1677</v>
      </c>
      <c r="B1930" s="5">
        <v>37</v>
      </c>
      <c r="C1930" s="5" t="str" cm="1">
        <f t="array" ref="C1930">_xlfn.IFS(worksheet[[#This Row],[age]]&lt;25,"1. Young Adulthood (18-24)",worksheet[[#This Row],[age]]&lt; 35,"2. Early Adulthood (25-34)",worksheet[[#This Row],[age]]&lt; 45,"3. Mid Adulthood (35-44)",worksheet[[#This Row],[age]]&lt; 55,"4. Mature Adulthood (45-54)",TRUE,"5. Late Adulthood/Senior (55+)")</f>
        <v>3. Mid Adulthood (35-44)</v>
      </c>
      <c r="D1930" t="s">
        <v>41</v>
      </c>
      <c r="E1930" t="s">
        <v>32</v>
      </c>
      <c r="F1930" s="4">
        <v>8.02</v>
      </c>
      <c r="G1930" s="5">
        <v>53</v>
      </c>
      <c r="H1930" t="s">
        <v>70</v>
      </c>
      <c r="I1930" t="s">
        <v>57</v>
      </c>
      <c r="J1930" s="6">
        <v>17.989999999999998</v>
      </c>
      <c r="K1930">
        <v>1</v>
      </c>
      <c r="L1930" t="s">
        <v>19</v>
      </c>
      <c r="M1930" s="5">
        <v>4</v>
      </c>
      <c r="N1930" s="4">
        <v>0.15</v>
      </c>
      <c r="O1930" t="s">
        <v>47</v>
      </c>
    </row>
    <row r="1931" spans="1:15" x14ac:dyDescent="0.3">
      <c r="A1931" t="s">
        <v>1683</v>
      </c>
      <c r="B1931" s="5">
        <v>44</v>
      </c>
      <c r="C1931" s="5" t="str" cm="1">
        <f t="array" ref="C1931">_xlfn.IFS(worksheet[[#This Row],[age]]&lt;25,"1. Young Adulthood (18-24)",worksheet[[#This Row],[age]]&lt; 35,"2. Early Adulthood (25-34)",worksheet[[#This Row],[age]]&lt; 45,"3. Mid Adulthood (35-44)",worksheet[[#This Row],[age]]&lt; 55,"4. Mature Adulthood (45-54)",TRUE,"5. Late Adulthood/Senior (55+)")</f>
        <v>3. Mid Adulthood (35-44)</v>
      </c>
      <c r="D1931" t="s">
        <v>41</v>
      </c>
      <c r="E1931" t="s">
        <v>32</v>
      </c>
      <c r="F1931" s="4">
        <v>13.56</v>
      </c>
      <c r="G1931" s="5">
        <v>14</v>
      </c>
      <c r="H1931" t="s">
        <v>28</v>
      </c>
      <c r="I1931" t="s">
        <v>55</v>
      </c>
      <c r="J1931" s="6">
        <v>17.989999999999998</v>
      </c>
      <c r="K1931">
        <v>0</v>
      </c>
      <c r="L1931" t="s">
        <v>37</v>
      </c>
      <c r="M1931" s="5">
        <v>1</v>
      </c>
      <c r="N1931" s="4">
        <v>0.9</v>
      </c>
      <c r="O1931" t="s">
        <v>52</v>
      </c>
    </row>
    <row r="1932" spans="1:15" x14ac:dyDescent="0.3">
      <c r="A1932" t="s">
        <v>1686</v>
      </c>
      <c r="B1932" s="5">
        <v>40</v>
      </c>
      <c r="C1932" s="5" t="str" cm="1">
        <f t="array" ref="C1932">_xlfn.IFS(worksheet[[#This Row],[age]]&lt;25,"1. Young Adulthood (18-24)",worksheet[[#This Row],[age]]&lt; 35,"2. Early Adulthood (25-34)",worksheet[[#This Row],[age]]&lt; 45,"3. Mid Adulthood (35-44)",worksheet[[#This Row],[age]]&lt; 55,"4. Mature Adulthood (45-54)",TRUE,"5. Late Adulthood/Senior (55+)")</f>
        <v>3. Mid Adulthood (35-44)</v>
      </c>
      <c r="D1932" t="s">
        <v>15</v>
      </c>
      <c r="E1932" t="s">
        <v>16</v>
      </c>
      <c r="F1932" s="4">
        <v>24.02</v>
      </c>
      <c r="G1932" s="5">
        <v>23</v>
      </c>
      <c r="H1932" t="s">
        <v>28</v>
      </c>
      <c r="I1932" t="s">
        <v>46</v>
      </c>
      <c r="J1932" s="6">
        <v>8.99</v>
      </c>
      <c r="K1932">
        <v>0</v>
      </c>
      <c r="L1932" t="s">
        <v>43</v>
      </c>
      <c r="M1932" s="5">
        <v>5</v>
      </c>
      <c r="N1932" s="4">
        <v>1</v>
      </c>
      <c r="O1932" t="s">
        <v>52</v>
      </c>
    </row>
    <row r="1933" spans="1:15" x14ac:dyDescent="0.3">
      <c r="A1933" t="s">
        <v>1690</v>
      </c>
      <c r="B1933" s="5">
        <v>36</v>
      </c>
      <c r="C1933" s="5" t="str" cm="1">
        <f t="array" ref="C1933">_xlfn.IFS(worksheet[[#This Row],[age]]&lt;25,"1. Young Adulthood (18-24)",worksheet[[#This Row],[age]]&lt; 35,"2. Early Adulthood (25-34)",worksheet[[#This Row],[age]]&lt; 45,"3. Mid Adulthood (35-44)",worksheet[[#This Row],[age]]&lt; 55,"4. Mature Adulthood (45-54)",TRUE,"5. Late Adulthood/Senior (55+)")</f>
        <v>3. Mid Adulthood (35-44)</v>
      </c>
      <c r="D1933" t="s">
        <v>41</v>
      </c>
      <c r="E1933" t="s">
        <v>16</v>
      </c>
      <c r="F1933" s="4">
        <v>6.54</v>
      </c>
      <c r="G1933" s="5">
        <v>28</v>
      </c>
      <c r="H1933" t="s">
        <v>33</v>
      </c>
      <c r="I1933" t="s">
        <v>46</v>
      </c>
      <c r="J1933" s="6">
        <v>8.99</v>
      </c>
      <c r="K1933">
        <v>0</v>
      </c>
      <c r="L1933" t="s">
        <v>37</v>
      </c>
      <c r="M1933" s="5">
        <v>5</v>
      </c>
      <c r="N1933" s="4">
        <v>0.23</v>
      </c>
      <c r="O1933" t="s">
        <v>20</v>
      </c>
    </row>
    <row r="1934" spans="1:15" x14ac:dyDescent="0.3">
      <c r="A1934" t="s">
        <v>1701</v>
      </c>
      <c r="B1934" s="5">
        <v>38</v>
      </c>
      <c r="C1934" s="5" t="str" cm="1">
        <f t="array" ref="C1934">_xlfn.IFS(worksheet[[#This Row],[age]]&lt;25,"1. Young Adulthood (18-24)",worksheet[[#This Row],[age]]&lt; 35,"2. Early Adulthood (25-34)",worksheet[[#This Row],[age]]&lt; 45,"3. Mid Adulthood (35-44)",worksheet[[#This Row],[age]]&lt; 55,"4. Mature Adulthood (45-54)",TRUE,"5. Late Adulthood/Senior (55+)")</f>
        <v>3. Mid Adulthood (35-44)</v>
      </c>
      <c r="D1934" t="s">
        <v>27</v>
      </c>
      <c r="E1934" t="s">
        <v>16</v>
      </c>
      <c r="F1934" s="4">
        <v>7.92</v>
      </c>
      <c r="G1934" s="5">
        <v>18</v>
      </c>
      <c r="H1934" t="s">
        <v>49</v>
      </c>
      <c r="I1934" t="s">
        <v>18</v>
      </c>
      <c r="J1934" s="6">
        <v>8.99</v>
      </c>
      <c r="K1934">
        <v>1</v>
      </c>
      <c r="L1934" t="s">
        <v>29</v>
      </c>
      <c r="M1934" s="5">
        <v>1</v>
      </c>
      <c r="N1934" s="4">
        <v>0.42</v>
      </c>
      <c r="O1934" t="s">
        <v>25</v>
      </c>
    </row>
    <row r="1935" spans="1:15" x14ac:dyDescent="0.3">
      <c r="A1935" t="s">
        <v>1708</v>
      </c>
      <c r="B1935" s="5">
        <v>35</v>
      </c>
      <c r="C1935" s="5" t="str" cm="1">
        <f t="array" ref="C1935">_xlfn.IFS(worksheet[[#This Row],[age]]&lt;25,"1. Young Adulthood (18-24)",worksheet[[#This Row],[age]]&lt; 35,"2. Early Adulthood (25-34)",worksheet[[#This Row],[age]]&lt; 45,"3. Mid Adulthood (35-44)",worksheet[[#This Row],[age]]&lt; 55,"4. Mature Adulthood (45-54)",TRUE,"5. Late Adulthood/Senior (55+)")</f>
        <v>3. Mid Adulthood (35-44)</v>
      </c>
      <c r="D1935" t="s">
        <v>15</v>
      </c>
      <c r="E1935" t="s">
        <v>16</v>
      </c>
      <c r="F1935" s="4">
        <v>8.8699999999999992</v>
      </c>
      <c r="G1935" s="5">
        <v>10</v>
      </c>
      <c r="H1935" t="s">
        <v>33</v>
      </c>
      <c r="I1935" t="s">
        <v>46</v>
      </c>
      <c r="J1935" s="6">
        <v>8.99</v>
      </c>
      <c r="K1935">
        <v>0</v>
      </c>
      <c r="L1935" t="s">
        <v>61</v>
      </c>
      <c r="M1935" s="5">
        <v>2</v>
      </c>
      <c r="N1935" s="4">
        <v>0.81</v>
      </c>
      <c r="O1935" t="s">
        <v>30</v>
      </c>
    </row>
    <row r="1936" spans="1:15" x14ac:dyDescent="0.3">
      <c r="A1936" t="s">
        <v>1712</v>
      </c>
      <c r="B1936" s="5">
        <v>37</v>
      </c>
      <c r="C1936" s="5" t="str" cm="1">
        <f t="array" ref="C1936">_xlfn.IFS(worksheet[[#This Row],[age]]&lt;25,"1. Young Adulthood (18-24)",worksheet[[#This Row],[age]]&lt; 35,"2. Early Adulthood (25-34)",worksheet[[#This Row],[age]]&lt; 45,"3. Mid Adulthood (35-44)",worksheet[[#This Row],[age]]&lt; 55,"4. Mature Adulthood (45-54)",TRUE,"5. Late Adulthood/Senior (55+)")</f>
        <v>3. Mid Adulthood (35-44)</v>
      </c>
      <c r="D1936" t="s">
        <v>15</v>
      </c>
      <c r="E1936" t="s">
        <v>32</v>
      </c>
      <c r="F1936" s="4">
        <v>58.79</v>
      </c>
      <c r="G1936" s="5">
        <v>27</v>
      </c>
      <c r="H1936" t="s">
        <v>70</v>
      </c>
      <c r="I1936" t="s">
        <v>24</v>
      </c>
      <c r="J1936" s="6">
        <v>17.989999999999998</v>
      </c>
      <c r="K1936">
        <v>0</v>
      </c>
      <c r="L1936" t="s">
        <v>29</v>
      </c>
      <c r="M1936" s="5">
        <v>3</v>
      </c>
      <c r="N1936" s="4">
        <v>2.1</v>
      </c>
      <c r="O1936" t="s">
        <v>30</v>
      </c>
    </row>
    <row r="1937" spans="1:15" x14ac:dyDescent="0.3">
      <c r="A1937" t="s">
        <v>1719</v>
      </c>
      <c r="B1937" s="5">
        <v>35</v>
      </c>
      <c r="C1937" s="5" t="str" cm="1">
        <f t="array" ref="C1937">_xlfn.IFS(worksheet[[#This Row],[age]]&lt;25,"1. Young Adulthood (18-24)",worksheet[[#This Row],[age]]&lt; 35,"2. Early Adulthood (25-34)",worksheet[[#This Row],[age]]&lt; 45,"3. Mid Adulthood (35-44)",worksheet[[#This Row],[age]]&lt; 55,"4. Mature Adulthood (45-54)",TRUE,"5. Late Adulthood/Senior (55+)")</f>
        <v>3. Mid Adulthood (35-44)</v>
      </c>
      <c r="D1937" t="s">
        <v>15</v>
      </c>
      <c r="E1937" t="s">
        <v>22</v>
      </c>
      <c r="F1937" s="4">
        <v>5.16</v>
      </c>
      <c r="G1937" s="5">
        <v>17</v>
      </c>
      <c r="H1937" t="s">
        <v>33</v>
      </c>
      <c r="I1937" t="s">
        <v>24</v>
      </c>
      <c r="J1937" s="6">
        <v>13.99</v>
      </c>
      <c r="K1937">
        <v>0</v>
      </c>
      <c r="L1937" t="s">
        <v>61</v>
      </c>
      <c r="M1937" s="5">
        <v>4</v>
      </c>
      <c r="N1937" s="4">
        <v>0.28999999999999998</v>
      </c>
      <c r="O1937" t="s">
        <v>47</v>
      </c>
    </row>
    <row r="1938" spans="1:15" x14ac:dyDescent="0.3">
      <c r="A1938" t="s">
        <v>1726</v>
      </c>
      <c r="B1938" s="5">
        <v>39</v>
      </c>
      <c r="C1938" s="5" t="str" cm="1">
        <f t="array" ref="C1938">_xlfn.IFS(worksheet[[#This Row],[age]]&lt;25,"1. Young Adulthood (18-24)",worksheet[[#This Row],[age]]&lt; 35,"2. Early Adulthood (25-34)",worksheet[[#This Row],[age]]&lt; 45,"3. Mid Adulthood (35-44)",worksheet[[#This Row],[age]]&lt; 55,"4. Mature Adulthood (45-54)",TRUE,"5. Late Adulthood/Senior (55+)")</f>
        <v>3. Mid Adulthood (35-44)</v>
      </c>
      <c r="D1938" t="s">
        <v>15</v>
      </c>
      <c r="E1938" t="s">
        <v>22</v>
      </c>
      <c r="F1938" s="4">
        <v>8.6</v>
      </c>
      <c r="G1938" s="5">
        <v>37</v>
      </c>
      <c r="H1938" t="s">
        <v>23</v>
      </c>
      <c r="I1938" t="s">
        <v>24</v>
      </c>
      <c r="J1938" s="6">
        <v>13.99</v>
      </c>
      <c r="K1938">
        <v>0</v>
      </c>
      <c r="L1938" t="s">
        <v>61</v>
      </c>
      <c r="M1938" s="5">
        <v>4</v>
      </c>
      <c r="N1938" s="4">
        <v>0.23</v>
      </c>
      <c r="O1938" t="s">
        <v>20</v>
      </c>
    </row>
    <row r="1939" spans="1:15" x14ac:dyDescent="0.3">
      <c r="A1939" t="s">
        <v>1734</v>
      </c>
      <c r="B1939" s="5">
        <v>44</v>
      </c>
      <c r="C1939" s="5" t="str" cm="1">
        <f t="array" ref="C1939">_xlfn.IFS(worksheet[[#This Row],[age]]&lt;25,"1. Young Adulthood (18-24)",worksheet[[#This Row],[age]]&lt; 35,"2. Early Adulthood (25-34)",worksheet[[#This Row],[age]]&lt; 45,"3. Mid Adulthood (35-44)",worksheet[[#This Row],[age]]&lt; 55,"4. Mature Adulthood (45-54)",TRUE,"5. Late Adulthood/Senior (55+)")</f>
        <v>3. Mid Adulthood (35-44)</v>
      </c>
      <c r="D1939" t="s">
        <v>41</v>
      </c>
      <c r="E1939" t="s">
        <v>32</v>
      </c>
      <c r="F1939" s="4">
        <v>0.62</v>
      </c>
      <c r="G1939" s="5">
        <v>22</v>
      </c>
      <c r="H1939" t="s">
        <v>17</v>
      </c>
      <c r="I1939" t="s">
        <v>57</v>
      </c>
      <c r="J1939" s="6">
        <v>17.989999999999998</v>
      </c>
      <c r="K1939">
        <v>1</v>
      </c>
      <c r="L1939" t="s">
        <v>43</v>
      </c>
      <c r="M1939" s="5">
        <v>2</v>
      </c>
      <c r="N1939" s="4">
        <v>0.03</v>
      </c>
      <c r="O1939" t="s">
        <v>52</v>
      </c>
    </row>
    <row r="1940" spans="1:15" x14ac:dyDescent="0.3">
      <c r="A1940" t="s">
        <v>1736</v>
      </c>
      <c r="B1940" s="5">
        <v>41</v>
      </c>
      <c r="C1940" s="5" t="str" cm="1">
        <f t="array" ref="C1940">_xlfn.IFS(worksheet[[#This Row],[age]]&lt;25,"1. Young Adulthood (18-24)",worksheet[[#This Row],[age]]&lt; 35,"2. Early Adulthood (25-34)",worksheet[[#This Row],[age]]&lt; 45,"3. Mid Adulthood (35-44)",worksheet[[#This Row],[age]]&lt; 55,"4. Mature Adulthood (45-54)",TRUE,"5. Late Adulthood/Senior (55+)")</f>
        <v>3. Mid Adulthood (35-44)</v>
      </c>
      <c r="D1940" t="s">
        <v>15</v>
      </c>
      <c r="E1940" t="s">
        <v>16</v>
      </c>
      <c r="F1940" s="4">
        <v>5.65</v>
      </c>
      <c r="G1940" s="5">
        <v>57</v>
      </c>
      <c r="H1940" t="s">
        <v>17</v>
      </c>
      <c r="I1940" t="s">
        <v>57</v>
      </c>
      <c r="J1940" s="6">
        <v>8.99</v>
      </c>
      <c r="K1940">
        <v>1</v>
      </c>
      <c r="L1940" t="s">
        <v>37</v>
      </c>
      <c r="M1940" s="5">
        <v>5</v>
      </c>
      <c r="N1940" s="4">
        <v>0.1</v>
      </c>
      <c r="O1940" t="s">
        <v>47</v>
      </c>
    </row>
    <row r="1941" spans="1:15" x14ac:dyDescent="0.3">
      <c r="A1941" t="s">
        <v>1738</v>
      </c>
      <c r="B1941" s="5">
        <v>39</v>
      </c>
      <c r="C1941" s="5" t="str" cm="1">
        <f t="array" ref="C1941">_xlfn.IFS(worksheet[[#This Row],[age]]&lt;25,"1. Young Adulthood (18-24)",worksheet[[#This Row],[age]]&lt; 35,"2. Early Adulthood (25-34)",worksheet[[#This Row],[age]]&lt; 45,"3. Mid Adulthood (35-44)",worksheet[[#This Row],[age]]&lt; 55,"4. Mature Adulthood (45-54)",TRUE,"5. Late Adulthood/Senior (55+)")</f>
        <v>3. Mid Adulthood (35-44)</v>
      </c>
      <c r="D1941" t="s">
        <v>27</v>
      </c>
      <c r="E1941" t="s">
        <v>22</v>
      </c>
      <c r="F1941" s="4">
        <v>17.670000000000002</v>
      </c>
      <c r="G1941" s="5">
        <v>13</v>
      </c>
      <c r="H1941" t="s">
        <v>23</v>
      </c>
      <c r="I1941" t="s">
        <v>57</v>
      </c>
      <c r="J1941" s="6">
        <v>13.99</v>
      </c>
      <c r="K1941">
        <v>0</v>
      </c>
      <c r="L1941" t="s">
        <v>37</v>
      </c>
      <c r="M1941" s="5">
        <v>3</v>
      </c>
      <c r="N1941" s="4">
        <v>1.26</v>
      </c>
      <c r="O1941" t="s">
        <v>39</v>
      </c>
    </row>
    <row r="1942" spans="1:15" x14ac:dyDescent="0.3">
      <c r="A1942" t="s">
        <v>1742</v>
      </c>
      <c r="B1942" s="5">
        <v>44</v>
      </c>
      <c r="C1942" s="5" t="str" cm="1">
        <f t="array" ref="C1942">_xlfn.IFS(worksheet[[#This Row],[age]]&lt;25,"1. Young Adulthood (18-24)",worksheet[[#This Row],[age]]&lt; 35,"2. Early Adulthood (25-34)",worksheet[[#This Row],[age]]&lt; 45,"3. Mid Adulthood (35-44)",worksheet[[#This Row],[age]]&lt; 55,"4. Mature Adulthood (45-54)",TRUE,"5. Late Adulthood/Senior (55+)")</f>
        <v>3. Mid Adulthood (35-44)</v>
      </c>
      <c r="D1942" t="s">
        <v>41</v>
      </c>
      <c r="E1942" t="s">
        <v>16</v>
      </c>
      <c r="F1942" s="4">
        <v>24.96</v>
      </c>
      <c r="G1942" s="5">
        <v>35</v>
      </c>
      <c r="H1942" t="s">
        <v>23</v>
      </c>
      <c r="I1942" t="s">
        <v>18</v>
      </c>
      <c r="J1942" s="6">
        <v>8.99</v>
      </c>
      <c r="K1942">
        <v>0</v>
      </c>
      <c r="L1942" t="s">
        <v>29</v>
      </c>
      <c r="M1942" s="5">
        <v>2</v>
      </c>
      <c r="N1942" s="4">
        <v>0.69</v>
      </c>
      <c r="O1942" t="s">
        <v>52</v>
      </c>
    </row>
    <row r="1943" spans="1:15" x14ac:dyDescent="0.3">
      <c r="A1943" t="s">
        <v>1744</v>
      </c>
      <c r="B1943" s="5">
        <v>37</v>
      </c>
      <c r="C1943" s="5" t="str" cm="1">
        <f t="array" ref="C1943">_xlfn.IFS(worksheet[[#This Row],[age]]&lt;25,"1. Young Adulthood (18-24)",worksheet[[#This Row],[age]]&lt; 35,"2. Early Adulthood (25-34)",worksheet[[#This Row],[age]]&lt; 45,"3. Mid Adulthood (35-44)",worksheet[[#This Row],[age]]&lt; 55,"4. Mature Adulthood (45-54)",TRUE,"5. Late Adulthood/Senior (55+)")</f>
        <v>3. Mid Adulthood (35-44)</v>
      </c>
      <c r="D1943" t="s">
        <v>41</v>
      </c>
      <c r="E1943" t="s">
        <v>22</v>
      </c>
      <c r="F1943" s="4">
        <v>5.08</v>
      </c>
      <c r="G1943" s="5">
        <v>40</v>
      </c>
      <c r="H1943" t="s">
        <v>17</v>
      </c>
      <c r="I1943" t="s">
        <v>46</v>
      </c>
      <c r="J1943" s="6">
        <v>13.99</v>
      </c>
      <c r="K1943">
        <v>0</v>
      </c>
      <c r="L1943" t="s">
        <v>43</v>
      </c>
      <c r="M1943" s="5">
        <v>4</v>
      </c>
      <c r="N1943" s="4">
        <v>0.12</v>
      </c>
      <c r="O1943" t="s">
        <v>52</v>
      </c>
    </row>
    <row r="1944" spans="1:15" x14ac:dyDescent="0.3">
      <c r="A1944" t="s">
        <v>1752</v>
      </c>
      <c r="B1944" s="5">
        <v>42</v>
      </c>
      <c r="C1944" s="5" t="str" cm="1">
        <f t="array" ref="C1944">_xlfn.IFS(worksheet[[#This Row],[age]]&lt;25,"1. Young Adulthood (18-24)",worksheet[[#This Row],[age]]&lt; 35,"2. Early Adulthood (25-34)",worksheet[[#This Row],[age]]&lt; 45,"3. Mid Adulthood (35-44)",worksheet[[#This Row],[age]]&lt; 55,"4. Mature Adulthood (45-54)",TRUE,"5. Late Adulthood/Senior (55+)")</f>
        <v>3. Mid Adulthood (35-44)</v>
      </c>
      <c r="D1944" t="s">
        <v>15</v>
      </c>
      <c r="E1944" t="s">
        <v>22</v>
      </c>
      <c r="F1944" s="4">
        <v>0.02</v>
      </c>
      <c r="G1944" s="5">
        <v>38</v>
      </c>
      <c r="H1944" t="s">
        <v>23</v>
      </c>
      <c r="I1944" t="s">
        <v>55</v>
      </c>
      <c r="J1944" s="6">
        <v>13.99</v>
      </c>
      <c r="K1944">
        <v>1</v>
      </c>
      <c r="L1944" t="s">
        <v>29</v>
      </c>
      <c r="M1944" s="5">
        <v>3</v>
      </c>
      <c r="N1944" s="4">
        <v>0</v>
      </c>
      <c r="O1944" t="s">
        <v>39</v>
      </c>
    </row>
    <row r="1945" spans="1:15" x14ac:dyDescent="0.3">
      <c r="A1945" t="s">
        <v>1754</v>
      </c>
      <c r="B1945" s="5">
        <v>39</v>
      </c>
      <c r="C1945" s="5" t="str" cm="1">
        <f t="array" ref="C1945">_xlfn.IFS(worksheet[[#This Row],[age]]&lt;25,"1. Young Adulthood (18-24)",worksheet[[#This Row],[age]]&lt; 35,"2. Early Adulthood (25-34)",worksheet[[#This Row],[age]]&lt; 45,"3. Mid Adulthood (35-44)",worksheet[[#This Row],[age]]&lt; 55,"4. Mature Adulthood (45-54)",TRUE,"5. Late Adulthood/Senior (55+)")</f>
        <v>3. Mid Adulthood (35-44)</v>
      </c>
      <c r="D1945" t="s">
        <v>41</v>
      </c>
      <c r="E1945" t="s">
        <v>32</v>
      </c>
      <c r="F1945" s="4">
        <v>16.03</v>
      </c>
      <c r="G1945" s="5">
        <v>13</v>
      </c>
      <c r="H1945" t="s">
        <v>28</v>
      </c>
      <c r="I1945" t="s">
        <v>18</v>
      </c>
      <c r="J1945" s="6">
        <v>17.989999999999998</v>
      </c>
      <c r="K1945">
        <v>0</v>
      </c>
      <c r="L1945" t="s">
        <v>61</v>
      </c>
      <c r="M1945" s="5">
        <v>1</v>
      </c>
      <c r="N1945" s="4">
        <v>1.1499999999999999</v>
      </c>
      <c r="O1945" t="s">
        <v>52</v>
      </c>
    </row>
    <row r="1946" spans="1:15" x14ac:dyDescent="0.3">
      <c r="A1946" t="s">
        <v>1758</v>
      </c>
      <c r="B1946" s="5">
        <v>35</v>
      </c>
      <c r="C1946" s="5" t="str" cm="1">
        <f t="array" ref="C1946">_xlfn.IFS(worksheet[[#This Row],[age]]&lt;25,"1. Young Adulthood (18-24)",worksheet[[#This Row],[age]]&lt; 35,"2. Early Adulthood (25-34)",worksheet[[#This Row],[age]]&lt; 45,"3. Mid Adulthood (35-44)",worksheet[[#This Row],[age]]&lt; 55,"4. Mature Adulthood (45-54)",TRUE,"5. Late Adulthood/Senior (55+)")</f>
        <v>3. Mid Adulthood (35-44)</v>
      </c>
      <c r="D1946" t="s">
        <v>41</v>
      </c>
      <c r="E1946" t="s">
        <v>32</v>
      </c>
      <c r="F1946" s="4">
        <v>11.07</v>
      </c>
      <c r="G1946" s="5">
        <v>12</v>
      </c>
      <c r="H1946" t="s">
        <v>23</v>
      </c>
      <c r="I1946" t="s">
        <v>57</v>
      </c>
      <c r="J1946" s="6">
        <v>17.989999999999998</v>
      </c>
      <c r="K1946">
        <v>0</v>
      </c>
      <c r="L1946" t="s">
        <v>43</v>
      </c>
      <c r="M1946" s="5">
        <v>3</v>
      </c>
      <c r="N1946" s="4">
        <v>0.85</v>
      </c>
      <c r="O1946" t="s">
        <v>34</v>
      </c>
    </row>
    <row r="1947" spans="1:15" x14ac:dyDescent="0.3">
      <c r="A1947" t="s">
        <v>1760</v>
      </c>
      <c r="B1947" s="5">
        <v>40</v>
      </c>
      <c r="C1947" s="5" t="str" cm="1">
        <f t="array" ref="C1947">_xlfn.IFS(worksheet[[#This Row],[age]]&lt;25,"1. Young Adulthood (18-24)",worksheet[[#This Row],[age]]&lt; 35,"2. Early Adulthood (25-34)",worksheet[[#This Row],[age]]&lt; 45,"3. Mid Adulthood (35-44)",worksheet[[#This Row],[age]]&lt; 55,"4. Mature Adulthood (45-54)",TRUE,"5. Late Adulthood/Senior (55+)")</f>
        <v>3. Mid Adulthood (35-44)</v>
      </c>
      <c r="D1947" t="s">
        <v>15</v>
      </c>
      <c r="E1947" t="s">
        <v>16</v>
      </c>
      <c r="F1947" s="4">
        <v>8.15</v>
      </c>
      <c r="G1947" s="5">
        <v>24</v>
      </c>
      <c r="H1947" t="s">
        <v>17</v>
      </c>
      <c r="I1947" t="s">
        <v>46</v>
      </c>
      <c r="J1947" s="6">
        <v>8.99</v>
      </c>
      <c r="K1947">
        <v>0</v>
      </c>
      <c r="L1947" t="s">
        <v>43</v>
      </c>
      <c r="M1947" s="5">
        <v>4</v>
      </c>
      <c r="N1947" s="4">
        <v>0.33</v>
      </c>
      <c r="O1947" t="s">
        <v>34</v>
      </c>
    </row>
    <row r="1948" spans="1:15" x14ac:dyDescent="0.3">
      <c r="A1948" t="s">
        <v>1761</v>
      </c>
      <c r="B1948" s="5">
        <v>41</v>
      </c>
      <c r="C1948" s="5" t="str" cm="1">
        <f t="array" ref="C1948">_xlfn.IFS(worksheet[[#This Row],[age]]&lt;25,"1. Young Adulthood (18-24)",worksheet[[#This Row],[age]]&lt; 35,"2. Early Adulthood (25-34)",worksheet[[#This Row],[age]]&lt; 45,"3. Mid Adulthood (35-44)",worksheet[[#This Row],[age]]&lt; 55,"4. Mature Adulthood (45-54)",TRUE,"5. Late Adulthood/Senior (55+)")</f>
        <v>3. Mid Adulthood (35-44)</v>
      </c>
      <c r="D1948" t="s">
        <v>27</v>
      </c>
      <c r="E1948" t="s">
        <v>32</v>
      </c>
      <c r="F1948" s="4">
        <v>1.35</v>
      </c>
      <c r="G1948" s="5">
        <v>59</v>
      </c>
      <c r="H1948" t="s">
        <v>28</v>
      </c>
      <c r="I1948" t="s">
        <v>46</v>
      </c>
      <c r="J1948" s="6">
        <v>17.989999999999998</v>
      </c>
      <c r="K1948">
        <v>1</v>
      </c>
      <c r="L1948" t="s">
        <v>43</v>
      </c>
      <c r="M1948" s="5">
        <v>1</v>
      </c>
      <c r="N1948" s="4">
        <v>0.02</v>
      </c>
      <c r="O1948" t="s">
        <v>34</v>
      </c>
    </row>
    <row r="1949" spans="1:15" x14ac:dyDescent="0.3">
      <c r="A1949" t="s">
        <v>1769</v>
      </c>
      <c r="B1949" s="5">
        <v>43</v>
      </c>
      <c r="C1949" s="5" t="str" cm="1">
        <f t="array" ref="C1949">_xlfn.IFS(worksheet[[#This Row],[age]]&lt;25,"1. Young Adulthood (18-24)",worksheet[[#This Row],[age]]&lt; 35,"2. Early Adulthood (25-34)",worksheet[[#This Row],[age]]&lt; 45,"3. Mid Adulthood (35-44)",worksheet[[#This Row],[age]]&lt; 55,"4. Mature Adulthood (45-54)",TRUE,"5. Late Adulthood/Senior (55+)")</f>
        <v>3. Mid Adulthood (35-44)</v>
      </c>
      <c r="D1949" t="s">
        <v>41</v>
      </c>
      <c r="E1949" t="s">
        <v>32</v>
      </c>
      <c r="F1949" s="4">
        <v>2.23</v>
      </c>
      <c r="G1949" s="5">
        <v>29</v>
      </c>
      <c r="H1949" t="s">
        <v>33</v>
      </c>
      <c r="I1949" t="s">
        <v>46</v>
      </c>
      <c r="J1949" s="6">
        <v>17.989999999999998</v>
      </c>
      <c r="K1949">
        <v>1</v>
      </c>
      <c r="L1949" t="s">
        <v>19</v>
      </c>
      <c r="M1949" s="5">
        <v>1</v>
      </c>
      <c r="N1949" s="4">
        <v>7.0000000000000007E-2</v>
      </c>
      <c r="O1949" t="s">
        <v>52</v>
      </c>
    </row>
    <row r="1950" spans="1:15" x14ac:dyDescent="0.3">
      <c r="A1950" t="s">
        <v>1771</v>
      </c>
      <c r="B1950" s="5">
        <v>41</v>
      </c>
      <c r="C1950" s="5" t="str" cm="1">
        <f t="array" ref="C1950">_xlfn.IFS(worksheet[[#This Row],[age]]&lt;25,"1. Young Adulthood (18-24)",worksheet[[#This Row],[age]]&lt; 35,"2. Early Adulthood (25-34)",worksheet[[#This Row],[age]]&lt; 45,"3. Mid Adulthood (35-44)",worksheet[[#This Row],[age]]&lt; 55,"4. Mature Adulthood (45-54)",TRUE,"5. Late Adulthood/Senior (55+)")</f>
        <v>3. Mid Adulthood (35-44)</v>
      </c>
      <c r="D1950" t="s">
        <v>41</v>
      </c>
      <c r="E1950" t="s">
        <v>22</v>
      </c>
      <c r="F1950" s="4">
        <v>9.19</v>
      </c>
      <c r="G1950" s="5">
        <v>45</v>
      </c>
      <c r="H1950" t="s">
        <v>70</v>
      </c>
      <c r="I1950" t="s">
        <v>46</v>
      </c>
      <c r="J1950" s="6">
        <v>13.99</v>
      </c>
      <c r="K1950">
        <v>1</v>
      </c>
      <c r="L1950" t="s">
        <v>43</v>
      </c>
      <c r="M1950" s="5">
        <v>2</v>
      </c>
      <c r="N1950" s="4">
        <v>0.2</v>
      </c>
      <c r="O1950" t="s">
        <v>30</v>
      </c>
    </row>
    <row r="1951" spans="1:15" x14ac:dyDescent="0.3">
      <c r="A1951" t="s">
        <v>1775</v>
      </c>
      <c r="B1951" s="5">
        <v>36</v>
      </c>
      <c r="C1951" s="5" t="str" cm="1">
        <f t="array" ref="C1951">_xlfn.IFS(worksheet[[#This Row],[age]]&lt;25,"1. Young Adulthood (18-24)",worksheet[[#This Row],[age]]&lt; 35,"2. Early Adulthood (25-34)",worksheet[[#This Row],[age]]&lt; 45,"3. Mid Adulthood (35-44)",worksheet[[#This Row],[age]]&lt; 55,"4. Mature Adulthood (45-54)",TRUE,"5. Late Adulthood/Senior (55+)")</f>
        <v>3. Mid Adulthood (35-44)</v>
      </c>
      <c r="D1951" t="s">
        <v>15</v>
      </c>
      <c r="E1951" t="s">
        <v>32</v>
      </c>
      <c r="F1951" s="4">
        <v>25.4</v>
      </c>
      <c r="G1951" s="5">
        <v>46</v>
      </c>
      <c r="H1951" t="s">
        <v>33</v>
      </c>
      <c r="I1951" t="s">
        <v>46</v>
      </c>
      <c r="J1951" s="6">
        <v>17.989999999999998</v>
      </c>
      <c r="K1951">
        <v>0</v>
      </c>
      <c r="L1951" t="s">
        <v>37</v>
      </c>
      <c r="M1951" s="5">
        <v>5</v>
      </c>
      <c r="N1951" s="4">
        <v>0.54</v>
      </c>
      <c r="O1951" t="s">
        <v>52</v>
      </c>
    </row>
    <row r="1952" spans="1:15" x14ac:dyDescent="0.3">
      <c r="A1952" t="s">
        <v>1779</v>
      </c>
      <c r="B1952" s="5">
        <v>37</v>
      </c>
      <c r="C1952" s="5" t="str" cm="1">
        <f t="array" ref="C1952">_xlfn.IFS(worksheet[[#This Row],[age]]&lt;25,"1. Young Adulthood (18-24)",worksheet[[#This Row],[age]]&lt; 35,"2. Early Adulthood (25-34)",worksheet[[#This Row],[age]]&lt; 45,"3. Mid Adulthood (35-44)",worksheet[[#This Row],[age]]&lt; 55,"4. Mature Adulthood (45-54)",TRUE,"5. Late Adulthood/Senior (55+)")</f>
        <v>3. Mid Adulthood (35-44)</v>
      </c>
      <c r="D1952" t="s">
        <v>27</v>
      </c>
      <c r="E1952" t="s">
        <v>32</v>
      </c>
      <c r="F1952" s="4">
        <v>7.79</v>
      </c>
      <c r="G1952" s="5">
        <v>55</v>
      </c>
      <c r="H1952" t="s">
        <v>28</v>
      </c>
      <c r="I1952" t="s">
        <v>55</v>
      </c>
      <c r="J1952" s="6">
        <v>17.989999999999998</v>
      </c>
      <c r="K1952">
        <v>1</v>
      </c>
      <c r="L1952" t="s">
        <v>37</v>
      </c>
      <c r="M1952" s="5">
        <v>2</v>
      </c>
      <c r="N1952" s="4">
        <v>0.14000000000000001</v>
      </c>
      <c r="O1952" t="s">
        <v>52</v>
      </c>
    </row>
    <row r="1953" spans="1:15" x14ac:dyDescent="0.3">
      <c r="A1953" t="s">
        <v>1785</v>
      </c>
      <c r="B1953" s="5">
        <v>42</v>
      </c>
      <c r="C1953" s="5" t="str" cm="1">
        <f t="array" ref="C1953">_xlfn.IFS(worksheet[[#This Row],[age]]&lt;25,"1. Young Adulthood (18-24)",worksheet[[#This Row],[age]]&lt; 35,"2. Early Adulthood (25-34)",worksheet[[#This Row],[age]]&lt; 45,"3. Mid Adulthood (35-44)",worksheet[[#This Row],[age]]&lt; 55,"4. Mature Adulthood (45-54)",TRUE,"5. Late Adulthood/Senior (55+)")</f>
        <v>3. Mid Adulthood (35-44)</v>
      </c>
      <c r="D1953" t="s">
        <v>15</v>
      </c>
      <c r="E1953" t="s">
        <v>16</v>
      </c>
      <c r="F1953" s="4">
        <v>28.96</v>
      </c>
      <c r="G1953" s="5">
        <v>22</v>
      </c>
      <c r="H1953" t="s">
        <v>23</v>
      </c>
      <c r="I1953" t="s">
        <v>46</v>
      </c>
      <c r="J1953" s="6">
        <v>8.99</v>
      </c>
      <c r="K1953">
        <v>0</v>
      </c>
      <c r="L1953" t="s">
        <v>43</v>
      </c>
      <c r="M1953" s="5">
        <v>5</v>
      </c>
      <c r="N1953" s="4">
        <v>1.26</v>
      </c>
      <c r="O1953" t="s">
        <v>25</v>
      </c>
    </row>
    <row r="1954" spans="1:15" x14ac:dyDescent="0.3">
      <c r="A1954" t="s">
        <v>1787</v>
      </c>
      <c r="B1954" s="5">
        <v>39</v>
      </c>
      <c r="C1954" s="5" t="str" cm="1">
        <f t="array" ref="C1954">_xlfn.IFS(worksheet[[#This Row],[age]]&lt;25,"1. Young Adulthood (18-24)",worksheet[[#This Row],[age]]&lt; 35,"2. Early Adulthood (25-34)",worksheet[[#This Row],[age]]&lt; 45,"3. Mid Adulthood (35-44)",worksheet[[#This Row],[age]]&lt; 55,"4. Mature Adulthood (45-54)",TRUE,"5. Late Adulthood/Senior (55+)")</f>
        <v>3. Mid Adulthood (35-44)</v>
      </c>
      <c r="D1954" t="s">
        <v>15</v>
      </c>
      <c r="E1954" t="s">
        <v>32</v>
      </c>
      <c r="F1954" s="4">
        <v>3.87</v>
      </c>
      <c r="G1954" s="5">
        <v>23</v>
      </c>
      <c r="H1954" t="s">
        <v>70</v>
      </c>
      <c r="I1954" t="s">
        <v>46</v>
      </c>
      <c r="J1954" s="6">
        <v>17.989999999999998</v>
      </c>
      <c r="K1954">
        <v>0</v>
      </c>
      <c r="L1954" t="s">
        <v>37</v>
      </c>
      <c r="M1954" s="5">
        <v>5</v>
      </c>
      <c r="N1954" s="4">
        <v>0.16</v>
      </c>
      <c r="O1954" t="s">
        <v>30</v>
      </c>
    </row>
    <row r="1955" spans="1:15" x14ac:dyDescent="0.3">
      <c r="A1955" t="s">
        <v>1793</v>
      </c>
      <c r="B1955" s="5">
        <v>37</v>
      </c>
      <c r="C1955" s="5" t="str" cm="1">
        <f t="array" ref="C1955">_xlfn.IFS(worksheet[[#This Row],[age]]&lt;25,"1. Young Adulthood (18-24)",worksheet[[#This Row],[age]]&lt; 35,"2. Early Adulthood (25-34)",worksheet[[#This Row],[age]]&lt; 45,"3. Mid Adulthood (35-44)",worksheet[[#This Row],[age]]&lt; 55,"4. Mature Adulthood (45-54)",TRUE,"5. Late Adulthood/Senior (55+)")</f>
        <v>3. Mid Adulthood (35-44)</v>
      </c>
      <c r="D1955" t="s">
        <v>27</v>
      </c>
      <c r="E1955" t="s">
        <v>32</v>
      </c>
      <c r="F1955" s="4">
        <v>0.56000000000000005</v>
      </c>
      <c r="G1955" s="5">
        <v>50</v>
      </c>
      <c r="H1955" t="s">
        <v>23</v>
      </c>
      <c r="I1955" t="s">
        <v>18</v>
      </c>
      <c r="J1955" s="6">
        <v>17.989999999999998</v>
      </c>
      <c r="K1955">
        <v>1</v>
      </c>
      <c r="L1955" t="s">
        <v>37</v>
      </c>
      <c r="M1955" s="5">
        <v>3</v>
      </c>
      <c r="N1955" s="4">
        <v>0.01</v>
      </c>
      <c r="O1955" t="s">
        <v>52</v>
      </c>
    </row>
    <row r="1956" spans="1:15" x14ac:dyDescent="0.3">
      <c r="A1956" t="s">
        <v>1800</v>
      </c>
      <c r="B1956" s="5">
        <v>36</v>
      </c>
      <c r="C1956" s="5" t="str" cm="1">
        <f t="array" ref="C1956">_xlfn.IFS(worksheet[[#This Row],[age]]&lt;25,"1. Young Adulthood (18-24)",worksheet[[#This Row],[age]]&lt; 35,"2. Early Adulthood (25-34)",worksheet[[#This Row],[age]]&lt; 45,"3. Mid Adulthood (35-44)",worksheet[[#This Row],[age]]&lt; 55,"4. Mature Adulthood (45-54)",TRUE,"5. Late Adulthood/Senior (55+)")</f>
        <v>3. Mid Adulthood (35-44)</v>
      </c>
      <c r="D1956" t="s">
        <v>41</v>
      </c>
      <c r="E1956" t="s">
        <v>22</v>
      </c>
      <c r="F1956" s="4">
        <v>10.58</v>
      </c>
      <c r="G1956" s="5">
        <v>0</v>
      </c>
      <c r="H1956" t="s">
        <v>23</v>
      </c>
      <c r="I1956" t="s">
        <v>57</v>
      </c>
      <c r="J1956" s="6">
        <v>13.99</v>
      </c>
      <c r="K1956">
        <v>0</v>
      </c>
      <c r="L1956" t="s">
        <v>61</v>
      </c>
      <c r="M1956" s="5">
        <v>1</v>
      </c>
      <c r="N1956" s="4">
        <v>10.58</v>
      </c>
      <c r="O1956" t="s">
        <v>39</v>
      </c>
    </row>
    <row r="1957" spans="1:15" x14ac:dyDescent="0.3">
      <c r="A1957" t="s">
        <v>1804</v>
      </c>
      <c r="B1957" s="5">
        <v>38</v>
      </c>
      <c r="C1957" s="5" t="str" cm="1">
        <f t="array" ref="C1957">_xlfn.IFS(worksheet[[#This Row],[age]]&lt;25,"1. Young Adulthood (18-24)",worksheet[[#This Row],[age]]&lt; 35,"2. Early Adulthood (25-34)",worksheet[[#This Row],[age]]&lt; 45,"3. Mid Adulthood (35-44)",worksheet[[#This Row],[age]]&lt; 55,"4. Mature Adulthood (45-54)",TRUE,"5. Late Adulthood/Senior (55+)")</f>
        <v>3. Mid Adulthood (35-44)</v>
      </c>
      <c r="D1957" t="s">
        <v>41</v>
      </c>
      <c r="E1957" t="s">
        <v>16</v>
      </c>
      <c r="F1957" s="4">
        <v>23.85</v>
      </c>
      <c r="G1957" s="5">
        <v>37</v>
      </c>
      <c r="H1957" t="s">
        <v>49</v>
      </c>
      <c r="I1957" t="s">
        <v>57</v>
      </c>
      <c r="J1957" s="6">
        <v>8.99</v>
      </c>
      <c r="K1957">
        <v>0</v>
      </c>
      <c r="L1957" t="s">
        <v>61</v>
      </c>
      <c r="M1957" s="5">
        <v>1</v>
      </c>
      <c r="N1957" s="4">
        <v>0.63</v>
      </c>
      <c r="O1957" t="s">
        <v>30</v>
      </c>
    </row>
    <row r="1958" spans="1:15" x14ac:dyDescent="0.3">
      <c r="A1958" t="s">
        <v>1807</v>
      </c>
      <c r="B1958" s="5">
        <v>40</v>
      </c>
      <c r="C1958" s="5" t="str" cm="1">
        <f t="array" ref="C1958">_xlfn.IFS(worksheet[[#This Row],[age]]&lt;25,"1. Young Adulthood (18-24)",worksheet[[#This Row],[age]]&lt; 35,"2. Early Adulthood (25-34)",worksheet[[#This Row],[age]]&lt; 45,"3. Mid Adulthood (35-44)",worksheet[[#This Row],[age]]&lt; 55,"4. Mature Adulthood (45-54)",TRUE,"5. Late Adulthood/Senior (55+)")</f>
        <v>3. Mid Adulthood (35-44)</v>
      </c>
      <c r="D1958" t="s">
        <v>15</v>
      </c>
      <c r="E1958" t="s">
        <v>32</v>
      </c>
      <c r="F1958" s="4">
        <v>2.14</v>
      </c>
      <c r="G1958" s="5">
        <v>12</v>
      </c>
      <c r="H1958" t="s">
        <v>49</v>
      </c>
      <c r="I1958" t="s">
        <v>18</v>
      </c>
      <c r="J1958" s="6">
        <v>17.989999999999998</v>
      </c>
      <c r="K1958">
        <v>1</v>
      </c>
      <c r="L1958" t="s">
        <v>29</v>
      </c>
      <c r="M1958" s="5">
        <v>1</v>
      </c>
      <c r="N1958" s="4">
        <v>0.16</v>
      </c>
      <c r="O1958" t="s">
        <v>20</v>
      </c>
    </row>
    <row r="1959" spans="1:15" x14ac:dyDescent="0.3">
      <c r="A1959" t="s">
        <v>1812</v>
      </c>
      <c r="B1959" s="5">
        <v>37</v>
      </c>
      <c r="C1959" s="5" t="str" cm="1">
        <f t="array" ref="C1959">_xlfn.IFS(worksheet[[#This Row],[age]]&lt;25,"1. Young Adulthood (18-24)",worksheet[[#This Row],[age]]&lt; 35,"2. Early Adulthood (25-34)",worksheet[[#This Row],[age]]&lt; 45,"3. Mid Adulthood (35-44)",worksheet[[#This Row],[age]]&lt; 55,"4. Mature Adulthood (45-54)",TRUE,"5. Late Adulthood/Senior (55+)")</f>
        <v>3. Mid Adulthood (35-44)</v>
      </c>
      <c r="D1959" t="s">
        <v>15</v>
      </c>
      <c r="E1959" t="s">
        <v>16</v>
      </c>
      <c r="F1959" s="4">
        <v>13.86</v>
      </c>
      <c r="G1959" s="5">
        <v>55</v>
      </c>
      <c r="H1959" t="s">
        <v>33</v>
      </c>
      <c r="I1959" t="s">
        <v>24</v>
      </c>
      <c r="J1959" s="6">
        <v>8.99</v>
      </c>
      <c r="K1959">
        <v>1</v>
      </c>
      <c r="L1959" t="s">
        <v>43</v>
      </c>
      <c r="M1959" s="5">
        <v>2</v>
      </c>
      <c r="N1959" s="4">
        <v>0.25</v>
      </c>
      <c r="O1959" t="s">
        <v>39</v>
      </c>
    </row>
    <row r="1960" spans="1:15" x14ac:dyDescent="0.3">
      <c r="A1960" t="s">
        <v>1814</v>
      </c>
      <c r="B1960" s="5">
        <v>35</v>
      </c>
      <c r="C1960" s="5" t="str" cm="1">
        <f t="array" ref="C1960">_xlfn.IFS(worksheet[[#This Row],[age]]&lt;25,"1. Young Adulthood (18-24)",worksheet[[#This Row],[age]]&lt; 35,"2. Early Adulthood (25-34)",worksheet[[#This Row],[age]]&lt; 45,"3. Mid Adulthood (35-44)",worksheet[[#This Row],[age]]&lt; 55,"4. Mature Adulthood (45-54)",TRUE,"5. Late Adulthood/Senior (55+)")</f>
        <v>3. Mid Adulthood (35-44)</v>
      </c>
      <c r="D1960" t="s">
        <v>41</v>
      </c>
      <c r="E1960" t="s">
        <v>16</v>
      </c>
      <c r="F1960" s="4">
        <v>32.1</v>
      </c>
      <c r="G1960" s="5">
        <v>58</v>
      </c>
      <c r="H1960" t="s">
        <v>23</v>
      </c>
      <c r="I1960" t="s">
        <v>24</v>
      </c>
      <c r="J1960" s="6">
        <v>8.99</v>
      </c>
      <c r="K1960">
        <v>0</v>
      </c>
      <c r="L1960" t="s">
        <v>19</v>
      </c>
      <c r="M1960" s="5">
        <v>4</v>
      </c>
      <c r="N1960" s="4">
        <v>0.54</v>
      </c>
      <c r="O1960" t="s">
        <v>47</v>
      </c>
    </row>
    <row r="1961" spans="1:15" x14ac:dyDescent="0.3">
      <c r="A1961" t="s">
        <v>1819</v>
      </c>
      <c r="B1961" s="5">
        <v>41</v>
      </c>
      <c r="C1961" s="5" t="str" cm="1">
        <f t="array" ref="C1961">_xlfn.IFS(worksheet[[#This Row],[age]]&lt;25,"1. Young Adulthood (18-24)",worksheet[[#This Row],[age]]&lt; 35,"2. Early Adulthood (25-34)",worksheet[[#This Row],[age]]&lt; 45,"3. Mid Adulthood (35-44)",worksheet[[#This Row],[age]]&lt; 55,"4. Mature Adulthood (45-54)",TRUE,"5. Late Adulthood/Senior (55+)")</f>
        <v>3. Mid Adulthood (35-44)</v>
      </c>
      <c r="D1961" t="s">
        <v>41</v>
      </c>
      <c r="E1961" t="s">
        <v>22</v>
      </c>
      <c r="F1961" s="4">
        <v>1.87</v>
      </c>
      <c r="G1961" s="5">
        <v>37</v>
      </c>
      <c r="H1961" t="s">
        <v>23</v>
      </c>
      <c r="I1961" t="s">
        <v>55</v>
      </c>
      <c r="J1961" s="6">
        <v>13.99</v>
      </c>
      <c r="K1961">
        <v>1</v>
      </c>
      <c r="L1961" t="s">
        <v>29</v>
      </c>
      <c r="M1961" s="5">
        <v>2</v>
      </c>
      <c r="N1961" s="4">
        <v>0.05</v>
      </c>
      <c r="O1961" t="s">
        <v>25</v>
      </c>
    </row>
    <row r="1962" spans="1:15" x14ac:dyDescent="0.3">
      <c r="A1962" t="s">
        <v>1830</v>
      </c>
      <c r="B1962" s="5">
        <v>43</v>
      </c>
      <c r="C1962" s="5" t="str" cm="1">
        <f t="array" ref="C1962">_xlfn.IFS(worksheet[[#This Row],[age]]&lt;25,"1. Young Adulthood (18-24)",worksheet[[#This Row],[age]]&lt; 35,"2. Early Adulthood (25-34)",worksheet[[#This Row],[age]]&lt; 45,"3. Mid Adulthood (35-44)",worksheet[[#This Row],[age]]&lt; 55,"4. Mature Adulthood (45-54)",TRUE,"5. Late Adulthood/Senior (55+)")</f>
        <v>3. Mid Adulthood (35-44)</v>
      </c>
      <c r="D1962" t="s">
        <v>27</v>
      </c>
      <c r="E1962" t="s">
        <v>32</v>
      </c>
      <c r="F1962" s="4">
        <v>12.18</v>
      </c>
      <c r="G1962" s="5">
        <v>50</v>
      </c>
      <c r="H1962" t="s">
        <v>23</v>
      </c>
      <c r="I1962" t="s">
        <v>46</v>
      </c>
      <c r="J1962" s="6">
        <v>17.989999999999998</v>
      </c>
      <c r="K1962">
        <v>1</v>
      </c>
      <c r="L1962" t="s">
        <v>19</v>
      </c>
      <c r="M1962" s="5">
        <v>3</v>
      </c>
      <c r="N1962" s="4">
        <v>0.24</v>
      </c>
      <c r="O1962" t="s">
        <v>39</v>
      </c>
    </row>
    <row r="1963" spans="1:15" x14ac:dyDescent="0.3">
      <c r="A1963" t="s">
        <v>1832</v>
      </c>
      <c r="B1963" s="5">
        <v>44</v>
      </c>
      <c r="C1963" s="5" t="str" cm="1">
        <f t="array" ref="C1963">_xlfn.IFS(worksheet[[#This Row],[age]]&lt;25,"1. Young Adulthood (18-24)",worksheet[[#This Row],[age]]&lt; 35,"2. Early Adulthood (25-34)",worksheet[[#This Row],[age]]&lt; 45,"3. Mid Adulthood (35-44)",worksheet[[#This Row],[age]]&lt; 55,"4. Mature Adulthood (45-54)",TRUE,"5. Late Adulthood/Senior (55+)")</f>
        <v>3. Mid Adulthood (35-44)</v>
      </c>
      <c r="D1963" t="s">
        <v>41</v>
      </c>
      <c r="E1963" t="s">
        <v>32</v>
      </c>
      <c r="F1963" s="4">
        <v>2.11</v>
      </c>
      <c r="G1963" s="5">
        <v>25</v>
      </c>
      <c r="H1963" t="s">
        <v>23</v>
      </c>
      <c r="I1963" t="s">
        <v>18</v>
      </c>
      <c r="J1963" s="6">
        <v>17.989999999999998</v>
      </c>
      <c r="K1963">
        <v>0</v>
      </c>
      <c r="L1963" t="s">
        <v>43</v>
      </c>
      <c r="M1963" s="5">
        <v>4</v>
      </c>
      <c r="N1963" s="4">
        <v>0.08</v>
      </c>
      <c r="O1963" t="s">
        <v>30</v>
      </c>
    </row>
    <row r="1964" spans="1:15" x14ac:dyDescent="0.3">
      <c r="A1964" t="s">
        <v>1837</v>
      </c>
      <c r="B1964" s="5">
        <v>43</v>
      </c>
      <c r="C1964" s="5" t="str" cm="1">
        <f t="array" ref="C1964">_xlfn.IFS(worksheet[[#This Row],[age]]&lt;25,"1. Young Adulthood (18-24)",worksheet[[#This Row],[age]]&lt; 35,"2. Early Adulthood (25-34)",worksheet[[#This Row],[age]]&lt; 45,"3. Mid Adulthood (35-44)",worksheet[[#This Row],[age]]&lt; 55,"4. Mature Adulthood (45-54)",TRUE,"5. Late Adulthood/Senior (55+)")</f>
        <v>3. Mid Adulthood (35-44)</v>
      </c>
      <c r="D1964" t="s">
        <v>27</v>
      </c>
      <c r="E1964" t="s">
        <v>22</v>
      </c>
      <c r="F1964" s="4">
        <v>3.24</v>
      </c>
      <c r="G1964" s="5">
        <v>23</v>
      </c>
      <c r="H1964" t="s">
        <v>49</v>
      </c>
      <c r="I1964" t="s">
        <v>46</v>
      </c>
      <c r="J1964" s="6">
        <v>13.99</v>
      </c>
      <c r="K1964">
        <v>1</v>
      </c>
      <c r="L1964" t="s">
        <v>19</v>
      </c>
      <c r="M1964" s="5">
        <v>5</v>
      </c>
      <c r="N1964" s="4">
        <v>0.14000000000000001</v>
      </c>
      <c r="O1964" t="s">
        <v>30</v>
      </c>
    </row>
    <row r="1965" spans="1:15" x14ac:dyDescent="0.3">
      <c r="A1965" t="s">
        <v>1842</v>
      </c>
      <c r="B1965" s="5">
        <v>37</v>
      </c>
      <c r="C1965" s="5" t="str" cm="1">
        <f t="array" ref="C1965">_xlfn.IFS(worksheet[[#This Row],[age]]&lt;25,"1. Young Adulthood (18-24)",worksheet[[#This Row],[age]]&lt; 35,"2. Early Adulthood (25-34)",worksheet[[#This Row],[age]]&lt; 45,"3. Mid Adulthood (35-44)",worksheet[[#This Row],[age]]&lt; 55,"4. Mature Adulthood (45-54)",TRUE,"5. Late Adulthood/Senior (55+)")</f>
        <v>3. Mid Adulthood (35-44)</v>
      </c>
      <c r="D1965" t="s">
        <v>15</v>
      </c>
      <c r="E1965" t="s">
        <v>22</v>
      </c>
      <c r="F1965" s="4">
        <v>1.56</v>
      </c>
      <c r="G1965" s="5">
        <v>21</v>
      </c>
      <c r="H1965" t="s">
        <v>49</v>
      </c>
      <c r="I1965" t="s">
        <v>55</v>
      </c>
      <c r="J1965" s="6">
        <v>13.99</v>
      </c>
      <c r="K1965">
        <v>0</v>
      </c>
      <c r="L1965" t="s">
        <v>61</v>
      </c>
      <c r="M1965" s="5">
        <v>5</v>
      </c>
      <c r="N1965" s="4">
        <v>7.0000000000000007E-2</v>
      </c>
      <c r="O1965" t="s">
        <v>47</v>
      </c>
    </row>
    <row r="1966" spans="1:15" x14ac:dyDescent="0.3">
      <c r="A1966" t="s">
        <v>1845</v>
      </c>
      <c r="B1966" s="5">
        <v>35</v>
      </c>
      <c r="C1966" s="5" t="str" cm="1">
        <f t="array" ref="C1966">_xlfn.IFS(worksheet[[#This Row],[age]]&lt;25,"1. Young Adulthood (18-24)",worksheet[[#This Row],[age]]&lt; 35,"2. Early Adulthood (25-34)",worksheet[[#This Row],[age]]&lt; 45,"3. Mid Adulthood (35-44)",worksheet[[#This Row],[age]]&lt; 55,"4. Mature Adulthood (45-54)",TRUE,"5. Late Adulthood/Senior (55+)")</f>
        <v>3. Mid Adulthood (35-44)</v>
      </c>
      <c r="D1966" t="s">
        <v>27</v>
      </c>
      <c r="E1966" t="s">
        <v>22</v>
      </c>
      <c r="F1966" s="4">
        <v>20.45</v>
      </c>
      <c r="G1966" s="5">
        <v>10</v>
      </c>
      <c r="H1966" t="s">
        <v>23</v>
      </c>
      <c r="I1966" t="s">
        <v>57</v>
      </c>
      <c r="J1966" s="6">
        <v>13.99</v>
      </c>
      <c r="K1966">
        <v>0</v>
      </c>
      <c r="L1966" t="s">
        <v>61</v>
      </c>
      <c r="M1966" s="5">
        <v>2</v>
      </c>
      <c r="N1966" s="4">
        <v>1.86</v>
      </c>
      <c r="O1966" t="s">
        <v>25</v>
      </c>
    </row>
    <row r="1967" spans="1:15" x14ac:dyDescent="0.3">
      <c r="A1967" t="s">
        <v>1850</v>
      </c>
      <c r="B1967" s="5">
        <v>38</v>
      </c>
      <c r="C1967" s="5" t="str" cm="1">
        <f t="array" ref="C1967">_xlfn.IFS(worksheet[[#This Row],[age]]&lt;25,"1. Young Adulthood (18-24)",worksheet[[#This Row],[age]]&lt; 35,"2. Early Adulthood (25-34)",worksheet[[#This Row],[age]]&lt; 45,"3. Mid Adulthood (35-44)",worksheet[[#This Row],[age]]&lt; 55,"4. Mature Adulthood (45-54)",TRUE,"5. Late Adulthood/Senior (55+)")</f>
        <v>3. Mid Adulthood (35-44)</v>
      </c>
      <c r="D1967" t="s">
        <v>41</v>
      </c>
      <c r="E1967" t="s">
        <v>32</v>
      </c>
      <c r="F1967" s="4">
        <v>11.96</v>
      </c>
      <c r="G1967" s="5">
        <v>22</v>
      </c>
      <c r="H1967" t="s">
        <v>70</v>
      </c>
      <c r="I1967" t="s">
        <v>18</v>
      </c>
      <c r="J1967" s="6">
        <v>17.989999999999998</v>
      </c>
      <c r="K1967">
        <v>0</v>
      </c>
      <c r="L1967" t="s">
        <v>37</v>
      </c>
      <c r="M1967" s="5">
        <v>4</v>
      </c>
      <c r="N1967" s="4">
        <v>0.52</v>
      </c>
      <c r="O1967" t="s">
        <v>30</v>
      </c>
    </row>
    <row r="1968" spans="1:15" x14ac:dyDescent="0.3">
      <c r="A1968" s="1" t="s">
        <v>1856</v>
      </c>
      <c r="B1968" s="5">
        <v>35</v>
      </c>
      <c r="C1968" s="5" t="str" cm="1">
        <f t="array" ref="C1968">_xlfn.IFS(worksheet[[#This Row],[age]]&lt;25,"1. Young Adulthood (18-24)",worksheet[[#This Row],[age]]&lt; 35,"2. Early Adulthood (25-34)",worksheet[[#This Row],[age]]&lt; 45,"3. Mid Adulthood (35-44)",worksheet[[#This Row],[age]]&lt; 55,"4. Mature Adulthood (45-54)",TRUE,"5. Late Adulthood/Senior (55+)")</f>
        <v>3. Mid Adulthood (35-44)</v>
      </c>
      <c r="D1968" t="s">
        <v>27</v>
      </c>
      <c r="E1968" t="s">
        <v>16</v>
      </c>
      <c r="F1968" s="4">
        <v>20.74</v>
      </c>
      <c r="G1968" s="5">
        <v>51</v>
      </c>
      <c r="H1968" t="s">
        <v>33</v>
      </c>
      <c r="I1968" t="s">
        <v>24</v>
      </c>
      <c r="J1968" s="6">
        <v>8.99</v>
      </c>
      <c r="K1968">
        <v>0</v>
      </c>
      <c r="L1968" t="s">
        <v>37</v>
      </c>
      <c r="M1968" s="5">
        <v>5</v>
      </c>
      <c r="N1968" s="4">
        <v>0.4</v>
      </c>
      <c r="O1968" t="s">
        <v>34</v>
      </c>
    </row>
    <row r="1969" spans="1:15" x14ac:dyDescent="0.3">
      <c r="A1969" t="s">
        <v>1859</v>
      </c>
      <c r="B1969" s="5">
        <v>37</v>
      </c>
      <c r="C1969" s="5" t="str" cm="1">
        <f t="array" ref="C1969">_xlfn.IFS(worksheet[[#This Row],[age]]&lt;25,"1. Young Adulthood (18-24)",worksheet[[#This Row],[age]]&lt; 35,"2. Early Adulthood (25-34)",worksheet[[#This Row],[age]]&lt; 45,"3. Mid Adulthood (35-44)",worksheet[[#This Row],[age]]&lt; 55,"4. Mature Adulthood (45-54)",TRUE,"5. Late Adulthood/Senior (55+)")</f>
        <v>3. Mid Adulthood (35-44)</v>
      </c>
      <c r="D1969" t="s">
        <v>27</v>
      </c>
      <c r="E1969" t="s">
        <v>16</v>
      </c>
      <c r="F1969" s="4">
        <v>12.73</v>
      </c>
      <c r="G1969" s="5">
        <v>49</v>
      </c>
      <c r="H1969" t="s">
        <v>17</v>
      </c>
      <c r="I1969" t="s">
        <v>24</v>
      </c>
      <c r="J1969" s="6">
        <v>8.99</v>
      </c>
      <c r="K1969">
        <v>1</v>
      </c>
      <c r="L1969" t="s">
        <v>61</v>
      </c>
      <c r="M1969" s="5">
        <v>3</v>
      </c>
      <c r="N1969" s="4">
        <v>0.25</v>
      </c>
      <c r="O1969" t="s">
        <v>20</v>
      </c>
    </row>
    <row r="1970" spans="1:15" x14ac:dyDescent="0.3">
      <c r="A1970" t="s">
        <v>1875</v>
      </c>
      <c r="B1970" s="5">
        <v>44</v>
      </c>
      <c r="C1970" s="5" t="str" cm="1">
        <f t="array" ref="C1970">_xlfn.IFS(worksheet[[#This Row],[age]]&lt;25,"1. Young Adulthood (18-24)",worksheet[[#This Row],[age]]&lt; 35,"2. Early Adulthood (25-34)",worksheet[[#This Row],[age]]&lt; 45,"3. Mid Adulthood (35-44)",worksheet[[#This Row],[age]]&lt; 55,"4. Mature Adulthood (45-54)",TRUE,"5. Late Adulthood/Senior (55+)")</f>
        <v>3. Mid Adulthood (35-44)</v>
      </c>
      <c r="D1970" t="s">
        <v>27</v>
      </c>
      <c r="E1970" t="s">
        <v>32</v>
      </c>
      <c r="F1970" s="4">
        <v>7.59</v>
      </c>
      <c r="G1970" s="5">
        <v>46</v>
      </c>
      <c r="H1970" t="s">
        <v>28</v>
      </c>
      <c r="I1970" t="s">
        <v>18</v>
      </c>
      <c r="J1970" s="6">
        <v>17.989999999999998</v>
      </c>
      <c r="K1970">
        <v>1</v>
      </c>
      <c r="L1970" t="s">
        <v>43</v>
      </c>
      <c r="M1970" s="5">
        <v>2</v>
      </c>
      <c r="N1970" s="4">
        <v>0.16</v>
      </c>
      <c r="O1970" t="s">
        <v>39</v>
      </c>
    </row>
    <row r="1971" spans="1:15" x14ac:dyDescent="0.3">
      <c r="A1971" t="s">
        <v>1876</v>
      </c>
      <c r="B1971" s="5">
        <v>39</v>
      </c>
      <c r="C1971" s="5" t="str" cm="1">
        <f t="array" ref="C1971">_xlfn.IFS(worksheet[[#This Row],[age]]&lt;25,"1. Young Adulthood (18-24)",worksheet[[#This Row],[age]]&lt; 35,"2. Early Adulthood (25-34)",worksheet[[#This Row],[age]]&lt; 45,"3. Mid Adulthood (35-44)",worksheet[[#This Row],[age]]&lt; 55,"4. Mature Adulthood (45-54)",TRUE,"5. Late Adulthood/Senior (55+)")</f>
        <v>3. Mid Adulthood (35-44)</v>
      </c>
      <c r="D1971" t="s">
        <v>41</v>
      </c>
      <c r="E1971" t="s">
        <v>22</v>
      </c>
      <c r="F1971" s="4">
        <v>6.8</v>
      </c>
      <c r="G1971" s="5">
        <v>44</v>
      </c>
      <c r="H1971" t="s">
        <v>17</v>
      </c>
      <c r="I1971" t="s">
        <v>55</v>
      </c>
      <c r="J1971" s="6">
        <v>13.99</v>
      </c>
      <c r="K1971">
        <v>1</v>
      </c>
      <c r="L1971" t="s">
        <v>29</v>
      </c>
      <c r="M1971" s="5">
        <v>3</v>
      </c>
      <c r="N1971" s="4">
        <v>0.15</v>
      </c>
      <c r="O1971" t="s">
        <v>39</v>
      </c>
    </row>
    <row r="1972" spans="1:15" x14ac:dyDescent="0.3">
      <c r="A1972" t="s">
        <v>1878</v>
      </c>
      <c r="B1972" s="5">
        <v>44</v>
      </c>
      <c r="C1972" s="5" t="str" cm="1">
        <f t="array" ref="C1972">_xlfn.IFS(worksheet[[#This Row],[age]]&lt;25,"1. Young Adulthood (18-24)",worksheet[[#This Row],[age]]&lt; 35,"2. Early Adulthood (25-34)",worksheet[[#This Row],[age]]&lt; 45,"3. Mid Adulthood (35-44)",worksheet[[#This Row],[age]]&lt; 55,"4. Mature Adulthood (45-54)",TRUE,"5. Late Adulthood/Senior (55+)")</f>
        <v>3. Mid Adulthood (35-44)</v>
      </c>
      <c r="D1972" t="s">
        <v>27</v>
      </c>
      <c r="E1972" t="s">
        <v>16</v>
      </c>
      <c r="F1972" s="4">
        <v>1.69</v>
      </c>
      <c r="G1972" s="5">
        <v>7</v>
      </c>
      <c r="H1972" t="s">
        <v>70</v>
      </c>
      <c r="I1972" t="s">
        <v>24</v>
      </c>
      <c r="J1972" s="6">
        <v>8.99</v>
      </c>
      <c r="K1972">
        <v>1</v>
      </c>
      <c r="L1972" t="s">
        <v>29</v>
      </c>
      <c r="M1972" s="5">
        <v>5</v>
      </c>
      <c r="N1972" s="4">
        <v>0.21</v>
      </c>
      <c r="O1972" t="s">
        <v>39</v>
      </c>
    </row>
    <row r="1973" spans="1:15" x14ac:dyDescent="0.3">
      <c r="A1973" t="s">
        <v>1885</v>
      </c>
      <c r="B1973" s="5">
        <v>35</v>
      </c>
      <c r="C1973" s="5" t="str" cm="1">
        <f t="array" ref="C1973">_xlfn.IFS(worksheet[[#This Row],[age]]&lt;25,"1. Young Adulthood (18-24)",worksheet[[#This Row],[age]]&lt; 35,"2. Early Adulthood (25-34)",worksheet[[#This Row],[age]]&lt; 45,"3. Mid Adulthood (35-44)",worksheet[[#This Row],[age]]&lt; 55,"4. Mature Adulthood (45-54)",TRUE,"5. Late Adulthood/Senior (55+)")</f>
        <v>3. Mid Adulthood (35-44)</v>
      </c>
      <c r="D1973" t="s">
        <v>27</v>
      </c>
      <c r="E1973" t="s">
        <v>16</v>
      </c>
      <c r="F1973" s="4">
        <v>8.85</v>
      </c>
      <c r="G1973" s="5">
        <v>48</v>
      </c>
      <c r="H1973" t="s">
        <v>33</v>
      </c>
      <c r="I1973" t="s">
        <v>24</v>
      </c>
      <c r="J1973" s="6">
        <v>8.99</v>
      </c>
      <c r="K1973">
        <v>1</v>
      </c>
      <c r="L1973" t="s">
        <v>29</v>
      </c>
      <c r="M1973" s="5">
        <v>5</v>
      </c>
      <c r="N1973" s="4">
        <v>0.18</v>
      </c>
      <c r="O1973" t="s">
        <v>39</v>
      </c>
    </row>
    <row r="1974" spans="1:15" x14ac:dyDescent="0.3">
      <c r="A1974" t="s">
        <v>1897</v>
      </c>
      <c r="B1974" s="5">
        <v>43</v>
      </c>
      <c r="C1974" s="5" t="str" cm="1">
        <f t="array" ref="C1974">_xlfn.IFS(worksheet[[#This Row],[age]]&lt;25,"1. Young Adulthood (18-24)",worksheet[[#This Row],[age]]&lt; 35,"2. Early Adulthood (25-34)",worksheet[[#This Row],[age]]&lt; 45,"3. Mid Adulthood (35-44)",worksheet[[#This Row],[age]]&lt; 55,"4. Mature Adulthood (45-54)",TRUE,"5. Late Adulthood/Senior (55+)")</f>
        <v>3. Mid Adulthood (35-44)</v>
      </c>
      <c r="D1974" t="s">
        <v>41</v>
      </c>
      <c r="E1974" t="s">
        <v>22</v>
      </c>
      <c r="F1974" s="4">
        <v>9.1300000000000008</v>
      </c>
      <c r="G1974" s="5">
        <v>12</v>
      </c>
      <c r="H1974" t="s">
        <v>17</v>
      </c>
      <c r="I1974" t="s">
        <v>24</v>
      </c>
      <c r="J1974" s="6">
        <v>13.99</v>
      </c>
      <c r="K1974">
        <v>0</v>
      </c>
      <c r="L1974" t="s">
        <v>37</v>
      </c>
      <c r="M1974" s="5">
        <v>3</v>
      </c>
      <c r="N1974" s="4">
        <v>0.7</v>
      </c>
      <c r="O1974" t="s">
        <v>52</v>
      </c>
    </row>
    <row r="1975" spans="1:15" x14ac:dyDescent="0.3">
      <c r="A1975" t="s">
        <v>1908</v>
      </c>
      <c r="B1975" s="5">
        <v>43</v>
      </c>
      <c r="C1975" s="5" t="str" cm="1">
        <f t="array" ref="C1975">_xlfn.IFS(worksheet[[#This Row],[age]]&lt;25,"1. Young Adulthood (18-24)",worksheet[[#This Row],[age]]&lt; 35,"2. Early Adulthood (25-34)",worksheet[[#This Row],[age]]&lt; 45,"3. Mid Adulthood (35-44)",worksheet[[#This Row],[age]]&lt; 55,"4. Mature Adulthood (45-54)",TRUE,"5. Late Adulthood/Senior (55+)")</f>
        <v>3. Mid Adulthood (35-44)</v>
      </c>
      <c r="D1975" t="s">
        <v>27</v>
      </c>
      <c r="E1975" t="s">
        <v>16</v>
      </c>
      <c r="F1975" s="4">
        <v>1.51</v>
      </c>
      <c r="G1975" s="5">
        <v>29</v>
      </c>
      <c r="H1975" t="s">
        <v>70</v>
      </c>
      <c r="I1975" t="s">
        <v>55</v>
      </c>
      <c r="J1975" s="6">
        <v>8.99</v>
      </c>
      <c r="K1975">
        <v>1</v>
      </c>
      <c r="L1975" t="s">
        <v>61</v>
      </c>
      <c r="M1975" s="5">
        <v>2</v>
      </c>
      <c r="N1975" s="4">
        <v>0.05</v>
      </c>
      <c r="O1975" t="s">
        <v>52</v>
      </c>
    </row>
    <row r="1976" spans="1:15" x14ac:dyDescent="0.3">
      <c r="A1976" t="s">
        <v>1911</v>
      </c>
      <c r="B1976" s="5">
        <v>44</v>
      </c>
      <c r="C1976" s="5" t="str" cm="1">
        <f t="array" ref="C1976">_xlfn.IFS(worksheet[[#This Row],[age]]&lt;25,"1. Young Adulthood (18-24)",worksheet[[#This Row],[age]]&lt; 35,"2. Early Adulthood (25-34)",worksheet[[#This Row],[age]]&lt; 45,"3. Mid Adulthood (35-44)",worksheet[[#This Row],[age]]&lt; 55,"4. Mature Adulthood (45-54)",TRUE,"5. Late Adulthood/Senior (55+)")</f>
        <v>3. Mid Adulthood (35-44)</v>
      </c>
      <c r="D1976" t="s">
        <v>27</v>
      </c>
      <c r="E1976" t="s">
        <v>22</v>
      </c>
      <c r="F1976" s="4">
        <v>0.55000000000000004</v>
      </c>
      <c r="G1976" s="5">
        <v>51</v>
      </c>
      <c r="H1976" t="s">
        <v>28</v>
      </c>
      <c r="I1976" t="s">
        <v>57</v>
      </c>
      <c r="J1976" s="6">
        <v>13.99</v>
      </c>
      <c r="K1976">
        <v>1</v>
      </c>
      <c r="L1976" t="s">
        <v>29</v>
      </c>
      <c r="M1976" s="5">
        <v>2</v>
      </c>
      <c r="N1976" s="4">
        <v>0.01</v>
      </c>
      <c r="O1976" t="s">
        <v>52</v>
      </c>
    </row>
    <row r="1977" spans="1:15" x14ac:dyDescent="0.3">
      <c r="A1977" t="s">
        <v>1922</v>
      </c>
      <c r="B1977" s="5">
        <v>37</v>
      </c>
      <c r="C1977" s="5" t="str" cm="1">
        <f t="array" ref="C1977">_xlfn.IFS(worksheet[[#This Row],[age]]&lt;25,"1. Young Adulthood (18-24)",worksheet[[#This Row],[age]]&lt; 35,"2. Early Adulthood (25-34)",worksheet[[#This Row],[age]]&lt; 45,"3. Mid Adulthood (35-44)",worksheet[[#This Row],[age]]&lt; 55,"4. Mature Adulthood (45-54)",TRUE,"5. Late Adulthood/Senior (55+)")</f>
        <v>3. Mid Adulthood (35-44)</v>
      </c>
      <c r="D1977" t="s">
        <v>15</v>
      </c>
      <c r="E1977" t="s">
        <v>22</v>
      </c>
      <c r="F1977" s="4">
        <v>18.23</v>
      </c>
      <c r="G1977" s="5">
        <v>36</v>
      </c>
      <c r="H1977" t="s">
        <v>33</v>
      </c>
      <c r="I1977" t="s">
        <v>55</v>
      </c>
      <c r="J1977" s="6">
        <v>13.99</v>
      </c>
      <c r="K1977">
        <v>1</v>
      </c>
      <c r="L1977" t="s">
        <v>19</v>
      </c>
      <c r="M1977" s="5">
        <v>5</v>
      </c>
      <c r="N1977" s="4">
        <v>0.49</v>
      </c>
      <c r="O1977" t="s">
        <v>20</v>
      </c>
    </row>
    <row r="1978" spans="1:15" x14ac:dyDescent="0.3">
      <c r="A1978" t="s">
        <v>1931</v>
      </c>
      <c r="B1978" s="5">
        <v>36</v>
      </c>
      <c r="C1978" s="5" t="str" cm="1">
        <f t="array" ref="C1978">_xlfn.IFS(worksheet[[#This Row],[age]]&lt;25,"1. Young Adulthood (18-24)",worksheet[[#This Row],[age]]&lt; 35,"2. Early Adulthood (25-34)",worksheet[[#This Row],[age]]&lt; 45,"3. Mid Adulthood (35-44)",worksheet[[#This Row],[age]]&lt; 55,"4. Mature Adulthood (45-54)",TRUE,"5. Late Adulthood/Senior (55+)")</f>
        <v>3. Mid Adulthood (35-44)</v>
      </c>
      <c r="D1978" t="s">
        <v>41</v>
      </c>
      <c r="E1978" t="s">
        <v>16</v>
      </c>
      <c r="F1978" s="4">
        <v>34.97</v>
      </c>
      <c r="G1978" s="5">
        <v>16</v>
      </c>
      <c r="H1978" t="s">
        <v>23</v>
      </c>
      <c r="I1978" t="s">
        <v>18</v>
      </c>
      <c r="J1978" s="6">
        <v>8.99</v>
      </c>
      <c r="K1978">
        <v>0</v>
      </c>
      <c r="L1978" t="s">
        <v>43</v>
      </c>
      <c r="M1978" s="5">
        <v>2</v>
      </c>
      <c r="N1978" s="4">
        <v>2.06</v>
      </c>
      <c r="O1978" t="s">
        <v>20</v>
      </c>
    </row>
    <row r="1979" spans="1:15" x14ac:dyDescent="0.3">
      <c r="A1979" t="s">
        <v>1942</v>
      </c>
      <c r="B1979" s="5">
        <v>37</v>
      </c>
      <c r="C1979" s="5" t="str" cm="1">
        <f t="array" ref="C1979">_xlfn.IFS(worksheet[[#This Row],[age]]&lt;25,"1. Young Adulthood (18-24)",worksheet[[#This Row],[age]]&lt; 35,"2. Early Adulthood (25-34)",worksheet[[#This Row],[age]]&lt; 45,"3. Mid Adulthood (35-44)",worksheet[[#This Row],[age]]&lt; 55,"4. Mature Adulthood (45-54)",TRUE,"5. Late Adulthood/Senior (55+)")</f>
        <v>3. Mid Adulthood (35-44)</v>
      </c>
      <c r="D1979" t="s">
        <v>27</v>
      </c>
      <c r="E1979" t="s">
        <v>16</v>
      </c>
      <c r="F1979" s="4">
        <v>5.62</v>
      </c>
      <c r="G1979" s="5">
        <v>19</v>
      </c>
      <c r="H1979" t="s">
        <v>28</v>
      </c>
      <c r="I1979" t="s">
        <v>46</v>
      </c>
      <c r="J1979" s="6">
        <v>8.99</v>
      </c>
      <c r="K1979">
        <v>1</v>
      </c>
      <c r="L1979" t="s">
        <v>29</v>
      </c>
      <c r="M1979" s="5">
        <v>3</v>
      </c>
      <c r="N1979" s="4">
        <v>0.28000000000000003</v>
      </c>
      <c r="O1979" t="s">
        <v>39</v>
      </c>
    </row>
    <row r="1980" spans="1:15" x14ac:dyDescent="0.3">
      <c r="A1980" t="s">
        <v>1944</v>
      </c>
      <c r="B1980" s="5">
        <v>37</v>
      </c>
      <c r="C1980" s="5" t="str" cm="1">
        <f t="array" ref="C1980">_xlfn.IFS(worksheet[[#This Row],[age]]&lt;25,"1. Young Adulthood (18-24)",worksheet[[#This Row],[age]]&lt; 35,"2. Early Adulthood (25-34)",worksheet[[#This Row],[age]]&lt; 45,"3. Mid Adulthood (35-44)",worksheet[[#This Row],[age]]&lt; 55,"4. Mature Adulthood (45-54)",TRUE,"5. Late Adulthood/Senior (55+)")</f>
        <v>3. Mid Adulthood (35-44)</v>
      </c>
      <c r="D1980" t="s">
        <v>15</v>
      </c>
      <c r="E1980" t="s">
        <v>16</v>
      </c>
      <c r="F1980" s="4">
        <v>10.37</v>
      </c>
      <c r="G1980" s="5">
        <v>58</v>
      </c>
      <c r="H1980" t="s">
        <v>49</v>
      </c>
      <c r="I1980" t="s">
        <v>57</v>
      </c>
      <c r="J1980" s="6">
        <v>8.99</v>
      </c>
      <c r="K1980">
        <v>1</v>
      </c>
      <c r="L1980" t="s">
        <v>61</v>
      </c>
      <c r="M1980" s="5">
        <v>1</v>
      </c>
      <c r="N1980" s="4">
        <v>0.18</v>
      </c>
      <c r="O1980" t="s">
        <v>34</v>
      </c>
    </row>
    <row r="1981" spans="1:15" x14ac:dyDescent="0.3">
      <c r="A1981" t="s">
        <v>1946</v>
      </c>
      <c r="B1981" s="5">
        <v>39</v>
      </c>
      <c r="C1981" s="5" t="str" cm="1">
        <f t="array" ref="C1981">_xlfn.IFS(worksheet[[#This Row],[age]]&lt;25,"1. Young Adulthood (18-24)",worksheet[[#This Row],[age]]&lt; 35,"2. Early Adulthood (25-34)",worksheet[[#This Row],[age]]&lt; 45,"3. Mid Adulthood (35-44)",worksheet[[#This Row],[age]]&lt; 55,"4. Mature Adulthood (45-54)",TRUE,"5. Late Adulthood/Senior (55+)")</f>
        <v>3. Mid Adulthood (35-44)</v>
      </c>
      <c r="D1981" t="s">
        <v>15</v>
      </c>
      <c r="E1981" t="s">
        <v>32</v>
      </c>
      <c r="F1981" s="4">
        <v>22.35</v>
      </c>
      <c r="G1981" s="5">
        <v>36</v>
      </c>
      <c r="H1981" t="s">
        <v>28</v>
      </c>
      <c r="I1981" t="s">
        <v>18</v>
      </c>
      <c r="J1981" s="6">
        <v>17.989999999999998</v>
      </c>
      <c r="K1981">
        <v>0</v>
      </c>
      <c r="L1981" t="s">
        <v>19</v>
      </c>
      <c r="M1981" s="5">
        <v>5</v>
      </c>
      <c r="N1981" s="4">
        <v>0.6</v>
      </c>
      <c r="O1981" t="s">
        <v>39</v>
      </c>
    </row>
    <row r="1982" spans="1:15" x14ac:dyDescent="0.3">
      <c r="A1982" t="s">
        <v>1961</v>
      </c>
      <c r="B1982" s="5">
        <v>40</v>
      </c>
      <c r="C1982" s="5" t="str" cm="1">
        <f t="array" ref="C1982">_xlfn.IFS(worksheet[[#This Row],[age]]&lt;25,"1. Young Adulthood (18-24)",worksheet[[#This Row],[age]]&lt; 35,"2. Early Adulthood (25-34)",worksheet[[#This Row],[age]]&lt; 45,"3. Mid Adulthood (35-44)",worksheet[[#This Row],[age]]&lt; 55,"4. Mature Adulthood (45-54)",TRUE,"5. Late Adulthood/Senior (55+)")</f>
        <v>3. Mid Adulthood (35-44)</v>
      </c>
      <c r="D1982" t="s">
        <v>41</v>
      </c>
      <c r="E1982" t="s">
        <v>16</v>
      </c>
      <c r="F1982" s="4">
        <v>14.79</v>
      </c>
      <c r="G1982" s="5">
        <v>4</v>
      </c>
      <c r="H1982" t="s">
        <v>70</v>
      </c>
      <c r="I1982" t="s">
        <v>18</v>
      </c>
      <c r="J1982" s="6">
        <v>8.99</v>
      </c>
      <c r="K1982">
        <v>0</v>
      </c>
      <c r="L1982" t="s">
        <v>43</v>
      </c>
      <c r="M1982" s="5">
        <v>3</v>
      </c>
      <c r="N1982" s="4">
        <v>2.96</v>
      </c>
      <c r="O1982" t="s">
        <v>25</v>
      </c>
    </row>
    <row r="1983" spans="1:15" x14ac:dyDescent="0.3">
      <c r="A1983" t="s">
        <v>1964</v>
      </c>
      <c r="B1983" s="5">
        <v>37</v>
      </c>
      <c r="C1983" s="5" t="str" cm="1">
        <f t="array" ref="C1983">_xlfn.IFS(worksheet[[#This Row],[age]]&lt;25,"1. Young Adulthood (18-24)",worksheet[[#This Row],[age]]&lt; 35,"2. Early Adulthood (25-34)",worksheet[[#This Row],[age]]&lt; 45,"3. Mid Adulthood (35-44)",worksheet[[#This Row],[age]]&lt; 55,"4. Mature Adulthood (45-54)",TRUE,"5. Late Adulthood/Senior (55+)")</f>
        <v>3. Mid Adulthood (35-44)</v>
      </c>
      <c r="D1983" t="s">
        <v>41</v>
      </c>
      <c r="E1983" t="s">
        <v>22</v>
      </c>
      <c r="F1983" s="4">
        <v>4.6500000000000004</v>
      </c>
      <c r="G1983" s="5">
        <v>15</v>
      </c>
      <c r="H1983" t="s">
        <v>17</v>
      </c>
      <c r="I1983" t="s">
        <v>46</v>
      </c>
      <c r="J1983" s="6">
        <v>13.99</v>
      </c>
      <c r="K1983">
        <v>1</v>
      </c>
      <c r="L1983" t="s">
        <v>61</v>
      </c>
      <c r="M1983" s="5">
        <v>3</v>
      </c>
      <c r="N1983" s="4">
        <v>0.28999999999999998</v>
      </c>
      <c r="O1983" t="s">
        <v>34</v>
      </c>
    </row>
    <row r="1984" spans="1:15" x14ac:dyDescent="0.3">
      <c r="A1984" t="s">
        <v>1969</v>
      </c>
      <c r="B1984" s="5">
        <v>36</v>
      </c>
      <c r="C1984" s="5" t="str" cm="1">
        <f t="array" ref="C1984">_xlfn.IFS(worksheet[[#This Row],[age]]&lt;25,"1. Young Adulthood (18-24)",worksheet[[#This Row],[age]]&lt; 35,"2. Early Adulthood (25-34)",worksheet[[#This Row],[age]]&lt; 45,"3. Mid Adulthood (35-44)",worksheet[[#This Row],[age]]&lt; 55,"4. Mature Adulthood (45-54)",TRUE,"5. Late Adulthood/Senior (55+)")</f>
        <v>3. Mid Adulthood (35-44)</v>
      </c>
      <c r="D1984" t="s">
        <v>15</v>
      </c>
      <c r="E1984" t="s">
        <v>16</v>
      </c>
      <c r="F1984" s="4">
        <v>13.88</v>
      </c>
      <c r="G1984" s="5">
        <v>27</v>
      </c>
      <c r="H1984" t="s">
        <v>49</v>
      </c>
      <c r="I1984" t="s">
        <v>18</v>
      </c>
      <c r="J1984" s="6">
        <v>8.99</v>
      </c>
      <c r="K1984">
        <v>0</v>
      </c>
      <c r="L1984" t="s">
        <v>43</v>
      </c>
      <c r="M1984" s="5">
        <v>3</v>
      </c>
      <c r="N1984" s="4">
        <v>0.5</v>
      </c>
      <c r="O1984" t="s">
        <v>34</v>
      </c>
    </row>
    <row r="1985" spans="1:15" x14ac:dyDescent="0.3">
      <c r="A1985" t="s">
        <v>1971</v>
      </c>
      <c r="B1985" s="5">
        <v>35</v>
      </c>
      <c r="C1985" s="5" t="str" cm="1">
        <f t="array" ref="C1985">_xlfn.IFS(worksheet[[#This Row],[age]]&lt;25,"1. Young Adulthood (18-24)",worksheet[[#This Row],[age]]&lt; 35,"2. Early Adulthood (25-34)",worksheet[[#This Row],[age]]&lt; 45,"3. Mid Adulthood (35-44)",worksheet[[#This Row],[age]]&lt; 55,"4. Mature Adulthood (45-54)",TRUE,"5. Late Adulthood/Senior (55+)")</f>
        <v>3. Mid Adulthood (35-44)</v>
      </c>
      <c r="D1985" t="s">
        <v>41</v>
      </c>
      <c r="E1985" t="s">
        <v>32</v>
      </c>
      <c r="F1985" s="4">
        <v>9.2100000000000009</v>
      </c>
      <c r="G1985" s="5">
        <v>34</v>
      </c>
      <c r="H1985" t="s">
        <v>70</v>
      </c>
      <c r="I1985" t="s">
        <v>57</v>
      </c>
      <c r="J1985" s="6">
        <v>17.989999999999998</v>
      </c>
      <c r="K1985">
        <v>0</v>
      </c>
      <c r="L1985" t="s">
        <v>43</v>
      </c>
      <c r="M1985" s="5">
        <v>5</v>
      </c>
      <c r="N1985" s="4">
        <v>0.26</v>
      </c>
      <c r="O1985" t="s">
        <v>25</v>
      </c>
    </row>
    <row r="1986" spans="1:15" x14ac:dyDescent="0.3">
      <c r="A1986" t="s">
        <v>1973</v>
      </c>
      <c r="B1986" s="5">
        <v>44</v>
      </c>
      <c r="C1986" s="5" t="str" cm="1">
        <f t="array" ref="C1986">_xlfn.IFS(worksheet[[#This Row],[age]]&lt;25,"1. Young Adulthood (18-24)",worksheet[[#This Row],[age]]&lt; 35,"2. Early Adulthood (25-34)",worksheet[[#This Row],[age]]&lt; 45,"3. Mid Adulthood (35-44)",worksheet[[#This Row],[age]]&lt; 55,"4. Mature Adulthood (45-54)",TRUE,"5. Late Adulthood/Senior (55+)")</f>
        <v>3. Mid Adulthood (35-44)</v>
      </c>
      <c r="D1986" t="s">
        <v>41</v>
      </c>
      <c r="E1986" t="s">
        <v>16</v>
      </c>
      <c r="F1986" s="4">
        <v>0.6</v>
      </c>
      <c r="G1986" s="5">
        <v>47</v>
      </c>
      <c r="H1986" t="s">
        <v>17</v>
      </c>
      <c r="I1986" t="s">
        <v>55</v>
      </c>
      <c r="J1986" s="6">
        <v>8.99</v>
      </c>
      <c r="K1986">
        <v>1</v>
      </c>
      <c r="L1986" t="s">
        <v>43</v>
      </c>
      <c r="M1986" s="5">
        <v>5</v>
      </c>
      <c r="N1986" s="4">
        <v>0.01</v>
      </c>
      <c r="O1986" t="s">
        <v>47</v>
      </c>
    </row>
    <row r="1987" spans="1:15" x14ac:dyDescent="0.3">
      <c r="A1987" t="s">
        <v>1974</v>
      </c>
      <c r="B1987" s="5">
        <v>35</v>
      </c>
      <c r="C1987" s="5" t="str" cm="1">
        <f t="array" ref="C1987">_xlfn.IFS(worksheet[[#This Row],[age]]&lt;25,"1. Young Adulthood (18-24)",worksheet[[#This Row],[age]]&lt; 35,"2. Early Adulthood (25-34)",worksheet[[#This Row],[age]]&lt; 45,"3. Mid Adulthood (35-44)",worksheet[[#This Row],[age]]&lt; 55,"4. Mature Adulthood (45-54)",TRUE,"5. Late Adulthood/Senior (55+)")</f>
        <v>3. Mid Adulthood (35-44)</v>
      </c>
      <c r="D1987" t="s">
        <v>15</v>
      </c>
      <c r="E1987" t="s">
        <v>32</v>
      </c>
      <c r="F1987" s="4">
        <v>2.4300000000000002</v>
      </c>
      <c r="G1987" s="5">
        <v>58</v>
      </c>
      <c r="H1987" t="s">
        <v>17</v>
      </c>
      <c r="I1987" t="s">
        <v>18</v>
      </c>
      <c r="J1987" s="6">
        <v>17.989999999999998</v>
      </c>
      <c r="K1987">
        <v>1</v>
      </c>
      <c r="L1987" t="s">
        <v>61</v>
      </c>
      <c r="M1987" s="5">
        <v>2</v>
      </c>
      <c r="N1987" s="4">
        <v>0.04</v>
      </c>
      <c r="O1987" t="s">
        <v>20</v>
      </c>
    </row>
    <row r="1988" spans="1:15" x14ac:dyDescent="0.3">
      <c r="A1988" t="s">
        <v>1983</v>
      </c>
      <c r="B1988" s="5">
        <v>37</v>
      </c>
      <c r="C1988" s="5" t="str" cm="1">
        <f t="array" ref="C1988">_xlfn.IFS(worksheet[[#This Row],[age]]&lt;25,"1. Young Adulthood (18-24)",worksheet[[#This Row],[age]]&lt; 35,"2. Early Adulthood (25-34)",worksheet[[#This Row],[age]]&lt; 45,"3. Mid Adulthood (35-44)",worksheet[[#This Row],[age]]&lt; 55,"4. Mature Adulthood (45-54)",TRUE,"5. Late Adulthood/Senior (55+)")</f>
        <v>3. Mid Adulthood (35-44)</v>
      </c>
      <c r="D1988" t="s">
        <v>27</v>
      </c>
      <c r="E1988" t="s">
        <v>22</v>
      </c>
      <c r="F1988" s="4">
        <v>10.29</v>
      </c>
      <c r="G1988" s="5">
        <v>49</v>
      </c>
      <c r="H1988" t="s">
        <v>49</v>
      </c>
      <c r="I1988" t="s">
        <v>55</v>
      </c>
      <c r="J1988" s="6">
        <v>13.99</v>
      </c>
      <c r="K1988">
        <v>1</v>
      </c>
      <c r="L1988" t="s">
        <v>29</v>
      </c>
      <c r="M1988" s="5">
        <v>1</v>
      </c>
      <c r="N1988" s="4">
        <v>0.21</v>
      </c>
      <c r="O1988" t="s">
        <v>30</v>
      </c>
    </row>
    <row r="1989" spans="1:15" x14ac:dyDescent="0.3">
      <c r="A1989" t="s">
        <v>1997</v>
      </c>
      <c r="B1989" s="5">
        <v>35</v>
      </c>
      <c r="C1989" s="5" t="str" cm="1">
        <f t="array" ref="C1989">_xlfn.IFS(worksheet[[#This Row],[age]]&lt;25,"1. Young Adulthood (18-24)",worksheet[[#This Row],[age]]&lt; 35,"2. Early Adulthood (25-34)",worksheet[[#This Row],[age]]&lt; 45,"3. Mid Adulthood (35-44)",worksheet[[#This Row],[age]]&lt; 55,"4. Mature Adulthood (45-54)",TRUE,"5. Late Adulthood/Senior (55+)")</f>
        <v>3. Mid Adulthood (35-44)</v>
      </c>
      <c r="D1989" t="s">
        <v>15</v>
      </c>
      <c r="E1989" t="s">
        <v>16</v>
      </c>
      <c r="F1989" s="4">
        <v>2.19</v>
      </c>
      <c r="G1989" s="5">
        <v>5</v>
      </c>
      <c r="H1989" t="s">
        <v>33</v>
      </c>
      <c r="I1989" t="s">
        <v>46</v>
      </c>
      <c r="J1989" s="6">
        <v>8.99</v>
      </c>
      <c r="K1989">
        <v>1</v>
      </c>
      <c r="L1989" t="s">
        <v>19</v>
      </c>
      <c r="M1989" s="5">
        <v>5</v>
      </c>
      <c r="N1989" s="4">
        <v>0.36</v>
      </c>
      <c r="O1989" t="s">
        <v>20</v>
      </c>
    </row>
    <row r="1990" spans="1:15" x14ac:dyDescent="0.3">
      <c r="A1990" t="s">
        <v>2000</v>
      </c>
      <c r="B1990" s="5">
        <v>42</v>
      </c>
      <c r="C1990" s="5" t="str" cm="1">
        <f t="array" ref="C1990">_xlfn.IFS(worksheet[[#This Row],[age]]&lt;25,"1. Young Adulthood (18-24)",worksheet[[#This Row],[age]]&lt; 35,"2. Early Adulthood (25-34)",worksheet[[#This Row],[age]]&lt; 45,"3. Mid Adulthood (35-44)",worksheet[[#This Row],[age]]&lt; 55,"4. Mature Adulthood (45-54)",TRUE,"5. Late Adulthood/Senior (55+)")</f>
        <v>3. Mid Adulthood (35-44)</v>
      </c>
      <c r="D1990" t="s">
        <v>27</v>
      </c>
      <c r="E1990" t="s">
        <v>22</v>
      </c>
      <c r="F1990" s="4">
        <v>25.68</v>
      </c>
      <c r="G1990" s="5">
        <v>33</v>
      </c>
      <c r="H1990" t="s">
        <v>28</v>
      </c>
      <c r="I1990" t="s">
        <v>46</v>
      </c>
      <c r="J1990" s="6">
        <v>13.99</v>
      </c>
      <c r="K1990">
        <v>0</v>
      </c>
      <c r="L1990" t="s">
        <v>37</v>
      </c>
      <c r="M1990" s="5">
        <v>5</v>
      </c>
      <c r="N1990" s="4">
        <v>0.76</v>
      </c>
      <c r="O1990" t="s">
        <v>47</v>
      </c>
    </row>
    <row r="1991" spans="1:15" x14ac:dyDescent="0.3">
      <c r="A1991" t="s">
        <v>2001</v>
      </c>
      <c r="B1991" s="5">
        <v>39</v>
      </c>
      <c r="C1991" s="5" t="str" cm="1">
        <f t="array" ref="C1991">_xlfn.IFS(worksheet[[#This Row],[age]]&lt;25,"1. Young Adulthood (18-24)",worksheet[[#This Row],[age]]&lt; 35,"2. Early Adulthood (25-34)",worksheet[[#This Row],[age]]&lt; 45,"3. Mid Adulthood (35-44)",worksheet[[#This Row],[age]]&lt; 55,"4. Mature Adulthood (45-54)",TRUE,"5. Late Adulthood/Senior (55+)")</f>
        <v>3. Mid Adulthood (35-44)</v>
      </c>
      <c r="D1991" t="s">
        <v>15</v>
      </c>
      <c r="E1991" t="s">
        <v>16</v>
      </c>
      <c r="F1991" s="4">
        <v>10.6</v>
      </c>
      <c r="G1991" s="5">
        <v>53</v>
      </c>
      <c r="H1991" t="s">
        <v>70</v>
      </c>
      <c r="I1991" t="s">
        <v>46</v>
      </c>
      <c r="J1991" s="6">
        <v>8.99</v>
      </c>
      <c r="K1991">
        <v>1</v>
      </c>
      <c r="L1991" t="s">
        <v>43</v>
      </c>
      <c r="M1991" s="5">
        <v>3</v>
      </c>
      <c r="N1991" s="4">
        <v>0.2</v>
      </c>
      <c r="O1991" t="s">
        <v>47</v>
      </c>
    </row>
    <row r="1992" spans="1:15" x14ac:dyDescent="0.3">
      <c r="A1992" t="s">
        <v>2007</v>
      </c>
      <c r="B1992" s="5">
        <v>44</v>
      </c>
      <c r="C1992" s="5" t="str" cm="1">
        <f t="array" ref="C1992">_xlfn.IFS(worksheet[[#This Row],[age]]&lt;25,"1. Young Adulthood (18-24)",worksheet[[#This Row],[age]]&lt; 35,"2. Early Adulthood (25-34)",worksheet[[#This Row],[age]]&lt; 45,"3. Mid Adulthood (35-44)",worksheet[[#This Row],[age]]&lt; 55,"4. Mature Adulthood (45-54)",TRUE,"5. Late Adulthood/Senior (55+)")</f>
        <v>3. Mid Adulthood (35-44)</v>
      </c>
      <c r="D1992" t="s">
        <v>15</v>
      </c>
      <c r="E1992" t="s">
        <v>22</v>
      </c>
      <c r="F1992" s="4">
        <v>1.46</v>
      </c>
      <c r="G1992" s="5">
        <v>59</v>
      </c>
      <c r="H1992" t="s">
        <v>70</v>
      </c>
      <c r="I1992" t="s">
        <v>57</v>
      </c>
      <c r="J1992" s="6">
        <v>13.99</v>
      </c>
      <c r="K1992">
        <v>1</v>
      </c>
      <c r="L1992" t="s">
        <v>43</v>
      </c>
      <c r="M1992" s="5">
        <v>1</v>
      </c>
      <c r="N1992" s="4">
        <v>0.02</v>
      </c>
      <c r="O1992" t="s">
        <v>52</v>
      </c>
    </row>
    <row r="1993" spans="1:15" x14ac:dyDescent="0.3">
      <c r="A1993" t="s">
        <v>2011</v>
      </c>
      <c r="B1993" s="5">
        <v>40</v>
      </c>
      <c r="C1993" s="5" t="str" cm="1">
        <f t="array" ref="C1993">_xlfn.IFS(worksheet[[#This Row],[age]]&lt;25,"1. Young Adulthood (18-24)",worksheet[[#This Row],[age]]&lt; 35,"2. Early Adulthood (25-34)",worksheet[[#This Row],[age]]&lt; 45,"3. Mid Adulthood (35-44)",worksheet[[#This Row],[age]]&lt; 55,"4. Mature Adulthood (45-54)",TRUE,"5. Late Adulthood/Senior (55+)")</f>
        <v>3. Mid Adulthood (35-44)</v>
      </c>
      <c r="D1993" t="s">
        <v>15</v>
      </c>
      <c r="E1993" t="s">
        <v>32</v>
      </c>
      <c r="F1993" s="4">
        <v>0.52</v>
      </c>
      <c r="G1993" s="5">
        <v>26</v>
      </c>
      <c r="H1993" t="s">
        <v>70</v>
      </c>
      <c r="I1993" t="s">
        <v>24</v>
      </c>
      <c r="J1993" s="6">
        <v>17.989999999999998</v>
      </c>
      <c r="K1993">
        <v>1</v>
      </c>
      <c r="L1993" t="s">
        <v>43</v>
      </c>
      <c r="M1993" s="5">
        <v>2</v>
      </c>
      <c r="N1993" s="4">
        <v>0.02</v>
      </c>
      <c r="O1993" t="s">
        <v>52</v>
      </c>
    </row>
    <row r="1994" spans="1:15" x14ac:dyDescent="0.3">
      <c r="A1994" t="s">
        <v>2014</v>
      </c>
      <c r="B1994" s="5">
        <v>44</v>
      </c>
      <c r="C1994" s="5" t="str" cm="1">
        <f t="array" ref="C1994">_xlfn.IFS(worksheet[[#This Row],[age]]&lt;25,"1. Young Adulthood (18-24)",worksheet[[#This Row],[age]]&lt; 35,"2. Early Adulthood (25-34)",worksheet[[#This Row],[age]]&lt; 45,"3. Mid Adulthood (35-44)",worksheet[[#This Row],[age]]&lt; 55,"4. Mature Adulthood (45-54)",TRUE,"5. Late Adulthood/Senior (55+)")</f>
        <v>3. Mid Adulthood (35-44)</v>
      </c>
      <c r="D1994" t="s">
        <v>15</v>
      </c>
      <c r="E1994" t="s">
        <v>32</v>
      </c>
      <c r="F1994" s="4">
        <v>3.38</v>
      </c>
      <c r="G1994" s="5">
        <v>6</v>
      </c>
      <c r="H1994" t="s">
        <v>23</v>
      </c>
      <c r="I1994" t="s">
        <v>24</v>
      </c>
      <c r="J1994" s="6">
        <v>17.989999999999998</v>
      </c>
      <c r="K1994">
        <v>0</v>
      </c>
      <c r="L1994" t="s">
        <v>61</v>
      </c>
      <c r="M1994" s="5">
        <v>5</v>
      </c>
      <c r="N1994" s="4">
        <v>0.48</v>
      </c>
      <c r="O1994" t="s">
        <v>34</v>
      </c>
    </row>
    <row r="1995" spans="1:15" x14ac:dyDescent="0.3">
      <c r="A1995" t="s">
        <v>2024</v>
      </c>
      <c r="B1995" s="5">
        <v>41</v>
      </c>
      <c r="C1995" s="5" t="str" cm="1">
        <f t="array" ref="C1995">_xlfn.IFS(worksheet[[#This Row],[age]]&lt;25,"1. Young Adulthood (18-24)",worksheet[[#This Row],[age]]&lt; 35,"2. Early Adulthood (25-34)",worksheet[[#This Row],[age]]&lt; 45,"3. Mid Adulthood (35-44)",worksheet[[#This Row],[age]]&lt; 55,"4. Mature Adulthood (45-54)",TRUE,"5. Late Adulthood/Senior (55+)")</f>
        <v>3. Mid Adulthood (35-44)</v>
      </c>
      <c r="D1995" t="s">
        <v>27</v>
      </c>
      <c r="E1995" t="s">
        <v>32</v>
      </c>
      <c r="F1995" s="4">
        <v>8.27</v>
      </c>
      <c r="G1995" s="5">
        <v>50</v>
      </c>
      <c r="H1995" t="s">
        <v>49</v>
      </c>
      <c r="I1995" t="s">
        <v>18</v>
      </c>
      <c r="J1995" s="6">
        <v>17.989999999999998</v>
      </c>
      <c r="K1995">
        <v>0</v>
      </c>
      <c r="L1995" t="s">
        <v>61</v>
      </c>
      <c r="M1995" s="5">
        <v>5</v>
      </c>
      <c r="N1995" s="4">
        <v>0.16</v>
      </c>
      <c r="O1995" t="s">
        <v>39</v>
      </c>
    </row>
    <row r="1996" spans="1:15" x14ac:dyDescent="0.3">
      <c r="A1996" t="s">
        <v>2025</v>
      </c>
      <c r="B1996" s="5">
        <v>40</v>
      </c>
      <c r="C1996" s="5" t="str" cm="1">
        <f t="array" ref="C1996">_xlfn.IFS(worksheet[[#This Row],[age]]&lt;25,"1. Young Adulthood (18-24)",worksheet[[#This Row],[age]]&lt; 35,"2. Early Adulthood (25-34)",worksheet[[#This Row],[age]]&lt; 45,"3. Mid Adulthood (35-44)",worksheet[[#This Row],[age]]&lt; 55,"4. Mature Adulthood (45-54)",TRUE,"5. Late Adulthood/Senior (55+)")</f>
        <v>3. Mid Adulthood (35-44)</v>
      </c>
      <c r="D1996" t="s">
        <v>27</v>
      </c>
      <c r="E1996" t="s">
        <v>22</v>
      </c>
      <c r="F1996" s="4">
        <v>8.89</v>
      </c>
      <c r="G1996" s="5">
        <v>21</v>
      </c>
      <c r="H1996" t="s">
        <v>33</v>
      </c>
      <c r="I1996" t="s">
        <v>57</v>
      </c>
      <c r="J1996" s="6">
        <v>13.99</v>
      </c>
      <c r="K1996">
        <v>0</v>
      </c>
      <c r="L1996" t="s">
        <v>19</v>
      </c>
      <c r="M1996" s="5">
        <v>1</v>
      </c>
      <c r="N1996" s="4">
        <v>0.4</v>
      </c>
      <c r="O1996" t="s">
        <v>52</v>
      </c>
    </row>
    <row r="1997" spans="1:15" x14ac:dyDescent="0.3">
      <c r="A1997" t="s">
        <v>2030</v>
      </c>
      <c r="B1997" s="5">
        <v>40</v>
      </c>
      <c r="C1997" s="5" t="str" cm="1">
        <f t="array" ref="C1997">_xlfn.IFS(worksheet[[#This Row],[age]]&lt;25,"1. Young Adulthood (18-24)",worksheet[[#This Row],[age]]&lt; 35,"2. Early Adulthood (25-34)",worksheet[[#This Row],[age]]&lt; 45,"3. Mid Adulthood (35-44)",worksheet[[#This Row],[age]]&lt; 55,"4. Mature Adulthood (45-54)",TRUE,"5. Late Adulthood/Senior (55+)")</f>
        <v>3. Mid Adulthood (35-44)</v>
      </c>
      <c r="D1997" t="s">
        <v>27</v>
      </c>
      <c r="E1997" t="s">
        <v>22</v>
      </c>
      <c r="F1997" s="4">
        <v>11.91</v>
      </c>
      <c r="G1997" s="5">
        <v>4</v>
      </c>
      <c r="H1997" t="s">
        <v>23</v>
      </c>
      <c r="I1997" t="s">
        <v>24</v>
      </c>
      <c r="J1997" s="6">
        <v>13.99</v>
      </c>
      <c r="K1997">
        <v>0</v>
      </c>
      <c r="L1997" t="s">
        <v>37</v>
      </c>
      <c r="M1997" s="5">
        <v>5</v>
      </c>
      <c r="N1997" s="4">
        <v>2.38</v>
      </c>
      <c r="O1997" t="s">
        <v>47</v>
      </c>
    </row>
    <row r="1998" spans="1:15" x14ac:dyDescent="0.3">
      <c r="A1998" t="s">
        <v>2046</v>
      </c>
      <c r="B1998" s="5">
        <v>40</v>
      </c>
      <c r="C1998" s="5" t="str" cm="1">
        <f t="array" ref="C1998">_xlfn.IFS(worksheet[[#This Row],[age]]&lt;25,"1. Young Adulthood (18-24)",worksheet[[#This Row],[age]]&lt; 35,"2. Early Adulthood (25-34)",worksheet[[#This Row],[age]]&lt; 45,"3. Mid Adulthood (35-44)",worksheet[[#This Row],[age]]&lt; 55,"4. Mature Adulthood (45-54)",TRUE,"5. Late Adulthood/Senior (55+)")</f>
        <v>3. Mid Adulthood (35-44)</v>
      </c>
      <c r="D1998" t="s">
        <v>15</v>
      </c>
      <c r="E1998" t="s">
        <v>16</v>
      </c>
      <c r="F1998" s="4">
        <v>6.48</v>
      </c>
      <c r="G1998" s="5">
        <v>51</v>
      </c>
      <c r="H1998" t="s">
        <v>28</v>
      </c>
      <c r="I1998" t="s">
        <v>55</v>
      </c>
      <c r="J1998" s="6">
        <v>8.99</v>
      </c>
      <c r="K1998">
        <v>1</v>
      </c>
      <c r="L1998" t="s">
        <v>61</v>
      </c>
      <c r="M1998" s="5">
        <v>4</v>
      </c>
      <c r="N1998" s="4">
        <v>0.12</v>
      </c>
      <c r="O1998" t="s">
        <v>30</v>
      </c>
    </row>
    <row r="1999" spans="1:15" x14ac:dyDescent="0.3">
      <c r="A1999" t="s">
        <v>2048</v>
      </c>
      <c r="B1999" s="5">
        <v>36</v>
      </c>
      <c r="C1999" s="5" t="str" cm="1">
        <f t="array" ref="C1999">_xlfn.IFS(worksheet[[#This Row],[age]]&lt;25,"1. Young Adulthood (18-24)",worksheet[[#This Row],[age]]&lt; 35,"2. Early Adulthood (25-34)",worksheet[[#This Row],[age]]&lt; 45,"3. Mid Adulthood (35-44)",worksheet[[#This Row],[age]]&lt; 55,"4. Mature Adulthood (45-54)",TRUE,"5. Late Adulthood/Senior (55+)")</f>
        <v>3. Mid Adulthood (35-44)</v>
      </c>
      <c r="D1999" t="s">
        <v>27</v>
      </c>
      <c r="E1999" t="s">
        <v>22</v>
      </c>
      <c r="F1999" s="4">
        <v>2.59</v>
      </c>
      <c r="G1999" s="5">
        <v>36</v>
      </c>
      <c r="H1999" t="s">
        <v>70</v>
      </c>
      <c r="I1999" t="s">
        <v>55</v>
      </c>
      <c r="J1999" s="6">
        <v>13.99</v>
      </c>
      <c r="K1999">
        <v>1</v>
      </c>
      <c r="L1999" t="s">
        <v>37</v>
      </c>
      <c r="M1999" s="5">
        <v>2</v>
      </c>
      <c r="N1999" s="4">
        <v>7.0000000000000007E-2</v>
      </c>
      <c r="O1999" t="s">
        <v>47</v>
      </c>
    </row>
    <row r="2000" spans="1:15" x14ac:dyDescent="0.3">
      <c r="A2000" t="s">
        <v>2060</v>
      </c>
      <c r="B2000" s="5">
        <v>42</v>
      </c>
      <c r="C2000" s="5" t="str" cm="1">
        <f t="array" ref="C2000">_xlfn.IFS(worksheet[[#This Row],[age]]&lt;25,"1. Young Adulthood (18-24)",worksheet[[#This Row],[age]]&lt; 35,"2. Early Adulthood (25-34)",worksheet[[#This Row],[age]]&lt; 45,"3. Mid Adulthood (35-44)",worksheet[[#This Row],[age]]&lt; 55,"4. Mature Adulthood (45-54)",TRUE,"5. Late Adulthood/Senior (55+)")</f>
        <v>3. Mid Adulthood (35-44)</v>
      </c>
      <c r="D2000" t="s">
        <v>41</v>
      </c>
      <c r="E2000" t="s">
        <v>16</v>
      </c>
      <c r="F2000" s="4">
        <v>98.42</v>
      </c>
      <c r="G2000" s="5">
        <v>0</v>
      </c>
      <c r="H2000" t="s">
        <v>28</v>
      </c>
      <c r="I2000" t="s">
        <v>55</v>
      </c>
      <c r="J2000" s="6">
        <v>8.99</v>
      </c>
      <c r="K2000">
        <v>0</v>
      </c>
      <c r="L2000" t="s">
        <v>19</v>
      </c>
      <c r="M2000" s="5">
        <v>5</v>
      </c>
      <c r="N2000" s="4">
        <v>98.42</v>
      </c>
      <c r="O2000" t="s">
        <v>52</v>
      </c>
    </row>
    <row r="2001" spans="1:15" x14ac:dyDescent="0.3">
      <c r="A2001" t="s">
        <v>2068</v>
      </c>
      <c r="B2001" s="5">
        <v>40</v>
      </c>
      <c r="C2001" s="5" t="str" cm="1">
        <f t="array" ref="C2001">_xlfn.IFS(worksheet[[#This Row],[age]]&lt;25,"1. Young Adulthood (18-24)",worksheet[[#This Row],[age]]&lt; 35,"2. Early Adulthood (25-34)",worksheet[[#This Row],[age]]&lt; 45,"3. Mid Adulthood (35-44)",worksheet[[#This Row],[age]]&lt; 55,"4. Mature Adulthood (45-54)",TRUE,"5. Late Adulthood/Senior (55+)")</f>
        <v>3. Mid Adulthood (35-44)</v>
      </c>
      <c r="D2001" t="s">
        <v>27</v>
      </c>
      <c r="E2001" t="s">
        <v>16</v>
      </c>
      <c r="F2001" s="4">
        <v>31.43</v>
      </c>
      <c r="G2001" s="5">
        <v>26</v>
      </c>
      <c r="H2001" t="s">
        <v>70</v>
      </c>
      <c r="I2001" t="s">
        <v>57</v>
      </c>
      <c r="J2001" s="6">
        <v>8.99</v>
      </c>
      <c r="K2001">
        <v>0</v>
      </c>
      <c r="L2001" t="s">
        <v>29</v>
      </c>
      <c r="M2001" s="5">
        <v>1</v>
      </c>
      <c r="N2001" s="4">
        <v>1.1599999999999999</v>
      </c>
      <c r="O2001" t="s">
        <v>20</v>
      </c>
    </row>
    <row r="2002" spans="1:15" x14ac:dyDescent="0.3">
      <c r="A2002" t="s">
        <v>2070</v>
      </c>
      <c r="B2002" s="5">
        <v>37</v>
      </c>
      <c r="C2002" s="5" t="str" cm="1">
        <f t="array" ref="C2002">_xlfn.IFS(worksheet[[#This Row],[age]]&lt;25,"1. Young Adulthood (18-24)",worksheet[[#This Row],[age]]&lt; 35,"2. Early Adulthood (25-34)",worksheet[[#This Row],[age]]&lt; 45,"3. Mid Adulthood (35-44)",worksheet[[#This Row],[age]]&lt; 55,"4. Mature Adulthood (45-54)",TRUE,"5. Late Adulthood/Senior (55+)")</f>
        <v>3. Mid Adulthood (35-44)</v>
      </c>
      <c r="D2002" t="s">
        <v>27</v>
      </c>
      <c r="E2002" t="s">
        <v>22</v>
      </c>
      <c r="F2002" s="4">
        <v>47.74</v>
      </c>
      <c r="G2002" s="5">
        <v>52</v>
      </c>
      <c r="H2002" t="s">
        <v>33</v>
      </c>
      <c r="I2002" t="s">
        <v>46</v>
      </c>
      <c r="J2002" s="6">
        <v>13.99</v>
      </c>
      <c r="K2002">
        <v>0</v>
      </c>
      <c r="L2002" t="s">
        <v>19</v>
      </c>
      <c r="M2002" s="5">
        <v>4</v>
      </c>
      <c r="N2002" s="4">
        <v>0.9</v>
      </c>
      <c r="O2002" t="s">
        <v>20</v>
      </c>
    </row>
    <row r="2003" spans="1:15" x14ac:dyDescent="0.3">
      <c r="A2003" t="s">
        <v>2075</v>
      </c>
      <c r="B2003" s="5">
        <v>41</v>
      </c>
      <c r="C2003" s="5" t="str" cm="1">
        <f t="array" ref="C2003">_xlfn.IFS(worksheet[[#This Row],[age]]&lt;25,"1. Young Adulthood (18-24)",worksheet[[#This Row],[age]]&lt; 35,"2. Early Adulthood (25-34)",worksheet[[#This Row],[age]]&lt; 45,"3. Mid Adulthood (35-44)",worksheet[[#This Row],[age]]&lt; 55,"4. Mature Adulthood (45-54)",TRUE,"5. Late Adulthood/Senior (55+)")</f>
        <v>3. Mid Adulthood (35-44)</v>
      </c>
      <c r="D2003" t="s">
        <v>27</v>
      </c>
      <c r="E2003" t="s">
        <v>16</v>
      </c>
      <c r="F2003" s="4">
        <v>8.14</v>
      </c>
      <c r="G2003" s="5">
        <v>54</v>
      </c>
      <c r="H2003" t="s">
        <v>23</v>
      </c>
      <c r="I2003" t="s">
        <v>24</v>
      </c>
      <c r="J2003" s="6">
        <v>8.99</v>
      </c>
      <c r="K2003">
        <v>1</v>
      </c>
      <c r="L2003" t="s">
        <v>19</v>
      </c>
      <c r="M2003" s="5">
        <v>5</v>
      </c>
      <c r="N2003" s="4">
        <v>0.15</v>
      </c>
      <c r="O2003" t="s">
        <v>39</v>
      </c>
    </row>
    <row r="2004" spans="1:15" x14ac:dyDescent="0.3">
      <c r="A2004" t="s">
        <v>2078</v>
      </c>
      <c r="B2004" s="5">
        <v>36</v>
      </c>
      <c r="C2004" s="5" t="str" cm="1">
        <f t="array" ref="C2004">_xlfn.IFS(worksheet[[#This Row],[age]]&lt;25,"1. Young Adulthood (18-24)",worksheet[[#This Row],[age]]&lt; 35,"2. Early Adulthood (25-34)",worksheet[[#This Row],[age]]&lt; 45,"3. Mid Adulthood (35-44)",worksheet[[#This Row],[age]]&lt; 55,"4. Mature Adulthood (45-54)",TRUE,"5. Late Adulthood/Senior (55+)")</f>
        <v>3. Mid Adulthood (35-44)</v>
      </c>
      <c r="D2004" t="s">
        <v>27</v>
      </c>
      <c r="E2004" t="s">
        <v>32</v>
      </c>
      <c r="F2004" s="4">
        <v>19.63</v>
      </c>
      <c r="G2004" s="5">
        <v>1</v>
      </c>
      <c r="H2004" t="s">
        <v>70</v>
      </c>
      <c r="I2004" t="s">
        <v>55</v>
      </c>
      <c r="J2004" s="6">
        <v>17.989999999999998</v>
      </c>
      <c r="K2004">
        <v>0</v>
      </c>
      <c r="L2004" t="s">
        <v>19</v>
      </c>
      <c r="M2004" s="5">
        <v>2</v>
      </c>
      <c r="N2004" s="4">
        <v>9.81</v>
      </c>
      <c r="O2004" t="s">
        <v>20</v>
      </c>
    </row>
    <row r="2005" spans="1:15" x14ac:dyDescent="0.3">
      <c r="A2005" t="s">
        <v>2081</v>
      </c>
      <c r="B2005" s="5">
        <v>39</v>
      </c>
      <c r="C2005" s="5" t="str" cm="1">
        <f t="array" ref="C2005">_xlfn.IFS(worksheet[[#This Row],[age]]&lt;25,"1. Young Adulthood (18-24)",worksheet[[#This Row],[age]]&lt; 35,"2. Early Adulthood (25-34)",worksheet[[#This Row],[age]]&lt; 45,"3. Mid Adulthood (35-44)",worksheet[[#This Row],[age]]&lt; 55,"4. Mature Adulthood (45-54)",TRUE,"5. Late Adulthood/Senior (55+)")</f>
        <v>3. Mid Adulthood (35-44)</v>
      </c>
      <c r="D2005" t="s">
        <v>27</v>
      </c>
      <c r="E2005" t="s">
        <v>16</v>
      </c>
      <c r="F2005" s="4">
        <v>2.09</v>
      </c>
      <c r="G2005" s="5">
        <v>3</v>
      </c>
      <c r="H2005" t="s">
        <v>33</v>
      </c>
      <c r="I2005" t="s">
        <v>46</v>
      </c>
      <c r="J2005" s="6">
        <v>8.99</v>
      </c>
      <c r="K2005">
        <v>1</v>
      </c>
      <c r="L2005" t="s">
        <v>29</v>
      </c>
      <c r="M2005" s="5">
        <v>3</v>
      </c>
      <c r="N2005" s="4">
        <v>0.52</v>
      </c>
      <c r="O2005" t="s">
        <v>52</v>
      </c>
    </row>
    <row r="2006" spans="1:15" x14ac:dyDescent="0.3">
      <c r="A2006" t="s">
        <v>2083</v>
      </c>
      <c r="B2006" s="5">
        <v>41</v>
      </c>
      <c r="C2006" s="5" t="str" cm="1">
        <f t="array" ref="C2006">_xlfn.IFS(worksheet[[#This Row],[age]]&lt;25,"1. Young Adulthood (18-24)",worksheet[[#This Row],[age]]&lt; 35,"2. Early Adulthood (25-34)",worksheet[[#This Row],[age]]&lt; 45,"3. Mid Adulthood (35-44)",worksheet[[#This Row],[age]]&lt; 55,"4. Mature Adulthood (45-54)",TRUE,"5. Late Adulthood/Senior (55+)")</f>
        <v>3. Mid Adulthood (35-44)</v>
      </c>
      <c r="D2006" t="s">
        <v>27</v>
      </c>
      <c r="E2006" t="s">
        <v>16</v>
      </c>
      <c r="F2006" s="4">
        <v>17.37</v>
      </c>
      <c r="G2006" s="5">
        <v>16</v>
      </c>
      <c r="H2006" t="s">
        <v>33</v>
      </c>
      <c r="I2006" t="s">
        <v>24</v>
      </c>
      <c r="J2006" s="6">
        <v>8.99</v>
      </c>
      <c r="K2006">
        <v>0</v>
      </c>
      <c r="L2006" t="s">
        <v>43</v>
      </c>
      <c r="M2006" s="5">
        <v>2</v>
      </c>
      <c r="N2006" s="4">
        <v>1.02</v>
      </c>
      <c r="O2006" t="s">
        <v>47</v>
      </c>
    </row>
    <row r="2007" spans="1:15" x14ac:dyDescent="0.3">
      <c r="A2007" t="s">
        <v>2089</v>
      </c>
      <c r="B2007" s="5">
        <v>38</v>
      </c>
      <c r="C2007" s="5" t="str" cm="1">
        <f t="array" ref="C2007">_xlfn.IFS(worksheet[[#This Row],[age]]&lt;25,"1. Young Adulthood (18-24)",worksheet[[#This Row],[age]]&lt; 35,"2. Early Adulthood (25-34)",worksheet[[#This Row],[age]]&lt; 45,"3. Mid Adulthood (35-44)",worksheet[[#This Row],[age]]&lt; 55,"4. Mature Adulthood (45-54)",TRUE,"5. Late Adulthood/Senior (55+)")</f>
        <v>3. Mid Adulthood (35-44)</v>
      </c>
      <c r="D2007" t="s">
        <v>41</v>
      </c>
      <c r="E2007" t="s">
        <v>16</v>
      </c>
      <c r="F2007" s="4">
        <v>6.75</v>
      </c>
      <c r="G2007" s="5">
        <v>43</v>
      </c>
      <c r="H2007" t="s">
        <v>28</v>
      </c>
      <c r="I2007" t="s">
        <v>24</v>
      </c>
      <c r="J2007" s="6">
        <v>8.99</v>
      </c>
      <c r="K2007">
        <v>1</v>
      </c>
      <c r="L2007" t="s">
        <v>43</v>
      </c>
      <c r="M2007" s="5">
        <v>2</v>
      </c>
      <c r="N2007" s="4">
        <v>0.15</v>
      </c>
      <c r="O2007" t="s">
        <v>34</v>
      </c>
    </row>
    <row r="2008" spans="1:15" x14ac:dyDescent="0.3">
      <c r="A2008" t="s">
        <v>2090</v>
      </c>
      <c r="B2008" s="5">
        <v>40</v>
      </c>
      <c r="C2008" s="5" t="str" cm="1">
        <f t="array" ref="C2008">_xlfn.IFS(worksheet[[#This Row],[age]]&lt;25,"1. Young Adulthood (18-24)",worksheet[[#This Row],[age]]&lt; 35,"2. Early Adulthood (25-34)",worksheet[[#This Row],[age]]&lt; 45,"3. Mid Adulthood (35-44)",worksheet[[#This Row],[age]]&lt; 55,"4. Mature Adulthood (45-54)",TRUE,"5. Late Adulthood/Senior (55+)")</f>
        <v>3. Mid Adulthood (35-44)</v>
      </c>
      <c r="D2008" t="s">
        <v>27</v>
      </c>
      <c r="E2008" t="s">
        <v>16</v>
      </c>
      <c r="F2008" s="4">
        <v>3.8</v>
      </c>
      <c r="G2008" s="5">
        <v>10</v>
      </c>
      <c r="H2008" t="s">
        <v>17</v>
      </c>
      <c r="I2008" t="s">
        <v>55</v>
      </c>
      <c r="J2008" s="6">
        <v>8.99</v>
      </c>
      <c r="K2008">
        <v>1</v>
      </c>
      <c r="L2008" t="s">
        <v>61</v>
      </c>
      <c r="M2008" s="5">
        <v>3</v>
      </c>
      <c r="N2008" s="4">
        <v>0.35</v>
      </c>
      <c r="O2008" t="s">
        <v>47</v>
      </c>
    </row>
    <row r="2009" spans="1:15" x14ac:dyDescent="0.3">
      <c r="A2009" t="s">
        <v>2096</v>
      </c>
      <c r="B2009" s="5">
        <v>39</v>
      </c>
      <c r="C2009" s="5" t="str" cm="1">
        <f t="array" ref="C2009">_xlfn.IFS(worksheet[[#This Row],[age]]&lt;25,"1. Young Adulthood (18-24)",worksheet[[#This Row],[age]]&lt; 35,"2. Early Adulthood (25-34)",worksheet[[#This Row],[age]]&lt; 45,"3. Mid Adulthood (35-44)",worksheet[[#This Row],[age]]&lt; 55,"4. Mature Adulthood (45-54)",TRUE,"5. Late Adulthood/Senior (55+)")</f>
        <v>3. Mid Adulthood (35-44)</v>
      </c>
      <c r="D2009" t="s">
        <v>15</v>
      </c>
      <c r="E2009" t="s">
        <v>16</v>
      </c>
      <c r="F2009" s="4">
        <v>8.16</v>
      </c>
      <c r="G2009" s="5">
        <v>14</v>
      </c>
      <c r="H2009" t="s">
        <v>49</v>
      </c>
      <c r="I2009" t="s">
        <v>46</v>
      </c>
      <c r="J2009" s="6">
        <v>8.99</v>
      </c>
      <c r="K2009">
        <v>0</v>
      </c>
      <c r="L2009" t="s">
        <v>43</v>
      </c>
      <c r="M2009" s="5">
        <v>1</v>
      </c>
      <c r="N2009" s="4">
        <v>0.54</v>
      </c>
      <c r="O2009" t="s">
        <v>47</v>
      </c>
    </row>
    <row r="2010" spans="1:15" x14ac:dyDescent="0.3">
      <c r="A2010" t="s">
        <v>2099</v>
      </c>
      <c r="B2010" s="5">
        <v>38</v>
      </c>
      <c r="C2010" s="5" t="str" cm="1">
        <f t="array" ref="C2010">_xlfn.IFS(worksheet[[#This Row],[age]]&lt;25,"1. Young Adulthood (18-24)",worksheet[[#This Row],[age]]&lt; 35,"2. Early Adulthood (25-34)",worksheet[[#This Row],[age]]&lt; 45,"3. Mid Adulthood (35-44)",worksheet[[#This Row],[age]]&lt; 55,"4. Mature Adulthood (45-54)",TRUE,"5. Late Adulthood/Senior (55+)")</f>
        <v>3. Mid Adulthood (35-44)</v>
      </c>
      <c r="D2010" t="s">
        <v>27</v>
      </c>
      <c r="E2010" t="s">
        <v>16</v>
      </c>
      <c r="F2010" s="4">
        <v>24.57</v>
      </c>
      <c r="G2010" s="5">
        <v>2</v>
      </c>
      <c r="H2010" t="s">
        <v>17</v>
      </c>
      <c r="I2010" t="s">
        <v>57</v>
      </c>
      <c r="J2010" s="6">
        <v>8.99</v>
      </c>
      <c r="K2010">
        <v>0</v>
      </c>
      <c r="L2010" t="s">
        <v>19</v>
      </c>
      <c r="M2010" s="5">
        <v>4</v>
      </c>
      <c r="N2010" s="4">
        <v>8.19</v>
      </c>
      <c r="O2010" t="s">
        <v>47</v>
      </c>
    </row>
    <row r="2011" spans="1:15" x14ac:dyDescent="0.3">
      <c r="A2011" t="s">
        <v>2105</v>
      </c>
      <c r="B2011" s="5">
        <v>40</v>
      </c>
      <c r="C2011" s="5" t="str" cm="1">
        <f t="array" ref="C2011">_xlfn.IFS(worksheet[[#This Row],[age]]&lt;25,"1. Young Adulthood (18-24)",worksheet[[#This Row],[age]]&lt; 35,"2. Early Adulthood (25-34)",worksheet[[#This Row],[age]]&lt; 45,"3. Mid Adulthood (35-44)",worksheet[[#This Row],[age]]&lt; 55,"4. Mature Adulthood (45-54)",TRUE,"5. Late Adulthood/Senior (55+)")</f>
        <v>3. Mid Adulthood (35-44)</v>
      </c>
      <c r="D2011" t="s">
        <v>27</v>
      </c>
      <c r="E2011" t="s">
        <v>22</v>
      </c>
      <c r="F2011" s="4">
        <v>6.2</v>
      </c>
      <c r="G2011" s="5">
        <v>10</v>
      </c>
      <c r="H2011" t="s">
        <v>70</v>
      </c>
      <c r="I2011" t="s">
        <v>57</v>
      </c>
      <c r="J2011" s="6">
        <v>13.99</v>
      </c>
      <c r="K2011">
        <v>0</v>
      </c>
      <c r="L2011" t="s">
        <v>61</v>
      </c>
      <c r="M2011" s="5">
        <v>3</v>
      </c>
      <c r="N2011" s="4">
        <v>0.56000000000000005</v>
      </c>
      <c r="O2011" t="s">
        <v>30</v>
      </c>
    </row>
    <row r="2012" spans="1:15" x14ac:dyDescent="0.3">
      <c r="A2012" t="s">
        <v>2106</v>
      </c>
      <c r="B2012" s="5">
        <v>35</v>
      </c>
      <c r="C2012" s="5" t="str" cm="1">
        <f t="array" ref="C2012">_xlfn.IFS(worksheet[[#This Row],[age]]&lt;25,"1. Young Adulthood (18-24)",worksheet[[#This Row],[age]]&lt; 35,"2. Early Adulthood (25-34)",worksheet[[#This Row],[age]]&lt; 45,"3. Mid Adulthood (35-44)",worksheet[[#This Row],[age]]&lt; 55,"4. Mature Adulthood (45-54)",TRUE,"5. Late Adulthood/Senior (55+)")</f>
        <v>3. Mid Adulthood (35-44)</v>
      </c>
      <c r="D2012" t="s">
        <v>15</v>
      </c>
      <c r="E2012" t="s">
        <v>16</v>
      </c>
      <c r="F2012" s="4">
        <v>25.11</v>
      </c>
      <c r="G2012" s="5">
        <v>3</v>
      </c>
      <c r="H2012" t="s">
        <v>17</v>
      </c>
      <c r="I2012" t="s">
        <v>24</v>
      </c>
      <c r="J2012" s="6">
        <v>8.99</v>
      </c>
      <c r="K2012">
        <v>0</v>
      </c>
      <c r="L2012" t="s">
        <v>29</v>
      </c>
      <c r="M2012" s="5">
        <v>2</v>
      </c>
      <c r="N2012" s="4">
        <v>6.28</v>
      </c>
      <c r="O2012" t="s">
        <v>30</v>
      </c>
    </row>
    <row r="2013" spans="1:15" x14ac:dyDescent="0.3">
      <c r="A2013" t="s">
        <v>2108</v>
      </c>
      <c r="B2013" s="5">
        <v>39</v>
      </c>
      <c r="C2013" s="5" t="str" cm="1">
        <f t="array" ref="C2013">_xlfn.IFS(worksheet[[#This Row],[age]]&lt;25,"1. Young Adulthood (18-24)",worksheet[[#This Row],[age]]&lt; 35,"2. Early Adulthood (25-34)",worksheet[[#This Row],[age]]&lt; 45,"3. Mid Adulthood (35-44)",worksheet[[#This Row],[age]]&lt; 55,"4. Mature Adulthood (45-54)",TRUE,"5. Late Adulthood/Senior (55+)")</f>
        <v>3. Mid Adulthood (35-44)</v>
      </c>
      <c r="D2013" t="s">
        <v>27</v>
      </c>
      <c r="E2013" t="s">
        <v>22</v>
      </c>
      <c r="F2013" s="4">
        <v>57.19</v>
      </c>
      <c r="G2013" s="5">
        <v>19</v>
      </c>
      <c r="H2013" t="s">
        <v>17</v>
      </c>
      <c r="I2013" t="s">
        <v>24</v>
      </c>
      <c r="J2013" s="6">
        <v>13.99</v>
      </c>
      <c r="K2013">
        <v>0</v>
      </c>
      <c r="L2013" t="s">
        <v>19</v>
      </c>
      <c r="M2013" s="5">
        <v>5</v>
      </c>
      <c r="N2013" s="4">
        <v>2.86</v>
      </c>
      <c r="O2013" t="s">
        <v>52</v>
      </c>
    </row>
    <row r="2014" spans="1:15" x14ac:dyDescent="0.3">
      <c r="A2014" t="s">
        <v>2115</v>
      </c>
      <c r="B2014" s="5">
        <v>44</v>
      </c>
      <c r="C2014" s="5" t="str" cm="1">
        <f t="array" ref="C2014">_xlfn.IFS(worksheet[[#This Row],[age]]&lt;25,"1. Young Adulthood (18-24)",worksheet[[#This Row],[age]]&lt; 35,"2. Early Adulthood (25-34)",worksheet[[#This Row],[age]]&lt; 45,"3. Mid Adulthood (35-44)",worksheet[[#This Row],[age]]&lt; 55,"4. Mature Adulthood (45-54)",TRUE,"5. Late Adulthood/Senior (55+)")</f>
        <v>3. Mid Adulthood (35-44)</v>
      </c>
      <c r="D2014" t="s">
        <v>15</v>
      </c>
      <c r="E2014" t="s">
        <v>22</v>
      </c>
      <c r="F2014" s="4">
        <v>8.65</v>
      </c>
      <c r="G2014" s="5">
        <v>60</v>
      </c>
      <c r="H2014" t="s">
        <v>33</v>
      </c>
      <c r="I2014" t="s">
        <v>57</v>
      </c>
      <c r="J2014" s="6">
        <v>13.99</v>
      </c>
      <c r="K2014">
        <v>1</v>
      </c>
      <c r="L2014" t="s">
        <v>61</v>
      </c>
      <c r="M2014" s="5">
        <v>1</v>
      </c>
      <c r="N2014" s="4">
        <v>0.14000000000000001</v>
      </c>
      <c r="O2014" t="s">
        <v>47</v>
      </c>
    </row>
    <row r="2015" spans="1:15" x14ac:dyDescent="0.3">
      <c r="A2015" t="s">
        <v>2116</v>
      </c>
      <c r="B2015" s="5">
        <v>36</v>
      </c>
      <c r="C2015" s="5" t="str" cm="1">
        <f t="array" ref="C2015">_xlfn.IFS(worksheet[[#This Row],[age]]&lt;25,"1. Young Adulthood (18-24)",worksheet[[#This Row],[age]]&lt; 35,"2. Early Adulthood (25-34)",worksheet[[#This Row],[age]]&lt; 45,"3. Mid Adulthood (35-44)",worksheet[[#This Row],[age]]&lt; 55,"4. Mature Adulthood (45-54)",TRUE,"5. Late Adulthood/Senior (55+)")</f>
        <v>3. Mid Adulthood (35-44)</v>
      </c>
      <c r="D2015" t="s">
        <v>15</v>
      </c>
      <c r="E2015" t="s">
        <v>16</v>
      </c>
      <c r="F2015" s="4">
        <v>1.82</v>
      </c>
      <c r="G2015" s="5">
        <v>55</v>
      </c>
      <c r="H2015" t="s">
        <v>23</v>
      </c>
      <c r="I2015" t="s">
        <v>46</v>
      </c>
      <c r="J2015" s="6">
        <v>8.99</v>
      </c>
      <c r="K2015">
        <v>1</v>
      </c>
      <c r="L2015" t="s">
        <v>43</v>
      </c>
      <c r="M2015" s="5">
        <v>2</v>
      </c>
      <c r="N2015" s="4">
        <v>0.03</v>
      </c>
      <c r="O2015" t="s">
        <v>25</v>
      </c>
    </row>
    <row r="2016" spans="1:15" x14ac:dyDescent="0.3">
      <c r="A2016" t="s">
        <v>2117</v>
      </c>
      <c r="B2016" s="5">
        <v>35</v>
      </c>
      <c r="C2016" s="5" t="str" cm="1">
        <f t="array" ref="C2016">_xlfn.IFS(worksheet[[#This Row],[age]]&lt;25,"1. Young Adulthood (18-24)",worksheet[[#This Row],[age]]&lt; 35,"2. Early Adulthood (25-34)",worksheet[[#This Row],[age]]&lt; 45,"3. Mid Adulthood (35-44)",worksheet[[#This Row],[age]]&lt; 55,"4. Mature Adulthood (45-54)",TRUE,"5. Late Adulthood/Senior (55+)")</f>
        <v>3. Mid Adulthood (35-44)</v>
      </c>
      <c r="D2016" t="s">
        <v>15</v>
      </c>
      <c r="E2016" t="s">
        <v>22</v>
      </c>
      <c r="F2016" s="4">
        <v>9.43</v>
      </c>
      <c r="G2016" s="5">
        <v>10</v>
      </c>
      <c r="H2016" t="s">
        <v>49</v>
      </c>
      <c r="I2016" t="s">
        <v>46</v>
      </c>
      <c r="J2016" s="6">
        <v>13.99</v>
      </c>
      <c r="K2016">
        <v>0</v>
      </c>
      <c r="L2016" t="s">
        <v>43</v>
      </c>
      <c r="M2016" s="5">
        <v>2</v>
      </c>
      <c r="N2016" s="4">
        <v>0.86</v>
      </c>
      <c r="O2016" t="s">
        <v>34</v>
      </c>
    </row>
    <row r="2017" spans="1:15" x14ac:dyDescent="0.3">
      <c r="A2017" t="s">
        <v>2118</v>
      </c>
      <c r="B2017" s="5">
        <v>43</v>
      </c>
      <c r="C2017" s="5" t="str" cm="1">
        <f t="array" ref="C2017">_xlfn.IFS(worksheet[[#This Row],[age]]&lt;25,"1. Young Adulthood (18-24)",worksheet[[#This Row],[age]]&lt; 35,"2. Early Adulthood (25-34)",worksheet[[#This Row],[age]]&lt; 45,"3. Mid Adulthood (35-44)",worksheet[[#This Row],[age]]&lt; 55,"4. Mature Adulthood (45-54)",TRUE,"5. Late Adulthood/Senior (55+)")</f>
        <v>3. Mid Adulthood (35-44)</v>
      </c>
      <c r="D2017" t="s">
        <v>41</v>
      </c>
      <c r="E2017" t="s">
        <v>32</v>
      </c>
      <c r="F2017" s="4">
        <v>8.9700000000000006</v>
      </c>
      <c r="G2017" s="5">
        <v>0</v>
      </c>
      <c r="H2017" t="s">
        <v>70</v>
      </c>
      <c r="I2017" t="s">
        <v>18</v>
      </c>
      <c r="J2017" s="6">
        <v>17.989999999999998</v>
      </c>
      <c r="K2017">
        <v>0</v>
      </c>
      <c r="L2017" t="s">
        <v>19</v>
      </c>
      <c r="M2017" s="5">
        <v>5</v>
      </c>
      <c r="N2017" s="4">
        <v>8.9700000000000006</v>
      </c>
      <c r="O2017" t="s">
        <v>52</v>
      </c>
    </row>
    <row r="2018" spans="1:15" x14ac:dyDescent="0.3">
      <c r="A2018" t="s">
        <v>2128</v>
      </c>
      <c r="B2018" s="5">
        <v>36</v>
      </c>
      <c r="C2018" s="5" t="str" cm="1">
        <f t="array" ref="C2018">_xlfn.IFS(worksheet[[#This Row],[age]]&lt;25,"1. Young Adulthood (18-24)",worksheet[[#This Row],[age]]&lt; 35,"2. Early Adulthood (25-34)",worksheet[[#This Row],[age]]&lt; 45,"3. Mid Adulthood (35-44)",worksheet[[#This Row],[age]]&lt; 55,"4. Mature Adulthood (45-54)",TRUE,"5. Late Adulthood/Senior (55+)")</f>
        <v>3. Mid Adulthood (35-44)</v>
      </c>
      <c r="D2018" t="s">
        <v>41</v>
      </c>
      <c r="E2018" t="s">
        <v>22</v>
      </c>
      <c r="F2018" s="4">
        <v>8.8699999999999992</v>
      </c>
      <c r="G2018" s="5">
        <v>36</v>
      </c>
      <c r="H2018" t="s">
        <v>70</v>
      </c>
      <c r="I2018" t="s">
        <v>55</v>
      </c>
      <c r="J2018" s="6">
        <v>13.99</v>
      </c>
      <c r="K2018">
        <v>1</v>
      </c>
      <c r="L2018" t="s">
        <v>19</v>
      </c>
      <c r="M2018" s="5">
        <v>2</v>
      </c>
      <c r="N2018" s="4">
        <v>0.24</v>
      </c>
      <c r="O2018" t="s">
        <v>39</v>
      </c>
    </row>
    <row r="2019" spans="1:15" x14ac:dyDescent="0.3">
      <c r="A2019" t="s">
        <v>2138</v>
      </c>
      <c r="B2019" s="5">
        <v>36</v>
      </c>
      <c r="C2019" s="5" t="str" cm="1">
        <f t="array" ref="C2019">_xlfn.IFS(worksheet[[#This Row],[age]]&lt;25,"1. Young Adulthood (18-24)",worksheet[[#This Row],[age]]&lt; 35,"2. Early Adulthood (25-34)",worksheet[[#This Row],[age]]&lt; 45,"3. Mid Adulthood (35-44)",worksheet[[#This Row],[age]]&lt; 55,"4. Mature Adulthood (45-54)",TRUE,"5. Late Adulthood/Senior (55+)")</f>
        <v>3. Mid Adulthood (35-44)</v>
      </c>
      <c r="D2019" t="s">
        <v>27</v>
      </c>
      <c r="E2019" t="s">
        <v>32</v>
      </c>
      <c r="F2019" s="4">
        <v>4.26</v>
      </c>
      <c r="G2019" s="5">
        <v>21</v>
      </c>
      <c r="H2019" t="s">
        <v>23</v>
      </c>
      <c r="I2019" t="s">
        <v>18</v>
      </c>
      <c r="J2019" s="6">
        <v>17.989999999999998</v>
      </c>
      <c r="K2019">
        <v>0</v>
      </c>
      <c r="L2019" t="s">
        <v>43</v>
      </c>
      <c r="M2019" s="5">
        <v>4</v>
      </c>
      <c r="N2019" s="4">
        <v>0.19</v>
      </c>
      <c r="O2019" t="s">
        <v>34</v>
      </c>
    </row>
    <row r="2020" spans="1:15" x14ac:dyDescent="0.3">
      <c r="A2020" t="s">
        <v>2144</v>
      </c>
      <c r="B2020" s="5">
        <v>37</v>
      </c>
      <c r="C2020" s="5" t="str" cm="1">
        <f t="array" ref="C2020">_xlfn.IFS(worksheet[[#This Row],[age]]&lt;25,"1. Young Adulthood (18-24)",worksheet[[#This Row],[age]]&lt; 35,"2. Early Adulthood (25-34)",worksheet[[#This Row],[age]]&lt; 45,"3. Mid Adulthood (35-44)",worksheet[[#This Row],[age]]&lt; 55,"4. Mature Adulthood (45-54)",TRUE,"5. Late Adulthood/Senior (55+)")</f>
        <v>3. Mid Adulthood (35-44)</v>
      </c>
      <c r="D2020" t="s">
        <v>15</v>
      </c>
      <c r="E2020" t="s">
        <v>22</v>
      </c>
      <c r="F2020" s="4">
        <v>10.84</v>
      </c>
      <c r="G2020" s="5">
        <v>29</v>
      </c>
      <c r="H2020" t="s">
        <v>70</v>
      </c>
      <c r="I2020" t="s">
        <v>24</v>
      </c>
      <c r="J2020" s="6">
        <v>13.99</v>
      </c>
      <c r="K2020">
        <v>0</v>
      </c>
      <c r="L2020" t="s">
        <v>29</v>
      </c>
      <c r="M2020" s="5">
        <v>4</v>
      </c>
      <c r="N2020" s="4">
        <v>0.36</v>
      </c>
      <c r="O2020" t="s">
        <v>25</v>
      </c>
    </row>
    <row r="2021" spans="1:15" x14ac:dyDescent="0.3">
      <c r="A2021" t="s">
        <v>2150</v>
      </c>
      <c r="B2021" s="5">
        <v>44</v>
      </c>
      <c r="C2021" s="5" t="str" cm="1">
        <f t="array" ref="C2021">_xlfn.IFS(worksheet[[#This Row],[age]]&lt;25,"1. Young Adulthood (18-24)",worksheet[[#This Row],[age]]&lt; 35,"2. Early Adulthood (25-34)",worksheet[[#This Row],[age]]&lt; 45,"3. Mid Adulthood (35-44)",worksheet[[#This Row],[age]]&lt; 55,"4. Mature Adulthood (45-54)",TRUE,"5. Late Adulthood/Senior (55+)")</f>
        <v>3. Mid Adulthood (35-44)</v>
      </c>
      <c r="D2021" t="s">
        <v>15</v>
      </c>
      <c r="E2021" t="s">
        <v>16</v>
      </c>
      <c r="F2021" s="4">
        <v>26.37</v>
      </c>
      <c r="G2021" s="5">
        <v>21</v>
      </c>
      <c r="H2021" t="s">
        <v>33</v>
      </c>
      <c r="I2021" t="s">
        <v>24</v>
      </c>
      <c r="J2021" s="6">
        <v>8.99</v>
      </c>
      <c r="K2021">
        <v>0</v>
      </c>
      <c r="L2021" t="s">
        <v>43</v>
      </c>
      <c r="M2021" s="5">
        <v>5</v>
      </c>
      <c r="N2021" s="4">
        <v>1.2</v>
      </c>
      <c r="O2021" t="s">
        <v>39</v>
      </c>
    </row>
    <row r="2022" spans="1:15" x14ac:dyDescent="0.3">
      <c r="A2022" t="s">
        <v>2153</v>
      </c>
      <c r="B2022" s="5">
        <v>37</v>
      </c>
      <c r="C2022" s="5" t="str" cm="1">
        <f t="array" ref="C2022">_xlfn.IFS(worksheet[[#This Row],[age]]&lt;25,"1. Young Adulthood (18-24)",worksheet[[#This Row],[age]]&lt; 35,"2. Early Adulthood (25-34)",worksheet[[#This Row],[age]]&lt; 45,"3. Mid Adulthood (35-44)",worksheet[[#This Row],[age]]&lt; 55,"4. Mature Adulthood (45-54)",TRUE,"5. Late Adulthood/Senior (55+)")</f>
        <v>3. Mid Adulthood (35-44)</v>
      </c>
      <c r="D2022" t="s">
        <v>41</v>
      </c>
      <c r="E2022" t="s">
        <v>16</v>
      </c>
      <c r="F2022" s="4">
        <v>3.05</v>
      </c>
      <c r="G2022" s="5">
        <v>15</v>
      </c>
      <c r="H2022" t="s">
        <v>49</v>
      </c>
      <c r="I2022" t="s">
        <v>57</v>
      </c>
      <c r="J2022" s="6">
        <v>8.99</v>
      </c>
      <c r="K2022">
        <v>1</v>
      </c>
      <c r="L2022" t="s">
        <v>19</v>
      </c>
      <c r="M2022" s="5">
        <v>3</v>
      </c>
      <c r="N2022" s="4">
        <v>0.19</v>
      </c>
      <c r="O2022" t="s">
        <v>25</v>
      </c>
    </row>
    <row r="2023" spans="1:15" x14ac:dyDescent="0.3">
      <c r="A2023" t="s">
        <v>2165</v>
      </c>
      <c r="B2023" s="5">
        <v>42</v>
      </c>
      <c r="C2023" s="5" t="str" cm="1">
        <f t="array" ref="C2023">_xlfn.IFS(worksheet[[#This Row],[age]]&lt;25,"1. Young Adulthood (18-24)",worksheet[[#This Row],[age]]&lt; 35,"2. Early Adulthood (25-34)",worksheet[[#This Row],[age]]&lt; 45,"3. Mid Adulthood (35-44)",worksheet[[#This Row],[age]]&lt; 55,"4. Mature Adulthood (45-54)",TRUE,"5. Late Adulthood/Senior (55+)")</f>
        <v>3. Mid Adulthood (35-44)</v>
      </c>
      <c r="D2023" t="s">
        <v>27</v>
      </c>
      <c r="E2023" t="s">
        <v>22</v>
      </c>
      <c r="F2023" s="4">
        <v>2.96</v>
      </c>
      <c r="G2023" s="5">
        <v>30</v>
      </c>
      <c r="H2023" t="s">
        <v>23</v>
      </c>
      <c r="I2023" t="s">
        <v>18</v>
      </c>
      <c r="J2023" s="6">
        <v>13.99</v>
      </c>
      <c r="K2023">
        <v>0</v>
      </c>
      <c r="L2023" t="s">
        <v>43</v>
      </c>
      <c r="M2023" s="5">
        <v>5</v>
      </c>
      <c r="N2023" s="4">
        <v>0.1</v>
      </c>
      <c r="O2023" t="s">
        <v>25</v>
      </c>
    </row>
    <row r="2024" spans="1:15" x14ac:dyDescent="0.3">
      <c r="A2024" t="s">
        <v>2169</v>
      </c>
      <c r="B2024" s="5">
        <v>42</v>
      </c>
      <c r="C2024" s="5" t="str" cm="1">
        <f t="array" ref="C2024">_xlfn.IFS(worksheet[[#This Row],[age]]&lt;25,"1. Young Adulthood (18-24)",worksheet[[#This Row],[age]]&lt; 35,"2. Early Adulthood (25-34)",worksheet[[#This Row],[age]]&lt; 45,"3. Mid Adulthood (35-44)",worksheet[[#This Row],[age]]&lt; 55,"4. Mature Adulthood (45-54)",TRUE,"5. Late Adulthood/Senior (55+)")</f>
        <v>3. Mid Adulthood (35-44)</v>
      </c>
      <c r="D2024" t="s">
        <v>41</v>
      </c>
      <c r="E2024" t="s">
        <v>16</v>
      </c>
      <c r="F2024" s="4">
        <v>20.9</v>
      </c>
      <c r="G2024" s="5">
        <v>42</v>
      </c>
      <c r="H2024" t="s">
        <v>23</v>
      </c>
      <c r="I2024" t="s">
        <v>57</v>
      </c>
      <c r="J2024" s="6">
        <v>8.99</v>
      </c>
      <c r="K2024">
        <v>1</v>
      </c>
      <c r="L2024" t="s">
        <v>61</v>
      </c>
      <c r="M2024" s="5">
        <v>3</v>
      </c>
      <c r="N2024" s="4">
        <v>0.49</v>
      </c>
      <c r="O2024" t="s">
        <v>30</v>
      </c>
    </row>
    <row r="2025" spans="1:15" x14ac:dyDescent="0.3">
      <c r="A2025" t="s">
        <v>2171</v>
      </c>
      <c r="B2025" s="5">
        <v>40</v>
      </c>
      <c r="C2025" s="5" t="str" cm="1">
        <f t="array" ref="C2025">_xlfn.IFS(worksheet[[#This Row],[age]]&lt;25,"1. Young Adulthood (18-24)",worksheet[[#This Row],[age]]&lt; 35,"2. Early Adulthood (25-34)",worksheet[[#This Row],[age]]&lt; 45,"3. Mid Adulthood (35-44)",worksheet[[#This Row],[age]]&lt; 55,"4. Mature Adulthood (45-54)",TRUE,"5. Late Adulthood/Senior (55+)")</f>
        <v>3. Mid Adulthood (35-44)</v>
      </c>
      <c r="D2025" t="s">
        <v>15</v>
      </c>
      <c r="E2025" t="s">
        <v>16</v>
      </c>
      <c r="F2025" s="4">
        <v>14.01</v>
      </c>
      <c r="G2025" s="5">
        <v>14</v>
      </c>
      <c r="H2025" t="s">
        <v>23</v>
      </c>
      <c r="I2025" t="s">
        <v>46</v>
      </c>
      <c r="J2025" s="6">
        <v>8.99</v>
      </c>
      <c r="K2025">
        <v>0</v>
      </c>
      <c r="L2025" t="s">
        <v>37</v>
      </c>
      <c r="M2025" s="5">
        <v>3</v>
      </c>
      <c r="N2025" s="4">
        <v>0.93</v>
      </c>
      <c r="O2025" t="s">
        <v>39</v>
      </c>
    </row>
    <row r="2026" spans="1:15" x14ac:dyDescent="0.3">
      <c r="A2026" t="s">
        <v>2172</v>
      </c>
      <c r="B2026" s="5">
        <v>36</v>
      </c>
      <c r="C2026" s="5" t="str" cm="1">
        <f t="array" ref="C2026">_xlfn.IFS(worksheet[[#This Row],[age]]&lt;25,"1. Young Adulthood (18-24)",worksheet[[#This Row],[age]]&lt; 35,"2. Early Adulthood (25-34)",worksheet[[#This Row],[age]]&lt; 45,"3. Mid Adulthood (35-44)",worksheet[[#This Row],[age]]&lt; 55,"4. Mature Adulthood (45-54)",TRUE,"5. Late Adulthood/Senior (55+)")</f>
        <v>3. Mid Adulthood (35-44)</v>
      </c>
      <c r="D2026" t="s">
        <v>27</v>
      </c>
      <c r="E2026" t="s">
        <v>32</v>
      </c>
      <c r="F2026" s="4">
        <v>16.68</v>
      </c>
      <c r="G2026" s="5">
        <v>60</v>
      </c>
      <c r="H2026" t="s">
        <v>17</v>
      </c>
      <c r="I2026" t="s">
        <v>18</v>
      </c>
      <c r="J2026" s="6">
        <v>17.989999999999998</v>
      </c>
      <c r="K2026">
        <v>0</v>
      </c>
      <c r="L2026" t="s">
        <v>61</v>
      </c>
      <c r="M2026" s="5">
        <v>5</v>
      </c>
      <c r="N2026" s="4">
        <v>0.27</v>
      </c>
      <c r="O2026" t="s">
        <v>34</v>
      </c>
    </row>
    <row r="2027" spans="1:15" x14ac:dyDescent="0.3">
      <c r="A2027" t="s">
        <v>2175</v>
      </c>
      <c r="B2027" s="5">
        <v>42</v>
      </c>
      <c r="C2027" s="5" t="str" cm="1">
        <f t="array" ref="C2027">_xlfn.IFS(worksheet[[#This Row],[age]]&lt;25,"1. Young Adulthood (18-24)",worksheet[[#This Row],[age]]&lt; 35,"2. Early Adulthood (25-34)",worksheet[[#This Row],[age]]&lt; 45,"3. Mid Adulthood (35-44)",worksheet[[#This Row],[age]]&lt; 55,"4. Mature Adulthood (45-54)",TRUE,"5. Late Adulthood/Senior (55+)")</f>
        <v>3. Mid Adulthood (35-44)</v>
      </c>
      <c r="D2027" t="s">
        <v>41</v>
      </c>
      <c r="E2027" t="s">
        <v>22</v>
      </c>
      <c r="F2027" s="4">
        <v>7.63</v>
      </c>
      <c r="G2027" s="5">
        <v>32</v>
      </c>
      <c r="H2027" t="s">
        <v>33</v>
      </c>
      <c r="I2027" t="s">
        <v>57</v>
      </c>
      <c r="J2027" s="6">
        <v>13.99</v>
      </c>
      <c r="K2027">
        <v>1</v>
      </c>
      <c r="L2027" t="s">
        <v>61</v>
      </c>
      <c r="M2027" s="5">
        <v>2</v>
      </c>
      <c r="N2027" s="4">
        <v>0.23</v>
      </c>
      <c r="O2027" t="s">
        <v>20</v>
      </c>
    </row>
    <row r="2028" spans="1:15" x14ac:dyDescent="0.3">
      <c r="A2028" t="s">
        <v>2187</v>
      </c>
      <c r="B2028" s="5">
        <v>44</v>
      </c>
      <c r="C2028" s="5" t="str" cm="1">
        <f t="array" ref="C2028">_xlfn.IFS(worksheet[[#This Row],[age]]&lt;25,"1. Young Adulthood (18-24)",worksheet[[#This Row],[age]]&lt; 35,"2. Early Adulthood (25-34)",worksheet[[#This Row],[age]]&lt; 45,"3. Mid Adulthood (35-44)",worksheet[[#This Row],[age]]&lt; 55,"4. Mature Adulthood (45-54)",TRUE,"5. Late Adulthood/Senior (55+)")</f>
        <v>3. Mid Adulthood (35-44)</v>
      </c>
      <c r="D2028" t="s">
        <v>27</v>
      </c>
      <c r="E2028" t="s">
        <v>16</v>
      </c>
      <c r="F2028" s="4">
        <v>0.65</v>
      </c>
      <c r="G2028" s="5">
        <v>59</v>
      </c>
      <c r="H2028" t="s">
        <v>17</v>
      </c>
      <c r="I2028" t="s">
        <v>18</v>
      </c>
      <c r="J2028" s="6">
        <v>8.99</v>
      </c>
      <c r="K2028">
        <v>1</v>
      </c>
      <c r="L2028" t="s">
        <v>43</v>
      </c>
      <c r="M2028" s="5">
        <v>4</v>
      </c>
      <c r="N2028" s="4">
        <v>0.01</v>
      </c>
      <c r="O2028" t="s">
        <v>34</v>
      </c>
    </row>
    <row r="2029" spans="1:15" x14ac:dyDescent="0.3">
      <c r="A2029" t="s">
        <v>2190</v>
      </c>
      <c r="B2029" s="5">
        <v>35</v>
      </c>
      <c r="C2029" s="5" t="str" cm="1">
        <f t="array" ref="C2029">_xlfn.IFS(worksheet[[#This Row],[age]]&lt;25,"1. Young Adulthood (18-24)",worksheet[[#This Row],[age]]&lt; 35,"2. Early Adulthood (25-34)",worksheet[[#This Row],[age]]&lt; 45,"3. Mid Adulthood (35-44)",worksheet[[#This Row],[age]]&lt; 55,"4. Mature Adulthood (45-54)",TRUE,"5. Late Adulthood/Senior (55+)")</f>
        <v>3. Mid Adulthood (35-44)</v>
      </c>
      <c r="D2029" t="s">
        <v>41</v>
      </c>
      <c r="E2029" t="s">
        <v>32</v>
      </c>
      <c r="F2029" s="4">
        <v>7.93</v>
      </c>
      <c r="G2029" s="5">
        <v>19</v>
      </c>
      <c r="H2029" t="s">
        <v>70</v>
      </c>
      <c r="I2029" t="s">
        <v>18</v>
      </c>
      <c r="J2029" s="6">
        <v>17.989999999999998</v>
      </c>
      <c r="K2029">
        <v>0</v>
      </c>
      <c r="L2029" t="s">
        <v>43</v>
      </c>
      <c r="M2029" s="5">
        <v>5</v>
      </c>
      <c r="N2029" s="4">
        <v>0.4</v>
      </c>
      <c r="O2029" t="s">
        <v>34</v>
      </c>
    </row>
    <row r="2030" spans="1:15" x14ac:dyDescent="0.3">
      <c r="A2030" t="s">
        <v>2194</v>
      </c>
      <c r="B2030" s="5">
        <v>44</v>
      </c>
      <c r="C2030" s="5" t="str" cm="1">
        <f t="array" ref="C2030">_xlfn.IFS(worksheet[[#This Row],[age]]&lt;25,"1. Young Adulthood (18-24)",worksheet[[#This Row],[age]]&lt; 35,"2. Early Adulthood (25-34)",worksheet[[#This Row],[age]]&lt; 45,"3. Mid Adulthood (35-44)",worksheet[[#This Row],[age]]&lt; 55,"4. Mature Adulthood (45-54)",TRUE,"5. Late Adulthood/Senior (55+)")</f>
        <v>3. Mid Adulthood (35-44)</v>
      </c>
      <c r="D2030" t="s">
        <v>41</v>
      </c>
      <c r="E2030" t="s">
        <v>22</v>
      </c>
      <c r="F2030" s="4">
        <v>15.75</v>
      </c>
      <c r="G2030" s="5">
        <v>47</v>
      </c>
      <c r="H2030" t="s">
        <v>28</v>
      </c>
      <c r="I2030" t="s">
        <v>55</v>
      </c>
      <c r="J2030" s="6">
        <v>13.99</v>
      </c>
      <c r="K2030">
        <v>1</v>
      </c>
      <c r="L2030" t="s">
        <v>19</v>
      </c>
      <c r="M2030" s="5">
        <v>4</v>
      </c>
      <c r="N2030" s="4">
        <v>0.33</v>
      </c>
      <c r="O2030" t="s">
        <v>47</v>
      </c>
    </row>
    <row r="2031" spans="1:15" x14ac:dyDescent="0.3">
      <c r="A2031" t="s">
        <v>2200</v>
      </c>
      <c r="B2031" s="5">
        <v>43</v>
      </c>
      <c r="C2031" s="5" t="str" cm="1">
        <f t="array" ref="C2031">_xlfn.IFS(worksheet[[#This Row],[age]]&lt;25,"1. Young Adulthood (18-24)",worksheet[[#This Row],[age]]&lt; 35,"2. Early Adulthood (25-34)",worksheet[[#This Row],[age]]&lt; 45,"3. Mid Adulthood (35-44)",worksheet[[#This Row],[age]]&lt; 55,"4. Mature Adulthood (45-54)",TRUE,"5. Late Adulthood/Senior (55+)")</f>
        <v>3. Mid Adulthood (35-44)</v>
      </c>
      <c r="D2031" t="s">
        <v>15</v>
      </c>
      <c r="E2031" t="s">
        <v>16</v>
      </c>
      <c r="F2031" s="4">
        <v>13.19</v>
      </c>
      <c r="G2031" s="5">
        <v>10</v>
      </c>
      <c r="H2031" t="s">
        <v>28</v>
      </c>
      <c r="I2031" t="s">
        <v>18</v>
      </c>
      <c r="J2031" s="6">
        <v>8.99</v>
      </c>
      <c r="K2031">
        <v>0</v>
      </c>
      <c r="L2031" t="s">
        <v>29</v>
      </c>
      <c r="M2031" s="5">
        <v>5</v>
      </c>
      <c r="N2031" s="4">
        <v>1.2</v>
      </c>
      <c r="O2031" t="s">
        <v>47</v>
      </c>
    </row>
    <row r="2032" spans="1:15" x14ac:dyDescent="0.3">
      <c r="A2032" s="1" t="s">
        <v>2205</v>
      </c>
      <c r="B2032" s="5">
        <v>44</v>
      </c>
      <c r="C2032" s="5" t="str" cm="1">
        <f t="array" ref="C2032">_xlfn.IFS(worksheet[[#This Row],[age]]&lt;25,"1. Young Adulthood (18-24)",worksheet[[#This Row],[age]]&lt; 35,"2. Early Adulthood (25-34)",worksheet[[#This Row],[age]]&lt; 45,"3. Mid Adulthood (35-44)",worksheet[[#This Row],[age]]&lt; 55,"4. Mature Adulthood (45-54)",TRUE,"5. Late Adulthood/Senior (55+)")</f>
        <v>3. Mid Adulthood (35-44)</v>
      </c>
      <c r="D2032" t="s">
        <v>41</v>
      </c>
      <c r="E2032" t="s">
        <v>22</v>
      </c>
      <c r="F2032" s="4">
        <v>2</v>
      </c>
      <c r="G2032" s="5">
        <v>40</v>
      </c>
      <c r="H2032" t="s">
        <v>33</v>
      </c>
      <c r="I2032" t="s">
        <v>46</v>
      </c>
      <c r="J2032" s="6">
        <v>13.99</v>
      </c>
      <c r="K2032">
        <v>1</v>
      </c>
      <c r="L2032" t="s">
        <v>19</v>
      </c>
      <c r="M2032" s="5">
        <v>1</v>
      </c>
      <c r="N2032" s="4">
        <v>0.05</v>
      </c>
      <c r="O2032" t="s">
        <v>20</v>
      </c>
    </row>
    <row r="2033" spans="1:15" x14ac:dyDescent="0.3">
      <c r="A2033" t="s">
        <v>2218</v>
      </c>
      <c r="B2033" s="5">
        <v>39</v>
      </c>
      <c r="C2033" s="5" t="str" cm="1">
        <f t="array" ref="C2033">_xlfn.IFS(worksheet[[#This Row],[age]]&lt;25,"1. Young Adulthood (18-24)",worksheet[[#This Row],[age]]&lt; 35,"2. Early Adulthood (25-34)",worksheet[[#This Row],[age]]&lt; 45,"3. Mid Adulthood (35-44)",worksheet[[#This Row],[age]]&lt; 55,"4. Mature Adulthood (45-54)",TRUE,"5. Late Adulthood/Senior (55+)")</f>
        <v>3. Mid Adulthood (35-44)</v>
      </c>
      <c r="D2033" t="s">
        <v>27</v>
      </c>
      <c r="E2033" t="s">
        <v>22</v>
      </c>
      <c r="F2033" s="4">
        <v>17.05</v>
      </c>
      <c r="G2033" s="5">
        <v>37</v>
      </c>
      <c r="H2033" t="s">
        <v>23</v>
      </c>
      <c r="I2033" t="s">
        <v>55</v>
      </c>
      <c r="J2033" s="6">
        <v>13.99</v>
      </c>
      <c r="K2033">
        <v>1</v>
      </c>
      <c r="L2033" t="s">
        <v>37</v>
      </c>
      <c r="M2033" s="5">
        <v>1</v>
      </c>
      <c r="N2033" s="4">
        <v>0.45</v>
      </c>
      <c r="O2033" t="s">
        <v>30</v>
      </c>
    </row>
    <row r="2034" spans="1:15" x14ac:dyDescent="0.3">
      <c r="A2034" t="s">
        <v>2227</v>
      </c>
      <c r="B2034" s="5">
        <v>38</v>
      </c>
      <c r="C2034" s="5" t="str" cm="1">
        <f t="array" ref="C2034">_xlfn.IFS(worksheet[[#This Row],[age]]&lt;25,"1. Young Adulthood (18-24)",worksheet[[#This Row],[age]]&lt; 35,"2. Early Adulthood (25-34)",worksheet[[#This Row],[age]]&lt; 45,"3. Mid Adulthood (35-44)",worksheet[[#This Row],[age]]&lt; 55,"4. Mature Adulthood (45-54)",TRUE,"5. Late Adulthood/Senior (55+)")</f>
        <v>3. Mid Adulthood (35-44)</v>
      </c>
      <c r="D2034" t="s">
        <v>15</v>
      </c>
      <c r="E2034" t="s">
        <v>16</v>
      </c>
      <c r="F2034" s="4">
        <v>6.49</v>
      </c>
      <c r="G2034" s="5">
        <v>34</v>
      </c>
      <c r="H2034" t="s">
        <v>70</v>
      </c>
      <c r="I2034" t="s">
        <v>18</v>
      </c>
      <c r="J2034" s="6">
        <v>8.99</v>
      </c>
      <c r="K2034">
        <v>1</v>
      </c>
      <c r="L2034" t="s">
        <v>37</v>
      </c>
      <c r="M2034" s="5">
        <v>2</v>
      </c>
      <c r="N2034" s="4">
        <v>0.19</v>
      </c>
      <c r="O2034" t="s">
        <v>34</v>
      </c>
    </row>
    <row r="2035" spans="1:15" x14ac:dyDescent="0.3">
      <c r="A2035" t="s">
        <v>2229</v>
      </c>
      <c r="B2035" s="5">
        <v>36</v>
      </c>
      <c r="C2035" s="5" t="str" cm="1">
        <f t="array" ref="C2035">_xlfn.IFS(worksheet[[#This Row],[age]]&lt;25,"1. Young Adulthood (18-24)",worksheet[[#This Row],[age]]&lt; 35,"2. Early Adulthood (25-34)",worksheet[[#This Row],[age]]&lt; 45,"3. Mid Adulthood (35-44)",worksheet[[#This Row],[age]]&lt; 55,"4. Mature Adulthood (45-54)",TRUE,"5. Late Adulthood/Senior (55+)")</f>
        <v>3. Mid Adulthood (35-44)</v>
      </c>
      <c r="D2035" t="s">
        <v>27</v>
      </c>
      <c r="E2035" t="s">
        <v>32</v>
      </c>
      <c r="F2035" s="4">
        <v>14.18</v>
      </c>
      <c r="G2035" s="5">
        <v>6</v>
      </c>
      <c r="H2035" t="s">
        <v>33</v>
      </c>
      <c r="I2035" t="s">
        <v>57</v>
      </c>
      <c r="J2035" s="6">
        <v>17.989999999999998</v>
      </c>
      <c r="K2035">
        <v>0</v>
      </c>
      <c r="L2035" t="s">
        <v>19</v>
      </c>
      <c r="M2035" s="5">
        <v>2</v>
      </c>
      <c r="N2035" s="4">
        <v>2.0299999999999998</v>
      </c>
      <c r="O2035" t="s">
        <v>25</v>
      </c>
    </row>
    <row r="2036" spans="1:15" x14ac:dyDescent="0.3">
      <c r="A2036" t="s">
        <v>2230</v>
      </c>
      <c r="B2036" s="5">
        <v>38</v>
      </c>
      <c r="C2036" s="5" t="str" cm="1">
        <f t="array" ref="C2036">_xlfn.IFS(worksheet[[#This Row],[age]]&lt;25,"1. Young Adulthood (18-24)",worksheet[[#This Row],[age]]&lt; 35,"2. Early Adulthood (25-34)",worksheet[[#This Row],[age]]&lt; 45,"3. Mid Adulthood (35-44)",worksheet[[#This Row],[age]]&lt; 55,"4. Mature Adulthood (45-54)",TRUE,"5. Late Adulthood/Senior (55+)")</f>
        <v>3. Mid Adulthood (35-44)</v>
      </c>
      <c r="D2036" t="s">
        <v>41</v>
      </c>
      <c r="E2036" t="s">
        <v>16</v>
      </c>
      <c r="F2036" s="4">
        <v>8.32</v>
      </c>
      <c r="G2036" s="5">
        <v>22</v>
      </c>
      <c r="H2036" t="s">
        <v>28</v>
      </c>
      <c r="I2036" t="s">
        <v>46</v>
      </c>
      <c r="J2036" s="6">
        <v>8.99</v>
      </c>
      <c r="K2036">
        <v>1</v>
      </c>
      <c r="L2036" t="s">
        <v>37</v>
      </c>
      <c r="M2036" s="5">
        <v>1</v>
      </c>
      <c r="N2036" s="4">
        <v>0.36</v>
      </c>
      <c r="O2036" t="s">
        <v>52</v>
      </c>
    </row>
    <row r="2037" spans="1:15" x14ac:dyDescent="0.3">
      <c r="A2037" t="s">
        <v>2231</v>
      </c>
      <c r="B2037" s="5">
        <v>40</v>
      </c>
      <c r="C2037" s="5" t="str" cm="1">
        <f t="array" ref="C2037">_xlfn.IFS(worksheet[[#This Row],[age]]&lt;25,"1. Young Adulthood (18-24)",worksheet[[#This Row],[age]]&lt; 35,"2. Early Adulthood (25-34)",worksheet[[#This Row],[age]]&lt; 45,"3. Mid Adulthood (35-44)",worksheet[[#This Row],[age]]&lt; 55,"4. Mature Adulthood (45-54)",TRUE,"5. Late Adulthood/Senior (55+)")</f>
        <v>3. Mid Adulthood (35-44)</v>
      </c>
      <c r="D2037" t="s">
        <v>15</v>
      </c>
      <c r="E2037" t="s">
        <v>32</v>
      </c>
      <c r="F2037" s="4">
        <v>9.64</v>
      </c>
      <c r="G2037" s="5">
        <v>34</v>
      </c>
      <c r="H2037" t="s">
        <v>70</v>
      </c>
      <c r="I2037" t="s">
        <v>57</v>
      </c>
      <c r="J2037" s="6">
        <v>17.989999999999998</v>
      </c>
      <c r="K2037">
        <v>1</v>
      </c>
      <c r="L2037" t="s">
        <v>61</v>
      </c>
      <c r="M2037" s="5">
        <v>1</v>
      </c>
      <c r="N2037" s="4">
        <v>0.28000000000000003</v>
      </c>
      <c r="O2037" t="s">
        <v>20</v>
      </c>
    </row>
    <row r="2038" spans="1:15" x14ac:dyDescent="0.3">
      <c r="A2038" t="s">
        <v>2236</v>
      </c>
      <c r="B2038" s="5">
        <v>35</v>
      </c>
      <c r="C2038" s="5" t="str" cm="1">
        <f t="array" ref="C2038">_xlfn.IFS(worksheet[[#This Row],[age]]&lt;25,"1. Young Adulthood (18-24)",worksheet[[#This Row],[age]]&lt; 35,"2. Early Adulthood (25-34)",worksheet[[#This Row],[age]]&lt; 45,"3. Mid Adulthood (35-44)",worksheet[[#This Row],[age]]&lt; 55,"4. Mature Adulthood (45-54)",TRUE,"5. Late Adulthood/Senior (55+)")</f>
        <v>3. Mid Adulthood (35-44)</v>
      </c>
      <c r="D2038" t="s">
        <v>27</v>
      </c>
      <c r="E2038" t="s">
        <v>22</v>
      </c>
      <c r="F2038" s="4">
        <v>13.03</v>
      </c>
      <c r="G2038" s="5">
        <v>0</v>
      </c>
      <c r="H2038" t="s">
        <v>17</v>
      </c>
      <c r="I2038" t="s">
        <v>55</v>
      </c>
      <c r="J2038" s="6">
        <v>13.99</v>
      </c>
      <c r="K2038">
        <v>0</v>
      </c>
      <c r="L2038" t="s">
        <v>43</v>
      </c>
      <c r="M2038" s="5">
        <v>5</v>
      </c>
      <c r="N2038" s="4">
        <v>13.03</v>
      </c>
      <c r="O2038" t="s">
        <v>25</v>
      </c>
    </row>
    <row r="2039" spans="1:15" x14ac:dyDescent="0.3">
      <c r="A2039" t="s">
        <v>2245</v>
      </c>
      <c r="B2039" s="5">
        <v>42</v>
      </c>
      <c r="C2039" s="5" t="str" cm="1">
        <f t="array" ref="C2039">_xlfn.IFS(worksheet[[#This Row],[age]]&lt;25,"1. Young Adulthood (18-24)",worksheet[[#This Row],[age]]&lt; 35,"2. Early Adulthood (25-34)",worksheet[[#This Row],[age]]&lt; 45,"3. Mid Adulthood (35-44)",worksheet[[#This Row],[age]]&lt; 55,"4. Mature Adulthood (45-54)",TRUE,"5. Late Adulthood/Senior (55+)")</f>
        <v>3. Mid Adulthood (35-44)</v>
      </c>
      <c r="D2039" t="s">
        <v>27</v>
      </c>
      <c r="E2039" t="s">
        <v>22</v>
      </c>
      <c r="F2039" s="4">
        <v>13.17</v>
      </c>
      <c r="G2039" s="5">
        <v>50</v>
      </c>
      <c r="H2039" t="s">
        <v>17</v>
      </c>
      <c r="I2039" t="s">
        <v>24</v>
      </c>
      <c r="J2039" s="6">
        <v>13.99</v>
      </c>
      <c r="K2039">
        <v>0</v>
      </c>
      <c r="L2039" t="s">
        <v>43</v>
      </c>
      <c r="M2039" s="5">
        <v>4</v>
      </c>
      <c r="N2039" s="4">
        <v>0.26</v>
      </c>
      <c r="O2039" t="s">
        <v>52</v>
      </c>
    </row>
    <row r="2040" spans="1:15" x14ac:dyDescent="0.3">
      <c r="A2040" t="s">
        <v>2246</v>
      </c>
      <c r="B2040" s="5">
        <v>41</v>
      </c>
      <c r="C2040" s="5" t="str" cm="1">
        <f t="array" ref="C2040">_xlfn.IFS(worksheet[[#This Row],[age]]&lt;25,"1. Young Adulthood (18-24)",worksheet[[#This Row],[age]]&lt; 35,"2. Early Adulthood (25-34)",worksheet[[#This Row],[age]]&lt; 45,"3. Mid Adulthood (35-44)",worksheet[[#This Row],[age]]&lt; 55,"4. Mature Adulthood (45-54)",TRUE,"5. Late Adulthood/Senior (55+)")</f>
        <v>3. Mid Adulthood (35-44)</v>
      </c>
      <c r="D2040" t="s">
        <v>15</v>
      </c>
      <c r="E2040" t="s">
        <v>32</v>
      </c>
      <c r="F2040" s="4">
        <v>1.65</v>
      </c>
      <c r="G2040" s="5">
        <v>9</v>
      </c>
      <c r="H2040" t="s">
        <v>23</v>
      </c>
      <c r="I2040" t="s">
        <v>57</v>
      </c>
      <c r="J2040" s="6">
        <v>17.989999999999998</v>
      </c>
      <c r="K2040">
        <v>1</v>
      </c>
      <c r="L2040" t="s">
        <v>43</v>
      </c>
      <c r="M2040" s="5">
        <v>2</v>
      </c>
      <c r="N2040" s="4">
        <v>0.16</v>
      </c>
      <c r="O2040" t="s">
        <v>47</v>
      </c>
    </row>
    <row r="2041" spans="1:15" x14ac:dyDescent="0.3">
      <c r="A2041" t="s">
        <v>2249</v>
      </c>
      <c r="B2041" s="5">
        <v>41</v>
      </c>
      <c r="C2041" s="5" t="str" cm="1">
        <f t="array" ref="C2041">_xlfn.IFS(worksheet[[#This Row],[age]]&lt;25,"1. Young Adulthood (18-24)",worksheet[[#This Row],[age]]&lt; 35,"2. Early Adulthood (25-34)",worksheet[[#This Row],[age]]&lt; 45,"3. Mid Adulthood (35-44)",worksheet[[#This Row],[age]]&lt; 55,"4. Mature Adulthood (45-54)",TRUE,"5. Late Adulthood/Senior (55+)")</f>
        <v>3. Mid Adulthood (35-44)</v>
      </c>
      <c r="D2041" t="s">
        <v>27</v>
      </c>
      <c r="E2041" t="s">
        <v>32</v>
      </c>
      <c r="F2041" s="4">
        <v>13.2</v>
      </c>
      <c r="G2041" s="5">
        <v>29</v>
      </c>
      <c r="H2041" t="s">
        <v>17</v>
      </c>
      <c r="I2041" t="s">
        <v>46</v>
      </c>
      <c r="J2041" s="6">
        <v>17.989999999999998</v>
      </c>
      <c r="K2041">
        <v>0</v>
      </c>
      <c r="L2041" t="s">
        <v>29</v>
      </c>
      <c r="M2041" s="5">
        <v>3</v>
      </c>
      <c r="N2041" s="4">
        <v>0.44</v>
      </c>
      <c r="O2041" t="s">
        <v>34</v>
      </c>
    </row>
    <row r="2042" spans="1:15" x14ac:dyDescent="0.3">
      <c r="A2042" t="s">
        <v>2255</v>
      </c>
      <c r="B2042" s="5">
        <v>36</v>
      </c>
      <c r="C2042" s="5" t="str" cm="1">
        <f t="array" ref="C2042">_xlfn.IFS(worksheet[[#This Row],[age]]&lt;25,"1. Young Adulthood (18-24)",worksheet[[#This Row],[age]]&lt; 35,"2. Early Adulthood (25-34)",worksheet[[#This Row],[age]]&lt; 45,"3. Mid Adulthood (35-44)",worksheet[[#This Row],[age]]&lt; 55,"4. Mature Adulthood (45-54)",TRUE,"5. Late Adulthood/Senior (55+)")</f>
        <v>3. Mid Adulthood (35-44)</v>
      </c>
      <c r="D2042" t="s">
        <v>15</v>
      </c>
      <c r="E2042" t="s">
        <v>22</v>
      </c>
      <c r="F2042" s="4">
        <v>14.25</v>
      </c>
      <c r="G2042" s="5">
        <v>22</v>
      </c>
      <c r="H2042" t="s">
        <v>33</v>
      </c>
      <c r="I2042" t="s">
        <v>24</v>
      </c>
      <c r="J2042" s="6">
        <v>13.99</v>
      </c>
      <c r="K2042">
        <v>0</v>
      </c>
      <c r="L2042" t="s">
        <v>43</v>
      </c>
      <c r="M2042" s="5">
        <v>5</v>
      </c>
      <c r="N2042" s="4">
        <v>0.62</v>
      </c>
      <c r="O2042" t="s">
        <v>34</v>
      </c>
    </row>
    <row r="2043" spans="1:15" x14ac:dyDescent="0.3">
      <c r="A2043" t="s">
        <v>2256</v>
      </c>
      <c r="B2043" s="5">
        <v>35</v>
      </c>
      <c r="C2043" s="5" t="str" cm="1">
        <f t="array" ref="C2043">_xlfn.IFS(worksheet[[#This Row],[age]]&lt;25,"1. Young Adulthood (18-24)",worksheet[[#This Row],[age]]&lt; 35,"2. Early Adulthood (25-34)",worksheet[[#This Row],[age]]&lt; 45,"3. Mid Adulthood (35-44)",worksheet[[#This Row],[age]]&lt; 55,"4. Mature Adulthood (45-54)",TRUE,"5. Late Adulthood/Senior (55+)")</f>
        <v>3. Mid Adulthood (35-44)</v>
      </c>
      <c r="D2043" t="s">
        <v>15</v>
      </c>
      <c r="E2043" t="s">
        <v>32</v>
      </c>
      <c r="F2043" s="4">
        <v>28.04</v>
      </c>
      <c r="G2043" s="5">
        <v>59</v>
      </c>
      <c r="H2043" t="s">
        <v>33</v>
      </c>
      <c r="I2043" t="s">
        <v>24</v>
      </c>
      <c r="J2043" s="6">
        <v>17.989999999999998</v>
      </c>
      <c r="K2043">
        <v>0</v>
      </c>
      <c r="L2043" t="s">
        <v>29</v>
      </c>
      <c r="M2043" s="5">
        <v>2</v>
      </c>
      <c r="N2043" s="4">
        <v>0.47</v>
      </c>
      <c r="O2043" t="s">
        <v>34</v>
      </c>
    </row>
    <row r="2044" spans="1:15" x14ac:dyDescent="0.3">
      <c r="A2044" t="s">
        <v>2269</v>
      </c>
      <c r="B2044" s="5">
        <v>43</v>
      </c>
      <c r="C2044" s="5" t="str" cm="1">
        <f t="array" ref="C2044">_xlfn.IFS(worksheet[[#This Row],[age]]&lt;25,"1. Young Adulthood (18-24)",worksheet[[#This Row],[age]]&lt; 35,"2. Early Adulthood (25-34)",worksheet[[#This Row],[age]]&lt; 45,"3. Mid Adulthood (35-44)",worksheet[[#This Row],[age]]&lt; 55,"4. Mature Adulthood (45-54)",TRUE,"5. Late Adulthood/Senior (55+)")</f>
        <v>3. Mid Adulthood (35-44)</v>
      </c>
      <c r="D2044" t="s">
        <v>15</v>
      </c>
      <c r="E2044" t="s">
        <v>16</v>
      </c>
      <c r="F2044" s="4">
        <v>8.0500000000000007</v>
      </c>
      <c r="G2044" s="5">
        <v>13</v>
      </c>
      <c r="H2044" t="s">
        <v>70</v>
      </c>
      <c r="I2044" t="s">
        <v>55</v>
      </c>
      <c r="J2044" s="6">
        <v>8.99</v>
      </c>
      <c r="K2044">
        <v>0</v>
      </c>
      <c r="L2044" t="s">
        <v>43</v>
      </c>
      <c r="M2044" s="5">
        <v>5</v>
      </c>
      <c r="N2044" s="4">
        <v>0.57999999999999996</v>
      </c>
      <c r="O2044" t="s">
        <v>34</v>
      </c>
    </row>
    <row r="2045" spans="1:15" x14ac:dyDescent="0.3">
      <c r="A2045" t="s">
        <v>2271</v>
      </c>
      <c r="B2045" s="5">
        <v>38</v>
      </c>
      <c r="C2045" s="5" t="str" cm="1">
        <f t="array" ref="C2045">_xlfn.IFS(worksheet[[#This Row],[age]]&lt;25,"1. Young Adulthood (18-24)",worksheet[[#This Row],[age]]&lt; 35,"2. Early Adulthood (25-34)",worksheet[[#This Row],[age]]&lt; 45,"3. Mid Adulthood (35-44)",worksheet[[#This Row],[age]]&lt; 55,"4. Mature Adulthood (45-54)",TRUE,"5. Late Adulthood/Senior (55+)")</f>
        <v>3. Mid Adulthood (35-44)</v>
      </c>
      <c r="D2045" t="s">
        <v>41</v>
      </c>
      <c r="E2045" t="s">
        <v>22</v>
      </c>
      <c r="F2045" s="4">
        <v>2.76</v>
      </c>
      <c r="G2045" s="5">
        <v>30</v>
      </c>
      <c r="H2045" t="s">
        <v>70</v>
      </c>
      <c r="I2045" t="s">
        <v>55</v>
      </c>
      <c r="J2045" s="6">
        <v>13.99</v>
      </c>
      <c r="K2045">
        <v>1</v>
      </c>
      <c r="L2045" t="s">
        <v>19</v>
      </c>
      <c r="M2045" s="5">
        <v>4</v>
      </c>
      <c r="N2045" s="4">
        <v>0.09</v>
      </c>
      <c r="O2045" t="s">
        <v>30</v>
      </c>
    </row>
    <row r="2046" spans="1:15" x14ac:dyDescent="0.3">
      <c r="A2046" t="s">
        <v>2272</v>
      </c>
      <c r="B2046" s="5">
        <v>36</v>
      </c>
      <c r="C2046" s="5" t="str" cm="1">
        <f t="array" ref="C2046">_xlfn.IFS(worksheet[[#This Row],[age]]&lt;25,"1. Young Adulthood (18-24)",worksheet[[#This Row],[age]]&lt; 35,"2. Early Adulthood (25-34)",worksheet[[#This Row],[age]]&lt; 45,"3. Mid Adulthood (35-44)",worksheet[[#This Row],[age]]&lt; 55,"4. Mature Adulthood (45-54)",TRUE,"5. Late Adulthood/Senior (55+)")</f>
        <v>3. Mid Adulthood (35-44)</v>
      </c>
      <c r="D2046" t="s">
        <v>15</v>
      </c>
      <c r="E2046" t="s">
        <v>32</v>
      </c>
      <c r="F2046" s="4">
        <v>13.25</v>
      </c>
      <c r="G2046" s="5">
        <v>19</v>
      </c>
      <c r="H2046" t="s">
        <v>70</v>
      </c>
      <c r="I2046" t="s">
        <v>57</v>
      </c>
      <c r="J2046" s="6">
        <v>17.989999999999998</v>
      </c>
      <c r="K2046">
        <v>0</v>
      </c>
      <c r="L2046" t="s">
        <v>19</v>
      </c>
      <c r="M2046" s="5">
        <v>1</v>
      </c>
      <c r="N2046" s="4">
        <v>0.66</v>
      </c>
      <c r="O2046" t="s">
        <v>39</v>
      </c>
    </row>
    <row r="2047" spans="1:15" x14ac:dyDescent="0.3">
      <c r="A2047" t="s">
        <v>2273</v>
      </c>
      <c r="B2047" s="5">
        <v>41</v>
      </c>
      <c r="C2047" s="5" t="str" cm="1">
        <f t="array" ref="C2047">_xlfn.IFS(worksheet[[#This Row],[age]]&lt;25,"1. Young Adulthood (18-24)",worksheet[[#This Row],[age]]&lt; 35,"2. Early Adulthood (25-34)",worksheet[[#This Row],[age]]&lt; 45,"3. Mid Adulthood (35-44)",worksheet[[#This Row],[age]]&lt; 55,"4. Mature Adulthood (45-54)",TRUE,"5. Late Adulthood/Senior (55+)")</f>
        <v>3. Mid Adulthood (35-44)</v>
      </c>
      <c r="D2047" t="s">
        <v>41</v>
      </c>
      <c r="E2047" t="s">
        <v>22</v>
      </c>
      <c r="F2047" s="4">
        <v>14.82</v>
      </c>
      <c r="G2047" s="5">
        <v>33</v>
      </c>
      <c r="H2047" t="s">
        <v>23</v>
      </c>
      <c r="I2047" t="s">
        <v>46</v>
      </c>
      <c r="J2047" s="6">
        <v>13.99</v>
      </c>
      <c r="K2047">
        <v>1</v>
      </c>
      <c r="L2047" t="s">
        <v>37</v>
      </c>
      <c r="M2047" s="5">
        <v>2</v>
      </c>
      <c r="N2047" s="4">
        <v>0.44</v>
      </c>
      <c r="O2047" t="s">
        <v>39</v>
      </c>
    </row>
    <row r="2048" spans="1:15" x14ac:dyDescent="0.3">
      <c r="A2048" t="s">
        <v>2274</v>
      </c>
      <c r="B2048" s="5">
        <v>39</v>
      </c>
      <c r="C2048" s="5" t="str" cm="1">
        <f t="array" ref="C2048">_xlfn.IFS(worksheet[[#This Row],[age]]&lt;25,"1. Young Adulthood (18-24)",worksheet[[#This Row],[age]]&lt; 35,"2. Early Adulthood (25-34)",worksheet[[#This Row],[age]]&lt; 45,"3. Mid Adulthood (35-44)",worksheet[[#This Row],[age]]&lt; 55,"4. Mature Adulthood (45-54)",TRUE,"5. Late Adulthood/Senior (55+)")</f>
        <v>3. Mid Adulthood (35-44)</v>
      </c>
      <c r="D2048" t="s">
        <v>15</v>
      </c>
      <c r="E2048" t="s">
        <v>16</v>
      </c>
      <c r="F2048" s="4">
        <v>2.52</v>
      </c>
      <c r="G2048" s="5">
        <v>52</v>
      </c>
      <c r="H2048" t="s">
        <v>33</v>
      </c>
      <c r="I2048" t="s">
        <v>55</v>
      </c>
      <c r="J2048" s="6">
        <v>8.99</v>
      </c>
      <c r="K2048">
        <v>1</v>
      </c>
      <c r="L2048" t="s">
        <v>43</v>
      </c>
      <c r="M2048" s="5">
        <v>2</v>
      </c>
      <c r="N2048" s="4">
        <v>0.05</v>
      </c>
      <c r="O2048" t="s">
        <v>39</v>
      </c>
    </row>
    <row r="2049" spans="1:15" x14ac:dyDescent="0.3">
      <c r="A2049" t="s">
        <v>2280</v>
      </c>
      <c r="B2049" s="5">
        <v>40</v>
      </c>
      <c r="C2049" s="5" t="str" cm="1">
        <f t="array" ref="C2049">_xlfn.IFS(worksheet[[#This Row],[age]]&lt;25,"1. Young Adulthood (18-24)",worksheet[[#This Row],[age]]&lt; 35,"2. Early Adulthood (25-34)",worksheet[[#This Row],[age]]&lt; 45,"3. Mid Adulthood (35-44)",worksheet[[#This Row],[age]]&lt; 55,"4. Mature Adulthood (45-54)",TRUE,"5. Late Adulthood/Senior (55+)")</f>
        <v>3. Mid Adulthood (35-44)</v>
      </c>
      <c r="D2049" t="s">
        <v>27</v>
      </c>
      <c r="E2049" t="s">
        <v>22</v>
      </c>
      <c r="F2049" s="4">
        <v>7.88</v>
      </c>
      <c r="G2049" s="5">
        <v>9</v>
      </c>
      <c r="H2049" t="s">
        <v>33</v>
      </c>
      <c r="I2049" t="s">
        <v>24</v>
      </c>
      <c r="J2049" s="6">
        <v>13.99</v>
      </c>
      <c r="K2049">
        <v>0</v>
      </c>
      <c r="L2049" t="s">
        <v>29</v>
      </c>
      <c r="M2049" s="5">
        <v>2</v>
      </c>
      <c r="N2049" s="4">
        <v>0.79</v>
      </c>
      <c r="O2049" t="s">
        <v>25</v>
      </c>
    </row>
    <row r="2050" spans="1:15" x14ac:dyDescent="0.3">
      <c r="A2050" t="s">
        <v>2281</v>
      </c>
      <c r="B2050" s="5">
        <v>36</v>
      </c>
      <c r="C2050" s="5" t="str" cm="1">
        <f t="array" ref="C2050">_xlfn.IFS(worksheet[[#This Row],[age]]&lt;25,"1. Young Adulthood (18-24)",worksheet[[#This Row],[age]]&lt; 35,"2. Early Adulthood (25-34)",worksheet[[#This Row],[age]]&lt; 45,"3. Mid Adulthood (35-44)",worksheet[[#This Row],[age]]&lt; 55,"4. Mature Adulthood (45-54)",TRUE,"5. Late Adulthood/Senior (55+)")</f>
        <v>3. Mid Adulthood (35-44)</v>
      </c>
      <c r="D2050" t="s">
        <v>15</v>
      </c>
      <c r="E2050" t="s">
        <v>32</v>
      </c>
      <c r="F2050" s="4">
        <v>41.02</v>
      </c>
      <c r="G2050" s="5">
        <v>47</v>
      </c>
      <c r="H2050" t="s">
        <v>23</v>
      </c>
      <c r="I2050" t="s">
        <v>18</v>
      </c>
      <c r="J2050" s="6">
        <v>17.989999999999998</v>
      </c>
      <c r="K2050">
        <v>0</v>
      </c>
      <c r="L2050" t="s">
        <v>37</v>
      </c>
      <c r="M2050" s="5">
        <v>3</v>
      </c>
      <c r="N2050" s="4">
        <v>0.85</v>
      </c>
      <c r="O2050" t="s">
        <v>30</v>
      </c>
    </row>
    <row r="2051" spans="1:15" x14ac:dyDescent="0.3">
      <c r="A2051" t="s">
        <v>2284</v>
      </c>
      <c r="B2051" s="5">
        <v>43</v>
      </c>
      <c r="C2051" s="5" t="str" cm="1">
        <f t="array" ref="C2051">_xlfn.IFS(worksheet[[#This Row],[age]]&lt;25,"1. Young Adulthood (18-24)",worksheet[[#This Row],[age]]&lt; 35,"2. Early Adulthood (25-34)",worksheet[[#This Row],[age]]&lt; 45,"3. Mid Adulthood (35-44)",worksheet[[#This Row],[age]]&lt; 55,"4. Mature Adulthood (45-54)",TRUE,"5. Late Adulthood/Senior (55+)")</f>
        <v>3. Mid Adulthood (35-44)</v>
      </c>
      <c r="D2051" t="s">
        <v>41</v>
      </c>
      <c r="E2051" t="s">
        <v>16</v>
      </c>
      <c r="F2051" s="4">
        <v>1.18</v>
      </c>
      <c r="G2051" s="5">
        <v>31</v>
      </c>
      <c r="H2051" t="s">
        <v>28</v>
      </c>
      <c r="I2051" t="s">
        <v>55</v>
      </c>
      <c r="J2051" s="6">
        <v>8.99</v>
      </c>
      <c r="K2051">
        <v>1</v>
      </c>
      <c r="L2051" t="s">
        <v>37</v>
      </c>
      <c r="M2051" s="5">
        <v>1</v>
      </c>
      <c r="N2051" s="4">
        <v>0.04</v>
      </c>
      <c r="O2051" t="s">
        <v>20</v>
      </c>
    </row>
    <row r="2052" spans="1:15" x14ac:dyDescent="0.3">
      <c r="A2052" t="s">
        <v>2288</v>
      </c>
      <c r="B2052" s="5">
        <v>43</v>
      </c>
      <c r="C2052" s="5" t="str" cm="1">
        <f t="array" ref="C2052">_xlfn.IFS(worksheet[[#This Row],[age]]&lt;25,"1. Young Adulthood (18-24)",worksheet[[#This Row],[age]]&lt; 35,"2. Early Adulthood (25-34)",worksheet[[#This Row],[age]]&lt; 45,"3. Mid Adulthood (35-44)",worksheet[[#This Row],[age]]&lt; 55,"4. Mature Adulthood (45-54)",TRUE,"5. Late Adulthood/Senior (55+)")</f>
        <v>3. Mid Adulthood (35-44)</v>
      </c>
      <c r="D2052" t="s">
        <v>41</v>
      </c>
      <c r="E2052" t="s">
        <v>16</v>
      </c>
      <c r="F2052" s="4">
        <v>17.66</v>
      </c>
      <c r="G2052" s="5">
        <v>7</v>
      </c>
      <c r="H2052" t="s">
        <v>28</v>
      </c>
      <c r="I2052" t="s">
        <v>46</v>
      </c>
      <c r="J2052" s="6">
        <v>8.99</v>
      </c>
      <c r="K2052">
        <v>0</v>
      </c>
      <c r="L2052" t="s">
        <v>29</v>
      </c>
      <c r="M2052" s="5">
        <v>1</v>
      </c>
      <c r="N2052" s="4">
        <v>2.21</v>
      </c>
      <c r="O2052" t="s">
        <v>34</v>
      </c>
    </row>
    <row r="2053" spans="1:15" x14ac:dyDescent="0.3">
      <c r="A2053" t="s">
        <v>2292</v>
      </c>
      <c r="B2053" s="5">
        <v>38</v>
      </c>
      <c r="C2053" s="5" t="str" cm="1">
        <f t="array" ref="C2053">_xlfn.IFS(worksheet[[#This Row],[age]]&lt;25,"1. Young Adulthood (18-24)",worksheet[[#This Row],[age]]&lt; 35,"2. Early Adulthood (25-34)",worksheet[[#This Row],[age]]&lt; 45,"3. Mid Adulthood (35-44)",worksheet[[#This Row],[age]]&lt; 55,"4. Mature Adulthood (45-54)",TRUE,"5. Late Adulthood/Senior (55+)")</f>
        <v>3. Mid Adulthood (35-44)</v>
      </c>
      <c r="D2053" t="s">
        <v>41</v>
      </c>
      <c r="E2053" t="s">
        <v>32</v>
      </c>
      <c r="F2053" s="4">
        <v>11.56</v>
      </c>
      <c r="G2053" s="5">
        <v>38</v>
      </c>
      <c r="H2053" t="s">
        <v>70</v>
      </c>
      <c r="I2053" t="s">
        <v>24</v>
      </c>
      <c r="J2053" s="6">
        <v>17.989999999999998</v>
      </c>
      <c r="K2053">
        <v>1</v>
      </c>
      <c r="L2053" t="s">
        <v>19</v>
      </c>
      <c r="M2053" s="5">
        <v>4</v>
      </c>
      <c r="N2053" s="4">
        <v>0.3</v>
      </c>
      <c r="O2053" t="s">
        <v>39</v>
      </c>
    </row>
    <row r="2054" spans="1:15" x14ac:dyDescent="0.3">
      <c r="A2054" t="s">
        <v>2297</v>
      </c>
      <c r="B2054" s="5">
        <v>44</v>
      </c>
      <c r="C2054" s="5" t="str" cm="1">
        <f t="array" ref="C2054">_xlfn.IFS(worksheet[[#This Row],[age]]&lt;25,"1. Young Adulthood (18-24)",worksheet[[#This Row],[age]]&lt; 35,"2. Early Adulthood (25-34)",worksheet[[#This Row],[age]]&lt; 45,"3. Mid Adulthood (35-44)",worksheet[[#This Row],[age]]&lt; 55,"4. Mature Adulthood (45-54)",TRUE,"5. Late Adulthood/Senior (55+)")</f>
        <v>3. Mid Adulthood (35-44)</v>
      </c>
      <c r="D2054" t="s">
        <v>41</v>
      </c>
      <c r="E2054" t="s">
        <v>22</v>
      </c>
      <c r="F2054" s="4">
        <v>8.0299999999999994</v>
      </c>
      <c r="G2054" s="5">
        <v>57</v>
      </c>
      <c r="H2054" t="s">
        <v>49</v>
      </c>
      <c r="I2054" t="s">
        <v>18</v>
      </c>
      <c r="J2054" s="6">
        <v>13.99</v>
      </c>
      <c r="K2054">
        <v>1</v>
      </c>
      <c r="L2054" t="s">
        <v>29</v>
      </c>
      <c r="M2054" s="5">
        <v>5</v>
      </c>
      <c r="N2054" s="4">
        <v>0.14000000000000001</v>
      </c>
      <c r="O2054" t="s">
        <v>34</v>
      </c>
    </row>
    <row r="2055" spans="1:15" x14ac:dyDescent="0.3">
      <c r="A2055" t="s">
        <v>2318</v>
      </c>
      <c r="B2055" s="5">
        <v>38</v>
      </c>
      <c r="C2055" s="5" t="str" cm="1">
        <f t="array" ref="C2055">_xlfn.IFS(worksheet[[#This Row],[age]]&lt;25,"1. Young Adulthood (18-24)",worksheet[[#This Row],[age]]&lt; 35,"2. Early Adulthood (25-34)",worksheet[[#This Row],[age]]&lt; 45,"3. Mid Adulthood (35-44)",worksheet[[#This Row],[age]]&lt; 55,"4. Mature Adulthood (45-54)",TRUE,"5. Late Adulthood/Senior (55+)")</f>
        <v>3. Mid Adulthood (35-44)</v>
      </c>
      <c r="D2055" t="s">
        <v>41</v>
      </c>
      <c r="E2055" t="s">
        <v>22</v>
      </c>
      <c r="F2055" s="4">
        <v>6.77</v>
      </c>
      <c r="G2055" s="5">
        <v>49</v>
      </c>
      <c r="H2055" t="s">
        <v>23</v>
      </c>
      <c r="I2055" t="s">
        <v>24</v>
      </c>
      <c r="J2055" s="6">
        <v>13.99</v>
      </c>
      <c r="K2055">
        <v>1</v>
      </c>
      <c r="L2055" t="s">
        <v>19</v>
      </c>
      <c r="M2055" s="5">
        <v>3</v>
      </c>
      <c r="N2055" s="4">
        <v>0.14000000000000001</v>
      </c>
      <c r="O2055" t="s">
        <v>39</v>
      </c>
    </row>
    <row r="2056" spans="1:15" x14ac:dyDescent="0.3">
      <c r="A2056" t="s">
        <v>2321</v>
      </c>
      <c r="B2056" s="5">
        <v>43</v>
      </c>
      <c r="C2056" s="5" t="str" cm="1">
        <f t="array" ref="C2056">_xlfn.IFS(worksheet[[#This Row],[age]]&lt;25,"1. Young Adulthood (18-24)",worksheet[[#This Row],[age]]&lt; 35,"2. Early Adulthood (25-34)",worksheet[[#This Row],[age]]&lt; 45,"3. Mid Adulthood (35-44)",worksheet[[#This Row],[age]]&lt; 55,"4. Mature Adulthood (45-54)",TRUE,"5. Late Adulthood/Senior (55+)")</f>
        <v>3. Mid Adulthood (35-44)</v>
      </c>
      <c r="D2056" t="s">
        <v>41</v>
      </c>
      <c r="E2056" t="s">
        <v>16</v>
      </c>
      <c r="F2056" s="4">
        <v>1.63</v>
      </c>
      <c r="G2056" s="5">
        <v>0</v>
      </c>
      <c r="H2056" t="s">
        <v>33</v>
      </c>
      <c r="I2056" t="s">
        <v>24</v>
      </c>
      <c r="J2056" s="6">
        <v>8.99</v>
      </c>
      <c r="K2056">
        <v>0</v>
      </c>
      <c r="L2056" t="s">
        <v>61</v>
      </c>
      <c r="M2056" s="5">
        <v>3</v>
      </c>
      <c r="N2056" s="4">
        <v>1.63</v>
      </c>
      <c r="O2056" t="s">
        <v>52</v>
      </c>
    </row>
    <row r="2057" spans="1:15" x14ac:dyDescent="0.3">
      <c r="A2057" t="s">
        <v>2324</v>
      </c>
      <c r="B2057" s="5">
        <v>43</v>
      </c>
      <c r="C2057" s="5" t="str" cm="1">
        <f t="array" ref="C2057">_xlfn.IFS(worksheet[[#This Row],[age]]&lt;25,"1. Young Adulthood (18-24)",worksheet[[#This Row],[age]]&lt; 35,"2. Early Adulthood (25-34)",worksheet[[#This Row],[age]]&lt; 45,"3. Mid Adulthood (35-44)",worksheet[[#This Row],[age]]&lt; 55,"4. Mature Adulthood (45-54)",TRUE,"5. Late Adulthood/Senior (55+)")</f>
        <v>3. Mid Adulthood (35-44)</v>
      </c>
      <c r="D2057" t="s">
        <v>15</v>
      </c>
      <c r="E2057" t="s">
        <v>22</v>
      </c>
      <c r="F2057" s="4">
        <v>77.569999999999993</v>
      </c>
      <c r="G2057" s="5">
        <v>6</v>
      </c>
      <c r="H2057" t="s">
        <v>49</v>
      </c>
      <c r="I2057" t="s">
        <v>24</v>
      </c>
      <c r="J2057" s="6">
        <v>13.99</v>
      </c>
      <c r="K2057">
        <v>0</v>
      </c>
      <c r="L2057" t="s">
        <v>61</v>
      </c>
      <c r="M2057" s="5">
        <v>4</v>
      </c>
      <c r="N2057" s="4">
        <v>11.08</v>
      </c>
      <c r="O2057" t="s">
        <v>47</v>
      </c>
    </row>
    <row r="2058" spans="1:15" x14ac:dyDescent="0.3">
      <c r="A2058" t="s">
        <v>2328</v>
      </c>
      <c r="B2058" s="5">
        <v>42</v>
      </c>
      <c r="C2058" s="5" t="str" cm="1">
        <f t="array" ref="C2058">_xlfn.IFS(worksheet[[#This Row],[age]]&lt;25,"1. Young Adulthood (18-24)",worksheet[[#This Row],[age]]&lt; 35,"2. Early Adulthood (25-34)",worksheet[[#This Row],[age]]&lt; 45,"3. Mid Adulthood (35-44)",worksheet[[#This Row],[age]]&lt; 55,"4. Mature Adulthood (45-54)",TRUE,"5. Late Adulthood/Senior (55+)")</f>
        <v>3. Mid Adulthood (35-44)</v>
      </c>
      <c r="D2058" t="s">
        <v>15</v>
      </c>
      <c r="E2058" t="s">
        <v>16</v>
      </c>
      <c r="F2058" s="4">
        <v>12.95</v>
      </c>
      <c r="G2058" s="5">
        <v>41</v>
      </c>
      <c r="H2058" t="s">
        <v>33</v>
      </c>
      <c r="I2058" t="s">
        <v>55</v>
      </c>
      <c r="J2058" s="6">
        <v>8.99</v>
      </c>
      <c r="K2058">
        <v>1</v>
      </c>
      <c r="L2058" t="s">
        <v>19</v>
      </c>
      <c r="M2058" s="5">
        <v>1</v>
      </c>
      <c r="N2058" s="4">
        <v>0.31</v>
      </c>
      <c r="O2058" t="s">
        <v>47</v>
      </c>
    </row>
    <row r="2059" spans="1:15" x14ac:dyDescent="0.3">
      <c r="A2059" t="s">
        <v>2330</v>
      </c>
      <c r="B2059" s="5">
        <v>35</v>
      </c>
      <c r="C2059" s="5" t="str" cm="1">
        <f t="array" ref="C2059">_xlfn.IFS(worksheet[[#This Row],[age]]&lt;25,"1. Young Adulthood (18-24)",worksheet[[#This Row],[age]]&lt; 35,"2. Early Adulthood (25-34)",worksheet[[#This Row],[age]]&lt; 45,"3. Mid Adulthood (35-44)",worksheet[[#This Row],[age]]&lt; 55,"4. Mature Adulthood (45-54)",TRUE,"5. Late Adulthood/Senior (55+)")</f>
        <v>3. Mid Adulthood (35-44)</v>
      </c>
      <c r="D2059" t="s">
        <v>41</v>
      </c>
      <c r="E2059" t="s">
        <v>22</v>
      </c>
      <c r="F2059" s="4">
        <v>23.05</v>
      </c>
      <c r="G2059" s="5">
        <v>14</v>
      </c>
      <c r="H2059" t="s">
        <v>17</v>
      </c>
      <c r="I2059" t="s">
        <v>46</v>
      </c>
      <c r="J2059" s="6">
        <v>13.99</v>
      </c>
      <c r="K2059">
        <v>0</v>
      </c>
      <c r="L2059" t="s">
        <v>37</v>
      </c>
      <c r="M2059" s="5">
        <v>4</v>
      </c>
      <c r="N2059" s="4">
        <v>1.54</v>
      </c>
      <c r="O2059" t="s">
        <v>52</v>
      </c>
    </row>
    <row r="2060" spans="1:15" x14ac:dyDescent="0.3">
      <c r="A2060" t="s">
        <v>2333</v>
      </c>
      <c r="B2060" s="5">
        <v>43</v>
      </c>
      <c r="C2060" s="5" t="str" cm="1">
        <f t="array" ref="C2060">_xlfn.IFS(worksheet[[#This Row],[age]]&lt;25,"1. Young Adulthood (18-24)",worksheet[[#This Row],[age]]&lt; 35,"2. Early Adulthood (25-34)",worksheet[[#This Row],[age]]&lt; 45,"3. Mid Adulthood (35-44)",worksheet[[#This Row],[age]]&lt; 55,"4. Mature Adulthood (45-54)",TRUE,"5. Late Adulthood/Senior (55+)")</f>
        <v>3. Mid Adulthood (35-44)</v>
      </c>
      <c r="D2060" t="s">
        <v>41</v>
      </c>
      <c r="E2060" t="s">
        <v>22</v>
      </c>
      <c r="F2060" s="4">
        <v>16.48</v>
      </c>
      <c r="G2060" s="5">
        <v>17</v>
      </c>
      <c r="H2060" t="s">
        <v>70</v>
      </c>
      <c r="I2060" t="s">
        <v>57</v>
      </c>
      <c r="J2060" s="6">
        <v>13.99</v>
      </c>
      <c r="K2060">
        <v>0</v>
      </c>
      <c r="L2060" t="s">
        <v>19</v>
      </c>
      <c r="M2060" s="5">
        <v>3</v>
      </c>
      <c r="N2060" s="4">
        <v>0.92</v>
      </c>
      <c r="O2060" t="s">
        <v>47</v>
      </c>
    </row>
    <row r="2061" spans="1:15" x14ac:dyDescent="0.3">
      <c r="A2061" t="s">
        <v>2338</v>
      </c>
      <c r="B2061" s="5">
        <v>38</v>
      </c>
      <c r="C2061" s="5" t="str" cm="1">
        <f t="array" ref="C2061">_xlfn.IFS(worksheet[[#This Row],[age]]&lt;25,"1. Young Adulthood (18-24)",worksheet[[#This Row],[age]]&lt; 35,"2. Early Adulthood (25-34)",worksheet[[#This Row],[age]]&lt; 45,"3. Mid Adulthood (35-44)",worksheet[[#This Row],[age]]&lt; 55,"4. Mature Adulthood (45-54)",TRUE,"5. Late Adulthood/Senior (55+)")</f>
        <v>3. Mid Adulthood (35-44)</v>
      </c>
      <c r="D2061" t="s">
        <v>15</v>
      </c>
      <c r="E2061" t="s">
        <v>22</v>
      </c>
      <c r="F2061" s="4">
        <v>10.23</v>
      </c>
      <c r="G2061" s="5">
        <v>18</v>
      </c>
      <c r="H2061" t="s">
        <v>17</v>
      </c>
      <c r="I2061" t="s">
        <v>18</v>
      </c>
      <c r="J2061" s="6">
        <v>13.99</v>
      </c>
      <c r="K2061">
        <v>0</v>
      </c>
      <c r="L2061" t="s">
        <v>43</v>
      </c>
      <c r="M2061" s="5">
        <v>5</v>
      </c>
      <c r="N2061" s="4">
        <v>0.54</v>
      </c>
      <c r="O2061" t="s">
        <v>52</v>
      </c>
    </row>
    <row r="2062" spans="1:15" x14ac:dyDescent="0.3">
      <c r="A2062" t="s">
        <v>2339</v>
      </c>
      <c r="B2062" s="5">
        <v>35</v>
      </c>
      <c r="C2062" s="5" t="str" cm="1">
        <f t="array" ref="C2062">_xlfn.IFS(worksheet[[#This Row],[age]]&lt;25,"1. Young Adulthood (18-24)",worksheet[[#This Row],[age]]&lt; 35,"2. Early Adulthood (25-34)",worksheet[[#This Row],[age]]&lt; 45,"3. Mid Adulthood (35-44)",worksheet[[#This Row],[age]]&lt; 55,"4. Mature Adulthood (45-54)",TRUE,"5. Late Adulthood/Senior (55+)")</f>
        <v>3. Mid Adulthood (35-44)</v>
      </c>
      <c r="D2062" t="s">
        <v>15</v>
      </c>
      <c r="E2062" t="s">
        <v>32</v>
      </c>
      <c r="F2062" s="4">
        <v>21.23</v>
      </c>
      <c r="G2062" s="5">
        <v>9</v>
      </c>
      <c r="H2062" t="s">
        <v>28</v>
      </c>
      <c r="I2062" t="s">
        <v>18</v>
      </c>
      <c r="J2062" s="6">
        <v>17.989999999999998</v>
      </c>
      <c r="K2062">
        <v>0</v>
      </c>
      <c r="L2062" t="s">
        <v>43</v>
      </c>
      <c r="M2062" s="5">
        <v>5</v>
      </c>
      <c r="N2062" s="4">
        <v>2.12</v>
      </c>
      <c r="O2062" t="s">
        <v>34</v>
      </c>
    </row>
    <row r="2063" spans="1:15" x14ac:dyDescent="0.3">
      <c r="A2063" t="s">
        <v>2340</v>
      </c>
      <c r="B2063" s="5">
        <v>35</v>
      </c>
      <c r="C2063" s="5" t="str" cm="1">
        <f t="array" ref="C2063">_xlfn.IFS(worksheet[[#This Row],[age]]&lt;25,"1. Young Adulthood (18-24)",worksheet[[#This Row],[age]]&lt; 35,"2. Early Adulthood (25-34)",worksheet[[#This Row],[age]]&lt; 45,"3. Mid Adulthood (35-44)",worksheet[[#This Row],[age]]&lt; 55,"4. Mature Adulthood (45-54)",TRUE,"5. Late Adulthood/Senior (55+)")</f>
        <v>3. Mid Adulthood (35-44)</v>
      </c>
      <c r="D2063" t="s">
        <v>41</v>
      </c>
      <c r="E2063" t="s">
        <v>16</v>
      </c>
      <c r="F2063" s="4">
        <v>16.649999999999999</v>
      </c>
      <c r="G2063" s="5">
        <v>46</v>
      </c>
      <c r="H2063" t="s">
        <v>28</v>
      </c>
      <c r="I2063" t="s">
        <v>18</v>
      </c>
      <c r="J2063" s="6">
        <v>8.99</v>
      </c>
      <c r="K2063">
        <v>1</v>
      </c>
      <c r="L2063" t="s">
        <v>29</v>
      </c>
      <c r="M2063" s="5">
        <v>3</v>
      </c>
      <c r="N2063" s="4">
        <v>0.35</v>
      </c>
      <c r="O2063" t="s">
        <v>39</v>
      </c>
    </row>
    <row r="2064" spans="1:15" x14ac:dyDescent="0.3">
      <c r="A2064" t="s">
        <v>2342</v>
      </c>
      <c r="B2064" s="5">
        <v>38</v>
      </c>
      <c r="C2064" s="5" t="str" cm="1">
        <f t="array" ref="C2064">_xlfn.IFS(worksheet[[#This Row],[age]]&lt;25,"1. Young Adulthood (18-24)",worksheet[[#This Row],[age]]&lt; 35,"2. Early Adulthood (25-34)",worksheet[[#This Row],[age]]&lt; 45,"3. Mid Adulthood (35-44)",worksheet[[#This Row],[age]]&lt; 55,"4. Mature Adulthood (45-54)",TRUE,"5. Late Adulthood/Senior (55+)")</f>
        <v>3. Mid Adulthood (35-44)</v>
      </c>
      <c r="D2064" t="s">
        <v>41</v>
      </c>
      <c r="E2064" t="s">
        <v>16</v>
      </c>
      <c r="F2064" s="4">
        <v>6.67</v>
      </c>
      <c r="G2064" s="5">
        <v>39</v>
      </c>
      <c r="H2064" t="s">
        <v>70</v>
      </c>
      <c r="I2064" t="s">
        <v>46</v>
      </c>
      <c r="J2064" s="6">
        <v>8.99</v>
      </c>
      <c r="K2064">
        <v>1</v>
      </c>
      <c r="L2064" t="s">
        <v>19</v>
      </c>
      <c r="M2064" s="5">
        <v>3</v>
      </c>
      <c r="N2064" s="4">
        <v>0.17</v>
      </c>
      <c r="O2064" t="s">
        <v>30</v>
      </c>
    </row>
    <row r="2065" spans="1:15" x14ac:dyDescent="0.3">
      <c r="A2065" t="s">
        <v>2348</v>
      </c>
      <c r="B2065" s="5">
        <v>36</v>
      </c>
      <c r="C2065" s="5" t="str" cm="1">
        <f t="array" ref="C2065">_xlfn.IFS(worksheet[[#This Row],[age]]&lt;25,"1. Young Adulthood (18-24)",worksheet[[#This Row],[age]]&lt; 35,"2. Early Adulthood (25-34)",worksheet[[#This Row],[age]]&lt; 45,"3. Mid Adulthood (35-44)",worksheet[[#This Row],[age]]&lt; 55,"4. Mature Adulthood (45-54)",TRUE,"5. Late Adulthood/Senior (55+)")</f>
        <v>3. Mid Adulthood (35-44)</v>
      </c>
      <c r="D2065" t="s">
        <v>27</v>
      </c>
      <c r="E2065" t="s">
        <v>22</v>
      </c>
      <c r="F2065" s="4">
        <v>12.08</v>
      </c>
      <c r="G2065" s="5">
        <v>60</v>
      </c>
      <c r="H2065" t="s">
        <v>23</v>
      </c>
      <c r="I2065" t="s">
        <v>24</v>
      </c>
      <c r="J2065" s="6">
        <v>13.99</v>
      </c>
      <c r="K2065">
        <v>1</v>
      </c>
      <c r="L2065" t="s">
        <v>43</v>
      </c>
      <c r="M2065" s="5">
        <v>2</v>
      </c>
      <c r="N2065" s="4">
        <v>0.2</v>
      </c>
      <c r="O2065" t="s">
        <v>47</v>
      </c>
    </row>
    <row r="2066" spans="1:15" x14ac:dyDescent="0.3">
      <c r="A2066" t="s">
        <v>2359</v>
      </c>
      <c r="B2066" s="5">
        <v>40</v>
      </c>
      <c r="C2066" s="5" t="str" cm="1">
        <f t="array" ref="C2066">_xlfn.IFS(worksheet[[#This Row],[age]]&lt;25,"1. Young Adulthood (18-24)",worksheet[[#This Row],[age]]&lt; 35,"2. Early Adulthood (25-34)",worksheet[[#This Row],[age]]&lt; 45,"3. Mid Adulthood (35-44)",worksheet[[#This Row],[age]]&lt; 55,"4. Mature Adulthood (45-54)",TRUE,"5. Late Adulthood/Senior (55+)")</f>
        <v>3. Mid Adulthood (35-44)</v>
      </c>
      <c r="D2066" t="s">
        <v>15</v>
      </c>
      <c r="E2066" t="s">
        <v>22</v>
      </c>
      <c r="F2066" s="4">
        <v>11.56</v>
      </c>
      <c r="G2066" s="5">
        <v>48</v>
      </c>
      <c r="H2066" t="s">
        <v>28</v>
      </c>
      <c r="I2066" t="s">
        <v>57</v>
      </c>
      <c r="J2066" s="6">
        <v>13.99</v>
      </c>
      <c r="K2066">
        <v>1</v>
      </c>
      <c r="L2066" t="s">
        <v>19</v>
      </c>
      <c r="M2066" s="5">
        <v>5</v>
      </c>
      <c r="N2066" s="4">
        <v>0.24</v>
      </c>
      <c r="O2066" t="s">
        <v>52</v>
      </c>
    </row>
    <row r="2067" spans="1:15" x14ac:dyDescent="0.3">
      <c r="A2067" t="s">
        <v>2369</v>
      </c>
      <c r="B2067" s="5">
        <v>37</v>
      </c>
      <c r="C2067" s="5" t="str" cm="1">
        <f t="array" ref="C2067">_xlfn.IFS(worksheet[[#This Row],[age]]&lt;25,"1. Young Adulthood (18-24)",worksheet[[#This Row],[age]]&lt; 35,"2. Early Adulthood (25-34)",worksheet[[#This Row],[age]]&lt; 45,"3. Mid Adulthood (35-44)",worksheet[[#This Row],[age]]&lt; 55,"4. Mature Adulthood (45-54)",TRUE,"5. Late Adulthood/Senior (55+)")</f>
        <v>3. Mid Adulthood (35-44)</v>
      </c>
      <c r="D2067" t="s">
        <v>41</v>
      </c>
      <c r="E2067" t="s">
        <v>16</v>
      </c>
      <c r="F2067" s="4">
        <v>11.52</v>
      </c>
      <c r="G2067" s="5">
        <v>38</v>
      </c>
      <c r="H2067" t="s">
        <v>33</v>
      </c>
      <c r="I2067" t="s">
        <v>18</v>
      </c>
      <c r="J2067" s="6">
        <v>8.99</v>
      </c>
      <c r="K2067">
        <v>1</v>
      </c>
      <c r="L2067" t="s">
        <v>43</v>
      </c>
      <c r="M2067" s="5">
        <v>4</v>
      </c>
      <c r="N2067" s="4">
        <v>0.3</v>
      </c>
      <c r="O2067" t="s">
        <v>20</v>
      </c>
    </row>
    <row r="2068" spans="1:15" x14ac:dyDescent="0.3">
      <c r="A2068" t="s">
        <v>2372</v>
      </c>
      <c r="B2068" s="5">
        <v>38</v>
      </c>
      <c r="C2068" s="5" t="str" cm="1">
        <f t="array" ref="C2068">_xlfn.IFS(worksheet[[#This Row],[age]]&lt;25,"1. Young Adulthood (18-24)",worksheet[[#This Row],[age]]&lt; 35,"2. Early Adulthood (25-34)",worksheet[[#This Row],[age]]&lt; 45,"3. Mid Adulthood (35-44)",worksheet[[#This Row],[age]]&lt; 55,"4. Mature Adulthood (45-54)",TRUE,"5. Late Adulthood/Senior (55+)")</f>
        <v>3. Mid Adulthood (35-44)</v>
      </c>
      <c r="D2068" t="s">
        <v>15</v>
      </c>
      <c r="E2068" t="s">
        <v>16</v>
      </c>
      <c r="F2068" s="4">
        <v>8.81</v>
      </c>
      <c r="G2068" s="5">
        <v>1</v>
      </c>
      <c r="H2068" t="s">
        <v>70</v>
      </c>
      <c r="I2068" t="s">
        <v>55</v>
      </c>
      <c r="J2068" s="6">
        <v>8.99</v>
      </c>
      <c r="K2068">
        <v>0</v>
      </c>
      <c r="L2068" t="s">
        <v>19</v>
      </c>
      <c r="M2068" s="5">
        <v>4</v>
      </c>
      <c r="N2068" s="4">
        <v>4.41</v>
      </c>
      <c r="O2068" t="s">
        <v>20</v>
      </c>
    </row>
    <row r="2069" spans="1:15" x14ac:dyDescent="0.3">
      <c r="A2069" t="s">
        <v>2374</v>
      </c>
      <c r="B2069" s="5">
        <v>36</v>
      </c>
      <c r="C2069" s="5" t="str" cm="1">
        <f t="array" ref="C2069">_xlfn.IFS(worksheet[[#This Row],[age]]&lt;25,"1. Young Adulthood (18-24)",worksheet[[#This Row],[age]]&lt; 35,"2. Early Adulthood (25-34)",worksheet[[#This Row],[age]]&lt; 45,"3. Mid Adulthood (35-44)",worksheet[[#This Row],[age]]&lt; 55,"4. Mature Adulthood (45-54)",TRUE,"5. Late Adulthood/Senior (55+)")</f>
        <v>3. Mid Adulthood (35-44)</v>
      </c>
      <c r="D2069" t="s">
        <v>41</v>
      </c>
      <c r="E2069" t="s">
        <v>22</v>
      </c>
      <c r="F2069" s="4">
        <v>48.01</v>
      </c>
      <c r="G2069" s="5">
        <v>29</v>
      </c>
      <c r="H2069" t="s">
        <v>17</v>
      </c>
      <c r="I2069" t="s">
        <v>57</v>
      </c>
      <c r="J2069" s="6">
        <v>13.99</v>
      </c>
      <c r="K2069">
        <v>0</v>
      </c>
      <c r="L2069" t="s">
        <v>29</v>
      </c>
      <c r="M2069" s="5">
        <v>5</v>
      </c>
      <c r="N2069" s="4">
        <v>1.6</v>
      </c>
      <c r="O2069" t="s">
        <v>25</v>
      </c>
    </row>
    <row r="2070" spans="1:15" x14ac:dyDescent="0.3">
      <c r="A2070" t="s">
        <v>2378</v>
      </c>
      <c r="B2070" s="5">
        <v>37</v>
      </c>
      <c r="C2070" s="5" t="str" cm="1">
        <f t="array" ref="C2070">_xlfn.IFS(worksheet[[#This Row],[age]]&lt;25,"1. Young Adulthood (18-24)",worksheet[[#This Row],[age]]&lt; 35,"2. Early Adulthood (25-34)",worksheet[[#This Row],[age]]&lt; 45,"3. Mid Adulthood (35-44)",worksheet[[#This Row],[age]]&lt; 55,"4. Mature Adulthood (45-54)",TRUE,"5. Late Adulthood/Senior (55+)")</f>
        <v>3. Mid Adulthood (35-44)</v>
      </c>
      <c r="D2070" t="s">
        <v>41</v>
      </c>
      <c r="E2070" t="s">
        <v>16</v>
      </c>
      <c r="F2070" s="4">
        <v>18.78</v>
      </c>
      <c r="G2070" s="5">
        <v>33</v>
      </c>
      <c r="H2070" t="s">
        <v>70</v>
      </c>
      <c r="I2070" t="s">
        <v>57</v>
      </c>
      <c r="J2070" s="6">
        <v>8.99</v>
      </c>
      <c r="K2070">
        <v>1</v>
      </c>
      <c r="L2070" t="s">
        <v>37</v>
      </c>
      <c r="M2070" s="5">
        <v>3</v>
      </c>
      <c r="N2070" s="4">
        <v>0.55000000000000004</v>
      </c>
      <c r="O2070" t="s">
        <v>34</v>
      </c>
    </row>
    <row r="2071" spans="1:15" x14ac:dyDescent="0.3">
      <c r="A2071" t="s">
        <v>2381</v>
      </c>
      <c r="B2071" s="5">
        <v>44</v>
      </c>
      <c r="C2071" s="5" t="str" cm="1">
        <f t="array" ref="C2071">_xlfn.IFS(worksheet[[#This Row],[age]]&lt;25,"1. Young Adulthood (18-24)",worksheet[[#This Row],[age]]&lt; 35,"2. Early Adulthood (25-34)",worksheet[[#This Row],[age]]&lt; 45,"3. Mid Adulthood (35-44)",worksheet[[#This Row],[age]]&lt; 55,"4. Mature Adulthood (45-54)",TRUE,"5. Late Adulthood/Senior (55+)")</f>
        <v>3. Mid Adulthood (35-44)</v>
      </c>
      <c r="D2071" t="s">
        <v>41</v>
      </c>
      <c r="E2071" t="s">
        <v>16</v>
      </c>
      <c r="F2071" s="4">
        <v>8.02</v>
      </c>
      <c r="G2071" s="5">
        <v>9</v>
      </c>
      <c r="H2071" t="s">
        <v>70</v>
      </c>
      <c r="I2071" t="s">
        <v>18</v>
      </c>
      <c r="J2071" s="6">
        <v>8.99</v>
      </c>
      <c r="K2071">
        <v>0</v>
      </c>
      <c r="L2071" t="s">
        <v>29</v>
      </c>
      <c r="M2071" s="5">
        <v>4</v>
      </c>
      <c r="N2071" s="4">
        <v>0.8</v>
      </c>
      <c r="O2071" t="s">
        <v>47</v>
      </c>
    </row>
    <row r="2072" spans="1:15" x14ac:dyDescent="0.3">
      <c r="A2072" t="s">
        <v>2394</v>
      </c>
      <c r="B2072" s="5">
        <v>37</v>
      </c>
      <c r="C2072" s="5" t="str" cm="1">
        <f t="array" ref="C2072">_xlfn.IFS(worksheet[[#This Row],[age]]&lt;25,"1. Young Adulthood (18-24)",worksheet[[#This Row],[age]]&lt; 35,"2. Early Adulthood (25-34)",worksheet[[#This Row],[age]]&lt; 45,"3. Mid Adulthood (35-44)",worksheet[[#This Row],[age]]&lt; 55,"4. Mature Adulthood (45-54)",TRUE,"5. Late Adulthood/Senior (55+)")</f>
        <v>3. Mid Adulthood (35-44)</v>
      </c>
      <c r="D2072" t="s">
        <v>27</v>
      </c>
      <c r="E2072" t="s">
        <v>22</v>
      </c>
      <c r="F2072" s="4">
        <v>5.31</v>
      </c>
      <c r="G2072" s="5">
        <v>38</v>
      </c>
      <c r="H2072" t="s">
        <v>28</v>
      </c>
      <c r="I2072" t="s">
        <v>18</v>
      </c>
      <c r="J2072" s="6">
        <v>13.99</v>
      </c>
      <c r="K2072">
        <v>0</v>
      </c>
      <c r="L2072" t="s">
        <v>43</v>
      </c>
      <c r="M2072" s="5">
        <v>5</v>
      </c>
      <c r="N2072" s="4">
        <v>0.14000000000000001</v>
      </c>
      <c r="O2072" t="s">
        <v>25</v>
      </c>
    </row>
    <row r="2073" spans="1:15" x14ac:dyDescent="0.3">
      <c r="A2073" t="s">
        <v>2409</v>
      </c>
      <c r="B2073" s="5">
        <v>41</v>
      </c>
      <c r="C2073" s="5" t="str" cm="1">
        <f t="array" ref="C2073">_xlfn.IFS(worksheet[[#This Row],[age]]&lt;25,"1. Young Adulthood (18-24)",worksheet[[#This Row],[age]]&lt; 35,"2. Early Adulthood (25-34)",worksheet[[#This Row],[age]]&lt; 45,"3. Mid Adulthood (35-44)",worksheet[[#This Row],[age]]&lt; 55,"4. Mature Adulthood (45-54)",TRUE,"5. Late Adulthood/Senior (55+)")</f>
        <v>3. Mid Adulthood (35-44)</v>
      </c>
      <c r="D2073" t="s">
        <v>41</v>
      </c>
      <c r="E2073" t="s">
        <v>16</v>
      </c>
      <c r="F2073" s="4">
        <v>7.04</v>
      </c>
      <c r="G2073" s="5">
        <v>30</v>
      </c>
      <c r="H2073" t="s">
        <v>49</v>
      </c>
      <c r="I2073" t="s">
        <v>57</v>
      </c>
      <c r="J2073" s="6">
        <v>8.99</v>
      </c>
      <c r="K2073">
        <v>0</v>
      </c>
      <c r="L2073" t="s">
        <v>37</v>
      </c>
      <c r="M2073" s="5">
        <v>5</v>
      </c>
      <c r="N2073" s="4">
        <v>0.23</v>
      </c>
      <c r="O2073" t="s">
        <v>25</v>
      </c>
    </row>
    <row r="2074" spans="1:15" x14ac:dyDescent="0.3">
      <c r="A2074" s="1" t="s">
        <v>2419</v>
      </c>
      <c r="B2074" s="5">
        <v>38</v>
      </c>
      <c r="C2074" s="5" t="str" cm="1">
        <f t="array" ref="C2074">_xlfn.IFS(worksheet[[#This Row],[age]]&lt;25,"1. Young Adulthood (18-24)",worksheet[[#This Row],[age]]&lt; 35,"2. Early Adulthood (25-34)",worksheet[[#This Row],[age]]&lt; 45,"3. Mid Adulthood (35-44)",worksheet[[#This Row],[age]]&lt; 55,"4. Mature Adulthood (45-54)",TRUE,"5. Late Adulthood/Senior (55+)")</f>
        <v>3. Mid Adulthood (35-44)</v>
      </c>
      <c r="D2074" t="s">
        <v>41</v>
      </c>
      <c r="E2074" t="s">
        <v>16</v>
      </c>
      <c r="F2074" s="4">
        <v>22.74</v>
      </c>
      <c r="G2074" s="5">
        <v>60</v>
      </c>
      <c r="H2074" t="s">
        <v>28</v>
      </c>
      <c r="I2074" t="s">
        <v>55</v>
      </c>
      <c r="J2074" s="6">
        <v>8.99</v>
      </c>
      <c r="K2074">
        <v>1</v>
      </c>
      <c r="L2074" t="s">
        <v>19</v>
      </c>
      <c r="M2074" s="5">
        <v>3</v>
      </c>
      <c r="N2074" s="4">
        <v>0.37</v>
      </c>
      <c r="O2074" t="s">
        <v>52</v>
      </c>
    </row>
    <row r="2075" spans="1:15" x14ac:dyDescent="0.3">
      <c r="A2075" t="s">
        <v>2422</v>
      </c>
      <c r="B2075" s="5">
        <v>38</v>
      </c>
      <c r="C2075" s="5" t="str" cm="1">
        <f t="array" ref="C2075">_xlfn.IFS(worksheet[[#This Row],[age]]&lt;25,"1. Young Adulthood (18-24)",worksheet[[#This Row],[age]]&lt; 35,"2. Early Adulthood (25-34)",worksheet[[#This Row],[age]]&lt; 45,"3. Mid Adulthood (35-44)",worksheet[[#This Row],[age]]&lt; 55,"4. Mature Adulthood (45-54)",TRUE,"5. Late Adulthood/Senior (55+)")</f>
        <v>3. Mid Adulthood (35-44)</v>
      </c>
      <c r="D2075" t="s">
        <v>27</v>
      </c>
      <c r="E2075" t="s">
        <v>22</v>
      </c>
      <c r="F2075" s="4">
        <v>0.9</v>
      </c>
      <c r="G2075" s="5">
        <v>35</v>
      </c>
      <c r="H2075" t="s">
        <v>70</v>
      </c>
      <c r="I2075" t="s">
        <v>55</v>
      </c>
      <c r="J2075" s="6">
        <v>13.99</v>
      </c>
      <c r="K2075">
        <v>1</v>
      </c>
      <c r="L2075" t="s">
        <v>43</v>
      </c>
      <c r="M2075" s="5">
        <v>2</v>
      </c>
      <c r="N2075" s="4">
        <v>0.03</v>
      </c>
      <c r="O2075" t="s">
        <v>25</v>
      </c>
    </row>
    <row r="2076" spans="1:15" x14ac:dyDescent="0.3">
      <c r="A2076" t="s">
        <v>2423</v>
      </c>
      <c r="B2076" s="5">
        <v>36</v>
      </c>
      <c r="C2076" s="5" t="str" cm="1">
        <f t="array" ref="C2076">_xlfn.IFS(worksheet[[#This Row],[age]]&lt;25,"1. Young Adulthood (18-24)",worksheet[[#This Row],[age]]&lt; 35,"2. Early Adulthood (25-34)",worksheet[[#This Row],[age]]&lt; 45,"3. Mid Adulthood (35-44)",worksheet[[#This Row],[age]]&lt; 55,"4. Mature Adulthood (45-54)",TRUE,"5. Late Adulthood/Senior (55+)")</f>
        <v>3. Mid Adulthood (35-44)</v>
      </c>
      <c r="D2076" t="s">
        <v>41</v>
      </c>
      <c r="E2076" t="s">
        <v>22</v>
      </c>
      <c r="F2076" s="4">
        <v>37.54</v>
      </c>
      <c r="G2076" s="5">
        <v>54</v>
      </c>
      <c r="H2076" t="s">
        <v>23</v>
      </c>
      <c r="I2076" t="s">
        <v>18</v>
      </c>
      <c r="J2076" s="6">
        <v>13.99</v>
      </c>
      <c r="K2076">
        <v>0</v>
      </c>
      <c r="L2076" t="s">
        <v>43</v>
      </c>
      <c r="M2076" s="5">
        <v>2</v>
      </c>
      <c r="N2076" s="4">
        <v>0.68</v>
      </c>
      <c r="O2076" t="s">
        <v>39</v>
      </c>
    </row>
    <row r="2077" spans="1:15" x14ac:dyDescent="0.3">
      <c r="A2077" t="s">
        <v>2424</v>
      </c>
      <c r="B2077" s="5">
        <v>42</v>
      </c>
      <c r="C2077" s="5" t="str" cm="1">
        <f t="array" ref="C2077">_xlfn.IFS(worksheet[[#This Row],[age]]&lt;25,"1. Young Adulthood (18-24)",worksheet[[#This Row],[age]]&lt; 35,"2. Early Adulthood (25-34)",worksheet[[#This Row],[age]]&lt; 45,"3. Mid Adulthood (35-44)",worksheet[[#This Row],[age]]&lt; 55,"4. Mature Adulthood (45-54)",TRUE,"5. Late Adulthood/Senior (55+)")</f>
        <v>3. Mid Adulthood (35-44)</v>
      </c>
      <c r="D2077" t="s">
        <v>41</v>
      </c>
      <c r="E2077" t="s">
        <v>22</v>
      </c>
      <c r="F2077" s="4">
        <v>1.64</v>
      </c>
      <c r="G2077" s="5">
        <v>17</v>
      </c>
      <c r="H2077" t="s">
        <v>33</v>
      </c>
      <c r="I2077" t="s">
        <v>55</v>
      </c>
      <c r="J2077" s="6">
        <v>13.99</v>
      </c>
      <c r="K2077">
        <v>0</v>
      </c>
      <c r="L2077" t="s">
        <v>37</v>
      </c>
      <c r="M2077" s="5">
        <v>5</v>
      </c>
      <c r="N2077" s="4">
        <v>0.09</v>
      </c>
      <c r="O2077" t="s">
        <v>47</v>
      </c>
    </row>
    <row r="2078" spans="1:15" x14ac:dyDescent="0.3">
      <c r="A2078" t="s">
        <v>2425</v>
      </c>
      <c r="B2078" s="5">
        <v>43</v>
      </c>
      <c r="C2078" s="5" t="str" cm="1">
        <f t="array" ref="C2078">_xlfn.IFS(worksheet[[#This Row],[age]]&lt;25,"1. Young Adulthood (18-24)",worksheet[[#This Row],[age]]&lt; 35,"2. Early Adulthood (25-34)",worksheet[[#This Row],[age]]&lt; 45,"3. Mid Adulthood (35-44)",worksheet[[#This Row],[age]]&lt; 55,"4. Mature Adulthood (45-54)",TRUE,"5. Late Adulthood/Senior (55+)")</f>
        <v>3. Mid Adulthood (35-44)</v>
      </c>
      <c r="D2078" t="s">
        <v>41</v>
      </c>
      <c r="E2078" t="s">
        <v>22</v>
      </c>
      <c r="F2078" s="4">
        <v>5.61</v>
      </c>
      <c r="G2078" s="5">
        <v>41</v>
      </c>
      <c r="H2078" t="s">
        <v>23</v>
      </c>
      <c r="I2078" t="s">
        <v>57</v>
      </c>
      <c r="J2078" s="6">
        <v>13.99</v>
      </c>
      <c r="K2078">
        <v>1</v>
      </c>
      <c r="L2078" t="s">
        <v>43</v>
      </c>
      <c r="M2078" s="5">
        <v>1</v>
      </c>
      <c r="N2078" s="4">
        <v>0.13</v>
      </c>
      <c r="O2078" t="s">
        <v>34</v>
      </c>
    </row>
    <row r="2079" spans="1:15" x14ac:dyDescent="0.3">
      <c r="A2079" t="s">
        <v>2428</v>
      </c>
      <c r="B2079" s="5">
        <v>41</v>
      </c>
      <c r="C2079" s="5" t="str" cm="1">
        <f t="array" ref="C2079">_xlfn.IFS(worksheet[[#This Row],[age]]&lt;25,"1. Young Adulthood (18-24)",worksheet[[#This Row],[age]]&lt; 35,"2. Early Adulthood (25-34)",worksheet[[#This Row],[age]]&lt; 45,"3. Mid Adulthood (35-44)",worksheet[[#This Row],[age]]&lt; 55,"4. Mature Adulthood (45-54)",TRUE,"5. Late Adulthood/Senior (55+)")</f>
        <v>3. Mid Adulthood (35-44)</v>
      </c>
      <c r="D2079" t="s">
        <v>27</v>
      </c>
      <c r="E2079" t="s">
        <v>16</v>
      </c>
      <c r="F2079" s="4">
        <v>27.09</v>
      </c>
      <c r="G2079" s="5">
        <v>7</v>
      </c>
      <c r="H2079" t="s">
        <v>49</v>
      </c>
      <c r="I2079" t="s">
        <v>18</v>
      </c>
      <c r="J2079" s="6">
        <v>8.99</v>
      </c>
      <c r="K2079">
        <v>0</v>
      </c>
      <c r="L2079" t="s">
        <v>61</v>
      </c>
      <c r="M2079" s="5">
        <v>5</v>
      </c>
      <c r="N2079" s="4">
        <v>3.39</v>
      </c>
      <c r="O2079" t="s">
        <v>20</v>
      </c>
    </row>
    <row r="2080" spans="1:15" x14ac:dyDescent="0.3">
      <c r="A2080" t="s">
        <v>2431</v>
      </c>
      <c r="B2080" s="5">
        <v>35</v>
      </c>
      <c r="C2080" s="5" t="str" cm="1">
        <f t="array" ref="C2080">_xlfn.IFS(worksheet[[#This Row],[age]]&lt;25,"1. Young Adulthood (18-24)",worksheet[[#This Row],[age]]&lt; 35,"2. Early Adulthood (25-34)",worksheet[[#This Row],[age]]&lt; 45,"3. Mid Adulthood (35-44)",worksheet[[#This Row],[age]]&lt; 55,"4. Mature Adulthood (45-54)",TRUE,"5. Late Adulthood/Senior (55+)")</f>
        <v>3. Mid Adulthood (35-44)</v>
      </c>
      <c r="D2080" t="s">
        <v>27</v>
      </c>
      <c r="E2080" t="s">
        <v>16</v>
      </c>
      <c r="F2080" s="4">
        <v>2.2200000000000002</v>
      </c>
      <c r="G2080" s="5">
        <v>4</v>
      </c>
      <c r="H2080" t="s">
        <v>17</v>
      </c>
      <c r="I2080" t="s">
        <v>55</v>
      </c>
      <c r="J2080" s="6">
        <v>8.99</v>
      </c>
      <c r="K2080">
        <v>1</v>
      </c>
      <c r="L2080" t="s">
        <v>43</v>
      </c>
      <c r="M2080" s="5">
        <v>2</v>
      </c>
      <c r="N2080" s="4">
        <v>0.44</v>
      </c>
      <c r="O2080" t="s">
        <v>47</v>
      </c>
    </row>
    <row r="2081" spans="1:15" x14ac:dyDescent="0.3">
      <c r="A2081" t="s">
        <v>2433</v>
      </c>
      <c r="B2081" s="5">
        <v>39</v>
      </c>
      <c r="C2081" s="5" t="str" cm="1">
        <f t="array" ref="C2081">_xlfn.IFS(worksheet[[#This Row],[age]]&lt;25,"1. Young Adulthood (18-24)",worksheet[[#This Row],[age]]&lt; 35,"2. Early Adulthood (25-34)",worksheet[[#This Row],[age]]&lt; 45,"3. Mid Adulthood (35-44)",worksheet[[#This Row],[age]]&lt; 55,"4. Mature Adulthood (45-54)",TRUE,"5. Late Adulthood/Senior (55+)")</f>
        <v>3. Mid Adulthood (35-44)</v>
      </c>
      <c r="D2081" t="s">
        <v>15</v>
      </c>
      <c r="E2081" t="s">
        <v>32</v>
      </c>
      <c r="F2081" s="4">
        <v>4</v>
      </c>
      <c r="G2081" s="5">
        <v>32</v>
      </c>
      <c r="H2081" t="s">
        <v>49</v>
      </c>
      <c r="I2081" t="s">
        <v>24</v>
      </c>
      <c r="J2081" s="6">
        <v>17.989999999999998</v>
      </c>
      <c r="K2081">
        <v>1</v>
      </c>
      <c r="L2081" t="s">
        <v>37</v>
      </c>
      <c r="M2081" s="5">
        <v>2</v>
      </c>
      <c r="N2081" s="4">
        <v>0.12</v>
      </c>
      <c r="O2081" t="s">
        <v>34</v>
      </c>
    </row>
    <row r="2082" spans="1:15" x14ac:dyDescent="0.3">
      <c r="A2082" t="s">
        <v>2439</v>
      </c>
      <c r="B2082" s="5">
        <v>42</v>
      </c>
      <c r="C2082" s="5" t="str" cm="1">
        <f t="array" ref="C2082">_xlfn.IFS(worksheet[[#This Row],[age]]&lt;25,"1. Young Adulthood (18-24)",worksheet[[#This Row],[age]]&lt; 35,"2. Early Adulthood (25-34)",worksheet[[#This Row],[age]]&lt; 45,"3. Mid Adulthood (35-44)",worksheet[[#This Row],[age]]&lt; 55,"4. Mature Adulthood (45-54)",TRUE,"5. Late Adulthood/Senior (55+)")</f>
        <v>3. Mid Adulthood (35-44)</v>
      </c>
      <c r="D2082" t="s">
        <v>15</v>
      </c>
      <c r="E2082" t="s">
        <v>16</v>
      </c>
      <c r="F2082" s="4">
        <v>20.52</v>
      </c>
      <c r="G2082" s="5">
        <v>5</v>
      </c>
      <c r="H2082" t="s">
        <v>23</v>
      </c>
      <c r="I2082" t="s">
        <v>57</v>
      </c>
      <c r="J2082" s="6">
        <v>8.99</v>
      </c>
      <c r="K2082">
        <v>0</v>
      </c>
      <c r="L2082" t="s">
        <v>37</v>
      </c>
      <c r="M2082" s="5">
        <v>2</v>
      </c>
      <c r="N2082" s="4">
        <v>3.42</v>
      </c>
      <c r="O2082" t="s">
        <v>39</v>
      </c>
    </row>
    <row r="2083" spans="1:15" x14ac:dyDescent="0.3">
      <c r="A2083" t="s">
        <v>2440</v>
      </c>
      <c r="B2083" s="5">
        <v>42</v>
      </c>
      <c r="C2083" s="5" t="str" cm="1">
        <f t="array" ref="C2083">_xlfn.IFS(worksheet[[#This Row],[age]]&lt;25,"1. Young Adulthood (18-24)",worksheet[[#This Row],[age]]&lt; 35,"2. Early Adulthood (25-34)",worksheet[[#This Row],[age]]&lt; 45,"3. Mid Adulthood (35-44)",worksheet[[#This Row],[age]]&lt; 55,"4. Mature Adulthood (45-54)",TRUE,"5. Late Adulthood/Senior (55+)")</f>
        <v>3. Mid Adulthood (35-44)</v>
      </c>
      <c r="D2083" t="s">
        <v>41</v>
      </c>
      <c r="E2083" t="s">
        <v>32</v>
      </c>
      <c r="F2083" s="4">
        <v>3.49</v>
      </c>
      <c r="G2083" s="5">
        <v>55</v>
      </c>
      <c r="H2083" t="s">
        <v>33</v>
      </c>
      <c r="I2083" t="s">
        <v>57</v>
      </c>
      <c r="J2083" s="6">
        <v>17.989999999999998</v>
      </c>
      <c r="K2083">
        <v>1</v>
      </c>
      <c r="L2083" t="s">
        <v>19</v>
      </c>
      <c r="M2083" s="5">
        <v>4</v>
      </c>
      <c r="N2083" s="4">
        <v>0.06</v>
      </c>
      <c r="O2083" t="s">
        <v>34</v>
      </c>
    </row>
    <row r="2084" spans="1:15" x14ac:dyDescent="0.3">
      <c r="A2084" t="s">
        <v>2460</v>
      </c>
      <c r="B2084" s="5">
        <v>40</v>
      </c>
      <c r="C2084" s="5" t="str" cm="1">
        <f t="array" ref="C2084">_xlfn.IFS(worksheet[[#This Row],[age]]&lt;25,"1. Young Adulthood (18-24)",worksheet[[#This Row],[age]]&lt; 35,"2. Early Adulthood (25-34)",worksheet[[#This Row],[age]]&lt; 45,"3. Mid Adulthood (35-44)",worksheet[[#This Row],[age]]&lt; 55,"4. Mature Adulthood (45-54)",TRUE,"5. Late Adulthood/Senior (55+)")</f>
        <v>3. Mid Adulthood (35-44)</v>
      </c>
      <c r="D2084" t="s">
        <v>27</v>
      </c>
      <c r="E2084" t="s">
        <v>16</v>
      </c>
      <c r="F2084" s="4">
        <v>12.67</v>
      </c>
      <c r="G2084" s="5">
        <v>44</v>
      </c>
      <c r="H2084" t="s">
        <v>23</v>
      </c>
      <c r="I2084" t="s">
        <v>46</v>
      </c>
      <c r="J2084" s="6">
        <v>8.99</v>
      </c>
      <c r="K2084">
        <v>1</v>
      </c>
      <c r="L2084" t="s">
        <v>61</v>
      </c>
      <c r="M2084" s="5">
        <v>1</v>
      </c>
      <c r="N2084" s="4">
        <v>0.28000000000000003</v>
      </c>
      <c r="O2084" t="s">
        <v>47</v>
      </c>
    </row>
    <row r="2085" spans="1:15" x14ac:dyDescent="0.3">
      <c r="A2085" t="s">
        <v>2462</v>
      </c>
      <c r="B2085" s="5">
        <v>37</v>
      </c>
      <c r="C2085" s="5" t="str" cm="1">
        <f t="array" ref="C2085">_xlfn.IFS(worksheet[[#This Row],[age]]&lt;25,"1. Young Adulthood (18-24)",worksheet[[#This Row],[age]]&lt; 35,"2. Early Adulthood (25-34)",worksheet[[#This Row],[age]]&lt; 45,"3. Mid Adulthood (35-44)",worksheet[[#This Row],[age]]&lt; 55,"4. Mature Adulthood (45-54)",TRUE,"5. Late Adulthood/Senior (55+)")</f>
        <v>3. Mid Adulthood (35-44)</v>
      </c>
      <c r="D2085" t="s">
        <v>27</v>
      </c>
      <c r="E2085" t="s">
        <v>16</v>
      </c>
      <c r="F2085" s="4">
        <v>25.43</v>
      </c>
      <c r="G2085" s="5">
        <v>5</v>
      </c>
      <c r="H2085" t="s">
        <v>17</v>
      </c>
      <c r="I2085" t="s">
        <v>55</v>
      </c>
      <c r="J2085" s="6">
        <v>8.99</v>
      </c>
      <c r="K2085">
        <v>0</v>
      </c>
      <c r="L2085" t="s">
        <v>19</v>
      </c>
      <c r="M2085" s="5">
        <v>4</v>
      </c>
      <c r="N2085" s="4">
        <v>4.24</v>
      </c>
      <c r="O2085" t="s">
        <v>34</v>
      </c>
    </row>
    <row r="2086" spans="1:15" x14ac:dyDescent="0.3">
      <c r="A2086" t="s">
        <v>2466</v>
      </c>
      <c r="B2086" s="5">
        <v>40</v>
      </c>
      <c r="C2086" s="5" t="str" cm="1">
        <f t="array" ref="C2086">_xlfn.IFS(worksheet[[#This Row],[age]]&lt;25,"1. Young Adulthood (18-24)",worksheet[[#This Row],[age]]&lt; 35,"2. Early Adulthood (25-34)",worksheet[[#This Row],[age]]&lt; 45,"3. Mid Adulthood (35-44)",worksheet[[#This Row],[age]]&lt; 55,"4. Mature Adulthood (45-54)",TRUE,"5. Late Adulthood/Senior (55+)")</f>
        <v>3. Mid Adulthood (35-44)</v>
      </c>
      <c r="D2086" t="s">
        <v>27</v>
      </c>
      <c r="E2086" t="s">
        <v>22</v>
      </c>
      <c r="F2086" s="4">
        <v>30.74</v>
      </c>
      <c r="G2086" s="5">
        <v>55</v>
      </c>
      <c r="H2086" t="s">
        <v>33</v>
      </c>
      <c r="I2086" t="s">
        <v>57</v>
      </c>
      <c r="J2086" s="6">
        <v>13.99</v>
      </c>
      <c r="K2086">
        <v>0</v>
      </c>
      <c r="L2086" t="s">
        <v>29</v>
      </c>
      <c r="M2086" s="5">
        <v>3</v>
      </c>
      <c r="N2086" s="4">
        <v>0.55000000000000004</v>
      </c>
      <c r="O2086" t="s">
        <v>30</v>
      </c>
    </row>
    <row r="2087" spans="1:15" x14ac:dyDescent="0.3">
      <c r="A2087" t="s">
        <v>2467</v>
      </c>
      <c r="B2087" s="5">
        <v>39</v>
      </c>
      <c r="C2087" s="5" t="str" cm="1">
        <f t="array" ref="C2087">_xlfn.IFS(worksheet[[#This Row],[age]]&lt;25,"1. Young Adulthood (18-24)",worksheet[[#This Row],[age]]&lt; 35,"2. Early Adulthood (25-34)",worksheet[[#This Row],[age]]&lt; 45,"3. Mid Adulthood (35-44)",worksheet[[#This Row],[age]]&lt; 55,"4. Mature Adulthood (45-54)",TRUE,"5. Late Adulthood/Senior (55+)")</f>
        <v>3. Mid Adulthood (35-44)</v>
      </c>
      <c r="D2087" t="s">
        <v>15</v>
      </c>
      <c r="E2087" t="s">
        <v>16</v>
      </c>
      <c r="F2087" s="4">
        <v>16.77</v>
      </c>
      <c r="G2087" s="5">
        <v>48</v>
      </c>
      <c r="H2087" t="s">
        <v>49</v>
      </c>
      <c r="I2087" t="s">
        <v>46</v>
      </c>
      <c r="J2087" s="6">
        <v>8.99</v>
      </c>
      <c r="K2087">
        <v>1</v>
      </c>
      <c r="L2087" t="s">
        <v>61</v>
      </c>
      <c r="M2087" s="5">
        <v>1</v>
      </c>
      <c r="N2087" s="4">
        <v>0.34</v>
      </c>
      <c r="O2087" t="s">
        <v>39</v>
      </c>
    </row>
    <row r="2088" spans="1:15" x14ac:dyDescent="0.3">
      <c r="A2088" t="s">
        <v>2474</v>
      </c>
      <c r="B2088" s="5">
        <v>43</v>
      </c>
      <c r="C2088" s="5" t="str" cm="1">
        <f t="array" ref="C2088">_xlfn.IFS(worksheet[[#This Row],[age]]&lt;25,"1. Young Adulthood (18-24)",worksheet[[#This Row],[age]]&lt; 35,"2. Early Adulthood (25-34)",worksheet[[#This Row],[age]]&lt; 45,"3. Mid Adulthood (35-44)",worksheet[[#This Row],[age]]&lt; 55,"4. Mature Adulthood (45-54)",TRUE,"5. Late Adulthood/Senior (55+)")</f>
        <v>3. Mid Adulthood (35-44)</v>
      </c>
      <c r="D2088" t="s">
        <v>27</v>
      </c>
      <c r="E2088" t="s">
        <v>16</v>
      </c>
      <c r="F2088" s="4">
        <v>17.899999999999999</v>
      </c>
      <c r="G2088" s="5">
        <v>48</v>
      </c>
      <c r="H2088" t="s">
        <v>28</v>
      </c>
      <c r="I2088" t="s">
        <v>55</v>
      </c>
      <c r="J2088" s="6">
        <v>8.99</v>
      </c>
      <c r="K2088">
        <v>1</v>
      </c>
      <c r="L2088" t="s">
        <v>29</v>
      </c>
      <c r="M2088" s="5">
        <v>2</v>
      </c>
      <c r="N2088" s="4">
        <v>0.37</v>
      </c>
      <c r="O2088" t="s">
        <v>52</v>
      </c>
    </row>
    <row r="2089" spans="1:15" x14ac:dyDescent="0.3">
      <c r="A2089" t="s">
        <v>2476</v>
      </c>
      <c r="B2089" s="5">
        <v>41</v>
      </c>
      <c r="C2089" s="5" t="str" cm="1">
        <f t="array" ref="C2089">_xlfn.IFS(worksheet[[#This Row],[age]]&lt;25,"1. Young Adulthood (18-24)",worksheet[[#This Row],[age]]&lt; 35,"2. Early Adulthood (25-34)",worksheet[[#This Row],[age]]&lt; 45,"3. Mid Adulthood (35-44)",worksheet[[#This Row],[age]]&lt; 55,"4. Mature Adulthood (45-54)",TRUE,"5. Late Adulthood/Senior (55+)")</f>
        <v>3. Mid Adulthood (35-44)</v>
      </c>
      <c r="D2089" t="s">
        <v>41</v>
      </c>
      <c r="E2089" t="s">
        <v>32</v>
      </c>
      <c r="F2089" s="4">
        <v>60.32</v>
      </c>
      <c r="G2089" s="5">
        <v>25</v>
      </c>
      <c r="H2089" t="s">
        <v>28</v>
      </c>
      <c r="I2089" t="s">
        <v>18</v>
      </c>
      <c r="J2089" s="6">
        <v>17.989999999999998</v>
      </c>
      <c r="K2089">
        <v>0</v>
      </c>
      <c r="L2089" t="s">
        <v>43</v>
      </c>
      <c r="M2089" s="5">
        <v>5</v>
      </c>
      <c r="N2089" s="4">
        <v>2.3199999999999998</v>
      </c>
      <c r="O2089" t="s">
        <v>47</v>
      </c>
    </row>
    <row r="2090" spans="1:15" x14ac:dyDescent="0.3">
      <c r="A2090" t="s">
        <v>2483</v>
      </c>
      <c r="B2090" s="5">
        <v>39</v>
      </c>
      <c r="C2090" s="5" t="str" cm="1">
        <f t="array" ref="C2090">_xlfn.IFS(worksheet[[#This Row],[age]]&lt;25,"1. Young Adulthood (18-24)",worksheet[[#This Row],[age]]&lt; 35,"2. Early Adulthood (25-34)",worksheet[[#This Row],[age]]&lt; 45,"3. Mid Adulthood (35-44)",worksheet[[#This Row],[age]]&lt; 55,"4. Mature Adulthood (45-54)",TRUE,"5. Late Adulthood/Senior (55+)")</f>
        <v>3. Mid Adulthood (35-44)</v>
      </c>
      <c r="D2090" t="s">
        <v>15</v>
      </c>
      <c r="E2090" t="s">
        <v>22</v>
      </c>
      <c r="F2090" s="4">
        <v>14.12</v>
      </c>
      <c r="G2090" s="5">
        <v>12</v>
      </c>
      <c r="H2090" t="s">
        <v>23</v>
      </c>
      <c r="I2090" t="s">
        <v>55</v>
      </c>
      <c r="J2090" s="6">
        <v>13.99</v>
      </c>
      <c r="K2090">
        <v>0</v>
      </c>
      <c r="L2090" t="s">
        <v>61</v>
      </c>
      <c r="M2090" s="5">
        <v>5</v>
      </c>
      <c r="N2090" s="4">
        <v>1.0900000000000001</v>
      </c>
      <c r="O2090" t="s">
        <v>52</v>
      </c>
    </row>
    <row r="2091" spans="1:15" x14ac:dyDescent="0.3">
      <c r="A2091" t="s">
        <v>2486</v>
      </c>
      <c r="B2091" s="5">
        <v>42</v>
      </c>
      <c r="C2091" s="5" t="str" cm="1">
        <f t="array" ref="C2091">_xlfn.IFS(worksheet[[#This Row],[age]]&lt;25,"1. Young Adulthood (18-24)",worksheet[[#This Row],[age]]&lt; 35,"2. Early Adulthood (25-34)",worksheet[[#This Row],[age]]&lt; 45,"3. Mid Adulthood (35-44)",worksheet[[#This Row],[age]]&lt; 55,"4. Mature Adulthood (45-54)",TRUE,"5. Late Adulthood/Senior (55+)")</f>
        <v>3. Mid Adulthood (35-44)</v>
      </c>
      <c r="D2091" t="s">
        <v>15</v>
      </c>
      <c r="E2091" t="s">
        <v>32</v>
      </c>
      <c r="F2091" s="4">
        <v>13.25</v>
      </c>
      <c r="G2091" s="5">
        <v>29</v>
      </c>
      <c r="H2091" t="s">
        <v>17</v>
      </c>
      <c r="I2091" t="s">
        <v>55</v>
      </c>
      <c r="J2091" s="6">
        <v>17.989999999999998</v>
      </c>
      <c r="K2091">
        <v>0</v>
      </c>
      <c r="L2091" t="s">
        <v>43</v>
      </c>
      <c r="M2091" s="5">
        <v>4</v>
      </c>
      <c r="N2091" s="4">
        <v>0.44</v>
      </c>
      <c r="O2091" t="s">
        <v>39</v>
      </c>
    </row>
    <row r="2092" spans="1:15" x14ac:dyDescent="0.3">
      <c r="A2092" t="s">
        <v>2495</v>
      </c>
      <c r="B2092" s="5">
        <v>41</v>
      </c>
      <c r="C2092" s="5" t="str" cm="1">
        <f t="array" ref="C2092">_xlfn.IFS(worksheet[[#This Row],[age]]&lt;25,"1. Young Adulthood (18-24)",worksheet[[#This Row],[age]]&lt; 35,"2. Early Adulthood (25-34)",worksheet[[#This Row],[age]]&lt; 45,"3. Mid Adulthood (35-44)",worksheet[[#This Row],[age]]&lt; 55,"4. Mature Adulthood (45-54)",TRUE,"5. Late Adulthood/Senior (55+)")</f>
        <v>3. Mid Adulthood (35-44)</v>
      </c>
      <c r="D2092" t="s">
        <v>27</v>
      </c>
      <c r="E2092" t="s">
        <v>16</v>
      </c>
      <c r="F2092" s="4">
        <v>7.36</v>
      </c>
      <c r="G2092" s="5">
        <v>30</v>
      </c>
      <c r="H2092" t="s">
        <v>49</v>
      </c>
      <c r="I2092" t="s">
        <v>18</v>
      </c>
      <c r="J2092" s="6">
        <v>8.99</v>
      </c>
      <c r="K2092">
        <v>0</v>
      </c>
      <c r="L2092" t="s">
        <v>43</v>
      </c>
      <c r="M2092" s="5">
        <v>3</v>
      </c>
      <c r="N2092" s="4">
        <v>0.24</v>
      </c>
      <c r="O2092" t="s">
        <v>30</v>
      </c>
    </row>
    <row r="2093" spans="1:15" x14ac:dyDescent="0.3">
      <c r="A2093" t="s">
        <v>2496</v>
      </c>
      <c r="B2093" s="5">
        <v>35</v>
      </c>
      <c r="C2093" s="5" t="str" cm="1">
        <f t="array" ref="C2093">_xlfn.IFS(worksheet[[#This Row],[age]]&lt;25,"1. Young Adulthood (18-24)",worksheet[[#This Row],[age]]&lt; 35,"2. Early Adulthood (25-34)",worksheet[[#This Row],[age]]&lt; 45,"3. Mid Adulthood (35-44)",worksheet[[#This Row],[age]]&lt; 55,"4. Mature Adulthood (45-54)",TRUE,"5. Late Adulthood/Senior (55+)")</f>
        <v>3. Mid Adulthood (35-44)</v>
      </c>
      <c r="D2093" t="s">
        <v>27</v>
      </c>
      <c r="E2093" t="s">
        <v>32</v>
      </c>
      <c r="F2093" s="4">
        <v>1.84</v>
      </c>
      <c r="G2093" s="5">
        <v>30</v>
      </c>
      <c r="H2093" t="s">
        <v>28</v>
      </c>
      <c r="I2093" t="s">
        <v>55</v>
      </c>
      <c r="J2093" s="6">
        <v>17.989999999999998</v>
      </c>
      <c r="K2093">
        <v>1</v>
      </c>
      <c r="L2093" t="s">
        <v>29</v>
      </c>
      <c r="M2093" s="5">
        <v>3</v>
      </c>
      <c r="N2093" s="4">
        <v>0.06</v>
      </c>
      <c r="O2093" t="s">
        <v>34</v>
      </c>
    </row>
    <row r="2094" spans="1:15" x14ac:dyDescent="0.3">
      <c r="A2094" t="s">
        <v>2500</v>
      </c>
      <c r="B2094" s="5">
        <v>44</v>
      </c>
      <c r="C2094" s="5" t="str" cm="1">
        <f t="array" ref="C2094">_xlfn.IFS(worksheet[[#This Row],[age]]&lt;25,"1. Young Adulthood (18-24)",worksheet[[#This Row],[age]]&lt; 35,"2. Early Adulthood (25-34)",worksheet[[#This Row],[age]]&lt; 45,"3. Mid Adulthood (35-44)",worksheet[[#This Row],[age]]&lt; 55,"4. Mature Adulthood (45-54)",TRUE,"5. Late Adulthood/Senior (55+)")</f>
        <v>3. Mid Adulthood (35-44)</v>
      </c>
      <c r="D2094" t="s">
        <v>27</v>
      </c>
      <c r="E2094" t="s">
        <v>32</v>
      </c>
      <c r="F2094" s="4">
        <v>15.31</v>
      </c>
      <c r="G2094" s="5">
        <v>26</v>
      </c>
      <c r="H2094" t="s">
        <v>70</v>
      </c>
      <c r="I2094" t="s">
        <v>18</v>
      </c>
      <c r="J2094" s="6">
        <v>17.989999999999998</v>
      </c>
      <c r="K2094">
        <v>0</v>
      </c>
      <c r="L2094" t="s">
        <v>29</v>
      </c>
      <c r="M2094" s="5">
        <v>5</v>
      </c>
      <c r="N2094" s="4">
        <v>0.56999999999999995</v>
      </c>
      <c r="O2094" t="s">
        <v>25</v>
      </c>
    </row>
    <row r="2095" spans="1:15" x14ac:dyDescent="0.3">
      <c r="A2095" t="s">
        <v>2502</v>
      </c>
      <c r="B2095" s="5">
        <v>43</v>
      </c>
      <c r="C2095" s="5" t="str" cm="1">
        <f t="array" ref="C2095">_xlfn.IFS(worksheet[[#This Row],[age]]&lt;25,"1. Young Adulthood (18-24)",worksheet[[#This Row],[age]]&lt; 35,"2. Early Adulthood (25-34)",worksheet[[#This Row],[age]]&lt; 45,"3. Mid Adulthood (35-44)",worksheet[[#This Row],[age]]&lt; 55,"4. Mature Adulthood (45-54)",TRUE,"5. Late Adulthood/Senior (55+)")</f>
        <v>3. Mid Adulthood (35-44)</v>
      </c>
      <c r="D2095" t="s">
        <v>27</v>
      </c>
      <c r="E2095" t="s">
        <v>22</v>
      </c>
      <c r="F2095" s="4">
        <v>19.95</v>
      </c>
      <c r="G2095" s="5">
        <v>40</v>
      </c>
      <c r="H2095" t="s">
        <v>70</v>
      </c>
      <c r="I2095" t="s">
        <v>46</v>
      </c>
      <c r="J2095" s="6">
        <v>13.99</v>
      </c>
      <c r="K2095">
        <v>1</v>
      </c>
      <c r="L2095" t="s">
        <v>43</v>
      </c>
      <c r="M2095" s="5">
        <v>1</v>
      </c>
      <c r="N2095" s="4">
        <v>0.49</v>
      </c>
      <c r="O2095" t="s">
        <v>34</v>
      </c>
    </row>
    <row r="2096" spans="1:15" x14ac:dyDescent="0.3">
      <c r="A2096" t="s">
        <v>2504</v>
      </c>
      <c r="B2096" s="5">
        <v>39</v>
      </c>
      <c r="C2096" s="5" t="str" cm="1">
        <f t="array" ref="C2096">_xlfn.IFS(worksheet[[#This Row],[age]]&lt;25,"1. Young Adulthood (18-24)",worksheet[[#This Row],[age]]&lt; 35,"2. Early Adulthood (25-34)",worksheet[[#This Row],[age]]&lt; 45,"3. Mid Adulthood (35-44)",worksheet[[#This Row],[age]]&lt; 55,"4. Mature Adulthood (45-54)",TRUE,"5. Late Adulthood/Senior (55+)")</f>
        <v>3. Mid Adulthood (35-44)</v>
      </c>
      <c r="D2096" t="s">
        <v>27</v>
      </c>
      <c r="E2096" t="s">
        <v>22</v>
      </c>
      <c r="F2096" s="4">
        <v>1.72</v>
      </c>
      <c r="G2096" s="5">
        <v>24</v>
      </c>
      <c r="H2096" t="s">
        <v>28</v>
      </c>
      <c r="I2096" t="s">
        <v>57</v>
      </c>
      <c r="J2096" s="6">
        <v>13.99</v>
      </c>
      <c r="K2096">
        <v>1</v>
      </c>
      <c r="L2096" t="s">
        <v>19</v>
      </c>
      <c r="M2096" s="5">
        <v>5</v>
      </c>
      <c r="N2096" s="4">
        <v>7.0000000000000007E-2</v>
      </c>
      <c r="O2096" t="s">
        <v>30</v>
      </c>
    </row>
    <row r="2097" spans="1:15" x14ac:dyDescent="0.3">
      <c r="A2097" t="s">
        <v>2505</v>
      </c>
      <c r="B2097" s="5">
        <v>43</v>
      </c>
      <c r="C2097" s="5" t="str" cm="1">
        <f t="array" ref="C2097">_xlfn.IFS(worksheet[[#This Row],[age]]&lt;25,"1. Young Adulthood (18-24)",worksheet[[#This Row],[age]]&lt; 35,"2. Early Adulthood (25-34)",worksheet[[#This Row],[age]]&lt; 45,"3. Mid Adulthood (35-44)",worksheet[[#This Row],[age]]&lt; 55,"4. Mature Adulthood (45-54)",TRUE,"5. Late Adulthood/Senior (55+)")</f>
        <v>3. Mid Adulthood (35-44)</v>
      </c>
      <c r="D2097" t="s">
        <v>27</v>
      </c>
      <c r="E2097" t="s">
        <v>22</v>
      </c>
      <c r="F2097" s="4">
        <v>8.4499999999999993</v>
      </c>
      <c r="G2097" s="5">
        <v>20</v>
      </c>
      <c r="H2097" t="s">
        <v>17</v>
      </c>
      <c r="I2097" t="s">
        <v>46</v>
      </c>
      <c r="J2097" s="6">
        <v>13.99</v>
      </c>
      <c r="K2097">
        <v>0</v>
      </c>
      <c r="L2097" t="s">
        <v>19</v>
      </c>
      <c r="M2097" s="5">
        <v>3</v>
      </c>
      <c r="N2097" s="4">
        <v>0.4</v>
      </c>
      <c r="O2097" t="s">
        <v>52</v>
      </c>
    </row>
    <row r="2098" spans="1:15" x14ac:dyDescent="0.3">
      <c r="A2098" t="s">
        <v>2515</v>
      </c>
      <c r="B2098" s="5">
        <v>37</v>
      </c>
      <c r="C2098" s="5" t="str" cm="1">
        <f t="array" ref="C2098">_xlfn.IFS(worksheet[[#This Row],[age]]&lt;25,"1. Young Adulthood (18-24)",worksheet[[#This Row],[age]]&lt; 35,"2. Early Adulthood (25-34)",worksheet[[#This Row],[age]]&lt; 45,"3. Mid Adulthood (35-44)",worksheet[[#This Row],[age]]&lt; 55,"4. Mature Adulthood (45-54)",TRUE,"5. Late Adulthood/Senior (55+)")</f>
        <v>3. Mid Adulthood (35-44)</v>
      </c>
      <c r="D2098" t="s">
        <v>15</v>
      </c>
      <c r="E2098" t="s">
        <v>32</v>
      </c>
      <c r="F2098" s="4">
        <v>1.32</v>
      </c>
      <c r="G2098" s="5">
        <v>47</v>
      </c>
      <c r="H2098" t="s">
        <v>70</v>
      </c>
      <c r="I2098" t="s">
        <v>55</v>
      </c>
      <c r="J2098" s="6">
        <v>17.989999999999998</v>
      </c>
      <c r="K2098">
        <v>1</v>
      </c>
      <c r="L2098" t="s">
        <v>43</v>
      </c>
      <c r="M2098" s="5">
        <v>3</v>
      </c>
      <c r="N2098" s="4">
        <v>0.03</v>
      </c>
      <c r="O2098" t="s">
        <v>30</v>
      </c>
    </row>
    <row r="2099" spans="1:15" x14ac:dyDescent="0.3">
      <c r="A2099" t="s">
        <v>2517</v>
      </c>
      <c r="B2099" s="5">
        <v>44</v>
      </c>
      <c r="C2099" s="5" t="str" cm="1">
        <f t="array" ref="C2099">_xlfn.IFS(worksheet[[#This Row],[age]]&lt;25,"1. Young Adulthood (18-24)",worksheet[[#This Row],[age]]&lt; 35,"2. Early Adulthood (25-34)",worksheet[[#This Row],[age]]&lt; 45,"3. Mid Adulthood (35-44)",worksheet[[#This Row],[age]]&lt; 55,"4. Mature Adulthood (45-54)",TRUE,"5. Late Adulthood/Senior (55+)")</f>
        <v>3. Mid Adulthood (35-44)</v>
      </c>
      <c r="D2099" t="s">
        <v>27</v>
      </c>
      <c r="E2099" t="s">
        <v>22</v>
      </c>
      <c r="F2099" s="4">
        <v>2.69</v>
      </c>
      <c r="G2099" s="5">
        <v>12</v>
      </c>
      <c r="H2099" t="s">
        <v>17</v>
      </c>
      <c r="I2099" t="s">
        <v>24</v>
      </c>
      <c r="J2099" s="6">
        <v>13.99</v>
      </c>
      <c r="K2099">
        <v>0</v>
      </c>
      <c r="L2099" t="s">
        <v>61</v>
      </c>
      <c r="M2099" s="5">
        <v>5</v>
      </c>
      <c r="N2099" s="4">
        <v>0.21</v>
      </c>
      <c r="O2099" t="s">
        <v>25</v>
      </c>
    </row>
    <row r="2100" spans="1:15" x14ac:dyDescent="0.3">
      <c r="A2100" t="s">
        <v>2519</v>
      </c>
      <c r="B2100" s="5">
        <v>39</v>
      </c>
      <c r="C2100" s="5" t="str" cm="1">
        <f t="array" ref="C2100">_xlfn.IFS(worksheet[[#This Row],[age]]&lt;25,"1. Young Adulthood (18-24)",worksheet[[#This Row],[age]]&lt; 35,"2. Early Adulthood (25-34)",worksheet[[#This Row],[age]]&lt; 45,"3. Mid Adulthood (35-44)",worksheet[[#This Row],[age]]&lt; 55,"4. Mature Adulthood (45-54)",TRUE,"5. Late Adulthood/Senior (55+)")</f>
        <v>3. Mid Adulthood (35-44)</v>
      </c>
      <c r="D2100" t="s">
        <v>27</v>
      </c>
      <c r="E2100" t="s">
        <v>32</v>
      </c>
      <c r="F2100" s="4">
        <v>15.78</v>
      </c>
      <c r="G2100" s="5">
        <v>25</v>
      </c>
      <c r="H2100" t="s">
        <v>33</v>
      </c>
      <c r="I2100" t="s">
        <v>46</v>
      </c>
      <c r="J2100" s="6">
        <v>17.989999999999998</v>
      </c>
      <c r="K2100">
        <v>0</v>
      </c>
      <c r="L2100" t="s">
        <v>19</v>
      </c>
      <c r="M2100" s="5">
        <v>4</v>
      </c>
      <c r="N2100" s="4">
        <v>0.61</v>
      </c>
      <c r="O2100" t="s">
        <v>39</v>
      </c>
    </row>
    <row r="2101" spans="1:15" x14ac:dyDescent="0.3">
      <c r="A2101" t="s">
        <v>2521</v>
      </c>
      <c r="B2101" s="5">
        <v>39</v>
      </c>
      <c r="C2101" s="5" t="str" cm="1">
        <f t="array" ref="C2101">_xlfn.IFS(worksheet[[#This Row],[age]]&lt;25,"1. Young Adulthood (18-24)",worksheet[[#This Row],[age]]&lt; 35,"2. Early Adulthood (25-34)",worksheet[[#This Row],[age]]&lt; 45,"3. Mid Adulthood (35-44)",worksheet[[#This Row],[age]]&lt; 55,"4. Mature Adulthood (45-54)",TRUE,"5. Late Adulthood/Senior (55+)")</f>
        <v>3. Mid Adulthood (35-44)</v>
      </c>
      <c r="D2101" t="s">
        <v>41</v>
      </c>
      <c r="E2101" t="s">
        <v>16</v>
      </c>
      <c r="F2101" s="4">
        <v>0.21</v>
      </c>
      <c r="G2101" s="5">
        <v>39</v>
      </c>
      <c r="H2101" t="s">
        <v>49</v>
      </c>
      <c r="I2101" t="s">
        <v>46</v>
      </c>
      <c r="J2101" s="6">
        <v>8.99</v>
      </c>
      <c r="K2101">
        <v>1</v>
      </c>
      <c r="L2101" t="s">
        <v>43</v>
      </c>
      <c r="M2101" s="5">
        <v>3</v>
      </c>
      <c r="N2101" s="4">
        <v>0.01</v>
      </c>
      <c r="O2101" t="s">
        <v>20</v>
      </c>
    </row>
    <row r="2102" spans="1:15" x14ac:dyDescent="0.3">
      <c r="A2102" t="s">
        <v>2530</v>
      </c>
      <c r="B2102" s="5">
        <v>39</v>
      </c>
      <c r="C2102" s="5" t="str" cm="1">
        <f t="array" ref="C2102">_xlfn.IFS(worksheet[[#This Row],[age]]&lt;25,"1. Young Adulthood (18-24)",worksheet[[#This Row],[age]]&lt; 35,"2. Early Adulthood (25-34)",worksheet[[#This Row],[age]]&lt; 45,"3. Mid Adulthood (35-44)",worksheet[[#This Row],[age]]&lt; 55,"4. Mature Adulthood (45-54)",TRUE,"5. Late Adulthood/Senior (55+)")</f>
        <v>3. Mid Adulthood (35-44)</v>
      </c>
      <c r="D2102" t="s">
        <v>27</v>
      </c>
      <c r="E2102" t="s">
        <v>32</v>
      </c>
      <c r="F2102" s="4">
        <v>17.260000000000002</v>
      </c>
      <c r="G2102" s="5">
        <v>21</v>
      </c>
      <c r="H2102" t="s">
        <v>49</v>
      </c>
      <c r="I2102" t="s">
        <v>18</v>
      </c>
      <c r="J2102" s="6">
        <v>17.989999999999998</v>
      </c>
      <c r="K2102">
        <v>0</v>
      </c>
      <c r="L2102" t="s">
        <v>37</v>
      </c>
      <c r="M2102" s="5">
        <v>5</v>
      </c>
      <c r="N2102" s="4">
        <v>0.78</v>
      </c>
      <c r="O2102" t="s">
        <v>52</v>
      </c>
    </row>
    <row r="2103" spans="1:15" x14ac:dyDescent="0.3">
      <c r="A2103" t="s">
        <v>2532</v>
      </c>
      <c r="B2103" s="5">
        <v>38</v>
      </c>
      <c r="C2103" s="5" t="str" cm="1">
        <f t="array" ref="C2103">_xlfn.IFS(worksheet[[#This Row],[age]]&lt;25,"1. Young Adulthood (18-24)",worksheet[[#This Row],[age]]&lt; 35,"2. Early Adulthood (25-34)",worksheet[[#This Row],[age]]&lt; 45,"3. Mid Adulthood (35-44)",worksheet[[#This Row],[age]]&lt; 55,"4. Mature Adulthood (45-54)",TRUE,"5. Late Adulthood/Senior (55+)")</f>
        <v>3. Mid Adulthood (35-44)</v>
      </c>
      <c r="D2103" t="s">
        <v>27</v>
      </c>
      <c r="E2103" t="s">
        <v>22</v>
      </c>
      <c r="F2103" s="4">
        <v>47.25</v>
      </c>
      <c r="G2103" s="5">
        <v>12</v>
      </c>
      <c r="H2103" t="s">
        <v>17</v>
      </c>
      <c r="I2103" t="s">
        <v>46</v>
      </c>
      <c r="J2103" s="6">
        <v>13.99</v>
      </c>
      <c r="K2103">
        <v>0</v>
      </c>
      <c r="L2103" t="s">
        <v>19</v>
      </c>
      <c r="M2103" s="5">
        <v>1</v>
      </c>
      <c r="N2103" s="4">
        <v>3.63</v>
      </c>
      <c r="O2103" t="s">
        <v>52</v>
      </c>
    </row>
    <row r="2104" spans="1:15" x14ac:dyDescent="0.3">
      <c r="A2104" t="s">
        <v>2537</v>
      </c>
      <c r="B2104" s="5">
        <v>37</v>
      </c>
      <c r="C2104" s="5" t="str" cm="1">
        <f t="array" ref="C2104">_xlfn.IFS(worksheet[[#This Row],[age]]&lt;25,"1. Young Adulthood (18-24)",worksheet[[#This Row],[age]]&lt; 35,"2. Early Adulthood (25-34)",worksheet[[#This Row],[age]]&lt; 45,"3. Mid Adulthood (35-44)",worksheet[[#This Row],[age]]&lt; 55,"4. Mature Adulthood (45-54)",TRUE,"5. Late Adulthood/Senior (55+)")</f>
        <v>3. Mid Adulthood (35-44)</v>
      </c>
      <c r="D2104" t="s">
        <v>41</v>
      </c>
      <c r="E2104" t="s">
        <v>22</v>
      </c>
      <c r="F2104" s="4">
        <v>5.47</v>
      </c>
      <c r="G2104" s="5">
        <v>39</v>
      </c>
      <c r="H2104" t="s">
        <v>28</v>
      </c>
      <c r="I2104" t="s">
        <v>18</v>
      </c>
      <c r="J2104" s="6">
        <v>13.99</v>
      </c>
      <c r="K2104">
        <v>1</v>
      </c>
      <c r="L2104" t="s">
        <v>19</v>
      </c>
      <c r="M2104" s="5">
        <v>2</v>
      </c>
      <c r="N2104" s="4">
        <v>0.14000000000000001</v>
      </c>
      <c r="O2104" t="s">
        <v>34</v>
      </c>
    </row>
    <row r="2105" spans="1:15" x14ac:dyDescent="0.3">
      <c r="A2105" t="s">
        <v>2538</v>
      </c>
      <c r="B2105" s="5">
        <v>41</v>
      </c>
      <c r="C2105" s="5" t="str" cm="1">
        <f t="array" ref="C2105">_xlfn.IFS(worksheet[[#This Row],[age]]&lt;25,"1. Young Adulthood (18-24)",worksheet[[#This Row],[age]]&lt; 35,"2. Early Adulthood (25-34)",worksheet[[#This Row],[age]]&lt; 45,"3. Mid Adulthood (35-44)",worksheet[[#This Row],[age]]&lt; 55,"4. Mature Adulthood (45-54)",TRUE,"5. Late Adulthood/Senior (55+)")</f>
        <v>3. Mid Adulthood (35-44)</v>
      </c>
      <c r="D2105" t="s">
        <v>15</v>
      </c>
      <c r="E2105" t="s">
        <v>32</v>
      </c>
      <c r="F2105" s="4">
        <v>0.87</v>
      </c>
      <c r="G2105" s="5">
        <v>33</v>
      </c>
      <c r="H2105" t="s">
        <v>49</v>
      </c>
      <c r="I2105" t="s">
        <v>57</v>
      </c>
      <c r="J2105" s="6">
        <v>17.989999999999998</v>
      </c>
      <c r="K2105">
        <v>1</v>
      </c>
      <c r="L2105" t="s">
        <v>43</v>
      </c>
      <c r="M2105" s="5">
        <v>4</v>
      </c>
      <c r="N2105" s="4">
        <v>0.03</v>
      </c>
      <c r="O2105" t="s">
        <v>52</v>
      </c>
    </row>
    <row r="2106" spans="1:15" x14ac:dyDescent="0.3">
      <c r="A2106" t="s">
        <v>2540</v>
      </c>
      <c r="B2106" s="5">
        <v>41</v>
      </c>
      <c r="C2106" s="5" t="str" cm="1">
        <f t="array" ref="C2106">_xlfn.IFS(worksheet[[#This Row],[age]]&lt;25,"1. Young Adulthood (18-24)",worksheet[[#This Row],[age]]&lt; 35,"2. Early Adulthood (25-34)",worksheet[[#This Row],[age]]&lt; 45,"3. Mid Adulthood (35-44)",worksheet[[#This Row],[age]]&lt; 55,"4. Mature Adulthood (45-54)",TRUE,"5. Late Adulthood/Senior (55+)")</f>
        <v>3. Mid Adulthood (35-44)</v>
      </c>
      <c r="D2106" t="s">
        <v>27</v>
      </c>
      <c r="E2106" t="s">
        <v>32</v>
      </c>
      <c r="F2106" s="4">
        <v>0.43</v>
      </c>
      <c r="G2106" s="5">
        <v>60</v>
      </c>
      <c r="H2106" t="s">
        <v>23</v>
      </c>
      <c r="I2106" t="s">
        <v>46</v>
      </c>
      <c r="J2106" s="6">
        <v>17.989999999999998</v>
      </c>
      <c r="K2106">
        <v>1</v>
      </c>
      <c r="L2106" t="s">
        <v>37</v>
      </c>
      <c r="M2106" s="5">
        <v>3</v>
      </c>
      <c r="N2106" s="4">
        <v>0.01</v>
      </c>
      <c r="O2106" t="s">
        <v>20</v>
      </c>
    </row>
    <row r="2107" spans="1:15" x14ac:dyDescent="0.3">
      <c r="A2107" t="s">
        <v>2561</v>
      </c>
      <c r="B2107" s="5">
        <v>35</v>
      </c>
      <c r="C2107" s="5" t="str" cm="1">
        <f t="array" ref="C2107">_xlfn.IFS(worksheet[[#This Row],[age]]&lt;25,"1. Young Adulthood (18-24)",worksheet[[#This Row],[age]]&lt; 35,"2. Early Adulthood (25-34)",worksheet[[#This Row],[age]]&lt; 45,"3. Mid Adulthood (35-44)",worksheet[[#This Row],[age]]&lt; 55,"4. Mature Adulthood (45-54)",TRUE,"5. Late Adulthood/Senior (55+)")</f>
        <v>3. Mid Adulthood (35-44)</v>
      </c>
      <c r="D2107" t="s">
        <v>41</v>
      </c>
      <c r="E2107" t="s">
        <v>32</v>
      </c>
      <c r="F2107" s="4">
        <v>28.76</v>
      </c>
      <c r="G2107" s="5">
        <v>23</v>
      </c>
      <c r="H2107" t="s">
        <v>49</v>
      </c>
      <c r="I2107" t="s">
        <v>57</v>
      </c>
      <c r="J2107" s="6">
        <v>17.989999999999998</v>
      </c>
      <c r="K2107">
        <v>0</v>
      </c>
      <c r="L2107" t="s">
        <v>19</v>
      </c>
      <c r="M2107" s="5">
        <v>1</v>
      </c>
      <c r="N2107" s="4">
        <v>1.2</v>
      </c>
      <c r="O2107" t="s">
        <v>25</v>
      </c>
    </row>
    <row r="2108" spans="1:15" x14ac:dyDescent="0.3">
      <c r="A2108" s="1" t="s">
        <v>2571</v>
      </c>
      <c r="B2108" s="5">
        <v>38</v>
      </c>
      <c r="C2108" s="5" t="str" cm="1">
        <f t="array" ref="C2108">_xlfn.IFS(worksheet[[#This Row],[age]]&lt;25,"1. Young Adulthood (18-24)",worksheet[[#This Row],[age]]&lt; 35,"2. Early Adulthood (25-34)",worksheet[[#This Row],[age]]&lt; 45,"3. Mid Adulthood (35-44)",worksheet[[#This Row],[age]]&lt; 55,"4. Mature Adulthood (45-54)",TRUE,"5. Late Adulthood/Senior (55+)")</f>
        <v>3. Mid Adulthood (35-44)</v>
      </c>
      <c r="D2108" t="s">
        <v>15</v>
      </c>
      <c r="E2108" t="s">
        <v>16</v>
      </c>
      <c r="F2108" s="4">
        <v>4.26</v>
      </c>
      <c r="G2108" s="5">
        <v>42</v>
      </c>
      <c r="H2108" t="s">
        <v>23</v>
      </c>
      <c r="I2108" t="s">
        <v>24</v>
      </c>
      <c r="J2108" s="6">
        <v>8.99</v>
      </c>
      <c r="K2108">
        <v>1</v>
      </c>
      <c r="L2108" t="s">
        <v>19</v>
      </c>
      <c r="M2108" s="5">
        <v>5</v>
      </c>
      <c r="N2108" s="4">
        <v>0.1</v>
      </c>
      <c r="O2108" t="s">
        <v>20</v>
      </c>
    </row>
    <row r="2109" spans="1:15" x14ac:dyDescent="0.3">
      <c r="A2109" t="s">
        <v>2572</v>
      </c>
      <c r="B2109" s="5">
        <v>44</v>
      </c>
      <c r="C2109" s="5" t="str" cm="1">
        <f t="array" ref="C2109">_xlfn.IFS(worksheet[[#This Row],[age]]&lt;25,"1. Young Adulthood (18-24)",worksheet[[#This Row],[age]]&lt; 35,"2. Early Adulthood (25-34)",worksheet[[#This Row],[age]]&lt; 45,"3. Mid Adulthood (35-44)",worksheet[[#This Row],[age]]&lt; 55,"4. Mature Adulthood (45-54)",TRUE,"5. Late Adulthood/Senior (55+)")</f>
        <v>3. Mid Adulthood (35-44)</v>
      </c>
      <c r="D2109" t="s">
        <v>15</v>
      </c>
      <c r="E2109" t="s">
        <v>22</v>
      </c>
      <c r="F2109" s="4">
        <v>6.9</v>
      </c>
      <c r="G2109" s="5">
        <v>21</v>
      </c>
      <c r="H2109" t="s">
        <v>23</v>
      </c>
      <c r="I2109" t="s">
        <v>24</v>
      </c>
      <c r="J2109" s="6">
        <v>13.99</v>
      </c>
      <c r="K2109">
        <v>0</v>
      </c>
      <c r="L2109" t="s">
        <v>19</v>
      </c>
      <c r="M2109" s="5">
        <v>4</v>
      </c>
      <c r="N2109" s="4">
        <v>0.31</v>
      </c>
      <c r="O2109" t="s">
        <v>34</v>
      </c>
    </row>
    <row r="2110" spans="1:15" x14ac:dyDescent="0.3">
      <c r="A2110" t="s">
        <v>2579</v>
      </c>
      <c r="B2110" s="5">
        <v>36</v>
      </c>
      <c r="C2110" s="5" t="str" cm="1">
        <f t="array" ref="C2110">_xlfn.IFS(worksheet[[#This Row],[age]]&lt;25,"1. Young Adulthood (18-24)",worksheet[[#This Row],[age]]&lt; 35,"2. Early Adulthood (25-34)",worksheet[[#This Row],[age]]&lt; 45,"3. Mid Adulthood (35-44)",worksheet[[#This Row],[age]]&lt; 55,"4. Mature Adulthood (45-54)",TRUE,"5. Late Adulthood/Senior (55+)")</f>
        <v>3. Mid Adulthood (35-44)</v>
      </c>
      <c r="D2110" t="s">
        <v>41</v>
      </c>
      <c r="E2110" t="s">
        <v>32</v>
      </c>
      <c r="F2110" s="4">
        <v>6.59</v>
      </c>
      <c r="G2110" s="5">
        <v>58</v>
      </c>
      <c r="H2110" t="s">
        <v>49</v>
      </c>
      <c r="I2110" t="s">
        <v>24</v>
      </c>
      <c r="J2110" s="6">
        <v>17.989999999999998</v>
      </c>
      <c r="K2110">
        <v>1</v>
      </c>
      <c r="L2110" t="s">
        <v>19</v>
      </c>
      <c r="M2110" s="5">
        <v>5</v>
      </c>
      <c r="N2110" s="4">
        <v>0.11</v>
      </c>
      <c r="O2110" t="s">
        <v>25</v>
      </c>
    </row>
    <row r="2111" spans="1:15" x14ac:dyDescent="0.3">
      <c r="A2111" t="s">
        <v>2593</v>
      </c>
      <c r="B2111" s="5">
        <v>40</v>
      </c>
      <c r="C2111" s="5" t="str" cm="1">
        <f t="array" ref="C2111">_xlfn.IFS(worksheet[[#This Row],[age]]&lt;25,"1. Young Adulthood (18-24)",worksheet[[#This Row],[age]]&lt; 35,"2. Early Adulthood (25-34)",worksheet[[#This Row],[age]]&lt; 45,"3. Mid Adulthood (35-44)",worksheet[[#This Row],[age]]&lt; 55,"4. Mature Adulthood (45-54)",TRUE,"5. Late Adulthood/Senior (55+)")</f>
        <v>3. Mid Adulthood (35-44)</v>
      </c>
      <c r="D2111" t="s">
        <v>41</v>
      </c>
      <c r="E2111" t="s">
        <v>32</v>
      </c>
      <c r="F2111" s="4">
        <v>18.059999999999999</v>
      </c>
      <c r="G2111" s="5">
        <v>21</v>
      </c>
      <c r="H2111" t="s">
        <v>33</v>
      </c>
      <c r="I2111" t="s">
        <v>55</v>
      </c>
      <c r="J2111" s="6">
        <v>17.989999999999998</v>
      </c>
      <c r="K2111">
        <v>0</v>
      </c>
      <c r="L2111" t="s">
        <v>19</v>
      </c>
      <c r="M2111" s="5">
        <v>1</v>
      </c>
      <c r="N2111" s="4">
        <v>0.82</v>
      </c>
      <c r="O2111" t="s">
        <v>25</v>
      </c>
    </row>
    <row r="2112" spans="1:15" x14ac:dyDescent="0.3">
      <c r="A2112" t="s">
        <v>2598</v>
      </c>
      <c r="B2112" s="5">
        <v>43</v>
      </c>
      <c r="C2112" s="5" t="str" cm="1">
        <f t="array" ref="C2112">_xlfn.IFS(worksheet[[#This Row],[age]]&lt;25,"1. Young Adulthood (18-24)",worksheet[[#This Row],[age]]&lt; 35,"2. Early Adulthood (25-34)",worksheet[[#This Row],[age]]&lt; 45,"3. Mid Adulthood (35-44)",worksheet[[#This Row],[age]]&lt; 55,"4. Mature Adulthood (45-54)",TRUE,"5. Late Adulthood/Senior (55+)")</f>
        <v>3. Mid Adulthood (35-44)</v>
      </c>
      <c r="D2112" t="s">
        <v>15</v>
      </c>
      <c r="E2112" t="s">
        <v>16</v>
      </c>
      <c r="F2112" s="4">
        <v>4.07</v>
      </c>
      <c r="G2112" s="5">
        <v>19</v>
      </c>
      <c r="H2112" t="s">
        <v>28</v>
      </c>
      <c r="I2112" t="s">
        <v>55</v>
      </c>
      <c r="J2112" s="6">
        <v>8.99</v>
      </c>
      <c r="K2112">
        <v>1</v>
      </c>
      <c r="L2112" t="s">
        <v>37</v>
      </c>
      <c r="M2112" s="5">
        <v>3</v>
      </c>
      <c r="N2112" s="4">
        <v>0.2</v>
      </c>
      <c r="O2112" t="s">
        <v>34</v>
      </c>
    </row>
    <row r="2113" spans="1:15" x14ac:dyDescent="0.3">
      <c r="A2113" t="s">
        <v>2600</v>
      </c>
      <c r="B2113" s="5">
        <v>40</v>
      </c>
      <c r="C2113" s="5" t="str" cm="1">
        <f t="array" ref="C2113">_xlfn.IFS(worksheet[[#This Row],[age]]&lt;25,"1. Young Adulthood (18-24)",worksheet[[#This Row],[age]]&lt; 35,"2. Early Adulthood (25-34)",worksheet[[#This Row],[age]]&lt; 45,"3. Mid Adulthood (35-44)",worksheet[[#This Row],[age]]&lt; 55,"4. Mature Adulthood (45-54)",TRUE,"5. Late Adulthood/Senior (55+)")</f>
        <v>3. Mid Adulthood (35-44)</v>
      </c>
      <c r="D2113" t="s">
        <v>27</v>
      </c>
      <c r="E2113" t="s">
        <v>32</v>
      </c>
      <c r="F2113" s="4">
        <v>6.11</v>
      </c>
      <c r="G2113" s="5">
        <v>28</v>
      </c>
      <c r="H2113" t="s">
        <v>70</v>
      </c>
      <c r="I2113" t="s">
        <v>55</v>
      </c>
      <c r="J2113" s="6">
        <v>17.989999999999998</v>
      </c>
      <c r="K2113">
        <v>0</v>
      </c>
      <c r="L2113" t="s">
        <v>61</v>
      </c>
      <c r="M2113" s="5">
        <v>1</v>
      </c>
      <c r="N2113" s="4">
        <v>0.21</v>
      </c>
      <c r="O2113" t="s">
        <v>39</v>
      </c>
    </row>
    <row r="2114" spans="1:15" x14ac:dyDescent="0.3">
      <c r="A2114" t="s">
        <v>2605</v>
      </c>
      <c r="B2114" s="5">
        <v>35</v>
      </c>
      <c r="C2114" s="5" t="str" cm="1">
        <f t="array" ref="C2114">_xlfn.IFS(worksheet[[#This Row],[age]]&lt;25,"1. Young Adulthood (18-24)",worksheet[[#This Row],[age]]&lt; 35,"2. Early Adulthood (25-34)",worksheet[[#This Row],[age]]&lt; 45,"3. Mid Adulthood (35-44)",worksheet[[#This Row],[age]]&lt; 55,"4. Mature Adulthood (45-54)",TRUE,"5. Late Adulthood/Senior (55+)")</f>
        <v>3. Mid Adulthood (35-44)</v>
      </c>
      <c r="D2114" t="s">
        <v>27</v>
      </c>
      <c r="E2114" t="s">
        <v>22</v>
      </c>
      <c r="F2114" s="4">
        <v>2.42</v>
      </c>
      <c r="G2114" s="5">
        <v>59</v>
      </c>
      <c r="H2114" t="s">
        <v>23</v>
      </c>
      <c r="I2114" t="s">
        <v>46</v>
      </c>
      <c r="J2114" s="6">
        <v>13.99</v>
      </c>
      <c r="K2114">
        <v>1</v>
      </c>
      <c r="L2114" t="s">
        <v>43</v>
      </c>
      <c r="M2114" s="5">
        <v>3</v>
      </c>
      <c r="N2114" s="4">
        <v>0.04</v>
      </c>
      <c r="O2114" t="s">
        <v>30</v>
      </c>
    </row>
    <row r="2115" spans="1:15" x14ac:dyDescent="0.3">
      <c r="A2115" t="s">
        <v>2606</v>
      </c>
      <c r="B2115" s="5">
        <v>38</v>
      </c>
      <c r="C2115" s="5" t="str" cm="1">
        <f t="array" ref="C2115">_xlfn.IFS(worksheet[[#This Row],[age]]&lt;25,"1. Young Adulthood (18-24)",worksheet[[#This Row],[age]]&lt; 35,"2. Early Adulthood (25-34)",worksheet[[#This Row],[age]]&lt; 45,"3. Mid Adulthood (35-44)",worksheet[[#This Row],[age]]&lt; 55,"4. Mature Adulthood (45-54)",TRUE,"5. Late Adulthood/Senior (55+)")</f>
        <v>3. Mid Adulthood (35-44)</v>
      </c>
      <c r="D2115" t="s">
        <v>41</v>
      </c>
      <c r="E2115" t="s">
        <v>16</v>
      </c>
      <c r="F2115" s="4">
        <v>9.06</v>
      </c>
      <c r="G2115" s="5">
        <v>30</v>
      </c>
      <c r="H2115" t="s">
        <v>23</v>
      </c>
      <c r="I2115" t="s">
        <v>24</v>
      </c>
      <c r="J2115" s="6">
        <v>8.99</v>
      </c>
      <c r="K2115">
        <v>0</v>
      </c>
      <c r="L2115" t="s">
        <v>61</v>
      </c>
      <c r="M2115" s="5">
        <v>2</v>
      </c>
      <c r="N2115" s="4">
        <v>0.28999999999999998</v>
      </c>
      <c r="O2115" t="s">
        <v>30</v>
      </c>
    </row>
    <row r="2116" spans="1:15" x14ac:dyDescent="0.3">
      <c r="A2116" t="s">
        <v>2615</v>
      </c>
      <c r="B2116" s="5">
        <v>44</v>
      </c>
      <c r="C2116" s="5" t="str" cm="1">
        <f t="array" ref="C2116">_xlfn.IFS(worksheet[[#This Row],[age]]&lt;25,"1. Young Adulthood (18-24)",worksheet[[#This Row],[age]]&lt; 35,"2. Early Adulthood (25-34)",worksheet[[#This Row],[age]]&lt; 45,"3. Mid Adulthood (35-44)",worksheet[[#This Row],[age]]&lt; 55,"4. Mature Adulthood (45-54)",TRUE,"5. Late Adulthood/Senior (55+)")</f>
        <v>3. Mid Adulthood (35-44)</v>
      </c>
      <c r="D2116" t="s">
        <v>41</v>
      </c>
      <c r="E2116" t="s">
        <v>16</v>
      </c>
      <c r="F2116" s="4">
        <v>15.61</v>
      </c>
      <c r="G2116" s="5">
        <v>30</v>
      </c>
      <c r="H2116" t="s">
        <v>70</v>
      </c>
      <c r="I2116" t="s">
        <v>55</v>
      </c>
      <c r="J2116" s="6">
        <v>8.99</v>
      </c>
      <c r="K2116">
        <v>0</v>
      </c>
      <c r="L2116" t="s">
        <v>29</v>
      </c>
      <c r="M2116" s="5">
        <v>5</v>
      </c>
      <c r="N2116" s="4">
        <v>0.5</v>
      </c>
      <c r="O2116" t="s">
        <v>39</v>
      </c>
    </row>
    <row r="2117" spans="1:15" x14ac:dyDescent="0.3">
      <c r="A2117" t="s">
        <v>2622</v>
      </c>
      <c r="B2117" s="5">
        <v>38</v>
      </c>
      <c r="C2117" s="5" t="str" cm="1">
        <f t="array" ref="C2117">_xlfn.IFS(worksheet[[#This Row],[age]]&lt;25,"1. Young Adulthood (18-24)",worksheet[[#This Row],[age]]&lt; 35,"2. Early Adulthood (25-34)",worksheet[[#This Row],[age]]&lt; 45,"3. Mid Adulthood (35-44)",worksheet[[#This Row],[age]]&lt; 55,"4. Mature Adulthood (45-54)",TRUE,"5. Late Adulthood/Senior (55+)")</f>
        <v>3. Mid Adulthood (35-44)</v>
      </c>
      <c r="D2117" t="s">
        <v>15</v>
      </c>
      <c r="E2117" t="s">
        <v>32</v>
      </c>
      <c r="F2117" s="4">
        <v>24.19</v>
      </c>
      <c r="G2117" s="5">
        <v>22</v>
      </c>
      <c r="H2117" t="s">
        <v>33</v>
      </c>
      <c r="I2117" t="s">
        <v>24</v>
      </c>
      <c r="J2117" s="6">
        <v>17.989999999999998</v>
      </c>
      <c r="K2117">
        <v>0</v>
      </c>
      <c r="L2117" t="s">
        <v>19</v>
      </c>
      <c r="M2117" s="5">
        <v>2</v>
      </c>
      <c r="N2117" s="4">
        <v>1.05</v>
      </c>
      <c r="O2117" t="s">
        <v>39</v>
      </c>
    </row>
    <row r="2118" spans="1:15" x14ac:dyDescent="0.3">
      <c r="A2118" t="s">
        <v>2624</v>
      </c>
      <c r="B2118" s="5">
        <v>40</v>
      </c>
      <c r="C2118" s="5" t="str" cm="1">
        <f t="array" ref="C2118">_xlfn.IFS(worksheet[[#This Row],[age]]&lt;25,"1. Young Adulthood (18-24)",worksheet[[#This Row],[age]]&lt; 35,"2. Early Adulthood (25-34)",worksheet[[#This Row],[age]]&lt; 45,"3. Mid Adulthood (35-44)",worksheet[[#This Row],[age]]&lt; 55,"4. Mature Adulthood (45-54)",TRUE,"5. Late Adulthood/Senior (55+)")</f>
        <v>3. Mid Adulthood (35-44)</v>
      </c>
      <c r="D2118" t="s">
        <v>41</v>
      </c>
      <c r="E2118" t="s">
        <v>22</v>
      </c>
      <c r="F2118" s="4">
        <v>16.13</v>
      </c>
      <c r="G2118" s="5">
        <v>47</v>
      </c>
      <c r="H2118" t="s">
        <v>28</v>
      </c>
      <c r="I2118" t="s">
        <v>24</v>
      </c>
      <c r="J2118" s="6">
        <v>13.99</v>
      </c>
      <c r="K2118">
        <v>0</v>
      </c>
      <c r="L2118" t="s">
        <v>37</v>
      </c>
      <c r="M2118" s="5">
        <v>5</v>
      </c>
      <c r="N2118" s="4">
        <v>0.34</v>
      </c>
      <c r="O2118" t="s">
        <v>47</v>
      </c>
    </row>
    <row r="2119" spans="1:15" x14ac:dyDescent="0.3">
      <c r="A2119" t="s">
        <v>2625</v>
      </c>
      <c r="B2119" s="5">
        <v>39</v>
      </c>
      <c r="C2119" s="5" t="str" cm="1">
        <f t="array" ref="C2119">_xlfn.IFS(worksheet[[#This Row],[age]]&lt;25,"1. Young Adulthood (18-24)",worksheet[[#This Row],[age]]&lt; 35,"2. Early Adulthood (25-34)",worksheet[[#This Row],[age]]&lt; 45,"3. Mid Adulthood (35-44)",worksheet[[#This Row],[age]]&lt; 55,"4. Mature Adulthood (45-54)",TRUE,"5. Late Adulthood/Senior (55+)")</f>
        <v>3. Mid Adulthood (35-44)</v>
      </c>
      <c r="D2119" t="s">
        <v>27</v>
      </c>
      <c r="E2119" t="s">
        <v>22</v>
      </c>
      <c r="F2119" s="4">
        <v>19.16</v>
      </c>
      <c r="G2119" s="5">
        <v>60</v>
      </c>
      <c r="H2119" t="s">
        <v>17</v>
      </c>
      <c r="I2119" t="s">
        <v>57</v>
      </c>
      <c r="J2119" s="6">
        <v>13.99</v>
      </c>
      <c r="K2119">
        <v>0</v>
      </c>
      <c r="L2119" t="s">
        <v>37</v>
      </c>
      <c r="M2119" s="5">
        <v>5</v>
      </c>
      <c r="N2119" s="4">
        <v>0.31</v>
      </c>
      <c r="O2119" t="s">
        <v>34</v>
      </c>
    </row>
    <row r="2120" spans="1:15" x14ac:dyDescent="0.3">
      <c r="A2120" t="s">
        <v>2636</v>
      </c>
      <c r="B2120" s="5">
        <v>39</v>
      </c>
      <c r="C2120" s="5" t="str" cm="1">
        <f t="array" ref="C2120">_xlfn.IFS(worksheet[[#This Row],[age]]&lt;25,"1. Young Adulthood (18-24)",worksheet[[#This Row],[age]]&lt; 35,"2. Early Adulthood (25-34)",worksheet[[#This Row],[age]]&lt; 45,"3. Mid Adulthood (35-44)",worksheet[[#This Row],[age]]&lt; 55,"4. Mature Adulthood (45-54)",TRUE,"5. Late Adulthood/Senior (55+)")</f>
        <v>3. Mid Adulthood (35-44)</v>
      </c>
      <c r="D2120" t="s">
        <v>15</v>
      </c>
      <c r="E2120" t="s">
        <v>32</v>
      </c>
      <c r="F2120" s="4">
        <v>1.1200000000000001</v>
      </c>
      <c r="G2120" s="5">
        <v>27</v>
      </c>
      <c r="H2120" t="s">
        <v>70</v>
      </c>
      <c r="I2120" t="s">
        <v>24</v>
      </c>
      <c r="J2120" s="6">
        <v>17.989999999999998</v>
      </c>
      <c r="K2120">
        <v>1</v>
      </c>
      <c r="L2120" t="s">
        <v>19</v>
      </c>
      <c r="M2120" s="5">
        <v>5</v>
      </c>
      <c r="N2120" s="4">
        <v>0.04</v>
      </c>
      <c r="O2120" t="s">
        <v>25</v>
      </c>
    </row>
    <row r="2121" spans="1:15" x14ac:dyDescent="0.3">
      <c r="A2121" t="s">
        <v>2675</v>
      </c>
      <c r="B2121" s="5">
        <v>38</v>
      </c>
      <c r="C2121" s="5" t="str" cm="1">
        <f t="array" ref="C2121">_xlfn.IFS(worksheet[[#This Row],[age]]&lt;25,"1. Young Adulthood (18-24)",worksheet[[#This Row],[age]]&lt; 35,"2. Early Adulthood (25-34)",worksheet[[#This Row],[age]]&lt; 45,"3. Mid Adulthood (35-44)",worksheet[[#This Row],[age]]&lt; 55,"4. Mature Adulthood (45-54)",TRUE,"5. Late Adulthood/Senior (55+)")</f>
        <v>3. Mid Adulthood (35-44)</v>
      </c>
      <c r="D2121" t="s">
        <v>27</v>
      </c>
      <c r="E2121" t="s">
        <v>22</v>
      </c>
      <c r="F2121" s="4">
        <v>3.26</v>
      </c>
      <c r="G2121" s="5">
        <v>20</v>
      </c>
      <c r="H2121" t="s">
        <v>33</v>
      </c>
      <c r="I2121" t="s">
        <v>46</v>
      </c>
      <c r="J2121" s="6">
        <v>13.99</v>
      </c>
      <c r="K2121">
        <v>0</v>
      </c>
      <c r="L2121" t="s">
        <v>43</v>
      </c>
      <c r="M2121" s="5">
        <v>4</v>
      </c>
      <c r="N2121" s="4">
        <v>0.16</v>
      </c>
      <c r="O2121" t="s">
        <v>25</v>
      </c>
    </row>
    <row r="2122" spans="1:15" x14ac:dyDescent="0.3">
      <c r="A2122" t="s">
        <v>2683</v>
      </c>
      <c r="B2122" s="5">
        <v>35</v>
      </c>
      <c r="C2122" s="5" t="str" cm="1">
        <f t="array" ref="C2122">_xlfn.IFS(worksheet[[#This Row],[age]]&lt;25,"1. Young Adulthood (18-24)",worksheet[[#This Row],[age]]&lt; 35,"2. Early Adulthood (25-34)",worksheet[[#This Row],[age]]&lt; 45,"3. Mid Adulthood (35-44)",worksheet[[#This Row],[age]]&lt; 55,"4. Mature Adulthood (45-54)",TRUE,"5. Late Adulthood/Senior (55+)")</f>
        <v>3. Mid Adulthood (35-44)</v>
      </c>
      <c r="D2122" t="s">
        <v>15</v>
      </c>
      <c r="E2122" t="s">
        <v>16</v>
      </c>
      <c r="F2122" s="4">
        <v>29.26</v>
      </c>
      <c r="G2122" s="5">
        <v>36</v>
      </c>
      <c r="H2122" t="s">
        <v>17</v>
      </c>
      <c r="I2122" t="s">
        <v>46</v>
      </c>
      <c r="J2122" s="6">
        <v>8.99</v>
      </c>
      <c r="K2122">
        <v>0</v>
      </c>
      <c r="L2122" t="s">
        <v>37</v>
      </c>
      <c r="M2122" s="5">
        <v>1</v>
      </c>
      <c r="N2122" s="4">
        <v>0.79</v>
      </c>
      <c r="O2122" t="s">
        <v>47</v>
      </c>
    </row>
    <row r="2123" spans="1:15" x14ac:dyDescent="0.3">
      <c r="A2123" t="s">
        <v>2687</v>
      </c>
      <c r="B2123" s="5">
        <v>37</v>
      </c>
      <c r="C2123" s="5" t="str" cm="1">
        <f t="array" ref="C2123">_xlfn.IFS(worksheet[[#This Row],[age]]&lt;25,"1. Young Adulthood (18-24)",worksheet[[#This Row],[age]]&lt; 35,"2. Early Adulthood (25-34)",worksheet[[#This Row],[age]]&lt; 45,"3. Mid Adulthood (35-44)",worksheet[[#This Row],[age]]&lt; 55,"4. Mature Adulthood (45-54)",TRUE,"5. Late Adulthood/Senior (55+)")</f>
        <v>3. Mid Adulthood (35-44)</v>
      </c>
      <c r="D2123" t="s">
        <v>27</v>
      </c>
      <c r="E2123" t="s">
        <v>22</v>
      </c>
      <c r="F2123" s="4">
        <v>1.64</v>
      </c>
      <c r="G2123" s="5">
        <v>8</v>
      </c>
      <c r="H2123" t="s">
        <v>28</v>
      </c>
      <c r="I2123" t="s">
        <v>46</v>
      </c>
      <c r="J2123" s="6">
        <v>13.99</v>
      </c>
      <c r="K2123">
        <v>1</v>
      </c>
      <c r="L2123" t="s">
        <v>61</v>
      </c>
      <c r="M2123" s="5">
        <v>1</v>
      </c>
      <c r="N2123" s="4">
        <v>0.18</v>
      </c>
      <c r="O2123" t="s">
        <v>20</v>
      </c>
    </row>
    <row r="2124" spans="1:15" x14ac:dyDescent="0.3">
      <c r="A2124" t="s">
        <v>2690</v>
      </c>
      <c r="B2124" s="5">
        <v>40</v>
      </c>
      <c r="C2124" s="5" t="str" cm="1">
        <f t="array" ref="C2124">_xlfn.IFS(worksheet[[#This Row],[age]]&lt;25,"1. Young Adulthood (18-24)",worksheet[[#This Row],[age]]&lt; 35,"2. Early Adulthood (25-34)",worksheet[[#This Row],[age]]&lt; 45,"3. Mid Adulthood (35-44)",worksheet[[#This Row],[age]]&lt; 55,"4. Mature Adulthood (45-54)",TRUE,"5. Late Adulthood/Senior (55+)")</f>
        <v>3. Mid Adulthood (35-44)</v>
      </c>
      <c r="D2124" t="s">
        <v>15</v>
      </c>
      <c r="E2124" t="s">
        <v>32</v>
      </c>
      <c r="F2124" s="4">
        <v>3.41</v>
      </c>
      <c r="G2124" s="5">
        <v>26</v>
      </c>
      <c r="H2124" t="s">
        <v>70</v>
      </c>
      <c r="I2124" t="s">
        <v>18</v>
      </c>
      <c r="J2124" s="6">
        <v>17.989999999999998</v>
      </c>
      <c r="K2124">
        <v>0</v>
      </c>
      <c r="L2124" t="s">
        <v>61</v>
      </c>
      <c r="M2124" s="5">
        <v>5</v>
      </c>
      <c r="N2124" s="4">
        <v>0.13</v>
      </c>
      <c r="O2124" t="s">
        <v>20</v>
      </c>
    </row>
    <row r="2125" spans="1:15" x14ac:dyDescent="0.3">
      <c r="A2125" t="s">
        <v>2694</v>
      </c>
      <c r="B2125" s="5">
        <v>36</v>
      </c>
      <c r="C2125" s="5" t="str" cm="1">
        <f t="array" ref="C2125">_xlfn.IFS(worksheet[[#This Row],[age]]&lt;25,"1. Young Adulthood (18-24)",worksheet[[#This Row],[age]]&lt; 35,"2. Early Adulthood (25-34)",worksheet[[#This Row],[age]]&lt; 45,"3. Mid Adulthood (35-44)",worksheet[[#This Row],[age]]&lt; 55,"4. Mature Adulthood (45-54)",TRUE,"5. Late Adulthood/Senior (55+)")</f>
        <v>3. Mid Adulthood (35-44)</v>
      </c>
      <c r="D2125" t="s">
        <v>41</v>
      </c>
      <c r="E2125" t="s">
        <v>32</v>
      </c>
      <c r="F2125" s="4">
        <v>5.72</v>
      </c>
      <c r="G2125" s="5">
        <v>21</v>
      </c>
      <c r="H2125" t="s">
        <v>33</v>
      </c>
      <c r="I2125" t="s">
        <v>57</v>
      </c>
      <c r="J2125" s="6">
        <v>17.989999999999998</v>
      </c>
      <c r="K2125">
        <v>0</v>
      </c>
      <c r="L2125" t="s">
        <v>37</v>
      </c>
      <c r="M2125" s="5">
        <v>1</v>
      </c>
      <c r="N2125" s="4">
        <v>0.26</v>
      </c>
      <c r="O2125" t="s">
        <v>47</v>
      </c>
    </row>
    <row r="2126" spans="1:15" x14ac:dyDescent="0.3">
      <c r="A2126" t="s">
        <v>2697</v>
      </c>
      <c r="B2126" s="5">
        <v>43</v>
      </c>
      <c r="C2126" s="5" t="str" cm="1">
        <f t="array" ref="C2126">_xlfn.IFS(worksheet[[#This Row],[age]]&lt;25,"1. Young Adulthood (18-24)",worksheet[[#This Row],[age]]&lt; 35,"2. Early Adulthood (25-34)",worksheet[[#This Row],[age]]&lt; 45,"3. Mid Adulthood (35-44)",worksheet[[#This Row],[age]]&lt; 55,"4. Mature Adulthood (45-54)",TRUE,"5. Late Adulthood/Senior (55+)")</f>
        <v>3. Mid Adulthood (35-44)</v>
      </c>
      <c r="D2126" t="s">
        <v>27</v>
      </c>
      <c r="E2126" t="s">
        <v>32</v>
      </c>
      <c r="F2126" s="4">
        <v>16.600000000000001</v>
      </c>
      <c r="G2126" s="5">
        <v>17</v>
      </c>
      <c r="H2126" t="s">
        <v>70</v>
      </c>
      <c r="I2126" t="s">
        <v>46</v>
      </c>
      <c r="J2126" s="6">
        <v>17.989999999999998</v>
      </c>
      <c r="K2126">
        <v>0</v>
      </c>
      <c r="L2126" t="s">
        <v>19</v>
      </c>
      <c r="M2126" s="5">
        <v>3</v>
      </c>
      <c r="N2126" s="4">
        <v>0.92</v>
      </c>
      <c r="O2126" t="s">
        <v>30</v>
      </c>
    </row>
    <row r="2127" spans="1:15" x14ac:dyDescent="0.3">
      <c r="A2127" t="s">
        <v>2700</v>
      </c>
      <c r="B2127" s="5">
        <v>38</v>
      </c>
      <c r="C2127" s="5" t="str" cm="1">
        <f t="array" ref="C2127">_xlfn.IFS(worksheet[[#This Row],[age]]&lt;25,"1. Young Adulthood (18-24)",worksheet[[#This Row],[age]]&lt; 35,"2. Early Adulthood (25-34)",worksheet[[#This Row],[age]]&lt; 45,"3. Mid Adulthood (35-44)",worksheet[[#This Row],[age]]&lt; 55,"4. Mature Adulthood (45-54)",TRUE,"5. Late Adulthood/Senior (55+)")</f>
        <v>3. Mid Adulthood (35-44)</v>
      </c>
      <c r="D2127" t="s">
        <v>27</v>
      </c>
      <c r="E2127" t="s">
        <v>32</v>
      </c>
      <c r="F2127" s="4">
        <v>3.26</v>
      </c>
      <c r="G2127" s="5">
        <v>36</v>
      </c>
      <c r="H2127" t="s">
        <v>17</v>
      </c>
      <c r="I2127" t="s">
        <v>57</v>
      </c>
      <c r="J2127" s="6">
        <v>17.989999999999998</v>
      </c>
      <c r="K2127">
        <v>1</v>
      </c>
      <c r="L2127" t="s">
        <v>19</v>
      </c>
      <c r="M2127" s="5">
        <v>1</v>
      </c>
      <c r="N2127" s="4">
        <v>0.09</v>
      </c>
      <c r="O2127" t="s">
        <v>52</v>
      </c>
    </row>
    <row r="2128" spans="1:15" x14ac:dyDescent="0.3">
      <c r="A2128" t="s">
        <v>2702</v>
      </c>
      <c r="B2128" s="5">
        <v>42</v>
      </c>
      <c r="C2128" s="5" t="str" cm="1">
        <f t="array" ref="C2128">_xlfn.IFS(worksheet[[#This Row],[age]]&lt;25,"1. Young Adulthood (18-24)",worksheet[[#This Row],[age]]&lt; 35,"2. Early Adulthood (25-34)",worksheet[[#This Row],[age]]&lt; 45,"3. Mid Adulthood (35-44)",worksheet[[#This Row],[age]]&lt; 55,"4. Mature Adulthood (45-54)",TRUE,"5. Late Adulthood/Senior (55+)")</f>
        <v>3. Mid Adulthood (35-44)</v>
      </c>
      <c r="D2128" t="s">
        <v>41</v>
      </c>
      <c r="E2128" t="s">
        <v>32</v>
      </c>
      <c r="F2128" s="4">
        <v>3.39</v>
      </c>
      <c r="G2128" s="5">
        <v>30</v>
      </c>
      <c r="H2128" t="s">
        <v>49</v>
      </c>
      <c r="I2128" t="s">
        <v>24</v>
      </c>
      <c r="J2128" s="6">
        <v>17.989999999999998</v>
      </c>
      <c r="K2128">
        <v>0</v>
      </c>
      <c r="L2128" t="s">
        <v>37</v>
      </c>
      <c r="M2128" s="5">
        <v>5</v>
      </c>
      <c r="N2128" s="4">
        <v>0.11</v>
      </c>
      <c r="O2128" t="s">
        <v>30</v>
      </c>
    </row>
    <row r="2129" spans="1:15" x14ac:dyDescent="0.3">
      <c r="A2129" t="s">
        <v>2705</v>
      </c>
      <c r="B2129" s="5">
        <v>41</v>
      </c>
      <c r="C2129" s="5" t="str" cm="1">
        <f t="array" ref="C2129">_xlfn.IFS(worksheet[[#This Row],[age]]&lt;25,"1. Young Adulthood (18-24)",worksheet[[#This Row],[age]]&lt; 35,"2. Early Adulthood (25-34)",worksheet[[#This Row],[age]]&lt; 45,"3. Mid Adulthood (35-44)",worksheet[[#This Row],[age]]&lt; 55,"4. Mature Adulthood (45-54)",TRUE,"5. Late Adulthood/Senior (55+)")</f>
        <v>3. Mid Adulthood (35-44)</v>
      </c>
      <c r="D2129" t="s">
        <v>41</v>
      </c>
      <c r="E2129" t="s">
        <v>32</v>
      </c>
      <c r="F2129" s="4">
        <v>11.91</v>
      </c>
      <c r="G2129" s="5">
        <v>18</v>
      </c>
      <c r="H2129" t="s">
        <v>49</v>
      </c>
      <c r="I2129" t="s">
        <v>57</v>
      </c>
      <c r="J2129" s="6">
        <v>17.989999999999998</v>
      </c>
      <c r="K2129">
        <v>0</v>
      </c>
      <c r="L2129" t="s">
        <v>61</v>
      </c>
      <c r="M2129" s="5">
        <v>3</v>
      </c>
      <c r="N2129" s="4">
        <v>0.63</v>
      </c>
      <c r="O2129" t="s">
        <v>20</v>
      </c>
    </row>
    <row r="2130" spans="1:15" x14ac:dyDescent="0.3">
      <c r="A2130" t="s">
        <v>2706</v>
      </c>
      <c r="B2130" s="5">
        <v>40</v>
      </c>
      <c r="C2130" s="5" t="str" cm="1">
        <f t="array" ref="C2130">_xlfn.IFS(worksheet[[#This Row],[age]]&lt;25,"1. Young Adulthood (18-24)",worksheet[[#This Row],[age]]&lt; 35,"2. Early Adulthood (25-34)",worksheet[[#This Row],[age]]&lt; 45,"3. Mid Adulthood (35-44)",worksheet[[#This Row],[age]]&lt; 55,"4. Mature Adulthood (45-54)",TRUE,"5. Late Adulthood/Senior (55+)")</f>
        <v>3. Mid Adulthood (35-44)</v>
      </c>
      <c r="D2130" t="s">
        <v>15</v>
      </c>
      <c r="E2130" t="s">
        <v>22</v>
      </c>
      <c r="F2130" s="4">
        <v>0.65</v>
      </c>
      <c r="G2130" s="5">
        <v>16</v>
      </c>
      <c r="H2130" t="s">
        <v>28</v>
      </c>
      <c r="I2130" t="s">
        <v>57</v>
      </c>
      <c r="J2130" s="6">
        <v>13.99</v>
      </c>
      <c r="K2130">
        <v>1</v>
      </c>
      <c r="L2130" t="s">
        <v>19</v>
      </c>
      <c r="M2130" s="5">
        <v>5</v>
      </c>
      <c r="N2130" s="4">
        <v>0.04</v>
      </c>
      <c r="O2130" t="s">
        <v>34</v>
      </c>
    </row>
    <row r="2131" spans="1:15" x14ac:dyDescent="0.3">
      <c r="A2131" t="s">
        <v>2711</v>
      </c>
      <c r="B2131" s="5">
        <v>39</v>
      </c>
      <c r="C2131" s="5" t="str" cm="1">
        <f t="array" ref="C2131">_xlfn.IFS(worksheet[[#This Row],[age]]&lt;25,"1. Young Adulthood (18-24)",worksheet[[#This Row],[age]]&lt; 35,"2. Early Adulthood (25-34)",worksheet[[#This Row],[age]]&lt; 45,"3. Mid Adulthood (35-44)",worksheet[[#This Row],[age]]&lt; 55,"4. Mature Adulthood (45-54)",TRUE,"5. Late Adulthood/Senior (55+)")</f>
        <v>3. Mid Adulthood (35-44)</v>
      </c>
      <c r="D2131" t="s">
        <v>15</v>
      </c>
      <c r="E2131" t="s">
        <v>22</v>
      </c>
      <c r="F2131" s="4">
        <v>6.67</v>
      </c>
      <c r="G2131" s="5">
        <v>49</v>
      </c>
      <c r="H2131" t="s">
        <v>33</v>
      </c>
      <c r="I2131" t="s">
        <v>55</v>
      </c>
      <c r="J2131" s="6">
        <v>13.99</v>
      </c>
      <c r="K2131">
        <v>1</v>
      </c>
      <c r="L2131" t="s">
        <v>29</v>
      </c>
      <c r="M2131" s="5">
        <v>1</v>
      </c>
      <c r="N2131" s="4">
        <v>0.13</v>
      </c>
      <c r="O2131" t="s">
        <v>52</v>
      </c>
    </row>
    <row r="2132" spans="1:15" x14ac:dyDescent="0.3">
      <c r="A2132" t="s">
        <v>2716</v>
      </c>
      <c r="B2132" s="5">
        <v>40</v>
      </c>
      <c r="C2132" s="5" t="str" cm="1">
        <f t="array" ref="C2132">_xlfn.IFS(worksheet[[#This Row],[age]]&lt;25,"1. Young Adulthood (18-24)",worksheet[[#This Row],[age]]&lt; 35,"2. Early Adulthood (25-34)",worksheet[[#This Row],[age]]&lt; 45,"3. Mid Adulthood (35-44)",worksheet[[#This Row],[age]]&lt; 55,"4. Mature Adulthood (45-54)",TRUE,"5. Late Adulthood/Senior (55+)")</f>
        <v>3. Mid Adulthood (35-44)</v>
      </c>
      <c r="D2132" t="s">
        <v>27</v>
      </c>
      <c r="E2132" t="s">
        <v>22</v>
      </c>
      <c r="F2132" s="4">
        <v>12.53</v>
      </c>
      <c r="G2132" s="5">
        <v>30</v>
      </c>
      <c r="H2132" t="s">
        <v>70</v>
      </c>
      <c r="I2132" t="s">
        <v>24</v>
      </c>
      <c r="J2132" s="6">
        <v>13.99</v>
      </c>
      <c r="K2132">
        <v>0</v>
      </c>
      <c r="L2132" t="s">
        <v>29</v>
      </c>
      <c r="M2132" s="5">
        <v>4</v>
      </c>
      <c r="N2132" s="4">
        <v>0.4</v>
      </c>
      <c r="O2132" t="s">
        <v>52</v>
      </c>
    </row>
    <row r="2133" spans="1:15" x14ac:dyDescent="0.3">
      <c r="A2133" t="s">
        <v>2721</v>
      </c>
      <c r="B2133" s="5">
        <v>39</v>
      </c>
      <c r="C2133" s="5" t="str" cm="1">
        <f t="array" ref="C2133">_xlfn.IFS(worksheet[[#This Row],[age]]&lt;25,"1. Young Adulthood (18-24)",worksheet[[#This Row],[age]]&lt; 35,"2. Early Adulthood (25-34)",worksheet[[#This Row],[age]]&lt; 45,"3. Mid Adulthood (35-44)",worksheet[[#This Row],[age]]&lt; 55,"4. Mature Adulthood (45-54)",TRUE,"5. Late Adulthood/Senior (55+)")</f>
        <v>3. Mid Adulthood (35-44)</v>
      </c>
      <c r="D2133" t="s">
        <v>27</v>
      </c>
      <c r="E2133" t="s">
        <v>32</v>
      </c>
      <c r="F2133" s="4">
        <v>4.25</v>
      </c>
      <c r="G2133" s="5">
        <v>21</v>
      </c>
      <c r="H2133" t="s">
        <v>49</v>
      </c>
      <c r="I2133" t="s">
        <v>46</v>
      </c>
      <c r="J2133" s="6">
        <v>17.989999999999998</v>
      </c>
      <c r="K2133">
        <v>1</v>
      </c>
      <c r="L2133" t="s">
        <v>43</v>
      </c>
      <c r="M2133" s="5">
        <v>3</v>
      </c>
      <c r="N2133" s="4">
        <v>0.19</v>
      </c>
      <c r="O2133" t="s">
        <v>25</v>
      </c>
    </row>
    <row r="2134" spans="1:15" x14ac:dyDescent="0.3">
      <c r="A2134" t="s">
        <v>2727</v>
      </c>
      <c r="B2134" s="5">
        <v>41</v>
      </c>
      <c r="C2134" s="5" t="str" cm="1">
        <f t="array" ref="C2134">_xlfn.IFS(worksheet[[#This Row],[age]]&lt;25,"1. Young Adulthood (18-24)",worksheet[[#This Row],[age]]&lt; 35,"2. Early Adulthood (25-34)",worksheet[[#This Row],[age]]&lt; 45,"3. Mid Adulthood (35-44)",worksheet[[#This Row],[age]]&lt; 55,"4. Mature Adulthood (45-54)",TRUE,"5. Late Adulthood/Senior (55+)")</f>
        <v>3. Mid Adulthood (35-44)</v>
      </c>
      <c r="D2134" t="s">
        <v>27</v>
      </c>
      <c r="E2134" t="s">
        <v>22</v>
      </c>
      <c r="F2134" s="4">
        <v>1.21</v>
      </c>
      <c r="G2134" s="5">
        <v>20</v>
      </c>
      <c r="H2134" t="s">
        <v>49</v>
      </c>
      <c r="I2134" t="s">
        <v>57</v>
      </c>
      <c r="J2134" s="6">
        <v>13.99</v>
      </c>
      <c r="K2134">
        <v>1</v>
      </c>
      <c r="L2134" t="s">
        <v>19</v>
      </c>
      <c r="M2134" s="5">
        <v>5</v>
      </c>
      <c r="N2134" s="4">
        <v>0.06</v>
      </c>
      <c r="O2134" t="s">
        <v>25</v>
      </c>
    </row>
    <row r="2135" spans="1:15" x14ac:dyDescent="0.3">
      <c r="A2135" t="s">
        <v>2736</v>
      </c>
      <c r="B2135" s="5">
        <v>44</v>
      </c>
      <c r="C2135" s="5" t="str" cm="1">
        <f t="array" ref="C2135">_xlfn.IFS(worksheet[[#This Row],[age]]&lt;25,"1. Young Adulthood (18-24)",worksheet[[#This Row],[age]]&lt; 35,"2. Early Adulthood (25-34)",worksheet[[#This Row],[age]]&lt; 45,"3. Mid Adulthood (35-44)",worksheet[[#This Row],[age]]&lt; 55,"4. Mature Adulthood (45-54)",TRUE,"5. Late Adulthood/Senior (55+)")</f>
        <v>3. Mid Adulthood (35-44)</v>
      </c>
      <c r="D2135" t="s">
        <v>15</v>
      </c>
      <c r="E2135" t="s">
        <v>22</v>
      </c>
      <c r="F2135" s="4">
        <v>10.18</v>
      </c>
      <c r="G2135" s="5">
        <v>56</v>
      </c>
      <c r="H2135" t="s">
        <v>70</v>
      </c>
      <c r="I2135" t="s">
        <v>46</v>
      </c>
      <c r="J2135" s="6">
        <v>13.99</v>
      </c>
      <c r="K2135">
        <v>1</v>
      </c>
      <c r="L2135" t="s">
        <v>37</v>
      </c>
      <c r="M2135" s="5">
        <v>3</v>
      </c>
      <c r="N2135" s="4">
        <v>0.18</v>
      </c>
      <c r="O2135" t="s">
        <v>39</v>
      </c>
    </row>
    <row r="2136" spans="1:15" x14ac:dyDescent="0.3">
      <c r="A2136" t="s">
        <v>2739</v>
      </c>
      <c r="B2136" s="5">
        <v>40</v>
      </c>
      <c r="C2136" s="5" t="str" cm="1">
        <f t="array" ref="C2136">_xlfn.IFS(worksheet[[#This Row],[age]]&lt;25,"1. Young Adulthood (18-24)",worksheet[[#This Row],[age]]&lt; 35,"2. Early Adulthood (25-34)",worksheet[[#This Row],[age]]&lt; 45,"3. Mid Adulthood (35-44)",worksheet[[#This Row],[age]]&lt; 55,"4. Mature Adulthood (45-54)",TRUE,"5. Late Adulthood/Senior (55+)")</f>
        <v>3. Mid Adulthood (35-44)</v>
      </c>
      <c r="D2136" t="s">
        <v>41</v>
      </c>
      <c r="E2136" t="s">
        <v>22</v>
      </c>
      <c r="F2136" s="4">
        <v>3.48</v>
      </c>
      <c r="G2136" s="5">
        <v>29</v>
      </c>
      <c r="H2136" t="s">
        <v>33</v>
      </c>
      <c r="I2136" t="s">
        <v>46</v>
      </c>
      <c r="J2136" s="6">
        <v>13.99</v>
      </c>
      <c r="K2136">
        <v>0</v>
      </c>
      <c r="L2136" t="s">
        <v>37</v>
      </c>
      <c r="M2136" s="5">
        <v>4</v>
      </c>
      <c r="N2136" s="4">
        <v>0.12</v>
      </c>
      <c r="O2136" t="s">
        <v>30</v>
      </c>
    </row>
    <row r="2137" spans="1:15" x14ac:dyDescent="0.3">
      <c r="A2137" t="s">
        <v>2745</v>
      </c>
      <c r="B2137" s="5">
        <v>35</v>
      </c>
      <c r="C2137" s="5" t="str" cm="1">
        <f t="array" ref="C2137">_xlfn.IFS(worksheet[[#This Row],[age]]&lt;25,"1. Young Adulthood (18-24)",worksheet[[#This Row],[age]]&lt; 35,"2. Early Adulthood (25-34)",worksheet[[#This Row],[age]]&lt; 45,"3. Mid Adulthood (35-44)",worksheet[[#This Row],[age]]&lt; 55,"4. Mature Adulthood (45-54)",TRUE,"5. Late Adulthood/Senior (55+)")</f>
        <v>3. Mid Adulthood (35-44)</v>
      </c>
      <c r="D2137" t="s">
        <v>27</v>
      </c>
      <c r="E2137" t="s">
        <v>22</v>
      </c>
      <c r="F2137" s="4">
        <v>58.33</v>
      </c>
      <c r="G2137" s="5">
        <v>42</v>
      </c>
      <c r="H2137" t="s">
        <v>33</v>
      </c>
      <c r="I2137" t="s">
        <v>46</v>
      </c>
      <c r="J2137" s="6">
        <v>13.99</v>
      </c>
      <c r="K2137">
        <v>0</v>
      </c>
      <c r="L2137" t="s">
        <v>29</v>
      </c>
      <c r="M2137" s="5">
        <v>4</v>
      </c>
      <c r="N2137" s="4">
        <v>1.36</v>
      </c>
      <c r="O2137" t="s">
        <v>34</v>
      </c>
    </row>
    <row r="2138" spans="1:15" x14ac:dyDescent="0.3">
      <c r="A2138" t="s">
        <v>2759</v>
      </c>
      <c r="B2138" s="5">
        <v>37</v>
      </c>
      <c r="C2138" s="5" t="str" cm="1">
        <f t="array" ref="C2138">_xlfn.IFS(worksheet[[#This Row],[age]]&lt;25,"1. Young Adulthood (18-24)",worksheet[[#This Row],[age]]&lt; 35,"2. Early Adulthood (25-34)",worksheet[[#This Row],[age]]&lt; 45,"3. Mid Adulthood (35-44)",worksheet[[#This Row],[age]]&lt; 55,"4. Mature Adulthood (45-54)",TRUE,"5. Late Adulthood/Senior (55+)")</f>
        <v>3. Mid Adulthood (35-44)</v>
      </c>
      <c r="D2138" t="s">
        <v>15</v>
      </c>
      <c r="E2138" t="s">
        <v>16</v>
      </c>
      <c r="F2138" s="4">
        <v>18.149999999999999</v>
      </c>
      <c r="G2138" s="5">
        <v>54</v>
      </c>
      <c r="H2138" t="s">
        <v>70</v>
      </c>
      <c r="I2138" t="s">
        <v>55</v>
      </c>
      <c r="J2138" s="6">
        <v>8.99</v>
      </c>
      <c r="K2138">
        <v>1</v>
      </c>
      <c r="L2138" t="s">
        <v>37</v>
      </c>
      <c r="M2138" s="5">
        <v>1</v>
      </c>
      <c r="N2138" s="4">
        <v>0.33</v>
      </c>
      <c r="O2138" t="s">
        <v>25</v>
      </c>
    </row>
    <row r="2139" spans="1:15" x14ac:dyDescent="0.3">
      <c r="A2139" t="s">
        <v>2770</v>
      </c>
      <c r="B2139" s="5">
        <v>37</v>
      </c>
      <c r="C2139" s="5" t="str" cm="1">
        <f t="array" ref="C2139">_xlfn.IFS(worksheet[[#This Row],[age]]&lt;25,"1. Young Adulthood (18-24)",worksheet[[#This Row],[age]]&lt; 35,"2. Early Adulthood (25-34)",worksheet[[#This Row],[age]]&lt; 45,"3. Mid Adulthood (35-44)",worksheet[[#This Row],[age]]&lt; 55,"4. Mature Adulthood (45-54)",TRUE,"5. Late Adulthood/Senior (55+)")</f>
        <v>3. Mid Adulthood (35-44)</v>
      </c>
      <c r="D2139" t="s">
        <v>15</v>
      </c>
      <c r="E2139" t="s">
        <v>16</v>
      </c>
      <c r="F2139" s="4">
        <v>1.32</v>
      </c>
      <c r="G2139" s="5">
        <v>11</v>
      </c>
      <c r="H2139" t="s">
        <v>49</v>
      </c>
      <c r="I2139" t="s">
        <v>18</v>
      </c>
      <c r="J2139" s="6">
        <v>8.99</v>
      </c>
      <c r="K2139">
        <v>1</v>
      </c>
      <c r="L2139" t="s">
        <v>19</v>
      </c>
      <c r="M2139" s="5">
        <v>5</v>
      </c>
      <c r="N2139" s="4">
        <v>0.11</v>
      </c>
      <c r="O2139" t="s">
        <v>34</v>
      </c>
    </row>
    <row r="2140" spans="1:15" x14ac:dyDescent="0.3">
      <c r="A2140" t="s">
        <v>2773</v>
      </c>
      <c r="B2140" s="5">
        <v>38</v>
      </c>
      <c r="C2140" s="5" t="str" cm="1">
        <f t="array" ref="C2140">_xlfn.IFS(worksheet[[#This Row],[age]]&lt;25,"1. Young Adulthood (18-24)",worksheet[[#This Row],[age]]&lt; 35,"2. Early Adulthood (25-34)",worksheet[[#This Row],[age]]&lt; 45,"3. Mid Adulthood (35-44)",worksheet[[#This Row],[age]]&lt; 55,"4. Mature Adulthood (45-54)",TRUE,"5. Late Adulthood/Senior (55+)")</f>
        <v>3. Mid Adulthood (35-44)</v>
      </c>
      <c r="D2140" t="s">
        <v>15</v>
      </c>
      <c r="E2140" t="s">
        <v>32</v>
      </c>
      <c r="F2140" s="4">
        <v>3.64</v>
      </c>
      <c r="G2140" s="5">
        <v>39</v>
      </c>
      <c r="H2140" t="s">
        <v>17</v>
      </c>
      <c r="I2140" t="s">
        <v>55</v>
      </c>
      <c r="J2140" s="6">
        <v>17.989999999999998</v>
      </c>
      <c r="K2140">
        <v>1</v>
      </c>
      <c r="L2140" t="s">
        <v>19</v>
      </c>
      <c r="M2140" s="5">
        <v>5</v>
      </c>
      <c r="N2140" s="4">
        <v>0.09</v>
      </c>
      <c r="O2140" t="s">
        <v>30</v>
      </c>
    </row>
    <row r="2141" spans="1:15" x14ac:dyDescent="0.3">
      <c r="A2141" t="s">
        <v>2781</v>
      </c>
      <c r="B2141" s="5">
        <v>39</v>
      </c>
      <c r="C2141" s="5" t="str" cm="1">
        <f t="array" ref="C2141">_xlfn.IFS(worksheet[[#This Row],[age]]&lt;25,"1. Young Adulthood (18-24)",worksheet[[#This Row],[age]]&lt; 35,"2. Early Adulthood (25-34)",worksheet[[#This Row],[age]]&lt; 45,"3. Mid Adulthood (35-44)",worksheet[[#This Row],[age]]&lt; 55,"4. Mature Adulthood (45-54)",TRUE,"5. Late Adulthood/Senior (55+)")</f>
        <v>3. Mid Adulthood (35-44)</v>
      </c>
      <c r="D2141" t="s">
        <v>15</v>
      </c>
      <c r="E2141" t="s">
        <v>32</v>
      </c>
      <c r="F2141" s="4">
        <v>11.29</v>
      </c>
      <c r="G2141" s="5">
        <v>7</v>
      </c>
      <c r="H2141" t="s">
        <v>23</v>
      </c>
      <c r="I2141" t="s">
        <v>57</v>
      </c>
      <c r="J2141" s="6">
        <v>17.989999999999998</v>
      </c>
      <c r="K2141">
        <v>0</v>
      </c>
      <c r="L2141" t="s">
        <v>19</v>
      </c>
      <c r="M2141" s="5">
        <v>1</v>
      </c>
      <c r="N2141" s="4">
        <v>1.41</v>
      </c>
      <c r="O2141" t="s">
        <v>52</v>
      </c>
    </row>
    <row r="2142" spans="1:15" x14ac:dyDescent="0.3">
      <c r="A2142" t="s">
        <v>2791</v>
      </c>
      <c r="B2142" s="5">
        <v>41</v>
      </c>
      <c r="C2142" s="5" t="str" cm="1">
        <f t="array" ref="C2142">_xlfn.IFS(worksheet[[#This Row],[age]]&lt;25,"1. Young Adulthood (18-24)",worksheet[[#This Row],[age]]&lt; 35,"2. Early Adulthood (25-34)",worksheet[[#This Row],[age]]&lt; 45,"3. Mid Adulthood (35-44)",worksheet[[#This Row],[age]]&lt; 55,"4. Mature Adulthood (45-54)",TRUE,"5. Late Adulthood/Senior (55+)")</f>
        <v>3. Mid Adulthood (35-44)</v>
      </c>
      <c r="D2142" t="s">
        <v>15</v>
      </c>
      <c r="E2142" t="s">
        <v>16</v>
      </c>
      <c r="F2142" s="4">
        <v>11.39</v>
      </c>
      <c r="G2142" s="5">
        <v>44</v>
      </c>
      <c r="H2142" t="s">
        <v>49</v>
      </c>
      <c r="I2142" t="s">
        <v>24</v>
      </c>
      <c r="J2142" s="6">
        <v>8.99</v>
      </c>
      <c r="K2142">
        <v>1</v>
      </c>
      <c r="L2142" t="s">
        <v>19</v>
      </c>
      <c r="M2142" s="5">
        <v>3</v>
      </c>
      <c r="N2142" s="4">
        <v>0.25</v>
      </c>
      <c r="O2142" t="s">
        <v>39</v>
      </c>
    </row>
    <row r="2143" spans="1:15" x14ac:dyDescent="0.3">
      <c r="A2143" t="s">
        <v>2792</v>
      </c>
      <c r="B2143" s="5">
        <v>41</v>
      </c>
      <c r="C2143" s="5" t="str" cm="1">
        <f t="array" ref="C2143">_xlfn.IFS(worksheet[[#This Row],[age]]&lt;25,"1. Young Adulthood (18-24)",worksheet[[#This Row],[age]]&lt; 35,"2. Early Adulthood (25-34)",worksheet[[#This Row],[age]]&lt; 45,"3. Mid Adulthood (35-44)",worksheet[[#This Row],[age]]&lt; 55,"4. Mature Adulthood (45-54)",TRUE,"5. Late Adulthood/Senior (55+)")</f>
        <v>3. Mid Adulthood (35-44)</v>
      </c>
      <c r="D2143" t="s">
        <v>27</v>
      </c>
      <c r="E2143" t="s">
        <v>32</v>
      </c>
      <c r="F2143" s="4">
        <v>1.5</v>
      </c>
      <c r="G2143" s="5">
        <v>60</v>
      </c>
      <c r="H2143" t="s">
        <v>49</v>
      </c>
      <c r="I2143" t="s">
        <v>55</v>
      </c>
      <c r="J2143" s="6">
        <v>17.989999999999998</v>
      </c>
      <c r="K2143">
        <v>1</v>
      </c>
      <c r="L2143" t="s">
        <v>19</v>
      </c>
      <c r="M2143" s="5">
        <v>5</v>
      </c>
      <c r="N2143" s="4">
        <v>0.02</v>
      </c>
      <c r="O2143" t="s">
        <v>34</v>
      </c>
    </row>
    <row r="2144" spans="1:15" x14ac:dyDescent="0.3">
      <c r="A2144" t="s">
        <v>2798</v>
      </c>
      <c r="B2144" s="5">
        <v>37</v>
      </c>
      <c r="C2144" s="5" t="str" cm="1">
        <f t="array" ref="C2144">_xlfn.IFS(worksheet[[#This Row],[age]]&lt;25,"1. Young Adulthood (18-24)",worksheet[[#This Row],[age]]&lt; 35,"2. Early Adulthood (25-34)",worksheet[[#This Row],[age]]&lt; 45,"3. Mid Adulthood (35-44)",worksheet[[#This Row],[age]]&lt; 55,"4. Mature Adulthood (45-54)",TRUE,"5. Late Adulthood/Senior (55+)")</f>
        <v>3. Mid Adulthood (35-44)</v>
      </c>
      <c r="D2144" t="s">
        <v>41</v>
      </c>
      <c r="E2144" t="s">
        <v>32</v>
      </c>
      <c r="F2144" s="4">
        <v>3.73</v>
      </c>
      <c r="G2144" s="5">
        <v>31</v>
      </c>
      <c r="H2144" t="s">
        <v>28</v>
      </c>
      <c r="I2144" t="s">
        <v>18</v>
      </c>
      <c r="J2144" s="6">
        <v>17.989999999999998</v>
      </c>
      <c r="K2144">
        <v>1</v>
      </c>
      <c r="L2144" t="s">
        <v>43</v>
      </c>
      <c r="M2144" s="5">
        <v>5</v>
      </c>
      <c r="N2144" s="4">
        <v>0.12</v>
      </c>
      <c r="O2144" t="s">
        <v>52</v>
      </c>
    </row>
    <row r="2145" spans="1:15" x14ac:dyDescent="0.3">
      <c r="A2145" t="s">
        <v>2801</v>
      </c>
      <c r="B2145" s="5">
        <v>35</v>
      </c>
      <c r="C2145" s="5" t="str" cm="1">
        <f t="array" ref="C2145">_xlfn.IFS(worksheet[[#This Row],[age]]&lt;25,"1. Young Adulthood (18-24)",worksheet[[#This Row],[age]]&lt; 35,"2. Early Adulthood (25-34)",worksheet[[#This Row],[age]]&lt; 45,"3. Mid Adulthood (35-44)",worksheet[[#This Row],[age]]&lt; 55,"4. Mature Adulthood (45-54)",TRUE,"5. Late Adulthood/Senior (55+)")</f>
        <v>3. Mid Adulthood (35-44)</v>
      </c>
      <c r="D2145" t="s">
        <v>15</v>
      </c>
      <c r="E2145" t="s">
        <v>16</v>
      </c>
      <c r="F2145" s="4">
        <v>0.56999999999999995</v>
      </c>
      <c r="G2145" s="5">
        <v>56</v>
      </c>
      <c r="H2145" t="s">
        <v>49</v>
      </c>
      <c r="I2145" t="s">
        <v>24</v>
      </c>
      <c r="J2145" s="6">
        <v>8.99</v>
      </c>
      <c r="K2145">
        <v>1</v>
      </c>
      <c r="L2145" t="s">
        <v>43</v>
      </c>
      <c r="M2145" s="5">
        <v>2</v>
      </c>
      <c r="N2145" s="4">
        <v>0.01</v>
      </c>
      <c r="O2145" t="s">
        <v>47</v>
      </c>
    </row>
    <row r="2146" spans="1:15" x14ac:dyDescent="0.3">
      <c r="A2146" t="s">
        <v>2810</v>
      </c>
      <c r="B2146" s="5">
        <v>40</v>
      </c>
      <c r="C2146" s="5" t="str" cm="1">
        <f t="array" ref="C2146">_xlfn.IFS(worksheet[[#This Row],[age]]&lt;25,"1. Young Adulthood (18-24)",worksheet[[#This Row],[age]]&lt; 35,"2. Early Adulthood (25-34)",worksheet[[#This Row],[age]]&lt; 45,"3. Mid Adulthood (35-44)",worksheet[[#This Row],[age]]&lt; 55,"4. Mature Adulthood (45-54)",TRUE,"5. Late Adulthood/Senior (55+)")</f>
        <v>3. Mid Adulthood (35-44)</v>
      </c>
      <c r="D2146" t="s">
        <v>15</v>
      </c>
      <c r="E2146" t="s">
        <v>22</v>
      </c>
      <c r="F2146" s="4">
        <v>12.82</v>
      </c>
      <c r="G2146" s="5">
        <v>36</v>
      </c>
      <c r="H2146" t="s">
        <v>28</v>
      </c>
      <c r="I2146" t="s">
        <v>18</v>
      </c>
      <c r="J2146" s="6">
        <v>13.99</v>
      </c>
      <c r="K2146">
        <v>1</v>
      </c>
      <c r="L2146" t="s">
        <v>61</v>
      </c>
      <c r="M2146" s="5">
        <v>2</v>
      </c>
      <c r="N2146" s="4">
        <v>0.35</v>
      </c>
      <c r="O2146" t="s">
        <v>39</v>
      </c>
    </row>
    <row r="2147" spans="1:15" x14ac:dyDescent="0.3">
      <c r="A2147" t="s">
        <v>2814</v>
      </c>
      <c r="B2147" s="5">
        <v>38</v>
      </c>
      <c r="C2147" s="5" t="str" cm="1">
        <f t="array" ref="C2147">_xlfn.IFS(worksheet[[#This Row],[age]]&lt;25,"1. Young Adulthood (18-24)",worksheet[[#This Row],[age]]&lt; 35,"2. Early Adulthood (25-34)",worksheet[[#This Row],[age]]&lt; 45,"3. Mid Adulthood (35-44)",worksheet[[#This Row],[age]]&lt; 55,"4. Mature Adulthood (45-54)",TRUE,"5. Late Adulthood/Senior (55+)")</f>
        <v>3. Mid Adulthood (35-44)</v>
      </c>
      <c r="D2147" t="s">
        <v>41</v>
      </c>
      <c r="E2147" t="s">
        <v>32</v>
      </c>
      <c r="F2147" s="4">
        <v>2.95</v>
      </c>
      <c r="G2147" s="5">
        <v>40</v>
      </c>
      <c r="H2147" t="s">
        <v>33</v>
      </c>
      <c r="I2147" t="s">
        <v>46</v>
      </c>
      <c r="J2147" s="6">
        <v>17.989999999999998</v>
      </c>
      <c r="K2147">
        <v>1</v>
      </c>
      <c r="L2147" t="s">
        <v>61</v>
      </c>
      <c r="M2147" s="5">
        <v>2</v>
      </c>
      <c r="N2147" s="4">
        <v>7.0000000000000007E-2</v>
      </c>
      <c r="O2147" t="s">
        <v>39</v>
      </c>
    </row>
    <row r="2148" spans="1:15" x14ac:dyDescent="0.3">
      <c r="A2148" s="1" t="s">
        <v>2818</v>
      </c>
      <c r="B2148" s="5">
        <v>39</v>
      </c>
      <c r="C2148" s="5" t="str" cm="1">
        <f t="array" ref="C2148">_xlfn.IFS(worksheet[[#This Row],[age]]&lt;25,"1. Young Adulthood (18-24)",worksheet[[#This Row],[age]]&lt; 35,"2. Early Adulthood (25-34)",worksheet[[#This Row],[age]]&lt; 45,"3. Mid Adulthood (35-44)",worksheet[[#This Row],[age]]&lt; 55,"4. Mature Adulthood (45-54)",TRUE,"5. Late Adulthood/Senior (55+)")</f>
        <v>3. Mid Adulthood (35-44)</v>
      </c>
      <c r="D2148" t="s">
        <v>27</v>
      </c>
      <c r="E2148" t="s">
        <v>16</v>
      </c>
      <c r="F2148" s="4">
        <v>10.64</v>
      </c>
      <c r="G2148" s="5">
        <v>57</v>
      </c>
      <c r="H2148" t="s">
        <v>33</v>
      </c>
      <c r="I2148" t="s">
        <v>46</v>
      </c>
      <c r="J2148" s="6">
        <v>8.99</v>
      </c>
      <c r="K2148">
        <v>1</v>
      </c>
      <c r="L2148" t="s">
        <v>37</v>
      </c>
      <c r="M2148" s="5">
        <v>1</v>
      </c>
      <c r="N2148" s="4">
        <v>0.18</v>
      </c>
      <c r="O2148" t="s">
        <v>20</v>
      </c>
    </row>
    <row r="2149" spans="1:15" x14ac:dyDescent="0.3">
      <c r="A2149" t="s">
        <v>2821</v>
      </c>
      <c r="B2149" s="5">
        <v>36</v>
      </c>
      <c r="C2149" s="5" t="str" cm="1">
        <f t="array" ref="C2149">_xlfn.IFS(worksheet[[#This Row],[age]]&lt;25,"1. Young Adulthood (18-24)",worksheet[[#This Row],[age]]&lt; 35,"2. Early Adulthood (25-34)",worksheet[[#This Row],[age]]&lt; 45,"3. Mid Adulthood (35-44)",worksheet[[#This Row],[age]]&lt; 55,"4. Mature Adulthood (45-54)",TRUE,"5. Late Adulthood/Senior (55+)")</f>
        <v>3. Mid Adulthood (35-44)</v>
      </c>
      <c r="D2149" t="s">
        <v>15</v>
      </c>
      <c r="E2149" t="s">
        <v>22</v>
      </c>
      <c r="F2149" s="4">
        <v>23.37</v>
      </c>
      <c r="G2149" s="5">
        <v>57</v>
      </c>
      <c r="H2149" t="s">
        <v>17</v>
      </c>
      <c r="I2149" t="s">
        <v>18</v>
      </c>
      <c r="J2149" s="6">
        <v>13.99</v>
      </c>
      <c r="K2149">
        <v>0</v>
      </c>
      <c r="L2149" t="s">
        <v>61</v>
      </c>
      <c r="M2149" s="5">
        <v>5</v>
      </c>
      <c r="N2149" s="4">
        <v>0.4</v>
      </c>
      <c r="O2149" t="s">
        <v>47</v>
      </c>
    </row>
    <row r="2150" spans="1:15" x14ac:dyDescent="0.3">
      <c r="A2150" t="s">
        <v>2833</v>
      </c>
      <c r="B2150" s="5">
        <v>42</v>
      </c>
      <c r="C2150" s="5" t="str" cm="1">
        <f t="array" ref="C2150">_xlfn.IFS(worksheet[[#This Row],[age]]&lt;25,"1. Young Adulthood (18-24)",worksheet[[#This Row],[age]]&lt; 35,"2. Early Adulthood (25-34)",worksheet[[#This Row],[age]]&lt; 45,"3. Mid Adulthood (35-44)",worksheet[[#This Row],[age]]&lt; 55,"4. Mature Adulthood (45-54)",TRUE,"5. Late Adulthood/Senior (55+)")</f>
        <v>3. Mid Adulthood (35-44)</v>
      </c>
      <c r="D2150" t="s">
        <v>41</v>
      </c>
      <c r="E2150" t="s">
        <v>22</v>
      </c>
      <c r="F2150" s="4">
        <v>4.1100000000000003</v>
      </c>
      <c r="G2150" s="5">
        <v>54</v>
      </c>
      <c r="H2150" t="s">
        <v>28</v>
      </c>
      <c r="I2150" t="s">
        <v>24</v>
      </c>
      <c r="J2150" s="6">
        <v>13.99</v>
      </c>
      <c r="K2150">
        <v>1</v>
      </c>
      <c r="L2150" t="s">
        <v>37</v>
      </c>
      <c r="M2150" s="5">
        <v>1</v>
      </c>
      <c r="N2150" s="4">
        <v>7.0000000000000007E-2</v>
      </c>
      <c r="O2150" t="s">
        <v>25</v>
      </c>
    </row>
    <row r="2151" spans="1:15" x14ac:dyDescent="0.3">
      <c r="A2151" t="s">
        <v>2834</v>
      </c>
      <c r="B2151" s="5">
        <v>40</v>
      </c>
      <c r="C2151" s="5" t="str" cm="1">
        <f t="array" ref="C2151">_xlfn.IFS(worksheet[[#This Row],[age]]&lt;25,"1. Young Adulthood (18-24)",worksheet[[#This Row],[age]]&lt; 35,"2. Early Adulthood (25-34)",worksheet[[#This Row],[age]]&lt; 45,"3. Mid Adulthood (35-44)",worksheet[[#This Row],[age]]&lt; 55,"4. Mature Adulthood (45-54)",TRUE,"5. Late Adulthood/Senior (55+)")</f>
        <v>3. Mid Adulthood (35-44)</v>
      </c>
      <c r="D2151" t="s">
        <v>15</v>
      </c>
      <c r="E2151" t="s">
        <v>16</v>
      </c>
      <c r="F2151" s="4">
        <v>27.26</v>
      </c>
      <c r="G2151" s="5">
        <v>24</v>
      </c>
      <c r="H2151" t="s">
        <v>17</v>
      </c>
      <c r="I2151" t="s">
        <v>24</v>
      </c>
      <c r="J2151" s="6">
        <v>8.99</v>
      </c>
      <c r="K2151">
        <v>0</v>
      </c>
      <c r="L2151" t="s">
        <v>29</v>
      </c>
      <c r="M2151" s="5">
        <v>1</v>
      </c>
      <c r="N2151" s="4">
        <v>1.0900000000000001</v>
      </c>
      <c r="O2151" t="s">
        <v>20</v>
      </c>
    </row>
    <row r="2152" spans="1:15" x14ac:dyDescent="0.3">
      <c r="A2152" t="s">
        <v>2840</v>
      </c>
      <c r="B2152" s="5">
        <v>40</v>
      </c>
      <c r="C2152" s="5" t="str" cm="1">
        <f t="array" ref="C2152">_xlfn.IFS(worksheet[[#This Row],[age]]&lt;25,"1. Young Adulthood (18-24)",worksheet[[#This Row],[age]]&lt; 35,"2. Early Adulthood (25-34)",worksheet[[#This Row],[age]]&lt; 45,"3. Mid Adulthood (35-44)",worksheet[[#This Row],[age]]&lt; 55,"4. Mature Adulthood (45-54)",TRUE,"5. Late Adulthood/Senior (55+)")</f>
        <v>3. Mid Adulthood (35-44)</v>
      </c>
      <c r="D2152" t="s">
        <v>27</v>
      </c>
      <c r="E2152" t="s">
        <v>32</v>
      </c>
      <c r="F2152" s="4">
        <v>0.12</v>
      </c>
      <c r="G2152" s="5">
        <v>28</v>
      </c>
      <c r="H2152" t="s">
        <v>33</v>
      </c>
      <c r="I2152" t="s">
        <v>55</v>
      </c>
      <c r="J2152" s="6">
        <v>17.989999999999998</v>
      </c>
      <c r="K2152">
        <v>1</v>
      </c>
      <c r="L2152" t="s">
        <v>29</v>
      </c>
      <c r="M2152" s="5">
        <v>4</v>
      </c>
      <c r="N2152" s="4">
        <v>0</v>
      </c>
      <c r="O2152" t="s">
        <v>39</v>
      </c>
    </row>
    <row r="2153" spans="1:15" x14ac:dyDescent="0.3">
      <c r="A2153" t="s">
        <v>2842</v>
      </c>
      <c r="B2153" s="5">
        <v>36</v>
      </c>
      <c r="C2153" s="5" t="str" cm="1">
        <f t="array" ref="C2153">_xlfn.IFS(worksheet[[#This Row],[age]]&lt;25,"1. Young Adulthood (18-24)",worksheet[[#This Row],[age]]&lt; 35,"2. Early Adulthood (25-34)",worksheet[[#This Row],[age]]&lt; 45,"3. Mid Adulthood (35-44)",worksheet[[#This Row],[age]]&lt; 55,"4. Mature Adulthood (45-54)",TRUE,"5. Late Adulthood/Senior (55+)")</f>
        <v>3. Mid Adulthood (35-44)</v>
      </c>
      <c r="D2153" t="s">
        <v>15</v>
      </c>
      <c r="E2153" t="s">
        <v>22</v>
      </c>
      <c r="F2153" s="4">
        <v>22.9</v>
      </c>
      <c r="G2153" s="5">
        <v>47</v>
      </c>
      <c r="H2153" t="s">
        <v>49</v>
      </c>
      <c r="I2153" t="s">
        <v>55</v>
      </c>
      <c r="J2153" s="6">
        <v>13.99</v>
      </c>
      <c r="K2153">
        <v>0</v>
      </c>
      <c r="L2153" t="s">
        <v>29</v>
      </c>
      <c r="M2153" s="5">
        <v>2</v>
      </c>
      <c r="N2153" s="4">
        <v>0.48</v>
      </c>
      <c r="O2153" t="s">
        <v>52</v>
      </c>
    </row>
    <row r="2154" spans="1:15" x14ac:dyDescent="0.3">
      <c r="A2154" t="s">
        <v>2845</v>
      </c>
      <c r="B2154" s="5">
        <v>37</v>
      </c>
      <c r="C2154" s="5" t="str" cm="1">
        <f t="array" ref="C2154">_xlfn.IFS(worksheet[[#This Row],[age]]&lt;25,"1. Young Adulthood (18-24)",worksheet[[#This Row],[age]]&lt; 35,"2. Early Adulthood (25-34)",worksheet[[#This Row],[age]]&lt; 45,"3. Mid Adulthood (35-44)",worksheet[[#This Row],[age]]&lt; 55,"4. Mature Adulthood (45-54)",TRUE,"5. Late Adulthood/Senior (55+)")</f>
        <v>3. Mid Adulthood (35-44)</v>
      </c>
      <c r="D2154" t="s">
        <v>15</v>
      </c>
      <c r="E2154" t="s">
        <v>16</v>
      </c>
      <c r="F2154" s="4">
        <v>8.77</v>
      </c>
      <c r="G2154" s="5">
        <v>41</v>
      </c>
      <c r="H2154" t="s">
        <v>23</v>
      </c>
      <c r="I2154" t="s">
        <v>18</v>
      </c>
      <c r="J2154" s="6">
        <v>8.99</v>
      </c>
      <c r="K2154">
        <v>1</v>
      </c>
      <c r="L2154" t="s">
        <v>29</v>
      </c>
      <c r="M2154" s="5">
        <v>2</v>
      </c>
      <c r="N2154" s="4">
        <v>0.21</v>
      </c>
      <c r="O2154" t="s">
        <v>34</v>
      </c>
    </row>
    <row r="2155" spans="1:15" x14ac:dyDescent="0.3">
      <c r="A2155" t="s">
        <v>2848</v>
      </c>
      <c r="B2155" s="5">
        <v>38</v>
      </c>
      <c r="C2155" s="5" t="str" cm="1">
        <f t="array" ref="C2155">_xlfn.IFS(worksheet[[#This Row],[age]]&lt;25,"1. Young Adulthood (18-24)",worksheet[[#This Row],[age]]&lt; 35,"2. Early Adulthood (25-34)",worksheet[[#This Row],[age]]&lt; 45,"3. Mid Adulthood (35-44)",worksheet[[#This Row],[age]]&lt; 55,"4. Mature Adulthood (45-54)",TRUE,"5. Late Adulthood/Senior (55+)")</f>
        <v>3. Mid Adulthood (35-44)</v>
      </c>
      <c r="D2155" t="s">
        <v>41</v>
      </c>
      <c r="E2155" t="s">
        <v>32</v>
      </c>
      <c r="F2155" s="4">
        <v>43.56</v>
      </c>
      <c r="G2155" s="5">
        <v>26</v>
      </c>
      <c r="H2155" t="s">
        <v>33</v>
      </c>
      <c r="I2155" t="s">
        <v>46</v>
      </c>
      <c r="J2155" s="6">
        <v>17.989999999999998</v>
      </c>
      <c r="K2155">
        <v>0</v>
      </c>
      <c r="L2155" t="s">
        <v>37</v>
      </c>
      <c r="M2155" s="5">
        <v>3</v>
      </c>
      <c r="N2155" s="4">
        <v>1.61</v>
      </c>
      <c r="O2155" t="s">
        <v>34</v>
      </c>
    </row>
    <row r="2156" spans="1:15" x14ac:dyDescent="0.3">
      <c r="A2156" t="s">
        <v>2852</v>
      </c>
      <c r="B2156" s="5">
        <v>42</v>
      </c>
      <c r="C2156" s="5" t="str" cm="1">
        <f t="array" ref="C2156">_xlfn.IFS(worksheet[[#This Row],[age]]&lt;25,"1. Young Adulthood (18-24)",worksheet[[#This Row],[age]]&lt; 35,"2. Early Adulthood (25-34)",worksheet[[#This Row],[age]]&lt; 45,"3. Mid Adulthood (35-44)",worksheet[[#This Row],[age]]&lt; 55,"4. Mature Adulthood (45-54)",TRUE,"5. Late Adulthood/Senior (55+)")</f>
        <v>3. Mid Adulthood (35-44)</v>
      </c>
      <c r="D2156" t="s">
        <v>27</v>
      </c>
      <c r="E2156" t="s">
        <v>16</v>
      </c>
      <c r="F2156" s="4">
        <v>2.8</v>
      </c>
      <c r="G2156" s="5">
        <v>40</v>
      </c>
      <c r="H2156" t="s">
        <v>70</v>
      </c>
      <c r="I2156" t="s">
        <v>18</v>
      </c>
      <c r="J2156" s="6">
        <v>8.99</v>
      </c>
      <c r="K2156">
        <v>1</v>
      </c>
      <c r="L2156" t="s">
        <v>19</v>
      </c>
      <c r="M2156" s="5">
        <v>4</v>
      </c>
      <c r="N2156" s="4">
        <v>7.0000000000000007E-2</v>
      </c>
      <c r="O2156" t="s">
        <v>47</v>
      </c>
    </row>
    <row r="2157" spans="1:15" x14ac:dyDescent="0.3">
      <c r="A2157" t="s">
        <v>2854</v>
      </c>
      <c r="B2157" s="5">
        <v>37</v>
      </c>
      <c r="C2157" s="5" t="str" cm="1">
        <f t="array" ref="C2157">_xlfn.IFS(worksheet[[#This Row],[age]]&lt;25,"1. Young Adulthood (18-24)",worksheet[[#This Row],[age]]&lt; 35,"2. Early Adulthood (25-34)",worksheet[[#This Row],[age]]&lt; 45,"3. Mid Adulthood (35-44)",worksheet[[#This Row],[age]]&lt; 55,"4. Mature Adulthood (45-54)",TRUE,"5. Late Adulthood/Senior (55+)")</f>
        <v>3. Mid Adulthood (35-44)</v>
      </c>
      <c r="D2157" t="s">
        <v>27</v>
      </c>
      <c r="E2157" t="s">
        <v>16</v>
      </c>
      <c r="F2157" s="4">
        <v>5.78</v>
      </c>
      <c r="G2157" s="5">
        <v>22</v>
      </c>
      <c r="H2157" t="s">
        <v>23</v>
      </c>
      <c r="I2157" t="s">
        <v>46</v>
      </c>
      <c r="J2157" s="6">
        <v>8.99</v>
      </c>
      <c r="K2157">
        <v>1</v>
      </c>
      <c r="L2157" t="s">
        <v>29</v>
      </c>
      <c r="M2157" s="5">
        <v>2</v>
      </c>
      <c r="N2157" s="4">
        <v>0.25</v>
      </c>
      <c r="O2157" t="s">
        <v>39</v>
      </c>
    </row>
    <row r="2158" spans="1:15" x14ac:dyDescent="0.3">
      <c r="A2158" t="s">
        <v>2867</v>
      </c>
      <c r="B2158" s="5">
        <v>43</v>
      </c>
      <c r="C2158" s="5" t="str" cm="1">
        <f t="array" ref="C2158">_xlfn.IFS(worksheet[[#This Row],[age]]&lt;25,"1. Young Adulthood (18-24)",worksheet[[#This Row],[age]]&lt; 35,"2. Early Adulthood (25-34)",worksheet[[#This Row],[age]]&lt; 45,"3. Mid Adulthood (35-44)",worksheet[[#This Row],[age]]&lt; 55,"4. Mature Adulthood (45-54)",TRUE,"5. Late Adulthood/Senior (55+)")</f>
        <v>3. Mid Adulthood (35-44)</v>
      </c>
      <c r="D2158" t="s">
        <v>41</v>
      </c>
      <c r="E2158" t="s">
        <v>32</v>
      </c>
      <c r="F2158" s="4">
        <v>11.84</v>
      </c>
      <c r="G2158" s="5">
        <v>56</v>
      </c>
      <c r="H2158" t="s">
        <v>17</v>
      </c>
      <c r="I2158" t="s">
        <v>24</v>
      </c>
      <c r="J2158" s="6">
        <v>17.989999999999998</v>
      </c>
      <c r="K2158">
        <v>0</v>
      </c>
      <c r="L2158" t="s">
        <v>61</v>
      </c>
      <c r="M2158" s="5">
        <v>5</v>
      </c>
      <c r="N2158" s="4">
        <v>0.21</v>
      </c>
      <c r="O2158" t="s">
        <v>25</v>
      </c>
    </row>
    <row r="2159" spans="1:15" x14ac:dyDescent="0.3">
      <c r="A2159" t="s">
        <v>2870</v>
      </c>
      <c r="B2159" s="5">
        <v>35</v>
      </c>
      <c r="C2159" s="5" t="str" cm="1">
        <f t="array" ref="C2159">_xlfn.IFS(worksheet[[#This Row],[age]]&lt;25,"1. Young Adulthood (18-24)",worksheet[[#This Row],[age]]&lt; 35,"2. Early Adulthood (25-34)",worksheet[[#This Row],[age]]&lt; 45,"3. Mid Adulthood (35-44)",worksheet[[#This Row],[age]]&lt; 55,"4. Mature Adulthood (45-54)",TRUE,"5. Late Adulthood/Senior (55+)")</f>
        <v>3. Mid Adulthood (35-44)</v>
      </c>
      <c r="D2159" t="s">
        <v>15</v>
      </c>
      <c r="E2159" t="s">
        <v>32</v>
      </c>
      <c r="F2159" s="4">
        <v>19.190000000000001</v>
      </c>
      <c r="G2159" s="5">
        <v>50</v>
      </c>
      <c r="H2159" t="s">
        <v>28</v>
      </c>
      <c r="I2159" t="s">
        <v>55</v>
      </c>
      <c r="J2159" s="6">
        <v>17.989999999999998</v>
      </c>
      <c r="K2159">
        <v>1</v>
      </c>
      <c r="L2159" t="s">
        <v>61</v>
      </c>
      <c r="M2159" s="5">
        <v>1</v>
      </c>
      <c r="N2159" s="4">
        <v>0.38</v>
      </c>
      <c r="O2159" t="s">
        <v>52</v>
      </c>
    </row>
    <row r="2160" spans="1:15" x14ac:dyDescent="0.3">
      <c r="A2160" s="1" t="s">
        <v>2877</v>
      </c>
      <c r="B2160" s="5">
        <v>43</v>
      </c>
      <c r="C2160" s="5" t="str" cm="1">
        <f t="array" ref="C2160">_xlfn.IFS(worksheet[[#This Row],[age]]&lt;25,"1. Young Adulthood (18-24)",worksheet[[#This Row],[age]]&lt; 35,"2. Early Adulthood (25-34)",worksheet[[#This Row],[age]]&lt; 45,"3. Mid Adulthood (35-44)",worksheet[[#This Row],[age]]&lt; 55,"4. Mature Adulthood (45-54)",TRUE,"5. Late Adulthood/Senior (55+)")</f>
        <v>3. Mid Adulthood (35-44)</v>
      </c>
      <c r="D2160" t="s">
        <v>41</v>
      </c>
      <c r="E2160" t="s">
        <v>22</v>
      </c>
      <c r="F2160" s="4">
        <v>16.899999999999999</v>
      </c>
      <c r="G2160" s="5">
        <v>20</v>
      </c>
      <c r="H2160" t="s">
        <v>49</v>
      </c>
      <c r="I2160" t="s">
        <v>57</v>
      </c>
      <c r="J2160" s="6">
        <v>13.99</v>
      </c>
      <c r="K2160">
        <v>0</v>
      </c>
      <c r="L2160" t="s">
        <v>61</v>
      </c>
      <c r="M2160" s="5">
        <v>2</v>
      </c>
      <c r="N2160" s="4">
        <v>0.8</v>
      </c>
      <c r="O2160" t="s">
        <v>30</v>
      </c>
    </row>
    <row r="2161" spans="1:15" x14ac:dyDescent="0.3">
      <c r="A2161" t="s">
        <v>2881</v>
      </c>
      <c r="B2161" s="5">
        <v>35</v>
      </c>
      <c r="C2161" s="5" t="str" cm="1">
        <f t="array" ref="C2161">_xlfn.IFS(worksheet[[#This Row],[age]]&lt;25,"1. Young Adulthood (18-24)",worksheet[[#This Row],[age]]&lt; 35,"2. Early Adulthood (25-34)",worksheet[[#This Row],[age]]&lt; 45,"3. Mid Adulthood (35-44)",worksheet[[#This Row],[age]]&lt; 55,"4. Mature Adulthood (45-54)",TRUE,"5. Late Adulthood/Senior (55+)")</f>
        <v>3. Mid Adulthood (35-44)</v>
      </c>
      <c r="D2161" t="s">
        <v>27</v>
      </c>
      <c r="E2161" t="s">
        <v>32</v>
      </c>
      <c r="F2161" s="4">
        <v>38.65</v>
      </c>
      <c r="G2161" s="5">
        <v>21</v>
      </c>
      <c r="H2161" t="s">
        <v>28</v>
      </c>
      <c r="I2161" t="s">
        <v>55</v>
      </c>
      <c r="J2161" s="6">
        <v>17.989999999999998</v>
      </c>
      <c r="K2161">
        <v>0</v>
      </c>
      <c r="L2161" t="s">
        <v>43</v>
      </c>
      <c r="M2161" s="5">
        <v>4</v>
      </c>
      <c r="N2161" s="4">
        <v>1.76</v>
      </c>
      <c r="O2161" t="s">
        <v>34</v>
      </c>
    </row>
    <row r="2162" spans="1:15" x14ac:dyDescent="0.3">
      <c r="A2162" t="s">
        <v>2884</v>
      </c>
      <c r="B2162" s="5">
        <v>41</v>
      </c>
      <c r="C2162" s="5" t="str" cm="1">
        <f t="array" ref="C2162">_xlfn.IFS(worksheet[[#This Row],[age]]&lt;25,"1. Young Adulthood (18-24)",worksheet[[#This Row],[age]]&lt; 35,"2. Early Adulthood (25-34)",worksheet[[#This Row],[age]]&lt; 45,"3. Mid Adulthood (35-44)",worksheet[[#This Row],[age]]&lt; 55,"4. Mature Adulthood (45-54)",TRUE,"5. Late Adulthood/Senior (55+)")</f>
        <v>3. Mid Adulthood (35-44)</v>
      </c>
      <c r="D2162" t="s">
        <v>15</v>
      </c>
      <c r="E2162" t="s">
        <v>16</v>
      </c>
      <c r="F2162" s="4">
        <v>0.86</v>
      </c>
      <c r="G2162" s="5">
        <v>22</v>
      </c>
      <c r="H2162" t="s">
        <v>49</v>
      </c>
      <c r="I2162" t="s">
        <v>18</v>
      </c>
      <c r="J2162" s="6">
        <v>8.99</v>
      </c>
      <c r="K2162">
        <v>1</v>
      </c>
      <c r="L2162" t="s">
        <v>29</v>
      </c>
      <c r="M2162" s="5">
        <v>4</v>
      </c>
      <c r="N2162" s="4">
        <v>0.04</v>
      </c>
      <c r="O2162" t="s">
        <v>52</v>
      </c>
    </row>
    <row r="2163" spans="1:15" x14ac:dyDescent="0.3">
      <c r="A2163" s="1" t="s">
        <v>2888</v>
      </c>
      <c r="B2163" s="5">
        <v>37</v>
      </c>
      <c r="C2163" s="5" t="str" cm="1">
        <f t="array" ref="C2163">_xlfn.IFS(worksheet[[#This Row],[age]]&lt;25,"1. Young Adulthood (18-24)",worksheet[[#This Row],[age]]&lt; 35,"2. Early Adulthood (25-34)",worksheet[[#This Row],[age]]&lt; 45,"3. Mid Adulthood (35-44)",worksheet[[#This Row],[age]]&lt; 55,"4. Mature Adulthood (45-54)",TRUE,"5. Late Adulthood/Senior (55+)")</f>
        <v>3. Mid Adulthood (35-44)</v>
      </c>
      <c r="D2163" t="s">
        <v>27</v>
      </c>
      <c r="E2163" t="s">
        <v>22</v>
      </c>
      <c r="F2163" s="4">
        <v>0.59</v>
      </c>
      <c r="G2163" s="5">
        <v>13</v>
      </c>
      <c r="H2163" t="s">
        <v>33</v>
      </c>
      <c r="I2163" t="s">
        <v>18</v>
      </c>
      <c r="J2163" s="6">
        <v>13.99</v>
      </c>
      <c r="K2163">
        <v>1</v>
      </c>
      <c r="L2163" t="s">
        <v>61</v>
      </c>
      <c r="M2163" s="5">
        <v>3</v>
      </c>
      <c r="N2163" s="4">
        <v>0.04</v>
      </c>
      <c r="O2163" t="s">
        <v>25</v>
      </c>
    </row>
    <row r="2164" spans="1:15" x14ac:dyDescent="0.3">
      <c r="A2164" t="s">
        <v>2896</v>
      </c>
      <c r="B2164" s="5">
        <v>35</v>
      </c>
      <c r="C2164" s="5" t="str" cm="1">
        <f t="array" ref="C2164">_xlfn.IFS(worksheet[[#This Row],[age]]&lt;25,"1. Young Adulthood (18-24)",worksheet[[#This Row],[age]]&lt; 35,"2. Early Adulthood (25-34)",worksheet[[#This Row],[age]]&lt; 45,"3. Mid Adulthood (35-44)",worksheet[[#This Row],[age]]&lt; 55,"4. Mature Adulthood (45-54)",TRUE,"5. Late Adulthood/Senior (55+)")</f>
        <v>3. Mid Adulthood (35-44)</v>
      </c>
      <c r="D2164" t="s">
        <v>41</v>
      </c>
      <c r="E2164" t="s">
        <v>22</v>
      </c>
      <c r="F2164" s="4">
        <v>4.7</v>
      </c>
      <c r="G2164" s="5">
        <v>13</v>
      </c>
      <c r="H2164" t="s">
        <v>33</v>
      </c>
      <c r="I2164" t="s">
        <v>57</v>
      </c>
      <c r="J2164" s="6">
        <v>13.99</v>
      </c>
      <c r="K2164">
        <v>1</v>
      </c>
      <c r="L2164" t="s">
        <v>29</v>
      </c>
      <c r="M2164" s="5">
        <v>4</v>
      </c>
      <c r="N2164" s="4">
        <v>0.34</v>
      </c>
      <c r="O2164" t="s">
        <v>25</v>
      </c>
    </row>
    <row r="2165" spans="1:15" x14ac:dyDescent="0.3">
      <c r="A2165" t="s">
        <v>2901</v>
      </c>
      <c r="B2165" s="5">
        <v>39</v>
      </c>
      <c r="C2165" s="5" t="str" cm="1">
        <f t="array" ref="C2165">_xlfn.IFS(worksheet[[#This Row],[age]]&lt;25,"1. Young Adulthood (18-24)",worksheet[[#This Row],[age]]&lt; 35,"2. Early Adulthood (25-34)",worksheet[[#This Row],[age]]&lt; 45,"3. Mid Adulthood (35-44)",worksheet[[#This Row],[age]]&lt; 55,"4. Mature Adulthood (45-54)",TRUE,"5. Late Adulthood/Senior (55+)")</f>
        <v>3. Mid Adulthood (35-44)</v>
      </c>
      <c r="D2165" t="s">
        <v>15</v>
      </c>
      <c r="E2165" t="s">
        <v>22</v>
      </c>
      <c r="F2165" s="4">
        <v>35.700000000000003</v>
      </c>
      <c r="G2165" s="5">
        <v>7</v>
      </c>
      <c r="H2165" t="s">
        <v>49</v>
      </c>
      <c r="I2165" t="s">
        <v>18</v>
      </c>
      <c r="J2165" s="6">
        <v>13.99</v>
      </c>
      <c r="K2165">
        <v>0</v>
      </c>
      <c r="L2165" t="s">
        <v>29</v>
      </c>
      <c r="M2165" s="5">
        <v>4</v>
      </c>
      <c r="N2165" s="4">
        <v>4.46</v>
      </c>
      <c r="O2165" t="s">
        <v>25</v>
      </c>
    </row>
    <row r="2166" spans="1:15" x14ac:dyDescent="0.3">
      <c r="A2166" t="s">
        <v>2907</v>
      </c>
      <c r="B2166" s="5">
        <v>41</v>
      </c>
      <c r="C2166" s="5" t="str" cm="1">
        <f t="array" ref="C2166">_xlfn.IFS(worksheet[[#This Row],[age]]&lt;25,"1. Young Adulthood (18-24)",worksheet[[#This Row],[age]]&lt; 35,"2. Early Adulthood (25-34)",worksheet[[#This Row],[age]]&lt; 45,"3. Mid Adulthood (35-44)",worksheet[[#This Row],[age]]&lt; 55,"4. Mature Adulthood (45-54)",TRUE,"5. Late Adulthood/Senior (55+)")</f>
        <v>3. Mid Adulthood (35-44)</v>
      </c>
      <c r="D2166" t="s">
        <v>27</v>
      </c>
      <c r="E2166" t="s">
        <v>22</v>
      </c>
      <c r="F2166" s="4">
        <v>0.11</v>
      </c>
      <c r="G2166" s="5">
        <v>41</v>
      </c>
      <c r="H2166" t="s">
        <v>17</v>
      </c>
      <c r="I2166" t="s">
        <v>24</v>
      </c>
      <c r="J2166" s="6">
        <v>13.99</v>
      </c>
      <c r="K2166">
        <v>1</v>
      </c>
      <c r="L2166" t="s">
        <v>61</v>
      </c>
      <c r="M2166" s="5">
        <v>2</v>
      </c>
      <c r="N2166" s="4">
        <v>0</v>
      </c>
      <c r="O2166" t="s">
        <v>20</v>
      </c>
    </row>
    <row r="2167" spans="1:15" x14ac:dyDescent="0.3">
      <c r="A2167" t="s">
        <v>2910</v>
      </c>
      <c r="B2167" s="5">
        <v>42</v>
      </c>
      <c r="C2167" s="5" t="str" cm="1">
        <f t="array" ref="C2167">_xlfn.IFS(worksheet[[#This Row],[age]]&lt;25,"1. Young Adulthood (18-24)",worksheet[[#This Row],[age]]&lt; 35,"2. Early Adulthood (25-34)",worksheet[[#This Row],[age]]&lt; 45,"3. Mid Adulthood (35-44)",worksheet[[#This Row],[age]]&lt; 55,"4. Mature Adulthood (45-54)",TRUE,"5. Late Adulthood/Senior (55+)")</f>
        <v>3. Mid Adulthood (35-44)</v>
      </c>
      <c r="D2167" t="s">
        <v>15</v>
      </c>
      <c r="E2167" t="s">
        <v>32</v>
      </c>
      <c r="F2167" s="4">
        <v>8.18</v>
      </c>
      <c r="G2167" s="5">
        <v>40</v>
      </c>
      <c r="H2167" t="s">
        <v>23</v>
      </c>
      <c r="I2167" t="s">
        <v>24</v>
      </c>
      <c r="J2167" s="6">
        <v>17.989999999999998</v>
      </c>
      <c r="K2167">
        <v>0</v>
      </c>
      <c r="L2167" t="s">
        <v>61</v>
      </c>
      <c r="M2167" s="5">
        <v>5</v>
      </c>
      <c r="N2167" s="4">
        <v>0.2</v>
      </c>
      <c r="O2167" t="s">
        <v>39</v>
      </c>
    </row>
    <row r="2168" spans="1:15" x14ac:dyDescent="0.3">
      <c r="A2168" t="s">
        <v>2912</v>
      </c>
      <c r="B2168" s="5">
        <v>38</v>
      </c>
      <c r="C2168" s="5" t="str" cm="1">
        <f t="array" ref="C2168">_xlfn.IFS(worksheet[[#This Row],[age]]&lt;25,"1. Young Adulthood (18-24)",worksheet[[#This Row],[age]]&lt; 35,"2. Early Adulthood (25-34)",worksheet[[#This Row],[age]]&lt; 45,"3. Mid Adulthood (35-44)",worksheet[[#This Row],[age]]&lt; 55,"4. Mature Adulthood (45-54)",TRUE,"5. Late Adulthood/Senior (55+)")</f>
        <v>3. Mid Adulthood (35-44)</v>
      </c>
      <c r="D2168" t="s">
        <v>15</v>
      </c>
      <c r="E2168" t="s">
        <v>22</v>
      </c>
      <c r="F2168" s="4">
        <v>6.49</v>
      </c>
      <c r="G2168" s="5">
        <v>50</v>
      </c>
      <c r="H2168" t="s">
        <v>33</v>
      </c>
      <c r="I2168" t="s">
        <v>18</v>
      </c>
      <c r="J2168" s="6">
        <v>13.99</v>
      </c>
      <c r="K2168">
        <v>0</v>
      </c>
      <c r="L2168" t="s">
        <v>43</v>
      </c>
      <c r="M2168" s="5">
        <v>5</v>
      </c>
      <c r="N2168" s="4">
        <v>0.13</v>
      </c>
      <c r="O2168" t="s">
        <v>39</v>
      </c>
    </row>
    <row r="2169" spans="1:15" x14ac:dyDescent="0.3">
      <c r="A2169" t="s">
        <v>2922</v>
      </c>
      <c r="B2169" s="5">
        <v>41</v>
      </c>
      <c r="C2169" s="5" t="str" cm="1">
        <f t="array" ref="C2169">_xlfn.IFS(worksheet[[#This Row],[age]]&lt;25,"1. Young Adulthood (18-24)",worksheet[[#This Row],[age]]&lt; 35,"2. Early Adulthood (25-34)",worksheet[[#This Row],[age]]&lt; 45,"3. Mid Adulthood (35-44)",worksheet[[#This Row],[age]]&lt; 55,"4. Mature Adulthood (45-54)",TRUE,"5. Late Adulthood/Senior (55+)")</f>
        <v>3. Mid Adulthood (35-44)</v>
      </c>
      <c r="D2169" t="s">
        <v>27</v>
      </c>
      <c r="E2169" t="s">
        <v>22</v>
      </c>
      <c r="F2169" s="4">
        <v>2.97</v>
      </c>
      <c r="G2169" s="5">
        <v>46</v>
      </c>
      <c r="H2169" t="s">
        <v>70</v>
      </c>
      <c r="I2169" t="s">
        <v>57</v>
      </c>
      <c r="J2169" s="6">
        <v>13.99</v>
      </c>
      <c r="K2169">
        <v>1</v>
      </c>
      <c r="L2169" t="s">
        <v>61</v>
      </c>
      <c r="M2169" s="5">
        <v>1</v>
      </c>
      <c r="N2169" s="4">
        <v>0.06</v>
      </c>
      <c r="O2169" t="s">
        <v>34</v>
      </c>
    </row>
    <row r="2170" spans="1:15" x14ac:dyDescent="0.3">
      <c r="A2170" t="s">
        <v>2928</v>
      </c>
      <c r="B2170" s="5">
        <v>35</v>
      </c>
      <c r="C2170" s="5" t="str" cm="1">
        <f t="array" ref="C2170">_xlfn.IFS(worksheet[[#This Row],[age]]&lt;25,"1. Young Adulthood (18-24)",worksheet[[#This Row],[age]]&lt; 35,"2. Early Adulthood (25-34)",worksheet[[#This Row],[age]]&lt; 45,"3. Mid Adulthood (35-44)",worksheet[[#This Row],[age]]&lt; 55,"4. Mature Adulthood (45-54)",TRUE,"5. Late Adulthood/Senior (55+)")</f>
        <v>3. Mid Adulthood (35-44)</v>
      </c>
      <c r="D2170" t="s">
        <v>27</v>
      </c>
      <c r="E2170" t="s">
        <v>32</v>
      </c>
      <c r="F2170" s="4">
        <v>3.78</v>
      </c>
      <c r="G2170" s="5">
        <v>37</v>
      </c>
      <c r="H2170" t="s">
        <v>17</v>
      </c>
      <c r="I2170" t="s">
        <v>46</v>
      </c>
      <c r="J2170" s="6">
        <v>17.989999999999998</v>
      </c>
      <c r="K2170">
        <v>1</v>
      </c>
      <c r="L2170" t="s">
        <v>37</v>
      </c>
      <c r="M2170" s="5">
        <v>5</v>
      </c>
      <c r="N2170" s="4">
        <v>0.1</v>
      </c>
      <c r="O2170" t="s">
        <v>30</v>
      </c>
    </row>
    <row r="2171" spans="1:15" x14ac:dyDescent="0.3">
      <c r="A2171" t="s">
        <v>2929</v>
      </c>
      <c r="B2171" s="5">
        <v>36</v>
      </c>
      <c r="C2171" s="5" t="str" cm="1">
        <f t="array" ref="C2171">_xlfn.IFS(worksheet[[#This Row],[age]]&lt;25,"1. Young Adulthood (18-24)",worksheet[[#This Row],[age]]&lt; 35,"2. Early Adulthood (25-34)",worksheet[[#This Row],[age]]&lt; 45,"3. Mid Adulthood (35-44)",worksheet[[#This Row],[age]]&lt; 55,"4. Mature Adulthood (45-54)",TRUE,"5. Late Adulthood/Senior (55+)")</f>
        <v>3. Mid Adulthood (35-44)</v>
      </c>
      <c r="D2171" t="s">
        <v>27</v>
      </c>
      <c r="E2171" t="s">
        <v>22</v>
      </c>
      <c r="F2171" s="4">
        <v>6.49</v>
      </c>
      <c r="G2171" s="5">
        <v>21</v>
      </c>
      <c r="H2171" t="s">
        <v>70</v>
      </c>
      <c r="I2171" t="s">
        <v>46</v>
      </c>
      <c r="J2171" s="6">
        <v>13.99</v>
      </c>
      <c r="K2171">
        <v>0</v>
      </c>
      <c r="L2171" t="s">
        <v>61</v>
      </c>
      <c r="M2171" s="5">
        <v>5</v>
      </c>
      <c r="N2171" s="4">
        <v>0.28999999999999998</v>
      </c>
      <c r="O2171" t="s">
        <v>20</v>
      </c>
    </row>
    <row r="2172" spans="1:15" x14ac:dyDescent="0.3">
      <c r="A2172" t="s">
        <v>2934</v>
      </c>
      <c r="B2172" s="5">
        <v>43</v>
      </c>
      <c r="C2172" s="5" t="str" cm="1">
        <f t="array" ref="C2172">_xlfn.IFS(worksheet[[#This Row],[age]]&lt;25,"1. Young Adulthood (18-24)",worksheet[[#This Row],[age]]&lt; 35,"2. Early Adulthood (25-34)",worksheet[[#This Row],[age]]&lt; 45,"3. Mid Adulthood (35-44)",worksheet[[#This Row],[age]]&lt; 55,"4. Mature Adulthood (45-54)",TRUE,"5. Late Adulthood/Senior (55+)")</f>
        <v>3. Mid Adulthood (35-44)</v>
      </c>
      <c r="D2172" t="s">
        <v>41</v>
      </c>
      <c r="E2172" t="s">
        <v>32</v>
      </c>
      <c r="F2172" s="4">
        <v>19.59</v>
      </c>
      <c r="G2172" s="5">
        <v>25</v>
      </c>
      <c r="H2172" t="s">
        <v>17</v>
      </c>
      <c r="I2172" t="s">
        <v>57</v>
      </c>
      <c r="J2172" s="6">
        <v>17.989999999999998</v>
      </c>
      <c r="K2172">
        <v>0</v>
      </c>
      <c r="L2172" t="s">
        <v>61</v>
      </c>
      <c r="M2172" s="5">
        <v>1</v>
      </c>
      <c r="N2172" s="4">
        <v>0.75</v>
      </c>
      <c r="O2172" t="s">
        <v>30</v>
      </c>
    </row>
    <row r="2173" spans="1:15" x14ac:dyDescent="0.3">
      <c r="A2173" t="s">
        <v>2937</v>
      </c>
      <c r="B2173" s="5">
        <v>36</v>
      </c>
      <c r="C2173" s="5" t="str" cm="1">
        <f t="array" ref="C2173">_xlfn.IFS(worksheet[[#This Row],[age]]&lt;25,"1. Young Adulthood (18-24)",worksheet[[#This Row],[age]]&lt; 35,"2. Early Adulthood (25-34)",worksheet[[#This Row],[age]]&lt; 45,"3. Mid Adulthood (35-44)",worksheet[[#This Row],[age]]&lt; 55,"4. Mature Adulthood (45-54)",TRUE,"5. Late Adulthood/Senior (55+)")</f>
        <v>3. Mid Adulthood (35-44)</v>
      </c>
      <c r="D2173" t="s">
        <v>41</v>
      </c>
      <c r="E2173" t="s">
        <v>22</v>
      </c>
      <c r="F2173" s="4">
        <v>1.36</v>
      </c>
      <c r="G2173" s="5">
        <v>58</v>
      </c>
      <c r="H2173" t="s">
        <v>70</v>
      </c>
      <c r="I2173" t="s">
        <v>55</v>
      </c>
      <c r="J2173" s="6">
        <v>13.99</v>
      </c>
      <c r="K2173">
        <v>1</v>
      </c>
      <c r="L2173" t="s">
        <v>61</v>
      </c>
      <c r="M2173" s="5">
        <v>5</v>
      </c>
      <c r="N2173" s="4">
        <v>0.02</v>
      </c>
      <c r="O2173" t="s">
        <v>52</v>
      </c>
    </row>
    <row r="2174" spans="1:15" x14ac:dyDescent="0.3">
      <c r="A2174" s="1" t="s">
        <v>2938</v>
      </c>
      <c r="B2174" s="5">
        <v>37</v>
      </c>
      <c r="C2174" s="5" t="str" cm="1">
        <f t="array" ref="C2174">_xlfn.IFS(worksheet[[#This Row],[age]]&lt;25,"1. Young Adulthood (18-24)",worksheet[[#This Row],[age]]&lt; 35,"2. Early Adulthood (25-34)",worksheet[[#This Row],[age]]&lt; 45,"3. Mid Adulthood (35-44)",worksheet[[#This Row],[age]]&lt; 55,"4. Mature Adulthood (45-54)",TRUE,"5. Late Adulthood/Senior (55+)")</f>
        <v>3. Mid Adulthood (35-44)</v>
      </c>
      <c r="D2174" t="s">
        <v>27</v>
      </c>
      <c r="E2174" t="s">
        <v>32</v>
      </c>
      <c r="F2174" s="4">
        <v>7.53</v>
      </c>
      <c r="G2174" s="5">
        <v>48</v>
      </c>
      <c r="H2174" t="s">
        <v>28</v>
      </c>
      <c r="I2174" t="s">
        <v>55</v>
      </c>
      <c r="J2174" s="6">
        <v>17.989999999999998</v>
      </c>
      <c r="K2174">
        <v>1</v>
      </c>
      <c r="L2174" t="s">
        <v>43</v>
      </c>
      <c r="M2174" s="5">
        <v>3</v>
      </c>
      <c r="N2174" s="4">
        <v>0.15</v>
      </c>
      <c r="O2174" t="s">
        <v>52</v>
      </c>
    </row>
    <row r="2175" spans="1:15" x14ac:dyDescent="0.3">
      <c r="A2175" t="s">
        <v>2939</v>
      </c>
      <c r="B2175" s="5">
        <v>44</v>
      </c>
      <c r="C2175" s="5" t="str" cm="1">
        <f t="array" ref="C2175">_xlfn.IFS(worksheet[[#This Row],[age]]&lt;25,"1. Young Adulthood (18-24)",worksheet[[#This Row],[age]]&lt; 35,"2. Early Adulthood (25-34)",worksheet[[#This Row],[age]]&lt; 45,"3. Mid Adulthood (35-44)",worksheet[[#This Row],[age]]&lt; 55,"4. Mature Adulthood (45-54)",TRUE,"5. Late Adulthood/Senior (55+)")</f>
        <v>3. Mid Adulthood (35-44)</v>
      </c>
      <c r="D2175" t="s">
        <v>27</v>
      </c>
      <c r="E2175" t="s">
        <v>22</v>
      </c>
      <c r="F2175" s="4">
        <v>62.82</v>
      </c>
      <c r="G2175" s="5">
        <v>44</v>
      </c>
      <c r="H2175" t="s">
        <v>17</v>
      </c>
      <c r="I2175" t="s">
        <v>55</v>
      </c>
      <c r="J2175" s="6">
        <v>13.99</v>
      </c>
      <c r="K2175">
        <v>0</v>
      </c>
      <c r="L2175" t="s">
        <v>61</v>
      </c>
      <c r="M2175" s="5">
        <v>4</v>
      </c>
      <c r="N2175" s="4">
        <v>1.4</v>
      </c>
      <c r="O2175" t="s">
        <v>25</v>
      </c>
    </row>
    <row r="2176" spans="1:15" x14ac:dyDescent="0.3">
      <c r="A2176" t="s">
        <v>2945</v>
      </c>
      <c r="B2176" s="5">
        <v>41</v>
      </c>
      <c r="C2176" s="5" t="str" cm="1">
        <f t="array" ref="C2176">_xlfn.IFS(worksheet[[#This Row],[age]]&lt;25,"1. Young Adulthood (18-24)",worksheet[[#This Row],[age]]&lt; 35,"2. Early Adulthood (25-34)",worksheet[[#This Row],[age]]&lt; 45,"3. Mid Adulthood (35-44)",worksheet[[#This Row],[age]]&lt; 55,"4. Mature Adulthood (45-54)",TRUE,"5. Late Adulthood/Senior (55+)")</f>
        <v>3. Mid Adulthood (35-44)</v>
      </c>
      <c r="D2176" t="s">
        <v>27</v>
      </c>
      <c r="E2176" t="s">
        <v>32</v>
      </c>
      <c r="F2176" s="4">
        <v>6.01</v>
      </c>
      <c r="G2176" s="5">
        <v>36</v>
      </c>
      <c r="H2176" t="s">
        <v>70</v>
      </c>
      <c r="I2176" t="s">
        <v>57</v>
      </c>
      <c r="J2176" s="6">
        <v>17.989999999999998</v>
      </c>
      <c r="K2176">
        <v>0</v>
      </c>
      <c r="L2176" t="s">
        <v>37</v>
      </c>
      <c r="M2176" s="5">
        <v>4</v>
      </c>
      <c r="N2176" s="4">
        <v>0.16</v>
      </c>
      <c r="O2176" t="s">
        <v>20</v>
      </c>
    </row>
    <row r="2177" spans="1:15" x14ac:dyDescent="0.3">
      <c r="A2177" t="s">
        <v>2953</v>
      </c>
      <c r="B2177" s="5">
        <v>39</v>
      </c>
      <c r="C2177" s="5" t="str" cm="1">
        <f t="array" ref="C2177">_xlfn.IFS(worksheet[[#This Row],[age]]&lt;25,"1. Young Adulthood (18-24)",worksheet[[#This Row],[age]]&lt; 35,"2. Early Adulthood (25-34)",worksheet[[#This Row],[age]]&lt; 45,"3. Mid Adulthood (35-44)",worksheet[[#This Row],[age]]&lt; 55,"4. Mature Adulthood (45-54)",TRUE,"5. Late Adulthood/Senior (55+)")</f>
        <v>3. Mid Adulthood (35-44)</v>
      </c>
      <c r="D2177" t="s">
        <v>27</v>
      </c>
      <c r="E2177" t="s">
        <v>16</v>
      </c>
      <c r="F2177" s="4">
        <v>13.15</v>
      </c>
      <c r="G2177" s="5">
        <v>13</v>
      </c>
      <c r="H2177" t="s">
        <v>28</v>
      </c>
      <c r="I2177" t="s">
        <v>18</v>
      </c>
      <c r="J2177" s="6">
        <v>8.99</v>
      </c>
      <c r="K2177">
        <v>0</v>
      </c>
      <c r="L2177" t="s">
        <v>19</v>
      </c>
      <c r="M2177" s="5">
        <v>2</v>
      </c>
      <c r="N2177" s="4">
        <v>0.94</v>
      </c>
      <c r="O2177" t="s">
        <v>34</v>
      </c>
    </row>
    <row r="2178" spans="1:15" x14ac:dyDescent="0.3">
      <c r="A2178" t="s">
        <v>2959</v>
      </c>
      <c r="B2178" s="5">
        <v>38</v>
      </c>
      <c r="C2178" s="5" t="str" cm="1">
        <f t="array" ref="C2178">_xlfn.IFS(worksheet[[#This Row],[age]]&lt;25,"1. Young Adulthood (18-24)",worksheet[[#This Row],[age]]&lt; 35,"2. Early Adulthood (25-34)",worksheet[[#This Row],[age]]&lt; 45,"3. Mid Adulthood (35-44)",worksheet[[#This Row],[age]]&lt; 55,"4. Mature Adulthood (45-54)",TRUE,"5. Late Adulthood/Senior (55+)")</f>
        <v>3. Mid Adulthood (35-44)</v>
      </c>
      <c r="D2178" t="s">
        <v>41</v>
      </c>
      <c r="E2178" t="s">
        <v>22</v>
      </c>
      <c r="F2178" s="4">
        <v>6.68</v>
      </c>
      <c r="G2178" s="5">
        <v>15</v>
      </c>
      <c r="H2178" t="s">
        <v>33</v>
      </c>
      <c r="I2178" t="s">
        <v>24</v>
      </c>
      <c r="J2178" s="6">
        <v>13.99</v>
      </c>
      <c r="K2178">
        <v>0</v>
      </c>
      <c r="L2178" t="s">
        <v>61</v>
      </c>
      <c r="M2178" s="5">
        <v>1</v>
      </c>
      <c r="N2178" s="4">
        <v>0.42</v>
      </c>
      <c r="O2178" t="s">
        <v>30</v>
      </c>
    </row>
    <row r="2179" spans="1:15" x14ac:dyDescent="0.3">
      <c r="A2179" t="s">
        <v>2968</v>
      </c>
      <c r="B2179" s="5">
        <v>35</v>
      </c>
      <c r="C2179" s="5" t="str" cm="1">
        <f t="array" ref="C2179">_xlfn.IFS(worksheet[[#This Row],[age]]&lt;25,"1. Young Adulthood (18-24)",worksheet[[#This Row],[age]]&lt; 35,"2. Early Adulthood (25-34)",worksheet[[#This Row],[age]]&lt; 45,"3. Mid Adulthood (35-44)",worksheet[[#This Row],[age]]&lt; 55,"4. Mature Adulthood (45-54)",TRUE,"5. Late Adulthood/Senior (55+)")</f>
        <v>3. Mid Adulthood (35-44)</v>
      </c>
      <c r="D2179" t="s">
        <v>27</v>
      </c>
      <c r="E2179" t="s">
        <v>32</v>
      </c>
      <c r="F2179" s="4">
        <v>9.17</v>
      </c>
      <c r="G2179" s="5">
        <v>43</v>
      </c>
      <c r="H2179" t="s">
        <v>28</v>
      </c>
      <c r="I2179" t="s">
        <v>24</v>
      </c>
      <c r="J2179" s="6">
        <v>17.989999999999998</v>
      </c>
      <c r="K2179">
        <v>1</v>
      </c>
      <c r="L2179" t="s">
        <v>29</v>
      </c>
      <c r="M2179" s="5">
        <v>3</v>
      </c>
      <c r="N2179" s="4">
        <v>0.21</v>
      </c>
      <c r="O2179" t="s">
        <v>30</v>
      </c>
    </row>
    <row r="2180" spans="1:15" x14ac:dyDescent="0.3">
      <c r="A2180" t="s">
        <v>2969</v>
      </c>
      <c r="B2180" s="5">
        <v>43</v>
      </c>
      <c r="C2180" s="5" t="str" cm="1">
        <f t="array" ref="C2180">_xlfn.IFS(worksheet[[#This Row],[age]]&lt;25,"1. Young Adulthood (18-24)",worksheet[[#This Row],[age]]&lt; 35,"2. Early Adulthood (25-34)",worksheet[[#This Row],[age]]&lt; 45,"3. Mid Adulthood (35-44)",worksheet[[#This Row],[age]]&lt; 55,"4. Mature Adulthood (45-54)",TRUE,"5. Late Adulthood/Senior (55+)")</f>
        <v>3. Mid Adulthood (35-44)</v>
      </c>
      <c r="D2180" t="s">
        <v>41</v>
      </c>
      <c r="E2180" t="s">
        <v>22</v>
      </c>
      <c r="F2180" s="4">
        <v>0.83</v>
      </c>
      <c r="G2180" s="5">
        <v>13</v>
      </c>
      <c r="H2180" t="s">
        <v>49</v>
      </c>
      <c r="I2180" t="s">
        <v>18</v>
      </c>
      <c r="J2180" s="6">
        <v>13.99</v>
      </c>
      <c r="K2180">
        <v>1</v>
      </c>
      <c r="L2180" t="s">
        <v>43</v>
      </c>
      <c r="M2180" s="5">
        <v>3</v>
      </c>
      <c r="N2180" s="4">
        <v>0.06</v>
      </c>
      <c r="O2180" t="s">
        <v>52</v>
      </c>
    </row>
    <row r="2181" spans="1:15" x14ac:dyDescent="0.3">
      <c r="A2181" t="s">
        <v>2970</v>
      </c>
      <c r="B2181" s="5">
        <v>37</v>
      </c>
      <c r="C2181" s="5" t="str" cm="1">
        <f t="array" ref="C2181">_xlfn.IFS(worksheet[[#This Row],[age]]&lt;25,"1. Young Adulthood (18-24)",worksheet[[#This Row],[age]]&lt; 35,"2. Early Adulthood (25-34)",worksheet[[#This Row],[age]]&lt; 45,"3. Mid Adulthood (35-44)",worksheet[[#This Row],[age]]&lt; 55,"4. Mature Adulthood (45-54)",TRUE,"5. Late Adulthood/Senior (55+)")</f>
        <v>3. Mid Adulthood (35-44)</v>
      </c>
      <c r="D2181" t="s">
        <v>15</v>
      </c>
      <c r="E2181" t="s">
        <v>16</v>
      </c>
      <c r="F2181" s="4">
        <v>3.68</v>
      </c>
      <c r="G2181" s="5">
        <v>45</v>
      </c>
      <c r="H2181" t="s">
        <v>17</v>
      </c>
      <c r="I2181" t="s">
        <v>46</v>
      </c>
      <c r="J2181" s="6">
        <v>8.99</v>
      </c>
      <c r="K2181">
        <v>1</v>
      </c>
      <c r="L2181" t="s">
        <v>61</v>
      </c>
      <c r="M2181" s="5">
        <v>3</v>
      </c>
      <c r="N2181" s="4">
        <v>0.08</v>
      </c>
      <c r="O2181" t="s">
        <v>25</v>
      </c>
    </row>
    <row r="2182" spans="1:15" x14ac:dyDescent="0.3">
      <c r="A2182" t="s">
        <v>2986</v>
      </c>
      <c r="B2182" s="5">
        <v>38</v>
      </c>
      <c r="C2182" s="5" t="str" cm="1">
        <f t="array" ref="C2182">_xlfn.IFS(worksheet[[#This Row],[age]]&lt;25,"1. Young Adulthood (18-24)",worksheet[[#This Row],[age]]&lt; 35,"2. Early Adulthood (25-34)",worksheet[[#This Row],[age]]&lt; 45,"3. Mid Adulthood (35-44)",worksheet[[#This Row],[age]]&lt; 55,"4. Mature Adulthood (45-54)",TRUE,"5. Late Adulthood/Senior (55+)")</f>
        <v>3. Mid Adulthood (35-44)</v>
      </c>
      <c r="D2182" t="s">
        <v>15</v>
      </c>
      <c r="E2182" t="s">
        <v>16</v>
      </c>
      <c r="F2182" s="4">
        <v>1.1299999999999999</v>
      </c>
      <c r="G2182" s="5">
        <v>41</v>
      </c>
      <c r="H2182" t="s">
        <v>28</v>
      </c>
      <c r="I2182" t="s">
        <v>55</v>
      </c>
      <c r="J2182" s="6">
        <v>8.99</v>
      </c>
      <c r="K2182">
        <v>1</v>
      </c>
      <c r="L2182" t="s">
        <v>29</v>
      </c>
      <c r="M2182" s="5">
        <v>2</v>
      </c>
      <c r="N2182" s="4">
        <v>0.03</v>
      </c>
      <c r="O2182" t="s">
        <v>47</v>
      </c>
    </row>
    <row r="2183" spans="1:15" x14ac:dyDescent="0.3">
      <c r="A2183" t="s">
        <v>2992</v>
      </c>
      <c r="B2183" s="5">
        <v>38</v>
      </c>
      <c r="C2183" s="5" t="str" cm="1">
        <f t="array" ref="C2183">_xlfn.IFS(worksheet[[#This Row],[age]]&lt;25,"1. Young Adulthood (18-24)",worksheet[[#This Row],[age]]&lt; 35,"2. Early Adulthood (25-34)",worksheet[[#This Row],[age]]&lt; 45,"3. Mid Adulthood (35-44)",worksheet[[#This Row],[age]]&lt; 55,"4. Mature Adulthood (45-54)",TRUE,"5. Late Adulthood/Senior (55+)")</f>
        <v>3. Mid Adulthood (35-44)</v>
      </c>
      <c r="D2183" t="s">
        <v>41</v>
      </c>
      <c r="E2183" t="s">
        <v>32</v>
      </c>
      <c r="F2183" s="4">
        <v>3.49</v>
      </c>
      <c r="G2183" s="5">
        <v>26</v>
      </c>
      <c r="H2183" t="s">
        <v>28</v>
      </c>
      <c r="I2183" t="s">
        <v>18</v>
      </c>
      <c r="J2183" s="6">
        <v>17.989999999999998</v>
      </c>
      <c r="K2183">
        <v>0</v>
      </c>
      <c r="L2183" t="s">
        <v>61</v>
      </c>
      <c r="M2183" s="5">
        <v>5</v>
      </c>
      <c r="N2183" s="4">
        <v>0.13</v>
      </c>
      <c r="O2183" t="s">
        <v>20</v>
      </c>
    </row>
    <row r="2184" spans="1:15" x14ac:dyDescent="0.3">
      <c r="A2184" t="s">
        <v>2994</v>
      </c>
      <c r="B2184" s="5">
        <v>44</v>
      </c>
      <c r="C2184" s="5" t="str" cm="1">
        <f t="array" ref="C2184">_xlfn.IFS(worksheet[[#This Row],[age]]&lt;25,"1. Young Adulthood (18-24)",worksheet[[#This Row],[age]]&lt; 35,"2. Early Adulthood (25-34)",worksheet[[#This Row],[age]]&lt; 45,"3. Mid Adulthood (35-44)",worksheet[[#This Row],[age]]&lt; 55,"4. Mature Adulthood (45-54)",TRUE,"5. Late Adulthood/Senior (55+)")</f>
        <v>3. Mid Adulthood (35-44)</v>
      </c>
      <c r="D2184" t="s">
        <v>41</v>
      </c>
      <c r="E2184" t="s">
        <v>22</v>
      </c>
      <c r="F2184" s="4">
        <v>2.2799999999999998</v>
      </c>
      <c r="G2184" s="5">
        <v>59</v>
      </c>
      <c r="H2184" t="s">
        <v>28</v>
      </c>
      <c r="I2184" t="s">
        <v>46</v>
      </c>
      <c r="J2184" s="6">
        <v>13.99</v>
      </c>
      <c r="K2184">
        <v>1</v>
      </c>
      <c r="L2184" t="s">
        <v>29</v>
      </c>
      <c r="M2184" s="5">
        <v>2</v>
      </c>
      <c r="N2184" s="4">
        <v>0.04</v>
      </c>
      <c r="O2184" t="s">
        <v>47</v>
      </c>
    </row>
    <row r="2185" spans="1:15" x14ac:dyDescent="0.3">
      <c r="A2185" t="s">
        <v>2995</v>
      </c>
      <c r="B2185" s="5">
        <v>37</v>
      </c>
      <c r="C2185" s="5" t="str" cm="1">
        <f t="array" ref="C2185">_xlfn.IFS(worksheet[[#This Row],[age]]&lt;25,"1. Young Adulthood (18-24)",worksheet[[#This Row],[age]]&lt; 35,"2. Early Adulthood (25-34)",worksheet[[#This Row],[age]]&lt; 45,"3. Mid Adulthood (35-44)",worksheet[[#This Row],[age]]&lt; 55,"4. Mature Adulthood (45-54)",TRUE,"5. Late Adulthood/Senior (55+)")</f>
        <v>3. Mid Adulthood (35-44)</v>
      </c>
      <c r="D2185" t="s">
        <v>41</v>
      </c>
      <c r="E2185" t="s">
        <v>22</v>
      </c>
      <c r="F2185" s="4">
        <v>28.57</v>
      </c>
      <c r="G2185" s="5">
        <v>4</v>
      </c>
      <c r="H2185" t="s">
        <v>23</v>
      </c>
      <c r="I2185" t="s">
        <v>24</v>
      </c>
      <c r="J2185" s="6">
        <v>13.99</v>
      </c>
      <c r="K2185">
        <v>0</v>
      </c>
      <c r="L2185" t="s">
        <v>61</v>
      </c>
      <c r="M2185" s="5">
        <v>2</v>
      </c>
      <c r="N2185" s="4">
        <v>5.71</v>
      </c>
      <c r="O2185" t="s">
        <v>34</v>
      </c>
    </row>
    <row r="2186" spans="1:15" x14ac:dyDescent="0.3">
      <c r="A2186" t="s">
        <v>2997</v>
      </c>
      <c r="B2186" s="5">
        <v>41</v>
      </c>
      <c r="C2186" s="5" t="str" cm="1">
        <f t="array" ref="C2186">_xlfn.IFS(worksheet[[#This Row],[age]]&lt;25,"1. Young Adulthood (18-24)",worksheet[[#This Row],[age]]&lt; 35,"2. Early Adulthood (25-34)",worksheet[[#This Row],[age]]&lt; 45,"3. Mid Adulthood (35-44)",worksheet[[#This Row],[age]]&lt; 55,"4. Mature Adulthood (45-54)",TRUE,"5. Late Adulthood/Senior (55+)")</f>
        <v>3. Mid Adulthood (35-44)</v>
      </c>
      <c r="D2186" t="s">
        <v>27</v>
      </c>
      <c r="E2186" t="s">
        <v>32</v>
      </c>
      <c r="F2186" s="4">
        <v>14.17</v>
      </c>
      <c r="G2186" s="5">
        <v>19</v>
      </c>
      <c r="H2186" t="s">
        <v>70</v>
      </c>
      <c r="I2186" t="s">
        <v>57</v>
      </c>
      <c r="J2186" s="6">
        <v>17.989999999999998</v>
      </c>
      <c r="K2186">
        <v>0</v>
      </c>
      <c r="L2186" t="s">
        <v>19</v>
      </c>
      <c r="M2186" s="5">
        <v>3</v>
      </c>
      <c r="N2186" s="4">
        <v>0.71</v>
      </c>
      <c r="O2186" t="s">
        <v>20</v>
      </c>
    </row>
    <row r="2187" spans="1:15" x14ac:dyDescent="0.3">
      <c r="A2187" t="s">
        <v>3000</v>
      </c>
      <c r="B2187" s="5">
        <v>39</v>
      </c>
      <c r="C2187" s="5" t="str" cm="1">
        <f t="array" ref="C2187">_xlfn.IFS(worksheet[[#This Row],[age]]&lt;25,"1. Young Adulthood (18-24)",worksheet[[#This Row],[age]]&lt; 35,"2. Early Adulthood (25-34)",worksheet[[#This Row],[age]]&lt; 45,"3. Mid Adulthood (35-44)",worksheet[[#This Row],[age]]&lt; 55,"4. Mature Adulthood (45-54)",TRUE,"5. Late Adulthood/Senior (55+)")</f>
        <v>3. Mid Adulthood (35-44)</v>
      </c>
      <c r="D2187" t="s">
        <v>27</v>
      </c>
      <c r="E2187" t="s">
        <v>32</v>
      </c>
      <c r="F2187" s="4">
        <v>3.69</v>
      </c>
      <c r="G2187" s="5">
        <v>26</v>
      </c>
      <c r="H2187" t="s">
        <v>28</v>
      </c>
      <c r="I2187" t="s">
        <v>57</v>
      </c>
      <c r="J2187" s="6">
        <v>17.989999999999998</v>
      </c>
      <c r="K2187">
        <v>1</v>
      </c>
      <c r="L2187" t="s">
        <v>29</v>
      </c>
      <c r="M2187" s="5">
        <v>5</v>
      </c>
      <c r="N2187" s="4">
        <v>0.14000000000000001</v>
      </c>
      <c r="O2187" t="s">
        <v>52</v>
      </c>
    </row>
    <row r="2188" spans="1:15" x14ac:dyDescent="0.3">
      <c r="A2188" t="s">
        <v>3005</v>
      </c>
      <c r="B2188" s="5">
        <v>36</v>
      </c>
      <c r="C2188" s="5" t="str" cm="1">
        <f t="array" ref="C2188">_xlfn.IFS(worksheet[[#This Row],[age]]&lt;25,"1. Young Adulthood (18-24)",worksheet[[#This Row],[age]]&lt; 35,"2. Early Adulthood (25-34)",worksheet[[#This Row],[age]]&lt; 45,"3. Mid Adulthood (35-44)",worksheet[[#This Row],[age]]&lt; 55,"4. Mature Adulthood (45-54)",TRUE,"5. Late Adulthood/Senior (55+)")</f>
        <v>3. Mid Adulthood (35-44)</v>
      </c>
      <c r="D2188" t="s">
        <v>15</v>
      </c>
      <c r="E2188" t="s">
        <v>32</v>
      </c>
      <c r="F2188" s="4">
        <v>2.98</v>
      </c>
      <c r="G2188" s="5">
        <v>60</v>
      </c>
      <c r="H2188" t="s">
        <v>49</v>
      </c>
      <c r="I2188" t="s">
        <v>24</v>
      </c>
      <c r="J2188" s="6">
        <v>17.989999999999998</v>
      </c>
      <c r="K2188">
        <v>1</v>
      </c>
      <c r="L2188" t="s">
        <v>37</v>
      </c>
      <c r="M2188" s="5">
        <v>4</v>
      </c>
      <c r="N2188" s="4">
        <v>0.05</v>
      </c>
      <c r="O2188" t="s">
        <v>30</v>
      </c>
    </row>
    <row r="2189" spans="1:15" x14ac:dyDescent="0.3">
      <c r="A2189" t="s">
        <v>3006</v>
      </c>
      <c r="B2189" s="5">
        <v>42</v>
      </c>
      <c r="C2189" s="5" t="str" cm="1">
        <f t="array" ref="C2189">_xlfn.IFS(worksheet[[#This Row],[age]]&lt;25,"1. Young Adulthood (18-24)",worksheet[[#This Row],[age]]&lt; 35,"2. Early Adulthood (25-34)",worksheet[[#This Row],[age]]&lt; 45,"3. Mid Adulthood (35-44)",worksheet[[#This Row],[age]]&lt; 55,"4. Mature Adulthood (45-54)",TRUE,"5. Late Adulthood/Senior (55+)")</f>
        <v>3. Mid Adulthood (35-44)</v>
      </c>
      <c r="D2189" t="s">
        <v>27</v>
      </c>
      <c r="E2189" t="s">
        <v>16</v>
      </c>
      <c r="F2189" s="4">
        <v>1.85</v>
      </c>
      <c r="G2189" s="5">
        <v>6</v>
      </c>
      <c r="H2189" t="s">
        <v>17</v>
      </c>
      <c r="I2189" t="s">
        <v>46</v>
      </c>
      <c r="J2189" s="6">
        <v>8.99</v>
      </c>
      <c r="K2189">
        <v>1</v>
      </c>
      <c r="L2189" t="s">
        <v>29</v>
      </c>
      <c r="M2189" s="5">
        <v>5</v>
      </c>
      <c r="N2189" s="4">
        <v>0.26</v>
      </c>
      <c r="O2189" t="s">
        <v>34</v>
      </c>
    </row>
    <row r="2190" spans="1:15" x14ac:dyDescent="0.3">
      <c r="A2190" t="s">
        <v>3018</v>
      </c>
      <c r="B2190" s="5">
        <v>39</v>
      </c>
      <c r="C2190" s="5" t="str" cm="1">
        <f t="array" ref="C2190">_xlfn.IFS(worksheet[[#This Row],[age]]&lt;25,"1. Young Adulthood (18-24)",worksheet[[#This Row],[age]]&lt; 35,"2. Early Adulthood (25-34)",worksheet[[#This Row],[age]]&lt; 45,"3. Mid Adulthood (35-44)",worksheet[[#This Row],[age]]&lt; 55,"4. Mature Adulthood (45-54)",TRUE,"5. Late Adulthood/Senior (55+)")</f>
        <v>3. Mid Adulthood (35-44)</v>
      </c>
      <c r="D2190" t="s">
        <v>41</v>
      </c>
      <c r="E2190" t="s">
        <v>32</v>
      </c>
      <c r="F2190" s="4">
        <v>9.7799999999999994</v>
      </c>
      <c r="G2190" s="5">
        <v>54</v>
      </c>
      <c r="H2190" t="s">
        <v>17</v>
      </c>
      <c r="I2190" t="s">
        <v>55</v>
      </c>
      <c r="J2190" s="6">
        <v>17.989999999999998</v>
      </c>
      <c r="K2190">
        <v>0</v>
      </c>
      <c r="L2190" t="s">
        <v>61</v>
      </c>
      <c r="M2190" s="5">
        <v>4</v>
      </c>
      <c r="N2190" s="4">
        <v>0.18</v>
      </c>
      <c r="O2190" t="s">
        <v>39</v>
      </c>
    </row>
    <row r="2191" spans="1:15" x14ac:dyDescent="0.3">
      <c r="A2191" t="s">
        <v>3022</v>
      </c>
      <c r="B2191" s="5">
        <v>43</v>
      </c>
      <c r="C2191" s="5" t="str" cm="1">
        <f t="array" ref="C2191">_xlfn.IFS(worksheet[[#This Row],[age]]&lt;25,"1. Young Adulthood (18-24)",worksheet[[#This Row],[age]]&lt; 35,"2. Early Adulthood (25-34)",worksheet[[#This Row],[age]]&lt; 45,"3. Mid Adulthood (35-44)",worksheet[[#This Row],[age]]&lt; 55,"4. Mature Adulthood (45-54)",TRUE,"5. Late Adulthood/Senior (55+)")</f>
        <v>3. Mid Adulthood (35-44)</v>
      </c>
      <c r="D2191" t="s">
        <v>15</v>
      </c>
      <c r="E2191" t="s">
        <v>22</v>
      </c>
      <c r="F2191" s="4">
        <v>4.09</v>
      </c>
      <c r="G2191" s="5">
        <v>7</v>
      </c>
      <c r="H2191" t="s">
        <v>23</v>
      </c>
      <c r="I2191" t="s">
        <v>18</v>
      </c>
      <c r="J2191" s="6">
        <v>13.99</v>
      </c>
      <c r="K2191">
        <v>0</v>
      </c>
      <c r="L2191" t="s">
        <v>19</v>
      </c>
      <c r="M2191" s="5">
        <v>5</v>
      </c>
      <c r="N2191" s="4">
        <v>0.51</v>
      </c>
      <c r="O2191" t="s">
        <v>52</v>
      </c>
    </row>
    <row r="2192" spans="1:15" x14ac:dyDescent="0.3">
      <c r="A2192" t="s">
        <v>3025</v>
      </c>
      <c r="B2192" s="5">
        <v>36</v>
      </c>
      <c r="C2192" s="5" t="str" cm="1">
        <f t="array" ref="C2192">_xlfn.IFS(worksheet[[#This Row],[age]]&lt;25,"1. Young Adulthood (18-24)",worksheet[[#This Row],[age]]&lt; 35,"2. Early Adulthood (25-34)",worksheet[[#This Row],[age]]&lt; 45,"3. Mid Adulthood (35-44)",worksheet[[#This Row],[age]]&lt; 55,"4. Mature Adulthood (45-54)",TRUE,"5. Late Adulthood/Senior (55+)")</f>
        <v>3. Mid Adulthood (35-44)</v>
      </c>
      <c r="D2192" t="s">
        <v>41</v>
      </c>
      <c r="E2192" t="s">
        <v>32</v>
      </c>
      <c r="F2192" s="4">
        <v>6.16</v>
      </c>
      <c r="G2192" s="5">
        <v>53</v>
      </c>
      <c r="H2192" t="s">
        <v>23</v>
      </c>
      <c r="I2192" t="s">
        <v>24</v>
      </c>
      <c r="J2192" s="6">
        <v>17.989999999999998</v>
      </c>
      <c r="K2192">
        <v>0</v>
      </c>
      <c r="L2192" t="s">
        <v>61</v>
      </c>
      <c r="M2192" s="5">
        <v>4</v>
      </c>
      <c r="N2192" s="4">
        <v>0.11</v>
      </c>
      <c r="O2192" t="s">
        <v>25</v>
      </c>
    </row>
    <row r="2193" spans="1:15" x14ac:dyDescent="0.3">
      <c r="A2193" t="s">
        <v>3029</v>
      </c>
      <c r="B2193" s="5">
        <v>37</v>
      </c>
      <c r="C2193" s="5" t="str" cm="1">
        <f t="array" ref="C2193">_xlfn.IFS(worksheet[[#This Row],[age]]&lt;25,"1. Young Adulthood (18-24)",worksheet[[#This Row],[age]]&lt; 35,"2. Early Adulthood (25-34)",worksheet[[#This Row],[age]]&lt; 45,"3. Mid Adulthood (35-44)",worksheet[[#This Row],[age]]&lt; 55,"4. Mature Adulthood (45-54)",TRUE,"5. Late Adulthood/Senior (55+)")</f>
        <v>3. Mid Adulthood (35-44)</v>
      </c>
      <c r="D2193" t="s">
        <v>15</v>
      </c>
      <c r="E2193" t="s">
        <v>16</v>
      </c>
      <c r="F2193" s="4">
        <v>3.17</v>
      </c>
      <c r="G2193" s="5">
        <v>46</v>
      </c>
      <c r="H2193" t="s">
        <v>17</v>
      </c>
      <c r="I2193" t="s">
        <v>24</v>
      </c>
      <c r="J2193" s="6">
        <v>8.99</v>
      </c>
      <c r="K2193">
        <v>1</v>
      </c>
      <c r="L2193" t="s">
        <v>43</v>
      </c>
      <c r="M2193" s="5">
        <v>1</v>
      </c>
      <c r="N2193" s="4">
        <v>7.0000000000000007E-2</v>
      </c>
      <c r="O2193" t="s">
        <v>30</v>
      </c>
    </row>
    <row r="2194" spans="1:15" x14ac:dyDescent="0.3">
      <c r="A2194" t="s">
        <v>3034</v>
      </c>
      <c r="B2194" s="5">
        <v>40</v>
      </c>
      <c r="C2194" s="5" t="str" cm="1">
        <f t="array" ref="C2194">_xlfn.IFS(worksheet[[#This Row],[age]]&lt;25,"1. Young Adulthood (18-24)",worksheet[[#This Row],[age]]&lt; 35,"2. Early Adulthood (25-34)",worksheet[[#This Row],[age]]&lt; 45,"3. Mid Adulthood (35-44)",worksheet[[#This Row],[age]]&lt; 55,"4. Mature Adulthood (45-54)",TRUE,"5. Late Adulthood/Senior (55+)")</f>
        <v>3. Mid Adulthood (35-44)</v>
      </c>
      <c r="D2194" t="s">
        <v>41</v>
      </c>
      <c r="E2194" t="s">
        <v>22</v>
      </c>
      <c r="F2194" s="4">
        <v>3.11</v>
      </c>
      <c r="G2194" s="5">
        <v>51</v>
      </c>
      <c r="H2194" t="s">
        <v>33</v>
      </c>
      <c r="I2194" t="s">
        <v>57</v>
      </c>
      <c r="J2194" s="6">
        <v>13.99</v>
      </c>
      <c r="K2194">
        <v>1</v>
      </c>
      <c r="L2194" t="s">
        <v>19</v>
      </c>
      <c r="M2194" s="5">
        <v>5</v>
      </c>
      <c r="N2194" s="4">
        <v>0.06</v>
      </c>
      <c r="O2194" t="s">
        <v>30</v>
      </c>
    </row>
    <row r="2195" spans="1:15" x14ac:dyDescent="0.3">
      <c r="A2195" t="s">
        <v>3043</v>
      </c>
      <c r="B2195" s="5">
        <v>42</v>
      </c>
      <c r="C2195" s="5" t="str" cm="1">
        <f t="array" ref="C2195">_xlfn.IFS(worksheet[[#This Row],[age]]&lt;25,"1. Young Adulthood (18-24)",worksheet[[#This Row],[age]]&lt; 35,"2. Early Adulthood (25-34)",worksheet[[#This Row],[age]]&lt; 45,"3. Mid Adulthood (35-44)",worksheet[[#This Row],[age]]&lt; 55,"4. Mature Adulthood (45-54)",TRUE,"5. Late Adulthood/Senior (55+)")</f>
        <v>3. Mid Adulthood (35-44)</v>
      </c>
      <c r="D2195" t="s">
        <v>41</v>
      </c>
      <c r="E2195" t="s">
        <v>22</v>
      </c>
      <c r="F2195" s="4">
        <v>4.79</v>
      </c>
      <c r="G2195" s="5">
        <v>58</v>
      </c>
      <c r="H2195" t="s">
        <v>49</v>
      </c>
      <c r="I2195" t="s">
        <v>18</v>
      </c>
      <c r="J2195" s="6">
        <v>13.99</v>
      </c>
      <c r="K2195">
        <v>1</v>
      </c>
      <c r="L2195" t="s">
        <v>61</v>
      </c>
      <c r="M2195" s="5">
        <v>3</v>
      </c>
      <c r="N2195" s="4">
        <v>0.08</v>
      </c>
      <c r="O2195" t="s">
        <v>25</v>
      </c>
    </row>
    <row r="2196" spans="1:15" x14ac:dyDescent="0.3">
      <c r="A2196" t="s">
        <v>3045</v>
      </c>
      <c r="B2196" s="5">
        <v>42</v>
      </c>
      <c r="C2196" s="5" t="str" cm="1">
        <f t="array" ref="C2196">_xlfn.IFS(worksheet[[#This Row],[age]]&lt;25,"1. Young Adulthood (18-24)",worksheet[[#This Row],[age]]&lt; 35,"2. Early Adulthood (25-34)",worksheet[[#This Row],[age]]&lt; 45,"3. Mid Adulthood (35-44)",worksheet[[#This Row],[age]]&lt; 55,"4. Mature Adulthood (45-54)",TRUE,"5. Late Adulthood/Senior (55+)")</f>
        <v>3. Mid Adulthood (35-44)</v>
      </c>
      <c r="D2196" t="s">
        <v>15</v>
      </c>
      <c r="E2196" t="s">
        <v>16</v>
      </c>
      <c r="F2196" s="4">
        <v>5.46</v>
      </c>
      <c r="G2196" s="5">
        <v>41</v>
      </c>
      <c r="H2196" t="s">
        <v>28</v>
      </c>
      <c r="I2196" t="s">
        <v>46</v>
      </c>
      <c r="J2196" s="6">
        <v>8.99</v>
      </c>
      <c r="K2196">
        <v>1</v>
      </c>
      <c r="L2196" t="s">
        <v>37</v>
      </c>
      <c r="M2196" s="5">
        <v>3</v>
      </c>
      <c r="N2196" s="4">
        <v>0.13</v>
      </c>
      <c r="O2196" t="s">
        <v>20</v>
      </c>
    </row>
    <row r="2197" spans="1:15" x14ac:dyDescent="0.3">
      <c r="A2197" t="s">
        <v>3048</v>
      </c>
      <c r="B2197" s="5">
        <v>42</v>
      </c>
      <c r="C2197" s="5" t="str" cm="1">
        <f t="array" ref="C2197">_xlfn.IFS(worksheet[[#This Row],[age]]&lt;25,"1. Young Adulthood (18-24)",worksheet[[#This Row],[age]]&lt; 35,"2. Early Adulthood (25-34)",worksheet[[#This Row],[age]]&lt; 45,"3. Mid Adulthood (35-44)",worksheet[[#This Row],[age]]&lt; 55,"4. Mature Adulthood (45-54)",TRUE,"5. Late Adulthood/Senior (55+)")</f>
        <v>3. Mid Adulthood (35-44)</v>
      </c>
      <c r="D2197" t="s">
        <v>15</v>
      </c>
      <c r="E2197" t="s">
        <v>22</v>
      </c>
      <c r="F2197" s="4">
        <v>3.69</v>
      </c>
      <c r="G2197" s="5">
        <v>45</v>
      </c>
      <c r="H2197" t="s">
        <v>17</v>
      </c>
      <c r="I2197" t="s">
        <v>57</v>
      </c>
      <c r="J2197" s="6">
        <v>13.99</v>
      </c>
      <c r="K2197">
        <v>1</v>
      </c>
      <c r="L2197" t="s">
        <v>19</v>
      </c>
      <c r="M2197" s="5">
        <v>2</v>
      </c>
      <c r="N2197" s="4">
        <v>0.08</v>
      </c>
      <c r="O2197" t="s">
        <v>34</v>
      </c>
    </row>
    <row r="2198" spans="1:15" x14ac:dyDescent="0.3">
      <c r="A2198" t="s">
        <v>3056</v>
      </c>
      <c r="B2198" s="5">
        <v>39</v>
      </c>
      <c r="C2198" s="5" t="str" cm="1">
        <f t="array" ref="C2198">_xlfn.IFS(worksheet[[#This Row],[age]]&lt;25,"1. Young Adulthood (18-24)",worksheet[[#This Row],[age]]&lt; 35,"2. Early Adulthood (25-34)",worksheet[[#This Row],[age]]&lt; 45,"3. Mid Adulthood (35-44)",worksheet[[#This Row],[age]]&lt; 55,"4. Mature Adulthood (45-54)",TRUE,"5. Late Adulthood/Senior (55+)")</f>
        <v>3. Mid Adulthood (35-44)</v>
      </c>
      <c r="D2198" t="s">
        <v>41</v>
      </c>
      <c r="E2198" t="s">
        <v>32</v>
      </c>
      <c r="F2198" s="4">
        <v>7.45</v>
      </c>
      <c r="G2198" s="5">
        <v>24</v>
      </c>
      <c r="H2198" t="s">
        <v>17</v>
      </c>
      <c r="I2198" t="s">
        <v>24</v>
      </c>
      <c r="J2198" s="6">
        <v>17.989999999999998</v>
      </c>
      <c r="K2198">
        <v>0</v>
      </c>
      <c r="L2198" t="s">
        <v>37</v>
      </c>
      <c r="M2198" s="5">
        <v>1</v>
      </c>
      <c r="N2198" s="4">
        <v>0.3</v>
      </c>
      <c r="O2198" t="s">
        <v>25</v>
      </c>
    </row>
    <row r="2199" spans="1:15" x14ac:dyDescent="0.3">
      <c r="A2199" t="s">
        <v>3061</v>
      </c>
      <c r="B2199" s="5">
        <v>40</v>
      </c>
      <c r="C2199" s="5" t="str" cm="1">
        <f t="array" ref="C2199">_xlfn.IFS(worksheet[[#This Row],[age]]&lt;25,"1. Young Adulthood (18-24)",worksheet[[#This Row],[age]]&lt; 35,"2. Early Adulthood (25-34)",worksheet[[#This Row],[age]]&lt; 45,"3. Mid Adulthood (35-44)",worksheet[[#This Row],[age]]&lt; 55,"4. Mature Adulthood (45-54)",TRUE,"5. Late Adulthood/Senior (55+)")</f>
        <v>3. Mid Adulthood (35-44)</v>
      </c>
      <c r="D2199" t="s">
        <v>27</v>
      </c>
      <c r="E2199" t="s">
        <v>22</v>
      </c>
      <c r="F2199" s="4">
        <v>9.36</v>
      </c>
      <c r="G2199" s="5">
        <v>27</v>
      </c>
      <c r="H2199" t="s">
        <v>28</v>
      </c>
      <c r="I2199" t="s">
        <v>46</v>
      </c>
      <c r="J2199" s="6">
        <v>13.99</v>
      </c>
      <c r="K2199">
        <v>0</v>
      </c>
      <c r="L2199" t="s">
        <v>37</v>
      </c>
      <c r="M2199" s="5">
        <v>3</v>
      </c>
      <c r="N2199" s="4">
        <v>0.33</v>
      </c>
      <c r="O2199" t="s">
        <v>34</v>
      </c>
    </row>
    <row r="2200" spans="1:15" x14ac:dyDescent="0.3">
      <c r="A2200" t="s">
        <v>3064</v>
      </c>
      <c r="B2200" s="5">
        <v>44</v>
      </c>
      <c r="C2200" s="5" t="str" cm="1">
        <f t="array" ref="C2200">_xlfn.IFS(worksheet[[#This Row],[age]]&lt;25,"1. Young Adulthood (18-24)",worksheet[[#This Row],[age]]&lt; 35,"2. Early Adulthood (25-34)",worksheet[[#This Row],[age]]&lt; 45,"3. Mid Adulthood (35-44)",worksheet[[#This Row],[age]]&lt; 55,"4. Mature Adulthood (45-54)",TRUE,"5. Late Adulthood/Senior (55+)")</f>
        <v>3. Mid Adulthood (35-44)</v>
      </c>
      <c r="D2200" t="s">
        <v>41</v>
      </c>
      <c r="E2200" t="s">
        <v>32</v>
      </c>
      <c r="F2200" s="4">
        <v>1.68</v>
      </c>
      <c r="G2200" s="5">
        <v>16</v>
      </c>
      <c r="H2200" t="s">
        <v>33</v>
      </c>
      <c r="I2200" t="s">
        <v>55</v>
      </c>
      <c r="J2200" s="6">
        <v>17.989999999999998</v>
      </c>
      <c r="K2200">
        <v>1</v>
      </c>
      <c r="L2200" t="s">
        <v>37</v>
      </c>
      <c r="M2200" s="5">
        <v>2</v>
      </c>
      <c r="N2200" s="4">
        <v>0.1</v>
      </c>
      <c r="O2200" t="s">
        <v>30</v>
      </c>
    </row>
    <row r="2201" spans="1:15" x14ac:dyDescent="0.3">
      <c r="A2201" t="s">
        <v>3065</v>
      </c>
      <c r="B2201" s="5">
        <v>36</v>
      </c>
      <c r="C2201" s="5" t="str" cm="1">
        <f t="array" ref="C2201">_xlfn.IFS(worksheet[[#This Row],[age]]&lt;25,"1. Young Adulthood (18-24)",worksheet[[#This Row],[age]]&lt; 35,"2. Early Adulthood (25-34)",worksheet[[#This Row],[age]]&lt; 45,"3. Mid Adulthood (35-44)",worksheet[[#This Row],[age]]&lt; 55,"4. Mature Adulthood (45-54)",TRUE,"5. Late Adulthood/Senior (55+)")</f>
        <v>3. Mid Adulthood (35-44)</v>
      </c>
      <c r="D2201" t="s">
        <v>27</v>
      </c>
      <c r="E2201" t="s">
        <v>22</v>
      </c>
      <c r="F2201" s="4">
        <v>3.88</v>
      </c>
      <c r="G2201" s="5">
        <v>41</v>
      </c>
      <c r="H2201" t="s">
        <v>49</v>
      </c>
      <c r="I2201" t="s">
        <v>46</v>
      </c>
      <c r="J2201" s="6">
        <v>13.99</v>
      </c>
      <c r="K2201">
        <v>1</v>
      </c>
      <c r="L2201" t="s">
        <v>43</v>
      </c>
      <c r="M2201" s="5">
        <v>4</v>
      </c>
      <c r="N2201" s="4">
        <v>0.09</v>
      </c>
      <c r="O2201" t="s">
        <v>34</v>
      </c>
    </row>
    <row r="2202" spans="1:15" x14ac:dyDescent="0.3">
      <c r="A2202" t="s">
        <v>3066</v>
      </c>
      <c r="B2202" s="5">
        <v>41</v>
      </c>
      <c r="C2202" s="5" t="str" cm="1">
        <f t="array" ref="C2202">_xlfn.IFS(worksheet[[#This Row],[age]]&lt;25,"1. Young Adulthood (18-24)",worksheet[[#This Row],[age]]&lt; 35,"2. Early Adulthood (25-34)",worksheet[[#This Row],[age]]&lt; 45,"3. Mid Adulthood (35-44)",worksheet[[#This Row],[age]]&lt; 55,"4. Mature Adulthood (45-54)",TRUE,"5. Late Adulthood/Senior (55+)")</f>
        <v>3. Mid Adulthood (35-44)</v>
      </c>
      <c r="D2202" t="s">
        <v>27</v>
      </c>
      <c r="E2202" t="s">
        <v>32</v>
      </c>
      <c r="F2202" s="4">
        <v>10.47</v>
      </c>
      <c r="G2202" s="5">
        <v>37</v>
      </c>
      <c r="H2202" t="s">
        <v>28</v>
      </c>
      <c r="I2202" t="s">
        <v>18</v>
      </c>
      <c r="J2202" s="6">
        <v>17.989999999999998</v>
      </c>
      <c r="K2202">
        <v>0</v>
      </c>
      <c r="L2202" t="s">
        <v>37</v>
      </c>
      <c r="M2202" s="5">
        <v>4</v>
      </c>
      <c r="N2202" s="4">
        <v>0.28000000000000003</v>
      </c>
      <c r="O2202" t="s">
        <v>25</v>
      </c>
    </row>
    <row r="2203" spans="1:15" x14ac:dyDescent="0.3">
      <c r="A2203" t="s">
        <v>3068</v>
      </c>
      <c r="B2203" s="5">
        <v>36</v>
      </c>
      <c r="C2203" s="5" t="str" cm="1">
        <f t="array" ref="C2203">_xlfn.IFS(worksheet[[#This Row],[age]]&lt;25,"1. Young Adulthood (18-24)",worksheet[[#This Row],[age]]&lt; 35,"2. Early Adulthood (25-34)",worksheet[[#This Row],[age]]&lt; 45,"3. Mid Adulthood (35-44)",worksheet[[#This Row],[age]]&lt; 55,"4. Mature Adulthood (45-54)",TRUE,"5. Late Adulthood/Senior (55+)")</f>
        <v>3. Mid Adulthood (35-44)</v>
      </c>
      <c r="D2203" t="s">
        <v>15</v>
      </c>
      <c r="E2203" t="s">
        <v>32</v>
      </c>
      <c r="F2203" s="4">
        <v>54.48</v>
      </c>
      <c r="G2203" s="5">
        <v>25</v>
      </c>
      <c r="H2203" t="s">
        <v>17</v>
      </c>
      <c r="I2203" t="s">
        <v>24</v>
      </c>
      <c r="J2203" s="6">
        <v>17.989999999999998</v>
      </c>
      <c r="K2203">
        <v>0</v>
      </c>
      <c r="L2203" t="s">
        <v>19</v>
      </c>
      <c r="M2203" s="5">
        <v>2</v>
      </c>
      <c r="N2203" s="4">
        <v>2.1</v>
      </c>
      <c r="O2203" t="s">
        <v>52</v>
      </c>
    </row>
    <row r="2204" spans="1:15" x14ac:dyDescent="0.3">
      <c r="A2204" t="s">
        <v>3071</v>
      </c>
      <c r="B2204" s="5">
        <v>35</v>
      </c>
      <c r="C2204" s="5" t="str" cm="1">
        <f t="array" ref="C2204">_xlfn.IFS(worksheet[[#This Row],[age]]&lt;25,"1. Young Adulthood (18-24)",worksheet[[#This Row],[age]]&lt; 35,"2. Early Adulthood (25-34)",worksheet[[#This Row],[age]]&lt; 45,"3. Mid Adulthood (35-44)",worksheet[[#This Row],[age]]&lt; 55,"4. Mature Adulthood (45-54)",TRUE,"5. Late Adulthood/Senior (55+)")</f>
        <v>3. Mid Adulthood (35-44)</v>
      </c>
      <c r="D2204" t="s">
        <v>15</v>
      </c>
      <c r="E2204" t="s">
        <v>22</v>
      </c>
      <c r="F2204" s="4">
        <v>8.18</v>
      </c>
      <c r="G2204" s="5">
        <v>36</v>
      </c>
      <c r="H2204" t="s">
        <v>49</v>
      </c>
      <c r="I2204" t="s">
        <v>24</v>
      </c>
      <c r="J2204" s="6">
        <v>13.99</v>
      </c>
      <c r="K2204">
        <v>1</v>
      </c>
      <c r="L2204" t="s">
        <v>37</v>
      </c>
      <c r="M2204" s="5">
        <v>2</v>
      </c>
      <c r="N2204" s="4">
        <v>0.22</v>
      </c>
      <c r="O2204" t="s">
        <v>39</v>
      </c>
    </row>
    <row r="2205" spans="1:15" x14ac:dyDescent="0.3">
      <c r="A2205" t="s">
        <v>3081</v>
      </c>
      <c r="B2205" s="5">
        <v>44</v>
      </c>
      <c r="C2205" s="5" t="str" cm="1">
        <f t="array" ref="C2205">_xlfn.IFS(worksheet[[#This Row],[age]]&lt;25,"1. Young Adulthood (18-24)",worksheet[[#This Row],[age]]&lt; 35,"2. Early Adulthood (25-34)",worksheet[[#This Row],[age]]&lt; 45,"3. Mid Adulthood (35-44)",worksheet[[#This Row],[age]]&lt; 55,"4. Mature Adulthood (45-54)",TRUE,"5. Late Adulthood/Senior (55+)")</f>
        <v>3. Mid Adulthood (35-44)</v>
      </c>
      <c r="D2205" t="s">
        <v>15</v>
      </c>
      <c r="E2205" t="s">
        <v>32</v>
      </c>
      <c r="F2205" s="4">
        <v>11.7</v>
      </c>
      <c r="G2205" s="5">
        <v>28</v>
      </c>
      <c r="H2205" t="s">
        <v>23</v>
      </c>
      <c r="I2205" t="s">
        <v>55</v>
      </c>
      <c r="J2205" s="6">
        <v>17.989999999999998</v>
      </c>
      <c r="K2205">
        <v>0</v>
      </c>
      <c r="L2205" t="s">
        <v>37</v>
      </c>
      <c r="M2205" s="5">
        <v>3</v>
      </c>
      <c r="N2205" s="4">
        <v>0.4</v>
      </c>
      <c r="O2205" t="s">
        <v>34</v>
      </c>
    </row>
    <row r="2206" spans="1:15" x14ac:dyDescent="0.3">
      <c r="A2206" t="s">
        <v>3083</v>
      </c>
      <c r="B2206" s="5">
        <v>39</v>
      </c>
      <c r="C2206" s="5" t="str" cm="1">
        <f t="array" ref="C2206">_xlfn.IFS(worksheet[[#This Row],[age]]&lt;25,"1. Young Adulthood (18-24)",worksheet[[#This Row],[age]]&lt; 35,"2. Early Adulthood (25-34)",worksheet[[#This Row],[age]]&lt; 45,"3. Mid Adulthood (35-44)",worksheet[[#This Row],[age]]&lt; 55,"4. Mature Adulthood (45-54)",TRUE,"5. Late Adulthood/Senior (55+)")</f>
        <v>3. Mid Adulthood (35-44)</v>
      </c>
      <c r="D2206" t="s">
        <v>27</v>
      </c>
      <c r="E2206" t="s">
        <v>22</v>
      </c>
      <c r="F2206" s="4">
        <v>12.72</v>
      </c>
      <c r="G2206" s="5">
        <v>16</v>
      </c>
      <c r="H2206" t="s">
        <v>70</v>
      </c>
      <c r="I2206" t="s">
        <v>55</v>
      </c>
      <c r="J2206" s="6">
        <v>13.99</v>
      </c>
      <c r="K2206">
        <v>0</v>
      </c>
      <c r="L2206" t="s">
        <v>19</v>
      </c>
      <c r="M2206" s="5">
        <v>3</v>
      </c>
      <c r="N2206" s="4">
        <v>0.75</v>
      </c>
      <c r="O2206" t="s">
        <v>34</v>
      </c>
    </row>
    <row r="2207" spans="1:15" x14ac:dyDescent="0.3">
      <c r="A2207" t="s">
        <v>3091</v>
      </c>
      <c r="B2207" s="5">
        <v>40</v>
      </c>
      <c r="C2207" s="5" t="str" cm="1">
        <f t="array" ref="C2207">_xlfn.IFS(worksheet[[#This Row],[age]]&lt;25,"1. Young Adulthood (18-24)",worksheet[[#This Row],[age]]&lt; 35,"2. Early Adulthood (25-34)",worksheet[[#This Row],[age]]&lt; 45,"3. Mid Adulthood (35-44)",worksheet[[#This Row],[age]]&lt; 55,"4. Mature Adulthood (45-54)",TRUE,"5. Late Adulthood/Senior (55+)")</f>
        <v>3. Mid Adulthood (35-44)</v>
      </c>
      <c r="D2207" t="s">
        <v>41</v>
      </c>
      <c r="E2207" t="s">
        <v>32</v>
      </c>
      <c r="F2207" s="4">
        <v>1.85</v>
      </c>
      <c r="G2207" s="5">
        <v>46</v>
      </c>
      <c r="H2207" t="s">
        <v>70</v>
      </c>
      <c r="I2207" t="s">
        <v>24</v>
      </c>
      <c r="J2207" s="6">
        <v>17.989999999999998</v>
      </c>
      <c r="K2207">
        <v>1</v>
      </c>
      <c r="L2207" t="s">
        <v>29</v>
      </c>
      <c r="M2207" s="5">
        <v>1</v>
      </c>
      <c r="N2207" s="4">
        <v>0.04</v>
      </c>
      <c r="O2207" t="s">
        <v>20</v>
      </c>
    </row>
    <row r="2208" spans="1:15" x14ac:dyDescent="0.3">
      <c r="A2208" t="s">
        <v>3095</v>
      </c>
      <c r="B2208" s="5">
        <v>36</v>
      </c>
      <c r="C2208" s="5" t="str" cm="1">
        <f t="array" ref="C2208">_xlfn.IFS(worksheet[[#This Row],[age]]&lt;25,"1. Young Adulthood (18-24)",worksheet[[#This Row],[age]]&lt; 35,"2. Early Adulthood (25-34)",worksheet[[#This Row],[age]]&lt; 45,"3. Mid Adulthood (35-44)",worksheet[[#This Row],[age]]&lt; 55,"4. Mature Adulthood (45-54)",TRUE,"5. Late Adulthood/Senior (55+)")</f>
        <v>3. Mid Adulthood (35-44)</v>
      </c>
      <c r="D2208" t="s">
        <v>27</v>
      </c>
      <c r="E2208" t="s">
        <v>32</v>
      </c>
      <c r="F2208" s="4">
        <v>8.8000000000000007</v>
      </c>
      <c r="G2208" s="5">
        <v>10</v>
      </c>
      <c r="H2208" t="s">
        <v>33</v>
      </c>
      <c r="I2208" t="s">
        <v>24</v>
      </c>
      <c r="J2208" s="6">
        <v>17.989999999999998</v>
      </c>
      <c r="K2208">
        <v>0</v>
      </c>
      <c r="L2208" t="s">
        <v>37</v>
      </c>
      <c r="M2208" s="5">
        <v>2</v>
      </c>
      <c r="N2208" s="4">
        <v>0.8</v>
      </c>
      <c r="O2208" t="s">
        <v>47</v>
      </c>
    </row>
    <row r="2209" spans="1:15" x14ac:dyDescent="0.3">
      <c r="A2209" t="s">
        <v>3101</v>
      </c>
      <c r="B2209" s="5">
        <v>44</v>
      </c>
      <c r="C2209" s="5" t="str" cm="1">
        <f t="array" ref="C2209">_xlfn.IFS(worksheet[[#This Row],[age]]&lt;25,"1. Young Adulthood (18-24)",worksheet[[#This Row],[age]]&lt; 35,"2. Early Adulthood (25-34)",worksheet[[#This Row],[age]]&lt; 45,"3. Mid Adulthood (35-44)",worksheet[[#This Row],[age]]&lt; 55,"4. Mature Adulthood (45-54)",TRUE,"5. Late Adulthood/Senior (55+)")</f>
        <v>3. Mid Adulthood (35-44)</v>
      </c>
      <c r="D2209" t="s">
        <v>15</v>
      </c>
      <c r="E2209" t="s">
        <v>16</v>
      </c>
      <c r="F2209" s="4">
        <v>18.32</v>
      </c>
      <c r="G2209" s="5">
        <v>52</v>
      </c>
      <c r="H2209" t="s">
        <v>33</v>
      </c>
      <c r="I2209" t="s">
        <v>57</v>
      </c>
      <c r="J2209" s="6">
        <v>8.99</v>
      </c>
      <c r="K2209">
        <v>1</v>
      </c>
      <c r="L2209" t="s">
        <v>29</v>
      </c>
      <c r="M2209" s="5">
        <v>5</v>
      </c>
      <c r="N2209" s="4">
        <v>0.35</v>
      </c>
      <c r="O2209" t="s">
        <v>47</v>
      </c>
    </row>
    <row r="2210" spans="1:15" x14ac:dyDescent="0.3">
      <c r="A2210" t="s">
        <v>3105</v>
      </c>
      <c r="B2210" s="5">
        <v>41</v>
      </c>
      <c r="C2210" s="5" t="str" cm="1">
        <f t="array" ref="C2210">_xlfn.IFS(worksheet[[#This Row],[age]]&lt;25,"1. Young Adulthood (18-24)",worksheet[[#This Row],[age]]&lt; 35,"2. Early Adulthood (25-34)",worksheet[[#This Row],[age]]&lt; 45,"3. Mid Adulthood (35-44)",worksheet[[#This Row],[age]]&lt; 55,"4. Mature Adulthood (45-54)",TRUE,"5. Late Adulthood/Senior (55+)")</f>
        <v>3. Mid Adulthood (35-44)</v>
      </c>
      <c r="D2210" t="s">
        <v>27</v>
      </c>
      <c r="E2210" t="s">
        <v>32</v>
      </c>
      <c r="F2210" s="4">
        <v>5.18</v>
      </c>
      <c r="G2210" s="5">
        <v>33</v>
      </c>
      <c r="H2210" t="s">
        <v>49</v>
      </c>
      <c r="I2210" t="s">
        <v>46</v>
      </c>
      <c r="J2210" s="6">
        <v>17.989999999999998</v>
      </c>
      <c r="K2210">
        <v>1</v>
      </c>
      <c r="L2210" t="s">
        <v>19</v>
      </c>
      <c r="M2210" s="5">
        <v>1</v>
      </c>
      <c r="N2210" s="4">
        <v>0.15</v>
      </c>
      <c r="O2210" t="s">
        <v>20</v>
      </c>
    </row>
    <row r="2211" spans="1:15" x14ac:dyDescent="0.3">
      <c r="A2211" t="s">
        <v>3124</v>
      </c>
      <c r="B2211" s="5">
        <v>40</v>
      </c>
      <c r="C2211" s="5" t="str" cm="1">
        <f t="array" ref="C2211">_xlfn.IFS(worksheet[[#This Row],[age]]&lt;25,"1. Young Adulthood (18-24)",worksheet[[#This Row],[age]]&lt; 35,"2. Early Adulthood (25-34)",worksheet[[#This Row],[age]]&lt; 45,"3. Mid Adulthood (35-44)",worksheet[[#This Row],[age]]&lt; 55,"4. Mature Adulthood (45-54)",TRUE,"5. Late Adulthood/Senior (55+)")</f>
        <v>3. Mid Adulthood (35-44)</v>
      </c>
      <c r="D2211" t="s">
        <v>27</v>
      </c>
      <c r="E2211" t="s">
        <v>32</v>
      </c>
      <c r="F2211" s="4">
        <v>11.57</v>
      </c>
      <c r="G2211" s="5">
        <v>11</v>
      </c>
      <c r="H2211" t="s">
        <v>49</v>
      </c>
      <c r="I2211" t="s">
        <v>46</v>
      </c>
      <c r="J2211" s="6">
        <v>17.989999999999998</v>
      </c>
      <c r="K2211">
        <v>0</v>
      </c>
      <c r="L2211" t="s">
        <v>37</v>
      </c>
      <c r="M2211" s="5">
        <v>3</v>
      </c>
      <c r="N2211" s="4">
        <v>0.96</v>
      </c>
      <c r="O2211" t="s">
        <v>52</v>
      </c>
    </row>
    <row r="2212" spans="1:15" x14ac:dyDescent="0.3">
      <c r="A2212" t="s">
        <v>3126</v>
      </c>
      <c r="B2212" s="5">
        <v>36</v>
      </c>
      <c r="C2212" s="5" t="str" cm="1">
        <f t="array" ref="C2212">_xlfn.IFS(worksheet[[#This Row],[age]]&lt;25,"1. Young Adulthood (18-24)",worksheet[[#This Row],[age]]&lt; 35,"2. Early Adulthood (25-34)",worksheet[[#This Row],[age]]&lt; 45,"3. Mid Adulthood (35-44)",worksheet[[#This Row],[age]]&lt; 55,"4. Mature Adulthood (45-54)",TRUE,"5. Late Adulthood/Senior (55+)")</f>
        <v>3. Mid Adulthood (35-44)</v>
      </c>
      <c r="D2212" t="s">
        <v>15</v>
      </c>
      <c r="E2212" t="s">
        <v>16</v>
      </c>
      <c r="F2212" s="4">
        <v>21.08</v>
      </c>
      <c r="G2212" s="5">
        <v>27</v>
      </c>
      <c r="H2212" t="s">
        <v>17</v>
      </c>
      <c r="I2212" t="s">
        <v>24</v>
      </c>
      <c r="J2212" s="6">
        <v>8.99</v>
      </c>
      <c r="K2212">
        <v>0</v>
      </c>
      <c r="L2212" t="s">
        <v>37</v>
      </c>
      <c r="M2212" s="5">
        <v>2</v>
      </c>
      <c r="N2212" s="4">
        <v>0.75</v>
      </c>
      <c r="O2212" t="s">
        <v>20</v>
      </c>
    </row>
    <row r="2213" spans="1:15" x14ac:dyDescent="0.3">
      <c r="A2213" t="s">
        <v>3129</v>
      </c>
      <c r="B2213" s="5">
        <v>37</v>
      </c>
      <c r="C2213" s="5" t="str" cm="1">
        <f t="array" ref="C2213">_xlfn.IFS(worksheet[[#This Row],[age]]&lt;25,"1. Young Adulthood (18-24)",worksheet[[#This Row],[age]]&lt; 35,"2. Early Adulthood (25-34)",worksheet[[#This Row],[age]]&lt; 45,"3. Mid Adulthood (35-44)",worksheet[[#This Row],[age]]&lt; 55,"4. Mature Adulthood (45-54)",TRUE,"5. Late Adulthood/Senior (55+)")</f>
        <v>3. Mid Adulthood (35-44)</v>
      </c>
      <c r="D2213" t="s">
        <v>15</v>
      </c>
      <c r="E2213" t="s">
        <v>16</v>
      </c>
      <c r="F2213" s="4">
        <v>7.72</v>
      </c>
      <c r="G2213" s="5">
        <v>31</v>
      </c>
      <c r="H2213" t="s">
        <v>49</v>
      </c>
      <c r="I2213" t="s">
        <v>18</v>
      </c>
      <c r="J2213" s="6">
        <v>8.99</v>
      </c>
      <c r="K2213">
        <v>1</v>
      </c>
      <c r="L2213" t="s">
        <v>29</v>
      </c>
      <c r="M2213" s="5">
        <v>5</v>
      </c>
      <c r="N2213" s="4">
        <v>0.24</v>
      </c>
      <c r="O2213" t="s">
        <v>47</v>
      </c>
    </row>
    <row r="2214" spans="1:15" x14ac:dyDescent="0.3">
      <c r="A2214" t="s">
        <v>3145</v>
      </c>
      <c r="B2214" s="5">
        <v>42</v>
      </c>
      <c r="C2214" s="5" t="str" cm="1">
        <f t="array" ref="C2214">_xlfn.IFS(worksheet[[#This Row],[age]]&lt;25,"1. Young Adulthood (18-24)",worksheet[[#This Row],[age]]&lt; 35,"2. Early Adulthood (25-34)",worksheet[[#This Row],[age]]&lt; 45,"3. Mid Adulthood (35-44)",worksheet[[#This Row],[age]]&lt; 55,"4. Mature Adulthood (45-54)",TRUE,"5. Late Adulthood/Senior (55+)")</f>
        <v>3. Mid Adulthood (35-44)</v>
      </c>
      <c r="D2214" t="s">
        <v>15</v>
      </c>
      <c r="E2214" t="s">
        <v>22</v>
      </c>
      <c r="F2214" s="4">
        <v>7.51</v>
      </c>
      <c r="G2214" s="5">
        <v>28</v>
      </c>
      <c r="H2214" t="s">
        <v>23</v>
      </c>
      <c r="I2214" t="s">
        <v>46</v>
      </c>
      <c r="J2214" s="6">
        <v>13.99</v>
      </c>
      <c r="K2214">
        <v>0</v>
      </c>
      <c r="L2214" t="s">
        <v>19</v>
      </c>
      <c r="M2214" s="5">
        <v>1</v>
      </c>
      <c r="N2214" s="4">
        <v>0.26</v>
      </c>
      <c r="O2214" t="s">
        <v>52</v>
      </c>
    </row>
    <row r="2215" spans="1:15" x14ac:dyDescent="0.3">
      <c r="A2215" t="s">
        <v>3147</v>
      </c>
      <c r="B2215" s="5">
        <v>44</v>
      </c>
      <c r="C2215" s="5" t="str" cm="1">
        <f t="array" ref="C2215">_xlfn.IFS(worksheet[[#This Row],[age]]&lt;25,"1. Young Adulthood (18-24)",worksheet[[#This Row],[age]]&lt; 35,"2. Early Adulthood (25-34)",worksheet[[#This Row],[age]]&lt; 45,"3. Mid Adulthood (35-44)",worksheet[[#This Row],[age]]&lt; 55,"4. Mature Adulthood (45-54)",TRUE,"5. Late Adulthood/Senior (55+)")</f>
        <v>3. Mid Adulthood (35-44)</v>
      </c>
      <c r="D2215" t="s">
        <v>27</v>
      </c>
      <c r="E2215" t="s">
        <v>16</v>
      </c>
      <c r="F2215" s="4">
        <v>9.35</v>
      </c>
      <c r="G2215" s="5">
        <v>56</v>
      </c>
      <c r="H2215" t="s">
        <v>17</v>
      </c>
      <c r="I2215" t="s">
        <v>57</v>
      </c>
      <c r="J2215" s="6">
        <v>8.99</v>
      </c>
      <c r="K2215">
        <v>1</v>
      </c>
      <c r="L2215" t="s">
        <v>29</v>
      </c>
      <c r="M2215" s="5">
        <v>5</v>
      </c>
      <c r="N2215" s="4">
        <v>0.16</v>
      </c>
      <c r="O2215" t="s">
        <v>25</v>
      </c>
    </row>
    <row r="2216" spans="1:15" x14ac:dyDescent="0.3">
      <c r="A2216" t="s">
        <v>3149</v>
      </c>
      <c r="B2216" s="5">
        <v>43</v>
      </c>
      <c r="C2216" s="5" t="str" cm="1">
        <f t="array" ref="C2216">_xlfn.IFS(worksheet[[#This Row],[age]]&lt;25,"1. Young Adulthood (18-24)",worksheet[[#This Row],[age]]&lt; 35,"2. Early Adulthood (25-34)",worksheet[[#This Row],[age]]&lt; 45,"3. Mid Adulthood (35-44)",worksheet[[#This Row],[age]]&lt; 55,"4. Mature Adulthood (45-54)",TRUE,"5. Late Adulthood/Senior (55+)")</f>
        <v>3. Mid Adulthood (35-44)</v>
      </c>
      <c r="D2216" t="s">
        <v>27</v>
      </c>
      <c r="E2216" t="s">
        <v>16</v>
      </c>
      <c r="F2216" s="4">
        <v>11.02</v>
      </c>
      <c r="G2216" s="5">
        <v>47</v>
      </c>
      <c r="H2216" t="s">
        <v>33</v>
      </c>
      <c r="I2216" t="s">
        <v>18</v>
      </c>
      <c r="J2216" s="6">
        <v>8.99</v>
      </c>
      <c r="K2216">
        <v>1</v>
      </c>
      <c r="L2216" t="s">
        <v>29</v>
      </c>
      <c r="M2216" s="5">
        <v>4</v>
      </c>
      <c r="N2216" s="4">
        <v>0.23</v>
      </c>
      <c r="O2216" t="s">
        <v>39</v>
      </c>
    </row>
    <row r="2217" spans="1:15" x14ac:dyDescent="0.3">
      <c r="A2217" t="s">
        <v>3151</v>
      </c>
      <c r="B2217" s="5">
        <v>35</v>
      </c>
      <c r="C2217" s="5" t="str" cm="1">
        <f t="array" ref="C2217">_xlfn.IFS(worksheet[[#This Row],[age]]&lt;25,"1. Young Adulthood (18-24)",worksheet[[#This Row],[age]]&lt; 35,"2. Early Adulthood (25-34)",worksheet[[#This Row],[age]]&lt; 45,"3. Mid Adulthood (35-44)",worksheet[[#This Row],[age]]&lt; 55,"4. Mature Adulthood (45-54)",TRUE,"5. Late Adulthood/Senior (55+)")</f>
        <v>3. Mid Adulthood (35-44)</v>
      </c>
      <c r="D2217" t="s">
        <v>27</v>
      </c>
      <c r="E2217" t="s">
        <v>32</v>
      </c>
      <c r="F2217" s="4">
        <v>8.44</v>
      </c>
      <c r="G2217" s="5">
        <v>47</v>
      </c>
      <c r="H2217" t="s">
        <v>28</v>
      </c>
      <c r="I2217" t="s">
        <v>46</v>
      </c>
      <c r="J2217" s="6">
        <v>17.989999999999998</v>
      </c>
      <c r="K2217">
        <v>1</v>
      </c>
      <c r="L2217" t="s">
        <v>29</v>
      </c>
      <c r="M2217" s="5">
        <v>4</v>
      </c>
      <c r="N2217" s="4">
        <v>0.18</v>
      </c>
      <c r="O2217" t="s">
        <v>25</v>
      </c>
    </row>
    <row r="2218" spans="1:15" x14ac:dyDescent="0.3">
      <c r="A2218" t="s">
        <v>3159</v>
      </c>
      <c r="B2218" s="5">
        <v>40</v>
      </c>
      <c r="C2218" s="5" t="str" cm="1">
        <f t="array" ref="C2218">_xlfn.IFS(worksheet[[#This Row],[age]]&lt;25,"1. Young Adulthood (18-24)",worksheet[[#This Row],[age]]&lt; 35,"2. Early Adulthood (25-34)",worksheet[[#This Row],[age]]&lt; 45,"3. Mid Adulthood (35-44)",worksheet[[#This Row],[age]]&lt; 55,"4. Mature Adulthood (45-54)",TRUE,"5. Late Adulthood/Senior (55+)")</f>
        <v>3. Mid Adulthood (35-44)</v>
      </c>
      <c r="D2218" t="s">
        <v>15</v>
      </c>
      <c r="E2218" t="s">
        <v>22</v>
      </c>
      <c r="F2218" s="4">
        <v>1.46</v>
      </c>
      <c r="G2218" s="5">
        <v>44</v>
      </c>
      <c r="H2218" t="s">
        <v>23</v>
      </c>
      <c r="I2218" t="s">
        <v>46</v>
      </c>
      <c r="J2218" s="6">
        <v>13.99</v>
      </c>
      <c r="K2218">
        <v>1</v>
      </c>
      <c r="L2218" t="s">
        <v>61</v>
      </c>
      <c r="M2218" s="5">
        <v>3</v>
      </c>
      <c r="N2218" s="4">
        <v>0.03</v>
      </c>
      <c r="O2218" t="s">
        <v>52</v>
      </c>
    </row>
    <row r="2219" spans="1:15" x14ac:dyDescent="0.3">
      <c r="A2219" t="s">
        <v>3161</v>
      </c>
      <c r="B2219" s="5">
        <v>44</v>
      </c>
      <c r="C2219" s="5" t="str" cm="1">
        <f t="array" ref="C2219">_xlfn.IFS(worksheet[[#This Row],[age]]&lt;25,"1. Young Adulthood (18-24)",worksheet[[#This Row],[age]]&lt; 35,"2. Early Adulthood (25-34)",worksheet[[#This Row],[age]]&lt; 45,"3. Mid Adulthood (35-44)",worksheet[[#This Row],[age]]&lt; 55,"4. Mature Adulthood (45-54)",TRUE,"5. Late Adulthood/Senior (55+)")</f>
        <v>3. Mid Adulthood (35-44)</v>
      </c>
      <c r="D2219" t="s">
        <v>27</v>
      </c>
      <c r="E2219" t="s">
        <v>16</v>
      </c>
      <c r="F2219" s="4">
        <v>9.89</v>
      </c>
      <c r="G2219" s="5">
        <v>39</v>
      </c>
      <c r="H2219" t="s">
        <v>28</v>
      </c>
      <c r="I2219" t="s">
        <v>24</v>
      </c>
      <c r="J2219" s="6">
        <v>8.99</v>
      </c>
      <c r="K2219">
        <v>1</v>
      </c>
      <c r="L2219" t="s">
        <v>19</v>
      </c>
      <c r="M2219" s="5">
        <v>4</v>
      </c>
      <c r="N2219" s="4">
        <v>0.25</v>
      </c>
      <c r="O2219" t="s">
        <v>25</v>
      </c>
    </row>
    <row r="2220" spans="1:15" x14ac:dyDescent="0.3">
      <c r="A2220" t="s">
        <v>3162</v>
      </c>
      <c r="B2220" s="5">
        <v>41</v>
      </c>
      <c r="C2220" s="5" t="str" cm="1">
        <f t="array" ref="C2220">_xlfn.IFS(worksheet[[#This Row],[age]]&lt;25,"1. Young Adulthood (18-24)",worksheet[[#This Row],[age]]&lt; 35,"2. Early Adulthood (25-34)",worksheet[[#This Row],[age]]&lt; 45,"3. Mid Adulthood (35-44)",worksheet[[#This Row],[age]]&lt; 55,"4. Mature Adulthood (45-54)",TRUE,"5. Late Adulthood/Senior (55+)")</f>
        <v>3. Mid Adulthood (35-44)</v>
      </c>
      <c r="D2220" t="s">
        <v>15</v>
      </c>
      <c r="E2220" t="s">
        <v>16</v>
      </c>
      <c r="F2220" s="4">
        <v>19.100000000000001</v>
      </c>
      <c r="G2220" s="5">
        <v>2</v>
      </c>
      <c r="H2220" t="s">
        <v>23</v>
      </c>
      <c r="I2220" t="s">
        <v>24</v>
      </c>
      <c r="J2220" s="6">
        <v>8.99</v>
      </c>
      <c r="K2220">
        <v>0</v>
      </c>
      <c r="L2220" t="s">
        <v>43</v>
      </c>
      <c r="M2220" s="5">
        <v>1</v>
      </c>
      <c r="N2220" s="4">
        <v>6.37</v>
      </c>
      <c r="O2220" t="s">
        <v>25</v>
      </c>
    </row>
    <row r="2221" spans="1:15" x14ac:dyDescent="0.3">
      <c r="A2221" s="1" t="s">
        <v>3167</v>
      </c>
      <c r="B2221" s="5">
        <v>44</v>
      </c>
      <c r="C2221" s="5" t="str" cm="1">
        <f t="array" ref="C2221">_xlfn.IFS(worksheet[[#This Row],[age]]&lt;25,"1. Young Adulthood (18-24)",worksheet[[#This Row],[age]]&lt; 35,"2. Early Adulthood (25-34)",worksheet[[#This Row],[age]]&lt; 45,"3. Mid Adulthood (35-44)",worksheet[[#This Row],[age]]&lt; 55,"4. Mature Adulthood (45-54)",TRUE,"5. Late Adulthood/Senior (55+)")</f>
        <v>3. Mid Adulthood (35-44)</v>
      </c>
      <c r="D2221" t="s">
        <v>15</v>
      </c>
      <c r="E2221" t="s">
        <v>16</v>
      </c>
      <c r="F2221" s="4">
        <v>3.53</v>
      </c>
      <c r="G2221" s="5">
        <v>56</v>
      </c>
      <c r="H2221" t="s">
        <v>70</v>
      </c>
      <c r="I2221" t="s">
        <v>55</v>
      </c>
      <c r="J2221" s="6">
        <v>8.99</v>
      </c>
      <c r="K2221">
        <v>1</v>
      </c>
      <c r="L2221" t="s">
        <v>29</v>
      </c>
      <c r="M2221" s="5">
        <v>1</v>
      </c>
      <c r="N2221" s="4">
        <v>0.06</v>
      </c>
      <c r="O2221" t="s">
        <v>47</v>
      </c>
    </row>
    <row r="2222" spans="1:15" x14ac:dyDescent="0.3">
      <c r="A2222" t="s">
        <v>3177</v>
      </c>
      <c r="B2222" s="5">
        <v>42</v>
      </c>
      <c r="C2222" s="5" t="str" cm="1">
        <f t="array" ref="C2222">_xlfn.IFS(worksheet[[#This Row],[age]]&lt;25,"1. Young Adulthood (18-24)",worksheet[[#This Row],[age]]&lt; 35,"2. Early Adulthood (25-34)",worksheet[[#This Row],[age]]&lt; 45,"3. Mid Adulthood (35-44)",worksheet[[#This Row],[age]]&lt; 55,"4. Mature Adulthood (45-54)",TRUE,"5. Late Adulthood/Senior (55+)")</f>
        <v>3. Mid Adulthood (35-44)</v>
      </c>
      <c r="D2222" t="s">
        <v>41</v>
      </c>
      <c r="E2222" t="s">
        <v>32</v>
      </c>
      <c r="F2222" s="4">
        <v>18.09</v>
      </c>
      <c r="G2222" s="5">
        <v>10</v>
      </c>
      <c r="H2222" t="s">
        <v>49</v>
      </c>
      <c r="I2222" t="s">
        <v>18</v>
      </c>
      <c r="J2222" s="6">
        <v>17.989999999999998</v>
      </c>
      <c r="K2222">
        <v>0</v>
      </c>
      <c r="L2222" t="s">
        <v>37</v>
      </c>
      <c r="M2222" s="5">
        <v>2</v>
      </c>
      <c r="N2222" s="4">
        <v>1.64</v>
      </c>
      <c r="O2222" t="s">
        <v>34</v>
      </c>
    </row>
    <row r="2223" spans="1:15" x14ac:dyDescent="0.3">
      <c r="A2223" t="s">
        <v>3181</v>
      </c>
      <c r="B2223" s="5">
        <v>41</v>
      </c>
      <c r="C2223" s="5" t="str" cm="1">
        <f t="array" ref="C2223">_xlfn.IFS(worksheet[[#This Row],[age]]&lt;25,"1. Young Adulthood (18-24)",worksheet[[#This Row],[age]]&lt; 35,"2. Early Adulthood (25-34)",worksheet[[#This Row],[age]]&lt; 45,"3. Mid Adulthood (35-44)",worksheet[[#This Row],[age]]&lt; 55,"4. Mature Adulthood (45-54)",TRUE,"5. Late Adulthood/Senior (55+)")</f>
        <v>3. Mid Adulthood (35-44)</v>
      </c>
      <c r="D2223" t="s">
        <v>27</v>
      </c>
      <c r="E2223" t="s">
        <v>32</v>
      </c>
      <c r="F2223" s="4">
        <v>7.53</v>
      </c>
      <c r="G2223" s="5">
        <v>28</v>
      </c>
      <c r="H2223" t="s">
        <v>33</v>
      </c>
      <c r="I2223" t="s">
        <v>55</v>
      </c>
      <c r="J2223" s="6">
        <v>17.989999999999998</v>
      </c>
      <c r="K2223">
        <v>0</v>
      </c>
      <c r="L2223" t="s">
        <v>37</v>
      </c>
      <c r="M2223" s="5">
        <v>2</v>
      </c>
      <c r="N2223" s="4">
        <v>0.26</v>
      </c>
      <c r="O2223" t="s">
        <v>47</v>
      </c>
    </row>
    <row r="2224" spans="1:15" x14ac:dyDescent="0.3">
      <c r="A2224" t="s">
        <v>3182</v>
      </c>
      <c r="B2224" s="5">
        <v>35</v>
      </c>
      <c r="C2224" s="5" t="str" cm="1">
        <f t="array" ref="C2224">_xlfn.IFS(worksheet[[#This Row],[age]]&lt;25,"1. Young Adulthood (18-24)",worksheet[[#This Row],[age]]&lt; 35,"2. Early Adulthood (25-34)",worksheet[[#This Row],[age]]&lt; 45,"3. Mid Adulthood (35-44)",worksheet[[#This Row],[age]]&lt; 55,"4. Mature Adulthood (45-54)",TRUE,"5. Late Adulthood/Senior (55+)")</f>
        <v>3. Mid Adulthood (35-44)</v>
      </c>
      <c r="D2224" t="s">
        <v>41</v>
      </c>
      <c r="E2224" t="s">
        <v>16</v>
      </c>
      <c r="F2224" s="4">
        <v>5.07</v>
      </c>
      <c r="G2224" s="5">
        <v>41</v>
      </c>
      <c r="H2224" t="s">
        <v>49</v>
      </c>
      <c r="I2224" t="s">
        <v>18</v>
      </c>
      <c r="J2224" s="6">
        <v>8.99</v>
      </c>
      <c r="K2224">
        <v>1</v>
      </c>
      <c r="L2224" t="s">
        <v>37</v>
      </c>
      <c r="M2224" s="5">
        <v>2</v>
      </c>
      <c r="N2224" s="4">
        <v>0.12</v>
      </c>
      <c r="O2224" t="s">
        <v>34</v>
      </c>
    </row>
    <row r="2225" spans="1:15" x14ac:dyDescent="0.3">
      <c r="A2225" t="s">
        <v>3187</v>
      </c>
      <c r="B2225" s="5">
        <v>38</v>
      </c>
      <c r="C2225" s="5" t="str" cm="1">
        <f t="array" ref="C2225">_xlfn.IFS(worksheet[[#This Row],[age]]&lt;25,"1. Young Adulthood (18-24)",worksheet[[#This Row],[age]]&lt; 35,"2. Early Adulthood (25-34)",worksheet[[#This Row],[age]]&lt; 45,"3. Mid Adulthood (35-44)",worksheet[[#This Row],[age]]&lt; 55,"4. Mature Adulthood (45-54)",TRUE,"5. Late Adulthood/Senior (55+)")</f>
        <v>3. Mid Adulthood (35-44)</v>
      </c>
      <c r="D2225" t="s">
        <v>27</v>
      </c>
      <c r="E2225" t="s">
        <v>32</v>
      </c>
      <c r="F2225" s="4">
        <v>20.14</v>
      </c>
      <c r="G2225" s="5">
        <v>40</v>
      </c>
      <c r="H2225" t="s">
        <v>17</v>
      </c>
      <c r="I2225" t="s">
        <v>55</v>
      </c>
      <c r="J2225" s="6">
        <v>17.989999999999998</v>
      </c>
      <c r="K2225">
        <v>0</v>
      </c>
      <c r="L2225" t="s">
        <v>43</v>
      </c>
      <c r="M2225" s="5">
        <v>3</v>
      </c>
      <c r="N2225" s="4">
        <v>0.49</v>
      </c>
      <c r="O2225" t="s">
        <v>30</v>
      </c>
    </row>
    <row r="2226" spans="1:15" x14ac:dyDescent="0.3">
      <c r="A2226" t="s">
        <v>3199</v>
      </c>
      <c r="B2226" s="5">
        <v>36</v>
      </c>
      <c r="C2226" s="5" t="str" cm="1">
        <f t="array" ref="C2226">_xlfn.IFS(worksheet[[#This Row],[age]]&lt;25,"1. Young Adulthood (18-24)",worksheet[[#This Row],[age]]&lt; 35,"2. Early Adulthood (25-34)",worksheet[[#This Row],[age]]&lt; 45,"3. Mid Adulthood (35-44)",worksheet[[#This Row],[age]]&lt; 55,"4. Mature Adulthood (45-54)",TRUE,"5. Late Adulthood/Senior (55+)")</f>
        <v>3. Mid Adulthood (35-44)</v>
      </c>
      <c r="D2226" t="s">
        <v>41</v>
      </c>
      <c r="E2226" t="s">
        <v>32</v>
      </c>
      <c r="F2226" s="4">
        <v>0.98</v>
      </c>
      <c r="G2226" s="5">
        <v>55</v>
      </c>
      <c r="H2226" t="s">
        <v>33</v>
      </c>
      <c r="I2226" t="s">
        <v>24</v>
      </c>
      <c r="J2226" s="6">
        <v>17.989999999999998</v>
      </c>
      <c r="K2226">
        <v>1</v>
      </c>
      <c r="L2226" t="s">
        <v>37</v>
      </c>
      <c r="M2226" s="5">
        <v>2</v>
      </c>
      <c r="N2226" s="4">
        <v>0.02</v>
      </c>
      <c r="O2226" t="s">
        <v>47</v>
      </c>
    </row>
    <row r="2227" spans="1:15" x14ac:dyDescent="0.3">
      <c r="A2227" t="s">
        <v>3204</v>
      </c>
      <c r="B2227" s="5">
        <v>42</v>
      </c>
      <c r="C2227" s="5" t="str" cm="1">
        <f t="array" ref="C2227">_xlfn.IFS(worksheet[[#This Row],[age]]&lt;25,"1. Young Adulthood (18-24)",worksheet[[#This Row],[age]]&lt; 35,"2. Early Adulthood (25-34)",worksheet[[#This Row],[age]]&lt; 45,"3. Mid Adulthood (35-44)",worksheet[[#This Row],[age]]&lt; 55,"4. Mature Adulthood (45-54)",TRUE,"5. Late Adulthood/Senior (55+)")</f>
        <v>3. Mid Adulthood (35-44)</v>
      </c>
      <c r="D2227" t="s">
        <v>41</v>
      </c>
      <c r="E2227" t="s">
        <v>16</v>
      </c>
      <c r="F2227" s="4">
        <v>7.09</v>
      </c>
      <c r="G2227" s="5">
        <v>21</v>
      </c>
      <c r="H2227" t="s">
        <v>17</v>
      </c>
      <c r="I2227" t="s">
        <v>18</v>
      </c>
      <c r="J2227" s="6">
        <v>8.99</v>
      </c>
      <c r="K2227">
        <v>1</v>
      </c>
      <c r="L2227" t="s">
        <v>37</v>
      </c>
      <c r="M2227" s="5">
        <v>1</v>
      </c>
      <c r="N2227" s="4">
        <v>0.32</v>
      </c>
      <c r="O2227" t="s">
        <v>20</v>
      </c>
    </row>
    <row r="2228" spans="1:15" x14ac:dyDescent="0.3">
      <c r="A2228" t="s">
        <v>3205</v>
      </c>
      <c r="B2228" s="5">
        <v>35</v>
      </c>
      <c r="C2228" s="5" t="str" cm="1">
        <f t="array" ref="C2228">_xlfn.IFS(worksheet[[#This Row],[age]]&lt;25,"1. Young Adulthood (18-24)",worksheet[[#This Row],[age]]&lt; 35,"2. Early Adulthood (25-34)",worksheet[[#This Row],[age]]&lt; 45,"3. Mid Adulthood (35-44)",worksheet[[#This Row],[age]]&lt; 55,"4. Mature Adulthood (45-54)",TRUE,"5. Late Adulthood/Senior (55+)")</f>
        <v>3. Mid Adulthood (35-44)</v>
      </c>
      <c r="D2228" t="s">
        <v>15</v>
      </c>
      <c r="E2228" t="s">
        <v>16</v>
      </c>
      <c r="F2228" s="4">
        <v>1.21</v>
      </c>
      <c r="G2228" s="5">
        <v>4</v>
      </c>
      <c r="H2228" t="s">
        <v>33</v>
      </c>
      <c r="I2228" t="s">
        <v>55</v>
      </c>
      <c r="J2228" s="6">
        <v>8.99</v>
      </c>
      <c r="K2228">
        <v>1</v>
      </c>
      <c r="L2228" t="s">
        <v>19</v>
      </c>
      <c r="M2228" s="5">
        <v>2</v>
      </c>
      <c r="N2228" s="4">
        <v>0.24</v>
      </c>
      <c r="O2228" t="s">
        <v>20</v>
      </c>
    </row>
    <row r="2229" spans="1:15" x14ac:dyDescent="0.3">
      <c r="A2229" t="s">
        <v>3209</v>
      </c>
      <c r="B2229" s="5">
        <v>38</v>
      </c>
      <c r="C2229" s="5" t="str" cm="1">
        <f t="array" ref="C2229">_xlfn.IFS(worksheet[[#This Row],[age]]&lt;25,"1. Young Adulthood (18-24)",worksheet[[#This Row],[age]]&lt; 35,"2. Early Adulthood (25-34)",worksheet[[#This Row],[age]]&lt; 45,"3. Mid Adulthood (35-44)",worksheet[[#This Row],[age]]&lt; 55,"4. Mature Adulthood (45-54)",TRUE,"5. Late Adulthood/Senior (55+)")</f>
        <v>3. Mid Adulthood (35-44)</v>
      </c>
      <c r="D2229" t="s">
        <v>27</v>
      </c>
      <c r="E2229" t="s">
        <v>16</v>
      </c>
      <c r="F2229" s="4">
        <v>3.08</v>
      </c>
      <c r="G2229" s="5">
        <v>53</v>
      </c>
      <c r="H2229" t="s">
        <v>70</v>
      </c>
      <c r="I2229" t="s">
        <v>55</v>
      </c>
      <c r="J2229" s="6">
        <v>8.99</v>
      </c>
      <c r="K2229">
        <v>1</v>
      </c>
      <c r="L2229" t="s">
        <v>19</v>
      </c>
      <c r="M2229" s="5">
        <v>2</v>
      </c>
      <c r="N2229" s="4">
        <v>0.06</v>
      </c>
      <c r="O2229" t="s">
        <v>47</v>
      </c>
    </row>
    <row r="2230" spans="1:15" x14ac:dyDescent="0.3">
      <c r="A2230" t="s">
        <v>3220</v>
      </c>
      <c r="B2230" s="5">
        <v>40</v>
      </c>
      <c r="C2230" s="5" t="str" cm="1">
        <f t="array" ref="C2230">_xlfn.IFS(worksheet[[#This Row],[age]]&lt;25,"1. Young Adulthood (18-24)",worksheet[[#This Row],[age]]&lt; 35,"2. Early Adulthood (25-34)",worksheet[[#This Row],[age]]&lt; 45,"3. Mid Adulthood (35-44)",worksheet[[#This Row],[age]]&lt; 55,"4. Mature Adulthood (45-54)",TRUE,"5. Late Adulthood/Senior (55+)")</f>
        <v>3. Mid Adulthood (35-44)</v>
      </c>
      <c r="D2230" t="s">
        <v>27</v>
      </c>
      <c r="E2230" t="s">
        <v>22</v>
      </c>
      <c r="F2230" s="4">
        <v>7.66</v>
      </c>
      <c r="G2230" s="5">
        <v>57</v>
      </c>
      <c r="H2230" t="s">
        <v>28</v>
      </c>
      <c r="I2230" t="s">
        <v>55</v>
      </c>
      <c r="J2230" s="6">
        <v>13.99</v>
      </c>
      <c r="K2230">
        <v>1</v>
      </c>
      <c r="L2230" t="s">
        <v>29</v>
      </c>
      <c r="M2230" s="5">
        <v>1</v>
      </c>
      <c r="N2230" s="4">
        <v>0.13</v>
      </c>
      <c r="O2230" t="s">
        <v>20</v>
      </c>
    </row>
    <row r="2231" spans="1:15" x14ac:dyDescent="0.3">
      <c r="A2231" t="s">
        <v>3222</v>
      </c>
      <c r="B2231" s="5">
        <v>43</v>
      </c>
      <c r="C2231" s="5" t="str" cm="1">
        <f t="array" ref="C2231">_xlfn.IFS(worksheet[[#This Row],[age]]&lt;25,"1. Young Adulthood (18-24)",worksheet[[#This Row],[age]]&lt; 35,"2. Early Adulthood (25-34)",worksheet[[#This Row],[age]]&lt; 45,"3. Mid Adulthood (35-44)",worksheet[[#This Row],[age]]&lt; 55,"4. Mature Adulthood (45-54)",TRUE,"5. Late Adulthood/Senior (55+)")</f>
        <v>3. Mid Adulthood (35-44)</v>
      </c>
      <c r="D2231" t="s">
        <v>27</v>
      </c>
      <c r="E2231" t="s">
        <v>22</v>
      </c>
      <c r="F2231" s="4">
        <v>12.58</v>
      </c>
      <c r="G2231" s="5">
        <v>16</v>
      </c>
      <c r="H2231" t="s">
        <v>33</v>
      </c>
      <c r="I2231" t="s">
        <v>55</v>
      </c>
      <c r="J2231" s="6">
        <v>13.99</v>
      </c>
      <c r="K2231">
        <v>0</v>
      </c>
      <c r="L2231" t="s">
        <v>61</v>
      </c>
      <c r="M2231" s="5">
        <v>4</v>
      </c>
      <c r="N2231" s="4">
        <v>0.74</v>
      </c>
      <c r="O2231" t="s">
        <v>34</v>
      </c>
    </row>
    <row r="2232" spans="1:15" x14ac:dyDescent="0.3">
      <c r="A2232" t="s">
        <v>3224</v>
      </c>
      <c r="B2232" s="5">
        <v>37</v>
      </c>
      <c r="C2232" s="5" t="str" cm="1">
        <f t="array" ref="C2232">_xlfn.IFS(worksheet[[#This Row],[age]]&lt;25,"1. Young Adulthood (18-24)",worksheet[[#This Row],[age]]&lt; 35,"2. Early Adulthood (25-34)",worksheet[[#This Row],[age]]&lt; 45,"3. Mid Adulthood (35-44)",worksheet[[#This Row],[age]]&lt; 55,"4. Mature Adulthood (45-54)",TRUE,"5. Late Adulthood/Senior (55+)")</f>
        <v>3. Mid Adulthood (35-44)</v>
      </c>
      <c r="D2232" t="s">
        <v>15</v>
      </c>
      <c r="E2232" t="s">
        <v>32</v>
      </c>
      <c r="F2232" s="4">
        <v>14.54</v>
      </c>
      <c r="G2232" s="5">
        <v>22</v>
      </c>
      <c r="H2232" t="s">
        <v>70</v>
      </c>
      <c r="I2232" t="s">
        <v>57</v>
      </c>
      <c r="J2232" s="6">
        <v>17.989999999999998</v>
      </c>
      <c r="K2232">
        <v>0</v>
      </c>
      <c r="L2232" t="s">
        <v>37</v>
      </c>
      <c r="M2232" s="5">
        <v>2</v>
      </c>
      <c r="N2232" s="4">
        <v>0.63</v>
      </c>
      <c r="O2232" t="s">
        <v>30</v>
      </c>
    </row>
    <row r="2233" spans="1:15" x14ac:dyDescent="0.3">
      <c r="A2233" t="s">
        <v>3234</v>
      </c>
      <c r="B2233" s="5">
        <v>36</v>
      </c>
      <c r="C2233" s="5" t="str" cm="1">
        <f t="array" ref="C2233">_xlfn.IFS(worksheet[[#This Row],[age]]&lt;25,"1. Young Adulthood (18-24)",worksheet[[#This Row],[age]]&lt; 35,"2. Early Adulthood (25-34)",worksheet[[#This Row],[age]]&lt; 45,"3. Mid Adulthood (35-44)",worksheet[[#This Row],[age]]&lt; 55,"4. Mature Adulthood (45-54)",TRUE,"5. Late Adulthood/Senior (55+)")</f>
        <v>3. Mid Adulthood (35-44)</v>
      </c>
      <c r="D2233" t="s">
        <v>41</v>
      </c>
      <c r="E2233" t="s">
        <v>22</v>
      </c>
      <c r="F2233" s="4">
        <v>12.66</v>
      </c>
      <c r="G2233" s="5">
        <v>34</v>
      </c>
      <c r="H2233" t="s">
        <v>70</v>
      </c>
      <c r="I2233" t="s">
        <v>55</v>
      </c>
      <c r="J2233" s="6">
        <v>13.99</v>
      </c>
      <c r="K2233">
        <v>1</v>
      </c>
      <c r="L2233" t="s">
        <v>43</v>
      </c>
      <c r="M2233" s="5">
        <v>1</v>
      </c>
      <c r="N2233" s="4">
        <v>0.36</v>
      </c>
      <c r="O2233" t="s">
        <v>52</v>
      </c>
    </row>
    <row r="2234" spans="1:15" x14ac:dyDescent="0.3">
      <c r="A2234" t="s">
        <v>3245</v>
      </c>
      <c r="B2234" s="5">
        <v>38</v>
      </c>
      <c r="C2234" s="5" t="str" cm="1">
        <f t="array" ref="C2234">_xlfn.IFS(worksheet[[#This Row],[age]]&lt;25,"1. Young Adulthood (18-24)",worksheet[[#This Row],[age]]&lt; 35,"2. Early Adulthood (25-34)",worksheet[[#This Row],[age]]&lt; 45,"3. Mid Adulthood (35-44)",worksheet[[#This Row],[age]]&lt; 55,"4. Mature Adulthood (45-54)",TRUE,"5. Late Adulthood/Senior (55+)")</f>
        <v>3. Mid Adulthood (35-44)</v>
      </c>
      <c r="D2234" t="s">
        <v>15</v>
      </c>
      <c r="E2234" t="s">
        <v>22</v>
      </c>
      <c r="F2234" s="4">
        <v>0.08</v>
      </c>
      <c r="G2234" s="5">
        <v>35</v>
      </c>
      <c r="H2234" t="s">
        <v>23</v>
      </c>
      <c r="I2234" t="s">
        <v>46</v>
      </c>
      <c r="J2234" s="6">
        <v>13.99</v>
      </c>
      <c r="K2234">
        <v>1</v>
      </c>
      <c r="L2234" t="s">
        <v>19</v>
      </c>
      <c r="M2234" s="5">
        <v>1</v>
      </c>
      <c r="N2234" s="4">
        <v>0</v>
      </c>
      <c r="O2234" t="s">
        <v>47</v>
      </c>
    </row>
    <row r="2235" spans="1:15" x14ac:dyDescent="0.3">
      <c r="A2235" t="s">
        <v>3251</v>
      </c>
      <c r="B2235" s="5">
        <v>36</v>
      </c>
      <c r="C2235" s="5" t="str" cm="1">
        <f t="array" ref="C2235">_xlfn.IFS(worksheet[[#This Row],[age]]&lt;25,"1. Young Adulthood (18-24)",worksheet[[#This Row],[age]]&lt; 35,"2. Early Adulthood (25-34)",worksheet[[#This Row],[age]]&lt; 45,"3. Mid Adulthood (35-44)",worksheet[[#This Row],[age]]&lt; 55,"4. Mature Adulthood (45-54)",TRUE,"5. Late Adulthood/Senior (55+)")</f>
        <v>3. Mid Adulthood (35-44)</v>
      </c>
      <c r="D2235" t="s">
        <v>41</v>
      </c>
      <c r="E2235" t="s">
        <v>32</v>
      </c>
      <c r="F2235" s="4">
        <v>11.69</v>
      </c>
      <c r="G2235" s="5">
        <v>23</v>
      </c>
      <c r="H2235" t="s">
        <v>28</v>
      </c>
      <c r="I2235" t="s">
        <v>18</v>
      </c>
      <c r="J2235" s="6">
        <v>17.989999999999998</v>
      </c>
      <c r="K2235">
        <v>0</v>
      </c>
      <c r="L2235" t="s">
        <v>19</v>
      </c>
      <c r="M2235" s="5">
        <v>3</v>
      </c>
      <c r="N2235" s="4">
        <v>0.49</v>
      </c>
      <c r="O2235" t="s">
        <v>30</v>
      </c>
    </row>
    <row r="2236" spans="1:15" x14ac:dyDescent="0.3">
      <c r="A2236" t="s">
        <v>3252</v>
      </c>
      <c r="B2236" s="5">
        <v>42</v>
      </c>
      <c r="C2236" s="5" t="str" cm="1">
        <f t="array" ref="C2236">_xlfn.IFS(worksheet[[#This Row],[age]]&lt;25,"1. Young Adulthood (18-24)",worksheet[[#This Row],[age]]&lt; 35,"2. Early Adulthood (25-34)",worksheet[[#This Row],[age]]&lt; 45,"3. Mid Adulthood (35-44)",worksheet[[#This Row],[age]]&lt; 55,"4. Mature Adulthood (45-54)",TRUE,"5. Late Adulthood/Senior (55+)")</f>
        <v>3. Mid Adulthood (35-44)</v>
      </c>
      <c r="D2236" t="s">
        <v>15</v>
      </c>
      <c r="E2236" t="s">
        <v>22</v>
      </c>
      <c r="F2236" s="4">
        <v>14.09</v>
      </c>
      <c r="G2236" s="5">
        <v>57</v>
      </c>
      <c r="H2236" t="s">
        <v>17</v>
      </c>
      <c r="I2236" t="s">
        <v>24</v>
      </c>
      <c r="J2236" s="6">
        <v>13.99</v>
      </c>
      <c r="K2236">
        <v>0</v>
      </c>
      <c r="L2236" t="s">
        <v>37</v>
      </c>
      <c r="M2236" s="5">
        <v>4</v>
      </c>
      <c r="N2236" s="4">
        <v>0.24</v>
      </c>
      <c r="O2236" t="s">
        <v>20</v>
      </c>
    </row>
    <row r="2237" spans="1:15" x14ac:dyDescent="0.3">
      <c r="A2237" t="s">
        <v>3255</v>
      </c>
      <c r="B2237" s="5">
        <v>35</v>
      </c>
      <c r="C2237" s="5" t="str" cm="1">
        <f t="array" ref="C2237">_xlfn.IFS(worksheet[[#This Row],[age]]&lt;25,"1. Young Adulthood (18-24)",worksheet[[#This Row],[age]]&lt; 35,"2. Early Adulthood (25-34)",worksheet[[#This Row],[age]]&lt; 45,"3. Mid Adulthood (35-44)",worksheet[[#This Row],[age]]&lt; 55,"4. Mature Adulthood (45-54)",TRUE,"5. Late Adulthood/Senior (55+)")</f>
        <v>3. Mid Adulthood (35-44)</v>
      </c>
      <c r="D2237" t="s">
        <v>27</v>
      </c>
      <c r="E2237" t="s">
        <v>16</v>
      </c>
      <c r="F2237" s="4">
        <v>6.03</v>
      </c>
      <c r="G2237" s="5">
        <v>42</v>
      </c>
      <c r="H2237" t="s">
        <v>23</v>
      </c>
      <c r="I2237" t="s">
        <v>24</v>
      </c>
      <c r="J2237" s="6">
        <v>8.99</v>
      </c>
      <c r="K2237">
        <v>1</v>
      </c>
      <c r="L2237" t="s">
        <v>61</v>
      </c>
      <c r="M2237" s="5">
        <v>3</v>
      </c>
      <c r="N2237" s="4">
        <v>0.14000000000000001</v>
      </c>
      <c r="O2237" t="s">
        <v>30</v>
      </c>
    </row>
    <row r="2238" spans="1:15" x14ac:dyDescent="0.3">
      <c r="A2238" t="s">
        <v>3257</v>
      </c>
      <c r="B2238" s="5">
        <v>42</v>
      </c>
      <c r="C2238" s="5" t="str" cm="1">
        <f t="array" ref="C2238">_xlfn.IFS(worksheet[[#This Row],[age]]&lt;25,"1. Young Adulthood (18-24)",worksheet[[#This Row],[age]]&lt; 35,"2. Early Adulthood (25-34)",worksheet[[#This Row],[age]]&lt; 45,"3. Mid Adulthood (35-44)",worksheet[[#This Row],[age]]&lt; 55,"4. Mature Adulthood (45-54)",TRUE,"5. Late Adulthood/Senior (55+)")</f>
        <v>3. Mid Adulthood (35-44)</v>
      </c>
      <c r="D2238" t="s">
        <v>15</v>
      </c>
      <c r="E2238" t="s">
        <v>32</v>
      </c>
      <c r="F2238" s="4">
        <v>9.19</v>
      </c>
      <c r="G2238" s="5">
        <v>5</v>
      </c>
      <c r="H2238" t="s">
        <v>49</v>
      </c>
      <c r="I2238" t="s">
        <v>24</v>
      </c>
      <c r="J2238" s="6">
        <v>17.989999999999998</v>
      </c>
      <c r="K2238">
        <v>0</v>
      </c>
      <c r="L2238" t="s">
        <v>43</v>
      </c>
      <c r="M2238" s="5">
        <v>5</v>
      </c>
      <c r="N2238" s="4">
        <v>1.53</v>
      </c>
      <c r="O2238" t="s">
        <v>34</v>
      </c>
    </row>
    <row r="2239" spans="1:15" x14ac:dyDescent="0.3">
      <c r="A2239" t="s">
        <v>3259</v>
      </c>
      <c r="B2239" s="5">
        <v>44</v>
      </c>
      <c r="C2239" s="5" t="str" cm="1">
        <f t="array" ref="C2239">_xlfn.IFS(worksheet[[#This Row],[age]]&lt;25,"1. Young Adulthood (18-24)",worksheet[[#This Row],[age]]&lt; 35,"2. Early Adulthood (25-34)",worksheet[[#This Row],[age]]&lt; 45,"3. Mid Adulthood (35-44)",worksheet[[#This Row],[age]]&lt; 55,"4. Mature Adulthood (45-54)",TRUE,"5. Late Adulthood/Senior (55+)")</f>
        <v>3. Mid Adulthood (35-44)</v>
      </c>
      <c r="D2239" t="s">
        <v>15</v>
      </c>
      <c r="E2239" t="s">
        <v>16</v>
      </c>
      <c r="F2239" s="4">
        <v>1.06</v>
      </c>
      <c r="G2239" s="5">
        <v>37</v>
      </c>
      <c r="H2239" t="s">
        <v>28</v>
      </c>
      <c r="I2239" t="s">
        <v>55</v>
      </c>
      <c r="J2239" s="6">
        <v>8.99</v>
      </c>
      <c r="K2239">
        <v>1</v>
      </c>
      <c r="L2239" t="s">
        <v>29</v>
      </c>
      <c r="M2239" s="5">
        <v>1</v>
      </c>
      <c r="N2239" s="4">
        <v>0.03</v>
      </c>
      <c r="O2239" t="s">
        <v>47</v>
      </c>
    </row>
    <row r="2240" spans="1:15" x14ac:dyDescent="0.3">
      <c r="A2240" t="s">
        <v>3265</v>
      </c>
      <c r="B2240" s="5">
        <v>41</v>
      </c>
      <c r="C2240" s="5" t="str" cm="1">
        <f t="array" ref="C2240">_xlfn.IFS(worksheet[[#This Row],[age]]&lt;25,"1. Young Adulthood (18-24)",worksheet[[#This Row],[age]]&lt; 35,"2. Early Adulthood (25-34)",worksheet[[#This Row],[age]]&lt; 45,"3. Mid Adulthood (35-44)",worksheet[[#This Row],[age]]&lt; 55,"4. Mature Adulthood (45-54)",TRUE,"5. Late Adulthood/Senior (55+)")</f>
        <v>3. Mid Adulthood (35-44)</v>
      </c>
      <c r="D2240" t="s">
        <v>41</v>
      </c>
      <c r="E2240" t="s">
        <v>22</v>
      </c>
      <c r="F2240" s="4">
        <v>8.6</v>
      </c>
      <c r="G2240" s="5">
        <v>47</v>
      </c>
      <c r="H2240" t="s">
        <v>17</v>
      </c>
      <c r="I2240" t="s">
        <v>24</v>
      </c>
      <c r="J2240" s="6">
        <v>13.99</v>
      </c>
      <c r="K2240">
        <v>1</v>
      </c>
      <c r="L2240" t="s">
        <v>43</v>
      </c>
      <c r="M2240" s="5">
        <v>2</v>
      </c>
      <c r="N2240" s="4">
        <v>0.18</v>
      </c>
      <c r="O2240" t="s">
        <v>20</v>
      </c>
    </row>
    <row r="2241" spans="1:15" x14ac:dyDescent="0.3">
      <c r="A2241" t="s">
        <v>3266</v>
      </c>
      <c r="B2241" s="5">
        <v>36</v>
      </c>
      <c r="C2241" s="5" t="str" cm="1">
        <f t="array" ref="C2241">_xlfn.IFS(worksheet[[#This Row],[age]]&lt;25,"1. Young Adulthood (18-24)",worksheet[[#This Row],[age]]&lt; 35,"2. Early Adulthood (25-34)",worksheet[[#This Row],[age]]&lt; 45,"3. Mid Adulthood (35-44)",worksheet[[#This Row],[age]]&lt; 55,"4. Mature Adulthood (45-54)",TRUE,"5. Late Adulthood/Senior (55+)")</f>
        <v>3. Mid Adulthood (35-44)</v>
      </c>
      <c r="D2241" t="s">
        <v>41</v>
      </c>
      <c r="E2241" t="s">
        <v>32</v>
      </c>
      <c r="F2241" s="4">
        <v>13.68</v>
      </c>
      <c r="G2241" s="5">
        <v>3</v>
      </c>
      <c r="H2241" t="s">
        <v>49</v>
      </c>
      <c r="I2241" t="s">
        <v>57</v>
      </c>
      <c r="J2241" s="6">
        <v>17.989999999999998</v>
      </c>
      <c r="K2241">
        <v>0</v>
      </c>
      <c r="L2241" t="s">
        <v>29</v>
      </c>
      <c r="M2241" s="5">
        <v>3</v>
      </c>
      <c r="N2241" s="4">
        <v>3.42</v>
      </c>
      <c r="O2241" t="s">
        <v>47</v>
      </c>
    </row>
    <row r="2242" spans="1:15" x14ac:dyDescent="0.3">
      <c r="A2242" t="s">
        <v>3267</v>
      </c>
      <c r="B2242" s="5">
        <v>36</v>
      </c>
      <c r="C2242" s="5" t="str" cm="1">
        <f t="array" ref="C2242">_xlfn.IFS(worksheet[[#This Row],[age]]&lt;25,"1. Young Adulthood (18-24)",worksheet[[#This Row],[age]]&lt; 35,"2. Early Adulthood (25-34)",worksheet[[#This Row],[age]]&lt; 45,"3. Mid Adulthood (35-44)",worksheet[[#This Row],[age]]&lt; 55,"4. Mature Adulthood (45-54)",TRUE,"5. Late Adulthood/Senior (55+)")</f>
        <v>3. Mid Adulthood (35-44)</v>
      </c>
      <c r="D2242" t="s">
        <v>41</v>
      </c>
      <c r="E2242" t="s">
        <v>32</v>
      </c>
      <c r="F2242" s="4">
        <v>7.25</v>
      </c>
      <c r="G2242" s="5">
        <v>36</v>
      </c>
      <c r="H2242" t="s">
        <v>33</v>
      </c>
      <c r="I2242" t="s">
        <v>57</v>
      </c>
      <c r="J2242" s="6">
        <v>17.989999999999998</v>
      </c>
      <c r="K2242">
        <v>0</v>
      </c>
      <c r="L2242" t="s">
        <v>61</v>
      </c>
      <c r="M2242" s="5">
        <v>5</v>
      </c>
      <c r="N2242" s="4">
        <v>0.2</v>
      </c>
      <c r="O2242" t="s">
        <v>47</v>
      </c>
    </row>
    <row r="2243" spans="1:15" x14ac:dyDescent="0.3">
      <c r="A2243" t="s">
        <v>3277</v>
      </c>
      <c r="B2243" s="5">
        <v>39</v>
      </c>
      <c r="C2243" s="5" t="str" cm="1">
        <f t="array" ref="C2243">_xlfn.IFS(worksheet[[#This Row],[age]]&lt;25,"1. Young Adulthood (18-24)",worksheet[[#This Row],[age]]&lt; 35,"2. Early Adulthood (25-34)",worksheet[[#This Row],[age]]&lt; 45,"3. Mid Adulthood (35-44)",worksheet[[#This Row],[age]]&lt; 55,"4. Mature Adulthood (45-54)",TRUE,"5. Late Adulthood/Senior (55+)")</f>
        <v>3. Mid Adulthood (35-44)</v>
      </c>
      <c r="D2243" t="s">
        <v>15</v>
      </c>
      <c r="E2243" t="s">
        <v>32</v>
      </c>
      <c r="F2243" s="4">
        <v>12.34</v>
      </c>
      <c r="G2243" s="5">
        <v>30</v>
      </c>
      <c r="H2243" t="s">
        <v>17</v>
      </c>
      <c r="I2243" t="s">
        <v>18</v>
      </c>
      <c r="J2243" s="6">
        <v>17.989999999999998</v>
      </c>
      <c r="K2243">
        <v>0</v>
      </c>
      <c r="L2243" t="s">
        <v>37</v>
      </c>
      <c r="M2243" s="5">
        <v>5</v>
      </c>
      <c r="N2243" s="4">
        <v>0.4</v>
      </c>
      <c r="O2243" t="s">
        <v>47</v>
      </c>
    </row>
    <row r="2244" spans="1:15" x14ac:dyDescent="0.3">
      <c r="A2244" t="s">
        <v>3283</v>
      </c>
      <c r="B2244" s="5">
        <v>36</v>
      </c>
      <c r="C2244" s="5" t="str" cm="1">
        <f t="array" ref="C2244">_xlfn.IFS(worksheet[[#This Row],[age]]&lt;25,"1. Young Adulthood (18-24)",worksheet[[#This Row],[age]]&lt; 35,"2. Early Adulthood (25-34)",worksheet[[#This Row],[age]]&lt; 45,"3. Mid Adulthood (35-44)",worksheet[[#This Row],[age]]&lt; 55,"4. Mature Adulthood (45-54)",TRUE,"5. Late Adulthood/Senior (55+)")</f>
        <v>3. Mid Adulthood (35-44)</v>
      </c>
      <c r="D2244" t="s">
        <v>27</v>
      </c>
      <c r="E2244" t="s">
        <v>22</v>
      </c>
      <c r="F2244" s="4">
        <v>22.11</v>
      </c>
      <c r="G2244" s="5">
        <v>6</v>
      </c>
      <c r="H2244" t="s">
        <v>23</v>
      </c>
      <c r="I2244" t="s">
        <v>46</v>
      </c>
      <c r="J2244" s="6">
        <v>13.99</v>
      </c>
      <c r="K2244">
        <v>0</v>
      </c>
      <c r="L2244" t="s">
        <v>61</v>
      </c>
      <c r="M2244" s="5">
        <v>4</v>
      </c>
      <c r="N2244" s="4">
        <v>3.16</v>
      </c>
      <c r="O2244" t="s">
        <v>20</v>
      </c>
    </row>
    <row r="2245" spans="1:15" x14ac:dyDescent="0.3">
      <c r="A2245" t="s">
        <v>3290</v>
      </c>
      <c r="B2245" s="5">
        <v>37</v>
      </c>
      <c r="C2245" s="5" t="str" cm="1">
        <f t="array" ref="C2245">_xlfn.IFS(worksheet[[#This Row],[age]]&lt;25,"1. Young Adulthood (18-24)",worksheet[[#This Row],[age]]&lt; 35,"2. Early Adulthood (25-34)",worksheet[[#This Row],[age]]&lt; 45,"3. Mid Adulthood (35-44)",worksheet[[#This Row],[age]]&lt; 55,"4. Mature Adulthood (45-54)",TRUE,"5. Late Adulthood/Senior (55+)")</f>
        <v>3. Mid Adulthood (35-44)</v>
      </c>
      <c r="D2245" t="s">
        <v>41</v>
      </c>
      <c r="E2245" t="s">
        <v>22</v>
      </c>
      <c r="F2245" s="4">
        <v>5.43</v>
      </c>
      <c r="G2245" s="5">
        <v>46</v>
      </c>
      <c r="H2245" t="s">
        <v>17</v>
      </c>
      <c r="I2245" t="s">
        <v>18</v>
      </c>
      <c r="J2245" s="6">
        <v>13.99</v>
      </c>
      <c r="K2245">
        <v>0</v>
      </c>
      <c r="L2245" t="s">
        <v>43</v>
      </c>
      <c r="M2245" s="5">
        <v>5</v>
      </c>
      <c r="N2245" s="4">
        <v>0.12</v>
      </c>
      <c r="O2245" t="s">
        <v>52</v>
      </c>
    </row>
    <row r="2246" spans="1:15" x14ac:dyDescent="0.3">
      <c r="A2246" t="s">
        <v>3299</v>
      </c>
      <c r="B2246" s="5">
        <v>36</v>
      </c>
      <c r="C2246" s="5" t="str" cm="1">
        <f t="array" ref="C2246">_xlfn.IFS(worksheet[[#This Row],[age]]&lt;25,"1. Young Adulthood (18-24)",worksheet[[#This Row],[age]]&lt; 35,"2. Early Adulthood (25-34)",worksheet[[#This Row],[age]]&lt; 45,"3. Mid Adulthood (35-44)",worksheet[[#This Row],[age]]&lt; 55,"4. Mature Adulthood (45-54)",TRUE,"5. Late Adulthood/Senior (55+)")</f>
        <v>3. Mid Adulthood (35-44)</v>
      </c>
      <c r="D2246" t="s">
        <v>15</v>
      </c>
      <c r="E2246" t="s">
        <v>16</v>
      </c>
      <c r="F2246" s="4">
        <v>5.39</v>
      </c>
      <c r="G2246" s="5">
        <v>4</v>
      </c>
      <c r="H2246" t="s">
        <v>28</v>
      </c>
      <c r="I2246" t="s">
        <v>57</v>
      </c>
      <c r="J2246" s="6">
        <v>8.99</v>
      </c>
      <c r="K2246">
        <v>0</v>
      </c>
      <c r="L2246" t="s">
        <v>37</v>
      </c>
      <c r="M2246" s="5">
        <v>2</v>
      </c>
      <c r="N2246" s="4">
        <v>1.08</v>
      </c>
      <c r="O2246" t="s">
        <v>30</v>
      </c>
    </row>
    <row r="2247" spans="1:15" x14ac:dyDescent="0.3">
      <c r="A2247" t="s">
        <v>3303</v>
      </c>
      <c r="B2247" s="5">
        <v>43</v>
      </c>
      <c r="C2247" s="5" t="str" cm="1">
        <f t="array" ref="C2247">_xlfn.IFS(worksheet[[#This Row],[age]]&lt;25,"1. Young Adulthood (18-24)",worksheet[[#This Row],[age]]&lt; 35,"2. Early Adulthood (25-34)",worksheet[[#This Row],[age]]&lt; 45,"3. Mid Adulthood (35-44)",worksheet[[#This Row],[age]]&lt; 55,"4. Mature Adulthood (45-54)",TRUE,"5. Late Adulthood/Senior (55+)")</f>
        <v>3. Mid Adulthood (35-44)</v>
      </c>
      <c r="D2247" t="s">
        <v>27</v>
      </c>
      <c r="E2247" t="s">
        <v>16</v>
      </c>
      <c r="F2247" s="4">
        <v>15.64</v>
      </c>
      <c r="G2247" s="5">
        <v>8</v>
      </c>
      <c r="H2247" t="s">
        <v>33</v>
      </c>
      <c r="I2247" t="s">
        <v>24</v>
      </c>
      <c r="J2247" s="6">
        <v>8.99</v>
      </c>
      <c r="K2247">
        <v>0</v>
      </c>
      <c r="L2247" t="s">
        <v>37</v>
      </c>
      <c r="M2247" s="5">
        <v>1</v>
      </c>
      <c r="N2247" s="4">
        <v>1.74</v>
      </c>
      <c r="O2247" t="s">
        <v>20</v>
      </c>
    </row>
    <row r="2248" spans="1:15" x14ac:dyDescent="0.3">
      <c r="A2248" t="s">
        <v>3313</v>
      </c>
      <c r="B2248" s="5">
        <v>38</v>
      </c>
      <c r="C2248" s="5" t="str" cm="1">
        <f t="array" ref="C2248">_xlfn.IFS(worksheet[[#This Row],[age]]&lt;25,"1. Young Adulthood (18-24)",worksheet[[#This Row],[age]]&lt; 35,"2. Early Adulthood (25-34)",worksheet[[#This Row],[age]]&lt; 45,"3. Mid Adulthood (35-44)",worksheet[[#This Row],[age]]&lt; 55,"4. Mature Adulthood (45-54)",TRUE,"5. Late Adulthood/Senior (55+)")</f>
        <v>3. Mid Adulthood (35-44)</v>
      </c>
      <c r="D2248" t="s">
        <v>15</v>
      </c>
      <c r="E2248" t="s">
        <v>32</v>
      </c>
      <c r="F2248" s="4">
        <v>0.55000000000000004</v>
      </c>
      <c r="G2248" s="5">
        <v>3</v>
      </c>
      <c r="H2248" t="s">
        <v>17</v>
      </c>
      <c r="I2248" t="s">
        <v>55</v>
      </c>
      <c r="J2248" s="6">
        <v>17.989999999999998</v>
      </c>
      <c r="K2248">
        <v>1</v>
      </c>
      <c r="L2248" t="s">
        <v>37</v>
      </c>
      <c r="M2248" s="5">
        <v>1</v>
      </c>
      <c r="N2248" s="4">
        <v>0.14000000000000001</v>
      </c>
      <c r="O2248" t="s">
        <v>52</v>
      </c>
    </row>
    <row r="2249" spans="1:15" x14ac:dyDescent="0.3">
      <c r="A2249" t="s">
        <v>3317</v>
      </c>
      <c r="B2249" s="5">
        <v>44</v>
      </c>
      <c r="C2249" s="5" t="str" cm="1">
        <f t="array" ref="C2249">_xlfn.IFS(worksheet[[#This Row],[age]]&lt;25,"1. Young Adulthood (18-24)",worksheet[[#This Row],[age]]&lt; 35,"2. Early Adulthood (25-34)",worksheet[[#This Row],[age]]&lt; 45,"3. Mid Adulthood (35-44)",worksheet[[#This Row],[age]]&lt; 55,"4. Mature Adulthood (45-54)",TRUE,"5. Late Adulthood/Senior (55+)")</f>
        <v>3. Mid Adulthood (35-44)</v>
      </c>
      <c r="D2249" t="s">
        <v>27</v>
      </c>
      <c r="E2249" t="s">
        <v>22</v>
      </c>
      <c r="F2249" s="4">
        <v>3.08</v>
      </c>
      <c r="G2249" s="5">
        <v>58</v>
      </c>
      <c r="H2249" t="s">
        <v>28</v>
      </c>
      <c r="I2249" t="s">
        <v>18</v>
      </c>
      <c r="J2249" s="6">
        <v>13.99</v>
      </c>
      <c r="K2249">
        <v>1</v>
      </c>
      <c r="L2249" t="s">
        <v>43</v>
      </c>
      <c r="M2249" s="5">
        <v>1</v>
      </c>
      <c r="N2249" s="4">
        <v>0.05</v>
      </c>
      <c r="O2249" t="s">
        <v>39</v>
      </c>
    </row>
    <row r="2250" spans="1:15" x14ac:dyDescent="0.3">
      <c r="A2250" t="s">
        <v>3318</v>
      </c>
      <c r="B2250" s="5">
        <v>43</v>
      </c>
      <c r="C2250" s="5" t="str" cm="1">
        <f t="array" ref="C2250">_xlfn.IFS(worksheet[[#This Row],[age]]&lt;25,"1. Young Adulthood (18-24)",worksheet[[#This Row],[age]]&lt; 35,"2. Early Adulthood (25-34)",worksheet[[#This Row],[age]]&lt; 45,"3. Mid Adulthood (35-44)",worksheet[[#This Row],[age]]&lt; 55,"4. Mature Adulthood (45-54)",TRUE,"5. Late Adulthood/Senior (55+)")</f>
        <v>3. Mid Adulthood (35-44)</v>
      </c>
      <c r="D2250" t="s">
        <v>27</v>
      </c>
      <c r="E2250" t="s">
        <v>22</v>
      </c>
      <c r="F2250" s="4">
        <v>1.86</v>
      </c>
      <c r="G2250" s="5">
        <v>52</v>
      </c>
      <c r="H2250" t="s">
        <v>28</v>
      </c>
      <c r="I2250" t="s">
        <v>57</v>
      </c>
      <c r="J2250" s="6">
        <v>13.99</v>
      </c>
      <c r="K2250">
        <v>1</v>
      </c>
      <c r="L2250" t="s">
        <v>19</v>
      </c>
      <c r="M2250" s="5">
        <v>3</v>
      </c>
      <c r="N2250" s="4">
        <v>0.04</v>
      </c>
      <c r="O2250" t="s">
        <v>47</v>
      </c>
    </row>
    <row r="2251" spans="1:15" x14ac:dyDescent="0.3">
      <c r="A2251" t="s">
        <v>3319</v>
      </c>
      <c r="B2251" s="5">
        <v>39</v>
      </c>
      <c r="C2251" s="5" t="str" cm="1">
        <f t="array" ref="C2251">_xlfn.IFS(worksheet[[#This Row],[age]]&lt;25,"1. Young Adulthood (18-24)",worksheet[[#This Row],[age]]&lt; 35,"2. Early Adulthood (25-34)",worksheet[[#This Row],[age]]&lt; 45,"3. Mid Adulthood (35-44)",worksheet[[#This Row],[age]]&lt; 55,"4. Mature Adulthood (45-54)",TRUE,"5. Late Adulthood/Senior (55+)")</f>
        <v>3. Mid Adulthood (35-44)</v>
      </c>
      <c r="D2251" t="s">
        <v>27</v>
      </c>
      <c r="E2251" t="s">
        <v>22</v>
      </c>
      <c r="F2251" s="4">
        <v>6.5</v>
      </c>
      <c r="G2251" s="5">
        <v>12</v>
      </c>
      <c r="H2251" t="s">
        <v>28</v>
      </c>
      <c r="I2251" t="s">
        <v>57</v>
      </c>
      <c r="J2251" s="6">
        <v>13.99</v>
      </c>
      <c r="K2251">
        <v>0</v>
      </c>
      <c r="L2251" t="s">
        <v>29</v>
      </c>
      <c r="M2251" s="5">
        <v>4</v>
      </c>
      <c r="N2251" s="4">
        <v>0.5</v>
      </c>
      <c r="O2251" t="s">
        <v>25</v>
      </c>
    </row>
    <row r="2252" spans="1:15" x14ac:dyDescent="0.3">
      <c r="A2252" t="s">
        <v>3323</v>
      </c>
      <c r="B2252" s="5">
        <v>39</v>
      </c>
      <c r="C2252" s="5" t="str" cm="1">
        <f t="array" ref="C2252">_xlfn.IFS(worksheet[[#This Row],[age]]&lt;25,"1. Young Adulthood (18-24)",worksheet[[#This Row],[age]]&lt; 35,"2. Early Adulthood (25-34)",worksheet[[#This Row],[age]]&lt; 45,"3. Mid Adulthood (35-44)",worksheet[[#This Row],[age]]&lt; 55,"4. Mature Adulthood (45-54)",TRUE,"5. Late Adulthood/Senior (55+)")</f>
        <v>3. Mid Adulthood (35-44)</v>
      </c>
      <c r="D2252" t="s">
        <v>27</v>
      </c>
      <c r="E2252" t="s">
        <v>32</v>
      </c>
      <c r="F2252" s="4">
        <v>4.67</v>
      </c>
      <c r="G2252" s="5">
        <v>9</v>
      </c>
      <c r="H2252" t="s">
        <v>33</v>
      </c>
      <c r="I2252" t="s">
        <v>18</v>
      </c>
      <c r="J2252" s="6">
        <v>17.989999999999998</v>
      </c>
      <c r="K2252">
        <v>1</v>
      </c>
      <c r="L2252" t="s">
        <v>29</v>
      </c>
      <c r="M2252" s="5">
        <v>3</v>
      </c>
      <c r="N2252" s="4">
        <v>0.47</v>
      </c>
      <c r="O2252" t="s">
        <v>25</v>
      </c>
    </row>
    <row r="2253" spans="1:15" x14ac:dyDescent="0.3">
      <c r="A2253" t="s">
        <v>3333</v>
      </c>
      <c r="B2253" s="5">
        <v>36</v>
      </c>
      <c r="C2253" s="5" t="str" cm="1">
        <f t="array" ref="C2253">_xlfn.IFS(worksheet[[#This Row],[age]]&lt;25,"1. Young Adulthood (18-24)",worksheet[[#This Row],[age]]&lt; 35,"2. Early Adulthood (25-34)",worksheet[[#This Row],[age]]&lt; 45,"3. Mid Adulthood (35-44)",worksheet[[#This Row],[age]]&lt; 55,"4. Mature Adulthood (45-54)",TRUE,"5. Late Adulthood/Senior (55+)")</f>
        <v>3. Mid Adulthood (35-44)</v>
      </c>
      <c r="D2253" t="s">
        <v>27</v>
      </c>
      <c r="E2253" t="s">
        <v>22</v>
      </c>
      <c r="F2253" s="4">
        <v>9.16</v>
      </c>
      <c r="G2253" s="5">
        <v>47</v>
      </c>
      <c r="H2253" t="s">
        <v>49</v>
      </c>
      <c r="I2253" t="s">
        <v>55</v>
      </c>
      <c r="J2253" s="6">
        <v>13.99</v>
      </c>
      <c r="K2253">
        <v>1</v>
      </c>
      <c r="L2253" t="s">
        <v>29</v>
      </c>
      <c r="M2253" s="5">
        <v>5</v>
      </c>
      <c r="N2253" s="4">
        <v>0.19</v>
      </c>
      <c r="O2253" t="s">
        <v>20</v>
      </c>
    </row>
    <row r="2254" spans="1:15" x14ac:dyDescent="0.3">
      <c r="A2254" t="s">
        <v>3350</v>
      </c>
      <c r="B2254" s="5">
        <v>43</v>
      </c>
      <c r="C2254" s="5" t="str" cm="1">
        <f t="array" ref="C2254">_xlfn.IFS(worksheet[[#This Row],[age]]&lt;25,"1. Young Adulthood (18-24)",worksheet[[#This Row],[age]]&lt; 35,"2. Early Adulthood (25-34)",worksheet[[#This Row],[age]]&lt; 45,"3. Mid Adulthood (35-44)",worksheet[[#This Row],[age]]&lt; 55,"4. Mature Adulthood (45-54)",TRUE,"5. Late Adulthood/Senior (55+)")</f>
        <v>3. Mid Adulthood (35-44)</v>
      </c>
      <c r="D2254" t="s">
        <v>15</v>
      </c>
      <c r="E2254" t="s">
        <v>32</v>
      </c>
      <c r="F2254" s="4">
        <v>4.96</v>
      </c>
      <c r="G2254" s="5">
        <v>34</v>
      </c>
      <c r="H2254" t="s">
        <v>23</v>
      </c>
      <c r="I2254" t="s">
        <v>18</v>
      </c>
      <c r="J2254" s="6">
        <v>17.989999999999998</v>
      </c>
      <c r="K2254">
        <v>1</v>
      </c>
      <c r="L2254" t="s">
        <v>29</v>
      </c>
      <c r="M2254" s="5">
        <v>3</v>
      </c>
      <c r="N2254" s="4">
        <v>0.14000000000000001</v>
      </c>
      <c r="O2254" t="s">
        <v>52</v>
      </c>
    </row>
    <row r="2255" spans="1:15" x14ac:dyDescent="0.3">
      <c r="A2255" t="s">
        <v>3359</v>
      </c>
      <c r="B2255" s="5">
        <v>41</v>
      </c>
      <c r="C2255" s="5" t="str" cm="1">
        <f t="array" ref="C2255">_xlfn.IFS(worksheet[[#This Row],[age]]&lt;25,"1. Young Adulthood (18-24)",worksheet[[#This Row],[age]]&lt; 35,"2. Early Adulthood (25-34)",worksheet[[#This Row],[age]]&lt; 45,"3. Mid Adulthood (35-44)",worksheet[[#This Row],[age]]&lt; 55,"4. Mature Adulthood (45-54)",TRUE,"5. Late Adulthood/Senior (55+)")</f>
        <v>3. Mid Adulthood (35-44)</v>
      </c>
      <c r="D2255" t="s">
        <v>27</v>
      </c>
      <c r="E2255" t="s">
        <v>16</v>
      </c>
      <c r="F2255" s="4">
        <v>23.74</v>
      </c>
      <c r="G2255" s="5">
        <v>8</v>
      </c>
      <c r="H2255" t="s">
        <v>70</v>
      </c>
      <c r="I2255" t="s">
        <v>24</v>
      </c>
      <c r="J2255" s="6">
        <v>8.99</v>
      </c>
      <c r="K2255">
        <v>0</v>
      </c>
      <c r="L2255" t="s">
        <v>29</v>
      </c>
      <c r="M2255" s="5">
        <v>2</v>
      </c>
      <c r="N2255" s="4">
        <v>2.64</v>
      </c>
      <c r="O2255" t="s">
        <v>52</v>
      </c>
    </row>
    <row r="2256" spans="1:15" x14ac:dyDescent="0.3">
      <c r="A2256" t="s">
        <v>3360</v>
      </c>
      <c r="B2256" s="5">
        <v>37</v>
      </c>
      <c r="C2256" s="5" t="str" cm="1">
        <f t="array" ref="C2256">_xlfn.IFS(worksheet[[#This Row],[age]]&lt;25,"1. Young Adulthood (18-24)",worksheet[[#This Row],[age]]&lt; 35,"2. Early Adulthood (25-34)",worksheet[[#This Row],[age]]&lt; 45,"3. Mid Adulthood (35-44)",worksheet[[#This Row],[age]]&lt; 55,"4. Mature Adulthood (45-54)",TRUE,"5. Late Adulthood/Senior (55+)")</f>
        <v>3. Mid Adulthood (35-44)</v>
      </c>
      <c r="D2256" t="s">
        <v>15</v>
      </c>
      <c r="E2256" t="s">
        <v>32</v>
      </c>
      <c r="F2256" s="4">
        <v>11.15</v>
      </c>
      <c r="G2256" s="5">
        <v>60</v>
      </c>
      <c r="H2256" t="s">
        <v>33</v>
      </c>
      <c r="I2256" t="s">
        <v>55</v>
      </c>
      <c r="J2256" s="6">
        <v>17.989999999999998</v>
      </c>
      <c r="K2256">
        <v>0</v>
      </c>
      <c r="L2256" t="s">
        <v>43</v>
      </c>
      <c r="M2256" s="5">
        <v>4</v>
      </c>
      <c r="N2256" s="4">
        <v>0.18</v>
      </c>
      <c r="O2256" t="s">
        <v>52</v>
      </c>
    </row>
    <row r="2257" spans="1:15" x14ac:dyDescent="0.3">
      <c r="A2257" t="s">
        <v>3363</v>
      </c>
      <c r="B2257" s="5">
        <v>42</v>
      </c>
      <c r="C2257" s="5" t="str" cm="1">
        <f t="array" ref="C2257">_xlfn.IFS(worksheet[[#This Row],[age]]&lt;25,"1. Young Adulthood (18-24)",worksheet[[#This Row],[age]]&lt; 35,"2. Early Adulthood (25-34)",worksheet[[#This Row],[age]]&lt; 45,"3. Mid Adulthood (35-44)",worksheet[[#This Row],[age]]&lt; 55,"4. Mature Adulthood (45-54)",TRUE,"5. Late Adulthood/Senior (55+)")</f>
        <v>3. Mid Adulthood (35-44)</v>
      </c>
      <c r="D2257" t="s">
        <v>15</v>
      </c>
      <c r="E2257" t="s">
        <v>16</v>
      </c>
      <c r="F2257" s="4">
        <v>2.65</v>
      </c>
      <c r="G2257" s="5">
        <v>30</v>
      </c>
      <c r="H2257" t="s">
        <v>17</v>
      </c>
      <c r="I2257" t="s">
        <v>18</v>
      </c>
      <c r="J2257" s="6">
        <v>8.99</v>
      </c>
      <c r="K2257">
        <v>1</v>
      </c>
      <c r="L2257" t="s">
        <v>19</v>
      </c>
      <c r="M2257" s="5">
        <v>1</v>
      </c>
      <c r="N2257" s="4">
        <v>0.09</v>
      </c>
      <c r="O2257" t="s">
        <v>52</v>
      </c>
    </row>
    <row r="2258" spans="1:15" x14ac:dyDescent="0.3">
      <c r="A2258" t="s">
        <v>3380</v>
      </c>
      <c r="B2258" s="5">
        <v>39</v>
      </c>
      <c r="C2258" s="5" t="str" cm="1">
        <f t="array" ref="C2258">_xlfn.IFS(worksheet[[#This Row],[age]]&lt;25,"1. Young Adulthood (18-24)",worksheet[[#This Row],[age]]&lt; 35,"2. Early Adulthood (25-34)",worksheet[[#This Row],[age]]&lt; 45,"3. Mid Adulthood (35-44)",worksheet[[#This Row],[age]]&lt; 55,"4. Mature Adulthood (45-54)",TRUE,"5. Late Adulthood/Senior (55+)")</f>
        <v>3. Mid Adulthood (35-44)</v>
      </c>
      <c r="D2258" t="s">
        <v>27</v>
      </c>
      <c r="E2258" t="s">
        <v>32</v>
      </c>
      <c r="F2258" s="4">
        <v>7.21</v>
      </c>
      <c r="G2258" s="5">
        <v>42</v>
      </c>
      <c r="H2258" t="s">
        <v>17</v>
      </c>
      <c r="I2258" t="s">
        <v>57</v>
      </c>
      <c r="J2258" s="6">
        <v>17.989999999999998</v>
      </c>
      <c r="K2258">
        <v>1</v>
      </c>
      <c r="L2258" t="s">
        <v>43</v>
      </c>
      <c r="M2258" s="5">
        <v>2</v>
      </c>
      <c r="N2258" s="4">
        <v>0.17</v>
      </c>
      <c r="O2258" t="s">
        <v>20</v>
      </c>
    </row>
    <row r="2259" spans="1:15" x14ac:dyDescent="0.3">
      <c r="A2259" t="s">
        <v>3383</v>
      </c>
      <c r="B2259" s="5">
        <v>36</v>
      </c>
      <c r="C2259" s="5" t="str" cm="1">
        <f t="array" ref="C2259">_xlfn.IFS(worksheet[[#This Row],[age]]&lt;25,"1. Young Adulthood (18-24)",worksheet[[#This Row],[age]]&lt; 35,"2. Early Adulthood (25-34)",worksheet[[#This Row],[age]]&lt; 45,"3. Mid Adulthood (35-44)",worksheet[[#This Row],[age]]&lt; 55,"4. Mature Adulthood (45-54)",TRUE,"5. Late Adulthood/Senior (55+)")</f>
        <v>3. Mid Adulthood (35-44)</v>
      </c>
      <c r="D2259" t="s">
        <v>41</v>
      </c>
      <c r="E2259" t="s">
        <v>32</v>
      </c>
      <c r="F2259" s="4">
        <v>25.23</v>
      </c>
      <c r="G2259" s="5">
        <v>53</v>
      </c>
      <c r="H2259" t="s">
        <v>17</v>
      </c>
      <c r="I2259" t="s">
        <v>24</v>
      </c>
      <c r="J2259" s="6">
        <v>17.989999999999998</v>
      </c>
      <c r="K2259">
        <v>0</v>
      </c>
      <c r="L2259" t="s">
        <v>29</v>
      </c>
      <c r="M2259" s="5">
        <v>2</v>
      </c>
      <c r="N2259" s="4">
        <v>0.47</v>
      </c>
      <c r="O2259" t="s">
        <v>25</v>
      </c>
    </row>
    <row r="2260" spans="1:15" x14ac:dyDescent="0.3">
      <c r="A2260" t="s">
        <v>3384</v>
      </c>
      <c r="B2260" s="5">
        <v>40</v>
      </c>
      <c r="C2260" s="5" t="str" cm="1">
        <f t="array" ref="C2260">_xlfn.IFS(worksheet[[#This Row],[age]]&lt;25,"1. Young Adulthood (18-24)",worksheet[[#This Row],[age]]&lt; 35,"2. Early Adulthood (25-34)",worksheet[[#This Row],[age]]&lt; 45,"3. Mid Adulthood (35-44)",worksheet[[#This Row],[age]]&lt; 55,"4. Mature Adulthood (45-54)",TRUE,"5. Late Adulthood/Senior (55+)")</f>
        <v>3. Mid Adulthood (35-44)</v>
      </c>
      <c r="D2260" t="s">
        <v>15</v>
      </c>
      <c r="E2260" t="s">
        <v>16</v>
      </c>
      <c r="F2260" s="4">
        <v>4.68</v>
      </c>
      <c r="G2260" s="5">
        <v>25</v>
      </c>
      <c r="H2260" t="s">
        <v>17</v>
      </c>
      <c r="I2260" t="s">
        <v>57</v>
      </c>
      <c r="J2260" s="6">
        <v>8.99</v>
      </c>
      <c r="K2260">
        <v>1</v>
      </c>
      <c r="L2260" t="s">
        <v>43</v>
      </c>
      <c r="M2260" s="5">
        <v>5</v>
      </c>
      <c r="N2260" s="4">
        <v>0.18</v>
      </c>
      <c r="O2260" t="s">
        <v>20</v>
      </c>
    </row>
    <row r="2261" spans="1:15" x14ac:dyDescent="0.3">
      <c r="A2261" t="s">
        <v>3387</v>
      </c>
      <c r="B2261" s="5">
        <v>43</v>
      </c>
      <c r="C2261" s="5" t="str" cm="1">
        <f t="array" ref="C2261">_xlfn.IFS(worksheet[[#This Row],[age]]&lt;25,"1. Young Adulthood (18-24)",worksheet[[#This Row],[age]]&lt; 35,"2. Early Adulthood (25-34)",worksheet[[#This Row],[age]]&lt; 45,"3. Mid Adulthood (35-44)",worksheet[[#This Row],[age]]&lt; 55,"4. Mature Adulthood (45-54)",TRUE,"5. Late Adulthood/Senior (55+)")</f>
        <v>3. Mid Adulthood (35-44)</v>
      </c>
      <c r="D2261" t="s">
        <v>15</v>
      </c>
      <c r="E2261" t="s">
        <v>22</v>
      </c>
      <c r="F2261" s="4">
        <v>13.53</v>
      </c>
      <c r="G2261" s="5">
        <v>15</v>
      </c>
      <c r="H2261" t="s">
        <v>23</v>
      </c>
      <c r="I2261" t="s">
        <v>57</v>
      </c>
      <c r="J2261" s="6">
        <v>13.99</v>
      </c>
      <c r="K2261">
        <v>0</v>
      </c>
      <c r="L2261" t="s">
        <v>37</v>
      </c>
      <c r="M2261" s="5">
        <v>4</v>
      </c>
      <c r="N2261" s="4">
        <v>0.85</v>
      </c>
      <c r="O2261" t="s">
        <v>47</v>
      </c>
    </row>
    <row r="2262" spans="1:15" x14ac:dyDescent="0.3">
      <c r="A2262" t="s">
        <v>3388</v>
      </c>
      <c r="B2262" s="5">
        <v>40</v>
      </c>
      <c r="C2262" s="5" t="str" cm="1">
        <f t="array" ref="C2262">_xlfn.IFS(worksheet[[#This Row],[age]]&lt;25,"1. Young Adulthood (18-24)",worksheet[[#This Row],[age]]&lt; 35,"2. Early Adulthood (25-34)",worksheet[[#This Row],[age]]&lt; 45,"3. Mid Adulthood (35-44)",worksheet[[#This Row],[age]]&lt; 55,"4. Mature Adulthood (45-54)",TRUE,"5. Late Adulthood/Senior (55+)")</f>
        <v>3. Mid Adulthood (35-44)</v>
      </c>
      <c r="D2262" t="s">
        <v>27</v>
      </c>
      <c r="E2262" t="s">
        <v>32</v>
      </c>
      <c r="F2262" s="4">
        <v>0.17</v>
      </c>
      <c r="G2262" s="5">
        <v>58</v>
      </c>
      <c r="H2262" t="s">
        <v>49</v>
      </c>
      <c r="I2262" t="s">
        <v>55</v>
      </c>
      <c r="J2262" s="6">
        <v>17.989999999999998</v>
      </c>
      <c r="K2262">
        <v>1</v>
      </c>
      <c r="L2262" t="s">
        <v>19</v>
      </c>
      <c r="M2262" s="5">
        <v>5</v>
      </c>
      <c r="N2262" s="4">
        <v>0</v>
      </c>
      <c r="O2262" t="s">
        <v>34</v>
      </c>
    </row>
    <row r="2263" spans="1:15" x14ac:dyDescent="0.3">
      <c r="A2263" t="s">
        <v>3389</v>
      </c>
      <c r="B2263" s="5">
        <v>40</v>
      </c>
      <c r="C2263" s="5" t="str" cm="1">
        <f t="array" ref="C2263">_xlfn.IFS(worksheet[[#This Row],[age]]&lt;25,"1. Young Adulthood (18-24)",worksheet[[#This Row],[age]]&lt; 35,"2. Early Adulthood (25-34)",worksheet[[#This Row],[age]]&lt; 45,"3. Mid Adulthood (35-44)",worksheet[[#This Row],[age]]&lt; 55,"4. Mature Adulthood (45-54)",TRUE,"5. Late Adulthood/Senior (55+)")</f>
        <v>3. Mid Adulthood (35-44)</v>
      </c>
      <c r="D2263" t="s">
        <v>27</v>
      </c>
      <c r="E2263" t="s">
        <v>32</v>
      </c>
      <c r="F2263" s="4">
        <v>30.61</v>
      </c>
      <c r="G2263" s="5">
        <v>35</v>
      </c>
      <c r="H2263" t="s">
        <v>23</v>
      </c>
      <c r="I2263" t="s">
        <v>18</v>
      </c>
      <c r="J2263" s="6">
        <v>17.989999999999998</v>
      </c>
      <c r="K2263">
        <v>0</v>
      </c>
      <c r="L2263" t="s">
        <v>37</v>
      </c>
      <c r="M2263" s="5">
        <v>3</v>
      </c>
      <c r="N2263" s="4">
        <v>0.85</v>
      </c>
      <c r="O2263" t="s">
        <v>39</v>
      </c>
    </row>
    <row r="2264" spans="1:15" x14ac:dyDescent="0.3">
      <c r="A2264" t="s">
        <v>3395</v>
      </c>
      <c r="B2264" s="5">
        <v>40</v>
      </c>
      <c r="C2264" s="5" t="str" cm="1">
        <f t="array" ref="C2264">_xlfn.IFS(worksheet[[#This Row],[age]]&lt;25,"1. Young Adulthood (18-24)",worksheet[[#This Row],[age]]&lt; 35,"2. Early Adulthood (25-34)",worksheet[[#This Row],[age]]&lt; 45,"3. Mid Adulthood (35-44)",worksheet[[#This Row],[age]]&lt; 55,"4. Mature Adulthood (45-54)",TRUE,"5. Late Adulthood/Senior (55+)")</f>
        <v>3. Mid Adulthood (35-44)</v>
      </c>
      <c r="D2264" t="s">
        <v>15</v>
      </c>
      <c r="E2264" t="s">
        <v>32</v>
      </c>
      <c r="F2264" s="4">
        <v>4.13</v>
      </c>
      <c r="G2264" s="5">
        <v>58</v>
      </c>
      <c r="H2264" t="s">
        <v>70</v>
      </c>
      <c r="I2264" t="s">
        <v>55</v>
      </c>
      <c r="J2264" s="6">
        <v>17.989999999999998</v>
      </c>
      <c r="K2264">
        <v>1</v>
      </c>
      <c r="L2264" t="s">
        <v>29</v>
      </c>
      <c r="M2264" s="5">
        <v>3</v>
      </c>
      <c r="N2264" s="4">
        <v>7.0000000000000007E-2</v>
      </c>
      <c r="O2264" t="s">
        <v>20</v>
      </c>
    </row>
    <row r="2265" spans="1:15" x14ac:dyDescent="0.3">
      <c r="A2265" t="s">
        <v>3408</v>
      </c>
      <c r="B2265" s="5">
        <v>37</v>
      </c>
      <c r="C2265" s="5" t="str" cm="1">
        <f t="array" ref="C2265">_xlfn.IFS(worksheet[[#This Row],[age]]&lt;25,"1. Young Adulthood (18-24)",worksheet[[#This Row],[age]]&lt; 35,"2. Early Adulthood (25-34)",worksheet[[#This Row],[age]]&lt; 45,"3. Mid Adulthood (35-44)",worksheet[[#This Row],[age]]&lt; 55,"4. Mature Adulthood (45-54)",TRUE,"5. Late Adulthood/Senior (55+)")</f>
        <v>3. Mid Adulthood (35-44)</v>
      </c>
      <c r="D2265" t="s">
        <v>27</v>
      </c>
      <c r="E2265" t="s">
        <v>16</v>
      </c>
      <c r="F2265" s="4">
        <v>4.6900000000000004</v>
      </c>
      <c r="G2265" s="5">
        <v>25</v>
      </c>
      <c r="H2265" t="s">
        <v>23</v>
      </c>
      <c r="I2265" t="s">
        <v>57</v>
      </c>
      <c r="J2265" s="6">
        <v>8.99</v>
      </c>
      <c r="K2265">
        <v>1</v>
      </c>
      <c r="L2265" t="s">
        <v>19</v>
      </c>
      <c r="M2265" s="5">
        <v>4</v>
      </c>
      <c r="N2265" s="4">
        <v>0.18</v>
      </c>
      <c r="O2265" t="s">
        <v>39</v>
      </c>
    </row>
    <row r="2266" spans="1:15" x14ac:dyDescent="0.3">
      <c r="A2266" t="s">
        <v>3409</v>
      </c>
      <c r="B2266" s="5">
        <v>38</v>
      </c>
      <c r="C2266" s="5" t="str" cm="1">
        <f t="array" ref="C2266">_xlfn.IFS(worksheet[[#This Row],[age]]&lt;25,"1. Young Adulthood (18-24)",worksheet[[#This Row],[age]]&lt; 35,"2. Early Adulthood (25-34)",worksheet[[#This Row],[age]]&lt; 45,"3. Mid Adulthood (35-44)",worksheet[[#This Row],[age]]&lt; 55,"4. Mature Adulthood (45-54)",TRUE,"5. Late Adulthood/Senior (55+)")</f>
        <v>3. Mid Adulthood (35-44)</v>
      </c>
      <c r="D2266" t="s">
        <v>41</v>
      </c>
      <c r="E2266" t="s">
        <v>32</v>
      </c>
      <c r="F2266" s="4">
        <v>2.2400000000000002</v>
      </c>
      <c r="G2266" s="5">
        <v>58</v>
      </c>
      <c r="H2266" t="s">
        <v>17</v>
      </c>
      <c r="I2266" t="s">
        <v>46</v>
      </c>
      <c r="J2266" s="6">
        <v>17.989999999999998</v>
      </c>
      <c r="K2266">
        <v>1</v>
      </c>
      <c r="L2266" t="s">
        <v>37</v>
      </c>
      <c r="M2266" s="5">
        <v>4</v>
      </c>
      <c r="N2266" s="4">
        <v>0.04</v>
      </c>
      <c r="O2266" t="s">
        <v>52</v>
      </c>
    </row>
    <row r="2267" spans="1:15" x14ac:dyDescent="0.3">
      <c r="A2267" t="s">
        <v>3413</v>
      </c>
      <c r="B2267" s="5">
        <v>40</v>
      </c>
      <c r="C2267" s="5" t="str" cm="1">
        <f t="array" ref="C2267">_xlfn.IFS(worksheet[[#This Row],[age]]&lt;25,"1. Young Adulthood (18-24)",worksheet[[#This Row],[age]]&lt; 35,"2. Early Adulthood (25-34)",worksheet[[#This Row],[age]]&lt; 45,"3. Mid Adulthood (35-44)",worksheet[[#This Row],[age]]&lt; 55,"4. Mature Adulthood (45-54)",TRUE,"5. Late Adulthood/Senior (55+)")</f>
        <v>3. Mid Adulthood (35-44)</v>
      </c>
      <c r="D2267" t="s">
        <v>41</v>
      </c>
      <c r="E2267" t="s">
        <v>32</v>
      </c>
      <c r="F2267" s="4">
        <v>46.29</v>
      </c>
      <c r="G2267" s="5">
        <v>26</v>
      </c>
      <c r="H2267" t="s">
        <v>17</v>
      </c>
      <c r="I2267" t="s">
        <v>46</v>
      </c>
      <c r="J2267" s="6">
        <v>17.989999999999998</v>
      </c>
      <c r="K2267">
        <v>0</v>
      </c>
      <c r="L2267" t="s">
        <v>29</v>
      </c>
      <c r="M2267" s="5">
        <v>4</v>
      </c>
      <c r="N2267" s="4">
        <v>1.71</v>
      </c>
      <c r="O2267" t="s">
        <v>30</v>
      </c>
    </row>
    <row r="2268" spans="1:15" x14ac:dyDescent="0.3">
      <c r="A2268" t="s">
        <v>3422</v>
      </c>
      <c r="B2268" s="5">
        <v>35</v>
      </c>
      <c r="C2268" s="5" t="str" cm="1">
        <f t="array" ref="C2268">_xlfn.IFS(worksheet[[#This Row],[age]]&lt;25,"1. Young Adulthood (18-24)",worksheet[[#This Row],[age]]&lt; 35,"2. Early Adulthood (25-34)",worksheet[[#This Row],[age]]&lt; 45,"3. Mid Adulthood (35-44)",worksheet[[#This Row],[age]]&lt; 55,"4. Mature Adulthood (45-54)",TRUE,"5. Late Adulthood/Senior (55+)")</f>
        <v>3. Mid Adulthood (35-44)</v>
      </c>
      <c r="D2268" t="s">
        <v>27</v>
      </c>
      <c r="E2268" t="s">
        <v>32</v>
      </c>
      <c r="F2268" s="4">
        <v>3.59</v>
      </c>
      <c r="G2268" s="5">
        <v>53</v>
      </c>
      <c r="H2268" t="s">
        <v>28</v>
      </c>
      <c r="I2268" t="s">
        <v>57</v>
      </c>
      <c r="J2268" s="6">
        <v>17.989999999999998</v>
      </c>
      <c r="K2268">
        <v>1</v>
      </c>
      <c r="L2268" t="s">
        <v>29</v>
      </c>
      <c r="M2268" s="5">
        <v>3</v>
      </c>
      <c r="N2268" s="4">
        <v>7.0000000000000007E-2</v>
      </c>
      <c r="O2268" t="s">
        <v>39</v>
      </c>
    </row>
    <row r="2269" spans="1:15" x14ac:dyDescent="0.3">
      <c r="A2269" t="s">
        <v>3429</v>
      </c>
      <c r="B2269" s="5">
        <v>42</v>
      </c>
      <c r="C2269" s="5" t="str" cm="1">
        <f t="array" ref="C2269">_xlfn.IFS(worksheet[[#This Row],[age]]&lt;25,"1. Young Adulthood (18-24)",worksheet[[#This Row],[age]]&lt; 35,"2. Early Adulthood (25-34)",worksheet[[#This Row],[age]]&lt; 45,"3. Mid Adulthood (35-44)",worksheet[[#This Row],[age]]&lt; 55,"4. Mature Adulthood (45-54)",TRUE,"5. Late Adulthood/Senior (55+)")</f>
        <v>3. Mid Adulthood (35-44)</v>
      </c>
      <c r="D2269" t="s">
        <v>15</v>
      </c>
      <c r="E2269" t="s">
        <v>32</v>
      </c>
      <c r="F2269" s="4">
        <v>10.89</v>
      </c>
      <c r="G2269" s="5">
        <v>31</v>
      </c>
      <c r="H2269" t="s">
        <v>49</v>
      </c>
      <c r="I2269" t="s">
        <v>57</v>
      </c>
      <c r="J2269" s="6">
        <v>17.989999999999998</v>
      </c>
      <c r="K2269">
        <v>0</v>
      </c>
      <c r="L2269" t="s">
        <v>43</v>
      </c>
      <c r="M2269" s="5">
        <v>5</v>
      </c>
      <c r="N2269" s="4">
        <v>0.34</v>
      </c>
      <c r="O2269" t="s">
        <v>30</v>
      </c>
    </row>
    <row r="2270" spans="1:15" x14ac:dyDescent="0.3">
      <c r="A2270" t="s">
        <v>3456</v>
      </c>
      <c r="B2270" s="5">
        <v>37</v>
      </c>
      <c r="C2270" s="5" t="str" cm="1">
        <f t="array" ref="C2270">_xlfn.IFS(worksheet[[#This Row],[age]]&lt;25,"1. Young Adulthood (18-24)",worksheet[[#This Row],[age]]&lt; 35,"2. Early Adulthood (25-34)",worksheet[[#This Row],[age]]&lt; 45,"3. Mid Adulthood (35-44)",worksheet[[#This Row],[age]]&lt; 55,"4. Mature Adulthood (45-54)",TRUE,"5. Late Adulthood/Senior (55+)")</f>
        <v>3. Mid Adulthood (35-44)</v>
      </c>
      <c r="D2270" t="s">
        <v>41</v>
      </c>
      <c r="E2270" t="s">
        <v>22</v>
      </c>
      <c r="F2270" s="4">
        <v>8.39</v>
      </c>
      <c r="G2270" s="5">
        <v>8</v>
      </c>
      <c r="H2270" t="s">
        <v>33</v>
      </c>
      <c r="I2270" t="s">
        <v>55</v>
      </c>
      <c r="J2270" s="6">
        <v>13.99</v>
      </c>
      <c r="K2270">
        <v>0</v>
      </c>
      <c r="L2270" t="s">
        <v>29</v>
      </c>
      <c r="M2270" s="5">
        <v>5</v>
      </c>
      <c r="N2270" s="4">
        <v>0.93</v>
      </c>
      <c r="O2270" t="s">
        <v>20</v>
      </c>
    </row>
    <row r="2271" spans="1:15" x14ac:dyDescent="0.3">
      <c r="A2271" t="s">
        <v>3457</v>
      </c>
      <c r="B2271" s="5">
        <v>35</v>
      </c>
      <c r="C2271" s="5" t="str" cm="1">
        <f t="array" ref="C2271">_xlfn.IFS(worksheet[[#This Row],[age]]&lt;25,"1. Young Adulthood (18-24)",worksheet[[#This Row],[age]]&lt; 35,"2. Early Adulthood (25-34)",worksheet[[#This Row],[age]]&lt; 45,"3. Mid Adulthood (35-44)",worksheet[[#This Row],[age]]&lt; 55,"4. Mature Adulthood (45-54)",TRUE,"5. Late Adulthood/Senior (55+)")</f>
        <v>3. Mid Adulthood (35-44)</v>
      </c>
      <c r="D2271" t="s">
        <v>27</v>
      </c>
      <c r="E2271" t="s">
        <v>32</v>
      </c>
      <c r="F2271" s="4">
        <v>26.28</v>
      </c>
      <c r="G2271" s="5">
        <v>23</v>
      </c>
      <c r="H2271" t="s">
        <v>23</v>
      </c>
      <c r="I2271" t="s">
        <v>55</v>
      </c>
      <c r="J2271" s="6">
        <v>17.989999999999998</v>
      </c>
      <c r="K2271">
        <v>0</v>
      </c>
      <c r="L2271" t="s">
        <v>37</v>
      </c>
      <c r="M2271" s="5">
        <v>1</v>
      </c>
      <c r="N2271" s="4">
        <v>1.0900000000000001</v>
      </c>
      <c r="O2271" t="s">
        <v>30</v>
      </c>
    </row>
    <row r="2272" spans="1:15" x14ac:dyDescent="0.3">
      <c r="A2272" t="s">
        <v>3459</v>
      </c>
      <c r="B2272" s="5">
        <v>37</v>
      </c>
      <c r="C2272" s="5" t="str" cm="1">
        <f t="array" ref="C2272">_xlfn.IFS(worksheet[[#This Row],[age]]&lt;25,"1. Young Adulthood (18-24)",worksheet[[#This Row],[age]]&lt; 35,"2. Early Adulthood (25-34)",worksheet[[#This Row],[age]]&lt; 45,"3. Mid Adulthood (35-44)",worksheet[[#This Row],[age]]&lt; 55,"4. Mature Adulthood (45-54)",TRUE,"5. Late Adulthood/Senior (55+)")</f>
        <v>3. Mid Adulthood (35-44)</v>
      </c>
      <c r="D2272" t="s">
        <v>41</v>
      </c>
      <c r="E2272" t="s">
        <v>16</v>
      </c>
      <c r="F2272" s="4">
        <v>37.369999999999997</v>
      </c>
      <c r="G2272" s="5">
        <v>52</v>
      </c>
      <c r="H2272" t="s">
        <v>17</v>
      </c>
      <c r="I2272" t="s">
        <v>55</v>
      </c>
      <c r="J2272" s="6">
        <v>8.99</v>
      </c>
      <c r="K2272">
        <v>0</v>
      </c>
      <c r="L2272" t="s">
        <v>43</v>
      </c>
      <c r="M2272" s="5">
        <v>3</v>
      </c>
      <c r="N2272" s="4">
        <v>0.71</v>
      </c>
      <c r="O2272" t="s">
        <v>30</v>
      </c>
    </row>
    <row r="2273" spans="1:15" x14ac:dyDescent="0.3">
      <c r="A2273" t="s">
        <v>3462</v>
      </c>
      <c r="B2273" s="5">
        <v>44</v>
      </c>
      <c r="C2273" s="5" t="str" cm="1">
        <f t="array" ref="C2273">_xlfn.IFS(worksheet[[#This Row],[age]]&lt;25,"1. Young Adulthood (18-24)",worksheet[[#This Row],[age]]&lt; 35,"2. Early Adulthood (25-34)",worksheet[[#This Row],[age]]&lt; 45,"3. Mid Adulthood (35-44)",worksheet[[#This Row],[age]]&lt; 55,"4. Mature Adulthood (45-54)",TRUE,"5. Late Adulthood/Senior (55+)")</f>
        <v>3. Mid Adulthood (35-44)</v>
      </c>
      <c r="D2273" t="s">
        <v>41</v>
      </c>
      <c r="E2273" t="s">
        <v>16</v>
      </c>
      <c r="F2273" s="4">
        <v>19.82</v>
      </c>
      <c r="G2273" s="5">
        <v>43</v>
      </c>
      <c r="H2273" t="s">
        <v>49</v>
      </c>
      <c r="I2273" t="s">
        <v>24</v>
      </c>
      <c r="J2273" s="6">
        <v>8.99</v>
      </c>
      <c r="K2273">
        <v>1</v>
      </c>
      <c r="L2273" t="s">
        <v>43</v>
      </c>
      <c r="M2273" s="5">
        <v>2</v>
      </c>
      <c r="N2273" s="4">
        <v>0.45</v>
      </c>
      <c r="O2273" t="s">
        <v>47</v>
      </c>
    </row>
    <row r="2274" spans="1:15" x14ac:dyDescent="0.3">
      <c r="A2274" t="s">
        <v>3467</v>
      </c>
      <c r="B2274" s="5">
        <v>39</v>
      </c>
      <c r="C2274" s="5" t="str" cm="1">
        <f t="array" ref="C2274">_xlfn.IFS(worksheet[[#This Row],[age]]&lt;25,"1. Young Adulthood (18-24)",worksheet[[#This Row],[age]]&lt; 35,"2. Early Adulthood (25-34)",worksheet[[#This Row],[age]]&lt; 45,"3. Mid Adulthood (35-44)",worksheet[[#This Row],[age]]&lt; 55,"4. Mature Adulthood (45-54)",TRUE,"5. Late Adulthood/Senior (55+)")</f>
        <v>3. Mid Adulthood (35-44)</v>
      </c>
      <c r="D2274" t="s">
        <v>41</v>
      </c>
      <c r="E2274" t="s">
        <v>16</v>
      </c>
      <c r="F2274" s="4">
        <v>22.24</v>
      </c>
      <c r="G2274" s="5">
        <v>47</v>
      </c>
      <c r="H2274" t="s">
        <v>70</v>
      </c>
      <c r="I2274" t="s">
        <v>46</v>
      </c>
      <c r="J2274" s="6">
        <v>8.99</v>
      </c>
      <c r="K2274">
        <v>1</v>
      </c>
      <c r="L2274" t="s">
        <v>37</v>
      </c>
      <c r="M2274" s="5">
        <v>3</v>
      </c>
      <c r="N2274" s="4">
        <v>0.46</v>
      </c>
      <c r="O2274" t="s">
        <v>20</v>
      </c>
    </row>
    <row r="2275" spans="1:15" x14ac:dyDescent="0.3">
      <c r="A2275" t="s">
        <v>3473</v>
      </c>
      <c r="B2275" s="5">
        <v>35</v>
      </c>
      <c r="C2275" s="5" t="str" cm="1">
        <f t="array" ref="C2275">_xlfn.IFS(worksheet[[#This Row],[age]]&lt;25,"1. Young Adulthood (18-24)",worksheet[[#This Row],[age]]&lt; 35,"2. Early Adulthood (25-34)",worksheet[[#This Row],[age]]&lt; 45,"3. Mid Adulthood (35-44)",worksheet[[#This Row],[age]]&lt; 55,"4. Mature Adulthood (45-54)",TRUE,"5. Late Adulthood/Senior (55+)")</f>
        <v>3. Mid Adulthood (35-44)</v>
      </c>
      <c r="D2275" t="s">
        <v>41</v>
      </c>
      <c r="E2275" t="s">
        <v>32</v>
      </c>
      <c r="F2275" s="4">
        <v>9.2899999999999991</v>
      </c>
      <c r="G2275" s="5">
        <v>20</v>
      </c>
      <c r="H2275" t="s">
        <v>17</v>
      </c>
      <c r="I2275" t="s">
        <v>57</v>
      </c>
      <c r="J2275" s="6">
        <v>17.989999999999998</v>
      </c>
      <c r="K2275">
        <v>0</v>
      </c>
      <c r="L2275" t="s">
        <v>37</v>
      </c>
      <c r="M2275" s="5">
        <v>4</v>
      </c>
      <c r="N2275" s="4">
        <v>0.44</v>
      </c>
      <c r="O2275" t="s">
        <v>47</v>
      </c>
    </row>
    <row r="2276" spans="1:15" x14ac:dyDescent="0.3">
      <c r="A2276" t="s">
        <v>3494</v>
      </c>
      <c r="B2276" s="5">
        <v>38</v>
      </c>
      <c r="C2276" s="5" t="str" cm="1">
        <f t="array" ref="C2276">_xlfn.IFS(worksheet[[#This Row],[age]]&lt;25,"1. Young Adulthood (18-24)",worksheet[[#This Row],[age]]&lt; 35,"2. Early Adulthood (25-34)",worksheet[[#This Row],[age]]&lt; 45,"3. Mid Adulthood (35-44)",worksheet[[#This Row],[age]]&lt; 55,"4. Mature Adulthood (45-54)",TRUE,"5. Late Adulthood/Senior (55+)")</f>
        <v>3. Mid Adulthood (35-44)</v>
      </c>
      <c r="D2276" t="s">
        <v>27</v>
      </c>
      <c r="E2276" t="s">
        <v>22</v>
      </c>
      <c r="F2276" s="4">
        <v>1.69</v>
      </c>
      <c r="G2276" s="5">
        <v>12</v>
      </c>
      <c r="H2276" t="s">
        <v>17</v>
      </c>
      <c r="I2276" t="s">
        <v>24</v>
      </c>
      <c r="J2276" s="6">
        <v>13.99</v>
      </c>
      <c r="K2276">
        <v>1</v>
      </c>
      <c r="L2276" t="s">
        <v>37</v>
      </c>
      <c r="M2276" s="5">
        <v>3</v>
      </c>
      <c r="N2276" s="4">
        <v>0.13</v>
      </c>
      <c r="O2276" t="s">
        <v>30</v>
      </c>
    </row>
    <row r="2277" spans="1:15" x14ac:dyDescent="0.3">
      <c r="A2277" t="s">
        <v>3497</v>
      </c>
      <c r="B2277" s="5">
        <v>42</v>
      </c>
      <c r="C2277" s="5" t="str" cm="1">
        <f t="array" ref="C2277">_xlfn.IFS(worksheet[[#This Row],[age]]&lt;25,"1. Young Adulthood (18-24)",worksheet[[#This Row],[age]]&lt; 35,"2. Early Adulthood (25-34)",worksheet[[#This Row],[age]]&lt; 45,"3. Mid Adulthood (35-44)",worksheet[[#This Row],[age]]&lt; 55,"4. Mature Adulthood (45-54)",TRUE,"5. Late Adulthood/Senior (55+)")</f>
        <v>3. Mid Adulthood (35-44)</v>
      </c>
      <c r="D2277" t="s">
        <v>41</v>
      </c>
      <c r="E2277" t="s">
        <v>32</v>
      </c>
      <c r="F2277" s="4">
        <v>2.81</v>
      </c>
      <c r="G2277" s="5">
        <v>32</v>
      </c>
      <c r="H2277" t="s">
        <v>23</v>
      </c>
      <c r="I2277" t="s">
        <v>55</v>
      </c>
      <c r="J2277" s="6">
        <v>17.989999999999998</v>
      </c>
      <c r="K2277">
        <v>1</v>
      </c>
      <c r="L2277" t="s">
        <v>19</v>
      </c>
      <c r="M2277" s="5">
        <v>2</v>
      </c>
      <c r="N2277" s="4">
        <v>0.09</v>
      </c>
      <c r="O2277" t="s">
        <v>47</v>
      </c>
    </row>
    <row r="2278" spans="1:15" x14ac:dyDescent="0.3">
      <c r="A2278" t="s">
        <v>3504</v>
      </c>
      <c r="B2278" s="5">
        <v>41</v>
      </c>
      <c r="C2278" s="5" t="str" cm="1">
        <f t="array" ref="C2278">_xlfn.IFS(worksheet[[#This Row],[age]]&lt;25,"1. Young Adulthood (18-24)",worksheet[[#This Row],[age]]&lt; 35,"2. Early Adulthood (25-34)",worksheet[[#This Row],[age]]&lt; 45,"3. Mid Adulthood (35-44)",worksheet[[#This Row],[age]]&lt; 55,"4. Mature Adulthood (45-54)",TRUE,"5. Late Adulthood/Senior (55+)")</f>
        <v>3. Mid Adulthood (35-44)</v>
      </c>
      <c r="D2278" t="s">
        <v>27</v>
      </c>
      <c r="E2278" t="s">
        <v>22</v>
      </c>
      <c r="F2278" s="4">
        <v>18.04</v>
      </c>
      <c r="G2278" s="5">
        <v>49</v>
      </c>
      <c r="H2278" t="s">
        <v>49</v>
      </c>
      <c r="I2278" t="s">
        <v>18</v>
      </c>
      <c r="J2278" s="6">
        <v>13.99</v>
      </c>
      <c r="K2278">
        <v>0</v>
      </c>
      <c r="L2278" t="s">
        <v>43</v>
      </c>
      <c r="M2278" s="5">
        <v>4</v>
      </c>
      <c r="N2278" s="4">
        <v>0.36</v>
      </c>
      <c r="O2278" t="s">
        <v>39</v>
      </c>
    </row>
    <row r="2279" spans="1:15" x14ac:dyDescent="0.3">
      <c r="A2279" t="s">
        <v>3506</v>
      </c>
      <c r="B2279" s="5">
        <v>38</v>
      </c>
      <c r="C2279" s="5" t="str" cm="1">
        <f t="array" ref="C2279">_xlfn.IFS(worksheet[[#This Row],[age]]&lt;25,"1. Young Adulthood (18-24)",worksheet[[#This Row],[age]]&lt; 35,"2. Early Adulthood (25-34)",worksheet[[#This Row],[age]]&lt; 45,"3. Mid Adulthood (35-44)",worksheet[[#This Row],[age]]&lt; 55,"4. Mature Adulthood (45-54)",TRUE,"5. Late Adulthood/Senior (55+)")</f>
        <v>3. Mid Adulthood (35-44)</v>
      </c>
      <c r="D2279" t="s">
        <v>27</v>
      </c>
      <c r="E2279" t="s">
        <v>32</v>
      </c>
      <c r="F2279" s="4">
        <v>34.08</v>
      </c>
      <c r="G2279" s="5">
        <v>1</v>
      </c>
      <c r="H2279" t="s">
        <v>70</v>
      </c>
      <c r="I2279" t="s">
        <v>46</v>
      </c>
      <c r="J2279" s="6">
        <v>17.989999999999998</v>
      </c>
      <c r="K2279">
        <v>0</v>
      </c>
      <c r="L2279" t="s">
        <v>61</v>
      </c>
      <c r="M2279" s="5">
        <v>4</v>
      </c>
      <c r="N2279" s="4">
        <v>17.04</v>
      </c>
      <c r="O2279" t="s">
        <v>30</v>
      </c>
    </row>
    <row r="2280" spans="1:15" x14ac:dyDescent="0.3">
      <c r="A2280" t="s">
        <v>3516</v>
      </c>
      <c r="B2280" s="5">
        <v>40</v>
      </c>
      <c r="C2280" s="5" t="str" cm="1">
        <f t="array" ref="C2280">_xlfn.IFS(worksheet[[#This Row],[age]]&lt;25,"1. Young Adulthood (18-24)",worksheet[[#This Row],[age]]&lt; 35,"2. Early Adulthood (25-34)",worksheet[[#This Row],[age]]&lt; 45,"3. Mid Adulthood (35-44)",worksheet[[#This Row],[age]]&lt; 55,"4. Mature Adulthood (45-54)",TRUE,"5. Late Adulthood/Senior (55+)")</f>
        <v>3. Mid Adulthood (35-44)</v>
      </c>
      <c r="D2280" t="s">
        <v>41</v>
      </c>
      <c r="E2280" t="s">
        <v>16</v>
      </c>
      <c r="F2280" s="4">
        <v>23.44</v>
      </c>
      <c r="G2280" s="5">
        <v>40</v>
      </c>
      <c r="H2280" t="s">
        <v>70</v>
      </c>
      <c r="I2280" t="s">
        <v>18</v>
      </c>
      <c r="J2280" s="6">
        <v>8.99</v>
      </c>
      <c r="K2280">
        <v>0</v>
      </c>
      <c r="L2280" t="s">
        <v>19</v>
      </c>
      <c r="M2280" s="5">
        <v>4</v>
      </c>
      <c r="N2280" s="4">
        <v>0.56999999999999995</v>
      </c>
      <c r="O2280" t="s">
        <v>34</v>
      </c>
    </row>
    <row r="2281" spans="1:15" x14ac:dyDescent="0.3">
      <c r="A2281" t="s">
        <v>3530</v>
      </c>
      <c r="B2281" s="5">
        <v>37</v>
      </c>
      <c r="C2281" s="5" t="str" cm="1">
        <f t="array" ref="C2281">_xlfn.IFS(worksheet[[#This Row],[age]]&lt;25,"1. Young Adulthood (18-24)",worksheet[[#This Row],[age]]&lt; 35,"2. Early Adulthood (25-34)",worksheet[[#This Row],[age]]&lt; 45,"3. Mid Adulthood (35-44)",worksheet[[#This Row],[age]]&lt; 55,"4. Mature Adulthood (45-54)",TRUE,"5. Late Adulthood/Senior (55+)")</f>
        <v>3. Mid Adulthood (35-44)</v>
      </c>
      <c r="D2281" t="s">
        <v>15</v>
      </c>
      <c r="E2281" t="s">
        <v>22</v>
      </c>
      <c r="F2281" s="4">
        <v>26.94</v>
      </c>
      <c r="G2281" s="5">
        <v>12</v>
      </c>
      <c r="H2281" t="s">
        <v>17</v>
      </c>
      <c r="I2281" t="s">
        <v>55</v>
      </c>
      <c r="J2281" s="6">
        <v>13.99</v>
      </c>
      <c r="K2281">
        <v>0</v>
      </c>
      <c r="L2281" t="s">
        <v>19</v>
      </c>
      <c r="M2281" s="5">
        <v>3</v>
      </c>
      <c r="N2281" s="4">
        <v>2.0699999999999998</v>
      </c>
      <c r="O2281" t="s">
        <v>52</v>
      </c>
    </row>
    <row r="2282" spans="1:15" x14ac:dyDescent="0.3">
      <c r="A2282" t="s">
        <v>3531</v>
      </c>
      <c r="B2282" s="5">
        <v>39</v>
      </c>
      <c r="C2282" s="5" t="str" cm="1">
        <f t="array" ref="C2282">_xlfn.IFS(worksheet[[#This Row],[age]]&lt;25,"1. Young Adulthood (18-24)",worksheet[[#This Row],[age]]&lt; 35,"2. Early Adulthood (25-34)",worksheet[[#This Row],[age]]&lt; 45,"3. Mid Adulthood (35-44)",worksheet[[#This Row],[age]]&lt; 55,"4. Mature Adulthood (45-54)",TRUE,"5. Late Adulthood/Senior (55+)")</f>
        <v>3. Mid Adulthood (35-44)</v>
      </c>
      <c r="D2282" t="s">
        <v>41</v>
      </c>
      <c r="E2282" t="s">
        <v>16</v>
      </c>
      <c r="F2282" s="4">
        <v>7.67</v>
      </c>
      <c r="G2282" s="5">
        <v>27</v>
      </c>
      <c r="H2282" t="s">
        <v>17</v>
      </c>
      <c r="I2282" t="s">
        <v>57</v>
      </c>
      <c r="J2282" s="6">
        <v>8.99</v>
      </c>
      <c r="K2282">
        <v>0</v>
      </c>
      <c r="L2282" t="s">
        <v>61</v>
      </c>
      <c r="M2282" s="5">
        <v>3</v>
      </c>
      <c r="N2282" s="4">
        <v>0.27</v>
      </c>
      <c r="O2282" t="s">
        <v>47</v>
      </c>
    </row>
    <row r="2283" spans="1:15" x14ac:dyDescent="0.3">
      <c r="A2283" t="s">
        <v>3537</v>
      </c>
      <c r="B2283" s="5">
        <v>38</v>
      </c>
      <c r="C2283" s="5" t="str" cm="1">
        <f t="array" ref="C2283">_xlfn.IFS(worksheet[[#This Row],[age]]&lt;25,"1. Young Adulthood (18-24)",worksheet[[#This Row],[age]]&lt; 35,"2. Early Adulthood (25-34)",worksheet[[#This Row],[age]]&lt; 45,"3. Mid Adulthood (35-44)",worksheet[[#This Row],[age]]&lt; 55,"4. Mature Adulthood (45-54)",TRUE,"5. Late Adulthood/Senior (55+)")</f>
        <v>3. Mid Adulthood (35-44)</v>
      </c>
      <c r="D2283" t="s">
        <v>27</v>
      </c>
      <c r="E2283" t="s">
        <v>22</v>
      </c>
      <c r="F2283" s="4">
        <v>2.44</v>
      </c>
      <c r="G2283" s="5">
        <v>11</v>
      </c>
      <c r="H2283" t="s">
        <v>33</v>
      </c>
      <c r="I2283" t="s">
        <v>46</v>
      </c>
      <c r="J2283" s="6">
        <v>13.99</v>
      </c>
      <c r="K2283">
        <v>1</v>
      </c>
      <c r="L2283" t="s">
        <v>19</v>
      </c>
      <c r="M2283" s="5">
        <v>5</v>
      </c>
      <c r="N2283" s="4">
        <v>0.2</v>
      </c>
      <c r="O2283" t="s">
        <v>52</v>
      </c>
    </row>
    <row r="2284" spans="1:15" x14ac:dyDescent="0.3">
      <c r="A2284" t="s">
        <v>3540</v>
      </c>
      <c r="B2284" s="5">
        <v>38</v>
      </c>
      <c r="C2284" s="5" t="str" cm="1">
        <f t="array" ref="C2284">_xlfn.IFS(worksheet[[#This Row],[age]]&lt;25,"1. Young Adulthood (18-24)",worksheet[[#This Row],[age]]&lt; 35,"2. Early Adulthood (25-34)",worksheet[[#This Row],[age]]&lt; 45,"3. Mid Adulthood (35-44)",worksheet[[#This Row],[age]]&lt; 55,"4. Mature Adulthood (45-54)",TRUE,"5. Late Adulthood/Senior (55+)")</f>
        <v>3. Mid Adulthood (35-44)</v>
      </c>
      <c r="D2284" t="s">
        <v>41</v>
      </c>
      <c r="E2284" t="s">
        <v>32</v>
      </c>
      <c r="F2284" s="4">
        <v>5.89</v>
      </c>
      <c r="G2284" s="5">
        <v>2</v>
      </c>
      <c r="H2284" t="s">
        <v>23</v>
      </c>
      <c r="I2284" t="s">
        <v>55</v>
      </c>
      <c r="J2284" s="6">
        <v>17.989999999999998</v>
      </c>
      <c r="K2284">
        <v>0</v>
      </c>
      <c r="L2284" t="s">
        <v>29</v>
      </c>
      <c r="M2284" s="5">
        <v>1</v>
      </c>
      <c r="N2284" s="4">
        <v>1.96</v>
      </c>
      <c r="O2284" t="s">
        <v>39</v>
      </c>
    </row>
    <row r="2285" spans="1:15" x14ac:dyDescent="0.3">
      <c r="A2285" t="s">
        <v>3543</v>
      </c>
      <c r="B2285" s="5">
        <v>43</v>
      </c>
      <c r="C2285" s="5" t="str" cm="1">
        <f t="array" ref="C2285">_xlfn.IFS(worksheet[[#This Row],[age]]&lt;25,"1. Young Adulthood (18-24)",worksheet[[#This Row],[age]]&lt; 35,"2. Early Adulthood (25-34)",worksheet[[#This Row],[age]]&lt; 45,"3. Mid Adulthood (35-44)",worksheet[[#This Row],[age]]&lt; 55,"4. Mature Adulthood (45-54)",TRUE,"5. Late Adulthood/Senior (55+)")</f>
        <v>3. Mid Adulthood (35-44)</v>
      </c>
      <c r="D2285" t="s">
        <v>41</v>
      </c>
      <c r="E2285" t="s">
        <v>22</v>
      </c>
      <c r="F2285" s="4">
        <v>12.79</v>
      </c>
      <c r="G2285" s="5">
        <v>36</v>
      </c>
      <c r="H2285" t="s">
        <v>17</v>
      </c>
      <c r="I2285" t="s">
        <v>57</v>
      </c>
      <c r="J2285" s="6">
        <v>13.99</v>
      </c>
      <c r="K2285">
        <v>0</v>
      </c>
      <c r="L2285" t="s">
        <v>61</v>
      </c>
      <c r="M2285" s="5">
        <v>5</v>
      </c>
      <c r="N2285" s="4">
        <v>0.35</v>
      </c>
      <c r="O2285" t="s">
        <v>52</v>
      </c>
    </row>
    <row r="2286" spans="1:15" x14ac:dyDescent="0.3">
      <c r="A2286" t="s">
        <v>3544</v>
      </c>
      <c r="B2286" s="5">
        <v>43</v>
      </c>
      <c r="C2286" s="5" t="str" cm="1">
        <f t="array" ref="C2286">_xlfn.IFS(worksheet[[#This Row],[age]]&lt;25,"1. Young Adulthood (18-24)",worksheet[[#This Row],[age]]&lt; 35,"2. Early Adulthood (25-34)",worksheet[[#This Row],[age]]&lt; 45,"3. Mid Adulthood (35-44)",worksheet[[#This Row],[age]]&lt; 55,"4. Mature Adulthood (45-54)",TRUE,"5. Late Adulthood/Senior (55+)")</f>
        <v>3. Mid Adulthood (35-44)</v>
      </c>
      <c r="D2286" t="s">
        <v>27</v>
      </c>
      <c r="E2286" t="s">
        <v>22</v>
      </c>
      <c r="F2286" s="4">
        <v>5.74</v>
      </c>
      <c r="G2286" s="5">
        <v>6</v>
      </c>
      <c r="H2286" t="s">
        <v>33</v>
      </c>
      <c r="I2286" t="s">
        <v>24</v>
      </c>
      <c r="J2286" s="6">
        <v>13.99</v>
      </c>
      <c r="K2286">
        <v>0</v>
      </c>
      <c r="L2286" t="s">
        <v>61</v>
      </c>
      <c r="M2286" s="5">
        <v>3</v>
      </c>
      <c r="N2286" s="4">
        <v>0.82</v>
      </c>
      <c r="O2286" t="s">
        <v>30</v>
      </c>
    </row>
    <row r="2287" spans="1:15" x14ac:dyDescent="0.3">
      <c r="A2287" t="s">
        <v>3547</v>
      </c>
      <c r="B2287" s="5">
        <v>39</v>
      </c>
      <c r="C2287" s="5" t="str" cm="1">
        <f t="array" ref="C2287">_xlfn.IFS(worksheet[[#This Row],[age]]&lt;25,"1. Young Adulthood (18-24)",worksheet[[#This Row],[age]]&lt; 35,"2. Early Adulthood (25-34)",worksheet[[#This Row],[age]]&lt; 45,"3. Mid Adulthood (35-44)",worksheet[[#This Row],[age]]&lt; 55,"4. Mature Adulthood (45-54)",TRUE,"5. Late Adulthood/Senior (55+)")</f>
        <v>3. Mid Adulthood (35-44)</v>
      </c>
      <c r="D2287" t="s">
        <v>27</v>
      </c>
      <c r="E2287" t="s">
        <v>22</v>
      </c>
      <c r="F2287" s="4">
        <v>15.89</v>
      </c>
      <c r="G2287" s="5">
        <v>21</v>
      </c>
      <c r="H2287" t="s">
        <v>33</v>
      </c>
      <c r="I2287" t="s">
        <v>55</v>
      </c>
      <c r="J2287" s="6">
        <v>13.99</v>
      </c>
      <c r="K2287">
        <v>0</v>
      </c>
      <c r="L2287" t="s">
        <v>19</v>
      </c>
      <c r="M2287" s="5">
        <v>4</v>
      </c>
      <c r="N2287" s="4">
        <v>0.72</v>
      </c>
      <c r="O2287" t="s">
        <v>25</v>
      </c>
    </row>
    <row r="2288" spans="1:15" x14ac:dyDescent="0.3">
      <c r="A2288" t="s">
        <v>3559</v>
      </c>
      <c r="B2288" s="5">
        <v>42</v>
      </c>
      <c r="C2288" s="5" t="str" cm="1">
        <f t="array" ref="C2288">_xlfn.IFS(worksheet[[#This Row],[age]]&lt;25,"1. Young Adulthood (18-24)",worksheet[[#This Row],[age]]&lt; 35,"2. Early Adulthood (25-34)",worksheet[[#This Row],[age]]&lt; 45,"3. Mid Adulthood (35-44)",worksheet[[#This Row],[age]]&lt; 55,"4. Mature Adulthood (45-54)",TRUE,"5. Late Adulthood/Senior (55+)")</f>
        <v>3. Mid Adulthood (35-44)</v>
      </c>
      <c r="D2288" t="s">
        <v>15</v>
      </c>
      <c r="E2288" t="s">
        <v>32</v>
      </c>
      <c r="F2288" s="4">
        <v>25.84</v>
      </c>
      <c r="G2288" s="5">
        <v>59</v>
      </c>
      <c r="H2288" t="s">
        <v>70</v>
      </c>
      <c r="I2288" t="s">
        <v>57</v>
      </c>
      <c r="J2288" s="6">
        <v>17.989999999999998</v>
      </c>
      <c r="K2288">
        <v>0</v>
      </c>
      <c r="L2288" t="s">
        <v>43</v>
      </c>
      <c r="M2288" s="5">
        <v>3</v>
      </c>
      <c r="N2288" s="4">
        <v>0.43</v>
      </c>
      <c r="O2288" t="s">
        <v>47</v>
      </c>
    </row>
    <row r="2289" spans="1:15" x14ac:dyDescent="0.3">
      <c r="A2289" t="s">
        <v>3561</v>
      </c>
      <c r="B2289" s="5">
        <v>41</v>
      </c>
      <c r="C2289" s="5" t="str" cm="1">
        <f t="array" ref="C2289">_xlfn.IFS(worksheet[[#This Row],[age]]&lt;25,"1. Young Adulthood (18-24)",worksheet[[#This Row],[age]]&lt; 35,"2. Early Adulthood (25-34)",worksheet[[#This Row],[age]]&lt; 45,"3. Mid Adulthood (35-44)",worksheet[[#This Row],[age]]&lt; 55,"4. Mature Adulthood (45-54)",TRUE,"5. Late Adulthood/Senior (55+)")</f>
        <v>3. Mid Adulthood (35-44)</v>
      </c>
      <c r="D2289" t="s">
        <v>41</v>
      </c>
      <c r="E2289" t="s">
        <v>16</v>
      </c>
      <c r="F2289" s="4">
        <v>9.42</v>
      </c>
      <c r="G2289" s="5">
        <v>19</v>
      </c>
      <c r="H2289" t="s">
        <v>49</v>
      </c>
      <c r="I2289" t="s">
        <v>24</v>
      </c>
      <c r="J2289" s="6">
        <v>8.99</v>
      </c>
      <c r="K2289">
        <v>1</v>
      </c>
      <c r="L2289" t="s">
        <v>43</v>
      </c>
      <c r="M2289" s="5">
        <v>1</v>
      </c>
      <c r="N2289" s="4">
        <v>0.47</v>
      </c>
      <c r="O2289" t="s">
        <v>52</v>
      </c>
    </row>
    <row r="2290" spans="1:15" x14ac:dyDescent="0.3">
      <c r="A2290" t="s">
        <v>3563</v>
      </c>
      <c r="B2290" s="5">
        <v>37</v>
      </c>
      <c r="C2290" s="5" t="str" cm="1">
        <f t="array" ref="C2290">_xlfn.IFS(worksheet[[#This Row],[age]]&lt;25,"1. Young Adulthood (18-24)",worksheet[[#This Row],[age]]&lt; 35,"2. Early Adulthood (25-34)",worksheet[[#This Row],[age]]&lt; 45,"3. Mid Adulthood (35-44)",worksheet[[#This Row],[age]]&lt; 55,"4. Mature Adulthood (45-54)",TRUE,"5. Late Adulthood/Senior (55+)")</f>
        <v>3. Mid Adulthood (35-44)</v>
      </c>
      <c r="D2290" t="s">
        <v>27</v>
      </c>
      <c r="E2290" t="s">
        <v>16</v>
      </c>
      <c r="F2290" s="4">
        <v>4.76</v>
      </c>
      <c r="G2290" s="5">
        <v>41</v>
      </c>
      <c r="H2290" t="s">
        <v>28</v>
      </c>
      <c r="I2290" t="s">
        <v>55</v>
      </c>
      <c r="J2290" s="6">
        <v>8.99</v>
      </c>
      <c r="K2290">
        <v>1</v>
      </c>
      <c r="L2290" t="s">
        <v>43</v>
      </c>
      <c r="M2290" s="5">
        <v>3</v>
      </c>
      <c r="N2290" s="4">
        <v>0.11</v>
      </c>
      <c r="O2290" t="s">
        <v>39</v>
      </c>
    </row>
    <row r="2291" spans="1:15" x14ac:dyDescent="0.3">
      <c r="A2291" t="s">
        <v>3565</v>
      </c>
      <c r="B2291" s="5">
        <v>40</v>
      </c>
      <c r="C2291" s="5" t="str" cm="1">
        <f t="array" ref="C2291">_xlfn.IFS(worksheet[[#This Row],[age]]&lt;25,"1. Young Adulthood (18-24)",worksheet[[#This Row],[age]]&lt; 35,"2. Early Adulthood (25-34)",worksheet[[#This Row],[age]]&lt; 45,"3. Mid Adulthood (35-44)",worksheet[[#This Row],[age]]&lt; 55,"4. Mature Adulthood (45-54)",TRUE,"5. Late Adulthood/Senior (55+)")</f>
        <v>3. Mid Adulthood (35-44)</v>
      </c>
      <c r="D2291" t="s">
        <v>27</v>
      </c>
      <c r="E2291" t="s">
        <v>32</v>
      </c>
      <c r="F2291" s="4">
        <v>3.93</v>
      </c>
      <c r="G2291" s="5">
        <v>30</v>
      </c>
      <c r="H2291" t="s">
        <v>70</v>
      </c>
      <c r="I2291" t="s">
        <v>57</v>
      </c>
      <c r="J2291" s="6">
        <v>17.989999999999998</v>
      </c>
      <c r="K2291">
        <v>0</v>
      </c>
      <c r="L2291" t="s">
        <v>37</v>
      </c>
      <c r="M2291" s="5">
        <v>4</v>
      </c>
      <c r="N2291" s="4">
        <v>0.13</v>
      </c>
      <c r="O2291" t="s">
        <v>52</v>
      </c>
    </row>
    <row r="2292" spans="1:15" x14ac:dyDescent="0.3">
      <c r="A2292" t="s">
        <v>3566</v>
      </c>
      <c r="B2292" s="5">
        <v>37</v>
      </c>
      <c r="C2292" s="5" t="str" cm="1">
        <f t="array" ref="C2292">_xlfn.IFS(worksheet[[#This Row],[age]]&lt;25,"1. Young Adulthood (18-24)",worksheet[[#This Row],[age]]&lt; 35,"2. Early Adulthood (25-34)",worksheet[[#This Row],[age]]&lt; 45,"3. Mid Adulthood (35-44)",worksheet[[#This Row],[age]]&lt; 55,"4. Mature Adulthood (45-54)",TRUE,"5. Late Adulthood/Senior (55+)")</f>
        <v>3. Mid Adulthood (35-44)</v>
      </c>
      <c r="D2292" t="s">
        <v>15</v>
      </c>
      <c r="E2292" t="s">
        <v>32</v>
      </c>
      <c r="F2292" s="4">
        <v>5.97</v>
      </c>
      <c r="G2292" s="5">
        <v>57</v>
      </c>
      <c r="H2292" t="s">
        <v>33</v>
      </c>
      <c r="I2292" t="s">
        <v>55</v>
      </c>
      <c r="J2292" s="6">
        <v>17.989999999999998</v>
      </c>
      <c r="K2292">
        <v>0</v>
      </c>
      <c r="L2292" t="s">
        <v>61</v>
      </c>
      <c r="M2292" s="5">
        <v>5</v>
      </c>
      <c r="N2292" s="4">
        <v>0.1</v>
      </c>
      <c r="O2292" t="s">
        <v>20</v>
      </c>
    </row>
    <row r="2293" spans="1:15" x14ac:dyDescent="0.3">
      <c r="A2293" t="s">
        <v>3569</v>
      </c>
      <c r="B2293" s="5">
        <v>43</v>
      </c>
      <c r="C2293" s="5" t="str" cm="1">
        <f t="array" ref="C2293">_xlfn.IFS(worksheet[[#This Row],[age]]&lt;25,"1. Young Adulthood (18-24)",worksheet[[#This Row],[age]]&lt; 35,"2. Early Adulthood (25-34)",worksheet[[#This Row],[age]]&lt; 45,"3. Mid Adulthood (35-44)",worksheet[[#This Row],[age]]&lt; 55,"4. Mature Adulthood (45-54)",TRUE,"5. Late Adulthood/Senior (55+)")</f>
        <v>3. Mid Adulthood (35-44)</v>
      </c>
      <c r="D2293" t="s">
        <v>15</v>
      </c>
      <c r="E2293" t="s">
        <v>22</v>
      </c>
      <c r="F2293" s="4">
        <v>12.39</v>
      </c>
      <c r="G2293" s="5">
        <v>31</v>
      </c>
      <c r="H2293" t="s">
        <v>23</v>
      </c>
      <c r="I2293" t="s">
        <v>18</v>
      </c>
      <c r="J2293" s="6">
        <v>13.99</v>
      </c>
      <c r="K2293">
        <v>1</v>
      </c>
      <c r="L2293" t="s">
        <v>43</v>
      </c>
      <c r="M2293" s="5">
        <v>3</v>
      </c>
      <c r="N2293" s="4">
        <v>0.39</v>
      </c>
      <c r="O2293" t="s">
        <v>47</v>
      </c>
    </row>
    <row r="2294" spans="1:15" x14ac:dyDescent="0.3">
      <c r="A2294" t="s">
        <v>3576</v>
      </c>
      <c r="B2294" s="5">
        <v>44</v>
      </c>
      <c r="C2294" s="5" t="str" cm="1">
        <f t="array" ref="C2294">_xlfn.IFS(worksheet[[#This Row],[age]]&lt;25,"1. Young Adulthood (18-24)",worksheet[[#This Row],[age]]&lt; 35,"2. Early Adulthood (25-34)",worksheet[[#This Row],[age]]&lt; 45,"3. Mid Adulthood (35-44)",worksheet[[#This Row],[age]]&lt; 55,"4. Mature Adulthood (45-54)",TRUE,"5. Late Adulthood/Senior (55+)")</f>
        <v>3. Mid Adulthood (35-44)</v>
      </c>
      <c r="D2294" t="s">
        <v>27</v>
      </c>
      <c r="E2294" t="s">
        <v>16</v>
      </c>
      <c r="F2294" s="4">
        <v>50.38</v>
      </c>
      <c r="G2294" s="5">
        <v>53</v>
      </c>
      <c r="H2294" t="s">
        <v>70</v>
      </c>
      <c r="I2294" t="s">
        <v>24</v>
      </c>
      <c r="J2294" s="6">
        <v>8.99</v>
      </c>
      <c r="K2294">
        <v>0</v>
      </c>
      <c r="L2294" t="s">
        <v>29</v>
      </c>
      <c r="M2294" s="5">
        <v>4</v>
      </c>
      <c r="N2294" s="4">
        <v>0.93</v>
      </c>
      <c r="O2294" t="s">
        <v>34</v>
      </c>
    </row>
    <row r="2295" spans="1:15" x14ac:dyDescent="0.3">
      <c r="A2295" t="s">
        <v>3577</v>
      </c>
      <c r="B2295" s="5">
        <v>44</v>
      </c>
      <c r="C2295" s="5" t="str" cm="1">
        <f t="array" ref="C2295">_xlfn.IFS(worksheet[[#This Row],[age]]&lt;25,"1. Young Adulthood (18-24)",worksheet[[#This Row],[age]]&lt; 35,"2. Early Adulthood (25-34)",worksheet[[#This Row],[age]]&lt; 45,"3. Mid Adulthood (35-44)",worksheet[[#This Row],[age]]&lt; 55,"4. Mature Adulthood (45-54)",TRUE,"5. Late Adulthood/Senior (55+)")</f>
        <v>3. Mid Adulthood (35-44)</v>
      </c>
      <c r="D2295" t="s">
        <v>41</v>
      </c>
      <c r="E2295" t="s">
        <v>22</v>
      </c>
      <c r="F2295" s="4">
        <v>0.91</v>
      </c>
      <c r="G2295" s="5">
        <v>39</v>
      </c>
      <c r="H2295" t="s">
        <v>70</v>
      </c>
      <c r="I2295" t="s">
        <v>46</v>
      </c>
      <c r="J2295" s="6">
        <v>13.99</v>
      </c>
      <c r="K2295">
        <v>1</v>
      </c>
      <c r="L2295" t="s">
        <v>29</v>
      </c>
      <c r="M2295" s="5">
        <v>2</v>
      </c>
      <c r="N2295" s="4">
        <v>0.02</v>
      </c>
      <c r="O2295" t="s">
        <v>47</v>
      </c>
    </row>
    <row r="2296" spans="1:15" x14ac:dyDescent="0.3">
      <c r="A2296" t="s">
        <v>3596</v>
      </c>
      <c r="B2296" s="5">
        <v>37</v>
      </c>
      <c r="C2296" s="5" t="str" cm="1">
        <f t="array" ref="C2296">_xlfn.IFS(worksheet[[#This Row],[age]]&lt;25,"1. Young Adulthood (18-24)",worksheet[[#This Row],[age]]&lt; 35,"2. Early Adulthood (25-34)",worksheet[[#This Row],[age]]&lt; 45,"3. Mid Adulthood (35-44)",worksheet[[#This Row],[age]]&lt; 55,"4. Mature Adulthood (45-54)",TRUE,"5. Late Adulthood/Senior (55+)")</f>
        <v>3. Mid Adulthood (35-44)</v>
      </c>
      <c r="D2296" t="s">
        <v>41</v>
      </c>
      <c r="E2296" t="s">
        <v>32</v>
      </c>
      <c r="F2296" s="4">
        <v>4.12</v>
      </c>
      <c r="G2296" s="5">
        <v>28</v>
      </c>
      <c r="H2296" t="s">
        <v>33</v>
      </c>
      <c r="I2296" t="s">
        <v>24</v>
      </c>
      <c r="J2296" s="6">
        <v>17.989999999999998</v>
      </c>
      <c r="K2296">
        <v>1</v>
      </c>
      <c r="L2296" t="s">
        <v>43</v>
      </c>
      <c r="M2296" s="5">
        <v>1</v>
      </c>
      <c r="N2296" s="4">
        <v>0.14000000000000001</v>
      </c>
      <c r="O2296" t="s">
        <v>30</v>
      </c>
    </row>
    <row r="2297" spans="1:15" x14ac:dyDescent="0.3">
      <c r="A2297" t="s">
        <v>3598</v>
      </c>
      <c r="B2297" s="5">
        <v>37</v>
      </c>
      <c r="C2297" s="5" t="str" cm="1">
        <f t="array" ref="C2297">_xlfn.IFS(worksheet[[#This Row],[age]]&lt;25,"1. Young Adulthood (18-24)",worksheet[[#This Row],[age]]&lt; 35,"2. Early Adulthood (25-34)",worksheet[[#This Row],[age]]&lt; 45,"3. Mid Adulthood (35-44)",worksheet[[#This Row],[age]]&lt; 55,"4. Mature Adulthood (45-54)",TRUE,"5. Late Adulthood/Senior (55+)")</f>
        <v>3. Mid Adulthood (35-44)</v>
      </c>
      <c r="D2297" t="s">
        <v>41</v>
      </c>
      <c r="E2297" t="s">
        <v>16</v>
      </c>
      <c r="F2297" s="4">
        <v>17.29</v>
      </c>
      <c r="G2297" s="5">
        <v>49</v>
      </c>
      <c r="H2297" t="s">
        <v>70</v>
      </c>
      <c r="I2297" t="s">
        <v>57</v>
      </c>
      <c r="J2297" s="6">
        <v>8.99</v>
      </c>
      <c r="K2297">
        <v>1</v>
      </c>
      <c r="L2297" t="s">
        <v>43</v>
      </c>
      <c r="M2297" s="5">
        <v>3</v>
      </c>
      <c r="N2297" s="4">
        <v>0.35</v>
      </c>
      <c r="O2297" t="s">
        <v>34</v>
      </c>
    </row>
    <row r="2298" spans="1:15" x14ac:dyDescent="0.3">
      <c r="A2298" t="s">
        <v>3603</v>
      </c>
      <c r="B2298" s="5">
        <v>44</v>
      </c>
      <c r="C2298" s="5" t="str" cm="1">
        <f t="array" ref="C2298">_xlfn.IFS(worksheet[[#This Row],[age]]&lt;25,"1. Young Adulthood (18-24)",worksheet[[#This Row],[age]]&lt; 35,"2. Early Adulthood (25-34)",worksheet[[#This Row],[age]]&lt; 45,"3. Mid Adulthood (35-44)",worksheet[[#This Row],[age]]&lt; 55,"4. Mature Adulthood (45-54)",TRUE,"5. Late Adulthood/Senior (55+)")</f>
        <v>3. Mid Adulthood (35-44)</v>
      </c>
      <c r="D2298" t="s">
        <v>27</v>
      </c>
      <c r="E2298" t="s">
        <v>16</v>
      </c>
      <c r="F2298" s="4">
        <v>1.75</v>
      </c>
      <c r="G2298" s="5">
        <v>52</v>
      </c>
      <c r="H2298" t="s">
        <v>17</v>
      </c>
      <c r="I2298" t="s">
        <v>18</v>
      </c>
      <c r="J2298" s="6">
        <v>8.99</v>
      </c>
      <c r="K2298">
        <v>1</v>
      </c>
      <c r="L2298" t="s">
        <v>29</v>
      </c>
      <c r="M2298" s="5">
        <v>5</v>
      </c>
      <c r="N2298" s="4">
        <v>0.03</v>
      </c>
      <c r="O2298" t="s">
        <v>30</v>
      </c>
    </row>
    <row r="2299" spans="1:15" x14ac:dyDescent="0.3">
      <c r="A2299" t="s">
        <v>3614</v>
      </c>
      <c r="B2299" s="5">
        <v>42</v>
      </c>
      <c r="C2299" s="5" t="str" cm="1">
        <f t="array" ref="C2299">_xlfn.IFS(worksheet[[#This Row],[age]]&lt;25,"1. Young Adulthood (18-24)",worksheet[[#This Row],[age]]&lt; 35,"2. Early Adulthood (25-34)",worksheet[[#This Row],[age]]&lt; 45,"3. Mid Adulthood (35-44)",worksheet[[#This Row],[age]]&lt; 55,"4. Mature Adulthood (45-54)",TRUE,"5. Late Adulthood/Senior (55+)")</f>
        <v>3. Mid Adulthood (35-44)</v>
      </c>
      <c r="D2299" t="s">
        <v>27</v>
      </c>
      <c r="E2299" t="s">
        <v>22</v>
      </c>
      <c r="F2299" s="4">
        <v>4.16</v>
      </c>
      <c r="G2299" s="5">
        <v>46</v>
      </c>
      <c r="H2299" t="s">
        <v>28</v>
      </c>
      <c r="I2299" t="s">
        <v>46</v>
      </c>
      <c r="J2299" s="6">
        <v>13.99</v>
      </c>
      <c r="K2299">
        <v>1</v>
      </c>
      <c r="L2299" t="s">
        <v>37</v>
      </c>
      <c r="M2299" s="5">
        <v>5</v>
      </c>
      <c r="N2299" s="4">
        <v>0.09</v>
      </c>
      <c r="O2299" t="s">
        <v>34</v>
      </c>
    </row>
    <row r="2300" spans="1:15" x14ac:dyDescent="0.3">
      <c r="A2300" t="s">
        <v>3617</v>
      </c>
      <c r="B2300" s="5">
        <v>41</v>
      </c>
      <c r="C2300" s="5" t="str" cm="1">
        <f t="array" ref="C2300">_xlfn.IFS(worksheet[[#This Row],[age]]&lt;25,"1. Young Adulthood (18-24)",worksheet[[#This Row],[age]]&lt; 35,"2. Early Adulthood (25-34)",worksheet[[#This Row],[age]]&lt; 45,"3. Mid Adulthood (35-44)",worksheet[[#This Row],[age]]&lt; 55,"4. Mature Adulthood (45-54)",TRUE,"5. Late Adulthood/Senior (55+)")</f>
        <v>3. Mid Adulthood (35-44)</v>
      </c>
      <c r="D2300" t="s">
        <v>15</v>
      </c>
      <c r="E2300" t="s">
        <v>16</v>
      </c>
      <c r="F2300" s="4">
        <v>1.06</v>
      </c>
      <c r="G2300" s="5">
        <v>30</v>
      </c>
      <c r="H2300" t="s">
        <v>28</v>
      </c>
      <c r="I2300" t="s">
        <v>57</v>
      </c>
      <c r="J2300" s="6">
        <v>8.99</v>
      </c>
      <c r="K2300">
        <v>1</v>
      </c>
      <c r="L2300" t="s">
        <v>37</v>
      </c>
      <c r="M2300" s="5">
        <v>4</v>
      </c>
      <c r="N2300" s="4">
        <v>0.03</v>
      </c>
      <c r="O2300" t="s">
        <v>34</v>
      </c>
    </row>
    <row r="2301" spans="1:15" x14ac:dyDescent="0.3">
      <c r="A2301" t="s">
        <v>3621</v>
      </c>
      <c r="B2301" s="5">
        <v>38</v>
      </c>
      <c r="C2301" s="5" t="str" cm="1">
        <f t="array" ref="C2301">_xlfn.IFS(worksheet[[#This Row],[age]]&lt;25,"1. Young Adulthood (18-24)",worksheet[[#This Row],[age]]&lt; 35,"2. Early Adulthood (25-34)",worksheet[[#This Row],[age]]&lt; 45,"3. Mid Adulthood (35-44)",worksheet[[#This Row],[age]]&lt; 55,"4. Mature Adulthood (45-54)",TRUE,"5. Late Adulthood/Senior (55+)")</f>
        <v>3. Mid Adulthood (35-44)</v>
      </c>
      <c r="D2301" t="s">
        <v>41</v>
      </c>
      <c r="E2301" t="s">
        <v>16</v>
      </c>
      <c r="F2301" s="4">
        <v>15.01</v>
      </c>
      <c r="G2301" s="5">
        <v>11</v>
      </c>
      <c r="H2301" t="s">
        <v>49</v>
      </c>
      <c r="I2301" t="s">
        <v>18</v>
      </c>
      <c r="J2301" s="6">
        <v>8.99</v>
      </c>
      <c r="K2301">
        <v>0</v>
      </c>
      <c r="L2301" t="s">
        <v>37</v>
      </c>
      <c r="M2301" s="5">
        <v>3</v>
      </c>
      <c r="N2301" s="4">
        <v>1.25</v>
      </c>
      <c r="O2301" t="s">
        <v>52</v>
      </c>
    </row>
    <row r="2302" spans="1:15" x14ac:dyDescent="0.3">
      <c r="A2302" t="s">
        <v>3625</v>
      </c>
      <c r="B2302" s="5">
        <v>36</v>
      </c>
      <c r="C2302" s="5" t="str" cm="1">
        <f t="array" ref="C2302">_xlfn.IFS(worksheet[[#This Row],[age]]&lt;25,"1. Young Adulthood (18-24)",worksheet[[#This Row],[age]]&lt; 35,"2. Early Adulthood (25-34)",worksheet[[#This Row],[age]]&lt; 45,"3. Mid Adulthood (35-44)",worksheet[[#This Row],[age]]&lt; 55,"4. Mature Adulthood (45-54)",TRUE,"5. Late Adulthood/Senior (55+)")</f>
        <v>3. Mid Adulthood (35-44)</v>
      </c>
      <c r="D2302" t="s">
        <v>15</v>
      </c>
      <c r="E2302" t="s">
        <v>22</v>
      </c>
      <c r="F2302" s="4">
        <v>3.89</v>
      </c>
      <c r="G2302" s="5">
        <v>37</v>
      </c>
      <c r="H2302" t="s">
        <v>49</v>
      </c>
      <c r="I2302" t="s">
        <v>18</v>
      </c>
      <c r="J2302" s="6">
        <v>13.99</v>
      </c>
      <c r="K2302">
        <v>1</v>
      </c>
      <c r="L2302" t="s">
        <v>29</v>
      </c>
      <c r="M2302" s="5">
        <v>3</v>
      </c>
      <c r="N2302" s="4">
        <v>0.1</v>
      </c>
      <c r="O2302" t="s">
        <v>39</v>
      </c>
    </row>
    <row r="2303" spans="1:15" x14ac:dyDescent="0.3">
      <c r="A2303" t="s">
        <v>3630</v>
      </c>
      <c r="B2303" s="5">
        <v>40</v>
      </c>
      <c r="C2303" s="5" t="str" cm="1">
        <f t="array" ref="C2303">_xlfn.IFS(worksheet[[#This Row],[age]]&lt;25,"1. Young Adulthood (18-24)",worksheet[[#This Row],[age]]&lt; 35,"2. Early Adulthood (25-34)",worksheet[[#This Row],[age]]&lt; 45,"3. Mid Adulthood (35-44)",worksheet[[#This Row],[age]]&lt; 55,"4. Mature Adulthood (45-54)",TRUE,"5. Late Adulthood/Senior (55+)")</f>
        <v>3. Mid Adulthood (35-44)</v>
      </c>
      <c r="D2303" t="s">
        <v>27</v>
      </c>
      <c r="E2303" t="s">
        <v>16</v>
      </c>
      <c r="F2303" s="4">
        <v>3</v>
      </c>
      <c r="G2303" s="5">
        <v>0</v>
      </c>
      <c r="H2303" t="s">
        <v>33</v>
      </c>
      <c r="I2303" t="s">
        <v>46</v>
      </c>
      <c r="J2303" s="6">
        <v>8.99</v>
      </c>
      <c r="K2303">
        <v>0</v>
      </c>
      <c r="L2303" t="s">
        <v>37</v>
      </c>
      <c r="M2303" s="5">
        <v>4</v>
      </c>
      <c r="N2303" s="4">
        <v>3</v>
      </c>
      <c r="O2303" t="s">
        <v>30</v>
      </c>
    </row>
    <row r="2304" spans="1:15" x14ac:dyDescent="0.3">
      <c r="A2304" t="s">
        <v>3636</v>
      </c>
      <c r="B2304" s="5">
        <v>38</v>
      </c>
      <c r="C2304" s="5" t="str" cm="1">
        <f t="array" ref="C2304">_xlfn.IFS(worksheet[[#This Row],[age]]&lt;25,"1. Young Adulthood (18-24)",worksheet[[#This Row],[age]]&lt; 35,"2. Early Adulthood (25-34)",worksheet[[#This Row],[age]]&lt; 45,"3. Mid Adulthood (35-44)",worksheet[[#This Row],[age]]&lt; 55,"4. Mature Adulthood (45-54)",TRUE,"5. Late Adulthood/Senior (55+)")</f>
        <v>3. Mid Adulthood (35-44)</v>
      </c>
      <c r="D2304" t="s">
        <v>27</v>
      </c>
      <c r="E2304" t="s">
        <v>32</v>
      </c>
      <c r="F2304" s="4">
        <v>12.49</v>
      </c>
      <c r="G2304" s="5">
        <v>38</v>
      </c>
      <c r="H2304" t="s">
        <v>33</v>
      </c>
      <c r="I2304" t="s">
        <v>18</v>
      </c>
      <c r="J2304" s="6">
        <v>17.989999999999998</v>
      </c>
      <c r="K2304">
        <v>1</v>
      </c>
      <c r="L2304" t="s">
        <v>61</v>
      </c>
      <c r="M2304" s="5">
        <v>1</v>
      </c>
      <c r="N2304" s="4">
        <v>0.32</v>
      </c>
      <c r="O2304" t="s">
        <v>25</v>
      </c>
    </row>
    <row r="2305" spans="1:15" x14ac:dyDescent="0.3">
      <c r="A2305" t="s">
        <v>3643</v>
      </c>
      <c r="B2305" s="5">
        <v>36</v>
      </c>
      <c r="C2305" s="5" t="str" cm="1">
        <f t="array" ref="C2305">_xlfn.IFS(worksheet[[#This Row],[age]]&lt;25,"1. Young Adulthood (18-24)",worksheet[[#This Row],[age]]&lt; 35,"2. Early Adulthood (25-34)",worksheet[[#This Row],[age]]&lt; 45,"3. Mid Adulthood (35-44)",worksheet[[#This Row],[age]]&lt; 55,"4. Mature Adulthood (45-54)",TRUE,"5. Late Adulthood/Senior (55+)")</f>
        <v>3. Mid Adulthood (35-44)</v>
      </c>
      <c r="D2305" t="s">
        <v>27</v>
      </c>
      <c r="E2305" t="s">
        <v>16</v>
      </c>
      <c r="F2305" s="4">
        <v>9.02</v>
      </c>
      <c r="G2305" s="5">
        <v>32</v>
      </c>
      <c r="H2305" t="s">
        <v>23</v>
      </c>
      <c r="I2305" t="s">
        <v>57</v>
      </c>
      <c r="J2305" s="6">
        <v>8.99</v>
      </c>
      <c r="K2305">
        <v>1</v>
      </c>
      <c r="L2305" t="s">
        <v>43</v>
      </c>
      <c r="M2305" s="5">
        <v>2</v>
      </c>
      <c r="N2305" s="4">
        <v>0.27</v>
      </c>
      <c r="O2305" t="s">
        <v>25</v>
      </c>
    </row>
    <row r="2306" spans="1:15" x14ac:dyDescent="0.3">
      <c r="A2306" t="s">
        <v>3645</v>
      </c>
      <c r="B2306" s="5">
        <v>43</v>
      </c>
      <c r="C2306" s="5" t="str" cm="1">
        <f t="array" ref="C2306">_xlfn.IFS(worksheet[[#This Row],[age]]&lt;25,"1. Young Adulthood (18-24)",worksheet[[#This Row],[age]]&lt; 35,"2. Early Adulthood (25-34)",worksheet[[#This Row],[age]]&lt; 45,"3. Mid Adulthood (35-44)",worksheet[[#This Row],[age]]&lt; 55,"4. Mature Adulthood (45-54)",TRUE,"5. Late Adulthood/Senior (55+)")</f>
        <v>3. Mid Adulthood (35-44)</v>
      </c>
      <c r="D2306" t="s">
        <v>27</v>
      </c>
      <c r="E2306" t="s">
        <v>16</v>
      </c>
      <c r="F2306" s="4">
        <v>3.17</v>
      </c>
      <c r="G2306" s="5">
        <v>30</v>
      </c>
      <c r="H2306" t="s">
        <v>70</v>
      </c>
      <c r="I2306" t="s">
        <v>46</v>
      </c>
      <c r="J2306" s="6">
        <v>8.99</v>
      </c>
      <c r="K2306">
        <v>1</v>
      </c>
      <c r="L2306" t="s">
        <v>43</v>
      </c>
      <c r="M2306" s="5">
        <v>4</v>
      </c>
      <c r="N2306" s="4">
        <v>0.1</v>
      </c>
      <c r="O2306" t="s">
        <v>39</v>
      </c>
    </row>
    <row r="2307" spans="1:15" x14ac:dyDescent="0.3">
      <c r="A2307" t="s">
        <v>3655</v>
      </c>
      <c r="B2307" s="5">
        <v>44</v>
      </c>
      <c r="C2307" s="5" t="str" cm="1">
        <f t="array" ref="C2307">_xlfn.IFS(worksheet[[#This Row],[age]]&lt;25,"1. Young Adulthood (18-24)",worksheet[[#This Row],[age]]&lt; 35,"2. Early Adulthood (25-34)",worksheet[[#This Row],[age]]&lt; 45,"3. Mid Adulthood (35-44)",worksheet[[#This Row],[age]]&lt; 55,"4. Mature Adulthood (45-54)",TRUE,"5. Late Adulthood/Senior (55+)")</f>
        <v>3. Mid Adulthood (35-44)</v>
      </c>
      <c r="D2307" t="s">
        <v>27</v>
      </c>
      <c r="E2307" t="s">
        <v>16</v>
      </c>
      <c r="F2307" s="4">
        <v>9.0299999999999994</v>
      </c>
      <c r="G2307" s="5">
        <v>49</v>
      </c>
      <c r="H2307" t="s">
        <v>33</v>
      </c>
      <c r="I2307" t="s">
        <v>55</v>
      </c>
      <c r="J2307" s="6">
        <v>8.99</v>
      </c>
      <c r="K2307">
        <v>1</v>
      </c>
      <c r="L2307" t="s">
        <v>61</v>
      </c>
      <c r="M2307" s="5">
        <v>2</v>
      </c>
      <c r="N2307" s="4">
        <v>0.18</v>
      </c>
      <c r="O2307" t="s">
        <v>52</v>
      </c>
    </row>
    <row r="2308" spans="1:15" x14ac:dyDescent="0.3">
      <c r="A2308" t="s">
        <v>3659</v>
      </c>
      <c r="B2308" s="5">
        <v>44</v>
      </c>
      <c r="C2308" s="5" t="str" cm="1">
        <f t="array" ref="C2308">_xlfn.IFS(worksheet[[#This Row],[age]]&lt;25,"1. Young Adulthood (18-24)",worksheet[[#This Row],[age]]&lt; 35,"2. Early Adulthood (25-34)",worksheet[[#This Row],[age]]&lt; 45,"3. Mid Adulthood (35-44)",worksheet[[#This Row],[age]]&lt; 55,"4. Mature Adulthood (45-54)",TRUE,"5. Late Adulthood/Senior (55+)")</f>
        <v>3. Mid Adulthood (35-44)</v>
      </c>
      <c r="D2308" t="s">
        <v>27</v>
      </c>
      <c r="E2308" t="s">
        <v>16</v>
      </c>
      <c r="F2308" s="4">
        <v>7.25</v>
      </c>
      <c r="G2308" s="5">
        <v>19</v>
      </c>
      <c r="H2308" t="s">
        <v>33</v>
      </c>
      <c r="I2308" t="s">
        <v>55</v>
      </c>
      <c r="J2308" s="6">
        <v>8.99</v>
      </c>
      <c r="K2308">
        <v>1</v>
      </c>
      <c r="L2308" t="s">
        <v>61</v>
      </c>
      <c r="M2308" s="5">
        <v>1</v>
      </c>
      <c r="N2308" s="4">
        <v>0.36</v>
      </c>
      <c r="O2308" t="s">
        <v>34</v>
      </c>
    </row>
    <row r="2309" spans="1:15" x14ac:dyDescent="0.3">
      <c r="A2309" t="s">
        <v>3662</v>
      </c>
      <c r="B2309" s="5">
        <v>43</v>
      </c>
      <c r="C2309" s="5" t="str" cm="1">
        <f t="array" ref="C2309">_xlfn.IFS(worksheet[[#This Row],[age]]&lt;25,"1. Young Adulthood (18-24)",worksheet[[#This Row],[age]]&lt; 35,"2. Early Adulthood (25-34)",worksheet[[#This Row],[age]]&lt; 45,"3. Mid Adulthood (35-44)",worksheet[[#This Row],[age]]&lt; 55,"4. Mature Adulthood (45-54)",TRUE,"5. Late Adulthood/Senior (55+)")</f>
        <v>3. Mid Adulthood (35-44)</v>
      </c>
      <c r="D2309" t="s">
        <v>41</v>
      </c>
      <c r="E2309" t="s">
        <v>32</v>
      </c>
      <c r="F2309" s="4">
        <v>14.21</v>
      </c>
      <c r="G2309" s="5">
        <v>11</v>
      </c>
      <c r="H2309" t="s">
        <v>49</v>
      </c>
      <c r="I2309" t="s">
        <v>18</v>
      </c>
      <c r="J2309" s="6">
        <v>17.989999999999998</v>
      </c>
      <c r="K2309">
        <v>0</v>
      </c>
      <c r="L2309" t="s">
        <v>43</v>
      </c>
      <c r="M2309" s="5">
        <v>3</v>
      </c>
      <c r="N2309" s="4">
        <v>1.18</v>
      </c>
      <c r="O2309" t="s">
        <v>34</v>
      </c>
    </row>
    <row r="2310" spans="1:15" x14ac:dyDescent="0.3">
      <c r="A2310" t="s">
        <v>3667</v>
      </c>
      <c r="B2310" s="5">
        <v>44</v>
      </c>
      <c r="C2310" s="5" t="str" cm="1">
        <f t="array" ref="C2310">_xlfn.IFS(worksheet[[#This Row],[age]]&lt;25,"1. Young Adulthood (18-24)",worksheet[[#This Row],[age]]&lt; 35,"2. Early Adulthood (25-34)",worksheet[[#This Row],[age]]&lt; 45,"3. Mid Adulthood (35-44)",worksheet[[#This Row],[age]]&lt; 55,"4. Mature Adulthood (45-54)",TRUE,"5. Late Adulthood/Senior (55+)")</f>
        <v>3. Mid Adulthood (35-44)</v>
      </c>
      <c r="D2310" t="s">
        <v>41</v>
      </c>
      <c r="E2310" t="s">
        <v>32</v>
      </c>
      <c r="F2310" s="4">
        <v>1.22</v>
      </c>
      <c r="G2310" s="5">
        <v>24</v>
      </c>
      <c r="H2310" t="s">
        <v>33</v>
      </c>
      <c r="I2310" t="s">
        <v>57</v>
      </c>
      <c r="J2310" s="6">
        <v>17.989999999999998</v>
      </c>
      <c r="K2310">
        <v>1</v>
      </c>
      <c r="L2310" t="s">
        <v>29</v>
      </c>
      <c r="M2310" s="5">
        <v>3</v>
      </c>
      <c r="N2310" s="4">
        <v>0.05</v>
      </c>
      <c r="O2310" t="s">
        <v>34</v>
      </c>
    </row>
    <row r="2311" spans="1:15" x14ac:dyDescent="0.3">
      <c r="A2311" t="s">
        <v>3668</v>
      </c>
      <c r="B2311" s="5">
        <v>40</v>
      </c>
      <c r="C2311" s="5" t="str" cm="1">
        <f t="array" ref="C2311">_xlfn.IFS(worksheet[[#This Row],[age]]&lt;25,"1. Young Adulthood (18-24)",worksheet[[#This Row],[age]]&lt; 35,"2. Early Adulthood (25-34)",worksheet[[#This Row],[age]]&lt; 45,"3. Mid Adulthood (35-44)",worksheet[[#This Row],[age]]&lt; 55,"4. Mature Adulthood (45-54)",TRUE,"5. Late Adulthood/Senior (55+)")</f>
        <v>3. Mid Adulthood (35-44)</v>
      </c>
      <c r="D2311" t="s">
        <v>27</v>
      </c>
      <c r="E2311" t="s">
        <v>22</v>
      </c>
      <c r="F2311" s="4">
        <v>3.21</v>
      </c>
      <c r="G2311" s="5">
        <v>58</v>
      </c>
      <c r="H2311" t="s">
        <v>23</v>
      </c>
      <c r="I2311" t="s">
        <v>55</v>
      </c>
      <c r="J2311" s="6">
        <v>13.99</v>
      </c>
      <c r="K2311">
        <v>1</v>
      </c>
      <c r="L2311" t="s">
        <v>43</v>
      </c>
      <c r="M2311" s="5">
        <v>2</v>
      </c>
      <c r="N2311" s="4">
        <v>0.05</v>
      </c>
      <c r="O2311" t="s">
        <v>20</v>
      </c>
    </row>
    <row r="2312" spans="1:15" x14ac:dyDescent="0.3">
      <c r="A2312" t="s">
        <v>3673</v>
      </c>
      <c r="B2312" s="5">
        <v>37</v>
      </c>
      <c r="C2312" s="5" t="str" cm="1">
        <f t="array" ref="C2312">_xlfn.IFS(worksheet[[#This Row],[age]]&lt;25,"1. Young Adulthood (18-24)",worksheet[[#This Row],[age]]&lt; 35,"2. Early Adulthood (25-34)",worksheet[[#This Row],[age]]&lt; 45,"3. Mid Adulthood (35-44)",worksheet[[#This Row],[age]]&lt; 55,"4. Mature Adulthood (45-54)",TRUE,"5. Late Adulthood/Senior (55+)")</f>
        <v>3. Mid Adulthood (35-44)</v>
      </c>
      <c r="D2312" t="s">
        <v>15</v>
      </c>
      <c r="E2312" t="s">
        <v>16</v>
      </c>
      <c r="F2312" s="4">
        <v>6.29</v>
      </c>
      <c r="G2312" s="5">
        <v>16</v>
      </c>
      <c r="H2312" t="s">
        <v>17</v>
      </c>
      <c r="I2312" t="s">
        <v>57</v>
      </c>
      <c r="J2312" s="6">
        <v>8.99</v>
      </c>
      <c r="K2312">
        <v>0</v>
      </c>
      <c r="L2312" t="s">
        <v>37</v>
      </c>
      <c r="M2312" s="5">
        <v>2</v>
      </c>
      <c r="N2312" s="4">
        <v>0.37</v>
      </c>
      <c r="O2312" t="s">
        <v>30</v>
      </c>
    </row>
    <row r="2313" spans="1:15" x14ac:dyDescent="0.3">
      <c r="A2313" t="s">
        <v>3674</v>
      </c>
      <c r="B2313" s="5">
        <v>36</v>
      </c>
      <c r="C2313" s="5" t="str" cm="1">
        <f t="array" ref="C2313">_xlfn.IFS(worksheet[[#This Row],[age]]&lt;25,"1. Young Adulthood (18-24)",worksheet[[#This Row],[age]]&lt; 35,"2. Early Adulthood (25-34)",worksheet[[#This Row],[age]]&lt; 45,"3. Mid Adulthood (35-44)",worksheet[[#This Row],[age]]&lt; 55,"4. Mature Adulthood (45-54)",TRUE,"5. Late Adulthood/Senior (55+)")</f>
        <v>3. Mid Adulthood (35-44)</v>
      </c>
      <c r="D2313" t="s">
        <v>27</v>
      </c>
      <c r="E2313" t="s">
        <v>22</v>
      </c>
      <c r="F2313" s="4">
        <v>2.06</v>
      </c>
      <c r="G2313" s="5">
        <v>24</v>
      </c>
      <c r="H2313" t="s">
        <v>17</v>
      </c>
      <c r="I2313" t="s">
        <v>46</v>
      </c>
      <c r="J2313" s="6">
        <v>13.99</v>
      </c>
      <c r="K2313">
        <v>1</v>
      </c>
      <c r="L2313" t="s">
        <v>29</v>
      </c>
      <c r="M2313" s="5">
        <v>1</v>
      </c>
      <c r="N2313" s="4">
        <v>0.08</v>
      </c>
      <c r="O2313" t="s">
        <v>39</v>
      </c>
    </row>
    <row r="2314" spans="1:15" x14ac:dyDescent="0.3">
      <c r="A2314" t="s">
        <v>3676</v>
      </c>
      <c r="B2314" s="5">
        <v>37</v>
      </c>
      <c r="C2314" s="5" t="str" cm="1">
        <f t="array" ref="C2314">_xlfn.IFS(worksheet[[#This Row],[age]]&lt;25,"1. Young Adulthood (18-24)",worksheet[[#This Row],[age]]&lt; 35,"2. Early Adulthood (25-34)",worksheet[[#This Row],[age]]&lt; 45,"3. Mid Adulthood (35-44)",worksheet[[#This Row],[age]]&lt; 55,"4. Mature Adulthood (45-54)",TRUE,"5. Late Adulthood/Senior (55+)")</f>
        <v>3. Mid Adulthood (35-44)</v>
      </c>
      <c r="D2314" t="s">
        <v>41</v>
      </c>
      <c r="E2314" t="s">
        <v>16</v>
      </c>
      <c r="F2314" s="4">
        <v>9.34</v>
      </c>
      <c r="G2314" s="5">
        <v>43</v>
      </c>
      <c r="H2314" t="s">
        <v>28</v>
      </c>
      <c r="I2314" t="s">
        <v>57</v>
      </c>
      <c r="J2314" s="6">
        <v>8.99</v>
      </c>
      <c r="K2314">
        <v>1</v>
      </c>
      <c r="L2314" t="s">
        <v>29</v>
      </c>
      <c r="M2314" s="5">
        <v>3</v>
      </c>
      <c r="N2314" s="4">
        <v>0.21</v>
      </c>
      <c r="O2314" t="s">
        <v>25</v>
      </c>
    </row>
    <row r="2315" spans="1:15" x14ac:dyDescent="0.3">
      <c r="A2315" t="s">
        <v>3687</v>
      </c>
      <c r="B2315" s="5">
        <v>36</v>
      </c>
      <c r="C2315" s="5" t="str" cm="1">
        <f t="array" ref="C2315">_xlfn.IFS(worksheet[[#This Row],[age]]&lt;25,"1. Young Adulthood (18-24)",worksheet[[#This Row],[age]]&lt; 35,"2. Early Adulthood (25-34)",worksheet[[#This Row],[age]]&lt; 45,"3. Mid Adulthood (35-44)",worksheet[[#This Row],[age]]&lt; 55,"4. Mature Adulthood (45-54)",TRUE,"5. Late Adulthood/Senior (55+)")</f>
        <v>3. Mid Adulthood (35-44)</v>
      </c>
      <c r="D2315" t="s">
        <v>41</v>
      </c>
      <c r="E2315" t="s">
        <v>32</v>
      </c>
      <c r="F2315" s="4">
        <v>22.32</v>
      </c>
      <c r="G2315" s="5">
        <v>55</v>
      </c>
      <c r="H2315" t="s">
        <v>28</v>
      </c>
      <c r="I2315" t="s">
        <v>18</v>
      </c>
      <c r="J2315" s="6">
        <v>17.989999999999998</v>
      </c>
      <c r="K2315">
        <v>0</v>
      </c>
      <c r="L2315" t="s">
        <v>19</v>
      </c>
      <c r="M2315" s="5">
        <v>3</v>
      </c>
      <c r="N2315" s="4">
        <v>0.4</v>
      </c>
      <c r="O2315" t="s">
        <v>30</v>
      </c>
    </row>
    <row r="2316" spans="1:15" x14ac:dyDescent="0.3">
      <c r="A2316" t="s">
        <v>3689</v>
      </c>
      <c r="B2316" s="5">
        <v>44</v>
      </c>
      <c r="C2316" s="5" t="str" cm="1">
        <f t="array" ref="C2316">_xlfn.IFS(worksheet[[#This Row],[age]]&lt;25,"1. Young Adulthood (18-24)",worksheet[[#This Row],[age]]&lt; 35,"2. Early Adulthood (25-34)",worksheet[[#This Row],[age]]&lt; 45,"3. Mid Adulthood (35-44)",worksheet[[#This Row],[age]]&lt; 55,"4. Mature Adulthood (45-54)",TRUE,"5. Late Adulthood/Senior (55+)")</f>
        <v>3. Mid Adulthood (35-44)</v>
      </c>
      <c r="D2316" t="s">
        <v>41</v>
      </c>
      <c r="E2316" t="s">
        <v>16</v>
      </c>
      <c r="F2316" s="4">
        <v>21.72</v>
      </c>
      <c r="G2316" s="5">
        <v>0</v>
      </c>
      <c r="H2316" t="s">
        <v>28</v>
      </c>
      <c r="I2316" t="s">
        <v>57</v>
      </c>
      <c r="J2316" s="6">
        <v>8.99</v>
      </c>
      <c r="K2316">
        <v>0</v>
      </c>
      <c r="L2316" t="s">
        <v>29</v>
      </c>
      <c r="M2316" s="5">
        <v>2</v>
      </c>
      <c r="N2316" s="4">
        <v>21.72</v>
      </c>
      <c r="O2316" t="s">
        <v>52</v>
      </c>
    </row>
    <row r="2317" spans="1:15" x14ac:dyDescent="0.3">
      <c r="A2317" t="s">
        <v>3695</v>
      </c>
      <c r="B2317" s="5">
        <v>37</v>
      </c>
      <c r="C2317" s="5" t="str" cm="1">
        <f t="array" ref="C2317">_xlfn.IFS(worksheet[[#This Row],[age]]&lt;25,"1. Young Adulthood (18-24)",worksheet[[#This Row],[age]]&lt; 35,"2. Early Adulthood (25-34)",worksheet[[#This Row],[age]]&lt; 45,"3. Mid Adulthood (35-44)",worksheet[[#This Row],[age]]&lt; 55,"4. Mature Adulthood (45-54)",TRUE,"5. Late Adulthood/Senior (55+)")</f>
        <v>3. Mid Adulthood (35-44)</v>
      </c>
      <c r="D2317" t="s">
        <v>27</v>
      </c>
      <c r="E2317" t="s">
        <v>22</v>
      </c>
      <c r="F2317" s="4">
        <v>11.8</v>
      </c>
      <c r="G2317" s="5">
        <v>23</v>
      </c>
      <c r="H2317" t="s">
        <v>17</v>
      </c>
      <c r="I2317" t="s">
        <v>46</v>
      </c>
      <c r="J2317" s="6">
        <v>13.99</v>
      </c>
      <c r="K2317">
        <v>0</v>
      </c>
      <c r="L2317" t="s">
        <v>37</v>
      </c>
      <c r="M2317" s="5">
        <v>3</v>
      </c>
      <c r="N2317" s="4">
        <v>0.49</v>
      </c>
      <c r="O2317" t="s">
        <v>47</v>
      </c>
    </row>
    <row r="2318" spans="1:15" x14ac:dyDescent="0.3">
      <c r="A2318" t="s">
        <v>3697</v>
      </c>
      <c r="B2318" s="5">
        <v>36</v>
      </c>
      <c r="C2318" s="5" t="str" cm="1">
        <f t="array" ref="C2318">_xlfn.IFS(worksheet[[#This Row],[age]]&lt;25,"1. Young Adulthood (18-24)",worksheet[[#This Row],[age]]&lt; 35,"2. Early Adulthood (25-34)",worksheet[[#This Row],[age]]&lt; 45,"3. Mid Adulthood (35-44)",worksheet[[#This Row],[age]]&lt; 55,"4. Mature Adulthood (45-54)",TRUE,"5. Late Adulthood/Senior (55+)")</f>
        <v>3. Mid Adulthood (35-44)</v>
      </c>
      <c r="D2318" t="s">
        <v>41</v>
      </c>
      <c r="E2318" t="s">
        <v>22</v>
      </c>
      <c r="F2318" s="4">
        <v>4.34</v>
      </c>
      <c r="G2318" s="5">
        <v>57</v>
      </c>
      <c r="H2318" t="s">
        <v>49</v>
      </c>
      <c r="I2318" t="s">
        <v>46</v>
      </c>
      <c r="J2318" s="6">
        <v>13.99</v>
      </c>
      <c r="K2318">
        <v>1</v>
      </c>
      <c r="L2318" t="s">
        <v>37</v>
      </c>
      <c r="M2318" s="5">
        <v>3</v>
      </c>
      <c r="N2318" s="4">
        <v>7.0000000000000007E-2</v>
      </c>
      <c r="O2318" t="s">
        <v>39</v>
      </c>
    </row>
    <row r="2319" spans="1:15" x14ac:dyDescent="0.3">
      <c r="A2319" t="s">
        <v>3698</v>
      </c>
      <c r="B2319" s="5">
        <v>35</v>
      </c>
      <c r="C2319" s="5" t="str" cm="1">
        <f t="array" ref="C2319">_xlfn.IFS(worksheet[[#This Row],[age]]&lt;25,"1. Young Adulthood (18-24)",worksheet[[#This Row],[age]]&lt; 35,"2. Early Adulthood (25-34)",worksheet[[#This Row],[age]]&lt; 45,"3. Mid Adulthood (35-44)",worksheet[[#This Row],[age]]&lt; 55,"4. Mature Adulthood (45-54)",TRUE,"5. Late Adulthood/Senior (55+)")</f>
        <v>3. Mid Adulthood (35-44)</v>
      </c>
      <c r="D2319" t="s">
        <v>27</v>
      </c>
      <c r="E2319" t="s">
        <v>32</v>
      </c>
      <c r="F2319" s="4">
        <v>12.01</v>
      </c>
      <c r="G2319" s="5">
        <v>5</v>
      </c>
      <c r="H2319" t="s">
        <v>28</v>
      </c>
      <c r="I2319" t="s">
        <v>24</v>
      </c>
      <c r="J2319" s="6">
        <v>17.989999999999998</v>
      </c>
      <c r="K2319">
        <v>0</v>
      </c>
      <c r="L2319" t="s">
        <v>37</v>
      </c>
      <c r="M2319" s="5">
        <v>4</v>
      </c>
      <c r="N2319" s="4">
        <v>2</v>
      </c>
      <c r="O2319" t="s">
        <v>34</v>
      </c>
    </row>
    <row r="2320" spans="1:15" x14ac:dyDescent="0.3">
      <c r="A2320" t="s">
        <v>3703</v>
      </c>
      <c r="B2320" s="5">
        <v>37</v>
      </c>
      <c r="C2320" s="5" t="str" cm="1">
        <f t="array" ref="C2320">_xlfn.IFS(worksheet[[#This Row],[age]]&lt;25,"1. Young Adulthood (18-24)",worksheet[[#This Row],[age]]&lt; 35,"2. Early Adulthood (25-34)",worksheet[[#This Row],[age]]&lt; 45,"3. Mid Adulthood (35-44)",worksheet[[#This Row],[age]]&lt; 55,"4. Mature Adulthood (45-54)",TRUE,"5. Late Adulthood/Senior (55+)")</f>
        <v>3. Mid Adulthood (35-44)</v>
      </c>
      <c r="D2320" t="s">
        <v>15</v>
      </c>
      <c r="E2320" t="s">
        <v>22</v>
      </c>
      <c r="F2320" s="4">
        <v>0.44</v>
      </c>
      <c r="G2320" s="5">
        <v>35</v>
      </c>
      <c r="H2320" t="s">
        <v>17</v>
      </c>
      <c r="I2320" t="s">
        <v>18</v>
      </c>
      <c r="J2320" s="6">
        <v>13.99</v>
      </c>
      <c r="K2320">
        <v>1</v>
      </c>
      <c r="L2320" t="s">
        <v>19</v>
      </c>
      <c r="M2320" s="5">
        <v>2</v>
      </c>
      <c r="N2320" s="4">
        <v>0.01</v>
      </c>
      <c r="O2320" t="s">
        <v>34</v>
      </c>
    </row>
    <row r="2321" spans="1:15" x14ac:dyDescent="0.3">
      <c r="A2321" t="s">
        <v>3707</v>
      </c>
      <c r="B2321" s="5">
        <v>35</v>
      </c>
      <c r="C2321" s="5" t="str" cm="1">
        <f t="array" ref="C2321">_xlfn.IFS(worksheet[[#This Row],[age]]&lt;25,"1. Young Adulthood (18-24)",worksheet[[#This Row],[age]]&lt; 35,"2. Early Adulthood (25-34)",worksheet[[#This Row],[age]]&lt; 45,"3. Mid Adulthood (35-44)",worksheet[[#This Row],[age]]&lt; 55,"4. Mature Adulthood (45-54)",TRUE,"5. Late Adulthood/Senior (55+)")</f>
        <v>3. Mid Adulthood (35-44)</v>
      </c>
      <c r="D2321" t="s">
        <v>15</v>
      </c>
      <c r="E2321" t="s">
        <v>16</v>
      </c>
      <c r="F2321" s="4">
        <v>14.78</v>
      </c>
      <c r="G2321" s="5">
        <v>24</v>
      </c>
      <c r="H2321" t="s">
        <v>28</v>
      </c>
      <c r="I2321" t="s">
        <v>24</v>
      </c>
      <c r="J2321" s="6">
        <v>8.99</v>
      </c>
      <c r="K2321">
        <v>0</v>
      </c>
      <c r="L2321" t="s">
        <v>29</v>
      </c>
      <c r="M2321" s="5">
        <v>4</v>
      </c>
      <c r="N2321" s="4">
        <v>0.59</v>
      </c>
      <c r="O2321" t="s">
        <v>25</v>
      </c>
    </row>
    <row r="2322" spans="1:15" x14ac:dyDescent="0.3">
      <c r="A2322" t="s">
        <v>3708</v>
      </c>
      <c r="B2322" s="5">
        <v>41</v>
      </c>
      <c r="C2322" s="5" t="str" cm="1">
        <f t="array" ref="C2322">_xlfn.IFS(worksheet[[#This Row],[age]]&lt;25,"1. Young Adulthood (18-24)",worksheet[[#This Row],[age]]&lt; 35,"2. Early Adulthood (25-34)",worksheet[[#This Row],[age]]&lt; 45,"3. Mid Adulthood (35-44)",worksheet[[#This Row],[age]]&lt; 55,"4. Mature Adulthood (45-54)",TRUE,"5. Late Adulthood/Senior (55+)")</f>
        <v>3. Mid Adulthood (35-44)</v>
      </c>
      <c r="D2322" t="s">
        <v>15</v>
      </c>
      <c r="E2322" t="s">
        <v>22</v>
      </c>
      <c r="F2322" s="4">
        <v>2.14</v>
      </c>
      <c r="G2322" s="5">
        <v>59</v>
      </c>
      <c r="H2322" t="s">
        <v>70</v>
      </c>
      <c r="I2322" t="s">
        <v>55</v>
      </c>
      <c r="J2322" s="6">
        <v>13.99</v>
      </c>
      <c r="K2322">
        <v>1</v>
      </c>
      <c r="L2322" t="s">
        <v>61</v>
      </c>
      <c r="M2322" s="5">
        <v>1</v>
      </c>
      <c r="N2322" s="4">
        <v>0.04</v>
      </c>
      <c r="O2322" t="s">
        <v>34</v>
      </c>
    </row>
    <row r="2323" spans="1:15" x14ac:dyDescent="0.3">
      <c r="A2323" t="s">
        <v>3718</v>
      </c>
      <c r="B2323" s="5">
        <v>37</v>
      </c>
      <c r="C2323" s="5" t="str" cm="1">
        <f t="array" ref="C2323">_xlfn.IFS(worksheet[[#This Row],[age]]&lt;25,"1. Young Adulthood (18-24)",worksheet[[#This Row],[age]]&lt; 35,"2. Early Adulthood (25-34)",worksheet[[#This Row],[age]]&lt; 45,"3. Mid Adulthood (35-44)",worksheet[[#This Row],[age]]&lt; 55,"4. Mature Adulthood (45-54)",TRUE,"5. Late Adulthood/Senior (55+)")</f>
        <v>3. Mid Adulthood (35-44)</v>
      </c>
      <c r="D2323" t="s">
        <v>15</v>
      </c>
      <c r="E2323" t="s">
        <v>22</v>
      </c>
      <c r="F2323" s="4">
        <v>8.25</v>
      </c>
      <c r="G2323" s="5">
        <v>4</v>
      </c>
      <c r="H2323" t="s">
        <v>70</v>
      </c>
      <c r="I2323" t="s">
        <v>46</v>
      </c>
      <c r="J2323" s="6">
        <v>13.99</v>
      </c>
      <c r="K2323">
        <v>0</v>
      </c>
      <c r="L2323" t="s">
        <v>43</v>
      </c>
      <c r="M2323" s="5">
        <v>1</v>
      </c>
      <c r="N2323" s="4">
        <v>1.65</v>
      </c>
      <c r="O2323" t="s">
        <v>34</v>
      </c>
    </row>
    <row r="2324" spans="1:15" x14ac:dyDescent="0.3">
      <c r="A2324" s="1" t="s">
        <v>3725</v>
      </c>
      <c r="B2324" s="5">
        <v>39</v>
      </c>
      <c r="C2324" s="5" t="str" cm="1">
        <f t="array" ref="C2324">_xlfn.IFS(worksheet[[#This Row],[age]]&lt;25,"1. Young Adulthood (18-24)",worksheet[[#This Row],[age]]&lt; 35,"2. Early Adulthood (25-34)",worksheet[[#This Row],[age]]&lt; 45,"3. Mid Adulthood (35-44)",worksheet[[#This Row],[age]]&lt; 55,"4. Mature Adulthood (45-54)",TRUE,"5. Late Adulthood/Senior (55+)")</f>
        <v>3. Mid Adulthood (35-44)</v>
      </c>
      <c r="D2324" t="s">
        <v>41</v>
      </c>
      <c r="E2324" t="s">
        <v>32</v>
      </c>
      <c r="F2324" s="4">
        <v>21.09</v>
      </c>
      <c r="G2324" s="5">
        <v>57</v>
      </c>
      <c r="H2324" t="s">
        <v>70</v>
      </c>
      <c r="I2324" t="s">
        <v>46</v>
      </c>
      <c r="J2324" s="6">
        <v>17.989999999999998</v>
      </c>
      <c r="K2324">
        <v>0</v>
      </c>
      <c r="L2324" t="s">
        <v>19</v>
      </c>
      <c r="M2324" s="5">
        <v>2</v>
      </c>
      <c r="N2324" s="4">
        <v>0.36</v>
      </c>
      <c r="O2324" t="s">
        <v>30</v>
      </c>
    </row>
    <row r="2325" spans="1:15" x14ac:dyDescent="0.3">
      <c r="A2325" t="s">
        <v>3742</v>
      </c>
      <c r="B2325" s="5">
        <v>38</v>
      </c>
      <c r="C2325" s="5" t="str" cm="1">
        <f t="array" ref="C2325">_xlfn.IFS(worksheet[[#This Row],[age]]&lt;25,"1. Young Adulthood (18-24)",worksheet[[#This Row],[age]]&lt; 35,"2. Early Adulthood (25-34)",worksheet[[#This Row],[age]]&lt; 45,"3. Mid Adulthood (35-44)",worksheet[[#This Row],[age]]&lt; 55,"4. Mature Adulthood (45-54)",TRUE,"5. Late Adulthood/Senior (55+)")</f>
        <v>3. Mid Adulthood (35-44)</v>
      </c>
      <c r="D2325" t="s">
        <v>27</v>
      </c>
      <c r="E2325" t="s">
        <v>16</v>
      </c>
      <c r="F2325" s="4">
        <v>7.99</v>
      </c>
      <c r="G2325" s="5">
        <v>27</v>
      </c>
      <c r="H2325" t="s">
        <v>49</v>
      </c>
      <c r="I2325" t="s">
        <v>24</v>
      </c>
      <c r="J2325" s="6">
        <v>8.99</v>
      </c>
      <c r="K2325">
        <v>0</v>
      </c>
      <c r="L2325" t="s">
        <v>61</v>
      </c>
      <c r="M2325" s="5">
        <v>3</v>
      </c>
      <c r="N2325" s="4">
        <v>0.28999999999999998</v>
      </c>
      <c r="O2325" t="s">
        <v>47</v>
      </c>
    </row>
    <row r="2326" spans="1:15" x14ac:dyDescent="0.3">
      <c r="A2326" t="s">
        <v>3745</v>
      </c>
      <c r="B2326" s="5">
        <v>39</v>
      </c>
      <c r="C2326" s="5" t="str" cm="1">
        <f t="array" ref="C2326">_xlfn.IFS(worksheet[[#This Row],[age]]&lt;25,"1. Young Adulthood (18-24)",worksheet[[#This Row],[age]]&lt; 35,"2. Early Adulthood (25-34)",worksheet[[#This Row],[age]]&lt; 45,"3. Mid Adulthood (35-44)",worksheet[[#This Row],[age]]&lt; 55,"4. Mature Adulthood (45-54)",TRUE,"5. Late Adulthood/Senior (55+)")</f>
        <v>3. Mid Adulthood (35-44)</v>
      </c>
      <c r="D2326" t="s">
        <v>41</v>
      </c>
      <c r="E2326" t="s">
        <v>32</v>
      </c>
      <c r="F2326" s="4">
        <v>4.84</v>
      </c>
      <c r="G2326" s="5">
        <v>0</v>
      </c>
      <c r="H2326" t="s">
        <v>17</v>
      </c>
      <c r="I2326" t="s">
        <v>46</v>
      </c>
      <c r="J2326" s="6">
        <v>17.989999999999998</v>
      </c>
      <c r="K2326">
        <v>0</v>
      </c>
      <c r="L2326" t="s">
        <v>37</v>
      </c>
      <c r="M2326" s="5">
        <v>2</v>
      </c>
      <c r="N2326" s="4">
        <v>4.84</v>
      </c>
      <c r="O2326" t="s">
        <v>47</v>
      </c>
    </row>
    <row r="2327" spans="1:15" x14ac:dyDescent="0.3">
      <c r="A2327" t="s">
        <v>3750</v>
      </c>
      <c r="B2327" s="5">
        <v>37</v>
      </c>
      <c r="C2327" s="5" t="str" cm="1">
        <f t="array" ref="C2327">_xlfn.IFS(worksheet[[#This Row],[age]]&lt;25,"1. Young Adulthood (18-24)",worksheet[[#This Row],[age]]&lt; 35,"2. Early Adulthood (25-34)",worksheet[[#This Row],[age]]&lt; 45,"3. Mid Adulthood (35-44)",worksheet[[#This Row],[age]]&lt; 55,"4. Mature Adulthood (45-54)",TRUE,"5. Late Adulthood/Senior (55+)")</f>
        <v>3. Mid Adulthood (35-44)</v>
      </c>
      <c r="D2327" t="s">
        <v>41</v>
      </c>
      <c r="E2327" t="s">
        <v>32</v>
      </c>
      <c r="F2327" s="4">
        <v>24.13</v>
      </c>
      <c r="G2327" s="5">
        <v>31</v>
      </c>
      <c r="H2327" t="s">
        <v>49</v>
      </c>
      <c r="I2327" t="s">
        <v>18</v>
      </c>
      <c r="J2327" s="6">
        <v>17.989999999999998</v>
      </c>
      <c r="K2327">
        <v>0</v>
      </c>
      <c r="L2327" t="s">
        <v>29</v>
      </c>
      <c r="M2327" s="5">
        <v>2</v>
      </c>
      <c r="N2327" s="4">
        <v>0.75</v>
      </c>
      <c r="O2327" t="s">
        <v>20</v>
      </c>
    </row>
    <row r="2328" spans="1:15" x14ac:dyDescent="0.3">
      <c r="A2328" t="s">
        <v>3756</v>
      </c>
      <c r="B2328" s="5">
        <v>44</v>
      </c>
      <c r="C2328" s="5" t="str" cm="1">
        <f t="array" ref="C2328">_xlfn.IFS(worksheet[[#This Row],[age]]&lt;25,"1. Young Adulthood (18-24)",worksheet[[#This Row],[age]]&lt; 35,"2. Early Adulthood (25-34)",worksheet[[#This Row],[age]]&lt; 45,"3. Mid Adulthood (35-44)",worksheet[[#This Row],[age]]&lt; 55,"4. Mature Adulthood (45-54)",TRUE,"5. Late Adulthood/Senior (55+)")</f>
        <v>3. Mid Adulthood (35-44)</v>
      </c>
      <c r="D2328" t="s">
        <v>15</v>
      </c>
      <c r="E2328" t="s">
        <v>16</v>
      </c>
      <c r="F2328" s="4">
        <v>22.22</v>
      </c>
      <c r="G2328" s="5">
        <v>42</v>
      </c>
      <c r="H2328" t="s">
        <v>28</v>
      </c>
      <c r="I2328" t="s">
        <v>57</v>
      </c>
      <c r="J2328" s="6">
        <v>8.99</v>
      </c>
      <c r="K2328">
        <v>0</v>
      </c>
      <c r="L2328" t="s">
        <v>19</v>
      </c>
      <c r="M2328" s="5">
        <v>5</v>
      </c>
      <c r="N2328" s="4">
        <v>0.52</v>
      </c>
      <c r="O2328" t="s">
        <v>47</v>
      </c>
    </row>
    <row r="2329" spans="1:15" x14ac:dyDescent="0.3">
      <c r="A2329" t="s">
        <v>3757</v>
      </c>
      <c r="B2329" s="5">
        <v>44</v>
      </c>
      <c r="C2329" s="5" t="str" cm="1">
        <f t="array" ref="C2329">_xlfn.IFS(worksheet[[#This Row],[age]]&lt;25,"1. Young Adulthood (18-24)",worksheet[[#This Row],[age]]&lt; 35,"2. Early Adulthood (25-34)",worksheet[[#This Row],[age]]&lt; 45,"3. Mid Adulthood (35-44)",worksheet[[#This Row],[age]]&lt; 55,"4. Mature Adulthood (45-54)",TRUE,"5. Late Adulthood/Senior (55+)")</f>
        <v>3. Mid Adulthood (35-44)</v>
      </c>
      <c r="D2329" t="s">
        <v>41</v>
      </c>
      <c r="E2329" t="s">
        <v>22</v>
      </c>
      <c r="F2329" s="4">
        <v>27.08</v>
      </c>
      <c r="G2329" s="5">
        <v>16</v>
      </c>
      <c r="H2329" t="s">
        <v>28</v>
      </c>
      <c r="I2329" t="s">
        <v>55</v>
      </c>
      <c r="J2329" s="6">
        <v>13.99</v>
      </c>
      <c r="K2329">
        <v>0</v>
      </c>
      <c r="L2329" t="s">
        <v>29</v>
      </c>
      <c r="M2329" s="5">
        <v>3</v>
      </c>
      <c r="N2329" s="4">
        <v>1.59</v>
      </c>
      <c r="O2329" t="s">
        <v>34</v>
      </c>
    </row>
    <row r="2330" spans="1:15" x14ac:dyDescent="0.3">
      <c r="A2330" t="s">
        <v>3773</v>
      </c>
      <c r="B2330" s="5">
        <v>35</v>
      </c>
      <c r="C2330" s="5" t="str" cm="1">
        <f t="array" ref="C2330">_xlfn.IFS(worksheet[[#This Row],[age]]&lt;25,"1. Young Adulthood (18-24)",worksheet[[#This Row],[age]]&lt; 35,"2. Early Adulthood (25-34)",worksheet[[#This Row],[age]]&lt; 45,"3. Mid Adulthood (35-44)",worksheet[[#This Row],[age]]&lt; 55,"4. Mature Adulthood (45-54)",TRUE,"5. Late Adulthood/Senior (55+)")</f>
        <v>3. Mid Adulthood (35-44)</v>
      </c>
      <c r="D2330" t="s">
        <v>41</v>
      </c>
      <c r="E2330" t="s">
        <v>32</v>
      </c>
      <c r="F2330" s="4">
        <v>9.51</v>
      </c>
      <c r="G2330" s="5">
        <v>2</v>
      </c>
      <c r="H2330" t="s">
        <v>33</v>
      </c>
      <c r="I2330" t="s">
        <v>55</v>
      </c>
      <c r="J2330" s="6">
        <v>17.989999999999998</v>
      </c>
      <c r="K2330">
        <v>0</v>
      </c>
      <c r="L2330" t="s">
        <v>19</v>
      </c>
      <c r="M2330" s="5">
        <v>1</v>
      </c>
      <c r="N2330" s="4">
        <v>3.17</v>
      </c>
      <c r="O2330" t="s">
        <v>34</v>
      </c>
    </row>
    <row r="2331" spans="1:15" x14ac:dyDescent="0.3">
      <c r="A2331" t="s">
        <v>3774</v>
      </c>
      <c r="B2331" s="5">
        <v>37</v>
      </c>
      <c r="C2331" s="5" t="str" cm="1">
        <f t="array" ref="C2331">_xlfn.IFS(worksheet[[#This Row],[age]]&lt;25,"1. Young Adulthood (18-24)",worksheet[[#This Row],[age]]&lt; 35,"2. Early Adulthood (25-34)",worksheet[[#This Row],[age]]&lt; 45,"3. Mid Adulthood (35-44)",worksheet[[#This Row],[age]]&lt; 55,"4. Mature Adulthood (45-54)",TRUE,"5. Late Adulthood/Senior (55+)")</f>
        <v>3. Mid Adulthood (35-44)</v>
      </c>
      <c r="D2331" t="s">
        <v>15</v>
      </c>
      <c r="E2331" t="s">
        <v>16</v>
      </c>
      <c r="F2331" s="4">
        <v>23.55</v>
      </c>
      <c r="G2331" s="5">
        <v>17</v>
      </c>
      <c r="H2331" t="s">
        <v>23</v>
      </c>
      <c r="I2331" t="s">
        <v>24</v>
      </c>
      <c r="J2331" s="6">
        <v>8.99</v>
      </c>
      <c r="K2331">
        <v>0</v>
      </c>
      <c r="L2331" t="s">
        <v>29</v>
      </c>
      <c r="M2331" s="5">
        <v>2</v>
      </c>
      <c r="N2331" s="4">
        <v>1.31</v>
      </c>
      <c r="O2331" t="s">
        <v>47</v>
      </c>
    </row>
    <row r="2332" spans="1:15" x14ac:dyDescent="0.3">
      <c r="A2332" t="s">
        <v>3779</v>
      </c>
      <c r="B2332" s="5">
        <v>38</v>
      </c>
      <c r="C2332" s="5" t="str" cm="1">
        <f t="array" ref="C2332">_xlfn.IFS(worksheet[[#This Row],[age]]&lt;25,"1. Young Adulthood (18-24)",worksheet[[#This Row],[age]]&lt; 35,"2. Early Adulthood (25-34)",worksheet[[#This Row],[age]]&lt; 45,"3. Mid Adulthood (35-44)",worksheet[[#This Row],[age]]&lt; 55,"4. Mature Adulthood (45-54)",TRUE,"5. Late Adulthood/Senior (55+)")</f>
        <v>3. Mid Adulthood (35-44)</v>
      </c>
      <c r="D2332" t="s">
        <v>27</v>
      </c>
      <c r="E2332" t="s">
        <v>16</v>
      </c>
      <c r="F2332" s="4">
        <v>5.61</v>
      </c>
      <c r="G2332" s="5">
        <v>12</v>
      </c>
      <c r="H2332" t="s">
        <v>49</v>
      </c>
      <c r="I2332" t="s">
        <v>55</v>
      </c>
      <c r="J2332" s="6">
        <v>8.99</v>
      </c>
      <c r="K2332">
        <v>1</v>
      </c>
      <c r="L2332" t="s">
        <v>19</v>
      </c>
      <c r="M2332" s="5">
        <v>2</v>
      </c>
      <c r="N2332" s="4">
        <v>0.43</v>
      </c>
      <c r="O2332" t="s">
        <v>30</v>
      </c>
    </row>
    <row r="2333" spans="1:15" x14ac:dyDescent="0.3">
      <c r="A2333" t="s">
        <v>3788</v>
      </c>
      <c r="B2333" s="5">
        <v>41</v>
      </c>
      <c r="C2333" s="5" t="str" cm="1">
        <f t="array" ref="C2333">_xlfn.IFS(worksheet[[#This Row],[age]]&lt;25,"1. Young Adulthood (18-24)",worksheet[[#This Row],[age]]&lt; 35,"2. Early Adulthood (25-34)",worksheet[[#This Row],[age]]&lt; 45,"3. Mid Adulthood (35-44)",worksheet[[#This Row],[age]]&lt; 55,"4. Mature Adulthood (45-54)",TRUE,"5. Late Adulthood/Senior (55+)")</f>
        <v>3. Mid Adulthood (35-44)</v>
      </c>
      <c r="D2333" t="s">
        <v>41</v>
      </c>
      <c r="E2333" t="s">
        <v>32</v>
      </c>
      <c r="F2333" s="4">
        <v>10.7</v>
      </c>
      <c r="G2333" s="5">
        <v>50</v>
      </c>
      <c r="H2333" t="s">
        <v>49</v>
      </c>
      <c r="I2333" t="s">
        <v>57</v>
      </c>
      <c r="J2333" s="6">
        <v>17.989999999999998</v>
      </c>
      <c r="K2333">
        <v>0</v>
      </c>
      <c r="L2333" t="s">
        <v>43</v>
      </c>
      <c r="M2333" s="5">
        <v>5</v>
      </c>
      <c r="N2333" s="4">
        <v>0.21</v>
      </c>
      <c r="O2333" t="s">
        <v>30</v>
      </c>
    </row>
    <row r="2334" spans="1:15" x14ac:dyDescent="0.3">
      <c r="A2334" t="s">
        <v>3796</v>
      </c>
      <c r="B2334" s="5">
        <v>44</v>
      </c>
      <c r="C2334" s="5" t="str" cm="1">
        <f t="array" ref="C2334">_xlfn.IFS(worksheet[[#This Row],[age]]&lt;25,"1. Young Adulthood (18-24)",worksheet[[#This Row],[age]]&lt; 35,"2. Early Adulthood (25-34)",worksheet[[#This Row],[age]]&lt; 45,"3. Mid Adulthood (35-44)",worksheet[[#This Row],[age]]&lt; 55,"4. Mature Adulthood (45-54)",TRUE,"5. Late Adulthood/Senior (55+)")</f>
        <v>3. Mid Adulthood (35-44)</v>
      </c>
      <c r="D2334" t="s">
        <v>27</v>
      </c>
      <c r="E2334" t="s">
        <v>16</v>
      </c>
      <c r="F2334" s="4">
        <v>47.4</v>
      </c>
      <c r="G2334" s="5">
        <v>9</v>
      </c>
      <c r="H2334" t="s">
        <v>70</v>
      </c>
      <c r="I2334" t="s">
        <v>55</v>
      </c>
      <c r="J2334" s="6">
        <v>8.99</v>
      </c>
      <c r="K2334">
        <v>0</v>
      </c>
      <c r="L2334" t="s">
        <v>37</v>
      </c>
      <c r="M2334" s="5">
        <v>5</v>
      </c>
      <c r="N2334" s="4">
        <v>4.74</v>
      </c>
      <c r="O2334" t="s">
        <v>39</v>
      </c>
    </row>
    <row r="2335" spans="1:15" x14ac:dyDescent="0.3">
      <c r="A2335" t="s">
        <v>3798</v>
      </c>
      <c r="B2335" s="5">
        <v>40</v>
      </c>
      <c r="C2335" s="5" t="str" cm="1">
        <f t="array" ref="C2335">_xlfn.IFS(worksheet[[#This Row],[age]]&lt;25,"1. Young Adulthood (18-24)",worksheet[[#This Row],[age]]&lt; 35,"2. Early Adulthood (25-34)",worksheet[[#This Row],[age]]&lt; 45,"3. Mid Adulthood (35-44)",worksheet[[#This Row],[age]]&lt; 55,"4. Mature Adulthood (45-54)",TRUE,"5. Late Adulthood/Senior (55+)")</f>
        <v>3. Mid Adulthood (35-44)</v>
      </c>
      <c r="D2335" t="s">
        <v>41</v>
      </c>
      <c r="E2335" t="s">
        <v>16</v>
      </c>
      <c r="F2335" s="4">
        <v>2.2400000000000002</v>
      </c>
      <c r="G2335" s="5">
        <v>9</v>
      </c>
      <c r="H2335" t="s">
        <v>33</v>
      </c>
      <c r="I2335" t="s">
        <v>55</v>
      </c>
      <c r="J2335" s="6">
        <v>8.99</v>
      </c>
      <c r="K2335">
        <v>1</v>
      </c>
      <c r="L2335" t="s">
        <v>37</v>
      </c>
      <c r="M2335" s="5">
        <v>2</v>
      </c>
      <c r="N2335" s="4">
        <v>0.22</v>
      </c>
      <c r="O2335" t="s">
        <v>30</v>
      </c>
    </row>
    <row r="2336" spans="1:15" x14ac:dyDescent="0.3">
      <c r="A2336" t="s">
        <v>3809</v>
      </c>
      <c r="B2336" s="5">
        <v>38</v>
      </c>
      <c r="C2336" s="5" t="str" cm="1">
        <f t="array" ref="C2336">_xlfn.IFS(worksheet[[#This Row],[age]]&lt;25,"1. Young Adulthood (18-24)",worksheet[[#This Row],[age]]&lt; 35,"2. Early Adulthood (25-34)",worksheet[[#This Row],[age]]&lt; 45,"3. Mid Adulthood (35-44)",worksheet[[#This Row],[age]]&lt; 55,"4. Mature Adulthood (45-54)",TRUE,"5. Late Adulthood/Senior (55+)")</f>
        <v>3. Mid Adulthood (35-44)</v>
      </c>
      <c r="D2336" t="s">
        <v>15</v>
      </c>
      <c r="E2336" t="s">
        <v>22</v>
      </c>
      <c r="F2336" s="4">
        <v>32.69</v>
      </c>
      <c r="G2336" s="5">
        <v>7</v>
      </c>
      <c r="H2336" t="s">
        <v>28</v>
      </c>
      <c r="I2336" t="s">
        <v>57</v>
      </c>
      <c r="J2336" s="6">
        <v>13.99</v>
      </c>
      <c r="K2336">
        <v>0</v>
      </c>
      <c r="L2336" t="s">
        <v>19</v>
      </c>
      <c r="M2336" s="5">
        <v>4</v>
      </c>
      <c r="N2336" s="4">
        <v>4.09</v>
      </c>
      <c r="O2336" t="s">
        <v>52</v>
      </c>
    </row>
    <row r="2337" spans="1:15" x14ac:dyDescent="0.3">
      <c r="A2337" t="s">
        <v>3813</v>
      </c>
      <c r="B2337" s="5">
        <v>41</v>
      </c>
      <c r="C2337" s="5" t="str" cm="1">
        <f t="array" ref="C2337">_xlfn.IFS(worksheet[[#This Row],[age]]&lt;25,"1. Young Adulthood (18-24)",worksheet[[#This Row],[age]]&lt; 35,"2. Early Adulthood (25-34)",worksheet[[#This Row],[age]]&lt; 45,"3. Mid Adulthood (35-44)",worksheet[[#This Row],[age]]&lt; 55,"4. Mature Adulthood (45-54)",TRUE,"5. Late Adulthood/Senior (55+)")</f>
        <v>3. Mid Adulthood (35-44)</v>
      </c>
      <c r="D2337" t="s">
        <v>41</v>
      </c>
      <c r="E2337" t="s">
        <v>32</v>
      </c>
      <c r="F2337" s="4">
        <v>10.81</v>
      </c>
      <c r="G2337" s="5">
        <v>44</v>
      </c>
      <c r="H2337" t="s">
        <v>49</v>
      </c>
      <c r="I2337" t="s">
        <v>57</v>
      </c>
      <c r="J2337" s="6">
        <v>17.989999999999998</v>
      </c>
      <c r="K2337">
        <v>1</v>
      </c>
      <c r="L2337" t="s">
        <v>19</v>
      </c>
      <c r="M2337" s="5">
        <v>3</v>
      </c>
      <c r="N2337" s="4">
        <v>0.24</v>
      </c>
      <c r="O2337" t="s">
        <v>52</v>
      </c>
    </row>
    <row r="2338" spans="1:15" x14ac:dyDescent="0.3">
      <c r="A2338" t="s">
        <v>3816</v>
      </c>
      <c r="B2338" s="5">
        <v>38</v>
      </c>
      <c r="C2338" s="5" t="str" cm="1">
        <f t="array" ref="C2338">_xlfn.IFS(worksheet[[#This Row],[age]]&lt;25,"1. Young Adulthood (18-24)",worksheet[[#This Row],[age]]&lt; 35,"2. Early Adulthood (25-34)",worksheet[[#This Row],[age]]&lt; 45,"3. Mid Adulthood (35-44)",worksheet[[#This Row],[age]]&lt; 55,"4. Mature Adulthood (45-54)",TRUE,"5. Late Adulthood/Senior (55+)")</f>
        <v>3. Mid Adulthood (35-44)</v>
      </c>
      <c r="D2338" t="s">
        <v>15</v>
      </c>
      <c r="E2338" t="s">
        <v>22</v>
      </c>
      <c r="F2338" s="4">
        <v>29.16</v>
      </c>
      <c r="G2338" s="5">
        <v>46</v>
      </c>
      <c r="H2338" t="s">
        <v>70</v>
      </c>
      <c r="I2338" t="s">
        <v>57</v>
      </c>
      <c r="J2338" s="6">
        <v>13.99</v>
      </c>
      <c r="K2338">
        <v>0</v>
      </c>
      <c r="L2338" t="s">
        <v>29</v>
      </c>
      <c r="M2338" s="5">
        <v>5</v>
      </c>
      <c r="N2338" s="4">
        <v>0.62</v>
      </c>
      <c r="O2338" t="s">
        <v>30</v>
      </c>
    </row>
    <row r="2339" spans="1:15" x14ac:dyDescent="0.3">
      <c r="A2339" t="s">
        <v>3818</v>
      </c>
      <c r="B2339" s="5">
        <v>35</v>
      </c>
      <c r="C2339" s="5" t="str" cm="1">
        <f t="array" ref="C2339">_xlfn.IFS(worksheet[[#This Row],[age]]&lt;25,"1. Young Adulthood (18-24)",worksheet[[#This Row],[age]]&lt; 35,"2. Early Adulthood (25-34)",worksheet[[#This Row],[age]]&lt; 45,"3. Mid Adulthood (35-44)",worksheet[[#This Row],[age]]&lt; 55,"4. Mature Adulthood (45-54)",TRUE,"5. Late Adulthood/Senior (55+)")</f>
        <v>3. Mid Adulthood (35-44)</v>
      </c>
      <c r="D2339" t="s">
        <v>27</v>
      </c>
      <c r="E2339" t="s">
        <v>32</v>
      </c>
      <c r="F2339" s="4">
        <v>14.42</v>
      </c>
      <c r="G2339" s="5">
        <v>30</v>
      </c>
      <c r="H2339" t="s">
        <v>49</v>
      </c>
      <c r="I2339" t="s">
        <v>18</v>
      </c>
      <c r="J2339" s="6">
        <v>17.989999999999998</v>
      </c>
      <c r="K2339">
        <v>0</v>
      </c>
      <c r="L2339" t="s">
        <v>19</v>
      </c>
      <c r="M2339" s="5">
        <v>2</v>
      </c>
      <c r="N2339" s="4">
        <v>0.47</v>
      </c>
      <c r="O2339" t="s">
        <v>20</v>
      </c>
    </row>
    <row r="2340" spans="1:15" x14ac:dyDescent="0.3">
      <c r="A2340" t="s">
        <v>3819</v>
      </c>
      <c r="B2340" s="5">
        <v>35</v>
      </c>
      <c r="C2340" s="5" t="str" cm="1">
        <f t="array" ref="C2340">_xlfn.IFS(worksheet[[#This Row],[age]]&lt;25,"1. Young Adulthood (18-24)",worksheet[[#This Row],[age]]&lt; 35,"2. Early Adulthood (25-34)",worksheet[[#This Row],[age]]&lt; 45,"3. Mid Adulthood (35-44)",worksheet[[#This Row],[age]]&lt; 55,"4. Mature Adulthood (45-54)",TRUE,"5. Late Adulthood/Senior (55+)")</f>
        <v>3. Mid Adulthood (35-44)</v>
      </c>
      <c r="D2340" t="s">
        <v>41</v>
      </c>
      <c r="E2340" t="s">
        <v>22</v>
      </c>
      <c r="F2340" s="4">
        <v>1.91</v>
      </c>
      <c r="G2340" s="5">
        <v>38</v>
      </c>
      <c r="H2340" t="s">
        <v>28</v>
      </c>
      <c r="I2340" t="s">
        <v>55</v>
      </c>
      <c r="J2340" s="6">
        <v>13.99</v>
      </c>
      <c r="K2340">
        <v>1</v>
      </c>
      <c r="L2340" t="s">
        <v>37</v>
      </c>
      <c r="M2340" s="5">
        <v>2</v>
      </c>
      <c r="N2340" s="4">
        <v>0.05</v>
      </c>
      <c r="O2340" t="s">
        <v>30</v>
      </c>
    </row>
    <row r="2341" spans="1:15" x14ac:dyDescent="0.3">
      <c r="A2341" t="s">
        <v>3837</v>
      </c>
      <c r="B2341" s="5">
        <v>43</v>
      </c>
      <c r="C2341" s="5" t="str" cm="1">
        <f t="array" ref="C2341">_xlfn.IFS(worksheet[[#This Row],[age]]&lt;25,"1. Young Adulthood (18-24)",worksheet[[#This Row],[age]]&lt; 35,"2. Early Adulthood (25-34)",worksheet[[#This Row],[age]]&lt; 45,"3. Mid Adulthood (35-44)",worksheet[[#This Row],[age]]&lt; 55,"4. Mature Adulthood (45-54)",TRUE,"5. Late Adulthood/Senior (55+)")</f>
        <v>3. Mid Adulthood (35-44)</v>
      </c>
      <c r="D2341" t="s">
        <v>41</v>
      </c>
      <c r="E2341" t="s">
        <v>22</v>
      </c>
      <c r="F2341" s="4">
        <v>16.440000000000001</v>
      </c>
      <c r="G2341" s="5">
        <v>60</v>
      </c>
      <c r="H2341" t="s">
        <v>17</v>
      </c>
      <c r="I2341" t="s">
        <v>46</v>
      </c>
      <c r="J2341" s="6">
        <v>13.99</v>
      </c>
      <c r="K2341">
        <v>1</v>
      </c>
      <c r="L2341" t="s">
        <v>19</v>
      </c>
      <c r="M2341" s="5">
        <v>4</v>
      </c>
      <c r="N2341" s="4">
        <v>0.27</v>
      </c>
      <c r="O2341" t="s">
        <v>30</v>
      </c>
    </row>
    <row r="2342" spans="1:15" x14ac:dyDescent="0.3">
      <c r="A2342" t="s">
        <v>3844</v>
      </c>
      <c r="B2342" s="5">
        <v>41</v>
      </c>
      <c r="C2342" s="5" t="str" cm="1">
        <f t="array" ref="C2342">_xlfn.IFS(worksheet[[#This Row],[age]]&lt;25,"1. Young Adulthood (18-24)",worksheet[[#This Row],[age]]&lt; 35,"2. Early Adulthood (25-34)",worksheet[[#This Row],[age]]&lt; 45,"3. Mid Adulthood (35-44)",worksheet[[#This Row],[age]]&lt; 55,"4. Mature Adulthood (45-54)",TRUE,"5. Late Adulthood/Senior (55+)")</f>
        <v>3. Mid Adulthood (35-44)</v>
      </c>
      <c r="D2342" t="s">
        <v>15</v>
      </c>
      <c r="E2342" t="s">
        <v>22</v>
      </c>
      <c r="F2342" s="4">
        <v>3.59</v>
      </c>
      <c r="G2342" s="5">
        <v>41</v>
      </c>
      <c r="H2342" t="s">
        <v>17</v>
      </c>
      <c r="I2342" t="s">
        <v>46</v>
      </c>
      <c r="J2342" s="6">
        <v>13.99</v>
      </c>
      <c r="K2342">
        <v>1</v>
      </c>
      <c r="L2342" t="s">
        <v>19</v>
      </c>
      <c r="M2342" s="5">
        <v>5</v>
      </c>
      <c r="N2342" s="4">
        <v>0.09</v>
      </c>
      <c r="O2342" t="s">
        <v>47</v>
      </c>
    </row>
    <row r="2343" spans="1:15" x14ac:dyDescent="0.3">
      <c r="A2343" s="1" t="s">
        <v>3852</v>
      </c>
      <c r="B2343" s="5">
        <v>35</v>
      </c>
      <c r="C2343" s="5" t="str" cm="1">
        <f t="array" ref="C2343">_xlfn.IFS(worksheet[[#This Row],[age]]&lt;25,"1. Young Adulthood (18-24)",worksheet[[#This Row],[age]]&lt; 35,"2. Early Adulthood (25-34)",worksheet[[#This Row],[age]]&lt; 45,"3. Mid Adulthood (35-44)",worksheet[[#This Row],[age]]&lt; 55,"4. Mature Adulthood (45-54)",TRUE,"5. Late Adulthood/Senior (55+)")</f>
        <v>3. Mid Adulthood (35-44)</v>
      </c>
      <c r="D2343" t="s">
        <v>15</v>
      </c>
      <c r="E2343" t="s">
        <v>16</v>
      </c>
      <c r="F2343" s="4">
        <v>0.87</v>
      </c>
      <c r="G2343" s="5">
        <v>58</v>
      </c>
      <c r="H2343" t="s">
        <v>70</v>
      </c>
      <c r="I2343" t="s">
        <v>57</v>
      </c>
      <c r="J2343" s="6">
        <v>8.99</v>
      </c>
      <c r="K2343">
        <v>1</v>
      </c>
      <c r="L2343" t="s">
        <v>37</v>
      </c>
      <c r="M2343" s="5">
        <v>5</v>
      </c>
      <c r="N2343" s="4">
        <v>0.01</v>
      </c>
      <c r="O2343" t="s">
        <v>20</v>
      </c>
    </row>
    <row r="2344" spans="1:15" x14ac:dyDescent="0.3">
      <c r="A2344" t="s">
        <v>3859</v>
      </c>
      <c r="B2344" s="5">
        <v>42</v>
      </c>
      <c r="C2344" s="5" t="str" cm="1">
        <f t="array" ref="C2344">_xlfn.IFS(worksheet[[#This Row],[age]]&lt;25,"1. Young Adulthood (18-24)",worksheet[[#This Row],[age]]&lt; 35,"2. Early Adulthood (25-34)",worksheet[[#This Row],[age]]&lt; 45,"3. Mid Adulthood (35-44)",worksheet[[#This Row],[age]]&lt; 55,"4. Mature Adulthood (45-54)",TRUE,"5. Late Adulthood/Senior (55+)")</f>
        <v>3. Mid Adulthood (35-44)</v>
      </c>
      <c r="D2344" t="s">
        <v>27</v>
      </c>
      <c r="E2344" t="s">
        <v>16</v>
      </c>
      <c r="F2344" s="4">
        <v>9.75</v>
      </c>
      <c r="G2344" s="5">
        <v>48</v>
      </c>
      <c r="H2344" t="s">
        <v>49</v>
      </c>
      <c r="I2344" t="s">
        <v>46</v>
      </c>
      <c r="J2344" s="6">
        <v>8.99</v>
      </c>
      <c r="K2344">
        <v>1</v>
      </c>
      <c r="L2344" t="s">
        <v>29</v>
      </c>
      <c r="M2344" s="5">
        <v>5</v>
      </c>
      <c r="N2344" s="4">
        <v>0.2</v>
      </c>
      <c r="O2344" t="s">
        <v>25</v>
      </c>
    </row>
    <row r="2345" spans="1:15" x14ac:dyDescent="0.3">
      <c r="A2345" t="s">
        <v>3860</v>
      </c>
      <c r="B2345" s="5">
        <v>35</v>
      </c>
      <c r="C2345" s="5" t="str" cm="1">
        <f t="array" ref="C2345">_xlfn.IFS(worksheet[[#This Row],[age]]&lt;25,"1. Young Adulthood (18-24)",worksheet[[#This Row],[age]]&lt; 35,"2. Early Adulthood (25-34)",worksheet[[#This Row],[age]]&lt; 45,"3. Mid Adulthood (35-44)",worksheet[[#This Row],[age]]&lt; 55,"4. Mature Adulthood (45-54)",TRUE,"5. Late Adulthood/Senior (55+)")</f>
        <v>3. Mid Adulthood (35-44)</v>
      </c>
      <c r="D2345" t="s">
        <v>15</v>
      </c>
      <c r="E2345" t="s">
        <v>16</v>
      </c>
      <c r="F2345" s="4">
        <v>0.03</v>
      </c>
      <c r="G2345" s="5">
        <v>5</v>
      </c>
      <c r="H2345" t="s">
        <v>28</v>
      </c>
      <c r="I2345" t="s">
        <v>18</v>
      </c>
      <c r="J2345" s="6">
        <v>8.99</v>
      </c>
      <c r="K2345">
        <v>1</v>
      </c>
      <c r="L2345" t="s">
        <v>43</v>
      </c>
      <c r="M2345" s="5">
        <v>3</v>
      </c>
      <c r="N2345" s="4">
        <v>0.01</v>
      </c>
      <c r="O2345" t="s">
        <v>34</v>
      </c>
    </row>
    <row r="2346" spans="1:15" x14ac:dyDescent="0.3">
      <c r="A2346" t="s">
        <v>3867</v>
      </c>
      <c r="B2346" s="5">
        <v>37</v>
      </c>
      <c r="C2346" s="5" t="str" cm="1">
        <f t="array" ref="C2346">_xlfn.IFS(worksheet[[#This Row],[age]]&lt;25,"1. Young Adulthood (18-24)",worksheet[[#This Row],[age]]&lt; 35,"2. Early Adulthood (25-34)",worksheet[[#This Row],[age]]&lt; 45,"3. Mid Adulthood (35-44)",worksheet[[#This Row],[age]]&lt; 55,"4. Mature Adulthood (45-54)",TRUE,"5. Late Adulthood/Senior (55+)")</f>
        <v>3. Mid Adulthood (35-44)</v>
      </c>
      <c r="D2346" t="s">
        <v>41</v>
      </c>
      <c r="E2346" t="s">
        <v>22</v>
      </c>
      <c r="F2346" s="4">
        <v>21.24</v>
      </c>
      <c r="G2346" s="5">
        <v>41</v>
      </c>
      <c r="H2346" t="s">
        <v>33</v>
      </c>
      <c r="I2346" t="s">
        <v>24</v>
      </c>
      <c r="J2346" s="6">
        <v>13.99</v>
      </c>
      <c r="K2346">
        <v>0</v>
      </c>
      <c r="L2346" t="s">
        <v>37</v>
      </c>
      <c r="M2346" s="5">
        <v>4</v>
      </c>
      <c r="N2346" s="4">
        <v>0.51</v>
      </c>
      <c r="O2346" t="s">
        <v>30</v>
      </c>
    </row>
    <row r="2347" spans="1:15" x14ac:dyDescent="0.3">
      <c r="A2347" t="s">
        <v>3869</v>
      </c>
      <c r="B2347" s="5">
        <v>44</v>
      </c>
      <c r="C2347" s="5" t="str" cm="1">
        <f t="array" ref="C2347">_xlfn.IFS(worksheet[[#This Row],[age]]&lt;25,"1. Young Adulthood (18-24)",worksheet[[#This Row],[age]]&lt; 35,"2. Early Adulthood (25-34)",worksheet[[#This Row],[age]]&lt; 45,"3. Mid Adulthood (35-44)",worksheet[[#This Row],[age]]&lt; 55,"4. Mature Adulthood (45-54)",TRUE,"5. Late Adulthood/Senior (55+)")</f>
        <v>3. Mid Adulthood (35-44)</v>
      </c>
      <c r="D2347" t="s">
        <v>15</v>
      </c>
      <c r="E2347" t="s">
        <v>22</v>
      </c>
      <c r="F2347" s="4">
        <v>7.64</v>
      </c>
      <c r="G2347" s="5">
        <v>35</v>
      </c>
      <c r="H2347" t="s">
        <v>17</v>
      </c>
      <c r="I2347" t="s">
        <v>46</v>
      </c>
      <c r="J2347" s="6">
        <v>13.99</v>
      </c>
      <c r="K2347">
        <v>0</v>
      </c>
      <c r="L2347" t="s">
        <v>61</v>
      </c>
      <c r="M2347" s="5">
        <v>4</v>
      </c>
      <c r="N2347" s="4">
        <v>0.21</v>
      </c>
      <c r="O2347" t="s">
        <v>47</v>
      </c>
    </row>
    <row r="2348" spans="1:15" x14ac:dyDescent="0.3">
      <c r="A2348" t="s">
        <v>3873</v>
      </c>
      <c r="B2348" s="5">
        <v>41</v>
      </c>
      <c r="C2348" s="5" t="str" cm="1">
        <f t="array" ref="C2348">_xlfn.IFS(worksheet[[#This Row],[age]]&lt;25,"1. Young Adulthood (18-24)",worksheet[[#This Row],[age]]&lt; 35,"2. Early Adulthood (25-34)",worksheet[[#This Row],[age]]&lt; 45,"3. Mid Adulthood (35-44)",worksheet[[#This Row],[age]]&lt; 55,"4. Mature Adulthood (45-54)",TRUE,"5. Late Adulthood/Senior (55+)")</f>
        <v>3. Mid Adulthood (35-44)</v>
      </c>
      <c r="D2348" t="s">
        <v>41</v>
      </c>
      <c r="E2348" t="s">
        <v>16</v>
      </c>
      <c r="F2348" s="4">
        <v>17.87</v>
      </c>
      <c r="G2348" s="5">
        <v>6</v>
      </c>
      <c r="H2348" t="s">
        <v>70</v>
      </c>
      <c r="I2348" t="s">
        <v>57</v>
      </c>
      <c r="J2348" s="6">
        <v>8.99</v>
      </c>
      <c r="K2348">
        <v>0</v>
      </c>
      <c r="L2348" t="s">
        <v>43</v>
      </c>
      <c r="M2348" s="5">
        <v>1</v>
      </c>
      <c r="N2348" s="4">
        <v>2.5499999999999998</v>
      </c>
      <c r="O2348" t="s">
        <v>30</v>
      </c>
    </row>
    <row r="2349" spans="1:15" x14ac:dyDescent="0.3">
      <c r="A2349" t="s">
        <v>3881</v>
      </c>
      <c r="B2349" s="5">
        <v>43</v>
      </c>
      <c r="C2349" s="5" t="str" cm="1">
        <f t="array" ref="C2349">_xlfn.IFS(worksheet[[#This Row],[age]]&lt;25,"1. Young Adulthood (18-24)",worksheet[[#This Row],[age]]&lt; 35,"2. Early Adulthood (25-34)",worksheet[[#This Row],[age]]&lt; 45,"3. Mid Adulthood (35-44)",worksheet[[#This Row],[age]]&lt; 55,"4. Mature Adulthood (45-54)",TRUE,"5. Late Adulthood/Senior (55+)")</f>
        <v>3. Mid Adulthood (35-44)</v>
      </c>
      <c r="D2349" t="s">
        <v>27</v>
      </c>
      <c r="E2349" t="s">
        <v>16</v>
      </c>
      <c r="F2349" s="4">
        <v>12.52</v>
      </c>
      <c r="G2349" s="5">
        <v>26</v>
      </c>
      <c r="H2349" t="s">
        <v>23</v>
      </c>
      <c r="I2349" t="s">
        <v>18</v>
      </c>
      <c r="J2349" s="6">
        <v>8.99</v>
      </c>
      <c r="K2349">
        <v>0</v>
      </c>
      <c r="L2349" t="s">
        <v>61</v>
      </c>
      <c r="M2349" s="5">
        <v>2</v>
      </c>
      <c r="N2349" s="4">
        <v>0.46</v>
      </c>
      <c r="O2349" t="s">
        <v>34</v>
      </c>
    </row>
    <row r="2350" spans="1:15" x14ac:dyDescent="0.3">
      <c r="A2350" t="s">
        <v>3883</v>
      </c>
      <c r="B2350" s="5">
        <v>35</v>
      </c>
      <c r="C2350" s="5" t="str" cm="1">
        <f t="array" ref="C2350">_xlfn.IFS(worksheet[[#This Row],[age]]&lt;25,"1. Young Adulthood (18-24)",worksheet[[#This Row],[age]]&lt; 35,"2. Early Adulthood (25-34)",worksheet[[#This Row],[age]]&lt; 45,"3. Mid Adulthood (35-44)",worksheet[[#This Row],[age]]&lt; 55,"4. Mature Adulthood (45-54)",TRUE,"5. Late Adulthood/Senior (55+)")</f>
        <v>3. Mid Adulthood (35-44)</v>
      </c>
      <c r="D2350" t="s">
        <v>27</v>
      </c>
      <c r="E2350" t="s">
        <v>16</v>
      </c>
      <c r="F2350" s="4">
        <v>7.06</v>
      </c>
      <c r="G2350" s="5">
        <v>14</v>
      </c>
      <c r="H2350" t="s">
        <v>17</v>
      </c>
      <c r="I2350" t="s">
        <v>57</v>
      </c>
      <c r="J2350" s="6">
        <v>8.99</v>
      </c>
      <c r="K2350">
        <v>0</v>
      </c>
      <c r="L2350" t="s">
        <v>19</v>
      </c>
      <c r="M2350" s="5">
        <v>5</v>
      </c>
      <c r="N2350" s="4">
        <v>0.47</v>
      </c>
      <c r="O2350" t="s">
        <v>52</v>
      </c>
    </row>
    <row r="2351" spans="1:15" x14ac:dyDescent="0.3">
      <c r="A2351" t="s">
        <v>3885</v>
      </c>
      <c r="B2351" s="5">
        <v>40</v>
      </c>
      <c r="C2351" s="5" t="str" cm="1">
        <f t="array" ref="C2351">_xlfn.IFS(worksheet[[#This Row],[age]]&lt;25,"1. Young Adulthood (18-24)",worksheet[[#This Row],[age]]&lt; 35,"2. Early Adulthood (25-34)",worksheet[[#This Row],[age]]&lt; 45,"3. Mid Adulthood (35-44)",worksheet[[#This Row],[age]]&lt; 55,"4. Mature Adulthood (45-54)",TRUE,"5. Late Adulthood/Senior (55+)")</f>
        <v>3. Mid Adulthood (35-44)</v>
      </c>
      <c r="D2351" t="s">
        <v>15</v>
      </c>
      <c r="E2351" t="s">
        <v>16</v>
      </c>
      <c r="F2351" s="4">
        <v>75.989999999999995</v>
      </c>
      <c r="G2351" s="5">
        <v>9</v>
      </c>
      <c r="H2351" t="s">
        <v>17</v>
      </c>
      <c r="I2351" t="s">
        <v>24</v>
      </c>
      <c r="J2351" s="6">
        <v>8.99</v>
      </c>
      <c r="K2351">
        <v>0</v>
      </c>
      <c r="L2351" t="s">
        <v>61</v>
      </c>
      <c r="M2351" s="5">
        <v>1</v>
      </c>
      <c r="N2351" s="4">
        <v>7.6</v>
      </c>
      <c r="O2351" t="s">
        <v>47</v>
      </c>
    </row>
    <row r="2352" spans="1:15" x14ac:dyDescent="0.3">
      <c r="A2352" t="s">
        <v>3889</v>
      </c>
      <c r="B2352" s="5">
        <v>41</v>
      </c>
      <c r="C2352" s="5" t="str" cm="1">
        <f t="array" ref="C2352">_xlfn.IFS(worksheet[[#This Row],[age]]&lt;25,"1. Young Adulthood (18-24)",worksheet[[#This Row],[age]]&lt; 35,"2. Early Adulthood (25-34)",worksheet[[#This Row],[age]]&lt; 45,"3. Mid Adulthood (35-44)",worksheet[[#This Row],[age]]&lt; 55,"4. Mature Adulthood (45-54)",TRUE,"5. Late Adulthood/Senior (55+)")</f>
        <v>3. Mid Adulthood (35-44)</v>
      </c>
      <c r="D2352" t="s">
        <v>15</v>
      </c>
      <c r="E2352" t="s">
        <v>16</v>
      </c>
      <c r="F2352" s="4">
        <v>2.09</v>
      </c>
      <c r="G2352" s="5">
        <v>52</v>
      </c>
      <c r="H2352" t="s">
        <v>28</v>
      </c>
      <c r="I2352" t="s">
        <v>46</v>
      </c>
      <c r="J2352" s="6">
        <v>8.99</v>
      </c>
      <c r="K2352">
        <v>1</v>
      </c>
      <c r="L2352" t="s">
        <v>29</v>
      </c>
      <c r="M2352" s="5">
        <v>3</v>
      </c>
      <c r="N2352" s="4">
        <v>0.04</v>
      </c>
      <c r="O2352" t="s">
        <v>47</v>
      </c>
    </row>
    <row r="2353" spans="1:15" x14ac:dyDescent="0.3">
      <c r="A2353" t="s">
        <v>3891</v>
      </c>
      <c r="B2353" s="5">
        <v>35</v>
      </c>
      <c r="C2353" s="5" t="str" cm="1">
        <f t="array" ref="C2353">_xlfn.IFS(worksheet[[#This Row],[age]]&lt;25,"1. Young Adulthood (18-24)",worksheet[[#This Row],[age]]&lt; 35,"2. Early Adulthood (25-34)",worksheet[[#This Row],[age]]&lt; 45,"3. Mid Adulthood (35-44)",worksheet[[#This Row],[age]]&lt; 55,"4. Mature Adulthood (45-54)",TRUE,"5. Late Adulthood/Senior (55+)")</f>
        <v>3. Mid Adulthood (35-44)</v>
      </c>
      <c r="D2353" t="s">
        <v>27</v>
      </c>
      <c r="E2353" t="s">
        <v>22</v>
      </c>
      <c r="F2353" s="4">
        <v>0.45</v>
      </c>
      <c r="G2353" s="5">
        <v>7</v>
      </c>
      <c r="H2353" t="s">
        <v>33</v>
      </c>
      <c r="I2353" t="s">
        <v>46</v>
      </c>
      <c r="J2353" s="6">
        <v>13.99</v>
      </c>
      <c r="K2353">
        <v>0</v>
      </c>
      <c r="L2353" t="s">
        <v>37</v>
      </c>
      <c r="M2353" s="5">
        <v>5</v>
      </c>
      <c r="N2353" s="4">
        <v>0.06</v>
      </c>
      <c r="O2353" t="s">
        <v>52</v>
      </c>
    </row>
    <row r="2354" spans="1:15" x14ac:dyDescent="0.3">
      <c r="A2354" t="s">
        <v>3892</v>
      </c>
      <c r="B2354" s="5">
        <v>35</v>
      </c>
      <c r="C2354" s="5" t="str" cm="1">
        <f t="array" ref="C2354">_xlfn.IFS(worksheet[[#This Row],[age]]&lt;25,"1. Young Adulthood (18-24)",worksheet[[#This Row],[age]]&lt; 35,"2. Early Adulthood (25-34)",worksheet[[#This Row],[age]]&lt; 45,"3. Mid Adulthood (35-44)",worksheet[[#This Row],[age]]&lt; 55,"4. Mature Adulthood (45-54)",TRUE,"5. Late Adulthood/Senior (55+)")</f>
        <v>3. Mid Adulthood (35-44)</v>
      </c>
      <c r="D2354" t="s">
        <v>15</v>
      </c>
      <c r="E2354" t="s">
        <v>32</v>
      </c>
      <c r="F2354" s="4">
        <v>5.39</v>
      </c>
      <c r="G2354" s="5">
        <v>54</v>
      </c>
      <c r="H2354" t="s">
        <v>49</v>
      </c>
      <c r="I2354" t="s">
        <v>18</v>
      </c>
      <c r="J2354" s="6">
        <v>17.989999999999998</v>
      </c>
      <c r="K2354">
        <v>1</v>
      </c>
      <c r="L2354" t="s">
        <v>37</v>
      </c>
      <c r="M2354" s="5">
        <v>1</v>
      </c>
      <c r="N2354" s="4">
        <v>0.1</v>
      </c>
      <c r="O2354" t="s">
        <v>47</v>
      </c>
    </row>
    <row r="2355" spans="1:15" x14ac:dyDescent="0.3">
      <c r="A2355" t="s">
        <v>3899</v>
      </c>
      <c r="B2355" s="5">
        <v>39</v>
      </c>
      <c r="C2355" s="5" t="str" cm="1">
        <f t="array" ref="C2355">_xlfn.IFS(worksheet[[#This Row],[age]]&lt;25,"1. Young Adulthood (18-24)",worksheet[[#This Row],[age]]&lt; 35,"2. Early Adulthood (25-34)",worksheet[[#This Row],[age]]&lt; 45,"3. Mid Adulthood (35-44)",worksheet[[#This Row],[age]]&lt; 55,"4. Mature Adulthood (45-54)",TRUE,"5. Late Adulthood/Senior (55+)")</f>
        <v>3. Mid Adulthood (35-44)</v>
      </c>
      <c r="D2355" t="s">
        <v>41</v>
      </c>
      <c r="E2355" t="s">
        <v>32</v>
      </c>
      <c r="F2355" s="4">
        <v>4.22</v>
      </c>
      <c r="G2355" s="5">
        <v>33</v>
      </c>
      <c r="H2355" t="s">
        <v>28</v>
      </c>
      <c r="I2355" t="s">
        <v>55</v>
      </c>
      <c r="J2355" s="6">
        <v>17.989999999999998</v>
      </c>
      <c r="K2355">
        <v>1</v>
      </c>
      <c r="L2355" t="s">
        <v>43</v>
      </c>
      <c r="M2355" s="5">
        <v>2</v>
      </c>
      <c r="N2355" s="4">
        <v>0.12</v>
      </c>
      <c r="O2355" t="s">
        <v>30</v>
      </c>
    </row>
    <row r="2356" spans="1:15" x14ac:dyDescent="0.3">
      <c r="A2356" t="s">
        <v>3908</v>
      </c>
      <c r="B2356" s="5">
        <v>38</v>
      </c>
      <c r="C2356" s="5" t="str" cm="1">
        <f t="array" ref="C2356">_xlfn.IFS(worksheet[[#This Row],[age]]&lt;25,"1. Young Adulthood (18-24)",worksheet[[#This Row],[age]]&lt; 35,"2. Early Adulthood (25-34)",worksheet[[#This Row],[age]]&lt; 45,"3. Mid Adulthood (35-44)",worksheet[[#This Row],[age]]&lt; 55,"4. Mature Adulthood (45-54)",TRUE,"5. Late Adulthood/Senior (55+)")</f>
        <v>3. Mid Adulthood (35-44)</v>
      </c>
      <c r="D2356" t="s">
        <v>15</v>
      </c>
      <c r="E2356" t="s">
        <v>22</v>
      </c>
      <c r="F2356" s="4">
        <v>32.729999999999997</v>
      </c>
      <c r="G2356" s="5">
        <v>21</v>
      </c>
      <c r="H2356" t="s">
        <v>28</v>
      </c>
      <c r="I2356" t="s">
        <v>24</v>
      </c>
      <c r="J2356" s="6">
        <v>13.99</v>
      </c>
      <c r="K2356">
        <v>0</v>
      </c>
      <c r="L2356" t="s">
        <v>37</v>
      </c>
      <c r="M2356" s="5">
        <v>5</v>
      </c>
      <c r="N2356" s="4">
        <v>1.49</v>
      </c>
      <c r="O2356" t="s">
        <v>52</v>
      </c>
    </row>
    <row r="2357" spans="1:15" x14ac:dyDescent="0.3">
      <c r="A2357" t="s">
        <v>3911</v>
      </c>
      <c r="B2357" s="5">
        <v>35</v>
      </c>
      <c r="C2357" s="5" t="str" cm="1">
        <f t="array" ref="C2357">_xlfn.IFS(worksheet[[#This Row],[age]]&lt;25,"1. Young Adulthood (18-24)",worksheet[[#This Row],[age]]&lt; 35,"2. Early Adulthood (25-34)",worksheet[[#This Row],[age]]&lt; 45,"3. Mid Adulthood (35-44)",worksheet[[#This Row],[age]]&lt; 55,"4. Mature Adulthood (45-54)",TRUE,"5. Late Adulthood/Senior (55+)")</f>
        <v>3. Mid Adulthood (35-44)</v>
      </c>
      <c r="D2357" t="s">
        <v>27</v>
      </c>
      <c r="E2357" t="s">
        <v>16</v>
      </c>
      <c r="F2357" s="4">
        <v>7.37</v>
      </c>
      <c r="G2357" s="5">
        <v>9</v>
      </c>
      <c r="H2357" t="s">
        <v>28</v>
      </c>
      <c r="I2357" t="s">
        <v>57</v>
      </c>
      <c r="J2357" s="6">
        <v>8.99</v>
      </c>
      <c r="K2357">
        <v>0</v>
      </c>
      <c r="L2357" t="s">
        <v>43</v>
      </c>
      <c r="M2357" s="5">
        <v>4</v>
      </c>
      <c r="N2357" s="4">
        <v>0.74</v>
      </c>
      <c r="O2357" t="s">
        <v>34</v>
      </c>
    </row>
    <row r="2358" spans="1:15" x14ac:dyDescent="0.3">
      <c r="A2358" t="s">
        <v>3916</v>
      </c>
      <c r="B2358" s="5">
        <v>44</v>
      </c>
      <c r="C2358" s="5" t="str" cm="1">
        <f t="array" ref="C2358">_xlfn.IFS(worksheet[[#This Row],[age]]&lt;25,"1. Young Adulthood (18-24)",worksheet[[#This Row],[age]]&lt; 35,"2. Early Adulthood (25-34)",worksheet[[#This Row],[age]]&lt; 45,"3. Mid Adulthood (35-44)",worksheet[[#This Row],[age]]&lt; 55,"4. Mature Adulthood (45-54)",TRUE,"5. Late Adulthood/Senior (55+)")</f>
        <v>3. Mid Adulthood (35-44)</v>
      </c>
      <c r="D2358" t="s">
        <v>41</v>
      </c>
      <c r="E2358" t="s">
        <v>32</v>
      </c>
      <c r="F2358" s="4">
        <v>30.04</v>
      </c>
      <c r="G2358" s="5">
        <v>56</v>
      </c>
      <c r="H2358" t="s">
        <v>28</v>
      </c>
      <c r="I2358" t="s">
        <v>24</v>
      </c>
      <c r="J2358" s="6">
        <v>17.989999999999998</v>
      </c>
      <c r="K2358">
        <v>0</v>
      </c>
      <c r="L2358" t="s">
        <v>37</v>
      </c>
      <c r="M2358" s="5">
        <v>5</v>
      </c>
      <c r="N2358" s="4">
        <v>0.53</v>
      </c>
      <c r="O2358" t="s">
        <v>39</v>
      </c>
    </row>
    <row r="2359" spans="1:15" x14ac:dyDescent="0.3">
      <c r="A2359" t="s">
        <v>3917</v>
      </c>
      <c r="B2359" s="5">
        <v>36</v>
      </c>
      <c r="C2359" s="5" t="str" cm="1">
        <f t="array" ref="C2359">_xlfn.IFS(worksheet[[#This Row],[age]]&lt;25,"1. Young Adulthood (18-24)",worksheet[[#This Row],[age]]&lt; 35,"2. Early Adulthood (25-34)",worksheet[[#This Row],[age]]&lt; 45,"3. Mid Adulthood (35-44)",worksheet[[#This Row],[age]]&lt; 55,"4. Mature Adulthood (45-54)",TRUE,"5. Late Adulthood/Senior (55+)")</f>
        <v>3. Mid Adulthood (35-44)</v>
      </c>
      <c r="D2359" t="s">
        <v>41</v>
      </c>
      <c r="E2359" t="s">
        <v>16</v>
      </c>
      <c r="F2359" s="4">
        <v>12.52</v>
      </c>
      <c r="G2359" s="5">
        <v>6</v>
      </c>
      <c r="H2359" t="s">
        <v>28</v>
      </c>
      <c r="I2359" t="s">
        <v>46</v>
      </c>
      <c r="J2359" s="6">
        <v>8.99</v>
      </c>
      <c r="K2359">
        <v>0</v>
      </c>
      <c r="L2359" t="s">
        <v>61</v>
      </c>
      <c r="M2359" s="5">
        <v>4</v>
      </c>
      <c r="N2359" s="4">
        <v>1.79</v>
      </c>
      <c r="O2359" t="s">
        <v>52</v>
      </c>
    </row>
    <row r="2360" spans="1:15" x14ac:dyDescent="0.3">
      <c r="A2360" t="s">
        <v>3924</v>
      </c>
      <c r="B2360" s="5">
        <v>39</v>
      </c>
      <c r="C2360" s="5" t="str" cm="1">
        <f t="array" ref="C2360">_xlfn.IFS(worksheet[[#This Row],[age]]&lt;25,"1. Young Adulthood (18-24)",worksheet[[#This Row],[age]]&lt; 35,"2. Early Adulthood (25-34)",worksheet[[#This Row],[age]]&lt; 45,"3. Mid Adulthood (35-44)",worksheet[[#This Row],[age]]&lt; 55,"4. Mature Adulthood (45-54)",TRUE,"5. Late Adulthood/Senior (55+)")</f>
        <v>3. Mid Adulthood (35-44)</v>
      </c>
      <c r="D2360" t="s">
        <v>27</v>
      </c>
      <c r="E2360" t="s">
        <v>16</v>
      </c>
      <c r="F2360" s="4">
        <v>6.52</v>
      </c>
      <c r="G2360" s="5">
        <v>54</v>
      </c>
      <c r="H2360" t="s">
        <v>28</v>
      </c>
      <c r="I2360" t="s">
        <v>18</v>
      </c>
      <c r="J2360" s="6">
        <v>8.99</v>
      </c>
      <c r="K2360">
        <v>1</v>
      </c>
      <c r="L2360" t="s">
        <v>43</v>
      </c>
      <c r="M2360" s="5">
        <v>4</v>
      </c>
      <c r="N2360" s="4">
        <v>0.12</v>
      </c>
      <c r="O2360" t="s">
        <v>39</v>
      </c>
    </row>
    <row r="2361" spans="1:15" x14ac:dyDescent="0.3">
      <c r="A2361" t="s">
        <v>3925</v>
      </c>
      <c r="B2361" s="5">
        <v>35</v>
      </c>
      <c r="C2361" s="5" t="str" cm="1">
        <f t="array" ref="C2361">_xlfn.IFS(worksheet[[#This Row],[age]]&lt;25,"1. Young Adulthood (18-24)",worksheet[[#This Row],[age]]&lt; 35,"2. Early Adulthood (25-34)",worksheet[[#This Row],[age]]&lt; 45,"3. Mid Adulthood (35-44)",worksheet[[#This Row],[age]]&lt; 55,"4. Mature Adulthood (45-54)",TRUE,"5. Late Adulthood/Senior (55+)")</f>
        <v>3. Mid Adulthood (35-44)</v>
      </c>
      <c r="D2361" t="s">
        <v>27</v>
      </c>
      <c r="E2361" t="s">
        <v>22</v>
      </c>
      <c r="F2361" s="4">
        <v>2.19</v>
      </c>
      <c r="G2361" s="5">
        <v>57</v>
      </c>
      <c r="H2361" t="s">
        <v>33</v>
      </c>
      <c r="I2361" t="s">
        <v>57</v>
      </c>
      <c r="J2361" s="6">
        <v>13.99</v>
      </c>
      <c r="K2361">
        <v>1</v>
      </c>
      <c r="L2361" t="s">
        <v>19</v>
      </c>
      <c r="M2361" s="5">
        <v>2</v>
      </c>
      <c r="N2361" s="4">
        <v>0.04</v>
      </c>
      <c r="O2361" t="s">
        <v>47</v>
      </c>
    </row>
    <row r="2362" spans="1:15" x14ac:dyDescent="0.3">
      <c r="A2362" t="s">
        <v>3927</v>
      </c>
      <c r="B2362" s="5">
        <v>38</v>
      </c>
      <c r="C2362" s="5" t="str" cm="1">
        <f t="array" ref="C2362">_xlfn.IFS(worksheet[[#This Row],[age]]&lt;25,"1. Young Adulthood (18-24)",worksheet[[#This Row],[age]]&lt; 35,"2. Early Adulthood (25-34)",worksheet[[#This Row],[age]]&lt; 45,"3. Mid Adulthood (35-44)",worksheet[[#This Row],[age]]&lt; 55,"4. Mature Adulthood (45-54)",TRUE,"5. Late Adulthood/Senior (55+)")</f>
        <v>3. Mid Adulthood (35-44)</v>
      </c>
      <c r="D2362" t="s">
        <v>27</v>
      </c>
      <c r="E2362" t="s">
        <v>22</v>
      </c>
      <c r="F2362" s="4">
        <v>3.79</v>
      </c>
      <c r="G2362" s="5">
        <v>32</v>
      </c>
      <c r="H2362" t="s">
        <v>17</v>
      </c>
      <c r="I2362" t="s">
        <v>57</v>
      </c>
      <c r="J2362" s="6">
        <v>13.99</v>
      </c>
      <c r="K2362">
        <v>1</v>
      </c>
      <c r="L2362" t="s">
        <v>29</v>
      </c>
      <c r="M2362" s="5">
        <v>3</v>
      </c>
      <c r="N2362" s="4">
        <v>0.11</v>
      </c>
      <c r="O2362" t="s">
        <v>30</v>
      </c>
    </row>
    <row r="2363" spans="1:15" x14ac:dyDescent="0.3">
      <c r="A2363" t="s">
        <v>3929</v>
      </c>
      <c r="B2363" s="5">
        <v>43</v>
      </c>
      <c r="C2363" s="5" t="str" cm="1">
        <f t="array" ref="C2363">_xlfn.IFS(worksheet[[#This Row],[age]]&lt;25,"1. Young Adulthood (18-24)",worksheet[[#This Row],[age]]&lt; 35,"2. Early Adulthood (25-34)",worksheet[[#This Row],[age]]&lt; 45,"3. Mid Adulthood (35-44)",worksheet[[#This Row],[age]]&lt; 55,"4. Mature Adulthood (45-54)",TRUE,"5. Late Adulthood/Senior (55+)")</f>
        <v>3. Mid Adulthood (35-44)</v>
      </c>
      <c r="D2363" t="s">
        <v>41</v>
      </c>
      <c r="E2363" t="s">
        <v>32</v>
      </c>
      <c r="F2363" s="4">
        <v>0.05</v>
      </c>
      <c r="G2363" s="5">
        <v>33</v>
      </c>
      <c r="H2363" t="s">
        <v>23</v>
      </c>
      <c r="I2363" t="s">
        <v>57</v>
      </c>
      <c r="J2363" s="6">
        <v>17.989999999999998</v>
      </c>
      <c r="K2363">
        <v>1</v>
      </c>
      <c r="L2363" t="s">
        <v>37</v>
      </c>
      <c r="M2363" s="5">
        <v>4</v>
      </c>
      <c r="N2363" s="4">
        <v>0</v>
      </c>
      <c r="O2363" t="s">
        <v>25</v>
      </c>
    </row>
    <row r="2364" spans="1:15" x14ac:dyDescent="0.3">
      <c r="A2364" t="s">
        <v>3943</v>
      </c>
      <c r="B2364" s="5">
        <v>40</v>
      </c>
      <c r="C2364" s="5" t="str" cm="1">
        <f t="array" ref="C2364">_xlfn.IFS(worksheet[[#This Row],[age]]&lt;25,"1. Young Adulthood (18-24)",worksheet[[#This Row],[age]]&lt; 35,"2. Early Adulthood (25-34)",worksheet[[#This Row],[age]]&lt; 45,"3. Mid Adulthood (35-44)",worksheet[[#This Row],[age]]&lt; 55,"4. Mature Adulthood (45-54)",TRUE,"5. Late Adulthood/Senior (55+)")</f>
        <v>3. Mid Adulthood (35-44)</v>
      </c>
      <c r="D2364" t="s">
        <v>27</v>
      </c>
      <c r="E2364" t="s">
        <v>32</v>
      </c>
      <c r="F2364" s="4">
        <v>2.66</v>
      </c>
      <c r="G2364" s="5">
        <v>52</v>
      </c>
      <c r="H2364" t="s">
        <v>49</v>
      </c>
      <c r="I2364" t="s">
        <v>46</v>
      </c>
      <c r="J2364" s="6">
        <v>17.989999999999998</v>
      </c>
      <c r="K2364">
        <v>1</v>
      </c>
      <c r="L2364" t="s">
        <v>43</v>
      </c>
      <c r="M2364" s="5">
        <v>1</v>
      </c>
      <c r="N2364" s="4">
        <v>0.05</v>
      </c>
      <c r="O2364" t="s">
        <v>39</v>
      </c>
    </row>
    <row r="2365" spans="1:15" x14ac:dyDescent="0.3">
      <c r="A2365" t="s">
        <v>3949</v>
      </c>
      <c r="B2365" s="5">
        <v>37</v>
      </c>
      <c r="C2365" s="5" t="str" cm="1">
        <f t="array" ref="C2365">_xlfn.IFS(worksheet[[#This Row],[age]]&lt;25,"1. Young Adulthood (18-24)",worksheet[[#This Row],[age]]&lt; 35,"2. Early Adulthood (25-34)",worksheet[[#This Row],[age]]&lt; 45,"3. Mid Adulthood (35-44)",worksheet[[#This Row],[age]]&lt; 55,"4. Mature Adulthood (45-54)",TRUE,"5. Late Adulthood/Senior (55+)")</f>
        <v>3. Mid Adulthood (35-44)</v>
      </c>
      <c r="D2365" t="s">
        <v>27</v>
      </c>
      <c r="E2365" t="s">
        <v>16</v>
      </c>
      <c r="F2365" s="4">
        <v>18.86</v>
      </c>
      <c r="G2365" s="5">
        <v>42</v>
      </c>
      <c r="H2365" t="s">
        <v>23</v>
      </c>
      <c r="I2365" t="s">
        <v>57</v>
      </c>
      <c r="J2365" s="6">
        <v>8.99</v>
      </c>
      <c r="K2365">
        <v>1</v>
      </c>
      <c r="L2365" t="s">
        <v>43</v>
      </c>
      <c r="M2365" s="5">
        <v>5</v>
      </c>
      <c r="N2365" s="4">
        <v>0.44</v>
      </c>
      <c r="O2365" t="s">
        <v>47</v>
      </c>
    </row>
    <row r="2366" spans="1:15" x14ac:dyDescent="0.3">
      <c r="A2366" t="s">
        <v>3952</v>
      </c>
      <c r="B2366" s="5">
        <v>37</v>
      </c>
      <c r="C2366" s="5" t="str" cm="1">
        <f t="array" ref="C2366">_xlfn.IFS(worksheet[[#This Row],[age]]&lt;25,"1. Young Adulthood (18-24)",worksheet[[#This Row],[age]]&lt; 35,"2. Early Adulthood (25-34)",worksheet[[#This Row],[age]]&lt; 45,"3. Mid Adulthood (35-44)",worksheet[[#This Row],[age]]&lt; 55,"4. Mature Adulthood (45-54)",TRUE,"5. Late Adulthood/Senior (55+)")</f>
        <v>3. Mid Adulthood (35-44)</v>
      </c>
      <c r="D2366" t="s">
        <v>15</v>
      </c>
      <c r="E2366" t="s">
        <v>22</v>
      </c>
      <c r="F2366" s="4">
        <v>10.87</v>
      </c>
      <c r="G2366" s="5">
        <v>1</v>
      </c>
      <c r="H2366" t="s">
        <v>33</v>
      </c>
      <c r="I2366" t="s">
        <v>24</v>
      </c>
      <c r="J2366" s="6">
        <v>13.99</v>
      </c>
      <c r="K2366">
        <v>0</v>
      </c>
      <c r="L2366" t="s">
        <v>19</v>
      </c>
      <c r="M2366" s="5">
        <v>5</v>
      </c>
      <c r="N2366" s="4">
        <v>5.43</v>
      </c>
      <c r="O2366" t="s">
        <v>52</v>
      </c>
    </row>
    <row r="2367" spans="1:15" x14ac:dyDescent="0.3">
      <c r="A2367" t="s">
        <v>3953</v>
      </c>
      <c r="B2367" s="5">
        <v>42</v>
      </c>
      <c r="C2367" s="5" t="str" cm="1">
        <f t="array" ref="C2367">_xlfn.IFS(worksheet[[#This Row],[age]]&lt;25,"1. Young Adulthood (18-24)",worksheet[[#This Row],[age]]&lt; 35,"2. Early Adulthood (25-34)",worksheet[[#This Row],[age]]&lt; 45,"3. Mid Adulthood (35-44)",worksheet[[#This Row],[age]]&lt; 55,"4. Mature Adulthood (45-54)",TRUE,"5. Late Adulthood/Senior (55+)")</f>
        <v>3. Mid Adulthood (35-44)</v>
      </c>
      <c r="D2367" t="s">
        <v>27</v>
      </c>
      <c r="E2367" t="s">
        <v>22</v>
      </c>
      <c r="F2367" s="4">
        <v>33.479999999999997</v>
      </c>
      <c r="G2367" s="5">
        <v>16</v>
      </c>
      <c r="H2367" t="s">
        <v>23</v>
      </c>
      <c r="I2367" t="s">
        <v>55</v>
      </c>
      <c r="J2367" s="6">
        <v>13.99</v>
      </c>
      <c r="K2367">
        <v>0</v>
      </c>
      <c r="L2367" t="s">
        <v>37</v>
      </c>
      <c r="M2367" s="5">
        <v>2</v>
      </c>
      <c r="N2367" s="4">
        <v>1.97</v>
      </c>
      <c r="O2367" t="s">
        <v>20</v>
      </c>
    </row>
    <row r="2368" spans="1:15" x14ac:dyDescent="0.3">
      <c r="A2368" t="s">
        <v>3963</v>
      </c>
      <c r="B2368" s="5">
        <v>40</v>
      </c>
      <c r="C2368" s="5" t="str" cm="1">
        <f t="array" ref="C2368">_xlfn.IFS(worksheet[[#This Row],[age]]&lt;25,"1. Young Adulthood (18-24)",worksheet[[#This Row],[age]]&lt; 35,"2. Early Adulthood (25-34)",worksheet[[#This Row],[age]]&lt; 45,"3. Mid Adulthood (35-44)",worksheet[[#This Row],[age]]&lt; 55,"4. Mature Adulthood (45-54)",TRUE,"5. Late Adulthood/Senior (55+)")</f>
        <v>3. Mid Adulthood (35-44)</v>
      </c>
      <c r="D2368" t="s">
        <v>15</v>
      </c>
      <c r="E2368" t="s">
        <v>32</v>
      </c>
      <c r="F2368" s="4">
        <v>2.2799999999999998</v>
      </c>
      <c r="G2368" s="5">
        <v>37</v>
      </c>
      <c r="H2368" t="s">
        <v>17</v>
      </c>
      <c r="I2368" t="s">
        <v>46</v>
      </c>
      <c r="J2368" s="6">
        <v>17.989999999999998</v>
      </c>
      <c r="K2368">
        <v>1</v>
      </c>
      <c r="L2368" t="s">
        <v>19</v>
      </c>
      <c r="M2368" s="5">
        <v>2</v>
      </c>
      <c r="N2368" s="4">
        <v>0.06</v>
      </c>
      <c r="O2368" t="s">
        <v>20</v>
      </c>
    </row>
    <row r="2369" spans="1:15" x14ac:dyDescent="0.3">
      <c r="A2369" t="s">
        <v>3967</v>
      </c>
      <c r="B2369" s="5">
        <v>39</v>
      </c>
      <c r="C2369" s="5" t="str" cm="1">
        <f t="array" ref="C2369">_xlfn.IFS(worksheet[[#This Row],[age]]&lt;25,"1. Young Adulthood (18-24)",worksheet[[#This Row],[age]]&lt; 35,"2. Early Adulthood (25-34)",worksheet[[#This Row],[age]]&lt; 45,"3. Mid Adulthood (35-44)",worksheet[[#This Row],[age]]&lt; 55,"4. Mature Adulthood (45-54)",TRUE,"5. Late Adulthood/Senior (55+)")</f>
        <v>3. Mid Adulthood (35-44)</v>
      </c>
      <c r="D2369" t="s">
        <v>15</v>
      </c>
      <c r="E2369" t="s">
        <v>16</v>
      </c>
      <c r="F2369" s="4">
        <v>9.89</v>
      </c>
      <c r="G2369" s="5">
        <v>45</v>
      </c>
      <c r="H2369" t="s">
        <v>17</v>
      </c>
      <c r="I2369" t="s">
        <v>24</v>
      </c>
      <c r="J2369" s="6">
        <v>8.99</v>
      </c>
      <c r="K2369">
        <v>1</v>
      </c>
      <c r="L2369" t="s">
        <v>19</v>
      </c>
      <c r="M2369" s="5">
        <v>4</v>
      </c>
      <c r="N2369" s="4">
        <v>0.22</v>
      </c>
      <c r="O2369" t="s">
        <v>52</v>
      </c>
    </row>
    <row r="2370" spans="1:15" x14ac:dyDescent="0.3">
      <c r="A2370" t="s">
        <v>3979</v>
      </c>
      <c r="B2370" s="5">
        <v>41</v>
      </c>
      <c r="C2370" s="5" t="str" cm="1">
        <f t="array" ref="C2370">_xlfn.IFS(worksheet[[#This Row],[age]]&lt;25,"1. Young Adulthood (18-24)",worksheet[[#This Row],[age]]&lt; 35,"2. Early Adulthood (25-34)",worksheet[[#This Row],[age]]&lt; 45,"3. Mid Adulthood (35-44)",worksheet[[#This Row],[age]]&lt; 55,"4. Mature Adulthood (45-54)",TRUE,"5. Late Adulthood/Senior (55+)")</f>
        <v>3. Mid Adulthood (35-44)</v>
      </c>
      <c r="D2370" t="s">
        <v>41</v>
      </c>
      <c r="E2370" t="s">
        <v>32</v>
      </c>
      <c r="F2370" s="4">
        <v>16.13</v>
      </c>
      <c r="G2370" s="5">
        <v>44</v>
      </c>
      <c r="H2370" t="s">
        <v>28</v>
      </c>
      <c r="I2370" t="s">
        <v>55</v>
      </c>
      <c r="J2370" s="6">
        <v>17.989999999999998</v>
      </c>
      <c r="K2370">
        <v>0</v>
      </c>
      <c r="L2370" t="s">
        <v>37</v>
      </c>
      <c r="M2370" s="5">
        <v>4</v>
      </c>
      <c r="N2370" s="4">
        <v>0.36</v>
      </c>
      <c r="O2370" t="s">
        <v>34</v>
      </c>
    </row>
    <row r="2371" spans="1:15" x14ac:dyDescent="0.3">
      <c r="A2371" t="s">
        <v>3981</v>
      </c>
      <c r="B2371" s="5">
        <v>35</v>
      </c>
      <c r="C2371" s="5" t="str" cm="1">
        <f t="array" ref="C2371">_xlfn.IFS(worksheet[[#This Row],[age]]&lt;25,"1. Young Adulthood (18-24)",worksheet[[#This Row],[age]]&lt; 35,"2. Early Adulthood (25-34)",worksheet[[#This Row],[age]]&lt; 45,"3. Mid Adulthood (35-44)",worksheet[[#This Row],[age]]&lt; 55,"4. Mature Adulthood (45-54)",TRUE,"5. Late Adulthood/Senior (55+)")</f>
        <v>3. Mid Adulthood (35-44)</v>
      </c>
      <c r="D2371" t="s">
        <v>41</v>
      </c>
      <c r="E2371" t="s">
        <v>16</v>
      </c>
      <c r="F2371" s="4">
        <v>43.84</v>
      </c>
      <c r="G2371" s="5">
        <v>24</v>
      </c>
      <c r="H2371" t="s">
        <v>49</v>
      </c>
      <c r="I2371" t="s">
        <v>18</v>
      </c>
      <c r="J2371" s="6">
        <v>8.99</v>
      </c>
      <c r="K2371">
        <v>0</v>
      </c>
      <c r="L2371" t="s">
        <v>19</v>
      </c>
      <c r="M2371" s="5">
        <v>4</v>
      </c>
      <c r="N2371" s="4">
        <v>1.75</v>
      </c>
      <c r="O2371" t="s">
        <v>20</v>
      </c>
    </row>
    <row r="2372" spans="1:15" x14ac:dyDescent="0.3">
      <c r="A2372" t="s">
        <v>3984</v>
      </c>
      <c r="B2372" s="5">
        <v>41</v>
      </c>
      <c r="C2372" s="5" t="str" cm="1">
        <f t="array" ref="C2372">_xlfn.IFS(worksheet[[#This Row],[age]]&lt;25,"1. Young Adulthood (18-24)",worksheet[[#This Row],[age]]&lt; 35,"2. Early Adulthood (25-34)",worksheet[[#This Row],[age]]&lt; 45,"3. Mid Adulthood (35-44)",worksheet[[#This Row],[age]]&lt; 55,"4. Mature Adulthood (45-54)",TRUE,"5. Late Adulthood/Senior (55+)")</f>
        <v>3. Mid Adulthood (35-44)</v>
      </c>
      <c r="D2372" t="s">
        <v>27</v>
      </c>
      <c r="E2372" t="s">
        <v>22</v>
      </c>
      <c r="F2372" s="4">
        <v>7.91</v>
      </c>
      <c r="G2372" s="5">
        <v>41</v>
      </c>
      <c r="H2372" t="s">
        <v>28</v>
      </c>
      <c r="I2372" t="s">
        <v>55</v>
      </c>
      <c r="J2372" s="6">
        <v>13.99</v>
      </c>
      <c r="K2372">
        <v>0</v>
      </c>
      <c r="L2372" t="s">
        <v>43</v>
      </c>
      <c r="M2372" s="5">
        <v>4</v>
      </c>
      <c r="N2372" s="4">
        <v>0.19</v>
      </c>
      <c r="O2372" t="s">
        <v>39</v>
      </c>
    </row>
    <row r="2373" spans="1:15" x14ac:dyDescent="0.3">
      <c r="A2373" t="s">
        <v>3985</v>
      </c>
      <c r="B2373" s="5">
        <v>43</v>
      </c>
      <c r="C2373" s="5" t="str" cm="1">
        <f t="array" ref="C2373">_xlfn.IFS(worksheet[[#This Row],[age]]&lt;25,"1. Young Adulthood (18-24)",worksheet[[#This Row],[age]]&lt; 35,"2. Early Adulthood (25-34)",worksheet[[#This Row],[age]]&lt; 45,"3. Mid Adulthood (35-44)",worksheet[[#This Row],[age]]&lt; 55,"4. Mature Adulthood (45-54)",TRUE,"5. Late Adulthood/Senior (55+)")</f>
        <v>3. Mid Adulthood (35-44)</v>
      </c>
      <c r="D2373" t="s">
        <v>15</v>
      </c>
      <c r="E2373" t="s">
        <v>32</v>
      </c>
      <c r="F2373" s="4">
        <v>7.18</v>
      </c>
      <c r="G2373" s="5">
        <v>5</v>
      </c>
      <c r="H2373" t="s">
        <v>70</v>
      </c>
      <c r="I2373" t="s">
        <v>55</v>
      </c>
      <c r="J2373" s="6">
        <v>17.989999999999998</v>
      </c>
      <c r="K2373">
        <v>0</v>
      </c>
      <c r="L2373" t="s">
        <v>29</v>
      </c>
      <c r="M2373" s="5">
        <v>5</v>
      </c>
      <c r="N2373" s="4">
        <v>1.2</v>
      </c>
      <c r="O2373" t="s">
        <v>25</v>
      </c>
    </row>
    <row r="2374" spans="1:15" x14ac:dyDescent="0.3">
      <c r="A2374" t="s">
        <v>4004</v>
      </c>
      <c r="B2374" s="5">
        <v>43</v>
      </c>
      <c r="C2374" s="5" t="str" cm="1">
        <f t="array" ref="C2374">_xlfn.IFS(worksheet[[#This Row],[age]]&lt;25,"1. Young Adulthood (18-24)",worksheet[[#This Row],[age]]&lt; 35,"2. Early Adulthood (25-34)",worksheet[[#This Row],[age]]&lt; 45,"3. Mid Adulthood (35-44)",worksheet[[#This Row],[age]]&lt; 55,"4. Mature Adulthood (45-54)",TRUE,"5. Late Adulthood/Senior (55+)")</f>
        <v>3. Mid Adulthood (35-44)</v>
      </c>
      <c r="D2374" t="s">
        <v>41</v>
      </c>
      <c r="E2374" t="s">
        <v>22</v>
      </c>
      <c r="F2374" s="4">
        <v>26.79</v>
      </c>
      <c r="G2374" s="5">
        <v>6</v>
      </c>
      <c r="H2374" t="s">
        <v>17</v>
      </c>
      <c r="I2374" t="s">
        <v>18</v>
      </c>
      <c r="J2374" s="6">
        <v>13.99</v>
      </c>
      <c r="K2374">
        <v>0</v>
      </c>
      <c r="L2374" t="s">
        <v>61</v>
      </c>
      <c r="M2374" s="5">
        <v>3</v>
      </c>
      <c r="N2374" s="4">
        <v>3.83</v>
      </c>
      <c r="O2374" t="s">
        <v>47</v>
      </c>
    </row>
    <row r="2375" spans="1:15" x14ac:dyDescent="0.3">
      <c r="A2375" t="s">
        <v>4007</v>
      </c>
      <c r="B2375" s="5">
        <v>42</v>
      </c>
      <c r="C2375" s="5" t="str" cm="1">
        <f t="array" ref="C2375">_xlfn.IFS(worksheet[[#This Row],[age]]&lt;25,"1. Young Adulthood (18-24)",worksheet[[#This Row],[age]]&lt; 35,"2. Early Adulthood (25-34)",worksheet[[#This Row],[age]]&lt; 45,"3. Mid Adulthood (35-44)",worksheet[[#This Row],[age]]&lt; 55,"4. Mature Adulthood (45-54)",TRUE,"5. Late Adulthood/Senior (55+)")</f>
        <v>3. Mid Adulthood (35-44)</v>
      </c>
      <c r="D2375" t="s">
        <v>15</v>
      </c>
      <c r="E2375" t="s">
        <v>22</v>
      </c>
      <c r="F2375" s="4">
        <v>6.91</v>
      </c>
      <c r="G2375" s="5">
        <v>21</v>
      </c>
      <c r="H2375" t="s">
        <v>28</v>
      </c>
      <c r="I2375" t="s">
        <v>24</v>
      </c>
      <c r="J2375" s="6">
        <v>13.99</v>
      </c>
      <c r="K2375">
        <v>0</v>
      </c>
      <c r="L2375" t="s">
        <v>19</v>
      </c>
      <c r="M2375" s="5">
        <v>4</v>
      </c>
      <c r="N2375" s="4">
        <v>0.31</v>
      </c>
      <c r="O2375" t="s">
        <v>30</v>
      </c>
    </row>
    <row r="2376" spans="1:15" x14ac:dyDescent="0.3">
      <c r="A2376" t="s">
        <v>4009</v>
      </c>
      <c r="B2376" s="5">
        <v>37</v>
      </c>
      <c r="C2376" s="5" t="str" cm="1">
        <f t="array" ref="C2376">_xlfn.IFS(worksheet[[#This Row],[age]]&lt;25,"1. Young Adulthood (18-24)",worksheet[[#This Row],[age]]&lt; 35,"2. Early Adulthood (25-34)",worksheet[[#This Row],[age]]&lt; 45,"3. Mid Adulthood (35-44)",worksheet[[#This Row],[age]]&lt; 55,"4. Mature Adulthood (45-54)",TRUE,"5. Late Adulthood/Senior (55+)")</f>
        <v>3. Mid Adulthood (35-44)</v>
      </c>
      <c r="D2376" t="s">
        <v>15</v>
      </c>
      <c r="E2376" t="s">
        <v>16</v>
      </c>
      <c r="F2376" s="4">
        <v>11.16</v>
      </c>
      <c r="G2376" s="5">
        <v>23</v>
      </c>
      <c r="H2376" t="s">
        <v>70</v>
      </c>
      <c r="I2376" t="s">
        <v>57</v>
      </c>
      <c r="J2376" s="6">
        <v>8.99</v>
      </c>
      <c r="K2376">
        <v>0</v>
      </c>
      <c r="L2376" t="s">
        <v>43</v>
      </c>
      <c r="M2376" s="5">
        <v>2</v>
      </c>
      <c r="N2376" s="4">
        <v>0.47</v>
      </c>
      <c r="O2376" t="s">
        <v>52</v>
      </c>
    </row>
    <row r="2377" spans="1:15" x14ac:dyDescent="0.3">
      <c r="A2377" t="s">
        <v>4015</v>
      </c>
      <c r="B2377" s="5">
        <v>43</v>
      </c>
      <c r="C2377" s="5" t="str" cm="1">
        <f t="array" ref="C2377">_xlfn.IFS(worksheet[[#This Row],[age]]&lt;25,"1. Young Adulthood (18-24)",worksheet[[#This Row],[age]]&lt; 35,"2. Early Adulthood (25-34)",worksheet[[#This Row],[age]]&lt; 45,"3. Mid Adulthood (35-44)",worksheet[[#This Row],[age]]&lt; 55,"4. Mature Adulthood (45-54)",TRUE,"5. Late Adulthood/Senior (55+)")</f>
        <v>3. Mid Adulthood (35-44)</v>
      </c>
      <c r="D2377" t="s">
        <v>27</v>
      </c>
      <c r="E2377" t="s">
        <v>22</v>
      </c>
      <c r="F2377" s="4">
        <v>3.16</v>
      </c>
      <c r="G2377" s="5">
        <v>7</v>
      </c>
      <c r="H2377" t="s">
        <v>28</v>
      </c>
      <c r="I2377" t="s">
        <v>24</v>
      </c>
      <c r="J2377" s="6">
        <v>13.99</v>
      </c>
      <c r="K2377">
        <v>1</v>
      </c>
      <c r="L2377" t="s">
        <v>43</v>
      </c>
      <c r="M2377" s="5">
        <v>2</v>
      </c>
      <c r="N2377" s="4">
        <v>0.4</v>
      </c>
      <c r="O2377" t="s">
        <v>25</v>
      </c>
    </row>
    <row r="2378" spans="1:15" x14ac:dyDescent="0.3">
      <c r="A2378" t="s">
        <v>4018</v>
      </c>
      <c r="B2378" s="5">
        <v>40</v>
      </c>
      <c r="C2378" s="5" t="str" cm="1">
        <f t="array" ref="C2378">_xlfn.IFS(worksheet[[#This Row],[age]]&lt;25,"1. Young Adulthood (18-24)",worksheet[[#This Row],[age]]&lt; 35,"2. Early Adulthood (25-34)",worksheet[[#This Row],[age]]&lt; 45,"3. Mid Adulthood (35-44)",worksheet[[#This Row],[age]]&lt; 55,"4. Mature Adulthood (45-54)",TRUE,"5. Late Adulthood/Senior (55+)")</f>
        <v>3. Mid Adulthood (35-44)</v>
      </c>
      <c r="D2378" t="s">
        <v>41</v>
      </c>
      <c r="E2378" t="s">
        <v>16</v>
      </c>
      <c r="F2378" s="4">
        <v>4.92</v>
      </c>
      <c r="G2378" s="5">
        <v>30</v>
      </c>
      <c r="H2378" t="s">
        <v>70</v>
      </c>
      <c r="I2378" t="s">
        <v>57</v>
      </c>
      <c r="J2378" s="6">
        <v>8.99</v>
      </c>
      <c r="K2378">
        <v>1</v>
      </c>
      <c r="L2378" t="s">
        <v>61</v>
      </c>
      <c r="M2378" s="5">
        <v>5</v>
      </c>
      <c r="N2378" s="4">
        <v>0.16</v>
      </c>
      <c r="O2378" t="s">
        <v>52</v>
      </c>
    </row>
    <row r="2379" spans="1:15" x14ac:dyDescent="0.3">
      <c r="A2379" t="s">
        <v>4023</v>
      </c>
      <c r="B2379" s="5">
        <v>39</v>
      </c>
      <c r="C2379" s="5" t="str" cm="1">
        <f t="array" ref="C2379">_xlfn.IFS(worksheet[[#This Row],[age]]&lt;25,"1. Young Adulthood (18-24)",worksheet[[#This Row],[age]]&lt; 35,"2. Early Adulthood (25-34)",worksheet[[#This Row],[age]]&lt; 45,"3. Mid Adulthood (35-44)",worksheet[[#This Row],[age]]&lt; 55,"4. Mature Adulthood (45-54)",TRUE,"5. Late Adulthood/Senior (55+)")</f>
        <v>3. Mid Adulthood (35-44)</v>
      </c>
      <c r="D2379" t="s">
        <v>15</v>
      </c>
      <c r="E2379" t="s">
        <v>22</v>
      </c>
      <c r="F2379" s="4">
        <v>0.75</v>
      </c>
      <c r="G2379" s="5">
        <v>27</v>
      </c>
      <c r="H2379" t="s">
        <v>17</v>
      </c>
      <c r="I2379" t="s">
        <v>46</v>
      </c>
      <c r="J2379" s="6">
        <v>13.99</v>
      </c>
      <c r="K2379">
        <v>1</v>
      </c>
      <c r="L2379" t="s">
        <v>29</v>
      </c>
      <c r="M2379" s="5">
        <v>4</v>
      </c>
      <c r="N2379" s="4">
        <v>0.03</v>
      </c>
      <c r="O2379" t="s">
        <v>39</v>
      </c>
    </row>
    <row r="2380" spans="1:15" x14ac:dyDescent="0.3">
      <c r="A2380" t="s">
        <v>4043</v>
      </c>
      <c r="B2380" s="5">
        <v>36</v>
      </c>
      <c r="C2380" s="5" t="str" cm="1">
        <f t="array" ref="C2380">_xlfn.IFS(worksheet[[#This Row],[age]]&lt;25,"1. Young Adulthood (18-24)",worksheet[[#This Row],[age]]&lt; 35,"2. Early Adulthood (25-34)",worksheet[[#This Row],[age]]&lt; 45,"3. Mid Adulthood (35-44)",worksheet[[#This Row],[age]]&lt; 55,"4. Mature Adulthood (45-54)",TRUE,"5. Late Adulthood/Senior (55+)")</f>
        <v>3. Mid Adulthood (35-44)</v>
      </c>
      <c r="D2380" t="s">
        <v>41</v>
      </c>
      <c r="E2380" t="s">
        <v>16</v>
      </c>
      <c r="F2380" s="4">
        <v>0.38</v>
      </c>
      <c r="G2380" s="5">
        <v>44</v>
      </c>
      <c r="H2380" t="s">
        <v>33</v>
      </c>
      <c r="I2380" t="s">
        <v>46</v>
      </c>
      <c r="J2380" s="6">
        <v>8.99</v>
      </c>
      <c r="K2380">
        <v>1</v>
      </c>
      <c r="L2380" t="s">
        <v>29</v>
      </c>
      <c r="M2380" s="5">
        <v>2</v>
      </c>
      <c r="N2380" s="4">
        <v>0.01</v>
      </c>
      <c r="O2380" t="s">
        <v>47</v>
      </c>
    </row>
    <row r="2381" spans="1:15" x14ac:dyDescent="0.3">
      <c r="A2381" t="s">
        <v>4050</v>
      </c>
      <c r="B2381" s="5">
        <v>44</v>
      </c>
      <c r="C2381" s="5" t="str" cm="1">
        <f t="array" ref="C2381">_xlfn.IFS(worksheet[[#This Row],[age]]&lt;25,"1. Young Adulthood (18-24)",worksheet[[#This Row],[age]]&lt; 35,"2. Early Adulthood (25-34)",worksheet[[#This Row],[age]]&lt; 45,"3. Mid Adulthood (35-44)",worksheet[[#This Row],[age]]&lt; 55,"4. Mature Adulthood (45-54)",TRUE,"5. Late Adulthood/Senior (55+)")</f>
        <v>3. Mid Adulthood (35-44)</v>
      </c>
      <c r="D2381" t="s">
        <v>27</v>
      </c>
      <c r="E2381" t="s">
        <v>16</v>
      </c>
      <c r="F2381" s="4">
        <v>6</v>
      </c>
      <c r="G2381" s="5">
        <v>44</v>
      </c>
      <c r="H2381" t="s">
        <v>23</v>
      </c>
      <c r="I2381" t="s">
        <v>46</v>
      </c>
      <c r="J2381" s="6">
        <v>8.99</v>
      </c>
      <c r="K2381">
        <v>1</v>
      </c>
      <c r="L2381" t="s">
        <v>29</v>
      </c>
      <c r="M2381" s="5">
        <v>4</v>
      </c>
      <c r="N2381" s="4">
        <v>0.13</v>
      </c>
      <c r="O2381" t="s">
        <v>34</v>
      </c>
    </row>
    <row r="2382" spans="1:15" x14ac:dyDescent="0.3">
      <c r="A2382" t="s">
        <v>4053</v>
      </c>
      <c r="B2382" s="5">
        <v>41</v>
      </c>
      <c r="C2382" s="5" t="str" cm="1">
        <f t="array" ref="C2382">_xlfn.IFS(worksheet[[#This Row],[age]]&lt;25,"1. Young Adulthood (18-24)",worksheet[[#This Row],[age]]&lt; 35,"2. Early Adulthood (25-34)",worksheet[[#This Row],[age]]&lt; 45,"3. Mid Adulthood (35-44)",worksheet[[#This Row],[age]]&lt; 55,"4. Mature Adulthood (45-54)",TRUE,"5. Late Adulthood/Senior (55+)")</f>
        <v>3. Mid Adulthood (35-44)</v>
      </c>
      <c r="D2382" t="s">
        <v>27</v>
      </c>
      <c r="E2382" t="s">
        <v>22</v>
      </c>
      <c r="F2382" s="4">
        <v>4.13</v>
      </c>
      <c r="G2382" s="5">
        <v>26</v>
      </c>
      <c r="H2382" t="s">
        <v>28</v>
      </c>
      <c r="I2382" t="s">
        <v>18</v>
      </c>
      <c r="J2382" s="6">
        <v>13.99</v>
      </c>
      <c r="K2382">
        <v>1</v>
      </c>
      <c r="L2382" t="s">
        <v>43</v>
      </c>
      <c r="M2382" s="5">
        <v>3</v>
      </c>
      <c r="N2382" s="4">
        <v>0.15</v>
      </c>
      <c r="O2382" t="s">
        <v>34</v>
      </c>
    </row>
    <row r="2383" spans="1:15" x14ac:dyDescent="0.3">
      <c r="A2383" s="1" t="s">
        <v>4054</v>
      </c>
      <c r="B2383" s="5">
        <v>42</v>
      </c>
      <c r="C2383" s="5" t="str" cm="1">
        <f t="array" ref="C2383">_xlfn.IFS(worksheet[[#This Row],[age]]&lt;25,"1. Young Adulthood (18-24)",worksheet[[#This Row],[age]]&lt; 35,"2. Early Adulthood (25-34)",worksheet[[#This Row],[age]]&lt; 45,"3. Mid Adulthood (35-44)",worksheet[[#This Row],[age]]&lt; 55,"4. Mature Adulthood (45-54)",TRUE,"5. Late Adulthood/Senior (55+)")</f>
        <v>3. Mid Adulthood (35-44)</v>
      </c>
      <c r="D2383" t="s">
        <v>15</v>
      </c>
      <c r="E2383" t="s">
        <v>32</v>
      </c>
      <c r="F2383" s="4">
        <v>0.15</v>
      </c>
      <c r="G2383" s="5">
        <v>5</v>
      </c>
      <c r="H2383" t="s">
        <v>49</v>
      </c>
      <c r="I2383" t="s">
        <v>57</v>
      </c>
      <c r="J2383" s="6">
        <v>17.989999999999998</v>
      </c>
      <c r="K2383">
        <v>0</v>
      </c>
      <c r="L2383" t="s">
        <v>37</v>
      </c>
      <c r="M2383" s="5">
        <v>4</v>
      </c>
      <c r="N2383" s="4">
        <v>0.02</v>
      </c>
      <c r="O2383" t="s">
        <v>25</v>
      </c>
    </row>
    <row r="2384" spans="1:15" x14ac:dyDescent="0.3">
      <c r="A2384" t="s">
        <v>4060</v>
      </c>
      <c r="B2384" s="5">
        <v>35</v>
      </c>
      <c r="C2384" s="5" t="str" cm="1">
        <f t="array" ref="C2384">_xlfn.IFS(worksheet[[#This Row],[age]]&lt;25,"1. Young Adulthood (18-24)",worksheet[[#This Row],[age]]&lt; 35,"2. Early Adulthood (25-34)",worksheet[[#This Row],[age]]&lt; 45,"3. Mid Adulthood (35-44)",worksheet[[#This Row],[age]]&lt; 55,"4. Mature Adulthood (45-54)",TRUE,"5. Late Adulthood/Senior (55+)")</f>
        <v>3. Mid Adulthood (35-44)</v>
      </c>
      <c r="D2384" t="s">
        <v>27</v>
      </c>
      <c r="E2384" t="s">
        <v>16</v>
      </c>
      <c r="F2384" s="4">
        <v>1.1000000000000001</v>
      </c>
      <c r="G2384" s="5">
        <v>25</v>
      </c>
      <c r="H2384" t="s">
        <v>70</v>
      </c>
      <c r="I2384" t="s">
        <v>46</v>
      </c>
      <c r="J2384" s="6">
        <v>8.99</v>
      </c>
      <c r="K2384">
        <v>1</v>
      </c>
      <c r="L2384" t="s">
        <v>43</v>
      </c>
      <c r="M2384" s="5">
        <v>2</v>
      </c>
      <c r="N2384" s="4">
        <v>0.04</v>
      </c>
      <c r="O2384" t="s">
        <v>34</v>
      </c>
    </row>
    <row r="2385" spans="1:15" x14ac:dyDescent="0.3">
      <c r="A2385" s="1" t="s">
        <v>4062</v>
      </c>
      <c r="B2385" s="5">
        <v>35</v>
      </c>
      <c r="C2385" s="5" t="str" cm="1">
        <f t="array" ref="C2385">_xlfn.IFS(worksheet[[#This Row],[age]]&lt;25,"1. Young Adulthood (18-24)",worksheet[[#This Row],[age]]&lt; 35,"2. Early Adulthood (25-34)",worksheet[[#This Row],[age]]&lt; 45,"3. Mid Adulthood (35-44)",worksheet[[#This Row],[age]]&lt; 55,"4. Mature Adulthood (45-54)",TRUE,"5. Late Adulthood/Senior (55+)")</f>
        <v>3. Mid Adulthood (35-44)</v>
      </c>
      <c r="D2385" t="s">
        <v>27</v>
      </c>
      <c r="E2385" t="s">
        <v>16</v>
      </c>
      <c r="F2385" s="4">
        <v>1.1000000000000001</v>
      </c>
      <c r="G2385" s="5">
        <v>35</v>
      </c>
      <c r="H2385" t="s">
        <v>17</v>
      </c>
      <c r="I2385" t="s">
        <v>18</v>
      </c>
      <c r="J2385" s="6">
        <v>8.99</v>
      </c>
      <c r="K2385">
        <v>1</v>
      </c>
      <c r="L2385" t="s">
        <v>43</v>
      </c>
      <c r="M2385" s="5">
        <v>2</v>
      </c>
      <c r="N2385" s="4">
        <v>0.03</v>
      </c>
      <c r="O2385" t="s">
        <v>25</v>
      </c>
    </row>
    <row r="2386" spans="1:15" x14ac:dyDescent="0.3">
      <c r="A2386" t="s">
        <v>4063</v>
      </c>
      <c r="B2386" s="5">
        <v>35</v>
      </c>
      <c r="C2386" s="5" t="str" cm="1">
        <f t="array" ref="C2386">_xlfn.IFS(worksheet[[#This Row],[age]]&lt;25,"1. Young Adulthood (18-24)",worksheet[[#This Row],[age]]&lt; 35,"2. Early Adulthood (25-34)",worksheet[[#This Row],[age]]&lt; 45,"3. Mid Adulthood (35-44)",worksheet[[#This Row],[age]]&lt; 55,"4. Mature Adulthood (45-54)",TRUE,"5. Late Adulthood/Senior (55+)")</f>
        <v>3. Mid Adulthood (35-44)</v>
      </c>
      <c r="D2386" t="s">
        <v>27</v>
      </c>
      <c r="E2386" t="s">
        <v>16</v>
      </c>
      <c r="F2386" s="4">
        <v>37.93</v>
      </c>
      <c r="G2386" s="5">
        <v>14</v>
      </c>
      <c r="H2386" t="s">
        <v>17</v>
      </c>
      <c r="I2386" t="s">
        <v>55</v>
      </c>
      <c r="J2386" s="6">
        <v>8.99</v>
      </c>
      <c r="K2386">
        <v>0</v>
      </c>
      <c r="L2386" t="s">
        <v>29</v>
      </c>
      <c r="M2386" s="5">
        <v>4</v>
      </c>
      <c r="N2386" s="4">
        <v>2.5299999999999998</v>
      </c>
      <c r="O2386" t="s">
        <v>39</v>
      </c>
    </row>
    <row r="2387" spans="1:15" x14ac:dyDescent="0.3">
      <c r="A2387" t="s">
        <v>4065</v>
      </c>
      <c r="B2387" s="5">
        <v>43</v>
      </c>
      <c r="C2387" s="5" t="str" cm="1">
        <f t="array" ref="C2387">_xlfn.IFS(worksheet[[#This Row],[age]]&lt;25,"1. Young Adulthood (18-24)",worksheet[[#This Row],[age]]&lt; 35,"2. Early Adulthood (25-34)",worksheet[[#This Row],[age]]&lt; 45,"3. Mid Adulthood (35-44)",worksheet[[#This Row],[age]]&lt; 55,"4. Mature Adulthood (45-54)",TRUE,"5. Late Adulthood/Senior (55+)")</f>
        <v>3. Mid Adulthood (35-44)</v>
      </c>
      <c r="D2387" t="s">
        <v>41</v>
      </c>
      <c r="E2387" t="s">
        <v>32</v>
      </c>
      <c r="F2387" s="4">
        <v>13.49</v>
      </c>
      <c r="G2387" s="5">
        <v>8</v>
      </c>
      <c r="H2387" t="s">
        <v>23</v>
      </c>
      <c r="I2387" t="s">
        <v>55</v>
      </c>
      <c r="J2387" s="6">
        <v>17.989999999999998</v>
      </c>
      <c r="K2387">
        <v>0</v>
      </c>
      <c r="L2387" t="s">
        <v>19</v>
      </c>
      <c r="M2387" s="5">
        <v>4</v>
      </c>
      <c r="N2387" s="4">
        <v>1.5</v>
      </c>
      <c r="O2387" t="s">
        <v>52</v>
      </c>
    </row>
    <row r="2388" spans="1:15" x14ac:dyDescent="0.3">
      <c r="A2388" t="s">
        <v>4084</v>
      </c>
      <c r="B2388" s="5">
        <v>39</v>
      </c>
      <c r="C2388" s="5" t="str" cm="1">
        <f t="array" ref="C2388">_xlfn.IFS(worksheet[[#This Row],[age]]&lt;25,"1. Young Adulthood (18-24)",worksheet[[#This Row],[age]]&lt; 35,"2. Early Adulthood (25-34)",worksheet[[#This Row],[age]]&lt; 45,"3. Mid Adulthood (35-44)",worksheet[[#This Row],[age]]&lt; 55,"4. Mature Adulthood (45-54)",TRUE,"5. Late Adulthood/Senior (55+)")</f>
        <v>3. Mid Adulthood (35-44)</v>
      </c>
      <c r="D2388" t="s">
        <v>27</v>
      </c>
      <c r="E2388" t="s">
        <v>22</v>
      </c>
      <c r="F2388" s="4">
        <v>2.76</v>
      </c>
      <c r="G2388" s="5">
        <v>1</v>
      </c>
      <c r="H2388" t="s">
        <v>49</v>
      </c>
      <c r="I2388" t="s">
        <v>24</v>
      </c>
      <c r="J2388" s="6">
        <v>13.99</v>
      </c>
      <c r="K2388">
        <v>0</v>
      </c>
      <c r="L2388" t="s">
        <v>43</v>
      </c>
      <c r="M2388" s="5">
        <v>3</v>
      </c>
      <c r="N2388" s="4">
        <v>1.38</v>
      </c>
      <c r="O2388" t="s">
        <v>52</v>
      </c>
    </row>
    <row r="2389" spans="1:15" x14ac:dyDescent="0.3">
      <c r="A2389" t="s">
        <v>4108</v>
      </c>
      <c r="B2389" s="5">
        <v>42</v>
      </c>
      <c r="C2389" s="5" t="str" cm="1">
        <f t="array" ref="C2389">_xlfn.IFS(worksheet[[#This Row],[age]]&lt;25,"1. Young Adulthood (18-24)",worksheet[[#This Row],[age]]&lt; 35,"2. Early Adulthood (25-34)",worksheet[[#This Row],[age]]&lt; 45,"3. Mid Adulthood (35-44)",worksheet[[#This Row],[age]]&lt; 55,"4. Mature Adulthood (45-54)",TRUE,"5. Late Adulthood/Senior (55+)")</f>
        <v>3. Mid Adulthood (35-44)</v>
      </c>
      <c r="D2389" t="s">
        <v>41</v>
      </c>
      <c r="E2389" t="s">
        <v>32</v>
      </c>
      <c r="F2389" s="4">
        <v>22.19</v>
      </c>
      <c r="G2389" s="5">
        <v>6</v>
      </c>
      <c r="H2389" t="s">
        <v>28</v>
      </c>
      <c r="I2389" t="s">
        <v>55</v>
      </c>
      <c r="J2389" s="6">
        <v>17.989999999999998</v>
      </c>
      <c r="K2389">
        <v>0</v>
      </c>
      <c r="L2389" t="s">
        <v>43</v>
      </c>
      <c r="M2389" s="5">
        <v>2</v>
      </c>
      <c r="N2389" s="4">
        <v>3.17</v>
      </c>
      <c r="O2389" t="s">
        <v>25</v>
      </c>
    </row>
    <row r="2390" spans="1:15" x14ac:dyDescent="0.3">
      <c r="A2390" t="s">
        <v>4116</v>
      </c>
      <c r="B2390" s="5">
        <v>37</v>
      </c>
      <c r="C2390" s="5" t="str" cm="1">
        <f t="array" ref="C2390">_xlfn.IFS(worksheet[[#This Row],[age]]&lt;25,"1. Young Adulthood (18-24)",worksheet[[#This Row],[age]]&lt; 35,"2. Early Adulthood (25-34)",worksheet[[#This Row],[age]]&lt; 45,"3. Mid Adulthood (35-44)",worksheet[[#This Row],[age]]&lt; 55,"4. Mature Adulthood (45-54)",TRUE,"5. Late Adulthood/Senior (55+)")</f>
        <v>3. Mid Adulthood (35-44)</v>
      </c>
      <c r="D2390" t="s">
        <v>41</v>
      </c>
      <c r="E2390" t="s">
        <v>32</v>
      </c>
      <c r="F2390" s="4">
        <v>0.64</v>
      </c>
      <c r="G2390" s="5">
        <v>10</v>
      </c>
      <c r="H2390" t="s">
        <v>23</v>
      </c>
      <c r="I2390" t="s">
        <v>55</v>
      </c>
      <c r="J2390" s="6">
        <v>17.989999999999998</v>
      </c>
      <c r="K2390">
        <v>1</v>
      </c>
      <c r="L2390" t="s">
        <v>19</v>
      </c>
      <c r="M2390" s="5">
        <v>5</v>
      </c>
      <c r="N2390" s="4">
        <v>0.06</v>
      </c>
      <c r="O2390" t="s">
        <v>47</v>
      </c>
    </row>
    <row r="2391" spans="1:15" x14ac:dyDescent="0.3">
      <c r="A2391" t="s">
        <v>4120</v>
      </c>
      <c r="B2391" s="5">
        <v>43</v>
      </c>
      <c r="C2391" s="5" t="str" cm="1">
        <f t="array" ref="C2391">_xlfn.IFS(worksheet[[#This Row],[age]]&lt;25,"1. Young Adulthood (18-24)",worksheet[[#This Row],[age]]&lt; 35,"2. Early Adulthood (25-34)",worksheet[[#This Row],[age]]&lt; 45,"3. Mid Adulthood (35-44)",worksheet[[#This Row],[age]]&lt; 55,"4. Mature Adulthood (45-54)",TRUE,"5. Late Adulthood/Senior (55+)")</f>
        <v>3. Mid Adulthood (35-44)</v>
      </c>
      <c r="D2391" t="s">
        <v>27</v>
      </c>
      <c r="E2391" t="s">
        <v>32</v>
      </c>
      <c r="F2391" s="4">
        <v>12.51</v>
      </c>
      <c r="G2391" s="5">
        <v>47</v>
      </c>
      <c r="H2391" t="s">
        <v>33</v>
      </c>
      <c r="I2391" t="s">
        <v>18</v>
      </c>
      <c r="J2391" s="6">
        <v>17.989999999999998</v>
      </c>
      <c r="K2391">
        <v>1</v>
      </c>
      <c r="L2391" t="s">
        <v>61</v>
      </c>
      <c r="M2391" s="5">
        <v>1</v>
      </c>
      <c r="N2391" s="4">
        <v>0.26</v>
      </c>
      <c r="O2391" t="s">
        <v>20</v>
      </c>
    </row>
    <row r="2392" spans="1:15" x14ac:dyDescent="0.3">
      <c r="A2392" t="s">
        <v>4125</v>
      </c>
      <c r="B2392" s="5">
        <v>42</v>
      </c>
      <c r="C2392" s="5" t="str" cm="1">
        <f t="array" ref="C2392">_xlfn.IFS(worksheet[[#This Row],[age]]&lt;25,"1. Young Adulthood (18-24)",worksheet[[#This Row],[age]]&lt; 35,"2. Early Adulthood (25-34)",worksheet[[#This Row],[age]]&lt; 45,"3. Mid Adulthood (35-44)",worksheet[[#This Row],[age]]&lt; 55,"4. Mature Adulthood (45-54)",TRUE,"5. Late Adulthood/Senior (55+)")</f>
        <v>3. Mid Adulthood (35-44)</v>
      </c>
      <c r="D2392" t="s">
        <v>15</v>
      </c>
      <c r="E2392" t="s">
        <v>32</v>
      </c>
      <c r="F2392" s="4">
        <v>6.34</v>
      </c>
      <c r="G2392" s="5">
        <v>28</v>
      </c>
      <c r="H2392" t="s">
        <v>28</v>
      </c>
      <c r="I2392" t="s">
        <v>18</v>
      </c>
      <c r="J2392" s="6">
        <v>17.989999999999998</v>
      </c>
      <c r="K2392">
        <v>0</v>
      </c>
      <c r="L2392" t="s">
        <v>19</v>
      </c>
      <c r="M2392" s="5">
        <v>1</v>
      </c>
      <c r="N2392" s="4">
        <v>0.22</v>
      </c>
      <c r="O2392" t="s">
        <v>52</v>
      </c>
    </row>
    <row r="2393" spans="1:15" x14ac:dyDescent="0.3">
      <c r="A2393" t="s">
        <v>4128</v>
      </c>
      <c r="B2393" s="5">
        <v>35</v>
      </c>
      <c r="C2393" s="5" t="str" cm="1">
        <f t="array" ref="C2393">_xlfn.IFS(worksheet[[#This Row],[age]]&lt;25,"1. Young Adulthood (18-24)",worksheet[[#This Row],[age]]&lt; 35,"2. Early Adulthood (25-34)",worksheet[[#This Row],[age]]&lt; 45,"3. Mid Adulthood (35-44)",worksheet[[#This Row],[age]]&lt; 55,"4. Mature Adulthood (45-54)",TRUE,"5. Late Adulthood/Senior (55+)")</f>
        <v>3. Mid Adulthood (35-44)</v>
      </c>
      <c r="D2393" t="s">
        <v>41</v>
      </c>
      <c r="E2393" t="s">
        <v>22</v>
      </c>
      <c r="F2393" s="4">
        <v>32.86</v>
      </c>
      <c r="G2393" s="5">
        <v>25</v>
      </c>
      <c r="H2393" t="s">
        <v>33</v>
      </c>
      <c r="I2393" t="s">
        <v>18</v>
      </c>
      <c r="J2393" s="6">
        <v>13.99</v>
      </c>
      <c r="K2393">
        <v>0</v>
      </c>
      <c r="L2393" t="s">
        <v>19</v>
      </c>
      <c r="M2393" s="5">
        <v>4</v>
      </c>
      <c r="N2393" s="4">
        <v>1.26</v>
      </c>
      <c r="O2393" t="s">
        <v>39</v>
      </c>
    </row>
    <row r="2394" spans="1:15" x14ac:dyDescent="0.3">
      <c r="A2394" t="s">
        <v>4134</v>
      </c>
      <c r="B2394" s="5">
        <v>39</v>
      </c>
      <c r="C2394" s="5" t="str" cm="1">
        <f t="array" ref="C2394">_xlfn.IFS(worksheet[[#This Row],[age]]&lt;25,"1. Young Adulthood (18-24)",worksheet[[#This Row],[age]]&lt; 35,"2. Early Adulthood (25-34)",worksheet[[#This Row],[age]]&lt; 45,"3. Mid Adulthood (35-44)",worksheet[[#This Row],[age]]&lt; 55,"4. Mature Adulthood (45-54)",TRUE,"5. Late Adulthood/Senior (55+)")</f>
        <v>3. Mid Adulthood (35-44)</v>
      </c>
      <c r="D2394" t="s">
        <v>15</v>
      </c>
      <c r="E2394" t="s">
        <v>32</v>
      </c>
      <c r="F2394" s="4">
        <v>7.99</v>
      </c>
      <c r="G2394" s="5">
        <v>50</v>
      </c>
      <c r="H2394" t="s">
        <v>28</v>
      </c>
      <c r="I2394" t="s">
        <v>24</v>
      </c>
      <c r="J2394" s="6">
        <v>17.989999999999998</v>
      </c>
      <c r="K2394">
        <v>1</v>
      </c>
      <c r="L2394" t="s">
        <v>43</v>
      </c>
      <c r="M2394" s="5">
        <v>3</v>
      </c>
      <c r="N2394" s="4">
        <v>0.16</v>
      </c>
      <c r="O2394" t="s">
        <v>30</v>
      </c>
    </row>
    <row r="2395" spans="1:15" x14ac:dyDescent="0.3">
      <c r="A2395" t="s">
        <v>4148</v>
      </c>
      <c r="B2395" s="5">
        <v>36</v>
      </c>
      <c r="C2395" s="5" t="str" cm="1">
        <f t="array" ref="C2395">_xlfn.IFS(worksheet[[#This Row],[age]]&lt;25,"1. Young Adulthood (18-24)",worksheet[[#This Row],[age]]&lt; 35,"2. Early Adulthood (25-34)",worksheet[[#This Row],[age]]&lt; 45,"3. Mid Adulthood (35-44)",worksheet[[#This Row],[age]]&lt; 55,"4. Mature Adulthood (45-54)",TRUE,"5. Late Adulthood/Senior (55+)")</f>
        <v>3. Mid Adulthood (35-44)</v>
      </c>
      <c r="D2395" t="s">
        <v>41</v>
      </c>
      <c r="E2395" t="s">
        <v>32</v>
      </c>
      <c r="F2395" s="4">
        <v>3.28</v>
      </c>
      <c r="G2395" s="5">
        <v>15</v>
      </c>
      <c r="H2395" t="s">
        <v>49</v>
      </c>
      <c r="I2395" t="s">
        <v>57</v>
      </c>
      <c r="J2395" s="6">
        <v>17.989999999999998</v>
      </c>
      <c r="K2395">
        <v>1</v>
      </c>
      <c r="L2395" t="s">
        <v>43</v>
      </c>
      <c r="M2395" s="5">
        <v>3</v>
      </c>
      <c r="N2395" s="4">
        <v>0.2</v>
      </c>
      <c r="O2395" t="s">
        <v>34</v>
      </c>
    </row>
    <row r="2396" spans="1:15" x14ac:dyDescent="0.3">
      <c r="A2396" t="s">
        <v>4155</v>
      </c>
      <c r="B2396" s="5">
        <v>35</v>
      </c>
      <c r="C2396" s="5" t="str" cm="1">
        <f t="array" ref="C2396">_xlfn.IFS(worksheet[[#This Row],[age]]&lt;25,"1. Young Adulthood (18-24)",worksheet[[#This Row],[age]]&lt; 35,"2. Early Adulthood (25-34)",worksheet[[#This Row],[age]]&lt; 45,"3. Mid Adulthood (35-44)",worksheet[[#This Row],[age]]&lt; 55,"4. Mature Adulthood (45-54)",TRUE,"5. Late Adulthood/Senior (55+)")</f>
        <v>3. Mid Adulthood (35-44)</v>
      </c>
      <c r="D2396" t="s">
        <v>15</v>
      </c>
      <c r="E2396" t="s">
        <v>32</v>
      </c>
      <c r="F2396" s="4">
        <v>1.45</v>
      </c>
      <c r="G2396" s="5">
        <v>12</v>
      </c>
      <c r="H2396" t="s">
        <v>17</v>
      </c>
      <c r="I2396" t="s">
        <v>46</v>
      </c>
      <c r="J2396" s="6">
        <v>17.989999999999998</v>
      </c>
      <c r="K2396">
        <v>1</v>
      </c>
      <c r="L2396" t="s">
        <v>61</v>
      </c>
      <c r="M2396" s="5">
        <v>2</v>
      </c>
      <c r="N2396" s="4">
        <v>0.11</v>
      </c>
      <c r="O2396" t="s">
        <v>52</v>
      </c>
    </row>
    <row r="2397" spans="1:15" x14ac:dyDescent="0.3">
      <c r="A2397" t="s">
        <v>4157</v>
      </c>
      <c r="B2397" s="5">
        <v>42</v>
      </c>
      <c r="C2397" s="5" t="str" cm="1">
        <f t="array" ref="C2397">_xlfn.IFS(worksheet[[#This Row],[age]]&lt;25,"1. Young Adulthood (18-24)",worksheet[[#This Row],[age]]&lt; 35,"2. Early Adulthood (25-34)",worksheet[[#This Row],[age]]&lt; 45,"3. Mid Adulthood (35-44)",worksheet[[#This Row],[age]]&lt; 55,"4. Mature Adulthood (45-54)",TRUE,"5. Late Adulthood/Senior (55+)")</f>
        <v>3. Mid Adulthood (35-44)</v>
      </c>
      <c r="D2397" t="s">
        <v>15</v>
      </c>
      <c r="E2397" t="s">
        <v>16</v>
      </c>
      <c r="F2397" s="4">
        <v>8.18</v>
      </c>
      <c r="G2397" s="5">
        <v>15</v>
      </c>
      <c r="H2397" t="s">
        <v>49</v>
      </c>
      <c r="I2397" t="s">
        <v>46</v>
      </c>
      <c r="J2397" s="6">
        <v>8.99</v>
      </c>
      <c r="K2397">
        <v>0</v>
      </c>
      <c r="L2397" t="s">
        <v>19</v>
      </c>
      <c r="M2397" s="5">
        <v>2</v>
      </c>
      <c r="N2397" s="4">
        <v>0.51</v>
      </c>
      <c r="O2397" t="s">
        <v>34</v>
      </c>
    </row>
    <row r="2398" spans="1:15" x14ac:dyDescent="0.3">
      <c r="A2398" s="1" t="s">
        <v>4158</v>
      </c>
      <c r="B2398" s="5">
        <v>36</v>
      </c>
      <c r="C2398" s="5" t="str" cm="1">
        <f t="array" ref="C2398">_xlfn.IFS(worksheet[[#This Row],[age]]&lt;25,"1. Young Adulthood (18-24)",worksheet[[#This Row],[age]]&lt; 35,"2. Early Adulthood (25-34)",worksheet[[#This Row],[age]]&lt; 45,"3. Mid Adulthood (35-44)",worksheet[[#This Row],[age]]&lt; 55,"4. Mature Adulthood (45-54)",TRUE,"5. Late Adulthood/Senior (55+)")</f>
        <v>3. Mid Adulthood (35-44)</v>
      </c>
      <c r="D2398" t="s">
        <v>27</v>
      </c>
      <c r="E2398" t="s">
        <v>22</v>
      </c>
      <c r="F2398" s="4">
        <v>7.28</v>
      </c>
      <c r="G2398" s="5">
        <v>2</v>
      </c>
      <c r="H2398" t="s">
        <v>70</v>
      </c>
      <c r="I2398" t="s">
        <v>57</v>
      </c>
      <c r="J2398" s="6">
        <v>13.99</v>
      </c>
      <c r="K2398">
        <v>0</v>
      </c>
      <c r="L2398" t="s">
        <v>37</v>
      </c>
      <c r="M2398" s="5">
        <v>4</v>
      </c>
      <c r="N2398" s="4">
        <v>2.4300000000000002</v>
      </c>
      <c r="O2398" t="s">
        <v>25</v>
      </c>
    </row>
    <row r="2399" spans="1:15" x14ac:dyDescent="0.3">
      <c r="A2399" t="s">
        <v>4161</v>
      </c>
      <c r="B2399" s="5">
        <v>36</v>
      </c>
      <c r="C2399" s="5" t="str" cm="1">
        <f t="array" ref="C2399">_xlfn.IFS(worksheet[[#This Row],[age]]&lt;25,"1. Young Adulthood (18-24)",worksheet[[#This Row],[age]]&lt; 35,"2. Early Adulthood (25-34)",worksheet[[#This Row],[age]]&lt; 45,"3. Mid Adulthood (35-44)",worksheet[[#This Row],[age]]&lt; 55,"4. Mature Adulthood (45-54)",TRUE,"5. Late Adulthood/Senior (55+)")</f>
        <v>3. Mid Adulthood (35-44)</v>
      </c>
      <c r="D2399" t="s">
        <v>15</v>
      </c>
      <c r="E2399" t="s">
        <v>32</v>
      </c>
      <c r="F2399" s="4">
        <v>5.09</v>
      </c>
      <c r="G2399" s="5">
        <v>26</v>
      </c>
      <c r="H2399" t="s">
        <v>23</v>
      </c>
      <c r="I2399" t="s">
        <v>46</v>
      </c>
      <c r="J2399" s="6">
        <v>17.989999999999998</v>
      </c>
      <c r="K2399">
        <v>0</v>
      </c>
      <c r="L2399" t="s">
        <v>37</v>
      </c>
      <c r="M2399" s="5">
        <v>4</v>
      </c>
      <c r="N2399" s="4">
        <v>0.19</v>
      </c>
      <c r="O2399" t="s">
        <v>52</v>
      </c>
    </row>
    <row r="2400" spans="1:15" x14ac:dyDescent="0.3">
      <c r="A2400" t="s">
        <v>4165</v>
      </c>
      <c r="B2400" s="5">
        <v>40</v>
      </c>
      <c r="C2400" s="5" t="str" cm="1">
        <f t="array" ref="C2400">_xlfn.IFS(worksheet[[#This Row],[age]]&lt;25,"1. Young Adulthood (18-24)",worksheet[[#This Row],[age]]&lt; 35,"2. Early Adulthood (25-34)",worksheet[[#This Row],[age]]&lt; 45,"3. Mid Adulthood (35-44)",worksheet[[#This Row],[age]]&lt; 55,"4. Mature Adulthood (45-54)",TRUE,"5. Late Adulthood/Senior (55+)")</f>
        <v>3. Mid Adulthood (35-44)</v>
      </c>
      <c r="D2400" t="s">
        <v>15</v>
      </c>
      <c r="E2400" t="s">
        <v>32</v>
      </c>
      <c r="F2400" s="4">
        <v>2.78</v>
      </c>
      <c r="G2400" s="5">
        <v>12</v>
      </c>
      <c r="H2400" t="s">
        <v>70</v>
      </c>
      <c r="I2400" t="s">
        <v>46</v>
      </c>
      <c r="J2400" s="6">
        <v>17.989999999999998</v>
      </c>
      <c r="K2400">
        <v>1</v>
      </c>
      <c r="L2400" t="s">
        <v>43</v>
      </c>
      <c r="M2400" s="5">
        <v>2</v>
      </c>
      <c r="N2400" s="4">
        <v>0.21</v>
      </c>
      <c r="O2400" t="s">
        <v>30</v>
      </c>
    </row>
    <row r="2401" spans="1:15" x14ac:dyDescent="0.3">
      <c r="A2401" t="s">
        <v>4172</v>
      </c>
      <c r="B2401" s="5">
        <v>44</v>
      </c>
      <c r="C2401" s="5" t="str" cm="1">
        <f t="array" ref="C2401">_xlfn.IFS(worksheet[[#This Row],[age]]&lt;25,"1. Young Adulthood (18-24)",worksheet[[#This Row],[age]]&lt; 35,"2. Early Adulthood (25-34)",worksheet[[#This Row],[age]]&lt; 45,"3. Mid Adulthood (35-44)",worksheet[[#This Row],[age]]&lt; 55,"4. Mature Adulthood (45-54)",TRUE,"5. Late Adulthood/Senior (55+)")</f>
        <v>3. Mid Adulthood (35-44)</v>
      </c>
      <c r="D2401" t="s">
        <v>15</v>
      </c>
      <c r="E2401" t="s">
        <v>22</v>
      </c>
      <c r="F2401" s="4">
        <v>5.3</v>
      </c>
      <c r="G2401" s="5">
        <v>29</v>
      </c>
      <c r="H2401" t="s">
        <v>17</v>
      </c>
      <c r="I2401" t="s">
        <v>24</v>
      </c>
      <c r="J2401" s="6">
        <v>13.99</v>
      </c>
      <c r="K2401">
        <v>0</v>
      </c>
      <c r="L2401" t="s">
        <v>19</v>
      </c>
      <c r="M2401" s="5">
        <v>1</v>
      </c>
      <c r="N2401" s="4">
        <v>0.18</v>
      </c>
      <c r="O2401" t="s">
        <v>52</v>
      </c>
    </row>
    <row r="2402" spans="1:15" x14ac:dyDescent="0.3">
      <c r="A2402" t="s">
        <v>4194</v>
      </c>
      <c r="B2402" s="5">
        <v>44</v>
      </c>
      <c r="C2402" s="5" t="str" cm="1">
        <f t="array" ref="C2402">_xlfn.IFS(worksheet[[#This Row],[age]]&lt;25,"1. Young Adulthood (18-24)",worksheet[[#This Row],[age]]&lt; 35,"2. Early Adulthood (25-34)",worksheet[[#This Row],[age]]&lt; 45,"3. Mid Adulthood (35-44)",worksheet[[#This Row],[age]]&lt; 55,"4. Mature Adulthood (45-54)",TRUE,"5. Late Adulthood/Senior (55+)")</f>
        <v>3. Mid Adulthood (35-44)</v>
      </c>
      <c r="D2402" t="s">
        <v>41</v>
      </c>
      <c r="E2402" t="s">
        <v>16</v>
      </c>
      <c r="F2402" s="4">
        <v>4.99</v>
      </c>
      <c r="G2402" s="5">
        <v>57</v>
      </c>
      <c r="H2402" t="s">
        <v>23</v>
      </c>
      <c r="I2402" t="s">
        <v>46</v>
      </c>
      <c r="J2402" s="6">
        <v>8.99</v>
      </c>
      <c r="K2402">
        <v>1</v>
      </c>
      <c r="L2402" t="s">
        <v>61</v>
      </c>
      <c r="M2402" s="5">
        <v>3</v>
      </c>
      <c r="N2402" s="4">
        <v>0.09</v>
      </c>
      <c r="O2402" t="s">
        <v>30</v>
      </c>
    </row>
    <row r="2403" spans="1:15" x14ac:dyDescent="0.3">
      <c r="A2403" t="s">
        <v>4195</v>
      </c>
      <c r="B2403" s="5">
        <v>35</v>
      </c>
      <c r="C2403" s="5" t="str" cm="1">
        <f t="array" ref="C2403">_xlfn.IFS(worksheet[[#This Row],[age]]&lt;25,"1. Young Adulthood (18-24)",worksheet[[#This Row],[age]]&lt; 35,"2. Early Adulthood (25-34)",worksheet[[#This Row],[age]]&lt; 45,"3. Mid Adulthood (35-44)",worksheet[[#This Row],[age]]&lt; 55,"4. Mature Adulthood (45-54)",TRUE,"5. Late Adulthood/Senior (55+)")</f>
        <v>3. Mid Adulthood (35-44)</v>
      </c>
      <c r="D2403" t="s">
        <v>41</v>
      </c>
      <c r="E2403" t="s">
        <v>22</v>
      </c>
      <c r="F2403" s="4">
        <v>1.75</v>
      </c>
      <c r="G2403" s="5">
        <v>41</v>
      </c>
      <c r="H2403" t="s">
        <v>23</v>
      </c>
      <c r="I2403" t="s">
        <v>18</v>
      </c>
      <c r="J2403" s="6">
        <v>13.99</v>
      </c>
      <c r="K2403">
        <v>1</v>
      </c>
      <c r="L2403" t="s">
        <v>43</v>
      </c>
      <c r="M2403" s="5">
        <v>1</v>
      </c>
      <c r="N2403" s="4">
        <v>0.04</v>
      </c>
      <c r="O2403" t="s">
        <v>39</v>
      </c>
    </row>
    <row r="2404" spans="1:15" x14ac:dyDescent="0.3">
      <c r="A2404" t="s">
        <v>4199</v>
      </c>
      <c r="B2404" s="5">
        <v>38</v>
      </c>
      <c r="C2404" s="5" t="str" cm="1">
        <f t="array" ref="C2404">_xlfn.IFS(worksheet[[#This Row],[age]]&lt;25,"1. Young Adulthood (18-24)",worksheet[[#This Row],[age]]&lt; 35,"2. Early Adulthood (25-34)",worksheet[[#This Row],[age]]&lt; 45,"3. Mid Adulthood (35-44)",worksheet[[#This Row],[age]]&lt; 55,"4. Mature Adulthood (45-54)",TRUE,"5. Late Adulthood/Senior (55+)")</f>
        <v>3. Mid Adulthood (35-44)</v>
      </c>
      <c r="D2404" t="s">
        <v>15</v>
      </c>
      <c r="E2404" t="s">
        <v>32</v>
      </c>
      <c r="F2404" s="4">
        <v>7.13</v>
      </c>
      <c r="G2404" s="5">
        <v>60</v>
      </c>
      <c r="H2404" t="s">
        <v>23</v>
      </c>
      <c r="I2404" t="s">
        <v>55</v>
      </c>
      <c r="J2404" s="6">
        <v>17.989999999999998</v>
      </c>
      <c r="K2404">
        <v>1</v>
      </c>
      <c r="L2404" t="s">
        <v>43</v>
      </c>
      <c r="M2404" s="5">
        <v>1</v>
      </c>
      <c r="N2404" s="4">
        <v>0.12</v>
      </c>
      <c r="O2404" t="s">
        <v>30</v>
      </c>
    </row>
    <row r="2405" spans="1:15" x14ac:dyDescent="0.3">
      <c r="A2405" t="s">
        <v>4200</v>
      </c>
      <c r="B2405" s="5">
        <v>39</v>
      </c>
      <c r="C2405" s="5" t="str" cm="1">
        <f t="array" ref="C2405">_xlfn.IFS(worksheet[[#This Row],[age]]&lt;25,"1. Young Adulthood (18-24)",worksheet[[#This Row],[age]]&lt; 35,"2. Early Adulthood (25-34)",worksheet[[#This Row],[age]]&lt; 45,"3. Mid Adulthood (35-44)",worksheet[[#This Row],[age]]&lt; 55,"4. Mature Adulthood (45-54)",TRUE,"5. Late Adulthood/Senior (55+)")</f>
        <v>3. Mid Adulthood (35-44)</v>
      </c>
      <c r="D2405" t="s">
        <v>15</v>
      </c>
      <c r="E2405" t="s">
        <v>22</v>
      </c>
      <c r="F2405" s="4">
        <v>7.27</v>
      </c>
      <c r="G2405" s="5">
        <v>31</v>
      </c>
      <c r="H2405" t="s">
        <v>28</v>
      </c>
      <c r="I2405" t="s">
        <v>24</v>
      </c>
      <c r="J2405" s="6">
        <v>13.99</v>
      </c>
      <c r="K2405">
        <v>1</v>
      </c>
      <c r="L2405" t="s">
        <v>29</v>
      </c>
      <c r="M2405" s="5">
        <v>1</v>
      </c>
      <c r="N2405" s="4">
        <v>0.23</v>
      </c>
      <c r="O2405" t="s">
        <v>30</v>
      </c>
    </row>
    <row r="2406" spans="1:15" x14ac:dyDescent="0.3">
      <c r="A2406" t="s">
        <v>4203</v>
      </c>
      <c r="B2406" s="5">
        <v>37</v>
      </c>
      <c r="C2406" s="5" t="str" cm="1">
        <f t="array" ref="C2406">_xlfn.IFS(worksheet[[#This Row],[age]]&lt;25,"1. Young Adulthood (18-24)",worksheet[[#This Row],[age]]&lt; 35,"2. Early Adulthood (25-34)",worksheet[[#This Row],[age]]&lt; 45,"3. Mid Adulthood (35-44)",worksheet[[#This Row],[age]]&lt; 55,"4. Mature Adulthood (45-54)",TRUE,"5. Late Adulthood/Senior (55+)")</f>
        <v>3. Mid Adulthood (35-44)</v>
      </c>
      <c r="D2406" t="s">
        <v>41</v>
      </c>
      <c r="E2406" t="s">
        <v>22</v>
      </c>
      <c r="F2406" s="4">
        <v>3.66</v>
      </c>
      <c r="G2406" s="5">
        <v>5</v>
      </c>
      <c r="H2406" t="s">
        <v>17</v>
      </c>
      <c r="I2406" t="s">
        <v>57</v>
      </c>
      <c r="J2406" s="6">
        <v>13.99</v>
      </c>
      <c r="K2406">
        <v>0</v>
      </c>
      <c r="L2406" t="s">
        <v>43</v>
      </c>
      <c r="M2406" s="5">
        <v>1</v>
      </c>
      <c r="N2406" s="4">
        <v>0.61</v>
      </c>
      <c r="O2406" t="s">
        <v>25</v>
      </c>
    </row>
    <row r="2407" spans="1:15" x14ac:dyDescent="0.3">
      <c r="A2407" t="s">
        <v>4207</v>
      </c>
      <c r="B2407" s="5">
        <v>38</v>
      </c>
      <c r="C2407" s="5" t="str" cm="1">
        <f t="array" ref="C2407">_xlfn.IFS(worksheet[[#This Row],[age]]&lt;25,"1. Young Adulthood (18-24)",worksheet[[#This Row],[age]]&lt; 35,"2. Early Adulthood (25-34)",worksheet[[#This Row],[age]]&lt; 45,"3. Mid Adulthood (35-44)",worksheet[[#This Row],[age]]&lt; 55,"4. Mature Adulthood (45-54)",TRUE,"5. Late Adulthood/Senior (55+)")</f>
        <v>3. Mid Adulthood (35-44)</v>
      </c>
      <c r="D2407" t="s">
        <v>15</v>
      </c>
      <c r="E2407" t="s">
        <v>32</v>
      </c>
      <c r="F2407" s="4">
        <v>8.93</v>
      </c>
      <c r="G2407" s="5">
        <v>57</v>
      </c>
      <c r="H2407" t="s">
        <v>49</v>
      </c>
      <c r="I2407" t="s">
        <v>24</v>
      </c>
      <c r="J2407" s="6">
        <v>17.989999999999998</v>
      </c>
      <c r="K2407">
        <v>0</v>
      </c>
      <c r="L2407" t="s">
        <v>37</v>
      </c>
      <c r="M2407" s="5">
        <v>4</v>
      </c>
      <c r="N2407" s="4">
        <v>0.15</v>
      </c>
      <c r="O2407" t="s">
        <v>30</v>
      </c>
    </row>
    <row r="2408" spans="1:15" x14ac:dyDescent="0.3">
      <c r="A2408" t="s">
        <v>4216</v>
      </c>
      <c r="B2408" s="5">
        <v>44</v>
      </c>
      <c r="C2408" s="5" t="str" cm="1">
        <f t="array" ref="C2408">_xlfn.IFS(worksheet[[#This Row],[age]]&lt;25,"1. Young Adulthood (18-24)",worksheet[[#This Row],[age]]&lt; 35,"2. Early Adulthood (25-34)",worksheet[[#This Row],[age]]&lt; 45,"3. Mid Adulthood (35-44)",worksheet[[#This Row],[age]]&lt; 55,"4. Mature Adulthood (45-54)",TRUE,"5. Late Adulthood/Senior (55+)")</f>
        <v>3. Mid Adulthood (35-44)</v>
      </c>
      <c r="D2408" t="s">
        <v>27</v>
      </c>
      <c r="E2408" t="s">
        <v>16</v>
      </c>
      <c r="F2408" s="4">
        <v>5.7</v>
      </c>
      <c r="G2408" s="5">
        <v>18</v>
      </c>
      <c r="H2408" t="s">
        <v>70</v>
      </c>
      <c r="I2408" t="s">
        <v>57</v>
      </c>
      <c r="J2408" s="6">
        <v>8.99</v>
      </c>
      <c r="K2408">
        <v>0</v>
      </c>
      <c r="L2408" t="s">
        <v>43</v>
      </c>
      <c r="M2408" s="5">
        <v>2</v>
      </c>
      <c r="N2408" s="4">
        <v>0.3</v>
      </c>
      <c r="O2408" t="s">
        <v>30</v>
      </c>
    </row>
    <row r="2409" spans="1:15" x14ac:dyDescent="0.3">
      <c r="A2409" t="s">
        <v>4217</v>
      </c>
      <c r="B2409" s="5">
        <v>36</v>
      </c>
      <c r="C2409" s="5" t="str" cm="1">
        <f t="array" ref="C2409">_xlfn.IFS(worksheet[[#This Row],[age]]&lt;25,"1. Young Adulthood (18-24)",worksheet[[#This Row],[age]]&lt; 35,"2. Early Adulthood (25-34)",worksheet[[#This Row],[age]]&lt; 45,"3. Mid Adulthood (35-44)",worksheet[[#This Row],[age]]&lt; 55,"4. Mature Adulthood (45-54)",TRUE,"5. Late Adulthood/Senior (55+)")</f>
        <v>3. Mid Adulthood (35-44)</v>
      </c>
      <c r="D2409" t="s">
        <v>27</v>
      </c>
      <c r="E2409" t="s">
        <v>32</v>
      </c>
      <c r="F2409" s="4">
        <v>12.97</v>
      </c>
      <c r="G2409" s="5">
        <v>18</v>
      </c>
      <c r="H2409" t="s">
        <v>23</v>
      </c>
      <c r="I2409" t="s">
        <v>57</v>
      </c>
      <c r="J2409" s="6">
        <v>17.989999999999998</v>
      </c>
      <c r="K2409">
        <v>0</v>
      </c>
      <c r="L2409" t="s">
        <v>61</v>
      </c>
      <c r="M2409" s="5">
        <v>2</v>
      </c>
      <c r="N2409" s="4">
        <v>0.68</v>
      </c>
      <c r="O2409" t="s">
        <v>52</v>
      </c>
    </row>
    <row r="2410" spans="1:15" x14ac:dyDescent="0.3">
      <c r="A2410" t="s">
        <v>4219</v>
      </c>
      <c r="B2410" s="5">
        <v>36</v>
      </c>
      <c r="C2410" s="5" t="str" cm="1">
        <f t="array" ref="C2410">_xlfn.IFS(worksheet[[#This Row],[age]]&lt;25,"1. Young Adulthood (18-24)",worksheet[[#This Row],[age]]&lt; 35,"2. Early Adulthood (25-34)",worksheet[[#This Row],[age]]&lt; 45,"3. Mid Adulthood (35-44)",worksheet[[#This Row],[age]]&lt; 55,"4. Mature Adulthood (45-54)",TRUE,"5. Late Adulthood/Senior (55+)")</f>
        <v>3. Mid Adulthood (35-44)</v>
      </c>
      <c r="D2410" t="s">
        <v>27</v>
      </c>
      <c r="E2410" t="s">
        <v>22</v>
      </c>
      <c r="F2410" s="4">
        <v>48.9</v>
      </c>
      <c r="G2410" s="5">
        <v>23</v>
      </c>
      <c r="H2410" t="s">
        <v>70</v>
      </c>
      <c r="I2410" t="s">
        <v>46</v>
      </c>
      <c r="J2410" s="6">
        <v>13.99</v>
      </c>
      <c r="K2410">
        <v>0</v>
      </c>
      <c r="L2410" t="s">
        <v>43</v>
      </c>
      <c r="M2410" s="5">
        <v>1</v>
      </c>
      <c r="N2410" s="4">
        <v>2.04</v>
      </c>
      <c r="O2410" t="s">
        <v>30</v>
      </c>
    </row>
    <row r="2411" spans="1:15" x14ac:dyDescent="0.3">
      <c r="A2411" t="s">
        <v>4221</v>
      </c>
      <c r="B2411" s="5">
        <v>43</v>
      </c>
      <c r="C2411" s="5" t="str" cm="1">
        <f t="array" ref="C2411">_xlfn.IFS(worksheet[[#This Row],[age]]&lt;25,"1. Young Adulthood (18-24)",worksheet[[#This Row],[age]]&lt; 35,"2. Early Adulthood (25-34)",worksheet[[#This Row],[age]]&lt; 45,"3. Mid Adulthood (35-44)",worksheet[[#This Row],[age]]&lt; 55,"4. Mature Adulthood (45-54)",TRUE,"5. Late Adulthood/Senior (55+)")</f>
        <v>3. Mid Adulthood (35-44)</v>
      </c>
      <c r="D2411" t="s">
        <v>15</v>
      </c>
      <c r="E2411" t="s">
        <v>22</v>
      </c>
      <c r="F2411" s="4">
        <v>2.08</v>
      </c>
      <c r="G2411" s="5">
        <v>45</v>
      </c>
      <c r="H2411" t="s">
        <v>28</v>
      </c>
      <c r="I2411" t="s">
        <v>18</v>
      </c>
      <c r="J2411" s="6">
        <v>13.99</v>
      </c>
      <c r="K2411">
        <v>1</v>
      </c>
      <c r="L2411" t="s">
        <v>37</v>
      </c>
      <c r="M2411" s="5">
        <v>3</v>
      </c>
      <c r="N2411" s="4">
        <v>0.05</v>
      </c>
      <c r="O2411" t="s">
        <v>20</v>
      </c>
    </row>
    <row r="2412" spans="1:15" x14ac:dyDescent="0.3">
      <c r="A2412" t="s">
        <v>4222</v>
      </c>
      <c r="B2412" s="5">
        <v>42</v>
      </c>
      <c r="C2412" s="5" t="str" cm="1">
        <f t="array" ref="C2412">_xlfn.IFS(worksheet[[#This Row],[age]]&lt;25,"1. Young Adulthood (18-24)",worksheet[[#This Row],[age]]&lt; 35,"2. Early Adulthood (25-34)",worksheet[[#This Row],[age]]&lt; 45,"3. Mid Adulthood (35-44)",worksheet[[#This Row],[age]]&lt; 55,"4. Mature Adulthood (45-54)",TRUE,"5. Late Adulthood/Senior (55+)")</f>
        <v>3. Mid Adulthood (35-44)</v>
      </c>
      <c r="D2412" t="s">
        <v>27</v>
      </c>
      <c r="E2412" t="s">
        <v>16</v>
      </c>
      <c r="F2412" s="4">
        <v>5.67</v>
      </c>
      <c r="G2412" s="5">
        <v>2</v>
      </c>
      <c r="H2412" t="s">
        <v>28</v>
      </c>
      <c r="I2412" t="s">
        <v>24</v>
      </c>
      <c r="J2412" s="6">
        <v>8.99</v>
      </c>
      <c r="K2412">
        <v>0</v>
      </c>
      <c r="L2412" t="s">
        <v>37</v>
      </c>
      <c r="M2412" s="5">
        <v>3</v>
      </c>
      <c r="N2412" s="4">
        <v>1.89</v>
      </c>
      <c r="O2412" t="s">
        <v>34</v>
      </c>
    </row>
    <row r="2413" spans="1:15" x14ac:dyDescent="0.3">
      <c r="A2413" t="s">
        <v>4224</v>
      </c>
      <c r="B2413" s="5">
        <v>37</v>
      </c>
      <c r="C2413" s="5" t="str" cm="1">
        <f t="array" ref="C2413">_xlfn.IFS(worksheet[[#This Row],[age]]&lt;25,"1. Young Adulthood (18-24)",worksheet[[#This Row],[age]]&lt; 35,"2. Early Adulthood (25-34)",worksheet[[#This Row],[age]]&lt; 45,"3. Mid Adulthood (35-44)",worksheet[[#This Row],[age]]&lt; 55,"4. Mature Adulthood (45-54)",TRUE,"5. Late Adulthood/Senior (55+)")</f>
        <v>3. Mid Adulthood (35-44)</v>
      </c>
      <c r="D2413" t="s">
        <v>27</v>
      </c>
      <c r="E2413" t="s">
        <v>16</v>
      </c>
      <c r="F2413" s="4">
        <v>5.35</v>
      </c>
      <c r="G2413" s="5">
        <v>2</v>
      </c>
      <c r="H2413" t="s">
        <v>70</v>
      </c>
      <c r="I2413" t="s">
        <v>57</v>
      </c>
      <c r="J2413" s="6">
        <v>8.99</v>
      </c>
      <c r="K2413">
        <v>0</v>
      </c>
      <c r="L2413" t="s">
        <v>19</v>
      </c>
      <c r="M2413" s="5">
        <v>2</v>
      </c>
      <c r="N2413" s="4">
        <v>1.78</v>
      </c>
      <c r="O2413" t="s">
        <v>30</v>
      </c>
    </row>
    <row r="2414" spans="1:15" x14ac:dyDescent="0.3">
      <c r="A2414" t="s">
        <v>4229</v>
      </c>
      <c r="B2414" s="5">
        <v>37</v>
      </c>
      <c r="C2414" s="5" t="str" cm="1">
        <f t="array" ref="C2414">_xlfn.IFS(worksheet[[#This Row],[age]]&lt;25,"1. Young Adulthood (18-24)",worksheet[[#This Row],[age]]&lt; 35,"2. Early Adulthood (25-34)",worksheet[[#This Row],[age]]&lt; 45,"3. Mid Adulthood (35-44)",worksheet[[#This Row],[age]]&lt; 55,"4. Mature Adulthood (45-54)",TRUE,"5. Late Adulthood/Senior (55+)")</f>
        <v>3. Mid Adulthood (35-44)</v>
      </c>
      <c r="D2414" t="s">
        <v>41</v>
      </c>
      <c r="E2414" t="s">
        <v>32</v>
      </c>
      <c r="F2414" s="4">
        <v>10.86</v>
      </c>
      <c r="G2414" s="5">
        <v>47</v>
      </c>
      <c r="H2414" t="s">
        <v>17</v>
      </c>
      <c r="I2414" t="s">
        <v>55</v>
      </c>
      <c r="J2414" s="6">
        <v>17.989999999999998</v>
      </c>
      <c r="K2414">
        <v>1</v>
      </c>
      <c r="L2414" t="s">
        <v>29</v>
      </c>
      <c r="M2414" s="5">
        <v>3</v>
      </c>
      <c r="N2414" s="4">
        <v>0.23</v>
      </c>
      <c r="O2414" t="s">
        <v>39</v>
      </c>
    </row>
    <row r="2415" spans="1:15" x14ac:dyDescent="0.3">
      <c r="A2415" t="s">
        <v>4233</v>
      </c>
      <c r="B2415" s="5">
        <v>36</v>
      </c>
      <c r="C2415" s="5" t="str" cm="1">
        <f t="array" ref="C2415">_xlfn.IFS(worksheet[[#This Row],[age]]&lt;25,"1. Young Adulthood (18-24)",worksheet[[#This Row],[age]]&lt; 35,"2. Early Adulthood (25-34)",worksheet[[#This Row],[age]]&lt; 45,"3. Mid Adulthood (35-44)",worksheet[[#This Row],[age]]&lt; 55,"4. Mature Adulthood (45-54)",TRUE,"5. Late Adulthood/Senior (55+)")</f>
        <v>3. Mid Adulthood (35-44)</v>
      </c>
      <c r="D2415" t="s">
        <v>27</v>
      </c>
      <c r="E2415" t="s">
        <v>22</v>
      </c>
      <c r="F2415" s="4">
        <v>15.28</v>
      </c>
      <c r="G2415" s="5">
        <v>54</v>
      </c>
      <c r="H2415" t="s">
        <v>70</v>
      </c>
      <c r="I2415" t="s">
        <v>57</v>
      </c>
      <c r="J2415" s="6">
        <v>13.99</v>
      </c>
      <c r="K2415">
        <v>1</v>
      </c>
      <c r="L2415" t="s">
        <v>29</v>
      </c>
      <c r="M2415" s="5">
        <v>4</v>
      </c>
      <c r="N2415" s="4">
        <v>0.28000000000000003</v>
      </c>
      <c r="O2415" t="s">
        <v>30</v>
      </c>
    </row>
    <row r="2416" spans="1:15" x14ac:dyDescent="0.3">
      <c r="A2416" t="s">
        <v>4235</v>
      </c>
      <c r="B2416" s="5">
        <v>44</v>
      </c>
      <c r="C2416" s="5" t="str" cm="1">
        <f t="array" ref="C2416">_xlfn.IFS(worksheet[[#This Row],[age]]&lt;25,"1. Young Adulthood (18-24)",worksheet[[#This Row],[age]]&lt; 35,"2. Early Adulthood (25-34)",worksheet[[#This Row],[age]]&lt; 45,"3. Mid Adulthood (35-44)",worksheet[[#This Row],[age]]&lt; 55,"4. Mature Adulthood (45-54)",TRUE,"5. Late Adulthood/Senior (55+)")</f>
        <v>3. Mid Adulthood (35-44)</v>
      </c>
      <c r="D2416" t="s">
        <v>15</v>
      </c>
      <c r="E2416" t="s">
        <v>22</v>
      </c>
      <c r="F2416" s="4">
        <v>14.25</v>
      </c>
      <c r="G2416" s="5">
        <v>25</v>
      </c>
      <c r="H2416" t="s">
        <v>49</v>
      </c>
      <c r="I2416" t="s">
        <v>46</v>
      </c>
      <c r="J2416" s="6">
        <v>13.99</v>
      </c>
      <c r="K2416">
        <v>0</v>
      </c>
      <c r="L2416" t="s">
        <v>29</v>
      </c>
      <c r="M2416" s="5">
        <v>1</v>
      </c>
      <c r="N2416" s="4">
        <v>0.55000000000000004</v>
      </c>
      <c r="O2416" t="s">
        <v>47</v>
      </c>
    </row>
    <row r="2417" spans="1:15" x14ac:dyDescent="0.3">
      <c r="A2417" t="s">
        <v>4236</v>
      </c>
      <c r="B2417" s="5">
        <v>36</v>
      </c>
      <c r="C2417" s="5" t="str" cm="1">
        <f t="array" ref="C2417">_xlfn.IFS(worksheet[[#This Row],[age]]&lt;25,"1. Young Adulthood (18-24)",worksheet[[#This Row],[age]]&lt; 35,"2. Early Adulthood (25-34)",worksheet[[#This Row],[age]]&lt; 45,"3. Mid Adulthood (35-44)",worksheet[[#This Row],[age]]&lt; 55,"4. Mature Adulthood (45-54)",TRUE,"5. Late Adulthood/Senior (55+)")</f>
        <v>3. Mid Adulthood (35-44)</v>
      </c>
      <c r="D2417" t="s">
        <v>41</v>
      </c>
      <c r="E2417" t="s">
        <v>22</v>
      </c>
      <c r="F2417" s="4">
        <v>9.1</v>
      </c>
      <c r="G2417" s="5">
        <v>2</v>
      </c>
      <c r="H2417" t="s">
        <v>70</v>
      </c>
      <c r="I2417" t="s">
        <v>57</v>
      </c>
      <c r="J2417" s="6">
        <v>13.99</v>
      </c>
      <c r="K2417">
        <v>0</v>
      </c>
      <c r="L2417" t="s">
        <v>37</v>
      </c>
      <c r="M2417" s="5">
        <v>2</v>
      </c>
      <c r="N2417" s="4">
        <v>3.03</v>
      </c>
      <c r="O2417" t="s">
        <v>30</v>
      </c>
    </row>
    <row r="2418" spans="1:15" x14ac:dyDescent="0.3">
      <c r="A2418" t="s">
        <v>4237</v>
      </c>
      <c r="B2418" s="5">
        <v>38</v>
      </c>
      <c r="C2418" s="5" t="str" cm="1">
        <f t="array" ref="C2418">_xlfn.IFS(worksheet[[#This Row],[age]]&lt;25,"1. Young Adulthood (18-24)",worksheet[[#This Row],[age]]&lt; 35,"2. Early Adulthood (25-34)",worksheet[[#This Row],[age]]&lt; 45,"3. Mid Adulthood (35-44)",worksheet[[#This Row],[age]]&lt; 55,"4. Mature Adulthood (45-54)",TRUE,"5. Late Adulthood/Senior (55+)")</f>
        <v>3. Mid Adulthood (35-44)</v>
      </c>
      <c r="D2418" t="s">
        <v>27</v>
      </c>
      <c r="E2418" t="s">
        <v>16</v>
      </c>
      <c r="F2418" s="4">
        <v>0.32</v>
      </c>
      <c r="G2418" s="5">
        <v>16</v>
      </c>
      <c r="H2418" t="s">
        <v>49</v>
      </c>
      <c r="I2418" t="s">
        <v>57</v>
      </c>
      <c r="J2418" s="6">
        <v>8.99</v>
      </c>
      <c r="K2418">
        <v>1</v>
      </c>
      <c r="L2418" t="s">
        <v>37</v>
      </c>
      <c r="M2418" s="5">
        <v>3</v>
      </c>
      <c r="N2418" s="4">
        <v>0.02</v>
      </c>
      <c r="O2418" t="s">
        <v>47</v>
      </c>
    </row>
    <row r="2419" spans="1:15" x14ac:dyDescent="0.3">
      <c r="A2419" t="s">
        <v>4238</v>
      </c>
      <c r="B2419" s="5">
        <v>44</v>
      </c>
      <c r="C2419" s="5" t="str" cm="1">
        <f t="array" ref="C2419">_xlfn.IFS(worksheet[[#This Row],[age]]&lt;25,"1. Young Adulthood (18-24)",worksheet[[#This Row],[age]]&lt; 35,"2. Early Adulthood (25-34)",worksheet[[#This Row],[age]]&lt; 45,"3. Mid Adulthood (35-44)",worksheet[[#This Row],[age]]&lt; 55,"4. Mature Adulthood (45-54)",TRUE,"5. Late Adulthood/Senior (55+)")</f>
        <v>3. Mid Adulthood (35-44)</v>
      </c>
      <c r="D2419" t="s">
        <v>27</v>
      </c>
      <c r="E2419" t="s">
        <v>16</v>
      </c>
      <c r="F2419" s="4">
        <v>1.03</v>
      </c>
      <c r="G2419" s="5">
        <v>15</v>
      </c>
      <c r="H2419" t="s">
        <v>28</v>
      </c>
      <c r="I2419" t="s">
        <v>57</v>
      </c>
      <c r="J2419" s="6">
        <v>8.99</v>
      </c>
      <c r="K2419">
        <v>1</v>
      </c>
      <c r="L2419" t="s">
        <v>19</v>
      </c>
      <c r="M2419" s="5">
        <v>3</v>
      </c>
      <c r="N2419" s="4">
        <v>0.06</v>
      </c>
      <c r="O2419" t="s">
        <v>30</v>
      </c>
    </row>
    <row r="2420" spans="1:15" x14ac:dyDescent="0.3">
      <c r="A2420" t="s">
        <v>4244</v>
      </c>
      <c r="B2420" s="5">
        <v>40</v>
      </c>
      <c r="C2420" s="5" t="str" cm="1">
        <f t="array" ref="C2420">_xlfn.IFS(worksheet[[#This Row],[age]]&lt;25,"1. Young Adulthood (18-24)",worksheet[[#This Row],[age]]&lt; 35,"2. Early Adulthood (25-34)",worksheet[[#This Row],[age]]&lt; 45,"3. Mid Adulthood (35-44)",worksheet[[#This Row],[age]]&lt; 55,"4. Mature Adulthood (45-54)",TRUE,"5. Late Adulthood/Senior (55+)")</f>
        <v>3. Mid Adulthood (35-44)</v>
      </c>
      <c r="D2420" t="s">
        <v>27</v>
      </c>
      <c r="E2420" t="s">
        <v>32</v>
      </c>
      <c r="F2420" s="4">
        <v>25.5</v>
      </c>
      <c r="G2420" s="5">
        <v>24</v>
      </c>
      <c r="H2420" t="s">
        <v>28</v>
      </c>
      <c r="I2420" t="s">
        <v>18</v>
      </c>
      <c r="J2420" s="6">
        <v>17.989999999999998</v>
      </c>
      <c r="K2420">
        <v>0</v>
      </c>
      <c r="L2420" t="s">
        <v>29</v>
      </c>
      <c r="M2420" s="5">
        <v>5</v>
      </c>
      <c r="N2420" s="4">
        <v>1.02</v>
      </c>
      <c r="O2420" t="s">
        <v>20</v>
      </c>
    </row>
    <row r="2421" spans="1:15" x14ac:dyDescent="0.3">
      <c r="A2421" t="s">
        <v>4275</v>
      </c>
      <c r="B2421" s="5">
        <v>36</v>
      </c>
      <c r="C2421" s="5" t="str" cm="1">
        <f t="array" ref="C2421">_xlfn.IFS(worksheet[[#This Row],[age]]&lt;25,"1. Young Adulthood (18-24)",worksheet[[#This Row],[age]]&lt; 35,"2. Early Adulthood (25-34)",worksheet[[#This Row],[age]]&lt; 45,"3. Mid Adulthood (35-44)",worksheet[[#This Row],[age]]&lt; 55,"4. Mature Adulthood (45-54)",TRUE,"5. Late Adulthood/Senior (55+)")</f>
        <v>3. Mid Adulthood (35-44)</v>
      </c>
      <c r="D2421" t="s">
        <v>27</v>
      </c>
      <c r="E2421" t="s">
        <v>32</v>
      </c>
      <c r="F2421" s="4">
        <v>19.03</v>
      </c>
      <c r="G2421" s="5">
        <v>1</v>
      </c>
      <c r="H2421" t="s">
        <v>28</v>
      </c>
      <c r="I2421" t="s">
        <v>55</v>
      </c>
      <c r="J2421" s="6">
        <v>17.989999999999998</v>
      </c>
      <c r="K2421">
        <v>0</v>
      </c>
      <c r="L2421" t="s">
        <v>29</v>
      </c>
      <c r="M2421" s="5">
        <v>2</v>
      </c>
      <c r="N2421" s="4">
        <v>9.52</v>
      </c>
      <c r="O2421" t="s">
        <v>25</v>
      </c>
    </row>
    <row r="2422" spans="1:15" x14ac:dyDescent="0.3">
      <c r="A2422" t="s">
        <v>4278</v>
      </c>
      <c r="B2422" s="5">
        <v>40</v>
      </c>
      <c r="C2422" s="5" t="str" cm="1">
        <f t="array" ref="C2422">_xlfn.IFS(worksheet[[#This Row],[age]]&lt;25,"1. Young Adulthood (18-24)",worksheet[[#This Row],[age]]&lt; 35,"2. Early Adulthood (25-34)",worksheet[[#This Row],[age]]&lt; 45,"3. Mid Adulthood (35-44)",worksheet[[#This Row],[age]]&lt; 55,"4. Mature Adulthood (45-54)",TRUE,"5. Late Adulthood/Senior (55+)")</f>
        <v>3. Mid Adulthood (35-44)</v>
      </c>
      <c r="D2422" t="s">
        <v>15</v>
      </c>
      <c r="E2422" t="s">
        <v>16</v>
      </c>
      <c r="F2422" s="4">
        <v>6.58</v>
      </c>
      <c r="G2422" s="5">
        <v>3</v>
      </c>
      <c r="H2422" t="s">
        <v>28</v>
      </c>
      <c r="I2422" t="s">
        <v>55</v>
      </c>
      <c r="J2422" s="6">
        <v>8.99</v>
      </c>
      <c r="K2422">
        <v>0</v>
      </c>
      <c r="L2422" t="s">
        <v>43</v>
      </c>
      <c r="M2422" s="5">
        <v>1</v>
      </c>
      <c r="N2422" s="4">
        <v>1.65</v>
      </c>
      <c r="O2422" t="s">
        <v>30</v>
      </c>
    </row>
    <row r="2423" spans="1:15" x14ac:dyDescent="0.3">
      <c r="A2423" t="s">
        <v>4288</v>
      </c>
      <c r="B2423" s="5">
        <v>41</v>
      </c>
      <c r="C2423" s="5" t="str" cm="1">
        <f t="array" ref="C2423">_xlfn.IFS(worksheet[[#This Row],[age]]&lt;25,"1. Young Adulthood (18-24)",worksheet[[#This Row],[age]]&lt; 35,"2. Early Adulthood (25-34)",worksheet[[#This Row],[age]]&lt; 45,"3. Mid Adulthood (35-44)",worksheet[[#This Row],[age]]&lt; 55,"4. Mature Adulthood (45-54)",TRUE,"5. Late Adulthood/Senior (55+)")</f>
        <v>3. Mid Adulthood (35-44)</v>
      </c>
      <c r="D2423" t="s">
        <v>27</v>
      </c>
      <c r="E2423" t="s">
        <v>22</v>
      </c>
      <c r="F2423" s="4">
        <v>3.35</v>
      </c>
      <c r="G2423" s="5">
        <v>57</v>
      </c>
      <c r="H2423" t="s">
        <v>33</v>
      </c>
      <c r="I2423" t="s">
        <v>57</v>
      </c>
      <c r="J2423" s="6">
        <v>13.99</v>
      </c>
      <c r="K2423">
        <v>1</v>
      </c>
      <c r="L2423" t="s">
        <v>29</v>
      </c>
      <c r="M2423" s="5">
        <v>3</v>
      </c>
      <c r="N2423" s="4">
        <v>0.06</v>
      </c>
      <c r="O2423" t="s">
        <v>34</v>
      </c>
    </row>
    <row r="2424" spans="1:15" x14ac:dyDescent="0.3">
      <c r="A2424" t="s">
        <v>4289</v>
      </c>
      <c r="B2424" s="5">
        <v>37</v>
      </c>
      <c r="C2424" s="5" t="str" cm="1">
        <f t="array" ref="C2424">_xlfn.IFS(worksheet[[#This Row],[age]]&lt;25,"1. Young Adulthood (18-24)",worksheet[[#This Row],[age]]&lt; 35,"2. Early Adulthood (25-34)",worksheet[[#This Row],[age]]&lt; 45,"3. Mid Adulthood (35-44)",worksheet[[#This Row],[age]]&lt; 55,"4. Mature Adulthood (45-54)",TRUE,"5. Late Adulthood/Senior (55+)")</f>
        <v>3. Mid Adulthood (35-44)</v>
      </c>
      <c r="D2424" t="s">
        <v>27</v>
      </c>
      <c r="E2424" t="s">
        <v>22</v>
      </c>
      <c r="F2424" s="4">
        <v>3.94</v>
      </c>
      <c r="G2424" s="5">
        <v>2</v>
      </c>
      <c r="H2424" t="s">
        <v>33</v>
      </c>
      <c r="I2424" t="s">
        <v>24</v>
      </c>
      <c r="J2424" s="6">
        <v>13.99</v>
      </c>
      <c r="K2424">
        <v>0</v>
      </c>
      <c r="L2424" t="s">
        <v>37</v>
      </c>
      <c r="M2424" s="5">
        <v>2</v>
      </c>
      <c r="N2424" s="4">
        <v>1.31</v>
      </c>
      <c r="O2424" t="s">
        <v>47</v>
      </c>
    </row>
    <row r="2425" spans="1:15" x14ac:dyDescent="0.3">
      <c r="A2425" t="s">
        <v>4294</v>
      </c>
      <c r="B2425" s="5">
        <v>42</v>
      </c>
      <c r="C2425" s="5" t="str" cm="1">
        <f t="array" ref="C2425">_xlfn.IFS(worksheet[[#This Row],[age]]&lt;25,"1. Young Adulthood (18-24)",worksheet[[#This Row],[age]]&lt; 35,"2. Early Adulthood (25-34)",worksheet[[#This Row],[age]]&lt; 45,"3. Mid Adulthood (35-44)",worksheet[[#This Row],[age]]&lt; 55,"4. Mature Adulthood (45-54)",TRUE,"5. Late Adulthood/Senior (55+)")</f>
        <v>3. Mid Adulthood (35-44)</v>
      </c>
      <c r="D2425" t="s">
        <v>15</v>
      </c>
      <c r="E2425" t="s">
        <v>16</v>
      </c>
      <c r="F2425" s="4">
        <v>3.47</v>
      </c>
      <c r="G2425" s="5">
        <v>36</v>
      </c>
      <c r="H2425" t="s">
        <v>49</v>
      </c>
      <c r="I2425" t="s">
        <v>57</v>
      </c>
      <c r="J2425" s="6">
        <v>8.99</v>
      </c>
      <c r="K2425">
        <v>1</v>
      </c>
      <c r="L2425" t="s">
        <v>61</v>
      </c>
      <c r="M2425" s="5">
        <v>5</v>
      </c>
      <c r="N2425" s="4">
        <v>0.09</v>
      </c>
      <c r="O2425" t="s">
        <v>52</v>
      </c>
    </row>
    <row r="2426" spans="1:15" x14ac:dyDescent="0.3">
      <c r="A2426" t="s">
        <v>4300</v>
      </c>
      <c r="B2426" s="5">
        <v>39</v>
      </c>
      <c r="C2426" s="5" t="str" cm="1">
        <f t="array" ref="C2426">_xlfn.IFS(worksheet[[#This Row],[age]]&lt;25,"1. Young Adulthood (18-24)",worksheet[[#This Row],[age]]&lt; 35,"2. Early Adulthood (25-34)",worksheet[[#This Row],[age]]&lt; 45,"3. Mid Adulthood (35-44)",worksheet[[#This Row],[age]]&lt; 55,"4. Mature Adulthood (45-54)",TRUE,"5. Late Adulthood/Senior (55+)")</f>
        <v>3. Mid Adulthood (35-44)</v>
      </c>
      <c r="D2426" t="s">
        <v>41</v>
      </c>
      <c r="E2426" t="s">
        <v>32</v>
      </c>
      <c r="F2426" s="4">
        <v>7.64</v>
      </c>
      <c r="G2426" s="5">
        <v>40</v>
      </c>
      <c r="H2426" t="s">
        <v>33</v>
      </c>
      <c r="I2426" t="s">
        <v>55</v>
      </c>
      <c r="J2426" s="6">
        <v>17.989999999999998</v>
      </c>
      <c r="K2426">
        <v>1</v>
      </c>
      <c r="L2426" t="s">
        <v>43</v>
      </c>
      <c r="M2426" s="5">
        <v>1</v>
      </c>
      <c r="N2426" s="4">
        <v>0.19</v>
      </c>
      <c r="O2426" t="s">
        <v>20</v>
      </c>
    </row>
    <row r="2427" spans="1:15" x14ac:dyDescent="0.3">
      <c r="A2427" t="s">
        <v>4302</v>
      </c>
      <c r="B2427" s="5">
        <v>39</v>
      </c>
      <c r="C2427" s="5" t="str" cm="1">
        <f t="array" ref="C2427">_xlfn.IFS(worksheet[[#This Row],[age]]&lt;25,"1. Young Adulthood (18-24)",worksheet[[#This Row],[age]]&lt; 35,"2. Early Adulthood (25-34)",worksheet[[#This Row],[age]]&lt; 45,"3. Mid Adulthood (35-44)",worksheet[[#This Row],[age]]&lt; 55,"4. Mature Adulthood (45-54)",TRUE,"5. Late Adulthood/Senior (55+)")</f>
        <v>3. Mid Adulthood (35-44)</v>
      </c>
      <c r="D2427" t="s">
        <v>15</v>
      </c>
      <c r="E2427" t="s">
        <v>16</v>
      </c>
      <c r="F2427" s="4">
        <v>12.17</v>
      </c>
      <c r="G2427" s="5">
        <v>18</v>
      </c>
      <c r="H2427" t="s">
        <v>49</v>
      </c>
      <c r="I2427" t="s">
        <v>18</v>
      </c>
      <c r="J2427" s="6">
        <v>8.99</v>
      </c>
      <c r="K2427">
        <v>0</v>
      </c>
      <c r="L2427" t="s">
        <v>61</v>
      </c>
      <c r="M2427" s="5">
        <v>5</v>
      </c>
      <c r="N2427" s="4">
        <v>0.64</v>
      </c>
      <c r="O2427" t="s">
        <v>25</v>
      </c>
    </row>
    <row r="2428" spans="1:15" x14ac:dyDescent="0.3">
      <c r="A2428" t="s">
        <v>4306</v>
      </c>
      <c r="B2428" s="5">
        <v>43</v>
      </c>
      <c r="C2428" s="5" t="str" cm="1">
        <f t="array" ref="C2428">_xlfn.IFS(worksheet[[#This Row],[age]]&lt;25,"1. Young Adulthood (18-24)",worksheet[[#This Row],[age]]&lt; 35,"2. Early Adulthood (25-34)",worksheet[[#This Row],[age]]&lt; 45,"3. Mid Adulthood (35-44)",worksheet[[#This Row],[age]]&lt; 55,"4. Mature Adulthood (45-54)",TRUE,"5. Late Adulthood/Senior (55+)")</f>
        <v>3. Mid Adulthood (35-44)</v>
      </c>
      <c r="D2428" t="s">
        <v>41</v>
      </c>
      <c r="E2428" t="s">
        <v>22</v>
      </c>
      <c r="F2428" s="4">
        <v>0.24</v>
      </c>
      <c r="G2428" s="5">
        <v>3</v>
      </c>
      <c r="H2428" t="s">
        <v>23</v>
      </c>
      <c r="I2428" t="s">
        <v>24</v>
      </c>
      <c r="J2428" s="6">
        <v>13.99</v>
      </c>
      <c r="K2428">
        <v>1</v>
      </c>
      <c r="L2428" t="s">
        <v>19</v>
      </c>
      <c r="M2428" s="5">
        <v>3</v>
      </c>
      <c r="N2428" s="4">
        <v>0.06</v>
      </c>
      <c r="O2428" t="s">
        <v>39</v>
      </c>
    </row>
    <row r="2429" spans="1:15" x14ac:dyDescent="0.3">
      <c r="A2429" t="s">
        <v>4315</v>
      </c>
      <c r="B2429" s="5">
        <v>39</v>
      </c>
      <c r="C2429" s="5" t="str" cm="1">
        <f t="array" ref="C2429">_xlfn.IFS(worksheet[[#This Row],[age]]&lt;25,"1. Young Adulthood (18-24)",worksheet[[#This Row],[age]]&lt; 35,"2. Early Adulthood (25-34)",worksheet[[#This Row],[age]]&lt; 45,"3. Mid Adulthood (35-44)",worksheet[[#This Row],[age]]&lt; 55,"4. Mature Adulthood (45-54)",TRUE,"5. Late Adulthood/Senior (55+)")</f>
        <v>3. Mid Adulthood (35-44)</v>
      </c>
      <c r="D2429" t="s">
        <v>15</v>
      </c>
      <c r="E2429" t="s">
        <v>32</v>
      </c>
      <c r="F2429" s="4">
        <v>18.98</v>
      </c>
      <c r="G2429" s="5">
        <v>37</v>
      </c>
      <c r="H2429" t="s">
        <v>28</v>
      </c>
      <c r="I2429" t="s">
        <v>46</v>
      </c>
      <c r="J2429" s="6">
        <v>17.989999999999998</v>
      </c>
      <c r="K2429">
        <v>0</v>
      </c>
      <c r="L2429" t="s">
        <v>19</v>
      </c>
      <c r="M2429" s="5">
        <v>3</v>
      </c>
      <c r="N2429" s="4">
        <v>0.5</v>
      </c>
      <c r="O2429" t="s">
        <v>47</v>
      </c>
    </row>
    <row r="2430" spans="1:15" x14ac:dyDescent="0.3">
      <c r="A2430" t="s">
        <v>4317</v>
      </c>
      <c r="B2430" s="5">
        <v>38</v>
      </c>
      <c r="C2430" s="5" t="str" cm="1">
        <f t="array" ref="C2430">_xlfn.IFS(worksheet[[#This Row],[age]]&lt;25,"1. Young Adulthood (18-24)",worksheet[[#This Row],[age]]&lt; 35,"2. Early Adulthood (25-34)",worksheet[[#This Row],[age]]&lt; 45,"3. Mid Adulthood (35-44)",worksheet[[#This Row],[age]]&lt; 55,"4. Mature Adulthood (45-54)",TRUE,"5. Late Adulthood/Senior (55+)")</f>
        <v>3. Mid Adulthood (35-44)</v>
      </c>
      <c r="D2430" t="s">
        <v>27</v>
      </c>
      <c r="E2430" t="s">
        <v>32</v>
      </c>
      <c r="F2430" s="4">
        <v>15.01</v>
      </c>
      <c r="G2430" s="5">
        <v>31</v>
      </c>
      <c r="H2430" t="s">
        <v>17</v>
      </c>
      <c r="I2430" t="s">
        <v>55</v>
      </c>
      <c r="J2430" s="6">
        <v>17.989999999999998</v>
      </c>
      <c r="K2430">
        <v>0</v>
      </c>
      <c r="L2430" t="s">
        <v>37</v>
      </c>
      <c r="M2430" s="5">
        <v>5</v>
      </c>
      <c r="N2430" s="4">
        <v>0.47</v>
      </c>
      <c r="O2430" t="s">
        <v>25</v>
      </c>
    </row>
    <row r="2431" spans="1:15" x14ac:dyDescent="0.3">
      <c r="A2431" t="s">
        <v>4331</v>
      </c>
      <c r="B2431" s="5">
        <v>35</v>
      </c>
      <c r="C2431" s="5" t="str" cm="1">
        <f t="array" ref="C2431">_xlfn.IFS(worksheet[[#This Row],[age]]&lt;25,"1. Young Adulthood (18-24)",worksheet[[#This Row],[age]]&lt; 35,"2. Early Adulthood (25-34)",worksheet[[#This Row],[age]]&lt; 45,"3. Mid Adulthood (35-44)",worksheet[[#This Row],[age]]&lt; 55,"4. Mature Adulthood (45-54)",TRUE,"5. Late Adulthood/Senior (55+)")</f>
        <v>3. Mid Adulthood (35-44)</v>
      </c>
      <c r="D2431" t="s">
        <v>27</v>
      </c>
      <c r="E2431" t="s">
        <v>32</v>
      </c>
      <c r="F2431" s="4">
        <v>9.9700000000000006</v>
      </c>
      <c r="G2431" s="5">
        <v>13</v>
      </c>
      <c r="H2431" t="s">
        <v>17</v>
      </c>
      <c r="I2431" t="s">
        <v>18</v>
      </c>
      <c r="J2431" s="6">
        <v>17.989999999999998</v>
      </c>
      <c r="K2431">
        <v>0</v>
      </c>
      <c r="L2431" t="s">
        <v>37</v>
      </c>
      <c r="M2431" s="5">
        <v>5</v>
      </c>
      <c r="N2431" s="4">
        <v>0.71</v>
      </c>
      <c r="O2431" t="s">
        <v>30</v>
      </c>
    </row>
    <row r="2432" spans="1:15" x14ac:dyDescent="0.3">
      <c r="A2432" t="s">
        <v>4335</v>
      </c>
      <c r="B2432" s="5">
        <v>38</v>
      </c>
      <c r="C2432" s="5" t="str" cm="1">
        <f t="array" ref="C2432">_xlfn.IFS(worksheet[[#This Row],[age]]&lt;25,"1. Young Adulthood (18-24)",worksheet[[#This Row],[age]]&lt; 35,"2. Early Adulthood (25-34)",worksheet[[#This Row],[age]]&lt; 45,"3. Mid Adulthood (35-44)",worksheet[[#This Row],[age]]&lt; 55,"4. Mature Adulthood (45-54)",TRUE,"5. Late Adulthood/Senior (55+)")</f>
        <v>3. Mid Adulthood (35-44)</v>
      </c>
      <c r="D2432" t="s">
        <v>41</v>
      </c>
      <c r="E2432" t="s">
        <v>16</v>
      </c>
      <c r="F2432" s="4">
        <v>6.95</v>
      </c>
      <c r="G2432" s="5">
        <v>17</v>
      </c>
      <c r="H2432" t="s">
        <v>49</v>
      </c>
      <c r="I2432" t="s">
        <v>57</v>
      </c>
      <c r="J2432" s="6">
        <v>8.99</v>
      </c>
      <c r="K2432">
        <v>0</v>
      </c>
      <c r="L2432" t="s">
        <v>61</v>
      </c>
      <c r="M2432" s="5">
        <v>5</v>
      </c>
      <c r="N2432" s="4">
        <v>0.39</v>
      </c>
      <c r="O2432" t="s">
        <v>52</v>
      </c>
    </row>
    <row r="2433" spans="1:15" x14ac:dyDescent="0.3">
      <c r="A2433" t="s">
        <v>4342</v>
      </c>
      <c r="B2433" s="5">
        <v>41</v>
      </c>
      <c r="C2433" s="5" t="str" cm="1">
        <f t="array" ref="C2433">_xlfn.IFS(worksheet[[#This Row],[age]]&lt;25,"1. Young Adulthood (18-24)",worksheet[[#This Row],[age]]&lt; 35,"2. Early Adulthood (25-34)",worksheet[[#This Row],[age]]&lt; 45,"3. Mid Adulthood (35-44)",worksheet[[#This Row],[age]]&lt; 55,"4. Mature Adulthood (45-54)",TRUE,"5. Late Adulthood/Senior (55+)")</f>
        <v>3. Mid Adulthood (35-44)</v>
      </c>
      <c r="D2433" t="s">
        <v>41</v>
      </c>
      <c r="E2433" t="s">
        <v>32</v>
      </c>
      <c r="F2433" s="4">
        <v>1.34</v>
      </c>
      <c r="G2433" s="5">
        <v>4</v>
      </c>
      <c r="H2433" t="s">
        <v>23</v>
      </c>
      <c r="I2433" t="s">
        <v>46</v>
      </c>
      <c r="J2433" s="6">
        <v>17.989999999999998</v>
      </c>
      <c r="K2433">
        <v>0</v>
      </c>
      <c r="L2433" t="s">
        <v>43</v>
      </c>
      <c r="M2433" s="5">
        <v>2</v>
      </c>
      <c r="N2433" s="4">
        <v>0.27</v>
      </c>
      <c r="O2433" t="s">
        <v>20</v>
      </c>
    </row>
    <row r="2434" spans="1:15" x14ac:dyDescent="0.3">
      <c r="A2434" t="s">
        <v>4356</v>
      </c>
      <c r="B2434" s="5">
        <v>43</v>
      </c>
      <c r="C2434" s="5" t="str" cm="1">
        <f t="array" ref="C2434">_xlfn.IFS(worksheet[[#This Row],[age]]&lt;25,"1. Young Adulthood (18-24)",worksheet[[#This Row],[age]]&lt; 35,"2. Early Adulthood (25-34)",worksheet[[#This Row],[age]]&lt; 45,"3. Mid Adulthood (35-44)",worksheet[[#This Row],[age]]&lt; 55,"4. Mature Adulthood (45-54)",TRUE,"5. Late Adulthood/Senior (55+)")</f>
        <v>3. Mid Adulthood (35-44)</v>
      </c>
      <c r="D2434" t="s">
        <v>15</v>
      </c>
      <c r="E2434" t="s">
        <v>32</v>
      </c>
      <c r="F2434" s="4">
        <v>5.78</v>
      </c>
      <c r="G2434" s="5">
        <v>11</v>
      </c>
      <c r="H2434" t="s">
        <v>17</v>
      </c>
      <c r="I2434" t="s">
        <v>55</v>
      </c>
      <c r="J2434" s="6">
        <v>17.989999999999998</v>
      </c>
      <c r="K2434">
        <v>0</v>
      </c>
      <c r="L2434" t="s">
        <v>43</v>
      </c>
      <c r="M2434" s="5">
        <v>5</v>
      </c>
      <c r="N2434" s="4">
        <v>0.48</v>
      </c>
      <c r="O2434" t="s">
        <v>25</v>
      </c>
    </row>
    <row r="2435" spans="1:15" x14ac:dyDescent="0.3">
      <c r="A2435" t="s">
        <v>4369</v>
      </c>
      <c r="B2435" s="5">
        <v>44</v>
      </c>
      <c r="C2435" s="5" t="str" cm="1">
        <f t="array" ref="C2435">_xlfn.IFS(worksheet[[#This Row],[age]]&lt;25,"1. Young Adulthood (18-24)",worksheet[[#This Row],[age]]&lt; 35,"2. Early Adulthood (25-34)",worksheet[[#This Row],[age]]&lt; 45,"3. Mid Adulthood (35-44)",worksheet[[#This Row],[age]]&lt; 55,"4. Mature Adulthood (45-54)",TRUE,"5. Late Adulthood/Senior (55+)")</f>
        <v>3. Mid Adulthood (35-44)</v>
      </c>
      <c r="D2435" t="s">
        <v>15</v>
      </c>
      <c r="E2435" t="s">
        <v>16</v>
      </c>
      <c r="F2435" s="4">
        <v>5.85</v>
      </c>
      <c r="G2435" s="5">
        <v>5</v>
      </c>
      <c r="H2435" t="s">
        <v>28</v>
      </c>
      <c r="I2435" t="s">
        <v>57</v>
      </c>
      <c r="J2435" s="6">
        <v>8.99</v>
      </c>
      <c r="K2435">
        <v>0</v>
      </c>
      <c r="L2435" t="s">
        <v>43</v>
      </c>
      <c r="M2435" s="5">
        <v>1</v>
      </c>
      <c r="N2435" s="4">
        <v>0.97</v>
      </c>
      <c r="O2435" t="s">
        <v>20</v>
      </c>
    </row>
    <row r="2436" spans="1:15" x14ac:dyDescent="0.3">
      <c r="A2436" t="s">
        <v>4371</v>
      </c>
      <c r="B2436" s="5">
        <v>41</v>
      </c>
      <c r="C2436" s="5" t="str" cm="1">
        <f t="array" ref="C2436">_xlfn.IFS(worksheet[[#This Row],[age]]&lt;25,"1. Young Adulthood (18-24)",worksheet[[#This Row],[age]]&lt; 35,"2. Early Adulthood (25-34)",worksheet[[#This Row],[age]]&lt; 45,"3. Mid Adulthood (35-44)",worksheet[[#This Row],[age]]&lt; 55,"4. Mature Adulthood (45-54)",TRUE,"5. Late Adulthood/Senior (55+)")</f>
        <v>3. Mid Adulthood (35-44)</v>
      </c>
      <c r="D2436" t="s">
        <v>15</v>
      </c>
      <c r="E2436" t="s">
        <v>32</v>
      </c>
      <c r="F2436" s="4">
        <v>2.4900000000000002</v>
      </c>
      <c r="G2436" s="5">
        <v>26</v>
      </c>
      <c r="H2436" t="s">
        <v>23</v>
      </c>
      <c r="I2436" t="s">
        <v>18</v>
      </c>
      <c r="J2436" s="6">
        <v>17.989999999999998</v>
      </c>
      <c r="K2436">
        <v>1</v>
      </c>
      <c r="L2436" t="s">
        <v>29</v>
      </c>
      <c r="M2436" s="5">
        <v>2</v>
      </c>
      <c r="N2436" s="4">
        <v>0.09</v>
      </c>
      <c r="O2436" t="s">
        <v>20</v>
      </c>
    </row>
    <row r="2437" spans="1:15" x14ac:dyDescent="0.3">
      <c r="A2437" t="s">
        <v>4372</v>
      </c>
      <c r="B2437" s="5">
        <v>40</v>
      </c>
      <c r="C2437" s="5" t="str" cm="1">
        <f t="array" ref="C2437">_xlfn.IFS(worksheet[[#This Row],[age]]&lt;25,"1. Young Adulthood (18-24)",worksheet[[#This Row],[age]]&lt; 35,"2. Early Adulthood (25-34)",worksheet[[#This Row],[age]]&lt; 45,"3. Mid Adulthood (35-44)",worksheet[[#This Row],[age]]&lt; 55,"4. Mature Adulthood (45-54)",TRUE,"5. Late Adulthood/Senior (55+)")</f>
        <v>3. Mid Adulthood (35-44)</v>
      </c>
      <c r="D2437" t="s">
        <v>41</v>
      </c>
      <c r="E2437" t="s">
        <v>16</v>
      </c>
      <c r="F2437" s="4">
        <v>14.79</v>
      </c>
      <c r="G2437" s="5">
        <v>15</v>
      </c>
      <c r="H2437" t="s">
        <v>23</v>
      </c>
      <c r="I2437" t="s">
        <v>18</v>
      </c>
      <c r="J2437" s="6">
        <v>8.99</v>
      </c>
      <c r="K2437">
        <v>0</v>
      </c>
      <c r="L2437" t="s">
        <v>61</v>
      </c>
      <c r="M2437" s="5">
        <v>1</v>
      </c>
      <c r="N2437" s="4">
        <v>0.92</v>
      </c>
      <c r="O2437" t="s">
        <v>25</v>
      </c>
    </row>
    <row r="2438" spans="1:15" x14ac:dyDescent="0.3">
      <c r="A2438" t="s">
        <v>4373</v>
      </c>
      <c r="B2438" s="5">
        <v>42</v>
      </c>
      <c r="C2438" s="5" t="str" cm="1">
        <f t="array" ref="C2438">_xlfn.IFS(worksheet[[#This Row],[age]]&lt;25,"1. Young Adulthood (18-24)",worksheet[[#This Row],[age]]&lt; 35,"2. Early Adulthood (25-34)",worksheet[[#This Row],[age]]&lt; 45,"3. Mid Adulthood (35-44)",worksheet[[#This Row],[age]]&lt; 55,"4. Mature Adulthood (45-54)",TRUE,"5. Late Adulthood/Senior (55+)")</f>
        <v>3. Mid Adulthood (35-44)</v>
      </c>
      <c r="D2438" t="s">
        <v>15</v>
      </c>
      <c r="E2438" t="s">
        <v>16</v>
      </c>
      <c r="F2438" s="4">
        <v>0.33</v>
      </c>
      <c r="G2438" s="5">
        <v>43</v>
      </c>
      <c r="H2438" t="s">
        <v>33</v>
      </c>
      <c r="I2438" t="s">
        <v>18</v>
      </c>
      <c r="J2438" s="6">
        <v>8.99</v>
      </c>
      <c r="K2438">
        <v>1</v>
      </c>
      <c r="L2438" t="s">
        <v>19</v>
      </c>
      <c r="M2438" s="5">
        <v>2</v>
      </c>
      <c r="N2438" s="4">
        <v>0.01</v>
      </c>
      <c r="O2438" t="s">
        <v>52</v>
      </c>
    </row>
    <row r="2439" spans="1:15" x14ac:dyDescent="0.3">
      <c r="A2439" t="s">
        <v>4379</v>
      </c>
      <c r="B2439" s="5">
        <v>36</v>
      </c>
      <c r="C2439" s="5" t="str" cm="1">
        <f t="array" ref="C2439">_xlfn.IFS(worksheet[[#This Row],[age]]&lt;25,"1. Young Adulthood (18-24)",worksheet[[#This Row],[age]]&lt; 35,"2. Early Adulthood (25-34)",worksheet[[#This Row],[age]]&lt; 45,"3. Mid Adulthood (35-44)",worksheet[[#This Row],[age]]&lt; 55,"4. Mature Adulthood (45-54)",TRUE,"5. Late Adulthood/Senior (55+)")</f>
        <v>3. Mid Adulthood (35-44)</v>
      </c>
      <c r="D2439" t="s">
        <v>27</v>
      </c>
      <c r="E2439" t="s">
        <v>32</v>
      </c>
      <c r="F2439" s="4">
        <v>17.329999999999998</v>
      </c>
      <c r="G2439" s="5">
        <v>21</v>
      </c>
      <c r="H2439" t="s">
        <v>49</v>
      </c>
      <c r="I2439" t="s">
        <v>24</v>
      </c>
      <c r="J2439" s="6">
        <v>17.989999999999998</v>
      </c>
      <c r="K2439">
        <v>0</v>
      </c>
      <c r="L2439" t="s">
        <v>29</v>
      </c>
      <c r="M2439" s="5">
        <v>4</v>
      </c>
      <c r="N2439" s="4">
        <v>0.79</v>
      </c>
      <c r="O2439" t="s">
        <v>30</v>
      </c>
    </row>
    <row r="2440" spans="1:15" x14ac:dyDescent="0.3">
      <c r="A2440" t="s">
        <v>4381</v>
      </c>
      <c r="B2440" s="5">
        <v>38</v>
      </c>
      <c r="C2440" s="5" t="str" cm="1">
        <f t="array" ref="C2440">_xlfn.IFS(worksheet[[#This Row],[age]]&lt;25,"1. Young Adulthood (18-24)",worksheet[[#This Row],[age]]&lt; 35,"2. Early Adulthood (25-34)",worksheet[[#This Row],[age]]&lt; 45,"3. Mid Adulthood (35-44)",worksheet[[#This Row],[age]]&lt; 55,"4. Mature Adulthood (45-54)",TRUE,"5. Late Adulthood/Senior (55+)")</f>
        <v>3. Mid Adulthood (35-44)</v>
      </c>
      <c r="D2440" t="s">
        <v>27</v>
      </c>
      <c r="E2440" t="s">
        <v>16</v>
      </c>
      <c r="F2440" s="4">
        <v>76.2</v>
      </c>
      <c r="G2440" s="5">
        <v>12</v>
      </c>
      <c r="H2440" t="s">
        <v>17</v>
      </c>
      <c r="I2440" t="s">
        <v>46</v>
      </c>
      <c r="J2440" s="6">
        <v>8.99</v>
      </c>
      <c r="K2440">
        <v>0</v>
      </c>
      <c r="L2440" t="s">
        <v>29</v>
      </c>
      <c r="M2440" s="5">
        <v>5</v>
      </c>
      <c r="N2440" s="4">
        <v>5.86</v>
      </c>
      <c r="O2440" t="s">
        <v>39</v>
      </c>
    </row>
    <row r="2441" spans="1:15" x14ac:dyDescent="0.3">
      <c r="A2441" t="s">
        <v>4389</v>
      </c>
      <c r="B2441" s="5">
        <v>44</v>
      </c>
      <c r="C2441" s="5" t="str" cm="1">
        <f t="array" ref="C2441">_xlfn.IFS(worksheet[[#This Row],[age]]&lt;25,"1. Young Adulthood (18-24)",worksheet[[#This Row],[age]]&lt; 35,"2. Early Adulthood (25-34)",worksheet[[#This Row],[age]]&lt; 45,"3. Mid Adulthood (35-44)",worksheet[[#This Row],[age]]&lt; 55,"4. Mature Adulthood (45-54)",TRUE,"5. Late Adulthood/Senior (55+)")</f>
        <v>3. Mid Adulthood (35-44)</v>
      </c>
      <c r="D2441" t="s">
        <v>27</v>
      </c>
      <c r="E2441" t="s">
        <v>16</v>
      </c>
      <c r="F2441" s="4">
        <v>40.75</v>
      </c>
      <c r="G2441" s="5">
        <v>9</v>
      </c>
      <c r="H2441" t="s">
        <v>49</v>
      </c>
      <c r="I2441" t="s">
        <v>55</v>
      </c>
      <c r="J2441" s="6">
        <v>8.99</v>
      </c>
      <c r="K2441">
        <v>0</v>
      </c>
      <c r="L2441" t="s">
        <v>19</v>
      </c>
      <c r="M2441" s="5">
        <v>1</v>
      </c>
      <c r="N2441" s="4">
        <v>4.08</v>
      </c>
      <c r="O2441" t="s">
        <v>52</v>
      </c>
    </row>
    <row r="2442" spans="1:15" x14ac:dyDescent="0.3">
      <c r="A2442" t="s">
        <v>4397</v>
      </c>
      <c r="B2442" s="5">
        <v>44</v>
      </c>
      <c r="C2442" s="5" t="str" cm="1">
        <f t="array" ref="C2442">_xlfn.IFS(worksheet[[#This Row],[age]]&lt;25,"1. Young Adulthood (18-24)",worksheet[[#This Row],[age]]&lt; 35,"2. Early Adulthood (25-34)",worksheet[[#This Row],[age]]&lt; 45,"3. Mid Adulthood (35-44)",worksheet[[#This Row],[age]]&lt; 55,"4. Mature Adulthood (45-54)",TRUE,"5. Late Adulthood/Senior (55+)")</f>
        <v>3. Mid Adulthood (35-44)</v>
      </c>
      <c r="D2442" t="s">
        <v>15</v>
      </c>
      <c r="E2442" t="s">
        <v>32</v>
      </c>
      <c r="F2442" s="4">
        <v>6.78</v>
      </c>
      <c r="G2442" s="5">
        <v>6</v>
      </c>
      <c r="H2442" t="s">
        <v>17</v>
      </c>
      <c r="I2442" t="s">
        <v>46</v>
      </c>
      <c r="J2442" s="6">
        <v>17.989999999999998</v>
      </c>
      <c r="K2442">
        <v>0</v>
      </c>
      <c r="L2442" t="s">
        <v>43</v>
      </c>
      <c r="M2442" s="5">
        <v>5</v>
      </c>
      <c r="N2442" s="4">
        <v>0.97</v>
      </c>
      <c r="O2442" t="s">
        <v>20</v>
      </c>
    </row>
    <row r="2443" spans="1:15" x14ac:dyDescent="0.3">
      <c r="A2443" t="s">
        <v>4402</v>
      </c>
      <c r="B2443" s="5">
        <v>36</v>
      </c>
      <c r="C2443" s="5" t="str" cm="1">
        <f t="array" ref="C2443">_xlfn.IFS(worksheet[[#This Row],[age]]&lt;25,"1. Young Adulthood (18-24)",worksheet[[#This Row],[age]]&lt; 35,"2. Early Adulthood (25-34)",worksheet[[#This Row],[age]]&lt; 45,"3. Mid Adulthood (35-44)",worksheet[[#This Row],[age]]&lt; 55,"4. Mature Adulthood (45-54)",TRUE,"5. Late Adulthood/Senior (55+)")</f>
        <v>3. Mid Adulthood (35-44)</v>
      </c>
      <c r="D2443" t="s">
        <v>27</v>
      </c>
      <c r="E2443" t="s">
        <v>22</v>
      </c>
      <c r="F2443" s="4">
        <v>16.29</v>
      </c>
      <c r="G2443" s="5">
        <v>48</v>
      </c>
      <c r="H2443" t="s">
        <v>70</v>
      </c>
      <c r="I2443" t="s">
        <v>24</v>
      </c>
      <c r="J2443" s="6">
        <v>13.99</v>
      </c>
      <c r="K2443">
        <v>1</v>
      </c>
      <c r="L2443" t="s">
        <v>29</v>
      </c>
      <c r="M2443" s="5">
        <v>4</v>
      </c>
      <c r="N2443" s="4">
        <v>0.33</v>
      </c>
      <c r="O2443" t="s">
        <v>52</v>
      </c>
    </row>
    <row r="2444" spans="1:15" x14ac:dyDescent="0.3">
      <c r="A2444" t="s">
        <v>4412</v>
      </c>
      <c r="B2444" s="5">
        <v>44</v>
      </c>
      <c r="C2444" s="5" t="str" cm="1">
        <f t="array" ref="C2444">_xlfn.IFS(worksheet[[#This Row],[age]]&lt;25,"1. Young Adulthood (18-24)",worksheet[[#This Row],[age]]&lt; 35,"2. Early Adulthood (25-34)",worksheet[[#This Row],[age]]&lt; 45,"3. Mid Adulthood (35-44)",worksheet[[#This Row],[age]]&lt; 55,"4. Mature Adulthood (45-54)",TRUE,"5. Late Adulthood/Senior (55+)")</f>
        <v>3. Mid Adulthood (35-44)</v>
      </c>
      <c r="D2444" t="s">
        <v>15</v>
      </c>
      <c r="E2444" t="s">
        <v>22</v>
      </c>
      <c r="F2444" s="4">
        <v>12.56</v>
      </c>
      <c r="G2444" s="5">
        <v>53</v>
      </c>
      <c r="H2444" t="s">
        <v>70</v>
      </c>
      <c r="I2444" t="s">
        <v>46</v>
      </c>
      <c r="J2444" s="6">
        <v>13.99</v>
      </c>
      <c r="K2444">
        <v>1</v>
      </c>
      <c r="L2444" t="s">
        <v>29</v>
      </c>
      <c r="M2444" s="5">
        <v>3</v>
      </c>
      <c r="N2444" s="4">
        <v>0.23</v>
      </c>
      <c r="O2444" t="s">
        <v>20</v>
      </c>
    </row>
    <row r="2445" spans="1:15" x14ac:dyDescent="0.3">
      <c r="A2445" t="s">
        <v>4413</v>
      </c>
      <c r="B2445" s="5">
        <v>39</v>
      </c>
      <c r="C2445" s="5" t="str" cm="1">
        <f t="array" ref="C2445">_xlfn.IFS(worksheet[[#This Row],[age]]&lt;25,"1. Young Adulthood (18-24)",worksheet[[#This Row],[age]]&lt; 35,"2. Early Adulthood (25-34)",worksheet[[#This Row],[age]]&lt; 45,"3. Mid Adulthood (35-44)",worksheet[[#This Row],[age]]&lt; 55,"4. Mature Adulthood (45-54)",TRUE,"5. Late Adulthood/Senior (55+)")</f>
        <v>3. Mid Adulthood (35-44)</v>
      </c>
      <c r="D2445" t="s">
        <v>41</v>
      </c>
      <c r="E2445" t="s">
        <v>16</v>
      </c>
      <c r="F2445" s="4">
        <v>34.56</v>
      </c>
      <c r="G2445" s="5">
        <v>39</v>
      </c>
      <c r="H2445" t="s">
        <v>23</v>
      </c>
      <c r="I2445" t="s">
        <v>24</v>
      </c>
      <c r="J2445" s="6">
        <v>8.99</v>
      </c>
      <c r="K2445">
        <v>0</v>
      </c>
      <c r="L2445" t="s">
        <v>37</v>
      </c>
      <c r="M2445" s="5">
        <v>1</v>
      </c>
      <c r="N2445" s="4">
        <v>0.86</v>
      </c>
      <c r="O2445" t="s">
        <v>47</v>
      </c>
    </row>
    <row r="2446" spans="1:15" x14ac:dyDescent="0.3">
      <c r="A2446" t="s">
        <v>4416</v>
      </c>
      <c r="B2446" s="5">
        <v>36</v>
      </c>
      <c r="C2446" s="5" t="str" cm="1">
        <f t="array" ref="C2446">_xlfn.IFS(worksheet[[#This Row],[age]]&lt;25,"1. Young Adulthood (18-24)",worksheet[[#This Row],[age]]&lt; 35,"2. Early Adulthood (25-34)",worksheet[[#This Row],[age]]&lt; 45,"3. Mid Adulthood (35-44)",worksheet[[#This Row],[age]]&lt; 55,"4. Mature Adulthood (45-54)",TRUE,"5. Late Adulthood/Senior (55+)")</f>
        <v>3. Mid Adulthood (35-44)</v>
      </c>
      <c r="D2446" t="s">
        <v>15</v>
      </c>
      <c r="E2446" t="s">
        <v>16</v>
      </c>
      <c r="F2446" s="4">
        <v>1.1100000000000001</v>
      </c>
      <c r="G2446" s="5">
        <v>39</v>
      </c>
      <c r="H2446" t="s">
        <v>33</v>
      </c>
      <c r="I2446" t="s">
        <v>18</v>
      </c>
      <c r="J2446" s="6">
        <v>8.99</v>
      </c>
      <c r="K2446">
        <v>1</v>
      </c>
      <c r="L2446" t="s">
        <v>61</v>
      </c>
      <c r="M2446" s="5">
        <v>1</v>
      </c>
      <c r="N2446" s="4">
        <v>0.03</v>
      </c>
      <c r="O2446" t="s">
        <v>52</v>
      </c>
    </row>
    <row r="2447" spans="1:15" x14ac:dyDescent="0.3">
      <c r="A2447" s="1" t="s">
        <v>4428</v>
      </c>
      <c r="B2447" s="5">
        <v>39</v>
      </c>
      <c r="C2447" s="5" t="str" cm="1">
        <f t="array" ref="C2447">_xlfn.IFS(worksheet[[#This Row],[age]]&lt;25,"1. Young Adulthood (18-24)",worksheet[[#This Row],[age]]&lt; 35,"2. Early Adulthood (25-34)",worksheet[[#This Row],[age]]&lt; 45,"3. Mid Adulthood (35-44)",worksheet[[#This Row],[age]]&lt; 55,"4. Mature Adulthood (45-54)",TRUE,"5. Late Adulthood/Senior (55+)")</f>
        <v>3. Mid Adulthood (35-44)</v>
      </c>
      <c r="D2447" t="s">
        <v>15</v>
      </c>
      <c r="E2447" t="s">
        <v>32</v>
      </c>
      <c r="F2447" s="4">
        <v>11.04</v>
      </c>
      <c r="G2447" s="5">
        <v>60</v>
      </c>
      <c r="H2447" t="s">
        <v>23</v>
      </c>
      <c r="I2447" t="s">
        <v>57</v>
      </c>
      <c r="J2447" s="6">
        <v>17.989999999999998</v>
      </c>
      <c r="K2447">
        <v>1</v>
      </c>
      <c r="L2447" t="s">
        <v>29</v>
      </c>
      <c r="M2447" s="5">
        <v>4</v>
      </c>
      <c r="N2447" s="4">
        <v>0.18</v>
      </c>
      <c r="O2447" t="s">
        <v>34</v>
      </c>
    </row>
    <row r="2448" spans="1:15" x14ac:dyDescent="0.3">
      <c r="A2448" t="s">
        <v>4435</v>
      </c>
      <c r="B2448" s="5">
        <v>44</v>
      </c>
      <c r="C2448" s="5" t="str" cm="1">
        <f t="array" ref="C2448">_xlfn.IFS(worksheet[[#This Row],[age]]&lt;25,"1. Young Adulthood (18-24)",worksheet[[#This Row],[age]]&lt; 35,"2. Early Adulthood (25-34)",worksheet[[#This Row],[age]]&lt; 45,"3. Mid Adulthood (35-44)",worksheet[[#This Row],[age]]&lt; 55,"4. Mature Adulthood (45-54)",TRUE,"5. Late Adulthood/Senior (55+)")</f>
        <v>3. Mid Adulthood (35-44)</v>
      </c>
      <c r="D2448" t="s">
        <v>41</v>
      </c>
      <c r="E2448" t="s">
        <v>22</v>
      </c>
      <c r="F2448" s="4">
        <v>1.01</v>
      </c>
      <c r="G2448" s="5">
        <v>13</v>
      </c>
      <c r="H2448" t="s">
        <v>23</v>
      </c>
      <c r="I2448" t="s">
        <v>46</v>
      </c>
      <c r="J2448" s="6">
        <v>13.99</v>
      </c>
      <c r="K2448">
        <v>0</v>
      </c>
      <c r="L2448" t="s">
        <v>43</v>
      </c>
      <c r="M2448" s="5">
        <v>4</v>
      </c>
      <c r="N2448" s="4">
        <v>7.0000000000000007E-2</v>
      </c>
      <c r="O2448" t="s">
        <v>20</v>
      </c>
    </row>
    <row r="2449" spans="1:15" x14ac:dyDescent="0.3">
      <c r="A2449" t="s">
        <v>4436</v>
      </c>
      <c r="B2449" s="5">
        <v>44</v>
      </c>
      <c r="C2449" s="5" t="str" cm="1">
        <f t="array" ref="C2449">_xlfn.IFS(worksheet[[#This Row],[age]]&lt;25,"1. Young Adulthood (18-24)",worksheet[[#This Row],[age]]&lt; 35,"2. Early Adulthood (25-34)",worksheet[[#This Row],[age]]&lt; 45,"3. Mid Adulthood (35-44)",worksheet[[#This Row],[age]]&lt; 55,"4. Mature Adulthood (45-54)",TRUE,"5. Late Adulthood/Senior (55+)")</f>
        <v>3. Mid Adulthood (35-44)</v>
      </c>
      <c r="D2449" t="s">
        <v>27</v>
      </c>
      <c r="E2449" t="s">
        <v>32</v>
      </c>
      <c r="F2449" s="4">
        <v>7.47</v>
      </c>
      <c r="G2449" s="5">
        <v>19</v>
      </c>
      <c r="H2449" t="s">
        <v>23</v>
      </c>
      <c r="I2449" t="s">
        <v>55</v>
      </c>
      <c r="J2449" s="6">
        <v>17.989999999999998</v>
      </c>
      <c r="K2449">
        <v>0</v>
      </c>
      <c r="L2449" t="s">
        <v>37</v>
      </c>
      <c r="M2449" s="5">
        <v>1</v>
      </c>
      <c r="N2449" s="4">
        <v>0.37</v>
      </c>
      <c r="O2449" t="s">
        <v>20</v>
      </c>
    </row>
    <row r="2450" spans="1:15" x14ac:dyDescent="0.3">
      <c r="A2450" t="s">
        <v>4438</v>
      </c>
      <c r="B2450" s="5">
        <v>38</v>
      </c>
      <c r="C2450" s="5" t="str" cm="1">
        <f t="array" ref="C2450">_xlfn.IFS(worksheet[[#This Row],[age]]&lt;25,"1. Young Adulthood (18-24)",worksheet[[#This Row],[age]]&lt; 35,"2. Early Adulthood (25-34)",worksheet[[#This Row],[age]]&lt; 45,"3. Mid Adulthood (35-44)",worksheet[[#This Row],[age]]&lt; 55,"4. Mature Adulthood (45-54)",TRUE,"5. Late Adulthood/Senior (55+)")</f>
        <v>3. Mid Adulthood (35-44)</v>
      </c>
      <c r="D2450" t="s">
        <v>27</v>
      </c>
      <c r="E2450" t="s">
        <v>16</v>
      </c>
      <c r="F2450" s="4">
        <v>39.29</v>
      </c>
      <c r="G2450" s="5">
        <v>54</v>
      </c>
      <c r="H2450" t="s">
        <v>70</v>
      </c>
      <c r="I2450" t="s">
        <v>18</v>
      </c>
      <c r="J2450" s="6">
        <v>8.99</v>
      </c>
      <c r="K2450">
        <v>0</v>
      </c>
      <c r="L2450" t="s">
        <v>61</v>
      </c>
      <c r="M2450" s="5">
        <v>5</v>
      </c>
      <c r="N2450" s="4">
        <v>0.71</v>
      </c>
      <c r="O2450" t="s">
        <v>39</v>
      </c>
    </row>
    <row r="2451" spans="1:15" x14ac:dyDescent="0.3">
      <c r="A2451" t="s">
        <v>4439</v>
      </c>
      <c r="B2451" s="5">
        <v>36</v>
      </c>
      <c r="C2451" s="5" t="str" cm="1">
        <f t="array" ref="C2451">_xlfn.IFS(worksheet[[#This Row],[age]]&lt;25,"1. Young Adulthood (18-24)",worksheet[[#This Row],[age]]&lt; 35,"2. Early Adulthood (25-34)",worksheet[[#This Row],[age]]&lt; 45,"3. Mid Adulthood (35-44)",worksheet[[#This Row],[age]]&lt; 55,"4. Mature Adulthood (45-54)",TRUE,"5. Late Adulthood/Senior (55+)")</f>
        <v>3. Mid Adulthood (35-44)</v>
      </c>
      <c r="D2451" t="s">
        <v>27</v>
      </c>
      <c r="E2451" t="s">
        <v>22</v>
      </c>
      <c r="F2451" s="4">
        <v>3.16</v>
      </c>
      <c r="G2451" s="5">
        <v>23</v>
      </c>
      <c r="H2451" t="s">
        <v>33</v>
      </c>
      <c r="I2451" t="s">
        <v>57</v>
      </c>
      <c r="J2451" s="6">
        <v>13.99</v>
      </c>
      <c r="K2451">
        <v>1</v>
      </c>
      <c r="L2451" t="s">
        <v>29</v>
      </c>
      <c r="M2451" s="5">
        <v>5</v>
      </c>
      <c r="N2451" s="4">
        <v>0.13</v>
      </c>
      <c r="O2451" t="s">
        <v>47</v>
      </c>
    </row>
    <row r="2452" spans="1:15" x14ac:dyDescent="0.3">
      <c r="A2452" t="s">
        <v>4442</v>
      </c>
      <c r="B2452" s="5">
        <v>37</v>
      </c>
      <c r="C2452" s="5" t="str" cm="1">
        <f t="array" ref="C2452">_xlfn.IFS(worksheet[[#This Row],[age]]&lt;25,"1. Young Adulthood (18-24)",worksheet[[#This Row],[age]]&lt; 35,"2. Early Adulthood (25-34)",worksheet[[#This Row],[age]]&lt; 45,"3. Mid Adulthood (35-44)",worksheet[[#This Row],[age]]&lt; 55,"4. Mature Adulthood (45-54)",TRUE,"5. Late Adulthood/Senior (55+)")</f>
        <v>3. Mid Adulthood (35-44)</v>
      </c>
      <c r="D2452" t="s">
        <v>41</v>
      </c>
      <c r="E2452" t="s">
        <v>22</v>
      </c>
      <c r="F2452" s="4">
        <v>3.72</v>
      </c>
      <c r="G2452" s="5">
        <v>31</v>
      </c>
      <c r="H2452" t="s">
        <v>17</v>
      </c>
      <c r="I2452" t="s">
        <v>24</v>
      </c>
      <c r="J2452" s="6">
        <v>13.99</v>
      </c>
      <c r="K2452">
        <v>1</v>
      </c>
      <c r="L2452" t="s">
        <v>37</v>
      </c>
      <c r="M2452" s="5">
        <v>2</v>
      </c>
      <c r="N2452" s="4">
        <v>0.12</v>
      </c>
      <c r="O2452" t="s">
        <v>39</v>
      </c>
    </row>
    <row r="2453" spans="1:15" x14ac:dyDescent="0.3">
      <c r="A2453" t="s">
        <v>4444</v>
      </c>
      <c r="B2453" s="5">
        <v>36</v>
      </c>
      <c r="C2453" s="5" t="str" cm="1">
        <f t="array" ref="C2453">_xlfn.IFS(worksheet[[#This Row],[age]]&lt;25,"1. Young Adulthood (18-24)",worksheet[[#This Row],[age]]&lt; 35,"2. Early Adulthood (25-34)",worksheet[[#This Row],[age]]&lt; 45,"3. Mid Adulthood (35-44)",worksheet[[#This Row],[age]]&lt; 55,"4. Mature Adulthood (45-54)",TRUE,"5. Late Adulthood/Senior (55+)")</f>
        <v>3. Mid Adulthood (35-44)</v>
      </c>
      <c r="D2453" t="s">
        <v>27</v>
      </c>
      <c r="E2453" t="s">
        <v>32</v>
      </c>
      <c r="F2453" s="4">
        <v>1.46</v>
      </c>
      <c r="G2453" s="5">
        <v>60</v>
      </c>
      <c r="H2453" t="s">
        <v>23</v>
      </c>
      <c r="I2453" t="s">
        <v>55</v>
      </c>
      <c r="J2453" s="6">
        <v>17.989999999999998</v>
      </c>
      <c r="K2453">
        <v>1</v>
      </c>
      <c r="L2453" t="s">
        <v>19</v>
      </c>
      <c r="M2453" s="5">
        <v>5</v>
      </c>
      <c r="N2453" s="4">
        <v>0.02</v>
      </c>
      <c r="O2453" t="s">
        <v>25</v>
      </c>
    </row>
    <row r="2454" spans="1:15" x14ac:dyDescent="0.3">
      <c r="A2454" t="s">
        <v>4447</v>
      </c>
      <c r="B2454" s="5">
        <v>37</v>
      </c>
      <c r="C2454" s="5" t="str" cm="1">
        <f t="array" ref="C2454">_xlfn.IFS(worksheet[[#This Row],[age]]&lt;25,"1. Young Adulthood (18-24)",worksheet[[#This Row],[age]]&lt; 35,"2. Early Adulthood (25-34)",worksheet[[#This Row],[age]]&lt; 45,"3. Mid Adulthood (35-44)",worksheet[[#This Row],[age]]&lt; 55,"4. Mature Adulthood (45-54)",TRUE,"5. Late Adulthood/Senior (55+)")</f>
        <v>3. Mid Adulthood (35-44)</v>
      </c>
      <c r="D2454" t="s">
        <v>41</v>
      </c>
      <c r="E2454" t="s">
        <v>32</v>
      </c>
      <c r="F2454" s="4">
        <v>2.44</v>
      </c>
      <c r="G2454" s="5">
        <v>8</v>
      </c>
      <c r="H2454" t="s">
        <v>23</v>
      </c>
      <c r="I2454" t="s">
        <v>24</v>
      </c>
      <c r="J2454" s="6">
        <v>17.989999999999998</v>
      </c>
      <c r="K2454">
        <v>1</v>
      </c>
      <c r="L2454" t="s">
        <v>29</v>
      </c>
      <c r="M2454" s="5">
        <v>2</v>
      </c>
      <c r="N2454" s="4">
        <v>0.27</v>
      </c>
      <c r="O2454" t="s">
        <v>47</v>
      </c>
    </row>
    <row r="2455" spans="1:15" x14ac:dyDescent="0.3">
      <c r="A2455" t="s">
        <v>4451</v>
      </c>
      <c r="B2455" s="5">
        <v>39</v>
      </c>
      <c r="C2455" s="5" t="str" cm="1">
        <f t="array" ref="C2455">_xlfn.IFS(worksheet[[#This Row],[age]]&lt;25,"1. Young Adulthood (18-24)",worksheet[[#This Row],[age]]&lt; 35,"2. Early Adulthood (25-34)",worksheet[[#This Row],[age]]&lt; 45,"3. Mid Adulthood (35-44)",worksheet[[#This Row],[age]]&lt; 55,"4. Mature Adulthood (45-54)",TRUE,"5. Late Adulthood/Senior (55+)")</f>
        <v>3. Mid Adulthood (35-44)</v>
      </c>
      <c r="D2455" t="s">
        <v>27</v>
      </c>
      <c r="E2455" t="s">
        <v>32</v>
      </c>
      <c r="F2455" s="4">
        <v>1.86</v>
      </c>
      <c r="G2455" s="5">
        <v>55</v>
      </c>
      <c r="H2455" t="s">
        <v>33</v>
      </c>
      <c r="I2455" t="s">
        <v>46</v>
      </c>
      <c r="J2455" s="6">
        <v>17.989999999999998</v>
      </c>
      <c r="K2455">
        <v>1</v>
      </c>
      <c r="L2455" t="s">
        <v>37</v>
      </c>
      <c r="M2455" s="5">
        <v>3</v>
      </c>
      <c r="N2455" s="4">
        <v>0.03</v>
      </c>
      <c r="O2455" t="s">
        <v>52</v>
      </c>
    </row>
    <row r="2456" spans="1:15" x14ac:dyDescent="0.3">
      <c r="A2456" t="s">
        <v>4454</v>
      </c>
      <c r="B2456" s="5">
        <v>35</v>
      </c>
      <c r="C2456" s="5" t="str" cm="1">
        <f t="array" ref="C2456">_xlfn.IFS(worksheet[[#This Row],[age]]&lt;25,"1. Young Adulthood (18-24)",worksheet[[#This Row],[age]]&lt; 35,"2. Early Adulthood (25-34)",worksheet[[#This Row],[age]]&lt; 45,"3. Mid Adulthood (35-44)",worksheet[[#This Row],[age]]&lt; 55,"4. Mature Adulthood (45-54)",TRUE,"5. Late Adulthood/Senior (55+)")</f>
        <v>3. Mid Adulthood (35-44)</v>
      </c>
      <c r="D2456" t="s">
        <v>27</v>
      </c>
      <c r="E2456" t="s">
        <v>22</v>
      </c>
      <c r="F2456" s="4">
        <v>34.299999999999997</v>
      </c>
      <c r="G2456" s="5">
        <v>18</v>
      </c>
      <c r="H2456" t="s">
        <v>33</v>
      </c>
      <c r="I2456" t="s">
        <v>24</v>
      </c>
      <c r="J2456" s="6">
        <v>13.99</v>
      </c>
      <c r="K2456">
        <v>0</v>
      </c>
      <c r="L2456" t="s">
        <v>61</v>
      </c>
      <c r="M2456" s="5">
        <v>1</v>
      </c>
      <c r="N2456" s="4">
        <v>1.81</v>
      </c>
      <c r="O2456" t="s">
        <v>30</v>
      </c>
    </row>
    <row r="2457" spans="1:15" x14ac:dyDescent="0.3">
      <c r="A2457" t="s">
        <v>4456</v>
      </c>
      <c r="B2457" s="5">
        <v>42</v>
      </c>
      <c r="C2457" s="5" t="str" cm="1">
        <f t="array" ref="C2457">_xlfn.IFS(worksheet[[#This Row],[age]]&lt;25,"1. Young Adulthood (18-24)",worksheet[[#This Row],[age]]&lt; 35,"2. Early Adulthood (25-34)",worksheet[[#This Row],[age]]&lt; 45,"3. Mid Adulthood (35-44)",worksheet[[#This Row],[age]]&lt; 55,"4. Mature Adulthood (45-54)",TRUE,"5. Late Adulthood/Senior (55+)")</f>
        <v>3. Mid Adulthood (35-44)</v>
      </c>
      <c r="D2457" t="s">
        <v>41</v>
      </c>
      <c r="E2457" t="s">
        <v>22</v>
      </c>
      <c r="F2457" s="4">
        <v>10.89</v>
      </c>
      <c r="G2457" s="5">
        <v>15</v>
      </c>
      <c r="H2457" t="s">
        <v>17</v>
      </c>
      <c r="I2457" t="s">
        <v>57</v>
      </c>
      <c r="J2457" s="6">
        <v>13.99</v>
      </c>
      <c r="K2457">
        <v>0</v>
      </c>
      <c r="L2457" t="s">
        <v>19</v>
      </c>
      <c r="M2457" s="5">
        <v>5</v>
      </c>
      <c r="N2457" s="4">
        <v>0.68</v>
      </c>
      <c r="O2457" t="s">
        <v>39</v>
      </c>
    </row>
    <row r="2458" spans="1:15" x14ac:dyDescent="0.3">
      <c r="A2458" t="s">
        <v>4458</v>
      </c>
      <c r="B2458" s="5">
        <v>44</v>
      </c>
      <c r="C2458" s="5" t="str" cm="1">
        <f t="array" ref="C2458">_xlfn.IFS(worksheet[[#This Row],[age]]&lt;25,"1. Young Adulthood (18-24)",worksheet[[#This Row],[age]]&lt; 35,"2. Early Adulthood (25-34)",worksheet[[#This Row],[age]]&lt; 45,"3. Mid Adulthood (35-44)",worksheet[[#This Row],[age]]&lt; 55,"4. Mature Adulthood (45-54)",TRUE,"5. Late Adulthood/Senior (55+)")</f>
        <v>3. Mid Adulthood (35-44)</v>
      </c>
      <c r="D2458" t="s">
        <v>15</v>
      </c>
      <c r="E2458" t="s">
        <v>32</v>
      </c>
      <c r="F2458" s="4">
        <v>46.8</v>
      </c>
      <c r="G2458" s="5">
        <v>46</v>
      </c>
      <c r="H2458" t="s">
        <v>33</v>
      </c>
      <c r="I2458" t="s">
        <v>24</v>
      </c>
      <c r="J2458" s="6">
        <v>17.989999999999998</v>
      </c>
      <c r="K2458">
        <v>0</v>
      </c>
      <c r="L2458" t="s">
        <v>29</v>
      </c>
      <c r="M2458" s="5">
        <v>4</v>
      </c>
      <c r="N2458" s="4">
        <v>1</v>
      </c>
      <c r="O2458" t="s">
        <v>39</v>
      </c>
    </row>
    <row r="2459" spans="1:15" x14ac:dyDescent="0.3">
      <c r="A2459" t="s">
        <v>4469</v>
      </c>
      <c r="B2459" s="5">
        <v>41</v>
      </c>
      <c r="C2459" s="5" t="str" cm="1">
        <f t="array" ref="C2459">_xlfn.IFS(worksheet[[#This Row],[age]]&lt;25,"1. Young Adulthood (18-24)",worksheet[[#This Row],[age]]&lt; 35,"2. Early Adulthood (25-34)",worksheet[[#This Row],[age]]&lt; 45,"3. Mid Adulthood (35-44)",worksheet[[#This Row],[age]]&lt; 55,"4. Mature Adulthood (45-54)",TRUE,"5. Late Adulthood/Senior (55+)")</f>
        <v>3. Mid Adulthood (35-44)</v>
      </c>
      <c r="D2459" t="s">
        <v>15</v>
      </c>
      <c r="E2459" t="s">
        <v>22</v>
      </c>
      <c r="F2459" s="4">
        <v>1.2</v>
      </c>
      <c r="G2459" s="5">
        <v>49</v>
      </c>
      <c r="H2459" t="s">
        <v>17</v>
      </c>
      <c r="I2459" t="s">
        <v>46</v>
      </c>
      <c r="J2459" s="6">
        <v>13.99</v>
      </c>
      <c r="K2459">
        <v>1</v>
      </c>
      <c r="L2459" t="s">
        <v>61</v>
      </c>
      <c r="M2459" s="5">
        <v>4</v>
      </c>
      <c r="N2459" s="4">
        <v>0.02</v>
      </c>
      <c r="O2459" t="s">
        <v>39</v>
      </c>
    </row>
    <row r="2460" spans="1:15" x14ac:dyDescent="0.3">
      <c r="A2460" t="s">
        <v>4476</v>
      </c>
      <c r="B2460" s="5">
        <v>35</v>
      </c>
      <c r="C2460" s="5" t="str" cm="1">
        <f t="array" ref="C2460">_xlfn.IFS(worksheet[[#This Row],[age]]&lt;25,"1. Young Adulthood (18-24)",worksheet[[#This Row],[age]]&lt; 35,"2. Early Adulthood (25-34)",worksheet[[#This Row],[age]]&lt; 45,"3. Mid Adulthood (35-44)",worksheet[[#This Row],[age]]&lt; 55,"4. Mature Adulthood (45-54)",TRUE,"5. Late Adulthood/Senior (55+)")</f>
        <v>3. Mid Adulthood (35-44)</v>
      </c>
      <c r="D2460" t="s">
        <v>27</v>
      </c>
      <c r="E2460" t="s">
        <v>16</v>
      </c>
      <c r="F2460" s="4">
        <v>21.25</v>
      </c>
      <c r="G2460" s="5">
        <v>46</v>
      </c>
      <c r="H2460" t="s">
        <v>33</v>
      </c>
      <c r="I2460" t="s">
        <v>55</v>
      </c>
      <c r="J2460" s="6">
        <v>8.99</v>
      </c>
      <c r="K2460">
        <v>1</v>
      </c>
      <c r="L2460" t="s">
        <v>61</v>
      </c>
      <c r="M2460" s="5">
        <v>3</v>
      </c>
      <c r="N2460" s="4">
        <v>0.45</v>
      </c>
      <c r="O2460" t="s">
        <v>30</v>
      </c>
    </row>
    <row r="2461" spans="1:15" x14ac:dyDescent="0.3">
      <c r="A2461" t="s">
        <v>4477</v>
      </c>
      <c r="B2461" s="5">
        <v>41</v>
      </c>
      <c r="C2461" s="5" t="str" cm="1">
        <f t="array" ref="C2461">_xlfn.IFS(worksheet[[#This Row],[age]]&lt;25,"1. Young Adulthood (18-24)",worksheet[[#This Row],[age]]&lt; 35,"2. Early Adulthood (25-34)",worksheet[[#This Row],[age]]&lt; 45,"3. Mid Adulthood (35-44)",worksheet[[#This Row],[age]]&lt; 55,"4. Mature Adulthood (45-54)",TRUE,"5. Late Adulthood/Senior (55+)")</f>
        <v>3. Mid Adulthood (35-44)</v>
      </c>
      <c r="D2461" t="s">
        <v>41</v>
      </c>
      <c r="E2461" t="s">
        <v>16</v>
      </c>
      <c r="F2461" s="4">
        <v>6</v>
      </c>
      <c r="G2461" s="5">
        <v>26</v>
      </c>
      <c r="H2461" t="s">
        <v>17</v>
      </c>
      <c r="I2461" t="s">
        <v>46</v>
      </c>
      <c r="J2461" s="6">
        <v>8.99</v>
      </c>
      <c r="K2461">
        <v>0</v>
      </c>
      <c r="L2461" t="s">
        <v>37</v>
      </c>
      <c r="M2461" s="5">
        <v>4</v>
      </c>
      <c r="N2461" s="4">
        <v>0.22</v>
      </c>
      <c r="O2461" t="s">
        <v>20</v>
      </c>
    </row>
    <row r="2462" spans="1:15" x14ac:dyDescent="0.3">
      <c r="A2462" t="s">
        <v>4479</v>
      </c>
      <c r="B2462" s="5">
        <v>38</v>
      </c>
      <c r="C2462" s="5" t="str" cm="1">
        <f t="array" ref="C2462">_xlfn.IFS(worksheet[[#This Row],[age]]&lt;25,"1. Young Adulthood (18-24)",worksheet[[#This Row],[age]]&lt; 35,"2. Early Adulthood (25-34)",worksheet[[#This Row],[age]]&lt; 45,"3. Mid Adulthood (35-44)",worksheet[[#This Row],[age]]&lt; 55,"4. Mature Adulthood (45-54)",TRUE,"5. Late Adulthood/Senior (55+)")</f>
        <v>3. Mid Adulthood (35-44)</v>
      </c>
      <c r="D2462" t="s">
        <v>15</v>
      </c>
      <c r="E2462" t="s">
        <v>16</v>
      </c>
      <c r="F2462" s="4">
        <v>10.9</v>
      </c>
      <c r="G2462" s="5">
        <v>45</v>
      </c>
      <c r="H2462" t="s">
        <v>49</v>
      </c>
      <c r="I2462" t="s">
        <v>57</v>
      </c>
      <c r="J2462" s="6">
        <v>8.99</v>
      </c>
      <c r="K2462">
        <v>1</v>
      </c>
      <c r="L2462" t="s">
        <v>61</v>
      </c>
      <c r="M2462" s="5">
        <v>4</v>
      </c>
      <c r="N2462" s="4">
        <v>0.24</v>
      </c>
      <c r="O2462" t="s">
        <v>25</v>
      </c>
    </row>
    <row r="2463" spans="1:15" x14ac:dyDescent="0.3">
      <c r="A2463" t="s">
        <v>4484</v>
      </c>
      <c r="B2463" s="5">
        <v>44</v>
      </c>
      <c r="C2463" s="5" t="str" cm="1">
        <f t="array" ref="C2463">_xlfn.IFS(worksheet[[#This Row],[age]]&lt;25,"1. Young Adulthood (18-24)",worksheet[[#This Row],[age]]&lt; 35,"2. Early Adulthood (25-34)",worksheet[[#This Row],[age]]&lt; 45,"3. Mid Adulthood (35-44)",worksheet[[#This Row],[age]]&lt; 55,"4. Mature Adulthood (45-54)",TRUE,"5. Late Adulthood/Senior (55+)")</f>
        <v>3. Mid Adulthood (35-44)</v>
      </c>
      <c r="D2463" t="s">
        <v>41</v>
      </c>
      <c r="E2463" t="s">
        <v>16</v>
      </c>
      <c r="F2463" s="4">
        <v>3.91</v>
      </c>
      <c r="G2463" s="5">
        <v>2</v>
      </c>
      <c r="H2463" t="s">
        <v>49</v>
      </c>
      <c r="I2463" t="s">
        <v>46</v>
      </c>
      <c r="J2463" s="6">
        <v>8.99</v>
      </c>
      <c r="K2463">
        <v>0</v>
      </c>
      <c r="L2463" t="s">
        <v>61</v>
      </c>
      <c r="M2463" s="5">
        <v>4</v>
      </c>
      <c r="N2463" s="4">
        <v>1.3</v>
      </c>
      <c r="O2463" t="s">
        <v>30</v>
      </c>
    </row>
    <row r="2464" spans="1:15" x14ac:dyDescent="0.3">
      <c r="A2464" t="s">
        <v>4486</v>
      </c>
      <c r="B2464" s="5">
        <v>35</v>
      </c>
      <c r="C2464" s="5" t="str" cm="1">
        <f t="array" ref="C2464">_xlfn.IFS(worksheet[[#This Row],[age]]&lt;25,"1. Young Adulthood (18-24)",worksheet[[#This Row],[age]]&lt; 35,"2. Early Adulthood (25-34)",worksheet[[#This Row],[age]]&lt; 45,"3. Mid Adulthood (35-44)",worksheet[[#This Row],[age]]&lt; 55,"4. Mature Adulthood (45-54)",TRUE,"5. Late Adulthood/Senior (55+)")</f>
        <v>3. Mid Adulthood (35-44)</v>
      </c>
      <c r="D2464" t="s">
        <v>41</v>
      </c>
      <c r="E2464" t="s">
        <v>32</v>
      </c>
      <c r="F2464" s="4">
        <v>9.8800000000000008</v>
      </c>
      <c r="G2464" s="5">
        <v>10</v>
      </c>
      <c r="H2464" t="s">
        <v>49</v>
      </c>
      <c r="I2464" t="s">
        <v>24</v>
      </c>
      <c r="J2464" s="6">
        <v>17.989999999999998</v>
      </c>
      <c r="K2464">
        <v>0</v>
      </c>
      <c r="L2464" t="s">
        <v>37</v>
      </c>
      <c r="M2464" s="5">
        <v>3</v>
      </c>
      <c r="N2464" s="4">
        <v>0.9</v>
      </c>
      <c r="O2464" t="s">
        <v>25</v>
      </c>
    </row>
    <row r="2465" spans="1:15" x14ac:dyDescent="0.3">
      <c r="A2465" t="s">
        <v>4499</v>
      </c>
      <c r="B2465" s="5">
        <v>40</v>
      </c>
      <c r="C2465" s="5" t="str" cm="1">
        <f t="array" ref="C2465">_xlfn.IFS(worksheet[[#This Row],[age]]&lt;25,"1. Young Adulthood (18-24)",worksheet[[#This Row],[age]]&lt; 35,"2. Early Adulthood (25-34)",worksheet[[#This Row],[age]]&lt; 45,"3. Mid Adulthood (35-44)",worksheet[[#This Row],[age]]&lt; 55,"4. Mature Adulthood (45-54)",TRUE,"5. Late Adulthood/Senior (55+)")</f>
        <v>3. Mid Adulthood (35-44)</v>
      </c>
      <c r="D2465" t="s">
        <v>41</v>
      </c>
      <c r="E2465" t="s">
        <v>16</v>
      </c>
      <c r="F2465" s="4">
        <v>0.28000000000000003</v>
      </c>
      <c r="G2465" s="5">
        <v>37</v>
      </c>
      <c r="H2465" t="s">
        <v>49</v>
      </c>
      <c r="I2465" t="s">
        <v>55</v>
      </c>
      <c r="J2465" s="6">
        <v>8.99</v>
      </c>
      <c r="K2465">
        <v>1</v>
      </c>
      <c r="L2465" t="s">
        <v>19</v>
      </c>
      <c r="M2465" s="5">
        <v>2</v>
      </c>
      <c r="N2465" s="4">
        <v>0.01</v>
      </c>
      <c r="O2465" t="s">
        <v>39</v>
      </c>
    </row>
    <row r="2466" spans="1:15" x14ac:dyDescent="0.3">
      <c r="A2466" t="s">
        <v>4503</v>
      </c>
      <c r="B2466" s="5">
        <v>42</v>
      </c>
      <c r="C2466" s="5" t="str" cm="1">
        <f t="array" ref="C2466">_xlfn.IFS(worksheet[[#This Row],[age]]&lt;25,"1. Young Adulthood (18-24)",worksheet[[#This Row],[age]]&lt; 35,"2. Early Adulthood (25-34)",worksheet[[#This Row],[age]]&lt; 45,"3. Mid Adulthood (35-44)",worksheet[[#This Row],[age]]&lt; 55,"4. Mature Adulthood (45-54)",TRUE,"5. Late Adulthood/Senior (55+)")</f>
        <v>3. Mid Adulthood (35-44)</v>
      </c>
      <c r="D2466" t="s">
        <v>41</v>
      </c>
      <c r="E2466" t="s">
        <v>32</v>
      </c>
      <c r="F2466" s="4">
        <v>1.87</v>
      </c>
      <c r="G2466" s="5">
        <v>20</v>
      </c>
      <c r="H2466" t="s">
        <v>17</v>
      </c>
      <c r="I2466" t="s">
        <v>24</v>
      </c>
      <c r="J2466" s="6">
        <v>17.989999999999998</v>
      </c>
      <c r="K2466">
        <v>1</v>
      </c>
      <c r="L2466" t="s">
        <v>37</v>
      </c>
      <c r="M2466" s="5">
        <v>3</v>
      </c>
      <c r="N2466" s="4">
        <v>0.09</v>
      </c>
      <c r="O2466" t="s">
        <v>30</v>
      </c>
    </row>
    <row r="2467" spans="1:15" x14ac:dyDescent="0.3">
      <c r="A2467" t="s">
        <v>4512</v>
      </c>
      <c r="B2467" s="5">
        <v>35</v>
      </c>
      <c r="C2467" s="5" t="str" cm="1">
        <f t="array" ref="C2467">_xlfn.IFS(worksheet[[#This Row],[age]]&lt;25,"1. Young Adulthood (18-24)",worksheet[[#This Row],[age]]&lt; 35,"2. Early Adulthood (25-34)",worksheet[[#This Row],[age]]&lt; 45,"3. Mid Adulthood (35-44)",worksheet[[#This Row],[age]]&lt; 55,"4. Mature Adulthood (45-54)",TRUE,"5. Late Adulthood/Senior (55+)")</f>
        <v>3. Mid Adulthood (35-44)</v>
      </c>
      <c r="D2467" t="s">
        <v>41</v>
      </c>
      <c r="E2467" t="s">
        <v>16</v>
      </c>
      <c r="F2467" s="4">
        <v>22.39</v>
      </c>
      <c r="G2467" s="5">
        <v>45</v>
      </c>
      <c r="H2467" t="s">
        <v>23</v>
      </c>
      <c r="I2467" t="s">
        <v>24</v>
      </c>
      <c r="J2467" s="6">
        <v>8.99</v>
      </c>
      <c r="K2467">
        <v>1</v>
      </c>
      <c r="L2467" t="s">
        <v>19</v>
      </c>
      <c r="M2467" s="5">
        <v>1</v>
      </c>
      <c r="N2467" s="4">
        <v>0.49</v>
      </c>
      <c r="O2467" t="s">
        <v>25</v>
      </c>
    </row>
    <row r="2468" spans="1:15" x14ac:dyDescent="0.3">
      <c r="A2468" t="s">
        <v>4513</v>
      </c>
      <c r="B2468" s="5">
        <v>41</v>
      </c>
      <c r="C2468" s="5" t="str" cm="1">
        <f t="array" ref="C2468">_xlfn.IFS(worksheet[[#This Row],[age]]&lt;25,"1. Young Adulthood (18-24)",worksheet[[#This Row],[age]]&lt; 35,"2. Early Adulthood (25-34)",worksheet[[#This Row],[age]]&lt; 45,"3. Mid Adulthood (35-44)",worksheet[[#This Row],[age]]&lt; 55,"4. Mature Adulthood (45-54)",TRUE,"5. Late Adulthood/Senior (55+)")</f>
        <v>3. Mid Adulthood (35-44)</v>
      </c>
      <c r="D2468" t="s">
        <v>15</v>
      </c>
      <c r="E2468" t="s">
        <v>22</v>
      </c>
      <c r="F2468" s="4">
        <v>3.61</v>
      </c>
      <c r="G2468" s="5">
        <v>29</v>
      </c>
      <c r="H2468" t="s">
        <v>28</v>
      </c>
      <c r="I2468" t="s">
        <v>57</v>
      </c>
      <c r="J2468" s="6">
        <v>13.99</v>
      </c>
      <c r="K2468">
        <v>0</v>
      </c>
      <c r="L2468" t="s">
        <v>37</v>
      </c>
      <c r="M2468" s="5">
        <v>5</v>
      </c>
      <c r="N2468" s="4">
        <v>0.12</v>
      </c>
      <c r="O2468" t="s">
        <v>20</v>
      </c>
    </row>
    <row r="2469" spans="1:15" x14ac:dyDescent="0.3">
      <c r="A2469" t="s">
        <v>4514</v>
      </c>
      <c r="B2469" s="5">
        <v>43</v>
      </c>
      <c r="C2469" s="5" t="str" cm="1">
        <f t="array" ref="C2469">_xlfn.IFS(worksheet[[#This Row],[age]]&lt;25,"1. Young Adulthood (18-24)",worksheet[[#This Row],[age]]&lt; 35,"2. Early Adulthood (25-34)",worksheet[[#This Row],[age]]&lt; 45,"3. Mid Adulthood (35-44)",worksheet[[#This Row],[age]]&lt; 55,"4. Mature Adulthood (45-54)",TRUE,"5. Late Adulthood/Senior (55+)")</f>
        <v>3. Mid Adulthood (35-44)</v>
      </c>
      <c r="D2469" t="s">
        <v>15</v>
      </c>
      <c r="E2469" t="s">
        <v>16</v>
      </c>
      <c r="F2469" s="4">
        <v>0.37</v>
      </c>
      <c r="G2469" s="5">
        <v>16</v>
      </c>
      <c r="H2469" t="s">
        <v>17</v>
      </c>
      <c r="I2469" t="s">
        <v>18</v>
      </c>
      <c r="J2469" s="6">
        <v>8.99</v>
      </c>
      <c r="K2469">
        <v>1</v>
      </c>
      <c r="L2469" t="s">
        <v>37</v>
      </c>
      <c r="M2469" s="5">
        <v>5</v>
      </c>
      <c r="N2469" s="4">
        <v>0.02</v>
      </c>
      <c r="O2469" t="s">
        <v>52</v>
      </c>
    </row>
    <row r="2470" spans="1:15" x14ac:dyDescent="0.3">
      <c r="A2470" t="s">
        <v>4518</v>
      </c>
      <c r="B2470" s="5">
        <v>41</v>
      </c>
      <c r="C2470" s="5" t="str" cm="1">
        <f t="array" ref="C2470">_xlfn.IFS(worksheet[[#This Row],[age]]&lt;25,"1. Young Adulthood (18-24)",worksheet[[#This Row],[age]]&lt; 35,"2. Early Adulthood (25-34)",worksheet[[#This Row],[age]]&lt; 45,"3. Mid Adulthood (35-44)",worksheet[[#This Row],[age]]&lt; 55,"4. Mature Adulthood (45-54)",TRUE,"5. Late Adulthood/Senior (55+)")</f>
        <v>3. Mid Adulthood (35-44)</v>
      </c>
      <c r="D2470" t="s">
        <v>41</v>
      </c>
      <c r="E2470" t="s">
        <v>16</v>
      </c>
      <c r="F2470" s="4">
        <v>19.329999999999998</v>
      </c>
      <c r="G2470" s="5">
        <v>6</v>
      </c>
      <c r="H2470" t="s">
        <v>23</v>
      </c>
      <c r="I2470" t="s">
        <v>46</v>
      </c>
      <c r="J2470" s="6">
        <v>8.99</v>
      </c>
      <c r="K2470">
        <v>0</v>
      </c>
      <c r="L2470" t="s">
        <v>19</v>
      </c>
      <c r="M2470" s="5">
        <v>5</v>
      </c>
      <c r="N2470" s="4">
        <v>2.76</v>
      </c>
      <c r="O2470" t="s">
        <v>34</v>
      </c>
    </row>
    <row r="2471" spans="1:15" x14ac:dyDescent="0.3">
      <c r="A2471" t="s">
        <v>4520</v>
      </c>
      <c r="B2471" s="5">
        <v>37</v>
      </c>
      <c r="C2471" s="5" t="str" cm="1">
        <f t="array" ref="C2471">_xlfn.IFS(worksheet[[#This Row],[age]]&lt;25,"1. Young Adulthood (18-24)",worksheet[[#This Row],[age]]&lt; 35,"2. Early Adulthood (25-34)",worksheet[[#This Row],[age]]&lt; 45,"3. Mid Adulthood (35-44)",worksheet[[#This Row],[age]]&lt; 55,"4. Mature Adulthood (45-54)",TRUE,"5. Late Adulthood/Senior (55+)")</f>
        <v>3. Mid Adulthood (35-44)</v>
      </c>
      <c r="D2471" t="s">
        <v>15</v>
      </c>
      <c r="E2471" t="s">
        <v>16</v>
      </c>
      <c r="F2471" s="4">
        <v>7.26</v>
      </c>
      <c r="G2471" s="5">
        <v>57</v>
      </c>
      <c r="H2471" t="s">
        <v>33</v>
      </c>
      <c r="I2471" t="s">
        <v>18</v>
      </c>
      <c r="J2471" s="6">
        <v>8.99</v>
      </c>
      <c r="K2471">
        <v>1</v>
      </c>
      <c r="L2471" t="s">
        <v>19</v>
      </c>
      <c r="M2471" s="5">
        <v>4</v>
      </c>
      <c r="N2471" s="4">
        <v>0.13</v>
      </c>
      <c r="O2471" t="s">
        <v>34</v>
      </c>
    </row>
    <row r="2472" spans="1:15" x14ac:dyDescent="0.3">
      <c r="A2472" t="s">
        <v>4521</v>
      </c>
      <c r="B2472" s="5">
        <v>37</v>
      </c>
      <c r="C2472" s="5" t="str" cm="1">
        <f t="array" ref="C2472">_xlfn.IFS(worksheet[[#This Row],[age]]&lt;25,"1. Young Adulthood (18-24)",worksheet[[#This Row],[age]]&lt; 35,"2. Early Adulthood (25-34)",worksheet[[#This Row],[age]]&lt; 45,"3. Mid Adulthood (35-44)",worksheet[[#This Row],[age]]&lt; 55,"4. Mature Adulthood (45-54)",TRUE,"5. Late Adulthood/Senior (55+)")</f>
        <v>3. Mid Adulthood (35-44)</v>
      </c>
      <c r="D2472" t="s">
        <v>41</v>
      </c>
      <c r="E2472" t="s">
        <v>22</v>
      </c>
      <c r="F2472" s="4">
        <v>18.920000000000002</v>
      </c>
      <c r="G2472" s="5">
        <v>0</v>
      </c>
      <c r="H2472" t="s">
        <v>70</v>
      </c>
      <c r="I2472" t="s">
        <v>18</v>
      </c>
      <c r="J2472" s="6">
        <v>13.99</v>
      </c>
      <c r="K2472">
        <v>0</v>
      </c>
      <c r="L2472" t="s">
        <v>29</v>
      </c>
      <c r="M2472" s="5">
        <v>1</v>
      </c>
      <c r="N2472" s="4">
        <v>18.920000000000002</v>
      </c>
      <c r="O2472" t="s">
        <v>20</v>
      </c>
    </row>
    <row r="2473" spans="1:15" x14ac:dyDescent="0.3">
      <c r="A2473" t="s">
        <v>4522</v>
      </c>
      <c r="B2473" s="5">
        <v>41</v>
      </c>
      <c r="C2473" s="5" t="str" cm="1">
        <f t="array" ref="C2473">_xlfn.IFS(worksheet[[#This Row],[age]]&lt;25,"1. Young Adulthood (18-24)",worksheet[[#This Row],[age]]&lt; 35,"2. Early Adulthood (25-34)",worksheet[[#This Row],[age]]&lt; 45,"3. Mid Adulthood (35-44)",worksheet[[#This Row],[age]]&lt; 55,"4. Mature Adulthood (45-54)",TRUE,"5. Late Adulthood/Senior (55+)")</f>
        <v>3. Mid Adulthood (35-44)</v>
      </c>
      <c r="D2473" t="s">
        <v>41</v>
      </c>
      <c r="E2473" t="s">
        <v>32</v>
      </c>
      <c r="F2473" s="4">
        <v>8.26</v>
      </c>
      <c r="G2473" s="5">
        <v>57</v>
      </c>
      <c r="H2473" t="s">
        <v>70</v>
      </c>
      <c r="I2473" t="s">
        <v>24</v>
      </c>
      <c r="J2473" s="6">
        <v>17.989999999999998</v>
      </c>
      <c r="K2473">
        <v>1</v>
      </c>
      <c r="L2473" t="s">
        <v>29</v>
      </c>
      <c r="M2473" s="5">
        <v>4</v>
      </c>
      <c r="N2473" s="4">
        <v>0.14000000000000001</v>
      </c>
      <c r="O2473" t="s">
        <v>52</v>
      </c>
    </row>
    <row r="2474" spans="1:15" x14ac:dyDescent="0.3">
      <c r="A2474" t="s">
        <v>4554</v>
      </c>
      <c r="B2474" s="5">
        <v>44</v>
      </c>
      <c r="C2474" s="5" t="str" cm="1">
        <f t="array" ref="C2474">_xlfn.IFS(worksheet[[#This Row],[age]]&lt;25,"1. Young Adulthood (18-24)",worksheet[[#This Row],[age]]&lt; 35,"2. Early Adulthood (25-34)",worksheet[[#This Row],[age]]&lt; 45,"3. Mid Adulthood (35-44)",worksheet[[#This Row],[age]]&lt; 55,"4. Mature Adulthood (45-54)",TRUE,"5. Late Adulthood/Senior (55+)")</f>
        <v>3. Mid Adulthood (35-44)</v>
      </c>
      <c r="D2474" t="s">
        <v>27</v>
      </c>
      <c r="E2474" t="s">
        <v>16</v>
      </c>
      <c r="F2474" s="4">
        <v>58.4</v>
      </c>
      <c r="G2474" s="5">
        <v>26</v>
      </c>
      <c r="H2474" t="s">
        <v>33</v>
      </c>
      <c r="I2474" t="s">
        <v>55</v>
      </c>
      <c r="J2474" s="6">
        <v>8.99</v>
      </c>
      <c r="K2474">
        <v>0</v>
      </c>
      <c r="L2474" t="s">
        <v>19</v>
      </c>
      <c r="M2474" s="5">
        <v>1</v>
      </c>
      <c r="N2474" s="4">
        <v>2.16</v>
      </c>
      <c r="O2474" t="s">
        <v>25</v>
      </c>
    </row>
    <row r="2475" spans="1:15" x14ac:dyDescent="0.3">
      <c r="A2475" t="s">
        <v>4556</v>
      </c>
      <c r="B2475" s="5">
        <v>42</v>
      </c>
      <c r="C2475" s="5" t="str" cm="1">
        <f t="array" ref="C2475">_xlfn.IFS(worksheet[[#This Row],[age]]&lt;25,"1. Young Adulthood (18-24)",worksheet[[#This Row],[age]]&lt; 35,"2. Early Adulthood (25-34)",worksheet[[#This Row],[age]]&lt; 45,"3. Mid Adulthood (35-44)",worksheet[[#This Row],[age]]&lt; 55,"4. Mature Adulthood (45-54)",TRUE,"5. Late Adulthood/Senior (55+)")</f>
        <v>3. Mid Adulthood (35-44)</v>
      </c>
      <c r="D2475" t="s">
        <v>27</v>
      </c>
      <c r="E2475" t="s">
        <v>32</v>
      </c>
      <c r="F2475" s="4">
        <v>9.08</v>
      </c>
      <c r="G2475" s="5">
        <v>17</v>
      </c>
      <c r="H2475" t="s">
        <v>17</v>
      </c>
      <c r="I2475" t="s">
        <v>55</v>
      </c>
      <c r="J2475" s="6">
        <v>17.989999999999998</v>
      </c>
      <c r="K2475">
        <v>0</v>
      </c>
      <c r="L2475" t="s">
        <v>29</v>
      </c>
      <c r="M2475" s="5">
        <v>1</v>
      </c>
      <c r="N2475" s="4">
        <v>0.5</v>
      </c>
      <c r="O2475" t="s">
        <v>52</v>
      </c>
    </row>
    <row r="2476" spans="1:15" x14ac:dyDescent="0.3">
      <c r="A2476" t="s">
        <v>4560</v>
      </c>
      <c r="B2476" s="5">
        <v>37</v>
      </c>
      <c r="C2476" s="5" t="str" cm="1">
        <f t="array" ref="C2476">_xlfn.IFS(worksheet[[#This Row],[age]]&lt;25,"1. Young Adulthood (18-24)",worksheet[[#This Row],[age]]&lt; 35,"2. Early Adulthood (25-34)",worksheet[[#This Row],[age]]&lt; 45,"3. Mid Adulthood (35-44)",worksheet[[#This Row],[age]]&lt; 55,"4. Mature Adulthood (45-54)",TRUE,"5. Late Adulthood/Senior (55+)")</f>
        <v>3. Mid Adulthood (35-44)</v>
      </c>
      <c r="D2476" t="s">
        <v>41</v>
      </c>
      <c r="E2476" t="s">
        <v>32</v>
      </c>
      <c r="F2476" s="4">
        <v>8.9600000000000009</v>
      </c>
      <c r="G2476" s="5">
        <v>42</v>
      </c>
      <c r="H2476" t="s">
        <v>49</v>
      </c>
      <c r="I2476" t="s">
        <v>46</v>
      </c>
      <c r="J2476" s="6">
        <v>17.989999999999998</v>
      </c>
      <c r="K2476">
        <v>1</v>
      </c>
      <c r="L2476" t="s">
        <v>19</v>
      </c>
      <c r="M2476" s="5">
        <v>1</v>
      </c>
      <c r="N2476" s="4">
        <v>0.21</v>
      </c>
      <c r="O2476" t="s">
        <v>47</v>
      </c>
    </row>
    <row r="2477" spans="1:15" x14ac:dyDescent="0.3">
      <c r="A2477" t="s">
        <v>4563</v>
      </c>
      <c r="B2477" s="5">
        <v>40</v>
      </c>
      <c r="C2477" s="5" t="str" cm="1">
        <f t="array" ref="C2477">_xlfn.IFS(worksheet[[#This Row],[age]]&lt;25,"1. Young Adulthood (18-24)",worksheet[[#This Row],[age]]&lt; 35,"2. Early Adulthood (25-34)",worksheet[[#This Row],[age]]&lt; 45,"3. Mid Adulthood (35-44)",worksheet[[#This Row],[age]]&lt; 55,"4. Mature Adulthood (45-54)",TRUE,"5. Late Adulthood/Senior (55+)")</f>
        <v>3. Mid Adulthood (35-44)</v>
      </c>
      <c r="D2477" t="s">
        <v>41</v>
      </c>
      <c r="E2477" t="s">
        <v>16</v>
      </c>
      <c r="F2477" s="4">
        <v>9.07</v>
      </c>
      <c r="G2477" s="5">
        <v>11</v>
      </c>
      <c r="H2477" t="s">
        <v>28</v>
      </c>
      <c r="I2477" t="s">
        <v>24</v>
      </c>
      <c r="J2477" s="6">
        <v>8.99</v>
      </c>
      <c r="K2477">
        <v>0</v>
      </c>
      <c r="L2477" t="s">
        <v>61</v>
      </c>
      <c r="M2477" s="5">
        <v>1</v>
      </c>
      <c r="N2477" s="4">
        <v>0.76</v>
      </c>
      <c r="O2477" t="s">
        <v>34</v>
      </c>
    </row>
    <row r="2478" spans="1:15" x14ac:dyDescent="0.3">
      <c r="A2478" t="s">
        <v>4565</v>
      </c>
      <c r="B2478" s="5">
        <v>44</v>
      </c>
      <c r="C2478" s="5" t="str" cm="1">
        <f t="array" ref="C2478">_xlfn.IFS(worksheet[[#This Row],[age]]&lt;25,"1. Young Adulthood (18-24)",worksheet[[#This Row],[age]]&lt; 35,"2. Early Adulthood (25-34)",worksheet[[#This Row],[age]]&lt; 45,"3. Mid Adulthood (35-44)",worksheet[[#This Row],[age]]&lt; 55,"4. Mature Adulthood (45-54)",TRUE,"5. Late Adulthood/Senior (55+)")</f>
        <v>3. Mid Adulthood (35-44)</v>
      </c>
      <c r="D2478" t="s">
        <v>27</v>
      </c>
      <c r="E2478" t="s">
        <v>32</v>
      </c>
      <c r="F2478" s="4">
        <v>5.79</v>
      </c>
      <c r="G2478" s="5">
        <v>8</v>
      </c>
      <c r="H2478" t="s">
        <v>49</v>
      </c>
      <c r="I2478" t="s">
        <v>18</v>
      </c>
      <c r="J2478" s="6">
        <v>17.989999999999998</v>
      </c>
      <c r="K2478">
        <v>0</v>
      </c>
      <c r="L2478" t="s">
        <v>19</v>
      </c>
      <c r="M2478" s="5">
        <v>3</v>
      </c>
      <c r="N2478" s="4">
        <v>0.64</v>
      </c>
      <c r="O2478" t="s">
        <v>52</v>
      </c>
    </row>
    <row r="2479" spans="1:15" x14ac:dyDescent="0.3">
      <c r="A2479" t="s">
        <v>4572</v>
      </c>
      <c r="B2479" s="5">
        <v>41</v>
      </c>
      <c r="C2479" s="5" t="str" cm="1">
        <f t="array" ref="C2479">_xlfn.IFS(worksheet[[#This Row],[age]]&lt;25,"1. Young Adulthood (18-24)",worksheet[[#This Row],[age]]&lt; 35,"2. Early Adulthood (25-34)",worksheet[[#This Row],[age]]&lt; 45,"3. Mid Adulthood (35-44)",worksheet[[#This Row],[age]]&lt; 55,"4. Mature Adulthood (45-54)",TRUE,"5. Late Adulthood/Senior (55+)")</f>
        <v>3. Mid Adulthood (35-44)</v>
      </c>
      <c r="D2479" t="s">
        <v>27</v>
      </c>
      <c r="E2479" t="s">
        <v>32</v>
      </c>
      <c r="F2479" s="4">
        <v>8.44</v>
      </c>
      <c r="G2479" s="5">
        <v>36</v>
      </c>
      <c r="H2479" t="s">
        <v>49</v>
      </c>
      <c r="I2479" t="s">
        <v>24</v>
      </c>
      <c r="J2479" s="6">
        <v>17.989999999999998</v>
      </c>
      <c r="K2479">
        <v>1</v>
      </c>
      <c r="L2479" t="s">
        <v>29</v>
      </c>
      <c r="M2479" s="5">
        <v>4</v>
      </c>
      <c r="N2479" s="4">
        <v>0.23</v>
      </c>
      <c r="O2479" t="s">
        <v>30</v>
      </c>
    </row>
    <row r="2480" spans="1:15" x14ac:dyDescent="0.3">
      <c r="A2480" t="s">
        <v>4576</v>
      </c>
      <c r="B2480" s="5">
        <v>41</v>
      </c>
      <c r="C2480" s="5" t="str" cm="1">
        <f t="array" ref="C2480">_xlfn.IFS(worksheet[[#This Row],[age]]&lt;25,"1. Young Adulthood (18-24)",worksheet[[#This Row],[age]]&lt; 35,"2. Early Adulthood (25-34)",worksheet[[#This Row],[age]]&lt; 45,"3. Mid Adulthood (35-44)",worksheet[[#This Row],[age]]&lt; 55,"4. Mature Adulthood (45-54)",TRUE,"5. Late Adulthood/Senior (55+)")</f>
        <v>3. Mid Adulthood (35-44)</v>
      </c>
      <c r="D2480" t="s">
        <v>27</v>
      </c>
      <c r="E2480" t="s">
        <v>32</v>
      </c>
      <c r="F2480" s="4">
        <v>5.24</v>
      </c>
      <c r="G2480" s="5">
        <v>49</v>
      </c>
      <c r="H2480" t="s">
        <v>70</v>
      </c>
      <c r="I2480" t="s">
        <v>18</v>
      </c>
      <c r="J2480" s="6">
        <v>17.989999999999998</v>
      </c>
      <c r="K2480">
        <v>1</v>
      </c>
      <c r="L2480" t="s">
        <v>29</v>
      </c>
      <c r="M2480" s="5">
        <v>2</v>
      </c>
      <c r="N2480" s="4">
        <v>0.1</v>
      </c>
      <c r="O2480" t="s">
        <v>47</v>
      </c>
    </row>
    <row r="2481" spans="1:15" x14ac:dyDescent="0.3">
      <c r="A2481" t="s">
        <v>4584</v>
      </c>
      <c r="B2481" s="5">
        <v>40</v>
      </c>
      <c r="C2481" s="5" t="str" cm="1">
        <f t="array" ref="C2481">_xlfn.IFS(worksheet[[#This Row],[age]]&lt;25,"1. Young Adulthood (18-24)",worksheet[[#This Row],[age]]&lt; 35,"2. Early Adulthood (25-34)",worksheet[[#This Row],[age]]&lt; 45,"3. Mid Adulthood (35-44)",worksheet[[#This Row],[age]]&lt; 55,"4. Mature Adulthood (45-54)",TRUE,"5. Late Adulthood/Senior (55+)")</f>
        <v>3. Mid Adulthood (35-44)</v>
      </c>
      <c r="D2481" t="s">
        <v>27</v>
      </c>
      <c r="E2481" t="s">
        <v>32</v>
      </c>
      <c r="F2481" s="4">
        <v>2.65</v>
      </c>
      <c r="G2481" s="5">
        <v>21</v>
      </c>
      <c r="H2481" t="s">
        <v>17</v>
      </c>
      <c r="I2481" t="s">
        <v>18</v>
      </c>
      <c r="J2481" s="6">
        <v>17.989999999999998</v>
      </c>
      <c r="K2481">
        <v>0</v>
      </c>
      <c r="L2481" t="s">
        <v>37</v>
      </c>
      <c r="M2481" s="5">
        <v>5</v>
      </c>
      <c r="N2481" s="4">
        <v>0.12</v>
      </c>
      <c r="O2481" t="s">
        <v>47</v>
      </c>
    </row>
    <row r="2482" spans="1:15" x14ac:dyDescent="0.3">
      <c r="A2482" t="s">
        <v>4586</v>
      </c>
      <c r="B2482" s="5">
        <v>35</v>
      </c>
      <c r="C2482" s="5" t="str" cm="1">
        <f t="array" ref="C2482">_xlfn.IFS(worksheet[[#This Row],[age]]&lt;25,"1. Young Adulthood (18-24)",worksheet[[#This Row],[age]]&lt; 35,"2. Early Adulthood (25-34)",worksheet[[#This Row],[age]]&lt; 45,"3. Mid Adulthood (35-44)",worksheet[[#This Row],[age]]&lt; 55,"4. Mature Adulthood (45-54)",TRUE,"5. Late Adulthood/Senior (55+)")</f>
        <v>3. Mid Adulthood (35-44)</v>
      </c>
      <c r="D2482" t="s">
        <v>15</v>
      </c>
      <c r="E2482" t="s">
        <v>16</v>
      </c>
      <c r="F2482" s="4">
        <v>2.5499999999999998</v>
      </c>
      <c r="G2482" s="5">
        <v>26</v>
      </c>
      <c r="H2482" t="s">
        <v>33</v>
      </c>
      <c r="I2482" t="s">
        <v>57</v>
      </c>
      <c r="J2482" s="6">
        <v>8.99</v>
      </c>
      <c r="K2482">
        <v>1</v>
      </c>
      <c r="L2482" t="s">
        <v>19</v>
      </c>
      <c r="M2482" s="5">
        <v>2</v>
      </c>
      <c r="N2482" s="4">
        <v>0.09</v>
      </c>
      <c r="O2482" t="s">
        <v>20</v>
      </c>
    </row>
    <row r="2483" spans="1:15" x14ac:dyDescent="0.3">
      <c r="A2483" t="s">
        <v>4591</v>
      </c>
      <c r="B2483" s="5">
        <v>39</v>
      </c>
      <c r="C2483" s="5" t="str" cm="1">
        <f t="array" ref="C2483">_xlfn.IFS(worksheet[[#This Row],[age]]&lt;25,"1. Young Adulthood (18-24)",worksheet[[#This Row],[age]]&lt; 35,"2. Early Adulthood (25-34)",worksheet[[#This Row],[age]]&lt; 45,"3. Mid Adulthood (35-44)",worksheet[[#This Row],[age]]&lt; 55,"4. Mature Adulthood (45-54)",TRUE,"5. Late Adulthood/Senior (55+)")</f>
        <v>3. Mid Adulthood (35-44)</v>
      </c>
      <c r="D2483" t="s">
        <v>27</v>
      </c>
      <c r="E2483" t="s">
        <v>22</v>
      </c>
      <c r="F2483" s="4">
        <v>0.12</v>
      </c>
      <c r="G2483" s="5">
        <v>3</v>
      </c>
      <c r="H2483" t="s">
        <v>49</v>
      </c>
      <c r="I2483" t="s">
        <v>57</v>
      </c>
      <c r="J2483" s="6">
        <v>13.99</v>
      </c>
      <c r="K2483">
        <v>0</v>
      </c>
      <c r="L2483" t="s">
        <v>37</v>
      </c>
      <c r="M2483" s="5">
        <v>3</v>
      </c>
      <c r="N2483" s="4">
        <v>0.03</v>
      </c>
      <c r="O2483" t="s">
        <v>25</v>
      </c>
    </row>
    <row r="2484" spans="1:15" x14ac:dyDescent="0.3">
      <c r="A2484" t="s">
        <v>4594</v>
      </c>
      <c r="B2484" s="5">
        <v>40</v>
      </c>
      <c r="C2484" s="5" t="str" cm="1">
        <f t="array" ref="C2484">_xlfn.IFS(worksheet[[#This Row],[age]]&lt;25,"1. Young Adulthood (18-24)",worksheet[[#This Row],[age]]&lt; 35,"2. Early Adulthood (25-34)",worksheet[[#This Row],[age]]&lt; 45,"3. Mid Adulthood (35-44)",worksheet[[#This Row],[age]]&lt; 55,"4. Mature Adulthood (45-54)",TRUE,"5. Late Adulthood/Senior (55+)")</f>
        <v>3. Mid Adulthood (35-44)</v>
      </c>
      <c r="D2484" t="s">
        <v>27</v>
      </c>
      <c r="E2484" t="s">
        <v>32</v>
      </c>
      <c r="F2484" s="4">
        <v>18.010000000000002</v>
      </c>
      <c r="G2484" s="5">
        <v>14</v>
      </c>
      <c r="H2484" t="s">
        <v>28</v>
      </c>
      <c r="I2484" t="s">
        <v>55</v>
      </c>
      <c r="J2484" s="6">
        <v>17.989999999999998</v>
      </c>
      <c r="K2484">
        <v>0</v>
      </c>
      <c r="L2484" t="s">
        <v>37</v>
      </c>
      <c r="M2484" s="5">
        <v>2</v>
      </c>
      <c r="N2484" s="4">
        <v>1.2</v>
      </c>
      <c r="O2484" t="s">
        <v>39</v>
      </c>
    </row>
    <row r="2485" spans="1:15" x14ac:dyDescent="0.3">
      <c r="A2485" t="s">
        <v>4595</v>
      </c>
      <c r="B2485" s="5">
        <v>40</v>
      </c>
      <c r="C2485" s="5" t="str" cm="1">
        <f t="array" ref="C2485">_xlfn.IFS(worksheet[[#This Row],[age]]&lt;25,"1. Young Adulthood (18-24)",worksheet[[#This Row],[age]]&lt; 35,"2. Early Adulthood (25-34)",worksheet[[#This Row],[age]]&lt; 45,"3. Mid Adulthood (35-44)",worksheet[[#This Row],[age]]&lt; 55,"4. Mature Adulthood (45-54)",TRUE,"5. Late Adulthood/Senior (55+)")</f>
        <v>3. Mid Adulthood (35-44)</v>
      </c>
      <c r="D2485" t="s">
        <v>27</v>
      </c>
      <c r="E2485" t="s">
        <v>16</v>
      </c>
      <c r="F2485" s="4">
        <v>15.45</v>
      </c>
      <c r="G2485" s="5">
        <v>58</v>
      </c>
      <c r="H2485" t="s">
        <v>70</v>
      </c>
      <c r="I2485" t="s">
        <v>46</v>
      </c>
      <c r="J2485" s="6">
        <v>8.99</v>
      </c>
      <c r="K2485">
        <v>1</v>
      </c>
      <c r="L2485" t="s">
        <v>43</v>
      </c>
      <c r="M2485" s="5">
        <v>2</v>
      </c>
      <c r="N2485" s="4">
        <v>0.26</v>
      </c>
      <c r="O2485" t="s">
        <v>47</v>
      </c>
    </row>
    <row r="2486" spans="1:15" x14ac:dyDescent="0.3">
      <c r="A2486" t="s">
        <v>4606</v>
      </c>
      <c r="B2486" s="5">
        <v>37</v>
      </c>
      <c r="C2486" s="5" t="str" cm="1">
        <f t="array" ref="C2486">_xlfn.IFS(worksheet[[#This Row],[age]]&lt;25,"1. Young Adulthood (18-24)",worksheet[[#This Row],[age]]&lt; 35,"2. Early Adulthood (25-34)",worksheet[[#This Row],[age]]&lt; 45,"3. Mid Adulthood (35-44)",worksheet[[#This Row],[age]]&lt; 55,"4. Mature Adulthood (45-54)",TRUE,"5. Late Adulthood/Senior (55+)")</f>
        <v>3. Mid Adulthood (35-44)</v>
      </c>
      <c r="D2486" t="s">
        <v>27</v>
      </c>
      <c r="E2486" t="s">
        <v>16</v>
      </c>
      <c r="F2486" s="4">
        <v>28.01</v>
      </c>
      <c r="G2486" s="5">
        <v>35</v>
      </c>
      <c r="H2486" t="s">
        <v>23</v>
      </c>
      <c r="I2486" t="s">
        <v>55</v>
      </c>
      <c r="J2486" s="6">
        <v>8.99</v>
      </c>
      <c r="K2486">
        <v>0</v>
      </c>
      <c r="L2486" t="s">
        <v>43</v>
      </c>
      <c r="M2486" s="5">
        <v>1</v>
      </c>
      <c r="N2486" s="4">
        <v>0.78</v>
      </c>
      <c r="O2486" t="s">
        <v>25</v>
      </c>
    </row>
    <row r="2487" spans="1:15" x14ac:dyDescent="0.3">
      <c r="A2487" t="s">
        <v>4613</v>
      </c>
      <c r="B2487" s="5">
        <v>36</v>
      </c>
      <c r="C2487" s="5" t="str" cm="1">
        <f t="array" ref="C2487">_xlfn.IFS(worksheet[[#This Row],[age]]&lt;25,"1. Young Adulthood (18-24)",worksheet[[#This Row],[age]]&lt; 35,"2. Early Adulthood (25-34)",worksheet[[#This Row],[age]]&lt; 45,"3. Mid Adulthood (35-44)",worksheet[[#This Row],[age]]&lt; 55,"4. Mature Adulthood (45-54)",TRUE,"5. Late Adulthood/Senior (55+)")</f>
        <v>3. Mid Adulthood (35-44)</v>
      </c>
      <c r="D2487" t="s">
        <v>15</v>
      </c>
      <c r="E2487" t="s">
        <v>22</v>
      </c>
      <c r="F2487" s="4">
        <v>17.04</v>
      </c>
      <c r="G2487" s="5">
        <v>31</v>
      </c>
      <c r="H2487" t="s">
        <v>49</v>
      </c>
      <c r="I2487" t="s">
        <v>24</v>
      </c>
      <c r="J2487" s="6">
        <v>13.99</v>
      </c>
      <c r="K2487">
        <v>0</v>
      </c>
      <c r="L2487" t="s">
        <v>37</v>
      </c>
      <c r="M2487" s="5">
        <v>2</v>
      </c>
      <c r="N2487" s="4">
        <v>0.53</v>
      </c>
      <c r="O2487" t="s">
        <v>25</v>
      </c>
    </row>
    <row r="2488" spans="1:15" x14ac:dyDescent="0.3">
      <c r="A2488" t="s">
        <v>4614</v>
      </c>
      <c r="B2488" s="5">
        <v>44</v>
      </c>
      <c r="C2488" s="5" t="str" cm="1">
        <f t="array" ref="C2488">_xlfn.IFS(worksheet[[#This Row],[age]]&lt;25,"1. Young Adulthood (18-24)",worksheet[[#This Row],[age]]&lt; 35,"2. Early Adulthood (25-34)",worksheet[[#This Row],[age]]&lt; 45,"3. Mid Adulthood (35-44)",worksheet[[#This Row],[age]]&lt; 55,"4. Mature Adulthood (45-54)",TRUE,"5. Late Adulthood/Senior (55+)")</f>
        <v>3. Mid Adulthood (35-44)</v>
      </c>
      <c r="D2488" t="s">
        <v>41</v>
      </c>
      <c r="E2488" t="s">
        <v>16</v>
      </c>
      <c r="F2488" s="4">
        <v>2.84</v>
      </c>
      <c r="G2488" s="5">
        <v>12</v>
      </c>
      <c r="H2488" t="s">
        <v>33</v>
      </c>
      <c r="I2488" t="s">
        <v>57</v>
      </c>
      <c r="J2488" s="6">
        <v>8.99</v>
      </c>
      <c r="K2488">
        <v>1</v>
      </c>
      <c r="L2488" t="s">
        <v>37</v>
      </c>
      <c r="M2488" s="5">
        <v>2</v>
      </c>
      <c r="N2488" s="4">
        <v>0.22</v>
      </c>
      <c r="O2488" t="s">
        <v>34</v>
      </c>
    </row>
    <row r="2489" spans="1:15" x14ac:dyDescent="0.3">
      <c r="A2489" t="s">
        <v>4616</v>
      </c>
      <c r="B2489" s="5">
        <v>38</v>
      </c>
      <c r="C2489" s="5" t="str" cm="1">
        <f t="array" ref="C2489">_xlfn.IFS(worksheet[[#This Row],[age]]&lt;25,"1. Young Adulthood (18-24)",worksheet[[#This Row],[age]]&lt; 35,"2. Early Adulthood (25-34)",worksheet[[#This Row],[age]]&lt; 45,"3. Mid Adulthood (35-44)",worksheet[[#This Row],[age]]&lt; 55,"4. Mature Adulthood (45-54)",TRUE,"5. Late Adulthood/Senior (55+)")</f>
        <v>3. Mid Adulthood (35-44)</v>
      </c>
      <c r="D2489" t="s">
        <v>41</v>
      </c>
      <c r="E2489" t="s">
        <v>22</v>
      </c>
      <c r="F2489" s="4">
        <v>7.44</v>
      </c>
      <c r="G2489" s="5">
        <v>34</v>
      </c>
      <c r="H2489" t="s">
        <v>49</v>
      </c>
      <c r="I2489" t="s">
        <v>24</v>
      </c>
      <c r="J2489" s="6">
        <v>13.99</v>
      </c>
      <c r="K2489">
        <v>1</v>
      </c>
      <c r="L2489" t="s">
        <v>61</v>
      </c>
      <c r="M2489" s="5">
        <v>2</v>
      </c>
      <c r="N2489" s="4">
        <v>0.21</v>
      </c>
      <c r="O2489" t="s">
        <v>52</v>
      </c>
    </row>
    <row r="2490" spans="1:15" x14ac:dyDescent="0.3">
      <c r="A2490" t="s">
        <v>4624</v>
      </c>
      <c r="B2490" s="5">
        <v>39</v>
      </c>
      <c r="C2490" s="5" t="str" cm="1">
        <f t="array" ref="C2490">_xlfn.IFS(worksheet[[#This Row],[age]]&lt;25,"1. Young Adulthood (18-24)",worksheet[[#This Row],[age]]&lt; 35,"2. Early Adulthood (25-34)",worksheet[[#This Row],[age]]&lt; 45,"3. Mid Adulthood (35-44)",worksheet[[#This Row],[age]]&lt; 55,"4. Mature Adulthood (45-54)",TRUE,"5. Late Adulthood/Senior (55+)")</f>
        <v>3. Mid Adulthood (35-44)</v>
      </c>
      <c r="D2490" t="s">
        <v>15</v>
      </c>
      <c r="E2490" t="s">
        <v>32</v>
      </c>
      <c r="F2490" s="4">
        <v>15.64</v>
      </c>
      <c r="G2490" s="5">
        <v>24</v>
      </c>
      <c r="H2490" t="s">
        <v>33</v>
      </c>
      <c r="I2490" t="s">
        <v>55</v>
      </c>
      <c r="J2490" s="6">
        <v>17.989999999999998</v>
      </c>
      <c r="K2490">
        <v>0</v>
      </c>
      <c r="L2490" t="s">
        <v>61</v>
      </c>
      <c r="M2490" s="5">
        <v>4</v>
      </c>
      <c r="N2490" s="4">
        <v>0.63</v>
      </c>
      <c r="O2490" t="s">
        <v>39</v>
      </c>
    </row>
    <row r="2491" spans="1:15" x14ac:dyDescent="0.3">
      <c r="A2491" t="s">
        <v>4629</v>
      </c>
      <c r="B2491" s="5">
        <v>44</v>
      </c>
      <c r="C2491" s="5" t="str" cm="1">
        <f t="array" ref="C2491">_xlfn.IFS(worksheet[[#This Row],[age]]&lt;25,"1. Young Adulthood (18-24)",worksheet[[#This Row],[age]]&lt; 35,"2. Early Adulthood (25-34)",worksheet[[#This Row],[age]]&lt; 45,"3. Mid Adulthood (35-44)",worksheet[[#This Row],[age]]&lt; 55,"4. Mature Adulthood (45-54)",TRUE,"5. Late Adulthood/Senior (55+)")</f>
        <v>3. Mid Adulthood (35-44)</v>
      </c>
      <c r="D2491" t="s">
        <v>41</v>
      </c>
      <c r="E2491" t="s">
        <v>22</v>
      </c>
      <c r="F2491" s="4">
        <v>4.2</v>
      </c>
      <c r="G2491" s="5">
        <v>39</v>
      </c>
      <c r="H2491" t="s">
        <v>28</v>
      </c>
      <c r="I2491" t="s">
        <v>46</v>
      </c>
      <c r="J2491" s="6">
        <v>13.99</v>
      </c>
      <c r="K2491">
        <v>1</v>
      </c>
      <c r="L2491" t="s">
        <v>43</v>
      </c>
      <c r="M2491" s="5">
        <v>3</v>
      </c>
      <c r="N2491" s="4">
        <v>0.11</v>
      </c>
      <c r="O2491" t="s">
        <v>20</v>
      </c>
    </row>
    <row r="2492" spans="1:15" x14ac:dyDescent="0.3">
      <c r="A2492" t="s">
        <v>4638</v>
      </c>
      <c r="B2492" s="5">
        <v>40</v>
      </c>
      <c r="C2492" s="5" t="str" cm="1">
        <f t="array" ref="C2492">_xlfn.IFS(worksheet[[#This Row],[age]]&lt;25,"1. Young Adulthood (18-24)",worksheet[[#This Row],[age]]&lt; 35,"2. Early Adulthood (25-34)",worksheet[[#This Row],[age]]&lt; 45,"3. Mid Adulthood (35-44)",worksheet[[#This Row],[age]]&lt; 55,"4. Mature Adulthood (45-54)",TRUE,"5. Late Adulthood/Senior (55+)")</f>
        <v>3. Mid Adulthood (35-44)</v>
      </c>
      <c r="D2492" t="s">
        <v>41</v>
      </c>
      <c r="E2492" t="s">
        <v>22</v>
      </c>
      <c r="F2492" s="4">
        <v>4.87</v>
      </c>
      <c r="G2492" s="5">
        <v>19</v>
      </c>
      <c r="H2492" t="s">
        <v>23</v>
      </c>
      <c r="I2492" t="s">
        <v>24</v>
      </c>
      <c r="J2492" s="6">
        <v>13.99</v>
      </c>
      <c r="K2492">
        <v>1</v>
      </c>
      <c r="L2492" t="s">
        <v>37</v>
      </c>
      <c r="M2492" s="5">
        <v>1</v>
      </c>
      <c r="N2492" s="4">
        <v>0.24</v>
      </c>
      <c r="O2492" t="s">
        <v>30</v>
      </c>
    </row>
    <row r="2493" spans="1:15" x14ac:dyDescent="0.3">
      <c r="A2493" t="s">
        <v>4640</v>
      </c>
      <c r="B2493" s="5">
        <v>38</v>
      </c>
      <c r="C2493" s="5" t="str" cm="1">
        <f t="array" ref="C2493">_xlfn.IFS(worksheet[[#This Row],[age]]&lt;25,"1. Young Adulthood (18-24)",worksheet[[#This Row],[age]]&lt; 35,"2. Early Adulthood (25-34)",worksheet[[#This Row],[age]]&lt; 45,"3. Mid Adulthood (35-44)",worksheet[[#This Row],[age]]&lt; 55,"4. Mature Adulthood (45-54)",TRUE,"5. Late Adulthood/Senior (55+)")</f>
        <v>3. Mid Adulthood (35-44)</v>
      </c>
      <c r="D2493" t="s">
        <v>27</v>
      </c>
      <c r="E2493" t="s">
        <v>16</v>
      </c>
      <c r="F2493" s="4">
        <v>2.7</v>
      </c>
      <c r="G2493" s="5">
        <v>49</v>
      </c>
      <c r="H2493" t="s">
        <v>70</v>
      </c>
      <c r="I2493" t="s">
        <v>24</v>
      </c>
      <c r="J2493" s="6">
        <v>8.99</v>
      </c>
      <c r="K2493">
        <v>1</v>
      </c>
      <c r="L2493" t="s">
        <v>37</v>
      </c>
      <c r="M2493" s="5">
        <v>1</v>
      </c>
      <c r="N2493" s="4">
        <v>0.05</v>
      </c>
      <c r="O2493" t="s">
        <v>52</v>
      </c>
    </row>
    <row r="2494" spans="1:15" x14ac:dyDescent="0.3">
      <c r="A2494" t="s">
        <v>4642</v>
      </c>
      <c r="B2494" s="5">
        <v>39</v>
      </c>
      <c r="C2494" s="5" t="str" cm="1">
        <f t="array" ref="C2494">_xlfn.IFS(worksheet[[#This Row],[age]]&lt;25,"1. Young Adulthood (18-24)",worksheet[[#This Row],[age]]&lt; 35,"2. Early Adulthood (25-34)",worksheet[[#This Row],[age]]&lt; 45,"3. Mid Adulthood (35-44)",worksheet[[#This Row],[age]]&lt; 55,"4. Mature Adulthood (45-54)",TRUE,"5. Late Adulthood/Senior (55+)")</f>
        <v>3. Mid Adulthood (35-44)</v>
      </c>
      <c r="D2494" t="s">
        <v>41</v>
      </c>
      <c r="E2494" t="s">
        <v>32</v>
      </c>
      <c r="F2494" s="4">
        <v>9.2799999999999994</v>
      </c>
      <c r="G2494" s="5">
        <v>39</v>
      </c>
      <c r="H2494" t="s">
        <v>23</v>
      </c>
      <c r="I2494" t="s">
        <v>57</v>
      </c>
      <c r="J2494" s="6">
        <v>17.989999999999998</v>
      </c>
      <c r="K2494">
        <v>1</v>
      </c>
      <c r="L2494" t="s">
        <v>29</v>
      </c>
      <c r="M2494" s="5">
        <v>3</v>
      </c>
      <c r="N2494" s="4">
        <v>0.23</v>
      </c>
      <c r="O2494" t="s">
        <v>34</v>
      </c>
    </row>
    <row r="2495" spans="1:15" x14ac:dyDescent="0.3">
      <c r="A2495" t="s">
        <v>4652</v>
      </c>
      <c r="B2495" s="5">
        <v>38</v>
      </c>
      <c r="C2495" s="5" t="str" cm="1">
        <f t="array" ref="C2495">_xlfn.IFS(worksheet[[#This Row],[age]]&lt;25,"1. Young Adulthood (18-24)",worksheet[[#This Row],[age]]&lt; 35,"2. Early Adulthood (25-34)",worksheet[[#This Row],[age]]&lt; 45,"3. Mid Adulthood (35-44)",worksheet[[#This Row],[age]]&lt; 55,"4. Mature Adulthood (45-54)",TRUE,"5. Late Adulthood/Senior (55+)")</f>
        <v>3. Mid Adulthood (35-44)</v>
      </c>
      <c r="D2495" t="s">
        <v>41</v>
      </c>
      <c r="E2495" t="s">
        <v>22</v>
      </c>
      <c r="F2495" s="4">
        <v>8.7899999999999991</v>
      </c>
      <c r="G2495" s="5">
        <v>17</v>
      </c>
      <c r="H2495" t="s">
        <v>70</v>
      </c>
      <c r="I2495" t="s">
        <v>18</v>
      </c>
      <c r="J2495" s="6">
        <v>13.99</v>
      </c>
      <c r="K2495">
        <v>0</v>
      </c>
      <c r="L2495" t="s">
        <v>43</v>
      </c>
      <c r="M2495" s="5">
        <v>5</v>
      </c>
      <c r="N2495" s="4">
        <v>0.49</v>
      </c>
      <c r="O2495" t="s">
        <v>30</v>
      </c>
    </row>
    <row r="2496" spans="1:15" x14ac:dyDescent="0.3">
      <c r="A2496" t="s">
        <v>4657</v>
      </c>
      <c r="B2496" s="5">
        <v>41</v>
      </c>
      <c r="C2496" s="5" t="str" cm="1">
        <f t="array" ref="C2496">_xlfn.IFS(worksheet[[#This Row],[age]]&lt;25,"1. Young Adulthood (18-24)",worksheet[[#This Row],[age]]&lt; 35,"2. Early Adulthood (25-34)",worksheet[[#This Row],[age]]&lt; 45,"3. Mid Adulthood (35-44)",worksheet[[#This Row],[age]]&lt; 55,"4. Mature Adulthood (45-54)",TRUE,"5. Late Adulthood/Senior (55+)")</f>
        <v>3. Mid Adulthood (35-44)</v>
      </c>
      <c r="D2496" t="s">
        <v>27</v>
      </c>
      <c r="E2496" t="s">
        <v>32</v>
      </c>
      <c r="F2496" s="4">
        <v>0.56999999999999995</v>
      </c>
      <c r="G2496" s="5">
        <v>52</v>
      </c>
      <c r="H2496" t="s">
        <v>70</v>
      </c>
      <c r="I2496" t="s">
        <v>24</v>
      </c>
      <c r="J2496" s="6">
        <v>17.989999999999998</v>
      </c>
      <c r="K2496">
        <v>1</v>
      </c>
      <c r="L2496" t="s">
        <v>43</v>
      </c>
      <c r="M2496" s="5">
        <v>4</v>
      </c>
      <c r="N2496" s="4">
        <v>0.01</v>
      </c>
      <c r="O2496" t="s">
        <v>52</v>
      </c>
    </row>
    <row r="2497" spans="1:15" x14ac:dyDescent="0.3">
      <c r="A2497" t="s">
        <v>4661</v>
      </c>
      <c r="B2497" s="5">
        <v>38</v>
      </c>
      <c r="C2497" s="5" t="str" cm="1">
        <f t="array" ref="C2497">_xlfn.IFS(worksheet[[#This Row],[age]]&lt;25,"1. Young Adulthood (18-24)",worksheet[[#This Row],[age]]&lt; 35,"2. Early Adulthood (25-34)",worksheet[[#This Row],[age]]&lt; 45,"3. Mid Adulthood (35-44)",worksheet[[#This Row],[age]]&lt; 55,"4. Mature Adulthood (45-54)",TRUE,"5. Late Adulthood/Senior (55+)")</f>
        <v>3. Mid Adulthood (35-44)</v>
      </c>
      <c r="D2497" t="s">
        <v>27</v>
      </c>
      <c r="E2497" t="s">
        <v>22</v>
      </c>
      <c r="F2497" s="4">
        <v>32.31</v>
      </c>
      <c r="G2497" s="5">
        <v>11</v>
      </c>
      <c r="H2497" t="s">
        <v>33</v>
      </c>
      <c r="I2497" t="s">
        <v>24</v>
      </c>
      <c r="J2497" s="6">
        <v>13.99</v>
      </c>
      <c r="K2497">
        <v>0</v>
      </c>
      <c r="L2497" t="s">
        <v>43</v>
      </c>
      <c r="M2497" s="5">
        <v>3</v>
      </c>
      <c r="N2497" s="4">
        <v>2.69</v>
      </c>
      <c r="O2497" t="s">
        <v>34</v>
      </c>
    </row>
    <row r="2498" spans="1:15" x14ac:dyDescent="0.3">
      <c r="A2498" t="s">
        <v>4663</v>
      </c>
      <c r="B2498" s="5">
        <v>40</v>
      </c>
      <c r="C2498" s="5" t="str" cm="1">
        <f t="array" ref="C2498">_xlfn.IFS(worksheet[[#This Row],[age]]&lt;25,"1. Young Adulthood (18-24)",worksheet[[#This Row],[age]]&lt; 35,"2. Early Adulthood (25-34)",worksheet[[#This Row],[age]]&lt; 45,"3. Mid Adulthood (35-44)",worksheet[[#This Row],[age]]&lt; 55,"4. Mature Adulthood (45-54)",TRUE,"5. Late Adulthood/Senior (55+)")</f>
        <v>3. Mid Adulthood (35-44)</v>
      </c>
      <c r="D2498" t="s">
        <v>15</v>
      </c>
      <c r="E2498" t="s">
        <v>16</v>
      </c>
      <c r="F2498" s="4">
        <v>6.86</v>
      </c>
      <c r="G2498" s="5">
        <v>1</v>
      </c>
      <c r="H2498" t="s">
        <v>33</v>
      </c>
      <c r="I2498" t="s">
        <v>57</v>
      </c>
      <c r="J2498" s="6">
        <v>8.99</v>
      </c>
      <c r="K2498">
        <v>0</v>
      </c>
      <c r="L2498" t="s">
        <v>29</v>
      </c>
      <c r="M2498" s="5">
        <v>4</v>
      </c>
      <c r="N2498" s="4">
        <v>3.43</v>
      </c>
      <c r="O2498" t="s">
        <v>25</v>
      </c>
    </row>
    <row r="2499" spans="1:15" x14ac:dyDescent="0.3">
      <c r="A2499" t="s">
        <v>4673</v>
      </c>
      <c r="B2499" s="5">
        <v>35</v>
      </c>
      <c r="C2499" s="5" t="str" cm="1">
        <f t="array" ref="C2499">_xlfn.IFS(worksheet[[#This Row],[age]]&lt;25,"1. Young Adulthood (18-24)",worksheet[[#This Row],[age]]&lt; 35,"2. Early Adulthood (25-34)",worksheet[[#This Row],[age]]&lt; 45,"3. Mid Adulthood (35-44)",worksheet[[#This Row],[age]]&lt; 55,"4. Mature Adulthood (45-54)",TRUE,"5. Late Adulthood/Senior (55+)")</f>
        <v>3. Mid Adulthood (35-44)</v>
      </c>
      <c r="D2499" t="s">
        <v>27</v>
      </c>
      <c r="E2499" t="s">
        <v>32</v>
      </c>
      <c r="F2499" s="4">
        <v>25.2</v>
      </c>
      <c r="G2499" s="5">
        <v>48</v>
      </c>
      <c r="H2499" t="s">
        <v>28</v>
      </c>
      <c r="I2499" t="s">
        <v>57</v>
      </c>
      <c r="J2499" s="6">
        <v>17.989999999999998</v>
      </c>
      <c r="K2499">
        <v>0</v>
      </c>
      <c r="L2499" t="s">
        <v>37</v>
      </c>
      <c r="M2499" s="5">
        <v>4</v>
      </c>
      <c r="N2499" s="4">
        <v>0.51</v>
      </c>
      <c r="O2499" t="s">
        <v>25</v>
      </c>
    </row>
    <row r="2500" spans="1:15" x14ac:dyDescent="0.3">
      <c r="A2500" t="s">
        <v>4681</v>
      </c>
      <c r="B2500" s="5">
        <v>43</v>
      </c>
      <c r="C2500" s="5" t="str" cm="1">
        <f t="array" ref="C2500">_xlfn.IFS(worksheet[[#This Row],[age]]&lt;25,"1. Young Adulthood (18-24)",worksheet[[#This Row],[age]]&lt; 35,"2. Early Adulthood (25-34)",worksheet[[#This Row],[age]]&lt; 45,"3. Mid Adulthood (35-44)",worksheet[[#This Row],[age]]&lt; 55,"4. Mature Adulthood (45-54)",TRUE,"5. Late Adulthood/Senior (55+)")</f>
        <v>3. Mid Adulthood (35-44)</v>
      </c>
      <c r="D2500" t="s">
        <v>15</v>
      </c>
      <c r="E2500" t="s">
        <v>16</v>
      </c>
      <c r="F2500" s="4">
        <v>6.86</v>
      </c>
      <c r="G2500" s="5">
        <v>41</v>
      </c>
      <c r="H2500" t="s">
        <v>49</v>
      </c>
      <c r="I2500" t="s">
        <v>55</v>
      </c>
      <c r="J2500" s="6">
        <v>8.99</v>
      </c>
      <c r="K2500">
        <v>1</v>
      </c>
      <c r="L2500" t="s">
        <v>43</v>
      </c>
      <c r="M2500" s="5">
        <v>4</v>
      </c>
      <c r="N2500" s="4">
        <v>0.16</v>
      </c>
      <c r="O2500" t="s">
        <v>52</v>
      </c>
    </row>
    <row r="2501" spans="1:15" x14ac:dyDescent="0.3">
      <c r="A2501" t="s">
        <v>4693</v>
      </c>
      <c r="B2501" s="5">
        <v>42</v>
      </c>
      <c r="C2501" s="5" t="str" cm="1">
        <f t="array" ref="C2501">_xlfn.IFS(worksheet[[#This Row],[age]]&lt;25,"1. Young Adulthood (18-24)",worksheet[[#This Row],[age]]&lt; 35,"2. Early Adulthood (25-34)",worksheet[[#This Row],[age]]&lt; 45,"3. Mid Adulthood (35-44)",worksheet[[#This Row],[age]]&lt; 55,"4. Mature Adulthood (45-54)",TRUE,"5. Late Adulthood/Senior (55+)")</f>
        <v>3. Mid Adulthood (35-44)</v>
      </c>
      <c r="D2501" t="s">
        <v>27</v>
      </c>
      <c r="E2501" t="s">
        <v>22</v>
      </c>
      <c r="F2501" s="4">
        <v>0.48</v>
      </c>
      <c r="G2501" s="5">
        <v>5</v>
      </c>
      <c r="H2501" t="s">
        <v>70</v>
      </c>
      <c r="I2501" t="s">
        <v>55</v>
      </c>
      <c r="J2501" s="6">
        <v>13.99</v>
      </c>
      <c r="K2501">
        <v>0</v>
      </c>
      <c r="L2501" t="s">
        <v>61</v>
      </c>
      <c r="M2501" s="5">
        <v>5</v>
      </c>
      <c r="N2501" s="4">
        <v>0.08</v>
      </c>
      <c r="O2501" t="s">
        <v>20</v>
      </c>
    </row>
    <row r="2502" spans="1:15" x14ac:dyDescent="0.3">
      <c r="A2502" t="s">
        <v>4696</v>
      </c>
      <c r="B2502" s="5">
        <v>41</v>
      </c>
      <c r="C2502" s="5" t="str" cm="1">
        <f t="array" ref="C2502">_xlfn.IFS(worksheet[[#This Row],[age]]&lt;25,"1. Young Adulthood (18-24)",worksheet[[#This Row],[age]]&lt; 35,"2. Early Adulthood (25-34)",worksheet[[#This Row],[age]]&lt; 45,"3. Mid Adulthood (35-44)",worksheet[[#This Row],[age]]&lt; 55,"4. Mature Adulthood (45-54)",TRUE,"5. Late Adulthood/Senior (55+)")</f>
        <v>3. Mid Adulthood (35-44)</v>
      </c>
      <c r="D2502" t="s">
        <v>27</v>
      </c>
      <c r="E2502" t="s">
        <v>16</v>
      </c>
      <c r="F2502" s="4">
        <v>32.799999999999997</v>
      </c>
      <c r="G2502" s="5">
        <v>32</v>
      </c>
      <c r="H2502" t="s">
        <v>23</v>
      </c>
      <c r="I2502" t="s">
        <v>24</v>
      </c>
      <c r="J2502" s="6">
        <v>8.99</v>
      </c>
      <c r="K2502">
        <v>0</v>
      </c>
      <c r="L2502" t="s">
        <v>61</v>
      </c>
      <c r="M2502" s="5">
        <v>2</v>
      </c>
      <c r="N2502" s="4">
        <v>0.99</v>
      </c>
      <c r="O2502" t="s">
        <v>30</v>
      </c>
    </row>
    <row r="2503" spans="1:15" x14ac:dyDescent="0.3">
      <c r="A2503" t="s">
        <v>4705</v>
      </c>
      <c r="B2503" s="5">
        <v>43</v>
      </c>
      <c r="C2503" s="5" t="str" cm="1">
        <f t="array" ref="C2503">_xlfn.IFS(worksheet[[#This Row],[age]]&lt;25,"1. Young Adulthood (18-24)",worksheet[[#This Row],[age]]&lt; 35,"2. Early Adulthood (25-34)",worksheet[[#This Row],[age]]&lt; 45,"3. Mid Adulthood (35-44)",worksheet[[#This Row],[age]]&lt; 55,"4. Mature Adulthood (45-54)",TRUE,"5. Late Adulthood/Senior (55+)")</f>
        <v>3. Mid Adulthood (35-44)</v>
      </c>
      <c r="D2503" t="s">
        <v>15</v>
      </c>
      <c r="E2503" t="s">
        <v>22</v>
      </c>
      <c r="F2503" s="4">
        <v>38.840000000000003</v>
      </c>
      <c r="G2503" s="5">
        <v>56</v>
      </c>
      <c r="H2503" t="s">
        <v>23</v>
      </c>
      <c r="I2503" t="s">
        <v>24</v>
      </c>
      <c r="J2503" s="6">
        <v>13.99</v>
      </c>
      <c r="K2503">
        <v>0</v>
      </c>
      <c r="L2503" t="s">
        <v>37</v>
      </c>
      <c r="M2503" s="5">
        <v>4</v>
      </c>
      <c r="N2503" s="4">
        <v>0.68</v>
      </c>
      <c r="O2503" t="s">
        <v>39</v>
      </c>
    </row>
    <row r="2504" spans="1:15" x14ac:dyDescent="0.3">
      <c r="A2504" t="s">
        <v>4706</v>
      </c>
      <c r="B2504" s="5">
        <v>36</v>
      </c>
      <c r="C2504" s="5" t="str" cm="1">
        <f t="array" ref="C2504">_xlfn.IFS(worksheet[[#This Row],[age]]&lt;25,"1. Young Adulthood (18-24)",worksheet[[#This Row],[age]]&lt; 35,"2. Early Adulthood (25-34)",worksheet[[#This Row],[age]]&lt; 45,"3. Mid Adulthood (35-44)",worksheet[[#This Row],[age]]&lt; 55,"4. Mature Adulthood (45-54)",TRUE,"5. Late Adulthood/Senior (55+)")</f>
        <v>3. Mid Adulthood (35-44)</v>
      </c>
      <c r="D2504" t="s">
        <v>27</v>
      </c>
      <c r="E2504" t="s">
        <v>22</v>
      </c>
      <c r="F2504" s="4">
        <v>2.56</v>
      </c>
      <c r="G2504" s="5">
        <v>6</v>
      </c>
      <c r="H2504" t="s">
        <v>17</v>
      </c>
      <c r="I2504" t="s">
        <v>57</v>
      </c>
      <c r="J2504" s="6">
        <v>13.99</v>
      </c>
      <c r="K2504">
        <v>0</v>
      </c>
      <c r="L2504" t="s">
        <v>37</v>
      </c>
      <c r="M2504" s="5">
        <v>5</v>
      </c>
      <c r="N2504" s="4">
        <v>0.37</v>
      </c>
      <c r="O2504" t="s">
        <v>47</v>
      </c>
    </row>
    <row r="2505" spans="1:15" x14ac:dyDescent="0.3">
      <c r="A2505" t="s">
        <v>4710</v>
      </c>
      <c r="B2505" s="5">
        <v>37</v>
      </c>
      <c r="C2505" s="5" t="str" cm="1">
        <f t="array" ref="C2505">_xlfn.IFS(worksheet[[#This Row],[age]]&lt;25,"1. Young Adulthood (18-24)",worksheet[[#This Row],[age]]&lt; 35,"2. Early Adulthood (25-34)",worksheet[[#This Row],[age]]&lt; 45,"3. Mid Adulthood (35-44)",worksheet[[#This Row],[age]]&lt; 55,"4. Mature Adulthood (45-54)",TRUE,"5. Late Adulthood/Senior (55+)")</f>
        <v>3. Mid Adulthood (35-44)</v>
      </c>
      <c r="D2505" t="s">
        <v>41</v>
      </c>
      <c r="E2505" t="s">
        <v>22</v>
      </c>
      <c r="F2505" s="4">
        <v>1.33</v>
      </c>
      <c r="G2505" s="5">
        <v>60</v>
      </c>
      <c r="H2505" t="s">
        <v>23</v>
      </c>
      <c r="I2505" t="s">
        <v>55</v>
      </c>
      <c r="J2505" s="6">
        <v>13.99</v>
      </c>
      <c r="K2505">
        <v>1</v>
      </c>
      <c r="L2505" t="s">
        <v>19</v>
      </c>
      <c r="M2505" s="5">
        <v>5</v>
      </c>
      <c r="N2505" s="4">
        <v>0.02</v>
      </c>
      <c r="O2505" t="s">
        <v>47</v>
      </c>
    </row>
    <row r="2506" spans="1:15" x14ac:dyDescent="0.3">
      <c r="A2506" t="s">
        <v>4711</v>
      </c>
      <c r="B2506" s="5">
        <v>43</v>
      </c>
      <c r="C2506" s="5" t="str" cm="1">
        <f t="array" ref="C2506">_xlfn.IFS(worksheet[[#This Row],[age]]&lt;25,"1. Young Adulthood (18-24)",worksheet[[#This Row],[age]]&lt; 35,"2. Early Adulthood (25-34)",worksheet[[#This Row],[age]]&lt; 45,"3. Mid Adulthood (35-44)",worksheet[[#This Row],[age]]&lt; 55,"4. Mature Adulthood (45-54)",TRUE,"5. Late Adulthood/Senior (55+)")</f>
        <v>3. Mid Adulthood (35-44)</v>
      </c>
      <c r="D2506" t="s">
        <v>41</v>
      </c>
      <c r="E2506" t="s">
        <v>16</v>
      </c>
      <c r="F2506" s="4">
        <v>10.02</v>
      </c>
      <c r="G2506" s="5">
        <v>50</v>
      </c>
      <c r="H2506" t="s">
        <v>23</v>
      </c>
      <c r="I2506" t="s">
        <v>18</v>
      </c>
      <c r="J2506" s="6">
        <v>8.99</v>
      </c>
      <c r="K2506">
        <v>1</v>
      </c>
      <c r="L2506" t="s">
        <v>61</v>
      </c>
      <c r="M2506" s="5">
        <v>1</v>
      </c>
      <c r="N2506" s="4">
        <v>0.2</v>
      </c>
      <c r="O2506" t="s">
        <v>30</v>
      </c>
    </row>
    <row r="2507" spans="1:15" x14ac:dyDescent="0.3">
      <c r="A2507" t="s">
        <v>4714</v>
      </c>
      <c r="B2507" s="5">
        <v>35</v>
      </c>
      <c r="C2507" s="5" t="str" cm="1">
        <f t="array" ref="C2507">_xlfn.IFS(worksheet[[#This Row],[age]]&lt;25,"1. Young Adulthood (18-24)",worksheet[[#This Row],[age]]&lt; 35,"2. Early Adulthood (25-34)",worksheet[[#This Row],[age]]&lt; 45,"3. Mid Adulthood (35-44)",worksheet[[#This Row],[age]]&lt; 55,"4. Mature Adulthood (45-54)",TRUE,"5. Late Adulthood/Senior (55+)")</f>
        <v>3. Mid Adulthood (35-44)</v>
      </c>
      <c r="D2507" t="s">
        <v>27</v>
      </c>
      <c r="E2507" t="s">
        <v>16</v>
      </c>
      <c r="F2507" s="4">
        <v>9.1999999999999993</v>
      </c>
      <c r="G2507" s="5">
        <v>26</v>
      </c>
      <c r="H2507" t="s">
        <v>49</v>
      </c>
      <c r="I2507" t="s">
        <v>46</v>
      </c>
      <c r="J2507" s="6">
        <v>8.99</v>
      </c>
      <c r="K2507">
        <v>1</v>
      </c>
      <c r="L2507" t="s">
        <v>19</v>
      </c>
      <c r="M2507" s="5">
        <v>2</v>
      </c>
      <c r="N2507" s="4">
        <v>0.34</v>
      </c>
      <c r="O2507" t="s">
        <v>47</v>
      </c>
    </row>
    <row r="2508" spans="1:15" x14ac:dyDescent="0.3">
      <c r="A2508" t="s">
        <v>4721</v>
      </c>
      <c r="B2508" s="5">
        <v>36</v>
      </c>
      <c r="C2508" s="5" t="str" cm="1">
        <f t="array" ref="C2508">_xlfn.IFS(worksheet[[#This Row],[age]]&lt;25,"1. Young Adulthood (18-24)",worksheet[[#This Row],[age]]&lt; 35,"2. Early Adulthood (25-34)",worksheet[[#This Row],[age]]&lt; 45,"3. Mid Adulthood (35-44)",worksheet[[#This Row],[age]]&lt; 55,"4. Mature Adulthood (45-54)",TRUE,"5. Late Adulthood/Senior (55+)")</f>
        <v>3. Mid Adulthood (35-44)</v>
      </c>
      <c r="D2508" t="s">
        <v>27</v>
      </c>
      <c r="E2508" t="s">
        <v>22</v>
      </c>
      <c r="F2508" s="4">
        <v>11.94</v>
      </c>
      <c r="G2508" s="5">
        <v>45</v>
      </c>
      <c r="H2508" t="s">
        <v>23</v>
      </c>
      <c r="I2508" t="s">
        <v>57</v>
      </c>
      <c r="J2508" s="6">
        <v>13.99</v>
      </c>
      <c r="K2508">
        <v>1</v>
      </c>
      <c r="L2508" t="s">
        <v>43</v>
      </c>
      <c r="M2508" s="5">
        <v>2</v>
      </c>
      <c r="N2508" s="4">
        <v>0.26</v>
      </c>
      <c r="O2508" t="s">
        <v>47</v>
      </c>
    </row>
    <row r="2509" spans="1:15" x14ac:dyDescent="0.3">
      <c r="A2509" t="s">
        <v>4726</v>
      </c>
      <c r="B2509" s="5">
        <v>39</v>
      </c>
      <c r="C2509" s="5" t="str" cm="1">
        <f t="array" ref="C2509">_xlfn.IFS(worksheet[[#This Row],[age]]&lt;25,"1. Young Adulthood (18-24)",worksheet[[#This Row],[age]]&lt; 35,"2. Early Adulthood (25-34)",worksheet[[#This Row],[age]]&lt; 45,"3. Mid Adulthood (35-44)",worksheet[[#This Row],[age]]&lt; 55,"4. Mature Adulthood (45-54)",TRUE,"5. Late Adulthood/Senior (55+)")</f>
        <v>3. Mid Adulthood (35-44)</v>
      </c>
      <c r="D2509" t="s">
        <v>15</v>
      </c>
      <c r="E2509" t="s">
        <v>32</v>
      </c>
      <c r="F2509" s="4">
        <v>13.51</v>
      </c>
      <c r="G2509" s="5">
        <v>54</v>
      </c>
      <c r="H2509" t="s">
        <v>33</v>
      </c>
      <c r="I2509" t="s">
        <v>57</v>
      </c>
      <c r="J2509" s="6">
        <v>17.989999999999998</v>
      </c>
      <c r="K2509">
        <v>0</v>
      </c>
      <c r="L2509" t="s">
        <v>43</v>
      </c>
      <c r="M2509" s="5">
        <v>4</v>
      </c>
      <c r="N2509" s="4">
        <v>0.25</v>
      </c>
      <c r="O2509" t="s">
        <v>30</v>
      </c>
    </row>
    <row r="2510" spans="1:15" x14ac:dyDescent="0.3">
      <c r="A2510" t="s">
        <v>4733</v>
      </c>
      <c r="B2510" s="5">
        <v>41</v>
      </c>
      <c r="C2510" s="5" t="str" cm="1">
        <f t="array" ref="C2510">_xlfn.IFS(worksheet[[#This Row],[age]]&lt;25,"1. Young Adulthood (18-24)",worksheet[[#This Row],[age]]&lt; 35,"2. Early Adulthood (25-34)",worksheet[[#This Row],[age]]&lt; 45,"3. Mid Adulthood (35-44)",worksheet[[#This Row],[age]]&lt; 55,"4. Mature Adulthood (45-54)",TRUE,"5. Late Adulthood/Senior (55+)")</f>
        <v>3. Mid Adulthood (35-44)</v>
      </c>
      <c r="D2510" t="s">
        <v>27</v>
      </c>
      <c r="E2510" t="s">
        <v>16</v>
      </c>
      <c r="F2510" s="4">
        <v>7.78</v>
      </c>
      <c r="G2510" s="5">
        <v>0</v>
      </c>
      <c r="H2510" t="s">
        <v>28</v>
      </c>
      <c r="I2510" t="s">
        <v>57</v>
      </c>
      <c r="J2510" s="6">
        <v>8.99</v>
      </c>
      <c r="K2510">
        <v>0</v>
      </c>
      <c r="L2510" t="s">
        <v>43</v>
      </c>
      <c r="M2510" s="5">
        <v>2</v>
      </c>
      <c r="N2510" s="4">
        <v>7.78</v>
      </c>
      <c r="O2510" t="s">
        <v>39</v>
      </c>
    </row>
    <row r="2511" spans="1:15" x14ac:dyDescent="0.3">
      <c r="A2511" t="s">
        <v>4739</v>
      </c>
      <c r="B2511" s="5">
        <v>44</v>
      </c>
      <c r="C2511" s="5" t="str" cm="1">
        <f t="array" ref="C2511">_xlfn.IFS(worksheet[[#This Row],[age]]&lt;25,"1. Young Adulthood (18-24)",worksheet[[#This Row],[age]]&lt; 35,"2. Early Adulthood (25-34)",worksheet[[#This Row],[age]]&lt; 45,"3. Mid Adulthood (35-44)",worksheet[[#This Row],[age]]&lt; 55,"4. Mature Adulthood (45-54)",TRUE,"5. Late Adulthood/Senior (55+)")</f>
        <v>3. Mid Adulthood (35-44)</v>
      </c>
      <c r="D2511" t="s">
        <v>15</v>
      </c>
      <c r="E2511" t="s">
        <v>16</v>
      </c>
      <c r="F2511" s="4">
        <v>20.91</v>
      </c>
      <c r="G2511" s="5">
        <v>5</v>
      </c>
      <c r="H2511" t="s">
        <v>49</v>
      </c>
      <c r="I2511" t="s">
        <v>46</v>
      </c>
      <c r="J2511" s="6">
        <v>8.99</v>
      </c>
      <c r="K2511">
        <v>0</v>
      </c>
      <c r="L2511" t="s">
        <v>19</v>
      </c>
      <c r="M2511" s="5">
        <v>5</v>
      </c>
      <c r="N2511" s="4">
        <v>3.48</v>
      </c>
      <c r="O2511" t="s">
        <v>25</v>
      </c>
    </row>
    <row r="2512" spans="1:15" x14ac:dyDescent="0.3">
      <c r="A2512" t="s">
        <v>4749</v>
      </c>
      <c r="B2512" s="5">
        <v>40</v>
      </c>
      <c r="C2512" s="5" t="str" cm="1">
        <f t="array" ref="C2512">_xlfn.IFS(worksheet[[#This Row],[age]]&lt;25,"1. Young Adulthood (18-24)",worksheet[[#This Row],[age]]&lt; 35,"2. Early Adulthood (25-34)",worksheet[[#This Row],[age]]&lt; 45,"3. Mid Adulthood (35-44)",worksheet[[#This Row],[age]]&lt; 55,"4. Mature Adulthood (45-54)",TRUE,"5. Late Adulthood/Senior (55+)")</f>
        <v>3. Mid Adulthood (35-44)</v>
      </c>
      <c r="D2512" t="s">
        <v>15</v>
      </c>
      <c r="E2512" t="s">
        <v>22</v>
      </c>
      <c r="F2512" s="4">
        <v>7.48</v>
      </c>
      <c r="G2512" s="5">
        <v>54</v>
      </c>
      <c r="H2512" t="s">
        <v>17</v>
      </c>
      <c r="I2512" t="s">
        <v>57</v>
      </c>
      <c r="J2512" s="6">
        <v>13.99</v>
      </c>
      <c r="K2512">
        <v>1</v>
      </c>
      <c r="L2512" t="s">
        <v>37</v>
      </c>
      <c r="M2512" s="5">
        <v>1</v>
      </c>
      <c r="N2512" s="4">
        <v>0.14000000000000001</v>
      </c>
      <c r="O2512" t="s">
        <v>47</v>
      </c>
    </row>
    <row r="2513" spans="1:15" x14ac:dyDescent="0.3">
      <c r="A2513" t="s">
        <v>4750</v>
      </c>
      <c r="B2513" s="5">
        <v>36</v>
      </c>
      <c r="C2513" s="5" t="str" cm="1">
        <f t="array" ref="C2513">_xlfn.IFS(worksheet[[#This Row],[age]]&lt;25,"1. Young Adulthood (18-24)",worksheet[[#This Row],[age]]&lt; 35,"2. Early Adulthood (25-34)",worksheet[[#This Row],[age]]&lt; 45,"3. Mid Adulthood (35-44)",worksheet[[#This Row],[age]]&lt; 55,"4. Mature Adulthood (45-54)",TRUE,"5. Late Adulthood/Senior (55+)")</f>
        <v>3. Mid Adulthood (35-44)</v>
      </c>
      <c r="D2513" t="s">
        <v>41</v>
      </c>
      <c r="E2513" t="s">
        <v>32</v>
      </c>
      <c r="F2513" s="4">
        <v>2.13</v>
      </c>
      <c r="G2513" s="5">
        <v>54</v>
      </c>
      <c r="H2513" t="s">
        <v>33</v>
      </c>
      <c r="I2513" t="s">
        <v>46</v>
      </c>
      <c r="J2513" s="6">
        <v>17.989999999999998</v>
      </c>
      <c r="K2513">
        <v>1</v>
      </c>
      <c r="L2513" t="s">
        <v>37</v>
      </c>
      <c r="M2513" s="5">
        <v>3</v>
      </c>
      <c r="N2513" s="4">
        <v>0.04</v>
      </c>
      <c r="O2513" t="s">
        <v>30</v>
      </c>
    </row>
    <row r="2514" spans="1:15" x14ac:dyDescent="0.3">
      <c r="A2514" s="1" t="s">
        <v>4753</v>
      </c>
      <c r="B2514" s="5">
        <v>43</v>
      </c>
      <c r="C2514" s="5" t="str" cm="1">
        <f t="array" ref="C2514">_xlfn.IFS(worksheet[[#This Row],[age]]&lt;25,"1. Young Adulthood (18-24)",worksheet[[#This Row],[age]]&lt; 35,"2. Early Adulthood (25-34)",worksheet[[#This Row],[age]]&lt; 45,"3. Mid Adulthood (35-44)",worksheet[[#This Row],[age]]&lt; 55,"4. Mature Adulthood (45-54)",TRUE,"5. Late Adulthood/Senior (55+)")</f>
        <v>3. Mid Adulthood (35-44)</v>
      </c>
      <c r="D2514" t="s">
        <v>41</v>
      </c>
      <c r="E2514" t="s">
        <v>22</v>
      </c>
      <c r="F2514" s="4">
        <v>1.06</v>
      </c>
      <c r="G2514" s="5">
        <v>27</v>
      </c>
      <c r="H2514" t="s">
        <v>28</v>
      </c>
      <c r="I2514" t="s">
        <v>18</v>
      </c>
      <c r="J2514" s="6">
        <v>13.99</v>
      </c>
      <c r="K2514">
        <v>0</v>
      </c>
      <c r="L2514" t="s">
        <v>43</v>
      </c>
      <c r="M2514" s="5">
        <v>4</v>
      </c>
      <c r="N2514" s="4">
        <v>0.04</v>
      </c>
      <c r="O2514" t="s">
        <v>20</v>
      </c>
    </row>
    <row r="2515" spans="1:15" x14ac:dyDescent="0.3">
      <c r="A2515" t="s">
        <v>4761</v>
      </c>
      <c r="B2515" s="5">
        <v>38</v>
      </c>
      <c r="C2515" s="5" t="str" cm="1">
        <f t="array" ref="C2515">_xlfn.IFS(worksheet[[#This Row],[age]]&lt;25,"1. Young Adulthood (18-24)",worksheet[[#This Row],[age]]&lt; 35,"2. Early Adulthood (25-34)",worksheet[[#This Row],[age]]&lt; 45,"3. Mid Adulthood (35-44)",worksheet[[#This Row],[age]]&lt; 55,"4. Mature Adulthood (45-54)",TRUE,"5. Late Adulthood/Senior (55+)")</f>
        <v>3. Mid Adulthood (35-44)</v>
      </c>
      <c r="D2515" t="s">
        <v>15</v>
      </c>
      <c r="E2515" t="s">
        <v>22</v>
      </c>
      <c r="F2515" s="4">
        <v>5.32</v>
      </c>
      <c r="G2515" s="5">
        <v>24</v>
      </c>
      <c r="H2515" t="s">
        <v>23</v>
      </c>
      <c r="I2515" t="s">
        <v>57</v>
      </c>
      <c r="J2515" s="6">
        <v>13.99</v>
      </c>
      <c r="K2515">
        <v>0</v>
      </c>
      <c r="L2515" t="s">
        <v>29</v>
      </c>
      <c r="M2515" s="5">
        <v>4</v>
      </c>
      <c r="N2515" s="4">
        <v>0.21</v>
      </c>
      <c r="O2515" t="s">
        <v>52</v>
      </c>
    </row>
    <row r="2516" spans="1:15" x14ac:dyDescent="0.3">
      <c r="A2516" t="s">
        <v>4771</v>
      </c>
      <c r="B2516" s="5">
        <v>40</v>
      </c>
      <c r="C2516" s="5" t="str" cm="1">
        <f t="array" ref="C2516">_xlfn.IFS(worksheet[[#This Row],[age]]&lt;25,"1. Young Adulthood (18-24)",worksheet[[#This Row],[age]]&lt; 35,"2. Early Adulthood (25-34)",worksheet[[#This Row],[age]]&lt; 45,"3. Mid Adulthood (35-44)",worksheet[[#This Row],[age]]&lt; 55,"4. Mature Adulthood (45-54)",TRUE,"5. Late Adulthood/Senior (55+)")</f>
        <v>3. Mid Adulthood (35-44)</v>
      </c>
      <c r="D2516" t="s">
        <v>27</v>
      </c>
      <c r="E2516" t="s">
        <v>16</v>
      </c>
      <c r="F2516" s="4">
        <v>5.54</v>
      </c>
      <c r="G2516" s="5">
        <v>11</v>
      </c>
      <c r="H2516" t="s">
        <v>33</v>
      </c>
      <c r="I2516" t="s">
        <v>24</v>
      </c>
      <c r="J2516" s="6">
        <v>8.99</v>
      </c>
      <c r="K2516">
        <v>1</v>
      </c>
      <c r="L2516" t="s">
        <v>19</v>
      </c>
      <c r="M2516" s="5">
        <v>1</v>
      </c>
      <c r="N2516" s="4">
        <v>0.46</v>
      </c>
      <c r="O2516" t="s">
        <v>30</v>
      </c>
    </row>
    <row r="2517" spans="1:15" x14ac:dyDescent="0.3">
      <c r="A2517" t="s">
        <v>4774</v>
      </c>
      <c r="B2517" s="5">
        <v>43</v>
      </c>
      <c r="C2517" s="5" t="str" cm="1">
        <f t="array" ref="C2517">_xlfn.IFS(worksheet[[#This Row],[age]]&lt;25,"1. Young Adulthood (18-24)",worksheet[[#This Row],[age]]&lt; 35,"2. Early Adulthood (25-34)",worksheet[[#This Row],[age]]&lt; 45,"3. Mid Adulthood (35-44)",worksheet[[#This Row],[age]]&lt; 55,"4. Mature Adulthood (45-54)",TRUE,"5. Late Adulthood/Senior (55+)")</f>
        <v>3. Mid Adulthood (35-44)</v>
      </c>
      <c r="D2517" t="s">
        <v>27</v>
      </c>
      <c r="E2517" t="s">
        <v>16</v>
      </c>
      <c r="F2517" s="4">
        <v>7.51</v>
      </c>
      <c r="G2517" s="5">
        <v>2</v>
      </c>
      <c r="H2517" t="s">
        <v>23</v>
      </c>
      <c r="I2517" t="s">
        <v>18</v>
      </c>
      <c r="J2517" s="6">
        <v>8.99</v>
      </c>
      <c r="K2517">
        <v>0</v>
      </c>
      <c r="L2517" t="s">
        <v>61</v>
      </c>
      <c r="M2517" s="5">
        <v>4</v>
      </c>
      <c r="N2517" s="4">
        <v>2.5</v>
      </c>
      <c r="O2517" t="s">
        <v>30</v>
      </c>
    </row>
    <row r="2518" spans="1:15" x14ac:dyDescent="0.3">
      <c r="A2518" t="s">
        <v>4776</v>
      </c>
      <c r="B2518" s="5">
        <v>39</v>
      </c>
      <c r="C2518" s="5" t="str" cm="1">
        <f t="array" ref="C2518">_xlfn.IFS(worksheet[[#This Row],[age]]&lt;25,"1. Young Adulthood (18-24)",worksheet[[#This Row],[age]]&lt; 35,"2. Early Adulthood (25-34)",worksheet[[#This Row],[age]]&lt; 45,"3. Mid Adulthood (35-44)",worksheet[[#This Row],[age]]&lt; 55,"4. Mature Adulthood (45-54)",TRUE,"5. Late Adulthood/Senior (55+)")</f>
        <v>3. Mid Adulthood (35-44)</v>
      </c>
      <c r="D2518" t="s">
        <v>27</v>
      </c>
      <c r="E2518" t="s">
        <v>22</v>
      </c>
      <c r="F2518" s="4">
        <v>11.29</v>
      </c>
      <c r="G2518" s="5">
        <v>40</v>
      </c>
      <c r="H2518" t="s">
        <v>23</v>
      </c>
      <c r="I2518" t="s">
        <v>46</v>
      </c>
      <c r="J2518" s="6">
        <v>13.99</v>
      </c>
      <c r="K2518">
        <v>1</v>
      </c>
      <c r="L2518" t="s">
        <v>29</v>
      </c>
      <c r="M2518" s="5">
        <v>1</v>
      </c>
      <c r="N2518" s="4">
        <v>0.28000000000000003</v>
      </c>
      <c r="O2518" t="s">
        <v>52</v>
      </c>
    </row>
    <row r="2519" spans="1:15" x14ac:dyDescent="0.3">
      <c r="A2519" t="s">
        <v>4778</v>
      </c>
      <c r="B2519" s="5">
        <v>39</v>
      </c>
      <c r="C2519" s="5" t="str" cm="1">
        <f t="array" ref="C2519">_xlfn.IFS(worksheet[[#This Row],[age]]&lt;25,"1. Young Adulthood (18-24)",worksheet[[#This Row],[age]]&lt; 35,"2. Early Adulthood (25-34)",worksheet[[#This Row],[age]]&lt; 45,"3. Mid Adulthood (35-44)",worksheet[[#This Row],[age]]&lt; 55,"4. Mature Adulthood (45-54)",TRUE,"5. Late Adulthood/Senior (55+)")</f>
        <v>3. Mid Adulthood (35-44)</v>
      </c>
      <c r="D2519" t="s">
        <v>27</v>
      </c>
      <c r="E2519" t="s">
        <v>16</v>
      </c>
      <c r="F2519" s="4">
        <v>7.24</v>
      </c>
      <c r="G2519" s="5">
        <v>8</v>
      </c>
      <c r="H2519" t="s">
        <v>33</v>
      </c>
      <c r="I2519" t="s">
        <v>24</v>
      </c>
      <c r="J2519" s="6">
        <v>8.99</v>
      </c>
      <c r="K2519">
        <v>0</v>
      </c>
      <c r="L2519" t="s">
        <v>61</v>
      </c>
      <c r="M2519" s="5">
        <v>3</v>
      </c>
      <c r="N2519" s="4">
        <v>0.8</v>
      </c>
      <c r="O2519" t="s">
        <v>34</v>
      </c>
    </row>
    <row r="2520" spans="1:15" x14ac:dyDescent="0.3">
      <c r="A2520" t="s">
        <v>4785</v>
      </c>
      <c r="B2520" s="5">
        <v>40</v>
      </c>
      <c r="C2520" s="5" t="str" cm="1">
        <f t="array" ref="C2520">_xlfn.IFS(worksheet[[#This Row],[age]]&lt;25,"1. Young Adulthood (18-24)",worksheet[[#This Row],[age]]&lt; 35,"2. Early Adulthood (25-34)",worksheet[[#This Row],[age]]&lt; 45,"3. Mid Adulthood (35-44)",worksheet[[#This Row],[age]]&lt; 55,"4. Mature Adulthood (45-54)",TRUE,"5. Late Adulthood/Senior (55+)")</f>
        <v>3. Mid Adulthood (35-44)</v>
      </c>
      <c r="D2520" t="s">
        <v>27</v>
      </c>
      <c r="E2520" t="s">
        <v>16</v>
      </c>
      <c r="F2520" s="4">
        <v>3.95</v>
      </c>
      <c r="G2520" s="5">
        <v>34</v>
      </c>
      <c r="H2520" t="s">
        <v>33</v>
      </c>
      <c r="I2520" t="s">
        <v>57</v>
      </c>
      <c r="J2520" s="6">
        <v>8.99</v>
      </c>
      <c r="K2520">
        <v>1</v>
      </c>
      <c r="L2520" t="s">
        <v>37</v>
      </c>
      <c r="M2520" s="5">
        <v>4</v>
      </c>
      <c r="N2520" s="4">
        <v>0.11</v>
      </c>
      <c r="O2520" t="s">
        <v>47</v>
      </c>
    </row>
    <row r="2521" spans="1:15" x14ac:dyDescent="0.3">
      <c r="A2521" t="s">
        <v>4790</v>
      </c>
      <c r="B2521" s="5">
        <v>40</v>
      </c>
      <c r="C2521" s="5" t="str" cm="1">
        <f t="array" ref="C2521">_xlfn.IFS(worksheet[[#This Row],[age]]&lt;25,"1. Young Adulthood (18-24)",worksheet[[#This Row],[age]]&lt; 35,"2. Early Adulthood (25-34)",worksheet[[#This Row],[age]]&lt; 45,"3. Mid Adulthood (35-44)",worksheet[[#This Row],[age]]&lt; 55,"4. Mature Adulthood (45-54)",TRUE,"5. Late Adulthood/Senior (55+)")</f>
        <v>3. Mid Adulthood (35-44)</v>
      </c>
      <c r="D2521" t="s">
        <v>41</v>
      </c>
      <c r="E2521" t="s">
        <v>22</v>
      </c>
      <c r="F2521" s="4">
        <v>1.53</v>
      </c>
      <c r="G2521" s="5">
        <v>23</v>
      </c>
      <c r="H2521" t="s">
        <v>17</v>
      </c>
      <c r="I2521" t="s">
        <v>46</v>
      </c>
      <c r="J2521" s="6">
        <v>13.99</v>
      </c>
      <c r="K2521">
        <v>1</v>
      </c>
      <c r="L2521" t="s">
        <v>61</v>
      </c>
      <c r="M2521" s="5">
        <v>1</v>
      </c>
      <c r="N2521" s="4">
        <v>0.06</v>
      </c>
      <c r="O2521" t="s">
        <v>30</v>
      </c>
    </row>
    <row r="2522" spans="1:15" x14ac:dyDescent="0.3">
      <c r="A2522" t="s">
        <v>4797</v>
      </c>
      <c r="B2522" s="5">
        <v>38</v>
      </c>
      <c r="C2522" s="5" t="str" cm="1">
        <f t="array" ref="C2522">_xlfn.IFS(worksheet[[#This Row],[age]]&lt;25,"1. Young Adulthood (18-24)",worksheet[[#This Row],[age]]&lt; 35,"2. Early Adulthood (25-34)",worksheet[[#This Row],[age]]&lt; 45,"3. Mid Adulthood (35-44)",worksheet[[#This Row],[age]]&lt; 55,"4. Mature Adulthood (45-54)",TRUE,"5. Late Adulthood/Senior (55+)")</f>
        <v>3. Mid Adulthood (35-44)</v>
      </c>
      <c r="D2522" t="s">
        <v>41</v>
      </c>
      <c r="E2522" t="s">
        <v>32</v>
      </c>
      <c r="F2522" s="4">
        <v>4.88</v>
      </c>
      <c r="G2522" s="5">
        <v>12</v>
      </c>
      <c r="H2522" t="s">
        <v>70</v>
      </c>
      <c r="I2522" t="s">
        <v>46</v>
      </c>
      <c r="J2522" s="6">
        <v>17.989999999999998</v>
      </c>
      <c r="K2522">
        <v>1</v>
      </c>
      <c r="L2522" t="s">
        <v>19</v>
      </c>
      <c r="M2522" s="5">
        <v>1</v>
      </c>
      <c r="N2522" s="4">
        <v>0.38</v>
      </c>
      <c r="O2522" t="s">
        <v>39</v>
      </c>
    </row>
    <row r="2523" spans="1:15" x14ac:dyDescent="0.3">
      <c r="A2523" t="s">
        <v>4800</v>
      </c>
      <c r="B2523" s="5">
        <v>42</v>
      </c>
      <c r="C2523" s="5" t="str" cm="1">
        <f t="array" ref="C2523">_xlfn.IFS(worksheet[[#This Row],[age]]&lt;25,"1. Young Adulthood (18-24)",worksheet[[#This Row],[age]]&lt; 35,"2. Early Adulthood (25-34)",worksheet[[#This Row],[age]]&lt; 45,"3. Mid Adulthood (35-44)",worksheet[[#This Row],[age]]&lt; 55,"4. Mature Adulthood (45-54)",TRUE,"5. Late Adulthood/Senior (55+)")</f>
        <v>3. Mid Adulthood (35-44)</v>
      </c>
      <c r="D2523" t="s">
        <v>27</v>
      </c>
      <c r="E2523" t="s">
        <v>32</v>
      </c>
      <c r="F2523" s="4">
        <v>6.45</v>
      </c>
      <c r="G2523" s="5">
        <v>52</v>
      </c>
      <c r="H2523" t="s">
        <v>23</v>
      </c>
      <c r="I2523" t="s">
        <v>57</v>
      </c>
      <c r="J2523" s="6">
        <v>17.989999999999998</v>
      </c>
      <c r="K2523">
        <v>1</v>
      </c>
      <c r="L2523" t="s">
        <v>19</v>
      </c>
      <c r="M2523" s="5">
        <v>1</v>
      </c>
      <c r="N2523" s="4">
        <v>0.12</v>
      </c>
      <c r="O2523" t="s">
        <v>52</v>
      </c>
    </row>
    <row r="2524" spans="1:15" x14ac:dyDescent="0.3">
      <c r="A2524" s="1" t="s">
        <v>4804</v>
      </c>
      <c r="B2524" s="5">
        <v>39</v>
      </c>
      <c r="C2524" s="5" t="str" cm="1">
        <f t="array" ref="C2524">_xlfn.IFS(worksheet[[#This Row],[age]]&lt;25,"1. Young Adulthood (18-24)",worksheet[[#This Row],[age]]&lt; 35,"2. Early Adulthood (25-34)",worksheet[[#This Row],[age]]&lt; 45,"3. Mid Adulthood (35-44)",worksheet[[#This Row],[age]]&lt; 55,"4. Mature Adulthood (45-54)",TRUE,"5. Late Adulthood/Senior (55+)")</f>
        <v>3. Mid Adulthood (35-44)</v>
      </c>
      <c r="D2524" t="s">
        <v>15</v>
      </c>
      <c r="E2524" t="s">
        <v>32</v>
      </c>
      <c r="F2524" s="4">
        <v>0.33</v>
      </c>
      <c r="G2524" s="5">
        <v>29</v>
      </c>
      <c r="H2524" t="s">
        <v>17</v>
      </c>
      <c r="I2524" t="s">
        <v>46</v>
      </c>
      <c r="J2524" s="6">
        <v>17.989999999999998</v>
      </c>
      <c r="K2524">
        <v>1</v>
      </c>
      <c r="L2524" t="s">
        <v>61</v>
      </c>
      <c r="M2524" s="5">
        <v>2</v>
      </c>
      <c r="N2524" s="4">
        <v>0.01</v>
      </c>
      <c r="O2524" t="s">
        <v>52</v>
      </c>
    </row>
    <row r="2525" spans="1:15" x14ac:dyDescent="0.3">
      <c r="A2525" t="s">
        <v>4805</v>
      </c>
      <c r="B2525" s="5">
        <v>37</v>
      </c>
      <c r="C2525" s="5" t="str" cm="1">
        <f t="array" ref="C2525">_xlfn.IFS(worksheet[[#This Row],[age]]&lt;25,"1. Young Adulthood (18-24)",worksheet[[#This Row],[age]]&lt; 35,"2. Early Adulthood (25-34)",worksheet[[#This Row],[age]]&lt; 45,"3. Mid Adulthood (35-44)",worksheet[[#This Row],[age]]&lt; 55,"4. Mature Adulthood (45-54)",TRUE,"5. Late Adulthood/Senior (55+)")</f>
        <v>3. Mid Adulthood (35-44)</v>
      </c>
      <c r="D2525" t="s">
        <v>27</v>
      </c>
      <c r="E2525" t="s">
        <v>32</v>
      </c>
      <c r="F2525" s="4">
        <v>19.29</v>
      </c>
      <c r="G2525" s="5">
        <v>42</v>
      </c>
      <c r="H2525" t="s">
        <v>70</v>
      </c>
      <c r="I2525" t="s">
        <v>57</v>
      </c>
      <c r="J2525" s="6">
        <v>17.989999999999998</v>
      </c>
      <c r="K2525">
        <v>0</v>
      </c>
      <c r="L2525" t="s">
        <v>43</v>
      </c>
      <c r="M2525" s="5">
        <v>4</v>
      </c>
      <c r="N2525" s="4">
        <v>0.45</v>
      </c>
      <c r="O2525" t="s">
        <v>47</v>
      </c>
    </row>
    <row r="2526" spans="1:15" x14ac:dyDescent="0.3">
      <c r="A2526" t="s">
        <v>4811</v>
      </c>
      <c r="B2526" s="5">
        <v>35</v>
      </c>
      <c r="C2526" s="5" t="str" cm="1">
        <f t="array" ref="C2526">_xlfn.IFS(worksheet[[#This Row],[age]]&lt;25,"1. Young Adulthood (18-24)",worksheet[[#This Row],[age]]&lt; 35,"2. Early Adulthood (25-34)",worksheet[[#This Row],[age]]&lt; 45,"3. Mid Adulthood (35-44)",worksheet[[#This Row],[age]]&lt; 55,"4. Mature Adulthood (45-54)",TRUE,"5. Late Adulthood/Senior (55+)")</f>
        <v>3. Mid Adulthood (35-44)</v>
      </c>
      <c r="D2526" t="s">
        <v>27</v>
      </c>
      <c r="E2526" t="s">
        <v>32</v>
      </c>
      <c r="F2526" s="4">
        <v>19.05</v>
      </c>
      <c r="G2526" s="5">
        <v>57</v>
      </c>
      <c r="H2526" t="s">
        <v>33</v>
      </c>
      <c r="I2526" t="s">
        <v>24</v>
      </c>
      <c r="J2526" s="6">
        <v>17.989999999999998</v>
      </c>
      <c r="K2526">
        <v>0</v>
      </c>
      <c r="L2526" t="s">
        <v>61</v>
      </c>
      <c r="M2526" s="5">
        <v>5</v>
      </c>
      <c r="N2526" s="4">
        <v>0.33</v>
      </c>
      <c r="O2526" t="s">
        <v>20</v>
      </c>
    </row>
    <row r="2527" spans="1:15" x14ac:dyDescent="0.3">
      <c r="A2527" t="s">
        <v>4812</v>
      </c>
      <c r="B2527" s="5">
        <v>38</v>
      </c>
      <c r="C2527" s="5" t="str" cm="1">
        <f t="array" ref="C2527">_xlfn.IFS(worksheet[[#This Row],[age]]&lt;25,"1. Young Adulthood (18-24)",worksheet[[#This Row],[age]]&lt; 35,"2. Early Adulthood (25-34)",worksheet[[#This Row],[age]]&lt; 45,"3. Mid Adulthood (35-44)",worksheet[[#This Row],[age]]&lt; 55,"4. Mature Adulthood (45-54)",TRUE,"5. Late Adulthood/Senior (55+)")</f>
        <v>3. Mid Adulthood (35-44)</v>
      </c>
      <c r="D2527" t="s">
        <v>27</v>
      </c>
      <c r="E2527" t="s">
        <v>32</v>
      </c>
      <c r="F2527" s="4">
        <v>10.11</v>
      </c>
      <c r="G2527" s="5">
        <v>23</v>
      </c>
      <c r="H2527" t="s">
        <v>28</v>
      </c>
      <c r="I2527" t="s">
        <v>55</v>
      </c>
      <c r="J2527" s="6">
        <v>17.989999999999998</v>
      </c>
      <c r="K2527">
        <v>0</v>
      </c>
      <c r="L2527" t="s">
        <v>43</v>
      </c>
      <c r="M2527" s="5">
        <v>4</v>
      </c>
      <c r="N2527" s="4">
        <v>0.42</v>
      </c>
      <c r="O2527" t="s">
        <v>20</v>
      </c>
    </row>
    <row r="2528" spans="1:15" x14ac:dyDescent="0.3">
      <c r="A2528" t="s">
        <v>4816</v>
      </c>
      <c r="B2528" s="5">
        <v>38</v>
      </c>
      <c r="C2528" s="5" t="str" cm="1">
        <f t="array" ref="C2528">_xlfn.IFS(worksheet[[#This Row],[age]]&lt;25,"1. Young Adulthood (18-24)",worksheet[[#This Row],[age]]&lt; 35,"2. Early Adulthood (25-34)",worksheet[[#This Row],[age]]&lt; 45,"3. Mid Adulthood (35-44)",worksheet[[#This Row],[age]]&lt; 55,"4. Mature Adulthood (45-54)",TRUE,"5. Late Adulthood/Senior (55+)")</f>
        <v>3. Mid Adulthood (35-44)</v>
      </c>
      <c r="D2528" t="s">
        <v>41</v>
      </c>
      <c r="E2528" t="s">
        <v>16</v>
      </c>
      <c r="F2528" s="4">
        <v>11.77</v>
      </c>
      <c r="G2528" s="5">
        <v>49</v>
      </c>
      <c r="H2528" t="s">
        <v>17</v>
      </c>
      <c r="I2528" t="s">
        <v>18</v>
      </c>
      <c r="J2528" s="6">
        <v>8.99</v>
      </c>
      <c r="K2528">
        <v>1</v>
      </c>
      <c r="L2528" t="s">
        <v>61</v>
      </c>
      <c r="M2528" s="5">
        <v>5</v>
      </c>
      <c r="N2528" s="4">
        <v>0.24</v>
      </c>
      <c r="O2528" t="s">
        <v>47</v>
      </c>
    </row>
    <row r="2529" spans="1:15" x14ac:dyDescent="0.3">
      <c r="A2529" t="s">
        <v>4819</v>
      </c>
      <c r="B2529" s="5">
        <v>42</v>
      </c>
      <c r="C2529" s="5" t="str" cm="1">
        <f t="array" ref="C2529">_xlfn.IFS(worksheet[[#This Row],[age]]&lt;25,"1. Young Adulthood (18-24)",worksheet[[#This Row],[age]]&lt; 35,"2. Early Adulthood (25-34)",worksheet[[#This Row],[age]]&lt; 45,"3. Mid Adulthood (35-44)",worksheet[[#This Row],[age]]&lt; 55,"4. Mature Adulthood (45-54)",TRUE,"5. Late Adulthood/Senior (55+)")</f>
        <v>3. Mid Adulthood (35-44)</v>
      </c>
      <c r="D2529" t="s">
        <v>27</v>
      </c>
      <c r="E2529" t="s">
        <v>22</v>
      </c>
      <c r="F2529" s="4">
        <v>4.37</v>
      </c>
      <c r="G2529" s="5">
        <v>18</v>
      </c>
      <c r="H2529" t="s">
        <v>17</v>
      </c>
      <c r="I2529" t="s">
        <v>46</v>
      </c>
      <c r="J2529" s="6">
        <v>13.99</v>
      </c>
      <c r="K2529">
        <v>1</v>
      </c>
      <c r="L2529" t="s">
        <v>29</v>
      </c>
      <c r="M2529" s="5">
        <v>5</v>
      </c>
      <c r="N2529" s="4">
        <v>0.23</v>
      </c>
      <c r="O2529" t="s">
        <v>34</v>
      </c>
    </row>
    <row r="2530" spans="1:15" x14ac:dyDescent="0.3">
      <c r="A2530" t="s">
        <v>4828</v>
      </c>
      <c r="B2530" s="5">
        <v>40</v>
      </c>
      <c r="C2530" s="5" t="str" cm="1">
        <f t="array" ref="C2530">_xlfn.IFS(worksheet[[#This Row],[age]]&lt;25,"1. Young Adulthood (18-24)",worksheet[[#This Row],[age]]&lt; 35,"2. Early Adulthood (25-34)",worksheet[[#This Row],[age]]&lt; 45,"3. Mid Adulthood (35-44)",worksheet[[#This Row],[age]]&lt; 55,"4. Mature Adulthood (45-54)",TRUE,"5. Late Adulthood/Senior (55+)")</f>
        <v>3. Mid Adulthood (35-44)</v>
      </c>
      <c r="D2530" t="s">
        <v>41</v>
      </c>
      <c r="E2530" t="s">
        <v>22</v>
      </c>
      <c r="F2530" s="4">
        <v>8.17</v>
      </c>
      <c r="G2530" s="5">
        <v>4</v>
      </c>
      <c r="H2530" t="s">
        <v>70</v>
      </c>
      <c r="I2530" t="s">
        <v>46</v>
      </c>
      <c r="J2530" s="6">
        <v>13.99</v>
      </c>
      <c r="K2530">
        <v>0</v>
      </c>
      <c r="L2530" t="s">
        <v>37</v>
      </c>
      <c r="M2530" s="5">
        <v>1</v>
      </c>
      <c r="N2530" s="4">
        <v>1.63</v>
      </c>
      <c r="O2530" t="s">
        <v>52</v>
      </c>
    </row>
    <row r="2531" spans="1:15" x14ac:dyDescent="0.3">
      <c r="A2531" t="s">
        <v>4842</v>
      </c>
      <c r="B2531" s="5">
        <v>38</v>
      </c>
      <c r="C2531" s="5" t="str" cm="1">
        <f t="array" ref="C2531">_xlfn.IFS(worksheet[[#This Row],[age]]&lt;25,"1. Young Adulthood (18-24)",worksheet[[#This Row],[age]]&lt; 35,"2. Early Adulthood (25-34)",worksheet[[#This Row],[age]]&lt; 45,"3. Mid Adulthood (35-44)",worksheet[[#This Row],[age]]&lt; 55,"4. Mature Adulthood (45-54)",TRUE,"5. Late Adulthood/Senior (55+)")</f>
        <v>3. Mid Adulthood (35-44)</v>
      </c>
      <c r="D2531" t="s">
        <v>41</v>
      </c>
      <c r="E2531" t="s">
        <v>32</v>
      </c>
      <c r="F2531" s="4">
        <v>0.47</v>
      </c>
      <c r="G2531" s="5">
        <v>48</v>
      </c>
      <c r="H2531" t="s">
        <v>49</v>
      </c>
      <c r="I2531" t="s">
        <v>55</v>
      </c>
      <c r="J2531" s="6">
        <v>17.989999999999998</v>
      </c>
      <c r="K2531">
        <v>1</v>
      </c>
      <c r="L2531" t="s">
        <v>43</v>
      </c>
      <c r="M2531" s="5">
        <v>3</v>
      </c>
      <c r="N2531" s="4">
        <v>0.01</v>
      </c>
      <c r="O2531" t="s">
        <v>34</v>
      </c>
    </row>
    <row r="2532" spans="1:15" x14ac:dyDescent="0.3">
      <c r="A2532" t="s">
        <v>4854</v>
      </c>
      <c r="B2532" s="5">
        <v>39</v>
      </c>
      <c r="C2532" s="5" t="str" cm="1">
        <f t="array" ref="C2532">_xlfn.IFS(worksheet[[#This Row],[age]]&lt;25,"1. Young Adulthood (18-24)",worksheet[[#This Row],[age]]&lt; 35,"2. Early Adulthood (25-34)",worksheet[[#This Row],[age]]&lt; 45,"3. Mid Adulthood (35-44)",worksheet[[#This Row],[age]]&lt; 55,"4. Mature Adulthood (45-54)",TRUE,"5. Late Adulthood/Senior (55+)")</f>
        <v>3. Mid Adulthood (35-44)</v>
      </c>
      <c r="D2532" t="s">
        <v>41</v>
      </c>
      <c r="E2532" t="s">
        <v>16</v>
      </c>
      <c r="F2532" s="4">
        <v>6.04</v>
      </c>
      <c r="G2532" s="5">
        <v>37</v>
      </c>
      <c r="H2532" t="s">
        <v>23</v>
      </c>
      <c r="I2532" t="s">
        <v>55</v>
      </c>
      <c r="J2532" s="6">
        <v>8.99</v>
      </c>
      <c r="K2532">
        <v>1</v>
      </c>
      <c r="L2532" t="s">
        <v>19</v>
      </c>
      <c r="M2532" s="5">
        <v>2</v>
      </c>
      <c r="N2532" s="4">
        <v>0.16</v>
      </c>
      <c r="O2532" t="s">
        <v>52</v>
      </c>
    </row>
    <row r="2533" spans="1:15" x14ac:dyDescent="0.3">
      <c r="A2533" t="s">
        <v>4859</v>
      </c>
      <c r="B2533" s="5">
        <v>43</v>
      </c>
      <c r="C2533" s="5" t="str" cm="1">
        <f t="array" ref="C2533">_xlfn.IFS(worksheet[[#This Row],[age]]&lt;25,"1. Young Adulthood (18-24)",worksheet[[#This Row],[age]]&lt; 35,"2. Early Adulthood (25-34)",worksheet[[#This Row],[age]]&lt; 45,"3. Mid Adulthood (35-44)",worksheet[[#This Row],[age]]&lt; 55,"4. Mature Adulthood (45-54)",TRUE,"5. Late Adulthood/Senior (55+)")</f>
        <v>3. Mid Adulthood (35-44)</v>
      </c>
      <c r="D2533" t="s">
        <v>15</v>
      </c>
      <c r="E2533" t="s">
        <v>22</v>
      </c>
      <c r="F2533" s="4">
        <v>5.12</v>
      </c>
      <c r="G2533" s="5">
        <v>26</v>
      </c>
      <c r="H2533" t="s">
        <v>49</v>
      </c>
      <c r="I2533" t="s">
        <v>24</v>
      </c>
      <c r="J2533" s="6">
        <v>13.99</v>
      </c>
      <c r="K2533">
        <v>0</v>
      </c>
      <c r="L2533" t="s">
        <v>37</v>
      </c>
      <c r="M2533" s="5">
        <v>5</v>
      </c>
      <c r="N2533" s="4">
        <v>0.19</v>
      </c>
      <c r="O2533" t="s">
        <v>52</v>
      </c>
    </row>
    <row r="2534" spans="1:15" x14ac:dyDescent="0.3">
      <c r="A2534" t="s">
        <v>4861</v>
      </c>
      <c r="B2534" s="5">
        <v>39</v>
      </c>
      <c r="C2534" s="5" t="str" cm="1">
        <f t="array" ref="C2534">_xlfn.IFS(worksheet[[#This Row],[age]]&lt;25,"1. Young Adulthood (18-24)",worksheet[[#This Row],[age]]&lt; 35,"2. Early Adulthood (25-34)",worksheet[[#This Row],[age]]&lt; 45,"3. Mid Adulthood (35-44)",worksheet[[#This Row],[age]]&lt; 55,"4. Mature Adulthood (45-54)",TRUE,"5. Late Adulthood/Senior (55+)")</f>
        <v>3. Mid Adulthood (35-44)</v>
      </c>
      <c r="D2534" t="s">
        <v>27</v>
      </c>
      <c r="E2534" t="s">
        <v>16</v>
      </c>
      <c r="F2534" s="4">
        <v>2.44</v>
      </c>
      <c r="G2534" s="5">
        <v>43</v>
      </c>
      <c r="H2534" t="s">
        <v>17</v>
      </c>
      <c r="I2534" t="s">
        <v>57</v>
      </c>
      <c r="J2534" s="6">
        <v>8.99</v>
      </c>
      <c r="K2534">
        <v>1</v>
      </c>
      <c r="L2534" t="s">
        <v>61</v>
      </c>
      <c r="M2534" s="5">
        <v>5</v>
      </c>
      <c r="N2534" s="4">
        <v>0.06</v>
      </c>
      <c r="O2534" t="s">
        <v>52</v>
      </c>
    </row>
    <row r="2535" spans="1:15" x14ac:dyDescent="0.3">
      <c r="A2535" t="s">
        <v>4867</v>
      </c>
      <c r="B2535" s="5">
        <v>35</v>
      </c>
      <c r="C2535" s="5" t="str" cm="1">
        <f t="array" ref="C2535">_xlfn.IFS(worksheet[[#This Row],[age]]&lt;25,"1. Young Adulthood (18-24)",worksheet[[#This Row],[age]]&lt; 35,"2. Early Adulthood (25-34)",worksheet[[#This Row],[age]]&lt; 45,"3. Mid Adulthood (35-44)",worksheet[[#This Row],[age]]&lt; 55,"4. Mature Adulthood (45-54)",TRUE,"5. Late Adulthood/Senior (55+)")</f>
        <v>3. Mid Adulthood (35-44)</v>
      </c>
      <c r="D2535" t="s">
        <v>27</v>
      </c>
      <c r="E2535" t="s">
        <v>16</v>
      </c>
      <c r="F2535" s="4">
        <v>30.91</v>
      </c>
      <c r="G2535" s="5">
        <v>23</v>
      </c>
      <c r="H2535" t="s">
        <v>23</v>
      </c>
      <c r="I2535" t="s">
        <v>18</v>
      </c>
      <c r="J2535" s="6">
        <v>8.99</v>
      </c>
      <c r="K2535">
        <v>0</v>
      </c>
      <c r="L2535" t="s">
        <v>43</v>
      </c>
      <c r="M2535" s="5">
        <v>5</v>
      </c>
      <c r="N2535" s="4">
        <v>1.29</v>
      </c>
      <c r="O2535" t="s">
        <v>47</v>
      </c>
    </row>
    <row r="2536" spans="1:15" x14ac:dyDescent="0.3">
      <c r="A2536" t="s">
        <v>4887</v>
      </c>
      <c r="B2536" s="5">
        <v>44</v>
      </c>
      <c r="C2536" s="5" t="str" cm="1">
        <f t="array" ref="C2536">_xlfn.IFS(worksheet[[#This Row],[age]]&lt;25,"1. Young Adulthood (18-24)",worksheet[[#This Row],[age]]&lt; 35,"2. Early Adulthood (25-34)",worksheet[[#This Row],[age]]&lt; 45,"3. Mid Adulthood (35-44)",worksheet[[#This Row],[age]]&lt; 55,"4. Mature Adulthood (45-54)",TRUE,"5. Late Adulthood/Senior (55+)")</f>
        <v>3. Mid Adulthood (35-44)</v>
      </c>
      <c r="D2536" t="s">
        <v>27</v>
      </c>
      <c r="E2536" t="s">
        <v>32</v>
      </c>
      <c r="F2536" s="4">
        <v>18.89</v>
      </c>
      <c r="G2536" s="5">
        <v>11</v>
      </c>
      <c r="H2536" t="s">
        <v>17</v>
      </c>
      <c r="I2536" t="s">
        <v>46</v>
      </c>
      <c r="J2536" s="6">
        <v>17.989999999999998</v>
      </c>
      <c r="K2536">
        <v>0</v>
      </c>
      <c r="L2536" t="s">
        <v>43</v>
      </c>
      <c r="M2536" s="5">
        <v>1</v>
      </c>
      <c r="N2536" s="4">
        <v>1.57</v>
      </c>
      <c r="O2536" t="s">
        <v>52</v>
      </c>
    </row>
    <row r="2537" spans="1:15" x14ac:dyDescent="0.3">
      <c r="A2537" t="s">
        <v>4893</v>
      </c>
      <c r="B2537" s="5">
        <v>36</v>
      </c>
      <c r="C2537" s="5" t="str" cm="1">
        <f t="array" ref="C2537">_xlfn.IFS(worksheet[[#This Row],[age]]&lt;25,"1. Young Adulthood (18-24)",worksheet[[#This Row],[age]]&lt; 35,"2. Early Adulthood (25-34)",worksheet[[#This Row],[age]]&lt; 45,"3. Mid Adulthood (35-44)",worksheet[[#This Row],[age]]&lt; 55,"4. Mature Adulthood (45-54)",TRUE,"5. Late Adulthood/Senior (55+)")</f>
        <v>3. Mid Adulthood (35-44)</v>
      </c>
      <c r="D2537" t="s">
        <v>27</v>
      </c>
      <c r="E2537" t="s">
        <v>32</v>
      </c>
      <c r="F2537" s="4">
        <v>13.32</v>
      </c>
      <c r="G2537" s="5">
        <v>45</v>
      </c>
      <c r="H2537" t="s">
        <v>49</v>
      </c>
      <c r="I2537" t="s">
        <v>24</v>
      </c>
      <c r="J2537" s="6">
        <v>17.989999999999998</v>
      </c>
      <c r="K2537">
        <v>1</v>
      </c>
      <c r="L2537" t="s">
        <v>61</v>
      </c>
      <c r="M2537" s="5">
        <v>2</v>
      </c>
      <c r="N2537" s="4">
        <v>0.28999999999999998</v>
      </c>
      <c r="O2537" t="s">
        <v>52</v>
      </c>
    </row>
    <row r="2538" spans="1:15" x14ac:dyDescent="0.3">
      <c r="A2538" t="s">
        <v>4901</v>
      </c>
      <c r="B2538" s="5">
        <v>42</v>
      </c>
      <c r="C2538" s="5" t="str" cm="1">
        <f t="array" ref="C2538">_xlfn.IFS(worksheet[[#This Row],[age]]&lt;25,"1. Young Adulthood (18-24)",worksheet[[#This Row],[age]]&lt; 35,"2. Early Adulthood (25-34)",worksheet[[#This Row],[age]]&lt; 45,"3. Mid Adulthood (35-44)",worksheet[[#This Row],[age]]&lt; 55,"4. Mature Adulthood (45-54)",TRUE,"5. Late Adulthood/Senior (55+)")</f>
        <v>3. Mid Adulthood (35-44)</v>
      </c>
      <c r="D2538" t="s">
        <v>27</v>
      </c>
      <c r="E2538" t="s">
        <v>32</v>
      </c>
      <c r="F2538" s="4">
        <v>2.2200000000000002</v>
      </c>
      <c r="G2538" s="5">
        <v>40</v>
      </c>
      <c r="H2538" t="s">
        <v>23</v>
      </c>
      <c r="I2538" t="s">
        <v>46</v>
      </c>
      <c r="J2538" s="6">
        <v>17.989999999999998</v>
      </c>
      <c r="K2538">
        <v>1</v>
      </c>
      <c r="L2538" t="s">
        <v>61</v>
      </c>
      <c r="M2538" s="5">
        <v>1</v>
      </c>
      <c r="N2538" s="4">
        <v>0.05</v>
      </c>
      <c r="O2538" t="s">
        <v>47</v>
      </c>
    </row>
    <row r="2539" spans="1:15" x14ac:dyDescent="0.3">
      <c r="A2539" t="s">
        <v>4912</v>
      </c>
      <c r="B2539" s="5">
        <v>40</v>
      </c>
      <c r="C2539" s="5" t="str" cm="1">
        <f t="array" ref="C2539">_xlfn.IFS(worksheet[[#This Row],[age]]&lt;25,"1. Young Adulthood (18-24)",worksheet[[#This Row],[age]]&lt; 35,"2. Early Adulthood (25-34)",worksheet[[#This Row],[age]]&lt; 45,"3. Mid Adulthood (35-44)",worksheet[[#This Row],[age]]&lt; 55,"4. Mature Adulthood (45-54)",TRUE,"5. Late Adulthood/Senior (55+)")</f>
        <v>3. Mid Adulthood (35-44)</v>
      </c>
      <c r="D2539" t="s">
        <v>41</v>
      </c>
      <c r="E2539" t="s">
        <v>22</v>
      </c>
      <c r="F2539" s="4">
        <v>1.1100000000000001</v>
      </c>
      <c r="G2539" s="5">
        <v>20</v>
      </c>
      <c r="H2539" t="s">
        <v>23</v>
      </c>
      <c r="I2539" t="s">
        <v>57</v>
      </c>
      <c r="J2539" s="6">
        <v>13.99</v>
      </c>
      <c r="K2539">
        <v>1</v>
      </c>
      <c r="L2539" t="s">
        <v>43</v>
      </c>
      <c r="M2539" s="5">
        <v>1</v>
      </c>
      <c r="N2539" s="4">
        <v>0.05</v>
      </c>
      <c r="O2539" t="s">
        <v>34</v>
      </c>
    </row>
    <row r="2540" spans="1:15" x14ac:dyDescent="0.3">
      <c r="A2540" t="s">
        <v>4913</v>
      </c>
      <c r="B2540" s="5">
        <v>41</v>
      </c>
      <c r="C2540" s="5" t="str" cm="1">
        <f t="array" ref="C2540">_xlfn.IFS(worksheet[[#This Row],[age]]&lt;25,"1. Young Adulthood (18-24)",worksheet[[#This Row],[age]]&lt; 35,"2. Early Adulthood (25-34)",worksheet[[#This Row],[age]]&lt; 45,"3. Mid Adulthood (35-44)",worksheet[[#This Row],[age]]&lt; 55,"4. Mature Adulthood (45-54)",TRUE,"5. Late Adulthood/Senior (55+)")</f>
        <v>3. Mid Adulthood (35-44)</v>
      </c>
      <c r="D2540" t="s">
        <v>15</v>
      </c>
      <c r="E2540" t="s">
        <v>22</v>
      </c>
      <c r="F2540" s="4">
        <v>6.01</v>
      </c>
      <c r="G2540" s="5">
        <v>14</v>
      </c>
      <c r="H2540" t="s">
        <v>49</v>
      </c>
      <c r="I2540" t="s">
        <v>46</v>
      </c>
      <c r="J2540" s="6">
        <v>13.99</v>
      </c>
      <c r="K2540">
        <v>0</v>
      </c>
      <c r="L2540" t="s">
        <v>19</v>
      </c>
      <c r="M2540" s="5">
        <v>2</v>
      </c>
      <c r="N2540" s="4">
        <v>0.4</v>
      </c>
      <c r="O2540" t="s">
        <v>34</v>
      </c>
    </row>
    <row r="2541" spans="1:15" x14ac:dyDescent="0.3">
      <c r="A2541" t="s">
        <v>4932</v>
      </c>
      <c r="B2541" s="5">
        <v>41</v>
      </c>
      <c r="C2541" s="5" t="str" cm="1">
        <f t="array" ref="C2541">_xlfn.IFS(worksheet[[#This Row],[age]]&lt;25,"1. Young Adulthood (18-24)",worksheet[[#This Row],[age]]&lt; 35,"2. Early Adulthood (25-34)",worksheet[[#This Row],[age]]&lt; 45,"3. Mid Adulthood (35-44)",worksheet[[#This Row],[age]]&lt; 55,"4. Mature Adulthood (45-54)",TRUE,"5. Late Adulthood/Senior (55+)")</f>
        <v>3. Mid Adulthood (35-44)</v>
      </c>
      <c r="D2541" t="s">
        <v>27</v>
      </c>
      <c r="E2541" t="s">
        <v>16</v>
      </c>
      <c r="F2541" s="4">
        <v>11.55</v>
      </c>
      <c r="G2541" s="5">
        <v>57</v>
      </c>
      <c r="H2541" t="s">
        <v>28</v>
      </c>
      <c r="I2541" t="s">
        <v>57</v>
      </c>
      <c r="J2541" s="6">
        <v>8.99</v>
      </c>
      <c r="K2541">
        <v>1</v>
      </c>
      <c r="L2541" t="s">
        <v>29</v>
      </c>
      <c r="M2541" s="5">
        <v>1</v>
      </c>
      <c r="N2541" s="4">
        <v>0.2</v>
      </c>
      <c r="O2541" t="s">
        <v>25</v>
      </c>
    </row>
    <row r="2542" spans="1:15" x14ac:dyDescent="0.3">
      <c r="A2542" t="s">
        <v>4933</v>
      </c>
      <c r="B2542" s="5">
        <v>35</v>
      </c>
      <c r="C2542" s="5" t="str" cm="1">
        <f t="array" ref="C2542">_xlfn.IFS(worksheet[[#This Row],[age]]&lt;25,"1. Young Adulthood (18-24)",worksheet[[#This Row],[age]]&lt; 35,"2. Early Adulthood (25-34)",worksheet[[#This Row],[age]]&lt; 45,"3. Mid Adulthood (35-44)",worksheet[[#This Row],[age]]&lt; 55,"4. Mature Adulthood (45-54)",TRUE,"5. Late Adulthood/Senior (55+)")</f>
        <v>3. Mid Adulthood (35-44)</v>
      </c>
      <c r="D2542" t="s">
        <v>15</v>
      </c>
      <c r="E2542" t="s">
        <v>32</v>
      </c>
      <c r="F2542" s="4">
        <v>2.41</v>
      </c>
      <c r="G2542" s="5">
        <v>49</v>
      </c>
      <c r="H2542" t="s">
        <v>49</v>
      </c>
      <c r="I2542" t="s">
        <v>24</v>
      </c>
      <c r="J2542" s="6">
        <v>17.989999999999998</v>
      </c>
      <c r="K2542">
        <v>1</v>
      </c>
      <c r="L2542" t="s">
        <v>61</v>
      </c>
      <c r="M2542" s="5">
        <v>2</v>
      </c>
      <c r="N2542" s="4">
        <v>0.05</v>
      </c>
      <c r="O2542" t="s">
        <v>34</v>
      </c>
    </row>
    <row r="2543" spans="1:15" x14ac:dyDescent="0.3">
      <c r="A2543" t="s">
        <v>4947</v>
      </c>
      <c r="B2543" s="5">
        <v>37</v>
      </c>
      <c r="C2543" s="5" t="str" cm="1">
        <f t="array" ref="C2543">_xlfn.IFS(worksheet[[#This Row],[age]]&lt;25,"1. Young Adulthood (18-24)",worksheet[[#This Row],[age]]&lt; 35,"2. Early Adulthood (25-34)",worksheet[[#This Row],[age]]&lt; 45,"3. Mid Adulthood (35-44)",worksheet[[#This Row],[age]]&lt; 55,"4. Mature Adulthood (45-54)",TRUE,"5. Late Adulthood/Senior (55+)")</f>
        <v>3. Mid Adulthood (35-44)</v>
      </c>
      <c r="D2543" t="s">
        <v>15</v>
      </c>
      <c r="E2543" t="s">
        <v>32</v>
      </c>
      <c r="F2543" s="4">
        <v>3.58</v>
      </c>
      <c r="G2543" s="5">
        <v>33</v>
      </c>
      <c r="H2543" t="s">
        <v>49</v>
      </c>
      <c r="I2543" t="s">
        <v>18</v>
      </c>
      <c r="J2543" s="6">
        <v>17.989999999999998</v>
      </c>
      <c r="K2543">
        <v>1</v>
      </c>
      <c r="L2543" t="s">
        <v>29</v>
      </c>
      <c r="M2543" s="5">
        <v>5</v>
      </c>
      <c r="N2543" s="4">
        <v>0.11</v>
      </c>
      <c r="O2543" t="s">
        <v>25</v>
      </c>
    </row>
    <row r="2544" spans="1:15" x14ac:dyDescent="0.3">
      <c r="A2544" t="s">
        <v>4953</v>
      </c>
      <c r="B2544" s="5">
        <v>40</v>
      </c>
      <c r="C2544" s="5" t="str" cm="1">
        <f t="array" ref="C2544">_xlfn.IFS(worksheet[[#This Row],[age]]&lt;25,"1. Young Adulthood (18-24)",worksheet[[#This Row],[age]]&lt; 35,"2. Early Adulthood (25-34)",worksheet[[#This Row],[age]]&lt; 45,"3. Mid Adulthood (35-44)",worksheet[[#This Row],[age]]&lt; 55,"4. Mature Adulthood (45-54)",TRUE,"5. Late Adulthood/Senior (55+)")</f>
        <v>3. Mid Adulthood (35-44)</v>
      </c>
      <c r="D2544" t="s">
        <v>41</v>
      </c>
      <c r="E2544" t="s">
        <v>22</v>
      </c>
      <c r="F2544" s="4">
        <v>3.58</v>
      </c>
      <c r="G2544" s="5">
        <v>21</v>
      </c>
      <c r="H2544" t="s">
        <v>17</v>
      </c>
      <c r="I2544" t="s">
        <v>18</v>
      </c>
      <c r="J2544" s="6">
        <v>13.99</v>
      </c>
      <c r="K2544">
        <v>1</v>
      </c>
      <c r="L2544" t="s">
        <v>61</v>
      </c>
      <c r="M2544" s="5">
        <v>3</v>
      </c>
      <c r="N2544" s="4">
        <v>0.16</v>
      </c>
      <c r="O2544" t="s">
        <v>30</v>
      </c>
    </row>
    <row r="2545" spans="1:15" x14ac:dyDescent="0.3">
      <c r="A2545" t="s">
        <v>4956</v>
      </c>
      <c r="B2545" s="5">
        <v>36</v>
      </c>
      <c r="C2545" s="5" t="str" cm="1">
        <f t="array" ref="C2545">_xlfn.IFS(worksheet[[#This Row],[age]]&lt;25,"1. Young Adulthood (18-24)",worksheet[[#This Row],[age]]&lt; 35,"2. Early Adulthood (25-34)",worksheet[[#This Row],[age]]&lt; 45,"3. Mid Adulthood (35-44)",worksheet[[#This Row],[age]]&lt; 55,"4. Mature Adulthood (45-54)",TRUE,"5. Late Adulthood/Senior (55+)")</f>
        <v>3. Mid Adulthood (35-44)</v>
      </c>
      <c r="D2545" t="s">
        <v>15</v>
      </c>
      <c r="E2545" t="s">
        <v>16</v>
      </c>
      <c r="F2545" s="4">
        <v>8.32</v>
      </c>
      <c r="G2545" s="5">
        <v>20</v>
      </c>
      <c r="H2545" t="s">
        <v>33</v>
      </c>
      <c r="I2545" t="s">
        <v>46</v>
      </c>
      <c r="J2545" s="6">
        <v>8.99</v>
      </c>
      <c r="K2545">
        <v>0</v>
      </c>
      <c r="L2545" t="s">
        <v>43</v>
      </c>
      <c r="M2545" s="5">
        <v>2</v>
      </c>
      <c r="N2545" s="4">
        <v>0.4</v>
      </c>
      <c r="O2545" t="s">
        <v>20</v>
      </c>
    </row>
    <row r="2546" spans="1:15" x14ac:dyDescent="0.3">
      <c r="A2546" t="s">
        <v>4958</v>
      </c>
      <c r="B2546" s="5">
        <v>39</v>
      </c>
      <c r="C2546" s="5" t="str" cm="1">
        <f t="array" ref="C2546">_xlfn.IFS(worksheet[[#This Row],[age]]&lt;25,"1. Young Adulthood (18-24)",worksheet[[#This Row],[age]]&lt; 35,"2. Early Adulthood (25-34)",worksheet[[#This Row],[age]]&lt; 45,"3. Mid Adulthood (35-44)",worksheet[[#This Row],[age]]&lt; 55,"4. Mature Adulthood (45-54)",TRUE,"5. Late Adulthood/Senior (55+)")</f>
        <v>3. Mid Adulthood (35-44)</v>
      </c>
      <c r="D2546" t="s">
        <v>15</v>
      </c>
      <c r="E2546" t="s">
        <v>16</v>
      </c>
      <c r="F2546" s="4">
        <v>11.55</v>
      </c>
      <c r="G2546" s="5">
        <v>10</v>
      </c>
      <c r="H2546" t="s">
        <v>23</v>
      </c>
      <c r="I2546" t="s">
        <v>24</v>
      </c>
      <c r="J2546" s="6">
        <v>8.99</v>
      </c>
      <c r="K2546">
        <v>0</v>
      </c>
      <c r="L2546" t="s">
        <v>19</v>
      </c>
      <c r="M2546" s="5">
        <v>1</v>
      </c>
      <c r="N2546" s="4">
        <v>1.05</v>
      </c>
      <c r="O2546" t="s">
        <v>34</v>
      </c>
    </row>
    <row r="2547" spans="1:15" x14ac:dyDescent="0.3">
      <c r="A2547" t="s">
        <v>4960</v>
      </c>
      <c r="B2547" s="5">
        <v>44</v>
      </c>
      <c r="C2547" s="5" t="str" cm="1">
        <f t="array" ref="C2547">_xlfn.IFS(worksheet[[#This Row],[age]]&lt;25,"1. Young Adulthood (18-24)",worksheet[[#This Row],[age]]&lt; 35,"2. Early Adulthood (25-34)",worksheet[[#This Row],[age]]&lt; 45,"3. Mid Adulthood (35-44)",worksheet[[#This Row],[age]]&lt; 55,"4. Mature Adulthood (45-54)",TRUE,"5. Late Adulthood/Senior (55+)")</f>
        <v>3. Mid Adulthood (35-44)</v>
      </c>
      <c r="D2547" t="s">
        <v>41</v>
      </c>
      <c r="E2547" t="s">
        <v>32</v>
      </c>
      <c r="F2547" s="4">
        <v>41.31</v>
      </c>
      <c r="G2547" s="5">
        <v>60</v>
      </c>
      <c r="H2547" t="s">
        <v>70</v>
      </c>
      <c r="I2547" t="s">
        <v>46</v>
      </c>
      <c r="J2547" s="6">
        <v>17.989999999999998</v>
      </c>
      <c r="K2547">
        <v>0</v>
      </c>
      <c r="L2547" t="s">
        <v>19</v>
      </c>
      <c r="M2547" s="5">
        <v>4</v>
      </c>
      <c r="N2547" s="4">
        <v>0.68</v>
      </c>
      <c r="O2547" t="s">
        <v>30</v>
      </c>
    </row>
    <row r="2548" spans="1:15" x14ac:dyDescent="0.3">
      <c r="A2548" t="s">
        <v>4987</v>
      </c>
      <c r="B2548" s="5">
        <v>37</v>
      </c>
      <c r="C2548" s="5" t="str" cm="1">
        <f t="array" ref="C2548">_xlfn.IFS(worksheet[[#This Row],[age]]&lt;25,"1. Young Adulthood (18-24)",worksheet[[#This Row],[age]]&lt; 35,"2. Early Adulthood (25-34)",worksheet[[#This Row],[age]]&lt; 45,"3. Mid Adulthood (35-44)",worksheet[[#This Row],[age]]&lt; 55,"4. Mature Adulthood (45-54)",TRUE,"5. Late Adulthood/Senior (55+)")</f>
        <v>3. Mid Adulthood (35-44)</v>
      </c>
      <c r="D2548" t="s">
        <v>41</v>
      </c>
      <c r="E2548" t="s">
        <v>32</v>
      </c>
      <c r="F2548" s="4">
        <v>7.16</v>
      </c>
      <c r="G2548" s="5">
        <v>12</v>
      </c>
      <c r="H2548" t="s">
        <v>33</v>
      </c>
      <c r="I2548" t="s">
        <v>18</v>
      </c>
      <c r="J2548" s="6">
        <v>17.989999999999998</v>
      </c>
      <c r="K2548">
        <v>0</v>
      </c>
      <c r="L2548" t="s">
        <v>61</v>
      </c>
      <c r="M2548" s="5">
        <v>2</v>
      </c>
      <c r="N2548" s="4">
        <v>0.55000000000000004</v>
      </c>
      <c r="O2548" t="s">
        <v>25</v>
      </c>
    </row>
    <row r="2549" spans="1:15" x14ac:dyDescent="0.3">
      <c r="A2549" t="s">
        <v>4991</v>
      </c>
      <c r="B2549" s="5">
        <v>38</v>
      </c>
      <c r="C2549" s="5" t="str" cm="1">
        <f t="array" ref="C2549">_xlfn.IFS(worksheet[[#This Row],[age]]&lt;25,"1. Young Adulthood (18-24)",worksheet[[#This Row],[age]]&lt; 35,"2. Early Adulthood (25-34)",worksheet[[#This Row],[age]]&lt; 45,"3. Mid Adulthood (35-44)",worksheet[[#This Row],[age]]&lt; 55,"4. Mature Adulthood (45-54)",TRUE,"5. Late Adulthood/Senior (55+)")</f>
        <v>3. Mid Adulthood (35-44)</v>
      </c>
      <c r="D2549" t="s">
        <v>15</v>
      </c>
      <c r="E2549" t="s">
        <v>22</v>
      </c>
      <c r="F2549" s="4">
        <v>17.05</v>
      </c>
      <c r="G2549" s="5">
        <v>34</v>
      </c>
      <c r="H2549" t="s">
        <v>28</v>
      </c>
      <c r="I2549" t="s">
        <v>18</v>
      </c>
      <c r="J2549" s="6">
        <v>13.99</v>
      </c>
      <c r="K2549">
        <v>1</v>
      </c>
      <c r="L2549" t="s">
        <v>61</v>
      </c>
      <c r="M2549" s="5">
        <v>3</v>
      </c>
      <c r="N2549" s="4">
        <v>0.49</v>
      </c>
      <c r="O2549" t="s">
        <v>39</v>
      </c>
    </row>
    <row r="2550" spans="1:15" x14ac:dyDescent="0.3">
      <c r="A2550" t="s">
        <v>5002</v>
      </c>
      <c r="B2550" s="5">
        <v>39</v>
      </c>
      <c r="C2550" s="5" t="str" cm="1">
        <f t="array" ref="C2550">_xlfn.IFS(worksheet[[#This Row],[age]]&lt;25,"1. Young Adulthood (18-24)",worksheet[[#This Row],[age]]&lt; 35,"2. Early Adulthood (25-34)",worksheet[[#This Row],[age]]&lt; 45,"3. Mid Adulthood (35-44)",worksheet[[#This Row],[age]]&lt; 55,"4. Mature Adulthood (45-54)",TRUE,"5. Late Adulthood/Senior (55+)")</f>
        <v>3. Mid Adulthood (35-44)</v>
      </c>
      <c r="D2550" t="s">
        <v>27</v>
      </c>
      <c r="E2550" t="s">
        <v>32</v>
      </c>
      <c r="F2550" s="4">
        <v>11.83</v>
      </c>
      <c r="G2550" s="5">
        <v>55</v>
      </c>
      <c r="H2550" t="s">
        <v>49</v>
      </c>
      <c r="I2550" t="s">
        <v>46</v>
      </c>
      <c r="J2550" s="6">
        <v>17.989999999999998</v>
      </c>
      <c r="K2550">
        <v>1</v>
      </c>
      <c r="L2550" t="s">
        <v>19</v>
      </c>
      <c r="M2550" s="5">
        <v>3</v>
      </c>
      <c r="N2550" s="4">
        <v>0.21</v>
      </c>
      <c r="O2550" t="s">
        <v>20</v>
      </c>
    </row>
    <row r="2551" spans="1:15" x14ac:dyDescent="0.3">
      <c r="A2551" t="s">
        <v>5003</v>
      </c>
      <c r="B2551" s="5">
        <v>37</v>
      </c>
      <c r="C2551" s="5" t="str" cm="1">
        <f t="array" ref="C2551">_xlfn.IFS(worksheet[[#This Row],[age]]&lt;25,"1. Young Adulthood (18-24)",worksheet[[#This Row],[age]]&lt; 35,"2. Early Adulthood (25-34)",worksheet[[#This Row],[age]]&lt; 45,"3. Mid Adulthood (35-44)",worksheet[[#This Row],[age]]&lt; 55,"4. Mature Adulthood (45-54)",TRUE,"5. Late Adulthood/Senior (55+)")</f>
        <v>3. Mid Adulthood (35-44)</v>
      </c>
      <c r="D2551" t="s">
        <v>15</v>
      </c>
      <c r="E2551" t="s">
        <v>16</v>
      </c>
      <c r="F2551" s="4">
        <v>55.15</v>
      </c>
      <c r="G2551" s="5">
        <v>59</v>
      </c>
      <c r="H2551" t="s">
        <v>70</v>
      </c>
      <c r="I2551" t="s">
        <v>24</v>
      </c>
      <c r="J2551" s="6">
        <v>8.99</v>
      </c>
      <c r="K2551">
        <v>0</v>
      </c>
      <c r="L2551" t="s">
        <v>19</v>
      </c>
      <c r="M2551" s="5">
        <v>4</v>
      </c>
      <c r="N2551" s="4">
        <v>0.92</v>
      </c>
      <c r="O2551" t="s">
        <v>34</v>
      </c>
    </row>
    <row r="2552" spans="1:15" x14ac:dyDescent="0.3">
      <c r="A2552" t="s">
        <v>5011</v>
      </c>
      <c r="B2552" s="5">
        <v>41</v>
      </c>
      <c r="C2552" s="5" t="str" cm="1">
        <f t="array" ref="C2552">_xlfn.IFS(worksheet[[#This Row],[age]]&lt;25,"1. Young Adulthood (18-24)",worksheet[[#This Row],[age]]&lt; 35,"2. Early Adulthood (25-34)",worksheet[[#This Row],[age]]&lt; 45,"3. Mid Adulthood (35-44)",worksheet[[#This Row],[age]]&lt; 55,"4. Mature Adulthood (45-54)",TRUE,"5. Late Adulthood/Senior (55+)")</f>
        <v>3. Mid Adulthood (35-44)</v>
      </c>
      <c r="D2552" t="s">
        <v>15</v>
      </c>
      <c r="E2552" t="s">
        <v>16</v>
      </c>
      <c r="F2552" s="4">
        <v>48.84</v>
      </c>
      <c r="G2552" s="5">
        <v>47</v>
      </c>
      <c r="H2552" t="s">
        <v>28</v>
      </c>
      <c r="I2552" t="s">
        <v>57</v>
      </c>
      <c r="J2552" s="6">
        <v>8.99</v>
      </c>
      <c r="K2552">
        <v>0</v>
      </c>
      <c r="L2552" t="s">
        <v>43</v>
      </c>
      <c r="M2552" s="5">
        <v>4</v>
      </c>
      <c r="N2552" s="4">
        <v>1.02</v>
      </c>
      <c r="O2552" t="s">
        <v>39</v>
      </c>
    </row>
    <row r="2553" spans="1:15" x14ac:dyDescent="0.3">
      <c r="A2553" t="s">
        <v>5012</v>
      </c>
      <c r="B2553" s="5">
        <v>43</v>
      </c>
      <c r="C2553" s="5" t="str" cm="1">
        <f t="array" ref="C2553">_xlfn.IFS(worksheet[[#This Row],[age]]&lt;25,"1. Young Adulthood (18-24)",worksheet[[#This Row],[age]]&lt; 35,"2. Early Adulthood (25-34)",worksheet[[#This Row],[age]]&lt; 45,"3. Mid Adulthood (35-44)",worksheet[[#This Row],[age]]&lt; 55,"4. Mature Adulthood (45-54)",TRUE,"5. Late Adulthood/Senior (55+)")</f>
        <v>3. Mid Adulthood (35-44)</v>
      </c>
      <c r="D2553" t="s">
        <v>41</v>
      </c>
      <c r="E2553" t="s">
        <v>32</v>
      </c>
      <c r="F2553" s="4">
        <v>6.6</v>
      </c>
      <c r="G2553" s="5">
        <v>11</v>
      </c>
      <c r="H2553" t="s">
        <v>49</v>
      </c>
      <c r="I2553" t="s">
        <v>55</v>
      </c>
      <c r="J2553" s="6">
        <v>17.989999999999998</v>
      </c>
      <c r="K2553">
        <v>0</v>
      </c>
      <c r="L2553" t="s">
        <v>19</v>
      </c>
      <c r="M2553" s="5">
        <v>4</v>
      </c>
      <c r="N2553" s="4">
        <v>0.55000000000000004</v>
      </c>
      <c r="O2553" t="s">
        <v>30</v>
      </c>
    </row>
    <row r="2554" spans="1:15" x14ac:dyDescent="0.3">
      <c r="A2554" t="s">
        <v>5017</v>
      </c>
      <c r="B2554" s="5">
        <v>36</v>
      </c>
      <c r="C2554" s="5" t="str" cm="1">
        <f t="array" ref="C2554">_xlfn.IFS(worksheet[[#This Row],[age]]&lt;25,"1. Young Adulthood (18-24)",worksheet[[#This Row],[age]]&lt; 35,"2. Early Adulthood (25-34)",worksheet[[#This Row],[age]]&lt; 45,"3. Mid Adulthood (35-44)",worksheet[[#This Row],[age]]&lt; 55,"4. Mature Adulthood (45-54)",TRUE,"5. Late Adulthood/Senior (55+)")</f>
        <v>3. Mid Adulthood (35-44)</v>
      </c>
      <c r="D2554" t="s">
        <v>27</v>
      </c>
      <c r="E2554" t="s">
        <v>16</v>
      </c>
      <c r="F2554" s="4">
        <v>17.32</v>
      </c>
      <c r="G2554" s="5">
        <v>34</v>
      </c>
      <c r="H2554" t="s">
        <v>33</v>
      </c>
      <c r="I2554" t="s">
        <v>18</v>
      </c>
      <c r="J2554" s="6">
        <v>8.99</v>
      </c>
      <c r="K2554">
        <v>1</v>
      </c>
      <c r="L2554" t="s">
        <v>43</v>
      </c>
      <c r="M2554" s="5">
        <v>2</v>
      </c>
      <c r="N2554" s="4">
        <v>0.49</v>
      </c>
      <c r="O2554" t="s">
        <v>47</v>
      </c>
    </row>
    <row r="2555" spans="1:15" x14ac:dyDescent="0.3">
      <c r="A2555" t="s">
        <v>5029</v>
      </c>
      <c r="B2555" s="5">
        <v>44</v>
      </c>
      <c r="C2555" s="5" t="str" cm="1">
        <f t="array" ref="C2555">_xlfn.IFS(worksheet[[#This Row],[age]]&lt;25,"1. Young Adulthood (18-24)",worksheet[[#This Row],[age]]&lt; 35,"2. Early Adulthood (25-34)",worksheet[[#This Row],[age]]&lt; 45,"3. Mid Adulthood (35-44)",worksheet[[#This Row],[age]]&lt; 55,"4. Mature Adulthood (45-54)",TRUE,"5. Late Adulthood/Senior (55+)")</f>
        <v>3. Mid Adulthood (35-44)</v>
      </c>
      <c r="D2555" t="s">
        <v>41</v>
      </c>
      <c r="E2555" t="s">
        <v>16</v>
      </c>
      <c r="F2555" s="4">
        <v>12.76</v>
      </c>
      <c r="G2555" s="5">
        <v>41</v>
      </c>
      <c r="H2555" t="s">
        <v>33</v>
      </c>
      <c r="I2555" t="s">
        <v>57</v>
      </c>
      <c r="J2555" s="6">
        <v>8.99</v>
      </c>
      <c r="K2555">
        <v>1</v>
      </c>
      <c r="L2555" t="s">
        <v>61</v>
      </c>
      <c r="M2555" s="5">
        <v>3</v>
      </c>
      <c r="N2555" s="4">
        <v>0.3</v>
      </c>
      <c r="O2555" t="s">
        <v>30</v>
      </c>
    </row>
    <row r="2556" spans="1:15" x14ac:dyDescent="0.3">
      <c r="A2556" t="s">
        <v>14</v>
      </c>
      <c r="B2556" s="5">
        <v>51</v>
      </c>
      <c r="C2556" s="5" t="str" cm="1">
        <f t="array" ref="C2556">_xlfn.IFS(worksheet[[#This Row],[age]]&lt;25,"1. Young Adulthood (18-24)",worksheet[[#This Row],[age]]&lt; 35,"2. Early Adulthood (25-34)",worksheet[[#This Row],[age]]&lt; 45,"3. Mid Adulthood (35-44)",worksheet[[#This Row],[age]]&lt; 55,"4. Mature Adulthood (45-54)",TRUE,"5. Late Adulthood/Senior (55+)")</f>
        <v>4. Mature Adulthood (45-54)</v>
      </c>
      <c r="D2556" t="s">
        <v>15</v>
      </c>
      <c r="E2556" t="s">
        <v>16</v>
      </c>
      <c r="F2556" s="4">
        <v>14.73</v>
      </c>
      <c r="G2556" s="5">
        <v>29</v>
      </c>
      <c r="H2556" t="s">
        <v>17</v>
      </c>
      <c r="I2556" t="s">
        <v>18</v>
      </c>
      <c r="J2556" s="6">
        <v>8.99</v>
      </c>
      <c r="K2556">
        <v>1</v>
      </c>
      <c r="L2556" t="s">
        <v>19</v>
      </c>
      <c r="M2556" s="5">
        <v>1</v>
      </c>
      <c r="N2556" s="4">
        <v>0.49</v>
      </c>
      <c r="O2556" t="s">
        <v>20</v>
      </c>
    </row>
    <row r="2557" spans="1:15" x14ac:dyDescent="0.3">
      <c r="A2557" t="s">
        <v>21</v>
      </c>
      <c r="B2557" s="5">
        <v>47</v>
      </c>
      <c r="C2557" s="5" t="str" cm="1">
        <f t="array" ref="C2557">_xlfn.IFS(worksheet[[#This Row],[age]]&lt;25,"1. Young Adulthood (18-24)",worksheet[[#This Row],[age]]&lt; 35,"2. Early Adulthood (25-34)",worksheet[[#This Row],[age]]&lt; 45,"3. Mid Adulthood (35-44)",worksheet[[#This Row],[age]]&lt; 55,"4. Mature Adulthood (45-54)",TRUE,"5. Late Adulthood/Senior (55+)")</f>
        <v>4. Mature Adulthood (45-54)</v>
      </c>
      <c r="D2557" t="s">
        <v>15</v>
      </c>
      <c r="E2557" t="s">
        <v>22</v>
      </c>
      <c r="F2557" s="4">
        <v>0.7</v>
      </c>
      <c r="G2557" s="5">
        <v>19</v>
      </c>
      <c r="H2557" t="s">
        <v>23</v>
      </c>
      <c r="I2557" t="s">
        <v>24</v>
      </c>
      <c r="J2557" s="6">
        <v>13.99</v>
      </c>
      <c r="K2557">
        <v>1</v>
      </c>
      <c r="L2557" t="s">
        <v>19</v>
      </c>
      <c r="M2557" s="5">
        <v>5</v>
      </c>
      <c r="N2557" s="4">
        <v>0.03</v>
      </c>
      <c r="O2557" t="s">
        <v>25</v>
      </c>
    </row>
    <row r="2558" spans="1:15" x14ac:dyDescent="0.3">
      <c r="A2558" t="s">
        <v>31</v>
      </c>
      <c r="B2558" s="5">
        <v>53</v>
      </c>
      <c r="C2558" s="5" t="str" cm="1">
        <f t="array" ref="C2558">_xlfn.IFS(worksheet[[#This Row],[age]]&lt;25,"1. Young Adulthood (18-24)",worksheet[[#This Row],[age]]&lt; 35,"2. Early Adulthood (25-34)",worksheet[[#This Row],[age]]&lt; 45,"3. Mid Adulthood (35-44)",worksheet[[#This Row],[age]]&lt; 55,"4. Mature Adulthood (45-54)",TRUE,"5. Late Adulthood/Senior (55+)")</f>
        <v>4. Mature Adulthood (45-54)</v>
      </c>
      <c r="D2558" t="s">
        <v>15</v>
      </c>
      <c r="E2558" t="s">
        <v>32</v>
      </c>
      <c r="F2558" s="4">
        <v>4.51</v>
      </c>
      <c r="G2558" s="5">
        <v>12</v>
      </c>
      <c r="H2558" t="s">
        <v>33</v>
      </c>
      <c r="I2558" t="s">
        <v>18</v>
      </c>
      <c r="J2558" s="6">
        <v>17.989999999999998</v>
      </c>
      <c r="K2558">
        <v>1</v>
      </c>
      <c r="L2558" t="s">
        <v>29</v>
      </c>
      <c r="M2558" s="5">
        <v>2</v>
      </c>
      <c r="N2558" s="4">
        <v>0.35</v>
      </c>
      <c r="O2558" t="s">
        <v>34</v>
      </c>
    </row>
    <row r="2559" spans="1:15" x14ac:dyDescent="0.3">
      <c r="A2559" s="1" t="s">
        <v>38</v>
      </c>
      <c r="B2559" s="5">
        <v>48</v>
      </c>
      <c r="C2559" s="5" t="str" cm="1">
        <f t="array" ref="C2559">_xlfn.IFS(worksheet[[#This Row],[age]]&lt;25,"1. Young Adulthood (18-24)",worksheet[[#This Row],[age]]&lt; 35,"2. Early Adulthood (25-34)",worksheet[[#This Row],[age]]&lt; 45,"3. Mid Adulthood (35-44)",worksheet[[#This Row],[age]]&lt; 55,"4. Mature Adulthood (45-54)",TRUE,"5. Late Adulthood/Senior (55+)")</f>
        <v>4. Mature Adulthood (45-54)</v>
      </c>
      <c r="D2559" t="s">
        <v>15</v>
      </c>
      <c r="E2559" t="s">
        <v>16</v>
      </c>
      <c r="F2559" s="4">
        <v>13.83</v>
      </c>
      <c r="G2559" s="5">
        <v>20</v>
      </c>
      <c r="H2559" t="s">
        <v>28</v>
      </c>
      <c r="I2559" t="s">
        <v>18</v>
      </c>
      <c r="J2559" s="6">
        <v>8.99</v>
      </c>
      <c r="K2559">
        <v>0</v>
      </c>
      <c r="L2559" t="s">
        <v>19</v>
      </c>
      <c r="M2559" s="5">
        <v>5</v>
      </c>
      <c r="N2559" s="4">
        <v>0.66</v>
      </c>
      <c r="O2559" t="s">
        <v>39</v>
      </c>
    </row>
    <row r="2560" spans="1:15" x14ac:dyDescent="0.3">
      <c r="A2560" t="s">
        <v>40</v>
      </c>
      <c r="B2560" s="5">
        <v>51</v>
      </c>
      <c r="C2560" s="5" t="str" cm="1">
        <f t="array" ref="C2560">_xlfn.IFS(worksheet[[#This Row],[age]]&lt;25,"1. Young Adulthood (18-24)",worksheet[[#This Row],[age]]&lt; 35,"2. Early Adulthood (25-34)",worksheet[[#This Row],[age]]&lt; 45,"3. Mid Adulthood (35-44)",worksheet[[#This Row],[age]]&lt; 55,"4. Mature Adulthood (45-54)",TRUE,"5. Late Adulthood/Senior (55+)")</f>
        <v>4. Mature Adulthood (45-54)</v>
      </c>
      <c r="D2560" t="s">
        <v>41</v>
      </c>
      <c r="E2560" t="s">
        <v>16</v>
      </c>
      <c r="F2560" s="4">
        <v>14.3</v>
      </c>
      <c r="G2560" s="5">
        <v>56</v>
      </c>
      <c r="H2560" t="s">
        <v>23</v>
      </c>
      <c r="I2560" t="s">
        <v>24</v>
      </c>
      <c r="J2560" s="6">
        <v>8.99</v>
      </c>
      <c r="K2560">
        <v>1</v>
      </c>
      <c r="L2560" t="s">
        <v>19</v>
      </c>
      <c r="M2560" s="5">
        <v>1</v>
      </c>
      <c r="N2560" s="4">
        <v>0.25</v>
      </c>
      <c r="O2560" t="s">
        <v>20</v>
      </c>
    </row>
    <row r="2561" spans="1:15" x14ac:dyDescent="0.3">
      <c r="A2561" t="s">
        <v>42</v>
      </c>
      <c r="B2561" s="5">
        <v>45</v>
      </c>
      <c r="C2561" s="5" t="str" cm="1">
        <f t="array" ref="C2561">_xlfn.IFS(worksheet[[#This Row],[age]]&lt;25,"1. Young Adulthood (18-24)",worksheet[[#This Row],[age]]&lt; 35,"2. Early Adulthood (25-34)",worksheet[[#This Row],[age]]&lt; 45,"3. Mid Adulthood (35-44)",worksheet[[#This Row],[age]]&lt; 55,"4. Mature Adulthood (45-54)",TRUE,"5. Late Adulthood/Senior (55+)")</f>
        <v>4. Mature Adulthood (45-54)</v>
      </c>
      <c r="D2561" t="s">
        <v>15</v>
      </c>
      <c r="E2561" t="s">
        <v>16</v>
      </c>
      <c r="F2561" s="4">
        <v>9.98</v>
      </c>
      <c r="G2561" s="5">
        <v>10</v>
      </c>
      <c r="H2561" t="s">
        <v>28</v>
      </c>
      <c r="I2561" t="s">
        <v>24</v>
      </c>
      <c r="J2561" s="6">
        <v>8.99</v>
      </c>
      <c r="K2561">
        <v>0</v>
      </c>
      <c r="L2561" t="s">
        <v>43</v>
      </c>
      <c r="M2561" s="5">
        <v>3</v>
      </c>
      <c r="N2561" s="4">
        <v>0.91</v>
      </c>
      <c r="O2561" t="s">
        <v>39</v>
      </c>
    </row>
    <row r="2562" spans="1:15" x14ac:dyDescent="0.3">
      <c r="A2562" t="s">
        <v>50</v>
      </c>
      <c r="B2562" s="5">
        <v>47</v>
      </c>
      <c r="C2562" s="5" t="str" cm="1">
        <f t="array" ref="C2562">_xlfn.IFS(worksheet[[#This Row],[age]]&lt;25,"1. Young Adulthood (18-24)",worksheet[[#This Row],[age]]&lt; 35,"2. Early Adulthood (25-34)",worksheet[[#This Row],[age]]&lt; 45,"3. Mid Adulthood (35-44)",worksheet[[#This Row],[age]]&lt; 55,"4. Mature Adulthood (45-54)",TRUE,"5. Late Adulthood/Senior (55+)")</f>
        <v>4. Mature Adulthood (45-54)</v>
      </c>
      <c r="D2562" t="s">
        <v>15</v>
      </c>
      <c r="E2562" t="s">
        <v>22</v>
      </c>
      <c r="F2562" s="4">
        <v>7.92</v>
      </c>
      <c r="G2562" s="5">
        <v>23</v>
      </c>
      <c r="H2562" t="s">
        <v>49</v>
      </c>
      <c r="I2562" t="s">
        <v>18</v>
      </c>
      <c r="J2562" s="6">
        <v>13.99</v>
      </c>
      <c r="K2562">
        <v>0</v>
      </c>
      <c r="L2562" t="s">
        <v>29</v>
      </c>
      <c r="M2562" s="5">
        <v>1</v>
      </c>
      <c r="N2562" s="4">
        <v>0.33</v>
      </c>
      <c r="O2562" t="s">
        <v>25</v>
      </c>
    </row>
    <row r="2563" spans="1:15" x14ac:dyDescent="0.3">
      <c r="A2563" t="s">
        <v>51</v>
      </c>
      <c r="B2563" s="5">
        <v>49</v>
      </c>
      <c r="C2563" s="5" t="str" cm="1">
        <f t="array" ref="C2563">_xlfn.IFS(worksheet[[#This Row],[age]]&lt;25,"1. Young Adulthood (18-24)",worksheet[[#This Row],[age]]&lt; 35,"2. Early Adulthood (25-34)",worksheet[[#This Row],[age]]&lt; 45,"3. Mid Adulthood (35-44)",worksheet[[#This Row],[age]]&lt; 55,"4. Mature Adulthood (45-54)",TRUE,"5. Late Adulthood/Senior (55+)")</f>
        <v>4. Mature Adulthood (45-54)</v>
      </c>
      <c r="D2563" t="s">
        <v>27</v>
      </c>
      <c r="E2563" t="s">
        <v>16</v>
      </c>
      <c r="F2563" s="4">
        <v>5.26</v>
      </c>
      <c r="G2563" s="5">
        <v>33</v>
      </c>
      <c r="H2563" t="s">
        <v>49</v>
      </c>
      <c r="I2563" t="s">
        <v>24</v>
      </c>
      <c r="J2563" s="6">
        <v>8.99</v>
      </c>
      <c r="K2563">
        <v>1</v>
      </c>
      <c r="L2563" t="s">
        <v>29</v>
      </c>
      <c r="M2563" s="5">
        <v>3</v>
      </c>
      <c r="N2563" s="4">
        <v>0.15</v>
      </c>
      <c r="O2563" t="s">
        <v>52</v>
      </c>
    </row>
    <row r="2564" spans="1:15" x14ac:dyDescent="0.3">
      <c r="A2564" t="s">
        <v>56</v>
      </c>
      <c r="B2564" s="5">
        <v>46</v>
      </c>
      <c r="C2564" s="5" t="str" cm="1">
        <f t="array" ref="C2564">_xlfn.IFS(worksheet[[#This Row],[age]]&lt;25,"1. Young Adulthood (18-24)",worksheet[[#This Row],[age]]&lt; 35,"2. Early Adulthood (25-34)",worksheet[[#This Row],[age]]&lt; 45,"3. Mid Adulthood (35-44)",worksheet[[#This Row],[age]]&lt; 55,"4. Mature Adulthood (45-54)",TRUE,"5. Late Adulthood/Senior (55+)")</f>
        <v>4. Mature Adulthood (45-54)</v>
      </c>
      <c r="D2564" t="s">
        <v>15</v>
      </c>
      <c r="E2564" t="s">
        <v>32</v>
      </c>
      <c r="F2564" s="4">
        <v>1.25</v>
      </c>
      <c r="G2564" s="5">
        <v>13</v>
      </c>
      <c r="H2564" t="s">
        <v>23</v>
      </c>
      <c r="I2564" t="s">
        <v>57</v>
      </c>
      <c r="J2564" s="6">
        <v>17.989999999999998</v>
      </c>
      <c r="K2564">
        <v>1</v>
      </c>
      <c r="L2564" t="s">
        <v>37</v>
      </c>
      <c r="M2564" s="5">
        <v>3</v>
      </c>
      <c r="N2564" s="4">
        <v>0.09</v>
      </c>
      <c r="O2564" t="s">
        <v>47</v>
      </c>
    </row>
    <row r="2565" spans="1:15" x14ac:dyDescent="0.3">
      <c r="A2565" t="s">
        <v>58</v>
      </c>
      <c r="B2565" s="5">
        <v>48</v>
      </c>
      <c r="C2565" s="5" t="str" cm="1">
        <f t="array" ref="C2565">_xlfn.IFS(worksheet[[#This Row],[age]]&lt;25,"1. Young Adulthood (18-24)",worksheet[[#This Row],[age]]&lt; 35,"2. Early Adulthood (25-34)",worksheet[[#This Row],[age]]&lt; 45,"3. Mid Adulthood (35-44)",worksheet[[#This Row],[age]]&lt; 55,"4. Mature Adulthood (45-54)",TRUE,"5. Late Adulthood/Senior (55+)")</f>
        <v>4. Mature Adulthood (45-54)</v>
      </c>
      <c r="D2565" t="s">
        <v>27</v>
      </c>
      <c r="E2565" t="s">
        <v>22</v>
      </c>
      <c r="F2565" s="4">
        <v>8.1199999999999992</v>
      </c>
      <c r="G2565" s="5">
        <v>32</v>
      </c>
      <c r="H2565" t="s">
        <v>17</v>
      </c>
      <c r="I2565" t="s">
        <v>55</v>
      </c>
      <c r="J2565" s="6">
        <v>13.99</v>
      </c>
      <c r="K2565">
        <v>1</v>
      </c>
      <c r="L2565" t="s">
        <v>29</v>
      </c>
      <c r="M2565" s="5">
        <v>2</v>
      </c>
      <c r="N2565" s="4">
        <v>0.25</v>
      </c>
      <c r="O2565" t="s">
        <v>20</v>
      </c>
    </row>
    <row r="2566" spans="1:15" x14ac:dyDescent="0.3">
      <c r="A2566" t="s">
        <v>64</v>
      </c>
      <c r="B2566" s="5">
        <v>53</v>
      </c>
      <c r="C2566" s="5" t="str" cm="1">
        <f t="array" ref="C2566">_xlfn.IFS(worksheet[[#This Row],[age]]&lt;25,"1. Young Adulthood (18-24)",worksheet[[#This Row],[age]]&lt; 35,"2. Early Adulthood (25-34)",worksheet[[#This Row],[age]]&lt; 45,"3. Mid Adulthood (35-44)",worksheet[[#This Row],[age]]&lt; 55,"4. Mature Adulthood (45-54)",TRUE,"5. Late Adulthood/Senior (55+)")</f>
        <v>4. Mature Adulthood (45-54)</v>
      </c>
      <c r="D2566" t="s">
        <v>15</v>
      </c>
      <c r="E2566" t="s">
        <v>22</v>
      </c>
      <c r="F2566" s="4">
        <v>43.02</v>
      </c>
      <c r="G2566" s="5">
        <v>43</v>
      </c>
      <c r="H2566" t="s">
        <v>49</v>
      </c>
      <c r="I2566" t="s">
        <v>57</v>
      </c>
      <c r="J2566" s="6">
        <v>13.99</v>
      </c>
      <c r="K2566">
        <v>0</v>
      </c>
      <c r="L2566" t="s">
        <v>29</v>
      </c>
      <c r="M2566" s="5">
        <v>1</v>
      </c>
      <c r="N2566" s="4">
        <v>0.98</v>
      </c>
      <c r="O2566" t="s">
        <v>20</v>
      </c>
    </row>
    <row r="2567" spans="1:15" x14ac:dyDescent="0.3">
      <c r="A2567" t="s">
        <v>67</v>
      </c>
      <c r="B2567" s="5">
        <v>45</v>
      </c>
      <c r="C2567" s="5" t="str" cm="1">
        <f t="array" ref="C2567">_xlfn.IFS(worksheet[[#This Row],[age]]&lt;25,"1. Young Adulthood (18-24)",worksheet[[#This Row],[age]]&lt; 35,"2. Early Adulthood (25-34)",worksheet[[#This Row],[age]]&lt; 45,"3. Mid Adulthood (35-44)",worksheet[[#This Row],[age]]&lt; 55,"4. Mature Adulthood (45-54)",TRUE,"5. Late Adulthood/Senior (55+)")</f>
        <v>4. Mature Adulthood (45-54)</v>
      </c>
      <c r="D2567" t="s">
        <v>27</v>
      </c>
      <c r="E2567" t="s">
        <v>22</v>
      </c>
      <c r="F2567" s="4">
        <v>7.39</v>
      </c>
      <c r="G2567" s="5">
        <v>6</v>
      </c>
      <c r="H2567" t="s">
        <v>33</v>
      </c>
      <c r="I2567" t="s">
        <v>18</v>
      </c>
      <c r="J2567" s="6">
        <v>13.99</v>
      </c>
      <c r="K2567">
        <v>0</v>
      </c>
      <c r="L2567" t="s">
        <v>43</v>
      </c>
      <c r="M2567" s="5">
        <v>1</v>
      </c>
      <c r="N2567" s="4">
        <v>1.06</v>
      </c>
      <c r="O2567" t="s">
        <v>39</v>
      </c>
    </row>
    <row r="2568" spans="1:15" x14ac:dyDescent="0.3">
      <c r="A2568" t="s">
        <v>72</v>
      </c>
      <c r="B2568" s="5">
        <v>47</v>
      </c>
      <c r="C2568" s="5" t="str" cm="1">
        <f t="array" ref="C2568">_xlfn.IFS(worksheet[[#This Row],[age]]&lt;25,"1. Young Adulthood (18-24)",worksheet[[#This Row],[age]]&lt; 35,"2. Early Adulthood (25-34)",worksheet[[#This Row],[age]]&lt; 45,"3. Mid Adulthood (35-44)",worksheet[[#This Row],[age]]&lt; 55,"4. Mature Adulthood (45-54)",TRUE,"5. Late Adulthood/Senior (55+)")</f>
        <v>4. Mature Adulthood (45-54)</v>
      </c>
      <c r="D2568" t="s">
        <v>15</v>
      </c>
      <c r="E2568" t="s">
        <v>22</v>
      </c>
      <c r="F2568" s="4">
        <v>15.87</v>
      </c>
      <c r="G2568" s="5">
        <v>52</v>
      </c>
      <c r="H2568" t="s">
        <v>17</v>
      </c>
      <c r="I2568" t="s">
        <v>46</v>
      </c>
      <c r="J2568" s="6">
        <v>13.99</v>
      </c>
      <c r="K2568">
        <v>1</v>
      </c>
      <c r="L2568" t="s">
        <v>29</v>
      </c>
      <c r="M2568" s="5">
        <v>1</v>
      </c>
      <c r="N2568" s="4">
        <v>0.3</v>
      </c>
      <c r="O2568" t="s">
        <v>25</v>
      </c>
    </row>
    <row r="2569" spans="1:15" x14ac:dyDescent="0.3">
      <c r="A2569" t="s">
        <v>73</v>
      </c>
      <c r="B2569" s="5">
        <v>49</v>
      </c>
      <c r="C2569" s="5" t="str" cm="1">
        <f t="array" ref="C2569">_xlfn.IFS(worksheet[[#This Row],[age]]&lt;25,"1. Young Adulthood (18-24)",worksheet[[#This Row],[age]]&lt; 35,"2. Early Adulthood (25-34)",worksheet[[#This Row],[age]]&lt; 45,"3. Mid Adulthood (35-44)",worksheet[[#This Row],[age]]&lt; 55,"4. Mature Adulthood (45-54)",TRUE,"5. Late Adulthood/Senior (55+)")</f>
        <v>4. Mature Adulthood (45-54)</v>
      </c>
      <c r="D2569" t="s">
        <v>27</v>
      </c>
      <c r="E2569" t="s">
        <v>22</v>
      </c>
      <c r="F2569" s="4">
        <v>7.62</v>
      </c>
      <c r="G2569" s="5">
        <v>27</v>
      </c>
      <c r="H2569" t="s">
        <v>28</v>
      </c>
      <c r="I2569" t="s">
        <v>18</v>
      </c>
      <c r="J2569" s="6">
        <v>13.99</v>
      </c>
      <c r="K2569">
        <v>0</v>
      </c>
      <c r="L2569" t="s">
        <v>37</v>
      </c>
      <c r="M2569" s="5">
        <v>3</v>
      </c>
      <c r="N2569" s="4">
        <v>0.27</v>
      </c>
      <c r="O2569" t="s">
        <v>20</v>
      </c>
    </row>
    <row r="2570" spans="1:15" x14ac:dyDescent="0.3">
      <c r="A2570" t="s">
        <v>84</v>
      </c>
      <c r="B2570" s="5">
        <v>49</v>
      </c>
      <c r="C2570" s="5" t="str" cm="1">
        <f t="array" ref="C2570">_xlfn.IFS(worksheet[[#This Row],[age]]&lt;25,"1. Young Adulthood (18-24)",worksheet[[#This Row],[age]]&lt; 35,"2. Early Adulthood (25-34)",worksheet[[#This Row],[age]]&lt; 45,"3. Mid Adulthood (35-44)",worksheet[[#This Row],[age]]&lt; 55,"4. Mature Adulthood (45-54)",TRUE,"5. Late Adulthood/Senior (55+)")</f>
        <v>4. Mature Adulthood (45-54)</v>
      </c>
      <c r="D2570" t="s">
        <v>15</v>
      </c>
      <c r="E2570" t="s">
        <v>32</v>
      </c>
      <c r="F2570" s="4">
        <v>2.0499999999999998</v>
      </c>
      <c r="G2570" s="5">
        <v>14</v>
      </c>
      <c r="H2570" t="s">
        <v>70</v>
      </c>
      <c r="I2570" t="s">
        <v>57</v>
      </c>
      <c r="J2570" s="6">
        <v>17.989999999999998</v>
      </c>
      <c r="K2570">
        <v>0</v>
      </c>
      <c r="L2570" t="s">
        <v>37</v>
      </c>
      <c r="M2570" s="5">
        <v>5</v>
      </c>
      <c r="N2570" s="4">
        <v>0.14000000000000001</v>
      </c>
      <c r="O2570" t="s">
        <v>39</v>
      </c>
    </row>
    <row r="2571" spans="1:15" x14ac:dyDescent="0.3">
      <c r="A2571" t="s">
        <v>88</v>
      </c>
      <c r="B2571" s="5">
        <v>49</v>
      </c>
      <c r="C2571" s="5" t="str" cm="1">
        <f t="array" ref="C2571">_xlfn.IFS(worksheet[[#This Row],[age]]&lt;25,"1. Young Adulthood (18-24)",worksheet[[#This Row],[age]]&lt; 35,"2. Early Adulthood (25-34)",worksheet[[#This Row],[age]]&lt; 45,"3. Mid Adulthood (35-44)",worksheet[[#This Row],[age]]&lt; 55,"4. Mature Adulthood (45-54)",TRUE,"5. Late Adulthood/Senior (55+)")</f>
        <v>4. Mature Adulthood (45-54)</v>
      </c>
      <c r="D2571" t="s">
        <v>41</v>
      </c>
      <c r="E2571" t="s">
        <v>22</v>
      </c>
      <c r="F2571" s="4">
        <v>4.22</v>
      </c>
      <c r="G2571" s="5">
        <v>50</v>
      </c>
      <c r="H2571" t="s">
        <v>33</v>
      </c>
      <c r="I2571" t="s">
        <v>55</v>
      </c>
      <c r="J2571" s="6">
        <v>13.99</v>
      </c>
      <c r="K2571">
        <v>1</v>
      </c>
      <c r="L2571" t="s">
        <v>19</v>
      </c>
      <c r="M2571" s="5">
        <v>2</v>
      </c>
      <c r="N2571" s="4">
        <v>0.08</v>
      </c>
      <c r="O2571" t="s">
        <v>47</v>
      </c>
    </row>
    <row r="2572" spans="1:15" x14ac:dyDescent="0.3">
      <c r="A2572" t="s">
        <v>89</v>
      </c>
      <c r="B2572" s="5">
        <v>54</v>
      </c>
      <c r="C2572" s="5" t="str" cm="1">
        <f t="array" ref="C2572">_xlfn.IFS(worksheet[[#This Row],[age]]&lt;25,"1. Young Adulthood (18-24)",worksheet[[#This Row],[age]]&lt; 35,"2. Early Adulthood (25-34)",worksheet[[#This Row],[age]]&lt; 45,"3. Mid Adulthood (35-44)",worksheet[[#This Row],[age]]&lt; 55,"4. Mature Adulthood (45-54)",TRUE,"5. Late Adulthood/Senior (55+)")</f>
        <v>4. Mature Adulthood (45-54)</v>
      </c>
      <c r="D2572" t="s">
        <v>27</v>
      </c>
      <c r="E2572" t="s">
        <v>16</v>
      </c>
      <c r="F2572" s="4">
        <v>26.88</v>
      </c>
      <c r="G2572" s="5">
        <v>44</v>
      </c>
      <c r="H2572" t="s">
        <v>49</v>
      </c>
      <c r="I2572" t="s">
        <v>55</v>
      </c>
      <c r="J2572" s="6">
        <v>8.99</v>
      </c>
      <c r="K2572">
        <v>0</v>
      </c>
      <c r="L2572" t="s">
        <v>19</v>
      </c>
      <c r="M2572" s="5">
        <v>3</v>
      </c>
      <c r="N2572" s="4">
        <v>0.6</v>
      </c>
      <c r="O2572" t="s">
        <v>30</v>
      </c>
    </row>
    <row r="2573" spans="1:15" x14ac:dyDescent="0.3">
      <c r="A2573" t="s">
        <v>98</v>
      </c>
      <c r="B2573" s="5">
        <v>51</v>
      </c>
      <c r="C2573" s="5" t="str" cm="1">
        <f t="array" ref="C2573">_xlfn.IFS(worksheet[[#This Row],[age]]&lt;25,"1. Young Adulthood (18-24)",worksheet[[#This Row],[age]]&lt; 35,"2. Early Adulthood (25-34)",worksheet[[#This Row],[age]]&lt; 45,"3. Mid Adulthood (35-44)",worksheet[[#This Row],[age]]&lt; 55,"4. Mature Adulthood (45-54)",TRUE,"5. Late Adulthood/Senior (55+)")</f>
        <v>4. Mature Adulthood (45-54)</v>
      </c>
      <c r="D2573" t="s">
        <v>27</v>
      </c>
      <c r="E2573" t="s">
        <v>32</v>
      </c>
      <c r="F2573" s="4">
        <v>3.7</v>
      </c>
      <c r="G2573" s="5">
        <v>37</v>
      </c>
      <c r="H2573" t="s">
        <v>49</v>
      </c>
      <c r="I2573" t="s">
        <v>24</v>
      </c>
      <c r="J2573" s="6">
        <v>17.989999999999998</v>
      </c>
      <c r="K2573">
        <v>1</v>
      </c>
      <c r="L2573" t="s">
        <v>61</v>
      </c>
      <c r="M2573" s="5">
        <v>2</v>
      </c>
      <c r="N2573" s="4">
        <v>0.1</v>
      </c>
      <c r="O2573" t="s">
        <v>34</v>
      </c>
    </row>
    <row r="2574" spans="1:15" x14ac:dyDescent="0.3">
      <c r="A2574" t="s">
        <v>114</v>
      </c>
      <c r="B2574" s="5">
        <v>46</v>
      </c>
      <c r="C2574" s="5" t="str" cm="1">
        <f t="array" ref="C2574">_xlfn.IFS(worksheet[[#This Row],[age]]&lt;25,"1. Young Adulthood (18-24)",worksheet[[#This Row],[age]]&lt; 35,"2. Early Adulthood (25-34)",worksheet[[#This Row],[age]]&lt; 45,"3. Mid Adulthood (35-44)",worksheet[[#This Row],[age]]&lt; 55,"4. Mature Adulthood (45-54)",TRUE,"5. Late Adulthood/Senior (55+)")</f>
        <v>4. Mature Adulthood (45-54)</v>
      </c>
      <c r="D2574" t="s">
        <v>15</v>
      </c>
      <c r="E2574" t="s">
        <v>22</v>
      </c>
      <c r="F2574" s="4">
        <v>13.38</v>
      </c>
      <c r="G2574" s="5">
        <v>3</v>
      </c>
      <c r="H2574" t="s">
        <v>49</v>
      </c>
      <c r="I2574" t="s">
        <v>46</v>
      </c>
      <c r="J2574" s="6">
        <v>13.99</v>
      </c>
      <c r="K2574">
        <v>0</v>
      </c>
      <c r="L2574" t="s">
        <v>61</v>
      </c>
      <c r="M2574" s="5">
        <v>2</v>
      </c>
      <c r="N2574" s="4">
        <v>3.35</v>
      </c>
      <c r="O2574" t="s">
        <v>39</v>
      </c>
    </row>
    <row r="2575" spans="1:15" x14ac:dyDescent="0.3">
      <c r="A2575" t="s">
        <v>124</v>
      </c>
      <c r="B2575" s="5">
        <v>48</v>
      </c>
      <c r="C2575" s="5" t="str" cm="1">
        <f t="array" ref="C2575">_xlfn.IFS(worksheet[[#This Row],[age]]&lt;25,"1. Young Adulthood (18-24)",worksheet[[#This Row],[age]]&lt; 35,"2. Early Adulthood (25-34)",worksheet[[#This Row],[age]]&lt; 45,"3. Mid Adulthood (35-44)",worksheet[[#This Row],[age]]&lt; 55,"4. Mature Adulthood (45-54)",TRUE,"5. Late Adulthood/Senior (55+)")</f>
        <v>4. Mature Adulthood (45-54)</v>
      </c>
      <c r="D2575" t="s">
        <v>15</v>
      </c>
      <c r="E2575" t="s">
        <v>32</v>
      </c>
      <c r="F2575" s="4">
        <v>11.1</v>
      </c>
      <c r="G2575" s="5">
        <v>41</v>
      </c>
      <c r="H2575" t="s">
        <v>17</v>
      </c>
      <c r="I2575" t="s">
        <v>24</v>
      </c>
      <c r="J2575" s="6">
        <v>17.989999999999998</v>
      </c>
      <c r="K2575">
        <v>1</v>
      </c>
      <c r="L2575" t="s">
        <v>19</v>
      </c>
      <c r="M2575" s="5">
        <v>5</v>
      </c>
      <c r="N2575" s="4">
        <v>0.26</v>
      </c>
      <c r="O2575" t="s">
        <v>52</v>
      </c>
    </row>
    <row r="2576" spans="1:15" x14ac:dyDescent="0.3">
      <c r="A2576" t="s">
        <v>127</v>
      </c>
      <c r="B2576" s="5">
        <v>46</v>
      </c>
      <c r="C2576" s="5" t="str" cm="1">
        <f t="array" ref="C2576">_xlfn.IFS(worksheet[[#This Row],[age]]&lt;25,"1. Young Adulthood (18-24)",worksheet[[#This Row],[age]]&lt; 35,"2. Early Adulthood (25-34)",worksheet[[#This Row],[age]]&lt; 45,"3. Mid Adulthood (35-44)",worksheet[[#This Row],[age]]&lt; 55,"4. Mature Adulthood (45-54)",TRUE,"5. Late Adulthood/Senior (55+)")</f>
        <v>4. Mature Adulthood (45-54)</v>
      </c>
      <c r="D2576" t="s">
        <v>15</v>
      </c>
      <c r="E2576" t="s">
        <v>16</v>
      </c>
      <c r="F2576" s="4">
        <v>6.22</v>
      </c>
      <c r="G2576" s="5">
        <v>36</v>
      </c>
      <c r="H2576" t="s">
        <v>28</v>
      </c>
      <c r="I2576" t="s">
        <v>46</v>
      </c>
      <c r="J2576" s="6">
        <v>8.99</v>
      </c>
      <c r="K2576">
        <v>1</v>
      </c>
      <c r="L2576" t="s">
        <v>61</v>
      </c>
      <c r="M2576" s="5">
        <v>2</v>
      </c>
      <c r="N2576" s="4">
        <v>0.17</v>
      </c>
      <c r="O2576" t="s">
        <v>34</v>
      </c>
    </row>
    <row r="2577" spans="1:15" x14ac:dyDescent="0.3">
      <c r="A2577" t="s">
        <v>132</v>
      </c>
      <c r="B2577" s="5">
        <v>46</v>
      </c>
      <c r="C2577" s="5" t="str" cm="1">
        <f t="array" ref="C2577">_xlfn.IFS(worksheet[[#This Row],[age]]&lt;25,"1. Young Adulthood (18-24)",worksheet[[#This Row],[age]]&lt; 35,"2. Early Adulthood (25-34)",worksheet[[#This Row],[age]]&lt; 45,"3. Mid Adulthood (35-44)",worksheet[[#This Row],[age]]&lt; 55,"4. Mature Adulthood (45-54)",TRUE,"5. Late Adulthood/Senior (55+)")</f>
        <v>4. Mature Adulthood (45-54)</v>
      </c>
      <c r="D2577" t="s">
        <v>27</v>
      </c>
      <c r="E2577" t="s">
        <v>22</v>
      </c>
      <c r="F2577" s="4">
        <v>5.78</v>
      </c>
      <c r="G2577" s="5">
        <v>4</v>
      </c>
      <c r="H2577" t="s">
        <v>28</v>
      </c>
      <c r="I2577" t="s">
        <v>46</v>
      </c>
      <c r="J2577" s="6">
        <v>13.99</v>
      </c>
      <c r="K2577">
        <v>0</v>
      </c>
      <c r="L2577" t="s">
        <v>61</v>
      </c>
      <c r="M2577" s="5">
        <v>2</v>
      </c>
      <c r="N2577" s="4">
        <v>1.1599999999999999</v>
      </c>
      <c r="O2577" t="s">
        <v>25</v>
      </c>
    </row>
    <row r="2578" spans="1:15" x14ac:dyDescent="0.3">
      <c r="A2578" t="s">
        <v>142</v>
      </c>
      <c r="B2578" s="5">
        <v>50</v>
      </c>
      <c r="C2578" s="5" t="str" cm="1">
        <f t="array" ref="C2578">_xlfn.IFS(worksheet[[#This Row],[age]]&lt;25,"1. Young Adulthood (18-24)",worksheet[[#This Row],[age]]&lt; 35,"2. Early Adulthood (25-34)",worksheet[[#This Row],[age]]&lt; 45,"3. Mid Adulthood (35-44)",worksheet[[#This Row],[age]]&lt; 55,"4. Mature Adulthood (45-54)",TRUE,"5. Late Adulthood/Senior (55+)")</f>
        <v>4. Mature Adulthood (45-54)</v>
      </c>
      <c r="D2578" t="s">
        <v>27</v>
      </c>
      <c r="E2578" t="s">
        <v>22</v>
      </c>
      <c r="F2578" s="4">
        <v>3.58</v>
      </c>
      <c r="G2578" s="5">
        <v>54</v>
      </c>
      <c r="H2578" t="s">
        <v>23</v>
      </c>
      <c r="I2578" t="s">
        <v>57</v>
      </c>
      <c r="J2578" s="6">
        <v>13.99</v>
      </c>
      <c r="K2578">
        <v>1</v>
      </c>
      <c r="L2578" t="s">
        <v>61</v>
      </c>
      <c r="M2578" s="5">
        <v>4</v>
      </c>
      <c r="N2578" s="4">
        <v>7.0000000000000007E-2</v>
      </c>
      <c r="O2578" t="s">
        <v>39</v>
      </c>
    </row>
    <row r="2579" spans="1:15" x14ac:dyDescent="0.3">
      <c r="A2579" t="s">
        <v>148</v>
      </c>
      <c r="B2579" s="5">
        <v>47</v>
      </c>
      <c r="C2579" s="5" t="str" cm="1">
        <f t="array" ref="C2579">_xlfn.IFS(worksheet[[#This Row],[age]]&lt;25,"1. Young Adulthood (18-24)",worksheet[[#This Row],[age]]&lt; 35,"2. Early Adulthood (25-34)",worksheet[[#This Row],[age]]&lt; 45,"3. Mid Adulthood (35-44)",worksheet[[#This Row],[age]]&lt; 55,"4. Mature Adulthood (45-54)",TRUE,"5. Late Adulthood/Senior (55+)")</f>
        <v>4. Mature Adulthood (45-54)</v>
      </c>
      <c r="D2579" t="s">
        <v>15</v>
      </c>
      <c r="E2579" t="s">
        <v>32</v>
      </c>
      <c r="F2579" s="4">
        <v>14.24</v>
      </c>
      <c r="G2579" s="5">
        <v>37</v>
      </c>
      <c r="H2579" t="s">
        <v>17</v>
      </c>
      <c r="I2579" t="s">
        <v>57</v>
      </c>
      <c r="J2579" s="6">
        <v>17.989999999999998</v>
      </c>
      <c r="K2579">
        <v>1</v>
      </c>
      <c r="L2579" t="s">
        <v>19</v>
      </c>
      <c r="M2579" s="5">
        <v>2</v>
      </c>
      <c r="N2579" s="4">
        <v>0.37</v>
      </c>
      <c r="O2579" t="s">
        <v>52</v>
      </c>
    </row>
    <row r="2580" spans="1:15" x14ac:dyDescent="0.3">
      <c r="A2580" t="s">
        <v>149</v>
      </c>
      <c r="B2580" s="5">
        <v>49</v>
      </c>
      <c r="C2580" s="5" t="str" cm="1">
        <f t="array" ref="C2580">_xlfn.IFS(worksheet[[#This Row],[age]]&lt;25,"1. Young Adulthood (18-24)",worksheet[[#This Row],[age]]&lt; 35,"2. Early Adulthood (25-34)",worksheet[[#This Row],[age]]&lt; 45,"3. Mid Adulthood (35-44)",worksheet[[#This Row],[age]]&lt; 55,"4. Mature Adulthood (45-54)",TRUE,"5. Late Adulthood/Senior (55+)")</f>
        <v>4. Mature Adulthood (45-54)</v>
      </c>
      <c r="D2580" t="s">
        <v>27</v>
      </c>
      <c r="E2580" t="s">
        <v>16</v>
      </c>
      <c r="F2580" s="4">
        <v>2.9</v>
      </c>
      <c r="G2580" s="5">
        <v>46</v>
      </c>
      <c r="H2580" t="s">
        <v>28</v>
      </c>
      <c r="I2580" t="s">
        <v>24</v>
      </c>
      <c r="J2580" s="6">
        <v>8.99</v>
      </c>
      <c r="K2580">
        <v>1</v>
      </c>
      <c r="L2580" t="s">
        <v>37</v>
      </c>
      <c r="M2580" s="5">
        <v>2</v>
      </c>
      <c r="N2580" s="4">
        <v>0.06</v>
      </c>
      <c r="O2580" t="s">
        <v>34</v>
      </c>
    </row>
    <row r="2581" spans="1:15" x14ac:dyDescent="0.3">
      <c r="A2581" t="s">
        <v>164</v>
      </c>
      <c r="B2581" s="5">
        <v>52</v>
      </c>
      <c r="C2581" s="5" t="str" cm="1">
        <f t="array" ref="C2581">_xlfn.IFS(worksheet[[#This Row],[age]]&lt;25,"1. Young Adulthood (18-24)",worksheet[[#This Row],[age]]&lt; 35,"2. Early Adulthood (25-34)",worksheet[[#This Row],[age]]&lt; 45,"3. Mid Adulthood (35-44)",worksheet[[#This Row],[age]]&lt; 55,"4. Mature Adulthood (45-54)",TRUE,"5. Late Adulthood/Senior (55+)")</f>
        <v>4. Mature Adulthood (45-54)</v>
      </c>
      <c r="D2581" t="s">
        <v>15</v>
      </c>
      <c r="E2581" t="s">
        <v>16</v>
      </c>
      <c r="F2581" s="4">
        <v>6.18</v>
      </c>
      <c r="G2581" s="5">
        <v>41</v>
      </c>
      <c r="H2581" t="s">
        <v>49</v>
      </c>
      <c r="I2581" t="s">
        <v>57</v>
      </c>
      <c r="J2581" s="6">
        <v>8.99</v>
      </c>
      <c r="K2581">
        <v>1</v>
      </c>
      <c r="L2581" t="s">
        <v>19</v>
      </c>
      <c r="M2581" s="5">
        <v>3</v>
      </c>
      <c r="N2581" s="4">
        <v>0.15</v>
      </c>
      <c r="O2581" t="s">
        <v>47</v>
      </c>
    </row>
    <row r="2582" spans="1:15" x14ac:dyDescent="0.3">
      <c r="A2582" t="s">
        <v>165</v>
      </c>
      <c r="B2582" s="5">
        <v>49</v>
      </c>
      <c r="C2582" s="5" t="str" cm="1">
        <f t="array" ref="C2582">_xlfn.IFS(worksheet[[#This Row],[age]]&lt;25,"1. Young Adulthood (18-24)",worksheet[[#This Row],[age]]&lt; 35,"2. Early Adulthood (25-34)",worksheet[[#This Row],[age]]&lt; 45,"3. Mid Adulthood (35-44)",worksheet[[#This Row],[age]]&lt; 55,"4. Mature Adulthood (45-54)",TRUE,"5. Late Adulthood/Senior (55+)")</f>
        <v>4. Mature Adulthood (45-54)</v>
      </c>
      <c r="D2582" t="s">
        <v>15</v>
      </c>
      <c r="E2582" t="s">
        <v>22</v>
      </c>
      <c r="F2582" s="4">
        <v>5.88</v>
      </c>
      <c r="G2582" s="5">
        <v>40</v>
      </c>
      <c r="H2582" t="s">
        <v>70</v>
      </c>
      <c r="I2582" t="s">
        <v>24</v>
      </c>
      <c r="J2582" s="6">
        <v>13.99</v>
      </c>
      <c r="K2582">
        <v>1</v>
      </c>
      <c r="L2582" t="s">
        <v>29</v>
      </c>
      <c r="M2582" s="5">
        <v>2</v>
      </c>
      <c r="N2582" s="4">
        <v>0.14000000000000001</v>
      </c>
      <c r="O2582" t="s">
        <v>20</v>
      </c>
    </row>
    <row r="2583" spans="1:15" x14ac:dyDescent="0.3">
      <c r="A2583" t="s">
        <v>170</v>
      </c>
      <c r="B2583" s="5">
        <v>53</v>
      </c>
      <c r="C2583" s="5" t="str" cm="1">
        <f t="array" ref="C2583">_xlfn.IFS(worksheet[[#This Row],[age]]&lt;25,"1. Young Adulthood (18-24)",worksheet[[#This Row],[age]]&lt; 35,"2. Early Adulthood (25-34)",worksheet[[#This Row],[age]]&lt; 45,"3. Mid Adulthood (35-44)",worksheet[[#This Row],[age]]&lt; 55,"4. Mature Adulthood (45-54)",TRUE,"5. Late Adulthood/Senior (55+)")</f>
        <v>4. Mature Adulthood (45-54)</v>
      </c>
      <c r="D2583" t="s">
        <v>27</v>
      </c>
      <c r="E2583" t="s">
        <v>32</v>
      </c>
      <c r="F2583" s="4">
        <v>1.36</v>
      </c>
      <c r="G2583" s="5">
        <v>35</v>
      </c>
      <c r="H2583" t="s">
        <v>49</v>
      </c>
      <c r="I2583" t="s">
        <v>24</v>
      </c>
      <c r="J2583" s="6">
        <v>17.989999999999998</v>
      </c>
      <c r="K2583">
        <v>1</v>
      </c>
      <c r="L2583" t="s">
        <v>19</v>
      </c>
      <c r="M2583" s="5">
        <v>2</v>
      </c>
      <c r="N2583" s="4">
        <v>0.04</v>
      </c>
      <c r="O2583" t="s">
        <v>39</v>
      </c>
    </row>
    <row r="2584" spans="1:15" x14ac:dyDescent="0.3">
      <c r="A2584" t="s">
        <v>174</v>
      </c>
      <c r="B2584" s="5">
        <v>54</v>
      </c>
      <c r="C2584" s="5" t="str" cm="1">
        <f t="array" ref="C2584">_xlfn.IFS(worksheet[[#This Row],[age]]&lt;25,"1. Young Adulthood (18-24)",worksheet[[#This Row],[age]]&lt; 35,"2. Early Adulthood (25-34)",worksheet[[#This Row],[age]]&lt; 45,"3. Mid Adulthood (35-44)",worksheet[[#This Row],[age]]&lt; 55,"4. Mature Adulthood (45-54)",TRUE,"5. Late Adulthood/Senior (55+)")</f>
        <v>4. Mature Adulthood (45-54)</v>
      </c>
      <c r="D2584" t="s">
        <v>41</v>
      </c>
      <c r="E2584" t="s">
        <v>16</v>
      </c>
      <c r="F2584" s="4">
        <v>3.13</v>
      </c>
      <c r="G2584" s="5">
        <v>16</v>
      </c>
      <c r="H2584" t="s">
        <v>33</v>
      </c>
      <c r="I2584" t="s">
        <v>18</v>
      </c>
      <c r="J2584" s="6">
        <v>8.99</v>
      </c>
      <c r="K2584">
        <v>1</v>
      </c>
      <c r="L2584" t="s">
        <v>61</v>
      </c>
      <c r="M2584" s="5">
        <v>5</v>
      </c>
      <c r="N2584" s="4">
        <v>0.18</v>
      </c>
      <c r="O2584" t="s">
        <v>30</v>
      </c>
    </row>
    <row r="2585" spans="1:15" x14ac:dyDescent="0.3">
      <c r="A2585" t="s">
        <v>180</v>
      </c>
      <c r="B2585" s="5">
        <v>45</v>
      </c>
      <c r="C2585" s="5" t="str" cm="1">
        <f t="array" ref="C2585">_xlfn.IFS(worksheet[[#This Row],[age]]&lt;25,"1. Young Adulthood (18-24)",worksheet[[#This Row],[age]]&lt; 35,"2. Early Adulthood (25-34)",worksheet[[#This Row],[age]]&lt; 45,"3. Mid Adulthood (35-44)",worksheet[[#This Row],[age]]&lt; 55,"4. Mature Adulthood (45-54)",TRUE,"5. Late Adulthood/Senior (55+)")</f>
        <v>4. Mature Adulthood (45-54)</v>
      </c>
      <c r="D2585" t="s">
        <v>15</v>
      </c>
      <c r="E2585" t="s">
        <v>16</v>
      </c>
      <c r="F2585" s="4">
        <v>3.4</v>
      </c>
      <c r="G2585" s="5">
        <v>27</v>
      </c>
      <c r="H2585" t="s">
        <v>70</v>
      </c>
      <c r="I2585" t="s">
        <v>46</v>
      </c>
      <c r="J2585" s="6">
        <v>8.99</v>
      </c>
      <c r="K2585">
        <v>1</v>
      </c>
      <c r="L2585" t="s">
        <v>29</v>
      </c>
      <c r="M2585" s="5">
        <v>3</v>
      </c>
      <c r="N2585" s="4">
        <v>0.12</v>
      </c>
      <c r="O2585" t="s">
        <v>25</v>
      </c>
    </row>
    <row r="2586" spans="1:15" x14ac:dyDescent="0.3">
      <c r="A2586" t="s">
        <v>181</v>
      </c>
      <c r="B2586" s="5">
        <v>50</v>
      </c>
      <c r="C2586" s="5" t="str" cm="1">
        <f t="array" ref="C2586">_xlfn.IFS(worksheet[[#This Row],[age]]&lt;25,"1. Young Adulthood (18-24)",worksheet[[#This Row],[age]]&lt; 35,"2. Early Adulthood (25-34)",worksheet[[#This Row],[age]]&lt; 45,"3. Mid Adulthood (35-44)",worksheet[[#This Row],[age]]&lt; 55,"4. Mature Adulthood (45-54)",TRUE,"5. Late Adulthood/Senior (55+)")</f>
        <v>4. Mature Adulthood (45-54)</v>
      </c>
      <c r="D2586" t="s">
        <v>15</v>
      </c>
      <c r="E2586" t="s">
        <v>16</v>
      </c>
      <c r="F2586" s="4">
        <v>0.11</v>
      </c>
      <c r="G2586" s="5">
        <v>1</v>
      </c>
      <c r="H2586" t="s">
        <v>49</v>
      </c>
      <c r="I2586" t="s">
        <v>57</v>
      </c>
      <c r="J2586" s="6">
        <v>8.99</v>
      </c>
      <c r="K2586">
        <v>1</v>
      </c>
      <c r="L2586" t="s">
        <v>19</v>
      </c>
      <c r="M2586" s="5">
        <v>2</v>
      </c>
      <c r="N2586" s="4">
        <v>0.06</v>
      </c>
      <c r="O2586" t="s">
        <v>25</v>
      </c>
    </row>
    <row r="2587" spans="1:15" x14ac:dyDescent="0.3">
      <c r="A2587" t="s">
        <v>182</v>
      </c>
      <c r="B2587" s="5">
        <v>47</v>
      </c>
      <c r="C2587" s="5" t="str" cm="1">
        <f t="array" ref="C2587">_xlfn.IFS(worksheet[[#This Row],[age]]&lt;25,"1. Young Adulthood (18-24)",worksheet[[#This Row],[age]]&lt; 35,"2. Early Adulthood (25-34)",worksheet[[#This Row],[age]]&lt; 45,"3. Mid Adulthood (35-44)",worksheet[[#This Row],[age]]&lt; 55,"4. Mature Adulthood (45-54)",TRUE,"5. Late Adulthood/Senior (55+)")</f>
        <v>4. Mature Adulthood (45-54)</v>
      </c>
      <c r="D2587" t="s">
        <v>27</v>
      </c>
      <c r="E2587" t="s">
        <v>22</v>
      </c>
      <c r="F2587" s="4">
        <v>40.119999999999997</v>
      </c>
      <c r="G2587" s="5">
        <v>55</v>
      </c>
      <c r="H2587" t="s">
        <v>17</v>
      </c>
      <c r="I2587" t="s">
        <v>55</v>
      </c>
      <c r="J2587" s="6">
        <v>13.99</v>
      </c>
      <c r="K2587">
        <v>0</v>
      </c>
      <c r="L2587" t="s">
        <v>43</v>
      </c>
      <c r="M2587" s="5">
        <v>1</v>
      </c>
      <c r="N2587" s="4">
        <v>0.72</v>
      </c>
      <c r="O2587" t="s">
        <v>20</v>
      </c>
    </row>
    <row r="2588" spans="1:15" x14ac:dyDescent="0.3">
      <c r="A2588" t="s">
        <v>185</v>
      </c>
      <c r="B2588" s="5">
        <v>48</v>
      </c>
      <c r="C2588" s="5" t="str" cm="1">
        <f t="array" ref="C2588">_xlfn.IFS(worksheet[[#This Row],[age]]&lt;25,"1. Young Adulthood (18-24)",worksheet[[#This Row],[age]]&lt; 35,"2. Early Adulthood (25-34)",worksheet[[#This Row],[age]]&lt; 45,"3. Mid Adulthood (35-44)",worksheet[[#This Row],[age]]&lt; 55,"4. Mature Adulthood (45-54)",TRUE,"5. Late Adulthood/Senior (55+)")</f>
        <v>4. Mature Adulthood (45-54)</v>
      </c>
      <c r="D2588" t="s">
        <v>15</v>
      </c>
      <c r="E2588" t="s">
        <v>32</v>
      </c>
      <c r="F2588" s="4">
        <v>16.78</v>
      </c>
      <c r="G2588" s="5">
        <v>2</v>
      </c>
      <c r="H2588" t="s">
        <v>23</v>
      </c>
      <c r="I2588" t="s">
        <v>24</v>
      </c>
      <c r="J2588" s="6">
        <v>17.989999999999998</v>
      </c>
      <c r="K2588">
        <v>0</v>
      </c>
      <c r="L2588" t="s">
        <v>43</v>
      </c>
      <c r="M2588" s="5">
        <v>1</v>
      </c>
      <c r="N2588" s="4">
        <v>5.59</v>
      </c>
      <c r="O2588" t="s">
        <v>30</v>
      </c>
    </row>
    <row r="2589" spans="1:15" x14ac:dyDescent="0.3">
      <c r="A2589" t="s">
        <v>198</v>
      </c>
      <c r="B2589" s="5">
        <v>51</v>
      </c>
      <c r="C2589" s="5" t="str" cm="1">
        <f t="array" ref="C2589">_xlfn.IFS(worksheet[[#This Row],[age]]&lt;25,"1. Young Adulthood (18-24)",worksheet[[#This Row],[age]]&lt; 35,"2. Early Adulthood (25-34)",worksheet[[#This Row],[age]]&lt; 45,"3. Mid Adulthood (35-44)",worksheet[[#This Row],[age]]&lt; 55,"4. Mature Adulthood (45-54)",TRUE,"5. Late Adulthood/Senior (55+)")</f>
        <v>4. Mature Adulthood (45-54)</v>
      </c>
      <c r="D2589" t="s">
        <v>27</v>
      </c>
      <c r="E2589" t="s">
        <v>32</v>
      </c>
      <c r="F2589" s="4">
        <v>2.04</v>
      </c>
      <c r="G2589" s="5">
        <v>6</v>
      </c>
      <c r="H2589" t="s">
        <v>49</v>
      </c>
      <c r="I2589" t="s">
        <v>18</v>
      </c>
      <c r="J2589" s="6">
        <v>17.989999999999998</v>
      </c>
      <c r="K2589">
        <v>0</v>
      </c>
      <c r="L2589" t="s">
        <v>37</v>
      </c>
      <c r="M2589" s="5">
        <v>2</v>
      </c>
      <c r="N2589" s="4">
        <v>0.28999999999999998</v>
      </c>
      <c r="O2589" t="s">
        <v>30</v>
      </c>
    </row>
    <row r="2590" spans="1:15" x14ac:dyDescent="0.3">
      <c r="A2590" t="s">
        <v>204</v>
      </c>
      <c r="B2590" s="5">
        <v>50</v>
      </c>
      <c r="C2590" s="5" t="str" cm="1">
        <f t="array" ref="C2590">_xlfn.IFS(worksheet[[#This Row],[age]]&lt;25,"1. Young Adulthood (18-24)",worksheet[[#This Row],[age]]&lt; 35,"2. Early Adulthood (25-34)",worksheet[[#This Row],[age]]&lt; 45,"3. Mid Adulthood (35-44)",worksheet[[#This Row],[age]]&lt; 55,"4. Mature Adulthood (45-54)",TRUE,"5. Late Adulthood/Senior (55+)")</f>
        <v>4. Mature Adulthood (45-54)</v>
      </c>
      <c r="D2590" t="s">
        <v>27</v>
      </c>
      <c r="E2590" t="s">
        <v>32</v>
      </c>
      <c r="F2590" s="4">
        <v>7.92</v>
      </c>
      <c r="G2590" s="5">
        <v>58</v>
      </c>
      <c r="H2590" t="s">
        <v>28</v>
      </c>
      <c r="I2590" t="s">
        <v>55</v>
      </c>
      <c r="J2590" s="6">
        <v>17.989999999999998</v>
      </c>
      <c r="K2590">
        <v>1</v>
      </c>
      <c r="L2590" t="s">
        <v>19</v>
      </c>
      <c r="M2590" s="5">
        <v>4</v>
      </c>
      <c r="N2590" s="4">
        <v>0.13</v>
      </c>
      <c r="O2590" t="s">
        <v>30</v>
      </c>
    </row>
    <row r="2591" spans="1:15" x14ac:dyDescent="0.3">
      <c r="A2591" t="s">
        <v>205</v>
      </c>
      <c r="B2591" s="5">
        <v>54</v>
      </c>
      <c r="C2591" s="5" t="str" cm="1">
        <f t="array" ref="C2591">_xlfn.IFS(worksheet[[#This Row],[age]]&lt;25,"1. Young Adulthood (18-24)",worksheet[[#This Row],[age]]&lt; 35,"2. Early Adulthood (25-34)",worksheet[[#This Row],[age]]&lt; 45,"3. Mid Adulthood (35-44)",worksheet[[#This Row],[age]]&lt; 55,"4. Mature Adulthood (45-54)",TRUE,"5. Late Adulthood/Senior (55+)")</f>
        <v>4. Mature Adulthood (45-54)</v>
      </c>
      <c r="D2591" t="s">
        <v>15</v>
      </c>
      <c r="E2591" t="s">
        <v>22</v>
      </c>
      <c r="F2591" s="4">
        <v>10.1</v>
      </c>
      <c r="G2591" s="5">
        <v>40</v>
      </c>
      <c r="H2591" t="s">
        <v>33</v>
      </c>
      <c r="I2591" t="s">
        <v>18</v>
      </c>
      <c r="J2591" s="6">
        <v>13.99</v>
      </c>
      <c r="K2591">
        <v>0</v>
      </c>
      <c r="L2591" t="s">
        <v>43</v>
      </c>
      <c r="M2591" s="5">
        <v>5</v>
      </c>
      <c r="N2591" s="4">
        <v>0.25</v>
      </c>
      <c r="O2591" t="s">
        <v>34</v>
      </c>
    </row>
    <row r="2592" spans="1:15" x14ac:dyDescent="0.3">
      <c r="A2592" t="s">
        <v>210</v>
      </c>
      <c r="B2592" s="5">
        <v>51</v>
      </c>
      <c r="C2592" s="5" t="str" cm="1">
        <f t="array" ref="C2592">_xlfn.IFS(worksheet[[#This Row],[age]]&lt;25,"1. Young Adulthood (18-24)",worksheet[[#This Row],[age]]&lt; 35,"2. Early Adulthood (25-34)",worksheet[[#This Row],[age]]&lt; 45,"3. Mid Adulthood (35-44)",worksheet[[#This Row],[age]]&lt; 55,"4. Mature Adulthood (45-54)",TRUE,"5. Late Adulthood/Senior (55+)")</f>
        <v>4. Mature Adulthood (45-54)</v>
      </c>
      <c r="D2592" t="s">
        <v>27</v>
      </c>
      <c r="E2592" t="s">
        <v>32</v>
      </c>
      <c r="F2592" s="4">
        <v>8.32</v>
      </c>
      <c r="G2592" s="5">
        <v>48</v>
      </c>
      <c r="H2592" t="s">
        <v>23</v>
      </c>
      <c r="I2592" t="s">
        <v>18</v>
      </c>
      <c r="J2592" s="6">
        <v>17.989999999999998</v>
      </c>
      <c r="K2592">
        <v>1</v>
      </c>
      <c r="L2592" t="s">
        <v>61</v>
      </c>
      <c r="M2592" s="5">
        <v>2</v>
      </c>
      <c r="N2592" s="4">
        <v>0.17</v>
      </c>
      <c r="O2592" t="s">
        <v>34</v>
      </c>
    </row>
    <row r="2593" spans="1:15" x14ac:dyDescent="0.3">
      <c r="A2593" t="s">
        <v>228</v>
      </c>
      <c r="B2593" s="5">
        <v>47</v>
      </c>
      <c r="C2593" s="5" t="str" cm="1">
        <f t="array" ref="C2593">_xlfn.IFS(worksheet[[#This Row],[age]]&lt;25,"1. Young Adulthood (18-24)",worksheet[[#This Row],[age]]&lt; 35,"2. Early Adulthood (25-34)",worksheet[[#This Row],[age]]&lt; 45,"3. Mid Adulthood (35-44)",worksheet[[#This Row],[age]]&lt; 55,"4. Mature Adulthood (45-54)",TRUE,"5. Late Adulthood/Senior (55+)")</f>
        <v>4. Mature Adulthood (45-54)</v>
      </c>
      <c r="D2593" t="s">
        <v>41</v>
      </c>
      <c r="E2593" t="s">
        <v>22</v>
      </c>
      <c r="F2593" s="4">
        <v>3.92</v>
      </c>
      <c r="G2593" s="5">
        <v>58</v>
      </c>
      <c r="H2593" t="s">
        <v>17</v>
      </c>
      <c r="I2593" t="s">
        <v>57</v>
      </c>
      <c r="J2593" s="6">
        <v>13.99</v>
      </c>
      <c r="K2593">
        <v>1</v>
      </c>
      <c r="L2593" t="s">
        <v>43</v>
      </c>
      <c r="M2593" s="5">
        <v>5</v>
      </c>
      <c r="N2593" s="4">
        <v>7.0000000000000007E-2</v>
      </c>
      <c r="O2593" t="s">
        <v>34</v>
      </c>
    </row>
    <row r="2594" spans="1:15" x14ac:dyDescent="0.3">
      <c r="A2594" t="s">
        <v>229</v>
      </c>
      <c r="B2594" s="5">
        <v>54</v>
      </c>
      <c r="C2594" s="5" t="str" cm="1">
        <f t="array" ref="C2594">_xlfn.IFS(worksheet[[#This Row],[age]]&lt;25,"1. Young Adulthood (18-24)",worksheet[[#This Row],[age]]&lt; 35,"2. Early Adulthood (25-34)",worksheet[[#This Row],[age]]&lt; 45,"3. Mid Adulthood (35-44)",worksheet[[#This Row],[age]]&lt; 55,"4. Mature Adulthood (45-54)",TRUE,"5. Late Adulthood/Senior (55+)")</f>
        <v>4. Mature Adulthood (45-54)</v>
      </c>
      <c r="D2594" t="s">
        <v>41</v>
      </c>
      <c r="E2594" t="s">
        <v>16</v>
      </c>
      <c r="F2594" s="4">
        <v>24.44</v>
      </c>
      <c r="G2594" s="5">
        <v>28</v>
      </c>
      <c r="H2594" t="s">
        <v>70</v>
      </c>
      <c r="I2594" t="s">
        <v>46</v>
      </c>
      <c r="J2594" s="6">
        <v>8.99</v>
      </c>
      <c r="K2594">
        <v>0</v>
      </c>
      <c r="L2594" t="s">
        <v>19</v>
      </c>
      <c r="M2594" s="5">
        <v>4</v>
      </c>
      <c r="N2594" s="4">
        <v>0.84</v>
      </c>
      <c r="O2594" t="s">
        <v>30</v>
      </c>
    </row>
    <row r="2595" spans="1:15" x14ac:dyDescent="0.3">
      <c r="A2595" t="s">
        <v>231</v>
      </c>
      <c r="B2595" s="5">
        <v>52</v>
      </c>
      <c r="C2595" s="5" t="str" cm="1">
        <f t="array" ref="C2595">_xlfn.IFS(worksheet[[#This Row],[age]]&lt;25,"1. Young Adulthood (18-24)",worksheet[[#This Row],[age]]&lt; 35,"2. Early Adulthood (25-34)",worksheet[[#This Row],[age]]&lt; 45,"3. Mid Adulthood (35-44)",worksheet[[#This Row],[age]]&lt; 55,"4. Mature Adulthood (45-54)",TRUE,"5. Late Adulthood/Senior (55+)")</f>
        <v>4. Mature Adulthood (45-54)</v>
      </c>
      <c r="D2595" t="s">
        <v>41</v>
      </c>
      <c r="E2595" t="s">
        <v>22</v>
      </c>
      <c r="F2595" s="4">
        <v>1.35</v>
      </c>
      <c r="G2595" s="5">
        <v>7</v>
      </c>
      <c r="H2595" t="s">
        <v>28</v>
      </c>
      <c r="I2595" t="s">
        <v>18</v>
      </c>
      <c r="J2595" s="6">
        <v>13.99</v>
      </c>
      <c r="K2595">
        <v>1</v>
      </c>
      <c r="L2595" t="s">
        <v>29</v>
      </c>
      <c r="M2595" s="5">
        <v>1</v>
      </c>
      <c r="N2595" s="4">
        <v>0.17</v>
      </c>
      <c r="O2595" t="s">
        <v>20</v>
      </c>
    </row>
    <row r="2596" spans="1:15" x14ac:dyDescent="0.3">
      <c r="A2596" t="s">
        <v>232</v>
      </c>
      <c r="B2596" s="5">
        <v>53</v>
      </c>
      <c r="C2596" s="5" t="str" cm="1">
        <f t="array" ref="C2596">_xlfn.IFS(worksheet[[#This Row],[age]]&lt;25,"1. Young Adulthood (18-24)",worksheet[[#This Row],[age]]&lt; 35,"2. Early Adulthood (25-34)",worksheet[[#This Row],[age]]&lt; 45,"3. Mid Adulthood (35-44)",worksheet[[#This Row],[age]]&lt; 55,"4. Mature Adulthood (45-54)",TRUE,"5. Late Adulthood/Senior (55+)")</f>
        <v>4. Mature Adulthood (45-54)</v>
      </c>
      <c r="D2596" t="s">
        <v>15</v>
      </c>
      <c r="E2596" t="s">
        <v>32</v>
      </c>
      <c r="F2596" s="4">
        <v>0.25</v>
      </c>
      <c r="G2596" s="5">
        <v>50</v>
      </c>
      <c r="H2596" t="s">
        <v>28</v>
      </c>
      <c r="I2596" t="s">
        <v>57</v>
      </c>
      <c r="J2596" s="6">
        <v>17.989999999999998</v>
      </c>
      <c r="K2596">
        <v>1</v>
      </c>
      <c r="L2596" t="s">
        <v>43</v>
      </c>
      <c r="M2596" s="5">
        <v>1</v>
      </c>
      <c r="N2596" s="4">
        <v>0</v>
      </c>
      <c r="O2596" t="s">
        <v>39</v>
      </c>
    </row>
    <row r="2597" spans="1:15" x14ac:dyDescent="0.3">
      <c r="A2597" t="s">
        <v>247</v>
      </c>
      <c r="B2597" s="5">
        <v>47</v>
      </c>
      <c r="C2597" s="5" t="str" cm="1">
        <f t="array" ref="C2597">_xlfn.IFS(worksheet[[#This Row],[age]]&lt;25,"1. Young Adulthood (18-24)",worksheet[[#This Row],[age]]&lt; 35,"2. Early Adulthood (25-34)",worksheet[[#This Row],[age]]&lt; 45,"3. Mid Adulthood (35-44)",worksheet[[#This Row],[age]]&lt; 55,"4. Mature Adulthood (45-54)",TRUE,"5. Late Adulthood/Senior (55+)")</f>
        <v>4. Mature Adulthood (45-54)</v>
      </c>
      <c r="D2597" t="s">
        <v>15</v>
      </c>
      <c r="E2597" t="s">
        <v>16</v>
      </c>
      <c r="F2597" s="4">
        <v>0.39</v>
      </c>
      <c r="G2597" s="5">
        <v>48</v>
      </c>
      <c r="H2597" t="s">
        <v>49</v>
      </c>
      <c r="I2597" t="s">
        <v>57</v>
      </c>
      <c r="J2597" s="6">
        <v>8.99</v>
      </c>
      <c r="K2597">
        <v>1</v>
      </c>
      <c r="L2597" t="s">
        <v>43</v>
      </c>
      <c r="M2597" s="5">
        <v>5</v>
      </c>
      <c r="N2597" s="4">
        <v>0.01</v>
      </c>
      <c r="O2597" t="s">
        <v>39</v>
      </c>
    </row>
    <row r="2598" spans="1:15" x14ac:dyDescent="0.3">
      <c r="A2598" s="1" t="s">
        <v>249</v>
      </c>
      <c r="B2598" s="5">
        <v>54</v>
      </c>
      <c r="C2598" s="5" t="str" cm="1">
        <f t="array" ref="C2598">_xlfn.IFS(worksheet[[#This Row],[age]]&lt;25,"1. Young Adulthood (18-24)",worksheet[[#This Row],[age]]&lt; 35,"2. Early Adulthood (25-34)",worksheet[[#This Row],[age]]&lt; 45,"3. Mid Adulthood (35-44)",worksheet[[#This Row],[age]]&lt; 55,"4. Mature Adulthood (45-54)",TRUE,"5. Late Adulthood/Senior (55+)")</f>
        <v>4. Mature Adulthood (45-54)</v>
      </c>
      <c r="D2598" t="s">
        <v>15</v>
      </c>
      <c r="E2598" t="s">
        <v>32</v>
      </c>
      <c r="F2598" s="4">
        <v>0.56000000000000005</v>
      </c>
      <c r="G2598" s="5">
        <v>30</v>
      </c>
      <c r="H2598" t="s">
        <v>70</v>
      </c>
      <c r="I2598" t="s">
        <v>57</v>
      </c>
      <c r="J2598" s="6">
        <v>17.989999999999998</v>
      </c>
      <c r="K2598">
        <v>1</v>
      </c>
      <c r="L2598" t="s">
        <v>37</v>
      </c>
      <c r="M2598" s="5">
        <v>2</v>
      </c>
      <c r="N2598" s="4">
        <v>0.02</v>
      </c>
      <c r="O2598" t="s">
        <v>34</v>
      </c>
    </row>
    <row r="2599" spans="1:15" x14ac:dyDescent="0.3">
      <c r="A2599" t="s">
        <v>253</v>
      </c>
      <c r="B2599" s="5">
        <v>51</v>
      </c>
      <c r="C2599" s="5" t="str" cm="1">
        <f t="array" ref="C2599">_xlfn.IFS(worksheet[[#This Row],[age]]&lt;25,"1. Young Adulthood (18-24)",worksheet[[#This Row],[age]]&lt; 35,"2. Early Adulthood (25-34)",worksheet[[#This Row],[age]]&lt; 45,"3. Mid Adulthood (35-44)",worksheet[[#This Row],[age]]&lt; 55,"4. Mature Adulthood (45-54)",TRUE,"5. Late Adulthood/Senior (55+)")</f>
        <v>4. Mature Adulthood (45-54)</v>
      </c>
      <c r="D2599" t="s">
        <v>41</v>
      </c>
      <c r="E2599" t="s">
        <v>16</v>
      </c>
      <c r="F2599" s="4">
        <v>2.17</v>
      </c>
      <c r="G2599" s="5">
        <v>14</v>
      </c>
      <c r="H2599" t="s">
        <v>17</v>
      </c>
      <c r="I2599" t="s">
        <v>57</v>
      </c>
      <c r="J2599" s="6">
        <v>8.99</v>
      </c>
      <c r="K2599">
        <v>1</v>
      </c>
      <c r="L2599" t="s">
        <v>37</v>
      </c>
      <c r="M2599" s="5">
        <v>3</v>
      </c>
      <c r="N2599" s="4">
        <v>0.14000000000000001</v>
      </c>
      <c r="O2599" t="s">
        <v>34</v>
      </c>
    </row>
    <row r="2600" spans="1:15" x14ac:dyDescent="0.3">
      <c r="A2600" t="s">
        <v>260</v>
      </c>
      <c r="B2600" s="5">
        <v>49</v>
      </c>
      <c r="C2600" s="5" t="str" cm="1">
        <f t="array" ref="C2600">_xlfn.IFS(worksheet[[#This Row],[age]]&lt;25,"1. Young Adulthood (18-24)",worksheet[[#This Row],[age]]&lt; 35,"2. Early Adulthood (25-34)",worksheet[[#This Row],[age]]&lt; 45,"3. Mid Adulthood (35-44)",worksheet[[#This Row],[age]]&lt; 55,"4. Mature Adulthood (45-54)",TRUE,"5. Late Adulthood/Senior (55+)")</f>
        <v>4. Mature Adulthood (45-54)</v>
      </c>
      <c r="D2600" t="s">
        <v>15</v>
      </c>
      <c r="E2600" t="s">
        <v>22</v>
      </c>
      <c r="F2600" s="4">
        <v>2.2599999999999998</v>
      </c>
      <c r="G2600" s="5">
        <v>31</v>
      </c>
      <c r="H2600" t="s">
        <v>23</v>
      </c>
      <c r="I2600" t="s">
        <v>46</v>
      </c>
      <c r="J2600" s="6">
        <v>13.99</v>
      </c>
      <c r="K2600">
        <v>1</v>
      </c>
      <c r="L2600" t="s">
        <v>43</v>
      </c>
      <c r="M2600" s="5">
        <v>5</v>
      </c>
      <c r="N2600" s="4">
        <v>7.0000000000000007E-2</v>
      </c>
      <c r="O2600" t="s">
        <v>47</v>
      </c>
    </row>
    <row r="2601" spans="1:15" x14ac:dyDescent="0.3">
      <c r="A2601" t="s">
        <v>263</v>
      </c>
      <c r="B2601" s="5">
        <v>49</v>
      </c>
      <c r="C2601" s="5" t="str" cm="1">
        <f t="array" ref="C2601">_xlfn.IFS(worksheet[[#This Row],[age]]&lt;25,"1. Young Adulthood (18-24)",worksheet[[#This Row],[age]]&lt; 35,"2. Early Adulthood (25-34)",worksheet[[#This Row],[age]]&lt; 45,"3. Mid Adulthood (35-44)",worksheet[[#This Row],[age]]&lt; 55,"4. Mature Adulthood (45-54)",TRUE,"5. Late Adulthood/Senior (55+)")</f>
        <v>4. Mature Adulthood (45-54)</v>
      </c>
      <c r="D2601" t="s">
        <v>15</v>
      </c>
      <c r="E2601" t="s">
        <v>32</v>
      </c>
      <c r="F2601" s="4">
        <v>5.31</v>
      </c>
      <c r="G2601" s="5">
        <v>39</v>
      </c>
      <c r="H2601" t="s">
        <v>23</v>
      </c>
      <c r="I2601" t="s">
        <v>18</v>
      </c>
      <c r="J2601" s="6">
        <v>17.989999999999998</v>
      </c>
      <c r="K2601">
        <v>1</v>
      </c>
      <c r="L2601" t="s">
        <v>61</v>
      </c>
      <c r="M2601" s="5">
        <v>1</v>
      </c>
      <c r="N2601" s="4">
        <v>0.13</v>
      </c>
      <c r="O2601" t="s">
        <v>47</v>
      </c>
    </row>
    <row r="2602" spans="1:15" x14ac:dyDescent="0.3">
      <c r="A2602" t="s">
        <v>265</v>
      </c>
      <c r="B2602" s="5">
        <v>52</v>
      </c>
      <c r="C2602" s="5" t="str" cm="1">
        <f t="array" ref="C2602">_xlfn.IFS(worksheet[[#This Row],[age]]&lt;25,"1. Young Adulthood (18-24)",worksheet[[#This Row],[age]]&lt; 35,"2. Early Adulthood (25-34)",worksheet[[#This Row],[age]]&lt; 45,"3. Mid Adulthood (35-44)",worksheet[[#This Row],[age]]&lt; 55,"4. Mature Adulthood (45-54)",TRUE,"5. Late Adulthood/Senior (55+)")</f>
        <v>4. Mature Adulthood (45-54)</v>
      </c>
      <c r="D2602" t="s">
        <v>27</v>
      </c>
      <c r="E2602" t="s">
        <v>22</v>
      </c>
      <c r="F2602" s="4">
        <v>2.62</v>
      </c>
      <c r="G2602" s="5">
        <v>43</v>
      </c>
      <c r="H2602" t="s">
        <v>49</v>
      </c>
      <c r="I2602" t="s">
        <v>24</v>
      </c>
      <c r="J2602" s="6">
        <v>13.99</v>
      </c>
      <c r="K2602">
        <v>1</v>
      </c>
      <c r="L2602" t="s">
        <v>19</v>
      </c>
      <c r="M2602" s="5">
        <v>5</v>
      </c>
      <c r="N2602" s="4">
        <v>0.06</v>
      </c>
      <c r="O2602" t="s">
        <v>52</v>
      </c>
    </row>
    <row r="2603" spans="1:15" x14ac:dyDescent="0.3">
      <c r="A2603" t="s">
        <v>267</v>
      </c>
      <c r="B2603" s="5">
        <v>50</v>
      </c>
      <c r="C2603" s="5" t="str" cm="1">
        <f t="array" ref="C2603">_xlfn.IFS(worksheet[[#This Row],[age]]&lt;25,"1. Young Adulthood (18-24)",worksheet[[#This Row],[age]]&lt; 35,"2. Early Adulthood (25-34)",worksheet[[#This Row],[age]]&lt; 45,"3. Mid Adulthood (35-44)",worksheet[[#This Row],[age]]&lt; 55,"4. Mature Adulthood (45-54)",TRUE,"5. Late Adulthood/Senior (55+)")</f>
        <v>4. Mature Adulthood (45-54)</v>
      </c>
      <c r="D2603" t="s">
        <v>27</v>
      </c>
      <c r="E2603" t="s">
        <v>22</v>
      </c>
      <c r="F2603" s="4">
        <v>5.0199999999999996</v>
      </c>
      <c r="G2603" s="5">
        <v>47</v>
      </c>
      <c r="H2603" t="s">
        <v>17</v>
      </c>
      <c r="I2603" t="s">
        <v>24</v>
      </c>
      <c r="J2603" s="6">
        <v>13.99</v>
      </c>
      <c r="K2603">
        <v>1</v>
      </c>
      <c r="L2603" t="s">
        <v>29</v>
      </c>
      <c r="M2603" s="5">
        <v>3</v>
      </c>
      <c r="N2603" s="4">
        <v>0.1</v>
      </c>
      <c r="O2603" t="s">
        <v>34</v>
      </c>
    </row>
    <row r="2604" spans="1:15" x14ac:dyDescent="0.3">
      <c r="A2604" t="s">
        <v>272</v>
      </c>
      <c r="B2604" s="5">
        <v>49</v>
      </c>
      <c r="C2604" s="5" t="str" cm="1">
        <f t="array" ref="C2604">_xlfn.IFS(worksheet[[#This Row],[age]]&lt;25,"1. Young Adulthood (18-24)",worksheet[[#This Row],[age]]&lt; 35,"2. Early Adulthood (25-34)",worksheet[[#This Row],[age]]&lt; 45,"3. Mid Adulthood (35-44)",worksheet[[#This Row],[age]]&lt; 55,"4. Mature Adulthood (45-54)",TRUE,"5. Late Adulthood/Senior (55+)")</f>
        <v>4. Mature Adulthood (45-54)</v>
      </c>
      <c r="D2604" t="s">
        <v>27</v>
      </c>
      <c r="E2604" t="s">
        <v>16</v>
      </c>
      <c r="F2604" s="4">
        <v>38.43</v>
      </c>
      <c r="G2604" s="5">
        <v>6</v>
      </c>
      <c r="H2604" t="s">
        <v>33</v>
      </c>
      <c r="I2604" t="s">
        <v>57</v>
      </c>
      <c r="J2604" s="6">
        <v>8.99</v>
      </c>
      <c r="K2604">
        <v>0</v>
      </c>
      <c r="L2604" t="s">
        <v>43</v>
      </c>
      <c r="M2604" s="5">
        <v>3</v>
      </c>
      <c r="N2604" s="4">
        <v>5.49</v>
      </c>
      <c r="O2604" t="s">
        <v>30</v>
      </c>
    </row>
    <row r="2605" spans="1:15" x14ac:dyDescent="0.3">
      <c r="A2605" s="1" t="s">
        <v>274</v>
      </c>
      <c r="B2605" s="5">
        <v>52</v>
      </c>
      <c r="C2605" s="5" t="str" cm="1">
        <f t="array" ref="C2605">_xlfn.IFS(worksheet[[#This Row],[age]]&lt;25,"1. Young Adulthood (18-24)",worksheet[[#This Row],[age]]&lt; 35,"2. Early Adulthood (25-34)",worksheet[[#This Row],[age]]&lt; 45,"3. Mid Adulthood (35-44)",worksheet[[#This Row],[age]]&lt; 55,"4. Mature Adulthood (45-54)",TRUE,"5. Late Adulthood/Senior (55+)")</f>
        <v>4. Mature Adulthood (45-54)</v>
      </c>
      <c r="D2605" t="s">
        <v>15</v>
      </c>
      <c r="E2605" t="s">
        <v>22</v>
      </c>
      <c r="F2605" s="4">
        <v>1.79</v>
      </c>
      <c r="G2605" s="5">
        <v>38</v>
      </c>
      <c r="H2605" t="s">
        <v>17</v>
      </c>
      <c r="I2605" t="s">
        <v>24</v>
      </c>
      <c r="J2605" s="6">
        <v>13.99</v>
      </c>
      <c r="K2605">
        <v>1</v>
      </c>
      <c r="L2605" t="s">
        <v>61</v>
      </c>
      <c r="M2605" s="5">
        <v>1</v>
      </c>
      <c r="N2605" s="4">
        <v>0.05</v>
      </c>
      <c r="O2605" t="s">
        <v>30</v>
      </c>
    </row>
    <row r="2606" spans="1:15" x14ac:dyDescent="0.3">
      <c r="A2606" t="s">
        <v>294</v>
      </c>
      <c r="B2606" s="5">
        <v>49</v>
      </c>
      <c r="C2606" s="5" t="str" cm="1">
        <f t="array" ref="C2606">_xlfn.IFS(worksheet[[#This Row],[age]]&lt;25,"1. Young Adulthood (18-24)",worksheet[[#This Row],[age]]&lt; 35,"2. Early Adulthood (25-34)",worksheet[[#This Row],[age]]&lt; 45,"3. Mid Adulthood (35-44)",worksheet[[#This Row],[age]]&lt; 55,"4. Mature Adulthood (45-54)",TRUE,"5. Late Adulthood/Senior (55+)")</f>
        <v>4. Mature Adulthood (45-54)</v>
      </c>
      <c r="D2606" t="s">
        <v>15</v>
      </c>
      <c r="E2606" t="s">
        <v>22</v>
      </c>
      <c r="F2606" s="4">
        <v>5.0199999999999996</v>
      </c>
      <c r="G2606" s="5">
        <v>26</v>
      </c>
      <c r="H2606" t="s">
        <v>49</v>
      </c>
      <c r="I2606" t="s">
        <v>57</v>
      </c>
      <c r="J2606" s="6">
        <v>13.99</v>
      </c>
      <c r="K2606">
        <v>0</v>
      </c>
      <c r="L2606" t="s">
        <v>61</v>
      </c>
      <c r="M2606" s="5">
        <v>4</v>
      </c>
      <c r="N2606" s="4">
        <v>0.19</v>
      </c>
      <c r="O2606" t="s">
        <v>52</v>
      </c>
    </row>
    <row r="2607" spans="1:15" x14ac:dyDescent="0.3">
      <c r="A2607" t="s">
        <v>296</v>
      </c>
      <c r="B2607" s="5">
        <v>48</v>
      </c>
      <c r="C2607" s="5" t="str" cm="1">
        <f t="array" ref="C2607">_xlfn.IFS(worksheet[[#This Row],[age]]&lt;25,"1. Young Adulthood (18-24)",worksheet[[#This Row],[age]]&lt; 35,"2. Early Adulthood (25-34)",worksheet[[#This Row],[age]]&lt; 45,"3. Mid Adulthood (35-44)",worksheet[[#This Row],[age]]&lt; 55,"4. Mature Adulthood (45-54)",TRUE,"5. Late Adulthood/Senior (55+)")</f>
        <v>4. Mature Adulthood (45-54)</v>
      </c>
      <c r="D2607" t="s">
        <v>27</v>
      </c>
      <c r="E2607" t="s">
        <v>16</v>
      </c>
      <c r="F2607" s="4">
        <v>1.3</v>
      </c>
      <c r="G2607" s="5">
        <v>2</v>
      </c>
      <c r="H2607" t="s">
        <v>49</v>
      </c>
      <c r="I2607" t="s">
        <v>24</v>
      </c>
      <c r="J2607" s="6">
        <v>8.99</v>
      </c>
      <c r="K2607">
        <v>1</v>
      </c>
      <c r="L2607" t="s">
        <v>29</v>
      </c>
      <c r="M2607" s="5">
        <v>4</v>
      </c>
      <c r="N2607" s="4">
        <v>0.43</v>
      </c>
      <c r="O2607" t="s">
        <v>30</v>
      </c>
    </row>
    <row r="2608" spans="1:15" x14ac:dyDescent="0.3">
      <c r="A2608" t="s">
        <v>304</v>
      </c>
      <c r="B2608" s="5">
        <v>47</v>
      </c>
      <c r="C2608" s="5" t="str" cm="1">
        <f t="array" ref="C2608">_xlfn.IFS(worksheet[[#This Row],[age]]&lt;25,"1. Young Adulthood (18-24)",worksheet[[#This Row],[age]]&lt; 35,"2. Early Adulthood (25-34)",worksheet[[#This Row],[age]]&lt; 45,"3. Mid Adulthood (35-44)",worksheet[[#This Row],[age]]&lt; 55,"4. Mature Adulthood (45-54)",TRUE,"5. Late Adulthood/Senior (55+)")</f>
        <v>4. Mature Adulthood (45-54)</v>
      </c>
      <c r="D2608" t="s">
        <v>41</v>
      </c>
      <c r="E2608" t="s">
        <v>22</v>
      </c>
      <c r="F2608" s="4">
        <v>17.12</v>
      </c>
      <c r="G2608" s="5">
        <v>22</v>
      </c>
      <c r="H2608" t="s">
        <v>23</v>
      </c>
      <c r="I2608" t="s">
        <v>55</v>
      </c>
      <c r="J2608" s="6">
        <v>13.99</v>
      </c>
      <c r="K2608">
        <v>0</v>
      </c>
      <c r="L2608" t="s">
        <v>61</v>
      </c>
      <c r="M2608" s="5">
        <v>1</v>
      </c>
      <c r="N2608" s="4">
        <v>0.74</v>
      </c>
      <c r="O2608" t="s">
        <v>52</v>
      </c>
    </row>
    <row r="2609" spans="1:15" x14ac:dyDescent="0.3">
      <c r="A2609" t="s">
        <v>306</v>
      </c>
      <c r="B2609" s="5">
        <v>50</v>
      </c>
      <c r="C2609" s="5" t="str" cm="1">
        <f t="array" ref="C2609">_xlfn.IFS(worksheet[[#This Row],[age]]&lt;25,"1. Young Adulthood (18-24)",worksheet[[#This Row],[age]]&lt; 35,"2. Early Adulthood (25-34)",worksheet[[#This Row],[age]]&lt; 45,"3. Mid Adulthood (35-44)",worksheet[[#This Row],[age]]&lt; 55,"4. Mature Adulthood (45-54)",TRUE,"5. Late Adulthood/Senior (55+)")</f>
        <v>4. Mature Adulthood (45-54)</v>
      </c>
      <c r="D2609" t="s">
        <v>41</v>
      </c>
      <c r="E2609" t="s">
        <v>22</v>
      </c>
      <c r="F2609" s="4">
        <v>7.88</v>
      </c>
      <c r="G2609" s="5">
        <v>43</v>
      </c>
      <c r="H2609" t="s">
        <v>23</v>
      </c>
      <c r="I2609" t="s">
        <v>57</v>
      </c>
      <c r="J2609" s="6">
        <v>13.99</v>
      </c>
      <c r="K2609">
        <v>1</v>
      </c>
      <c r="L2609" t="s">
        <v>29</v>
      </c>
      <c r="M2609" s="5">
        <v>1</v>
      </c>
      <c r="N2609" s="4">
        <v>0.18</v>
      </c>
      <c r="O2609" t="s">
        <v>34</v>
      </c>
    </row>
    <row r="2610" spans="1:15" x14ac:dyDescent="0.3">
      <c r="A2610" t="s">
        <v>309</v>
      </c>
      <c r="B2610" s="5">
        <v>46</v>
      </c>
      <c r="C2610" s="5" t="str" cm="1">
        <f t="array" ref="C2610">_xlfn.IFS(worksheet[[#This Row],[age]]&lt;25,"1. Young Adulthood (18-24)",worksheet[[#This Row],[age]]&lt; 35,"2. Early Adulthood (25-34)",worksheet[[#This Row],[age]]&lt; 45,"3. Mid Adulthood (35-44)",worksheet[[#This Row],[age]]&lt; 55,"4. Mature Adulthood (45-54)",TRUE,"5. Late Adulthood/Senior (55+)")</f>
        <v>4. Mature Adulthood (45-54)</v>
      </c>
      <c r="D2610" t="s">
        <v>41</v>
      </c>
      <c r="E2610" t="s">
        <v>16</v>
      </c>
      <c r="F2610" s="4">
        <v>19.739999999999998</v>
      </c>
      <c r="G2610" s="5">
        <v>20</v>
      </c>
      <c r="H2610" t="s">
        <v>28</v>
      </c>
      <c r="I2610" t="s">
        <v>24</v>
      </c>
      <c r="J2610" s="6">
        <v>8.99</v>
      </c>
      <c r="K2610">
        <v>0</v>
      </c>
      <c r="L2610" t="s">
        <v>37</v>
      </c>
      <c r="M2610" s="5">
        <v>1</v>
      </c>
      <c r="N2610" s="4">
        <v>0.94</v>
      </c>
      <c r="O2610" t="s">
        <v>34</v>
      </c>
    </row>
    <row r="2611" spans="1:15" x14ac:dyDescent="0.3">
      <c r="A2611" t="s">
        <v>310</v>
      </c>
      <c r="B2611" s="5">
        <v>49</v>
      </c>
      <c r="C2611" s="5" t="str" cm="1">
        <f t="array" ref="C2611">_xlfn.IFS(worksheet[[#This Row],[age]]&lt;25,"1. Young Adulthood (18-24)",worksheet[[#This Row],[age]]&lt; 35,"2. Early Adulthood (25-34)",worksheet[[#This Row],[age]]&lt; 45,"3. Mid Adulthood (35-44)",worksheet[[#This Row],[age]]&lt; 55,"4. Mature Adulthood (45-54)",TRUE,"5. Late Adulthood/Senior (55+)")</f>
        <v>4. Mature Adulthood (45-54)</v>
      </c>
      <c r="D2611" t="s">
        <v>15</v>
      </c>
      <c r="E2611" t="s">
        <v>32</v>
      </c>
      <c r="F2611" s="4">
        <v>19.670000000000002</v>
      </c>
      <c r="G2611" s="5">
        <v>54</v>
      </c>
      <c r="H2611" t="s">
        <v>23</v>
      </c>
      <c r="I2611" t="s">
        <v>24</v>
      </c>
      <c r="J2611" s="6">
        <v>17.989999999999998</v>
      </c>
      <c r="K2611">
        <v>0</v>
      </c>
      <c r="L2611" t="s">
        <v>61</v>
      </c>
      <c r="M2611" s="5">
        <v>5</v>
      </c>
      <c r="N2611" s="4">
        <v>0.36</v>
      </c>
      <c r="O2611" t="s">
        <v>52</v>
      </c>
    </row>
    <row r="2612" spans="1:15" x14ac:dyDescent="0.3">
      <c r="A2612" t="s">
        <v>315</v>
      </c>
      <c r="B2612" s="5">
        <v>51</v>
      </c>
      <c r="C2612" s="5" t="str" cm="1">
        <f t="array" ref="C2612">_xlfn.IFS(worksheet[[#This Row],[age]]&lt;25,"1. Young Adulthood (18-24)",worksheet[[#This Row],[age]]&lt; 35,"2. Early Adulthood (25-34)",worksheet[[#This Row],[age]]&lt; 45,"3. Mid Adulthood (35-44)",worksheet[[#This Row],[age]]&lt; 55,"4. Mature Adulthood (45-54)",TRUE,"5. Late Adulthood/Senior (55+)")</f>
        <v>4. Mature Adulthood (45-54)</v>
      </c>
      <c r="D2612" t="s">
        <v>41</v>
      </c>
      <c r="E2612" t="s">
        <v>22</v>
      </c>
      <c r="F2612" s="4">
        <v>2.56</v>
      </c>
      <c r="G2612" s="5">
        <v>53</v>
      </c>
      <c r="H2612" t="s">
        <v>33</v>
      </c>
      <c r="I2612" t="s">
        <v>55</v>
      </c>
      <c r="J2612" s="6">
        <v>13.99</v>
      </c>
      <c r="K2612">
        <v>1</v>
      </c>
      <c r="L2612" t="s">
        <v>43</v>
      </c>
      <c r="M2612" s="5">
        <v>2</v>
      </c>
      <c r="N2612" s="4">
        <v>0.05</v>
      </c>
      <c r="O2612" t="s">
        <v>39</v>
      </c>
    </row>
    <row r="2613" spans="1:15" x14ac:dyDescent="0.3">
      <c r="A2613" t="s">
        <v>321</v>
      </c>
      <c r="B2613" s="5">
        <v>51</v>
      </c>
      <c r="C2613" s="5" t="str" cm="1">
        <f t="array" ref="C2613">_xlfn.IFS(worksheet[[#This Row],[age]]&lt;25,"1. Young Adulthood (18-24)",worksheet[[#This Row],[age]]&lt; 35,"2. Early Adulthood (25-34)",worksheet[[#This Row],[age]]&lt; 45,"3. Mid Adulthood (35-44)",worksheet[[#This Row],[age]]&lt; 55,"4. Mature Adulthood (45-54)",TRUE,"5. Late Adulthood/Senior (55+)")</f>
        <v>4. Mature Adulthood (45-54)</v>
      </c>
      <c r="D2613" t="s">
        <v>15</v>
      </c>
      <c r="E2613" t="s">
        <v>32</v>
      </c>
      <c r="F2613" s="4">
        <v>23.55</v>
      </c>
      <c r="G2613" s="5">
        <v>13</v>
      </c>
      <c r="H2613" t="s">
        <v>49</v>
      </c>
      <c r="I2613" t="s">
        <v>18</v>
      </c>
      <c r="J2613" s="6">
        <v>17.989999999999998</v>
      </c>
      <c r="K2613">
        <v>0</v>
      </c>
      <c r="L2613" t="s">
        <v>61</v>
      </c>
      <c r="M2613" s="5">
        <v>2</v>
      </c>
      <c r="N2613" s="4">
        <v>1.68</v>
      </c>
      <c r="O2613" t="s">
        <v>30</v>
      </c>
    </row>
    <row r="2614" spans="1:15" x14ac:dyDescent="0.3">
      <c r="A2614" t="s">
        <v>322</v>
      </c>
      <c r="B2614" s="5">
        <v>46</v>
      </c>
      <c r="C2614" s="5" t="str" cm="1">
        <f t="array" ref="C2614">_xlfn.IFS(worksheet[[#This Row],[age]]&lt;25,"1. Young Adulthood (18-24)",worksheet[[#This Row],[age]]&lt; 35,"2. Early Adulthood (25-34)",worksheet[[#This Row],[age]]&lt; 45,"3. Mid Adulthood (35-44)",worksheet[[#This Row],[age]]&lt; 55,"4. Mature Adulthood (45-54)",TRUE,"5. Late Adulthood/Senior (55+)")</f>
        <v>4. Mature Adulthood (45-54)</v>
      </c>
      <c r="D2614" t="s">
        <v>27</v>
      </c>
      <c r="E2614" t="s">
        <v>22</v>
      </c>
      <c r="F2614" s="4">
        <v>41.63</v>
      </c>
      <c r="G2614" s="5">
        <v>46</v>
      </c>
      <c r="H2614" t="s">
        <v>49</v>
      </c>
      <c r="I2614" t="s">
        <v>57</v>
      </c>
      <c r="J2614" s="6">
        <v>13.99</v>
      </c>
      <c r="K2614">
        <v>0</v>
      </c>
      <c r="L2614" t="s">
        <v>37</v>
      </c>
      <c r="M2614" s="5">
        <v>4</v>
      </c>
      <c r="N2614" s="4">
        <v>0.89</v>
      </c>
      <c r="O2614" t="s">
        <v>47</v>
      </c>
    </row>
    <row r="2615" spans="1:15" x14ac:dyDescent="0.3">
      <c r="A2615" t="s">
        <v>324</v>
      </c>
      <c r="B2615" s="5">
        <v>50</v>
      </c>
      <c r="C2615" s="5" t="str" cm="1">
        <f t="array" ref="C2615">_xlfn.IFS(worksheet[[#This Row],[age]]&lt;25,"1. Young Adulthood (18-24)",worksheet[[#This Row],[age]]&lt; 35,"2. Early Adulthood (25-34)",worksheet[[#This Row],[age]]&lt; 45,"3. Mid Adulthood (35-44)",worksheet[[#This Row],[age]]&lt; 55,"4. Mature Adulthood (45-54)",TRUE,"5. Late Adulthood/Senior (55+)")</f>
        <v>4. Mature Adulthood (45-54)</v>
      </c>
      <c r="D2615" t="s">
        <v>27</v>
      </c>
      <c r="E2615" t="s">
        <v>32</v>
      </c>
      <c r="F2615" s="4">
        <v>5.41</v>
      </c>
      <c r="G2615" s="5">
        <v>35</v>
      </c>
      <c r="H2615" t="s">
        <v>70</v>
      </c>
      <c r="I2615" t="s">
        <v>55</v>
      </c>
      <c r="J2615" s="6">
        <v>17.989999999999998</v>
      </c>
      <c r="K2615">
        <v>1</v>
      </c>
      <c r="L2615" t="s">
        <v>19</v>
      </c>
      <c r="M2615" s="5">
        <v>4</v>
      </c>
      <c r="N2615" s="4">
        <v>0.15</v>
      </c>
      <c r="O2615" t="s">
        <v>20</v>
      </c>
    </row>
    <row r="2616" spans="1:15" x14ac:dyDescent="0.3">
      <c r="A2616" t="s">
        <v>325</v>
      </c>
      <c r="B2616" s="5">
        <v>54</v>
      </c>
      <c r="C2616" s="5" t="str" cm="1">
        <f t="array" ref="C2616">_xlfn.IFS(worksheet[[#This Row],[age]]&lt;25,"1. Young Adulthood (18-24)",worksheet[[#This Row],[age]]&lt; 35,"2. Early Adulthood (25-34)",worksheet[[#This Row],[age]]&lt; 45,"3. Mid Adulthood (35-44)",worksheet[[#This Row],[age]]&lt; 55,"4. Mature Adulthood (45-54)",TRUE,"5. Late Adulthood/Senior (55+)")</f>
        <v>4. Mature Adulthood (45-54)</v>
      </c>
      <c r="D2616" t="s">
        <v>27</v>
      </c>
      <c r="E2616" t="s">
        <v>22</v>
      </c>
      <c r="F2616" s="4">
        <v>11.79</v>
      </c>
      <c r="G2616" s="5">
        <v>39</v>
      </c>
      <c r="H2616" t="s">
        <v>28</v>
      </c>
      <c r="I2616" t="s">
        <v>46</v>
      </c>
      <c r="J2616" s="6">
        <v>13.99</v>
      </c>
      <c r="K2616">
        <v>1</v>
      </c>
      <c r="L2616" t="s">
        <v>37</v>
      </c>
      <c r="M2616" s="5">
        <v>2</v>
      </c>
      <c r="N2616" s="4">
        <v>0.28999999999999998</v>
      </c>
      <c r="O2616" t="s">
        <v>52</v>
      </c>
    </row>
    <row r="2617" spans="1:15" x14ac:dyDescent="0.3">
      <c r="A2617" t="s">
        <v>337</v>
      </c>
      <c r="B2617" s="5">
        <v>48</v>
      </c>
      <c r="C2617" s="5" t="str" cm="1">
        <f t="array" ref="C2617">_xlfn.IFS(worksheet[[#This Row],[age]]&lt;25,"1. Young Adulthood (18-24)",worksheet[[#This Row],[age]]&lt; 35,"2. Early Adulthood (25-34)",worksheet[[#This Row],[age]]&lt; 45,"3. Mid Adulthood (35-44)",worksheet[[#This Row],[age]]&lt; 55,"4. Mature Adulthood (45-54)",TRUE,"5. Late Adulthood/Senior (55+)")</f>
        <v>4. Mature Adulthood (45-54)</v>
      </c>
      <c r="D2617" t="s">
        <v>15</v>
      </c>
      <c r="E2617" t="s">
        <v>16</v>
      </c>
      <c r="F2617" s="4">
        <v>4.91</v>
      </c>
      <c r="G2617" s="5">
        <v>1</v>
      </c>
      <c r="H2617" t="s">
        <v>70</v>
      </c>
      <c r="I2617" t="s">
        <v>24</v>
      </c>
      <c r="J2617" s="6">
        <v>8.99</v>
      </c>
      <c r="K2617">
        <v>1</v>
      </c>
      <c r="L2617" t="s">
        <v>43</v>
      </c>
      <c r="M2617" s="5">
        <v>1</v>
      </c>
      <c r="N2617" s="4">
        <v>2.46</v>
      </c>
      <c r="O2617" t="s">
        <v>20</v>
      </c>
    </row>
    <row r="2618" spans="1:15" x14ac:dyDescent="0.3">
      <c r="A2618" t="s">
        <v>340</v>
      </c>
      <c r="B2618" s="5">
        <v>52</v>
      </c>
      <c r="C2618" s="5" t="str" cm="1">
        <f t="array" ref="C2618">_xlfn.IFS(worksheet[[#This Row],[age]]&lt;25,"1. Young Adulthood (18-24)",worksheet[[#This Row],[age]]&lt; 35,"2. Early Adulthood (25-34)",worksheet[[#This Row],[age]]&lt; 45,"3. Mid Adulthood (35-44)",worksheet[[#This Row],[age]]&lt; 55,"4. Mature Adulthood (45-54)",TRUE,"5. Late Adulthood/Senior (55+)")</f>
        <v>4. Mature Adulthood (45-54)</v>
      </c>
      <c r="D2618" t="s">
        <v>15</v>
      </c>
      <c r="E2618" t="s">
        <v>32</v>
      </c>
      <c r="F2618" s="4">
        <v>11.5</v>
      </c>
      <c r="G2618" s="5">
        <v>53</v>
      </c>
      <c r="H2618" t="s">
        <v>23</v>
      </c>
      <c r="I2618" t="s">
        <v>18</v>
      </c>
      <c r="J2618" s="6">
        <v>17.989999999999998</v>
      </c>
      <c r="K2618">
        <v>1</v>
      </c>
      <c r="L2618" t="s">
        <v>29</v>
      </c>
      <c r="M2618" s="5">
        <v>5</v>
      </c>
      <c r="N2618" s="4">
        <v>0.21</v>
      </c>
      <c r="O2618" t="s">
        <v>52</v>
      </c>
    </row>
    <row r="2619" spans="1:15" x14ac:dyDescent="0.3">
      <c r="A2619" t="s">
        <v>341</v>
      </c>
      <c r="B2619" s="5">
        <v>50</v>
      </c>
      <c r="C2619" s="5" t="str" cm="1">
        <f t="array" ref="C2619">_xlfn.IFS(worksheet[[#This Row],[age]]&lt;25,"1. Young Adulthood (18-24)",worksheet[[#This Row],[age]]&lt; 35,"2. Early Adulthood (25-34)",worksheet[[#This Row],[age]]&lt; 45,"3. Mid Adulthood (35-44)",worksheet[[#This Row],[age]]&lt; 55,"4. Mature Adulthood (45-54)",TRUE,"5. Late Adulthood/Senior (55+)")</f>
        <v>4. Mature Adulthood (45-54)</v>
      </c>
      <c r="D2619" t="s">
        <v>15</v>
      </c>
      <c r="E2619" t="s">
        <v>22</v>
      </c>
      <c r="F2619" s="4">
        <v>1.49</v>
      </c>
      <c r="G2619" s="5">
        <v>8</v>
      </c>
      <c r="H2619" t="s">
        <v>28</v>
      </c>
      <c r="I2619" t="s">
        <v>46</v>
      </c>
      <c r="J2619" s="6">
        <v>13.99</v>
      </c>
      <c r="K2619">
        <v>0</v>
      </c>
      <c r="L2619" t="s">
        <v>61</v>
      </c>
      <c r="M2619" s="5">
        <v>4</v>
      </c>
      <c r="N2619" s="4">
        <v>0.17</v>
      </c>
      <c r="O2619" t="s">
        <v>52</v>
      </c>
    </row>
    <row r="2620" spans="1:15" x14ac:dyDescent="0.3">
      <c r="A2620" t="s">
        <v>349</v>
      </c>
      <c r="B2620" s="5">
        <v>52</v>
      </c>
      <c r="C2620" s="5" t="str" cm="1">
        <f t="array" ref="C2620">_xlfn.IFS(worksheet[[#This Row],[age]]&lt;25,"1. Young Adulthood (18-24)",worksheet[[#This Row],[age]]&lt; 35,"2. Early Adulthood (25-34)",worksheet[[#This Row],[age]]&lt; 45,"3. Mid Adulthood (35-44)",worksheet[[#This Row],[age]]&lt; 55,"4. Mature Adulthood (45-54)",TRUE,"5. Late Adulthood/Senior (55+)")</f>
        <v>4. Mature Adulthood (45-54)</v>
      </c>
      <c r="D2620" t="s">
        <v>41</v>
      </c>
      <c r="E2620" t="s">
        <v>16</v>
      </c>
      <c r="F2620" s="4">
        <v>0.12</v>
      </c>
      <c r="G2620" s="5">
        <v>25</v>
      </c>
      <c r="H2620" t="s">
        <v>49</v>
      </c>
      <c r="I2620" t="s">
        <v>24</v>
      </c>
      <c r="J2620" s="6">
        <v>8.99</v>
      </c>
      <c r="K2620">
        <v>1</v>
      </c>
      <c r="L2620" t="s">
        <v>19</v>
      </c>
      <c r="M2620" s="5">
        <v>4</v>
      </c>
      <c r="N2620" s="4">
        <v>0</v>
      </c>
      <c r="O2620" t="s">
        <v>52</v>
      </c>
    </row>
    <row r="2621" spans="1:15" x14ac:dyDescent="0.3">
      <c r="A2621" t="s">
        <v>351</v>
      </c>
      <c r="B2621" s="5">
        <v>48</v>
      </c>
      <c r="C2621" s="5" t="str" cm="1">
        <f t="array" ref="C2621">_xlfn.IFS(worksheet[[#This Row],[age]]&lt;25,"1. Young Adulthood (18-24)",worksheet[[#This Row],[age]]&lt; 35,"2. Early Adulthood (25-34)",worksheet[[#This Row],[age]]&lt; 45,"3. Mid Adulthood (35-44)",worksheet[[#This Row],[age]]&lt; 55,"4. Mature Adulthood (45-54)",TRUE,"5. Late Adulthood/Senior (55+)")</f>
        <v>4. Mature Adulthood (45-54)</v>
      </c>
      <c r="D2621" t="s">
        <v>27</v>
      </c>
      <c r="E2621" t="s">
        <v>32</v>
      </c>
      <c r="F2621" s="4">
        <v>16.100000000000001</v>
      </c>
      <c r="G2621" s="5">
        <v>20</v>
      </c>
      <c r="H2621" t="s">
        <v>49</v>
      </c>
      <c r="I2621" t="s">
        <v>24</v>
      </c>
      <c r="J2621" s="6">
        <v>17.989999999999998</v>
      </c>
      <c r="K2621">
        <v>0</v>
      </c>
      <c r="L2621" t="s">
        <v>19</v>
      </c>
      <c r="M2621" s="5">
        <v>4</v>
      </c>
      <c r="N2621" s="4">
        <v>0.77</v>
      </c>
      <c r="O2621" t="s">
        <v>39</v>
      </c>
    </row>
    <row r="2622" spans="1:15" x14ac:dyDescent="0.3">
      <c r="A2622" t="s">
        <v>352</v>
      </c>
      <c r="B2622" s="5">
        <v>49</v>
      </c>
      <c r="C2622" s="5" t="str" cm="1">
        <f t="array" ref="C2622">_xlfn.IFS(worksheet[[#This Row],[age]]&lt;25,"1. Young Adulthood (18-24)",worksheet[[#This Row],[age]]&lt; 35,"2. Early Adulthood (25-34)",worksheet[[#This Row],[age]]&lt; 45,"3. Mid Adulthood (35-44)",worksheet[[#This Row],[age]]&lt; 55,"4. Mature Adulthood (45-54)",TRUE,"5. Late Adulthood/Senior (55+)")</f>
        <v>4. Mature Adulthood (45-54)</v>
      </c>
      <c r="D2622" t="s">
        <v>15</v>
      </c>
      <c r="E2622" t="s">
        <v>32</v>
      </c>
      <c r="F2622" s="4">
        <v>0.65</v>
      </c>
      <c r="G2622" s="5">
        <v>34</v>
      </c>
      <c r="H2622" t="s">
        <v>49</v>
      </c>
      <c r="I2622" t="s">
        <v>46</v>
      </c>
      <c r="J2622" s="6">
        <v>17.989999999999998</v>
      </c>
      <c r="K2622">
        <v>1</v>
      </c>
      <c r="L2622" t="s">
        <v>61</v>
      </c>
      <c r="M2622" s="5">
        <v>3</v>
      </c>
      <c r="N2622" s="4">
        <v>0.02</v>
      </c>
      <c r="O2622" t="s">
        <v>30</v>
      </c>
    </row>
    <row r="2623" spans="1:15" x14ac:dyDescent="0.3">
      <c r="A2623" t="s">
        <v>353</v>
      </c>
      <c r="B2623" s="5">
        <v>52</v>
      </c>
      <c r="C2623" s="5" t="str" cm="1">
        <f t="array" ref="C2623">_xlfn.IFS(worksheet[[#This Row],[age]]&lt;25,"1. Young Adulthood (18-24)",worksheet[[#This Row],[age]]&lt; 35,"2. Early Adulthood (25-34)",worksheet[[#This Row],[age]]&lt; 45,"3. Mid Adulthood (35-44)",worksheet[[#This Row],[age]]&lt; 55,"4. Mature Adulthood (45-54)",TRUE,"5. Late Adulthood/Senior (55+)")</f>
        <v>4. Mature Adulthood (45-54)</v>
      </c>
      <c r="D2623" t="s">
        <v>27</v>
      </c>
      <c r="E2623" t="s">
        <v>16</v>
      </c>
      <c r="F2623" s="4">
        <v>0.3</v>
      </c>
      <c r="G2623" s="5">
        <v>21</v>
      </c>
      <c r="H2623" t="s">
        <v>23</v>
      </c>
      <c r="I2623" t="s">
        <v>24</v>
      </c>
      <c r="J2623" s="6">
        <v>8.99</v>
      </c>
      <c r="K2623">
        <v>1</v>
      </c>
      <c r="L2623" t="s">
        <v>19</v>
      </c>
      <c r="M2623" s="5">
        <v>2</v>
      </c>
      <c r="N2623" s="4">
        <v>0.01</v>
      </c>
      <c r="O2623" t="s">
        <v>34</v>
      </c>
    </row>
    <row r="2624" spans="1:15" x14ac:dyDescent="0.3">
      <c r="A2624" t="s">
        <v>359</v>
      </c>
      <c r="B2624" s="5">
        <v>49</v>
      </c>
      <c r="C2624" s="5" t="str" cm="1">
        <f t="array" ref="C2624">_xlfn.IFS(worksheet[[#This Row],[age]]&lt;25,"1. Young Adulthood (18-24)",worksheet[[#This Row],[age]]&lt; 35,"2. Early Adulthood (25-34)",worksheet[[#This Row],[age]]&lt; 45,"3. Mid Adulthood (35-44)",worksheet[[#This Row],[age]]&lt; 55,"4. Mature Adulthood (45-54)",TRUE,"5. Late Adulthood/Senior (55+)")</f>
        <v>4. Mature Adulthood (45-54)</v>
      </c>
      <c r="D2624" t="s">
        <v>27</v>
      </c>
      <c r="E2624" t="s">
        <v>32</v>
      </c>
      <c r="F2624" s="4">
        <v>5</v>
      </c>
      <c r="G2624" s="5">
        <v>17</v>
      </c>
      <c r="H2624" t="s">
        <v>33</v>
      </c>
      <c r="I2624" t="s">
        <v>24</v>
      </c>
      <c r="J2624" s="6">
        <v>17.989999999999998</v>
      </c>
      <c r="K2624">
        <v>0</v>
      </c>
      <c r="L2624" t="s">
        <v>29</v>
      </c>
      <c r="M2624" s="5">
        <v>1</v>
      </c>
      <c r="N2624" s="4">
        <v>0.28000000000000003</v>
      </c>
      <c r="O2624" t="s">
        <v>30</v>
      </c>
    </row>
    <row r="2625" spans="1:15" x14ac:dyDescent="0.3">
      <c r="A2625" t="s">
        <v>363</v>
      </c>
      <c r="B2625" s="5">
        <v>47</v>
      </c>
      <c r="C2625" s="5" t="str" cm="1">
        <f t="array" ref="C2625">_xlfn.IFS(worksheet[[#This Row],[age]]&lt;25,"1. Young Adulthood (18-24)",worksheet[[#This Row],[age]]&lt; 35,"2. Early Adulthood (25-34)",worksheet[[#This Row],[age]]&lt; 45,"3. Mid Adulthood (35-44)",worksheet[[#This Row],[age]]&lt; 55,"4. Mature Adulthood (45-54)",TRUE,"5. Late Adulthood/Senior (55+)")</f>
        <v>4. Mature Adulthood (45-54)</v>
      </c>
      <c r="D2625" t="s">
        <v>27</v>
      </c>
      <c r="E2625" t="s">
        <v>16</v>
      </c>
      <c r="F2625" s="4">
        <v>17.940000000000001</v>
      </c>
      <c r="G2625" s="5">
        <v>19</v>
      </c>
      <c r="H2625" t="s">
        <v>33</v>
      </c>
      <c r="I2625" t="s">
        <v>57</v>
      </c>
      <c r="J2625" s="6">
        <v>8.99</v>
      </c>
      <c r="K2625">
        <v>0</v>
      </c>
      <c r="L2625" t="s">
        <v>43</v>
      </c>
      <c r="M2625" s="5">
        <v>2</v>
      </c>
      <c r="N2625" s="4">
        <v>0.9</v>
      </c>
      <c r="O2625" t="s">
        <v>20</v>
      </c>
    </row>
    <row r="2626" spans="1:15" x14ac:dyDescent="0.3">
      <c r="A2626" t="s">
        <v>365</v>
      </c>
      <c r="B2626" s="5">
        <v>48</v>
      </c>
      <c r="C2626" s="5" t="str" cm="1">
        <f t="array" ref="C2626">_xlfn.IFS(worksheet[[#This Row],[age]]&lt;25,"1. Young Adulthood (18-24)",worksheet[[#This Row],[age]]&lt; 35,"2. Early Adulthood (25-34)",worksheet[[#This Row],[age]]&lt; 45,"3. Mid Adulthood (35-44)",worksheet[[#This Row],[age]]&lt; 55,"4. Mature Adulthood (45-54)",TRUE,"5. Late Adulthood/Senior (55+)")</f>
        <v>4. Mature Adulthood (45-54)</v>
      </c>
      <c r="D2626" t="s">
        <v>41</v>
      </c>
      <c r="E2626" t="s">
        <v>16</v>
      </c>
      <c r="F2626" s="4">
        <v>3.34</v>
      </c>
      <c r="G2626" s="5">
        <v>1</v>
      </c>
      <c r="H2626" t="s">
        <v>33</v>
      </c>
      <c r="I2626" t="s">
        <v>24</v>
      </c>
      <c r="J2626" s="6">
        <v>8.99</v>
      </c>
      <c r="K2626">
        <v>1</v>
      </c>
      <c r="L2626" t="s">
        <v>61</v>
      </c>
      <c r="M2626" s="5">
        <v>1</v>
      </c>
      <c r="N2626" s="4">
        <v>1.67</v>
      </c>
      <c r="O2626" t="s">
        <v>47</v>
      </c>
    </row>
    <row r="2627" spans="1:15" x14ac:dyDescent="0.3">
      <c r="A2627" t="s">
        <v>369</v>
      </c>
      <c r="B2627" s="5">
        <v>50</v>
      </c>
      <c r="C2627" s="5" t="str" cm="1">
        <f t="array" ref="C2627">_xlfn.IFS(worksheet[[#This Row],[age]]&lt;25,"1. Young Adulthood (18-24)",worksheet[[#This Row],[age]]&lt; 35,"2. Early Adulthood (25-34)",worksheet[[#This Row],[age]]&lt; 45,"3. Mid Adulthood (35-44)",worksheet[[#This Row],[age]]&lt; 55,"4. Mature Adulthood (45-54)",TRUE,"5. Late Adulthood/Senior (55+)")</f>
        <v>4. Mature Adulthood (45-54)</v>
      </c>
      <c r="D2627" t="s">
        <v>27</v>
      </c>
      <c r="E2627" t="s">
        <v>16</v>
      </c>
      <c r="F2627" s="4">
        <v>0.82</v>
      </c>
      <c r="G2627" s="5">
        <v>1</v>
      </c>
      <c r="H2627" t="s">
        <v>70</v>
      </c>
      <c r="I2627" t="s">
        <v>24</v>
      </c>
      <c r="J2627" s="6">
        <v>8.99</v>
      </c>
      <c r="K2627">
        <v>1</v>
      </c>
      <c r="L2627" t="s">
        <v>43</v>
      </c>
      <c r="M2627" s="5">
        <v>5</v>
      </c>
      <c r="N2627" s="4">
        <v>0.41</v>
      </c>
      <c r="O2627" t="s">
        <v>30</v>
      </c>
    </row>
    <row r="2628" spans="1:15" x14ac:dyDescent="0.3">
      <c r="A2628" t="s">
        <v>370</v>
      </c>
      <c r="B2628" s="5">
        <v>49</v>
      </c>
      <c r="C2628" s="5" t="str" cm="1">
        <f t="array" ref="C2628">_xlfn.IFS(worksheet[[#This Row],[age]]&lt;25,"1. Young Adulthood (18-24)",worksheet[[#This Row],[age]]&lt; 35,"2. Early Adulthood (25-34)",worksheet[[#This Row],[age]]&lt; 45,"3. Mid Adulthood (35-44)",worksheet[[#This Row],[age]]&lt; 55,"4. Mature Adulthood (45-54)",TRUE,"5. Late Adulthood/Senior (55+)")</f>
        <v>4. Mature Adulthood (45-54)</v>
      </c>
      <c r="D2628" t="s">
        <v>41</v>
      </c>
      <c r="E2628" t="s">
        <v>16</v>
      </c>
      <c r="F2628" s="4">
        <v>13.95</v>
      </c>
      <c r="G2628" s="5">
        <v>21</v>
      </c>
      <c r="H2628" t="s">
        <v>33</v>
      </c>
      <c r="I2628" t="s">
        <v>46</v>
      </c>
      <c r="J2628" s="6">
        <v>8.99</v>
      </c>
      <c r="K2628">
        <v>0</v>
      </c>
      <c r="L2628" t="s">
        <v>43</v>
      </c>
      <c r="M2628" s="5">
        <v>1</v>
      </c>
      <c r="N2628" s="4">
        <v>0.63</v>
      </c>
      <c r="O2628" t="s">
        <v>25</v>
      </c>
    </row>
    <row r="2629" spans="1:15" x14ac:dyDescent="0.3">
      <c r="A2629" t="s">
        <v>376</v>
      </c>
      <c r="B2629" s="5">
        <v>54</v>
      </c>
      <c r="C2629" s="5" t="str" cm="1">
        <f t="array" ref="C2629">_xlfn.IFS(worksheet[[#This Row],[age]]&lt;25,"1. Young Adulthood (18-24)",worksheet[[#This Row],[age]]&lt; 35,"2. Early Adulthood (25-34)",worksheet[[#This Row],[age]]&lt; 45,"3. Mid Adulthood (35-44)",worksheet[[#This Row],[age]]&lt; 55,"4. Mature Adulthood (45-54)",TRUE,"5. Late Adulthood/Senior (55+)")</f>
        <v>4. Mature Adulthood (45-54)</v>
      </c>
      <c r="D2629" t="s">
        <v>15</v>
      </c>
      <c r="E2629" t="s">
        <v>16</v>
      </c>
      <c r="F2629" s="4">
        <v>7.19</v>
      </c>
      <c r="G2629" s="5">
        <v>56</v>
      </c>
      <c r="H2629" t="s">
        <v>70</v>
      </c>
      <c r="I2629" t="s">
        <v>55</v>
      </c>
      <c r="J2629" s="6">
        <v>8.99</v>
      </c>
      <c r="K2629">
        <v>1</v>
      </c>
      <c r="L2629" t="s">
        <v>19</v>
      </c>
      <c r="M2629" s="5">
        <v>2</v>
      </c>
      <c r="N2629" s="4">
        <v>0.13</v>
      </c>
      <c r="O2629" t="s">
        <v>39</v>
      </c>
    </row>
    <row r="2630" spans="1:15" x14ac:dyDescent="0.3">
      <c r="A2630" t="s">
        <v>380</v>
      </c>
      <c r="B2630" s="5">
        <v>52</v>
      </c>
      <c r="C2630" s="5" t="str" cm="1">
        <f t="array" ref="C2630">_xlfn.IFS(worksheet[[#This Row],[age]]&lt;25,"1. Young Adulthood (18-24)",worksheet[[#This Row],[age]]&lt; 35,"2. Early Adulthood (25-34)",worksheet[[#This Row],[age]]&lt; 45,"3. Mid Adulthood (35-44)",worksheet[[#This Row],[age]]&lt; 55,"4. Mature Adulthood (45-54)",TRUE,"5. Late Adulthood/Senior (55+)")</f>
        <v>4. Mature Adulthood (45-54)</v>
      </c>
      <c r="D2630" t="s">
        <v>15</v>
      </c>
      <c r="E2630" t="s">
        <v>32</v>
      </c>
      <c r="F2630" s="4">
        <v>6.19</v>
      </c>
      <c r="G2630" s="5">
        <v>19</v>
      </c>
      <c r="H2630" t="s">
        <v>28</v>
      </c>
      <c r="I2630" t="s">
        <v>18</v>
      </c>
      <c r="J2630" s="6">
        <v>17.989999999999998</v>
      </c>
      <c r="K2630">
        <v>0</v>
      </c>
      <c r="L2630" t="s">
        <v>19</v>
      </c>
      <c r="M2630" s="5">
        <v>3</v>
      </c>
      <c r="N2630" s="4">
        <v>0.31</v>
      </c>
      <c r="O2630" t="s">
        <v>39</v>
      </c>
    </row>
    <row r="2631" spans="1:15" x14ac:dyDescent="0.3">
      <c r="A2631" t="s">
        <v>381</v>
      </c>
      <c r="B2631" s="5">
        <v>45</v>
      </c>
      <c r="C2631" s="5" t="str" cm="1">
        <f t="array" ref="C2631">_xlfn.IFS(worksheet[[#This Row],[age]]&lt;25,"1. Young Adulthood (18-24)",worksheet[[#This Row],[age]]&lt; 35,"2. Early Adulthood (25-34)",worksheet[[#This Row],[age]]&lt; 45,"3. Mid Adulthood (35-44)",worksheet[[#This Row],[age]]&lt; 55,"4. Mature Adulthood (45-54)",TRUE,"5. Late Adulthood/Senior (55+)")</f>
        <v>4. Mature Adulthood (45-54)</v>
      </c>
      <c r="D2631" t="s">
        <v>41</v>
      </c>
      <c r="E2631" t="s">
        <v>22</v>
      </c>
      <c r="F2631" s="4">
        <v>9.8699999999999992</v>
      </c>
      <c r="G2631" s="5">
        <v>46</v>
      </c>
      <c r="H2631" t="s">
        <v>23</v>
      </c>
      <c r="I2631" t="s">
        <v>55</v>
      </c>
      <c r="J2631" s="6">
        <v>13.99</v>
      </c>
      <c r="K2631">
        <v>0</v>
      </c>
      <c r="L2631" t="s">
        <v>37</v>
      </c>
      <c r="M2631" s="5">
        <v>4</v>
      </c>
      <c r="N2631" s="4">
        <v>0.21</v>
      </c>
      <c r="O2631" t="s">
        <v>47</v>
      </c>
    </row>
    <row r="2632" spans="1:15" x14ac:dyDescent="0.3">
      <c r="A2632" s="1" t="s">
        <v>383</v>
      </c>
      <c r="B2632" s="5">
        <v>49</v>
      </c>
      <c r="C2632" s="5" t="str" cm="1">
        <f t="array" ref="C2632">_xlfn.IFS(worksheet[[#This Row],[age]]&lt;25,"1. Young Adulthood (18-24)",worksheet[[#This Row],[age]]&lt; 35,"2. Early Adulthood (25-34)",worksheet[[#This Row],[age]]&lt; 45,"3. Mid Adulthood (35-44)",worksheet[[#This Row],[age]]&lt; 55,"4. Mature Adulthood (45-54)",TRUE,"5. Late Adulthood/Senior (55+)")</f>
        <v>4. Mature Adulthood (45-54)</v>
      </c>
      <c r="D2632" t="s">
        <v>41</v>
      </c>
      <c r="E2632" t="s">
        <v>16</v>
      </c>
      <c r="F2632" s="4">
        <v>2.89</v>
      </c>
      <c r="G2632" s="5">
        <v>16</v>
      </c>
      <c r="H2632" t="s">
        <v>33</v>
      </c>
      <c r="I2632" t="s">
        <v>46</v>
      </c>
      <c r="J2632" s="6">
        <v>8.99</v>
      </c>
      <c r="K2632">
        <v>1</v>
      </c>
      <c r="L2632" t="s">
        <v>61</v>
      </c>
      <c r="M2632" s="5">
        <v>5</v>
      </c>
      <c r="N2632" s="4">
        <v>0.17</v>
      </c>
      <c r="O2632" t="s">
        <v>30</v>
      </c>
    </row>
    <row r="2633" spans="1:15" x14ac:dyDescent="0.3">
      <c r="A2633" t="s">
        <v>411</v>
      </c>
      <c r="B2633" s="5">
        <v>54</v>
      </c>
      <c r="C2633" s="5" t="str" cm="1">
        <f t="array" ref="C2633">_xlfn.IFS(worksheet[[#This Row],[age]]&lt;25,"1. Young Adulthood (18-24)",worksheet[[#This Row],[age]]&lt; 35,"2. Early Adulthood (25-34)",worksheet[[#This Row],[age]]&lt; 45,"3. Mid Adulthood (35-44)",worksheet[[#This Row],[age]]&lt; 55,"4. Mature Adulthood (45-54)",TRUE,"5. Late Adulthood/Senior (55+)")</f>
        <v>4. Mature Adulthood (45-54)</v>
      </c>
      <c r="D2633" t="s">
        <v>41</v>
      </c>
      <c r="E2633" t="s">
        <v>22</v>
      </c>
      <c r="F2633" s="4">
        <v>8.56</v>
      </c>
      <c r="G2633" s="5">
        <v>33</v>
      </c>
      <c r="H2633" t="s">
        <v>49</v>
      </c>
      <c r="I2633" t="s">
        <v>24</v>
      </c>
      <c r="J2633" s="6">
        <v>13.99</v>
      </c>
      <c r="K2633">
        <v>1</v>
      </c>
      <c r="L2633" t="s">
        <v>19</v>
      </c>
      <c r="M2633" s="5">
        <v>4</v>
      </c>
      <c r="N2633" s="4">
        <v>0.25</v>
      </c>
      <c r="O2633" t="s">
        <v>30</v>
      </c>
    </row>
    <row r="2634" spans="1:15" x14ac:dyDescent="0.3">
      <c r="A2634" t="s">
        <v>413</v>
      </c>
      <c r="B2634" s="5">
        <v>46</v>
      </c>
      <c r="C2634" s="5" t="str" cm="1">
        <f t="array" ref="C2634">_xlfn.IFS(worksheet[[#This Row],[age]]&lt;25,"1. Young Adulthood (18-24)",worksheet[[#This Row],[age]]&lt; 35,"2. Early Adulthood (25-34)",worksheet[[#This Row],[age]]&lt; 45,"3. Mid Adulthood (35-44)",worksheet[[#This Row],[age]]&lt; 55,"4. Mature Adulthood (45-54)",TRUE,"5. Late Adulthood/Senior (55+)")</f>
        <v>4. Mature Adulthood (45-54)</v>
      </c>
      <c r="D2634" t="s">
        <v>27</v>
      </c>
      <c r="E2634" t="s">
        <v>22</v>
      </c>
      <c r="F2634" s="4">
        <v>0.71</v>
      </c>
      <c r="G2634" s="5">
        <v>26</v>
      </c>
      <c r="H2634" t="s">
        <v>70</v>
      </c>
      <c r="I2634" t="s">
        <v>57</v>
      </c>
      <c r="J2634" s="6">
        <v>13.99</v>
      </c>
      <c r="K2634">
        <v>1</v>
      </c>
      <c r="L2634" t="s">
        <v>29</v>
      </c>
      <c r="M2634" s="5">
        <v>5</v>
      </c>
      <c r="N2634" s="4">
        <v>0.03</v>
      </c>
      <c r="O2634" t="s">
        <v>20</v>
      </c>
    </row>
    <row r="2635" spans="1:15" x14ac:dyDescent="0.3">
      <c r="A2635" t="s">
        <v>415</v>
      </c>
      <c r="B2635" s="5">
        <v>48</v>
      </c>
      <c r="C2635" s="5" t="str" cm="1">
        <f t="array" ref="C2635">_xlfn.IFS(worksheet[[#This Row],[age]]&lt;25,"1. Young Adulthood (18-24)",worksheet[[#This Row],[age]]&lt; 35,"2. Early Adulthood (25-34)",worksheet[[#This Row],[age]]&lt; 45,"3. Mid Adulthood (35-44)",worksheet[[#This Row],[age]]&lt; 55,"4. Mature Adulthood (45-54)",TRUE,"5. Late Adulthood/Senior (55+)")</f>
        <v>4. Mature Adulthood (45-54)</v>
      </c>
      <c r="D2635" t="s">
        <v>41</v>
      </c>
      <c r="E2635" t="s">
        <v>16</v>
      </c>
      <c r="F2635" s="4">
        <v>6.52</v>
      </c>
      <c r="G2635" s="5">
        <v>34</v>
      </c>
      <c r="H2635" t="s">
        <v>70</v>
      </c>
      <c r="I2635" t="s">
        <v>57</v>
      </c>
      <c r="J2635" s="6">
        <v>8.99</v>
      </c>
      <c r="K2635">
        <v>1</v>
      </c>
      <c r="L2635" t="s">
        <v>43</v>
      </c>
      <c r="M2635" s="5">
        <v>4</v>
      </c>
      <c r="N2635" s="4">
        <v>0.19</v>
      </c>
      <c r="O2635" t="s">
        <v>47</v>
      </c>
    </row>
    <row r="2636" spans="1:15" x14ac:dyDescent="0.3">
      <c r="A2636" t="s">
        <v>423</v>
      </c>
      <c r="B2636" s="5">
        <v>47</v>
      </c>
      <c r="C2636" s="5" t="str" cm="1">
        <f t="array" ref="C2636">_xlfn.IFS(worksheet[[#This Row],[age]]&lt;25,"1. Young Adulthood (18-24)",worksheet[[#This Row],[age]]&lt; 35,"2. Early Adulthood (25-34)",worksheet[[#This Row],[age]]&lt; 45,"3. Mid Adulthood (35-44)",worksheet[[#This Row],[age]]&lt; 55,"4. Mature Adulthood (45-54)",TRUE,"5. Late Adulthood/Senior (55+)")</f>
        <v>4. Mature Adulthood (45-54)</v>
      </c>
      <c r="D2636" t="s">
        <v>27</v>
      </c>
      <c r="E2636" t="s">
        <v>32</v>
      </c>
      <c r="F2636" s="4">
        <v>11.36</v>
      </c>
      <c r="G2636" s="5">
        <v>13</v>
      </c>
      <c r="H2636" t="s">
        <v>49</v>
      </c>
      <c r="I2636" t="s">
        <v>24</v>
      </c>
      <c r="J2636" s="6">
        <v>17.989999999999998</v>
      </c>
      <c r="K2636">
        <v>0</v>
      </c>
      <c r="L2636" t="s">
        <v>19</v>
      </c>
      <c r="M2636" s="5">
        <v>1</v>
      </c>
      <c r="N2636" s="4">
        <v>0.81</v>
      </c>
      <c r="O2636" t="s">
        <v>34</v>
      </c>
    </row>
    <row r="2637" spans="1:15" x14ac:dyDescent="0.3">
      <c r="A2637" t="s">
        <v>426</v>
      </c>
      <c r="B2637" s="5">
        <v>46</v>
      </c>
      <c r="C2637" s="5" t="str" cm="1">
        <f t="array" ref="C2637">_xlfn.IFS(worksheet[[#This Row],[age]]&lt;25,"1. Young Adulthood (18-24)",worksheet[[#This Row],[age]]&lt; 35,"2. Early Adulthood (25-34)",worksheet[[#This Row],[age]]&lt; 45,"3. Mid Adulthood (35-44)",worksheet[[#This Row],[age]]&lt; 55,"4. Mature Adulthood (45-54)",TRUE,"5. Late Adulthood/Senior (55+)")</f>
        <v>4. Mature Adulthood (45-54)</v>
      </c>
      <c r="D2637" t="s">
        <v>41</v>
      </c>
      <c r="E2637" t="s">
        <v>32</v>
      </c>
      <c r="F2637" s="4">
        <v>3.18</v>
      </c>
      <c r="G2637" s="5">
        <v>11</v>
      </c>
      <c r="H2637" t="s">
        <v>70</v>
      </c>
      <c r="I2637" t="s">
        <v>18</v>
      </c>
      <c r="J2637" s="6">
        <v>17.989999999999998</v>
      </c>
      <c r="K2637">
        <v>1</v>
      </c>
      <c r="L2637" t="s">
        <v>29</v>
      </c>
      <c r="M2637" s="5">
        <v>4</v>
      </c>
      <c r="N2637" s="4">
        <v>0.27</v>
      </c>
      <c r="O2637" t="s">
        <v>25</v>
      </c>
    </row>
    <row r="2638" spans="1:15" x14ac:dyDescent="0.3">
      <c r="A2638" t="s">
        <v>430</v>
      </c>
      <c r="B2638" s="5">
        <v>50</v>
      </c>
      <c r="C2638" s="5" t="str" cm="1">
        <f t="array" ref="C2638">_xlfn.IFS(worksheet[[#This Row],[age]]&lt;25,"1. Young Adulthood (18-24)",worksheet[[#This Row],[age]]&lt; 35,"2. Early Adulthood (25-34)",worksheet[[#This Row],[age]]&lt; 45,"3. Mid Adulthood (35-44)",worksheet[[#This Row],[age]]&lt; 55,"4. Mature Adulthood (45-54)",TRUE,"5. Late Adulthood/Senior (55+)")</f>
        <v>4. Mature Adulthood (45-54)</v>
      </c>
      <c r="D2638" t="s">
        <v>15</v>
      </c>
      <c r="E2638" t="s">
        <v>32</v>
      </c>
      <c r="F2638" s="4">
        <v>13.98</v>
      </c>
      <c r="G2638" s="5">
        <v>56</v>
      </c>
      <c r="H2638" t="s">
        <v>33</v>
      </c>
      <c r="I2638" t="s">
        <v>24</v>
      </c>
      <c r="J2638" s="6">
        <v>17.989999999999998</v>
      </c>
      <c r="K2638">
        <v>1</v>
      </c>
      <c r="L2638" t="s">
        <v>29</v>
      </c>
      <c r="M2638" s="5">
        <v>4</v>
      </c>
      <c r="N2638" s="4">
        <v>0.25</v>
      </c>
      <c r="O2638" t="s">
        <v>34</v>
      </c>
    </row>
    <row r="2639" spans="1:15" x14ac:dyDescent="0.3">
      <c r="A2639" t="s">
        <v>433</v>
      </c>
      <c r="B2639" s="5">
        <v>45</v>
      </c>
      <c r="C2639" s="5" t="str" cm="1">
        <f t="array" ref="C2639">_xlfn.IFS(worksheet[[#This Row],[age]]&lt;25,"1. Young Adulthood (18-24)",worksheet[[#This Row],[age]]&lt; 35,"2. Early Adulthood (25-34)",worksheet[[#This Row],[age]]&lt; 45,"3. Mid Adulthood (35-44)",worksheet[[#This Row],[age]]&lt; 55,"4. Mature Adulthood (45-54)",TRUE,"5. Late Adulthood/Senior (55+)")</f>
        <v>4. Mature Adulthood (45-54)</v>
      </c>
      <c r="D2639" t="s">
        <v>41</v>
      </c>
      <c r="E2639" t="s">
        <v>16</v>
      </c>
      <c r="F2639" s="4">
        <v>4.59</v>
      </c>
      <c r="G2639" s="5">
        <v>47</v>
      </c>
      <c r="H2639" t="s">
        <v>28</v>
      </c>
      <c r="I2639" t="s">
        <v>46</v>
      </c>
      <c r="J2639" s="6">
        <v>8.99</v>
      </c>
      <c r="K2639">
        <v>1</v>
      </c>
      <c r="L2639" t="s">
        <v>19</v>
      </c>
      <c r="M2639" s="5">
        <v>1</v>
      </c>
      <c r="N2639" s="4">
        <v>0.1</v>
      </c>
      <c r="O2639" t="s">
        <v>25</v>
      </c>
    </row>
    <row r="2640" spans="1:15" x14ac:dyDescent="0.3">
      <c r="A2640" t="s">
        <v>439</v>
      </c>
      <c r="B2640" s="5">
        <v>48</v>
      </c>
      <c r="C2640" s="5" t="str" cm="1">
        <f t="array" ref="C2640">_xlfn.IFS(worksheet[[#This Row],[age]]&lt;25,"1. Young Adulthood (18-24)",worksheet[[#This Row],[age]]&lt; 35,"2. Early Adulthood (25-34)",worksheet[[#This Row],[age]]&lt; 45,"3. Mid Adulthood (35-44)",worksheet[[#This Row],[age]]&lt; 55,"4. Mature Adulthood (45-54)",TRUE,"5. Late Adulthood/Senior (55+)")</f>
        <v>4. Mature Adulthood (45-54)</v>
      </c>
      <c r="D2640" t="s">
        <v>15</v>
      </c>
      <c r="E2640" t="s">
        <v>32</v>
      </c>
      <c r="F2640" s="4">
        <v>26.34</v>
      </c>
      <c r="G2640" s="5">
        <v>40</v>
      </c>
      <c r="H2640" t="s">
        <v>17</v>
      </c>
      <c r="I2640" t="s">
        <v>18</v>
      </c>
      <c r="J2640" s="6">
        <v>17.989999999999998</v>
      </c>
      <c r="K2640">
        <v>0</v>
      </c>
      <c r="L2640" t="s">
        <v>29</v>
      </c>
      <c r="M2640" s="5">
        <v>2</v>
      </c>
      <c r="N2640" s="4">
        <v>0.64</v>
      </c>
      <c r="O2640" t="s">
        <v>39</v>
      </c>
    </row>
    <row r="2641" spans="1:15" x14ac:dyDescent="0.3">
      <c r="A2641" t="s">
        <v>446</v>
      </c>
      <c r="B2641" s="5">
        <v>49</v>
      </c>
      <c r="C2641" s="5" t="str" cm="1">
        <f t="array" ref="C2641">_xlfn.IFS(worksheet[[#This Row],[age]]&lt;25,"1. Young Adulthood (18-24)",worksheet[[#This Row],[age]]&lt; 35,"2. Early Adulthood (25-34)",worksheet[[#This Row],[age]]&lt; 45,"3. Mid Adulthood (35-44)",worksheet[[#This Row],[age]]&lt; 55,"4. Mature Adulthood (45-54)",TRUE,"5. Late Adulthood/Senior (55+)")</f>
        <v>4. Mature Adulthood (45-54)</v>
      </c>
      <c r="D2641" t="s">
        <v>27</v>
      </c>
      <c r="E2641" t="s">
        <v>32</v>
      </c>
      <c r="F2641" s="4">
        <v>20.88</v>
      </c>
      <c r="G2641" s="5">
        <v>41</v>
      </c>
      <c r="H2641" t="s">
        <v>49</v>
      </c>
      <c r="I2641" t="s">
        <v>18</v>
      </c>
      <c r="J2641" s="6">
        <v>17.989999999999998</v>
      </c>
      <c r="K2641">
        <v>0</v>
      </c>
      <c r="L2641" t="s">
        <v>29</v>
      </c>
      <c r="M2641" s="5">
        <v>3</v>
      </c>
      <c r="N2641" s="4">
        <v>0.5</v>
      </c>
      <c r="O2641" t="s">
        <v>34</v>
      </c>
    </row>
    <row r="2642" spans="1:15" x14ac:dyDescent="0.3">
      <c r="A2642" t="s">
        <v>447</v>
      </c>
      <c r="B2642" s="5">
        <v>50</v>
      </c>
      <c r="C2642" s="5" t="str" cm="1">
        <f t="array" ref="C2642">_xlfn.IFS(worksheet[[#This Row],[age]]&lt;25,"1. Young Adulthood (18-24)",worksheet[[#This Row],[age]]&lt; 35,"2. Early Adulthood (25-34)",worksheet[[#This Row],[age]]&lt; 45,"3. Mid Adulthood (35-44)",worksheet[[#This Row],[age]]&lt; 55,"4. Mature Adulthood (45-54)",TRUE,"5. Late Adulthood/Senior (55+)")</f>
        <v>4. Mature Adulthood (45-54)</v>
      </c>
      <c r="D2642" t="s">
        <v>15</v>
      </c>
      <c r="E2642" t="s">
        <v>16</v>
      </c>
      <c r="F2642" s="4">
        <v>7.35</v>
      </c>
      <c r="G2642" s="5">
        <v>26</v>
      </c>
      <c r="H2642" t="s">
        <v>70</v>
      </c>
      <c r="I2642" t="s">
        <v>46</v>
      </c>
      <c r="J2642" s="6">
        <v>8.99</v>
      </c>
      <c r="K2642">
        <v>0</v>
      </c>
      <c r="L2642" t="s">
        <v>37</v>
      </c>
      <c r="M2642" s="5">
        <v>3</v>
      </c>
      <c r="N2642" s="4">
        <v>0.27</v>
      </c>
      <c r="O2642" t="s">
        <v>30</v>
      </c>
    </row>
    <row r="2643" spans="1:15" x14ac:dyDescent="0.3">
      <c r="A2643" t="s">
        <v>491</v>
      </c>
      <c r="B2643" s="5">
        <v>47</v>
      </c>
      <c r="C2643" s="5" t="str" cm="1">
        <f t="array" ref="C2643">_xlfn.IFS(worksheet[[#This Row],[age]]&lt;25,"1. Young Adulthood (18-24)",worksheet[[#This Row],[age]]&lt; 35,"2. Early Adulthood (25-34)",worksheet[[#This Row],[age]]&lt; 45,"3. Mid Adulthood (35-44)",worksheet[[#This Row],[age]]&lt; 55,"4. Mature Adulthood (45-54)",TRUE,"5. Late Adulthood/Senior (55+)")</f>
        <v>4. Mature Adulthood (45-54)</v>
      </c>
      <c r="D2643" t="s">
        <v>15</v>
      </c>
      <c r="E2643" t="s">
        <v>22</v>
      </c>
      <c r="F2643" s="4">
        <v>8.67</v>
      </c>
      <c r="G2643" s="5">
        <v>41</v>
      </c>
      <c r="H2643" t="s">
        <v>70</v>
      </c>
      <c r="I2643" t="s">
        <v>46</v>
      </c>
      <c r="J2643" s="6">
        <v>13.99</v>
      </c>
      <c r="K2643">
        <v>1</v>
      </c>
      <c r="L2643" t="s">
        <v>43</v>
      </c>
      <c r="M2643" s="5">
        <v>2</v>
      </c>
      <c r="N2643" s="4">
        <v>0.21</v>
      </c>
      <c r="O2643" t="s">
        <v>25</v>
      </c>
    </row>
    <row r="2644" spans="1:15" x14ac:dyDescent="0.3">
      <c r="A2644" t="s">
        <v>498</v>
      </c>
      <c r="B2644" s="5">
        <v>48</v>
      </c>
      <c r="C2644" s="5" t="str" cm="1">
        <f t="array" ref="C2644">_xlfn.IFS(worksheet[[#This Row],[age]]&lt;25,"1. Young Adulthood (18-24)",worksheet[[#This Row],[age]]&lt; 35,"2. Early Adulthood (25-34)",worksheet[[#This Row],[age]]&lt; 45,"3. Mid Adulthood (35-44)",worksheet[[#This Row],[age]]&lt; 55,"4. Mature Adulthood (45-54)",TRUE,"5. Late Adulthood/Senior (55+)")</f>
        <v>4. Mature Adulthood (45-54)</v>
      </c>
      <c r="D2644" t="s">
        <v>41</v>
      </c>
      <c r="E2644" t="s">
        <v>22</v>
      </c>
      <c r="F2644" s="4">
        <v>29.96</v>
      </c>
      <c r="G2644" s="5">
        <v>44</v>
      </c>
      <c r="H2644" t="s">
        <v>23</v>
      </c>
      <c r="I2644" t="s">
        <v>46</v>
      </c>
      <c r="J2644" s="6">
        <v>13.99</v>
      </c>
      <c r="K2644">
        <v>0</v>
      </c>
      <c r="L2644" t="s">
        <v>29</v>
      </c>
      <c r="M2644" s="5">
        <v>5</v>
      </c>
      <c r="N2644" s="4">
        <v>0.67</v>
      </c>
      <c r="O2644" t="s">
        <v>25</v>
      </c>
    </row>
    <row r="2645" spans="1:15" x14ac:dyDescent="0.3">
      <c r="A2645" t="s">
        <v>499</v>
      </c>
      <c r="B2645" s="5">
        <v>45</v>
      </c>
      <c r="C2645" s="5" t="str" cm="1">
        <f t="array" ref="C2645">_xlfn.IFS(worksheet[[#This Row],[age]]&lt;25,"1. Young Adulthood (18-24)",worksheet[[#This Row],[age]]&lt; 35,"2. Early Adulthood (25-34)",worksheet[[#This Row],[age]]&lt; 45,"3. Mid Adulthood (35-44)",worksheet[[#This Row],[age]]&lt; 55,"4. Mature Adulthood (45-54)",TRUE,"5. Late Adulthood/Senior (55+)")</f>
        <v>4. Mature Adulthood (45-54)</v>
      </c>
      <c r="D2645" t="s">
        <v>27</v>
      </c>
      <c r="E2645" t="s">
        <v>32</v>
      </c>
      <c r="F2645" s="4">
        <v>8.0500000000000007</v>
      </c>
      <c r="G2645" s="5">
        <v>54</v>
      </c>
      <c r="H2645" t="s">
        <v>17</v>
      </c>
      <c r="I2645" t="s">
        <v>18</v>
      </c>
      <c r="J2645" s="6">
        <v>17.989999999999998</v>
      </c>
      <c r="K2645">
        <v>1</v>
      </c>
      <c r="L2645" t="s">
        <v>29</v>
      </c>
      <c r="M2645" s="5">
        <v>3</v>
      </c>
      <c r="N2645" s="4">
        <v>0.15</v>
      </c>
      <c r="O2645" t="s">
        <v>20</v>
      </c>
    </row>
    <row r="2646" spans="1:15" x14ac:dyDescent="0.3">
      <c r="A2646" t="s">
        <v>504</v>
      </c>
      <c r="B2646" s="5">
        <v>48</v>
      </c>
      <c r="C2646" s="5" t="str" cm="1">
        <f t="array" ref="C2646">_xlfn.IFS(worksheet[[#This Row],[age]]&lt;25,"1. Young Adulthood (18-24)",worksheet[[#This Row],[age]]&lt; 35,"2. Early Adulthood (25-34)",worksheet[[#This Row],[age]]&lt; 45,"3. Mid Adulthood (35-44)",worksheet[[#This Row],[age]]&lt; 55,"4. Mature Adulthood (45-54)",TRUE,"5. Late Adulthood/Senior (55+)")</f>
        <v>4. Mature Adulthood (45-54)</v>
      </c>
      <c r="D2646" t="s">
        <v>27</v>
      </c>
      <c r="E2646" t="s">
        <v>22</v>
      </c>
      <c r="F2646" s="4">
        <v>4.1900000000000004</v>
      </c>
      <c r="G2646" s="5">
        <v>0</v>
      </c>
      <c r="H2646" t="s">
        <v>23</v>
      </c>
      <c r="I2646" t="s">
        <v>57</v>
      </c>
      <c r="J2646" s="6">
        <v>13.99</v>
      </c>
      <c r="K2646">
        <v>0</v>
      </c>
      <c r="L2646" t="s">
        <v>19</v>
      </c>
      <c r="M2646" s="5">
        <v>2</v>
      </c>
      <c r="N2646" s="4">
        <v>4.1900000000000004</v>
      </c>
      <c r="O2646" t="s">
        <v>52</v>
      </c>
    </row>
    <row r="2647" spans="1:15" x14ac:dyDescent="0.3">
      <c r="A2647" t="s">
        <v>517</v>
      </c>
      <c r="B2647" s="5">
        <v>54</v>
      </c>
      <c r="C2647" s="5" t="str" cm="1">
        <f t="array" ref="C2647">_xlfn.IFS(worksheet[[#This Row],[age]]&lt;25,"1. Young Adulthood (18-24)",worksheet[[#This Row],[age]]&lt; 35,"2. Early Adulthood (25-34)",worksheet[[#This Row],[age]]&lt; 45,"3. Mid Adulthood (35-44)",worksheet[[#This Row],[age]]&lt; 55,"4. Mature Adulthood (45-54)",TRUE,"5. Late Adulthood/Senior (55+)")</f>
        <v>4. Mature Adulthood (45-54)</v>
      </c>
      <c r="D2647" t="s">
        <v>15</v>
      </c>
      <c r="E2647" t="s">
        <v>32</v>
      </c>
      <c r="F2647" s="4">
        <v>14.2</v>
      </c>
      <c r="G2647" s="5">
        <v>6</v>
      </c>
      <c r="H2647" t="s">
        <v>23</v>
      </c>
      <c r="I2647" t="s">
        <v>46</v>
      </c>
      <c r="J2647" s="6">
        <v>17.989999999999998</v>
      </c>
      <c r="K2647">
        <v>0</v>
      </c>
      <c r="L2647" t="s">
        <v>29</v>
      </c>
      <c r="M2647" s="5">
        <v>5</v>
      </c>
      <c r="N2647" s="4">
        <v>2.0299999999999998</v>
      </c>
      <c r="O2647" t="s">
        <v>39</v>
      </c>
    </row>
    <row r="2648" spans="1:15" x14ac:dyDescent="0.3">
      <c r="A2648" t="s">
        <v>529</v>
      </c>
      <c r="B2648" s="5">
        <v>49</v>
      </c>
      <c r="C2648" s="5" t="str" cm="1">
        <f t="array" ref="C2648">_xlfn.IFS(worksheet[[#This Row],[age]]&lt;25,"1. Young Adulthood (18-24)",worksheet[[#This Row],[age]]&lt; 35,"2. Early Adulthood (25-34)",worksheet[[#This Row],[age]]&lt; 45,"3. Mid Adulthood (35-44)",worksheet[[#This Row],[age]]&lt; 55,"4. Mature Adulthood (45-54)",TRUE,"5. Late Adulthood/Senior (55+)")</f>
        <v>4. Mature Adulthood (45-54)</v>
      </c>
      <c r="D2648" t="s">
        <v>27</v>
      </c>
      <c r="E2648" t="s">
        <v>16</v>
      </c>
      <c r="F2648" s="4">
        <v>4.49</v>
      </c>
      <c r="G2648" s="5">
        <v>57</v>
      </c>
      <c r="H2648" t="s">
        <v>49</v>
      </c>
      <c r="I2648" t="s">
        <v>57</v>
      </c>
      <c r="J2648" s="6">
        <v>8.99</v>
      </c>
      <c r="K2648">
        <v>1</v>
      </c>
      <c r="L2648" t="s">
        <v>29</v>
      </c>
      <c r="M2648" s="5">
        <v>5</v>
      </c>
      <c r="N2648" s="4">
        <v>0.08</v>
      </c>
      <c r="O2648" t="s">
        <v>52</v>
      </c>
    </row>
    <row r="2649" spans="1:15" x14ac:dyDescent="0.3">
      <c r="A2649" t="s">
        <v>535</v>
      </c>
      <c r="B2649" s="5">
        <v>45</v>
      </c>
      <c r="C2649" s="5" t="str" cm="1">
        <f t="array" ref="C2649">_xlfn.IFS(worksheet[[#This Row],[age]]&lt;25,"1. Young Adulthood (18-24)",worksheet[[#This Row],[age]]&lt; 35,"2. Early Adulthood (25-34)",worksheet[[#This Row],[age]]&lt; 45,"3. Mid Adulthood (35-44)",worksheet[[#This Row],[age]]&lt; 55,"4. Mature Adulthood (45-54)",TRUE,"5. Late Adulthood/Senior (55+)")</f>
        <v>4. Mature Adulthood (45-54)</v>
      </c>
      <c r="D2649" t="s">
        <v>41</v>
      </c>
      <c r="E2649" t="s">
        <v>32</v>
      </c>
      <c r="F2649" s="4">
        <v>3.31</v>
      </c>
      <c r="G2649" s="5">
        <v>34</v>
      </c>
      <c r="H2649" t="s">
        <v>33</v>
      </c>
      <c r="I2649" t="s">
        <v>57</v>
      </c>
      <c r="J2649" s="6">
        <v>17.989999999999998</v>
      </c>
      <c r="K2649">
        <v>1</v>
      </c>
      <c r="L2649" t="s">
        <v>19</v>
      </c>
      <c r="M2649" s="5">
        <v>2</v>
      </c>
      <c r="N2649" s="4">
        <v>0.09</v>
      </c>
      <c r="O2649" t="s">
        <v>30</v>
      </c>
    </row>
    <row r="2650" spans="1:15" x14ac:dyDescent="0.3">
      <c r="A2650" t="s">
        <v>539</v>
      </c>
      <c r="B2650" s="5">
        <v>54</v>
      </c>
      <c r="C2650" s="5" t="str" cm="1">
        <f t="array" ref="C2650">_xlfn.IFS(worksheet[[#This Row],[age]]&lt;25,"1. Young Adulthood (18-24)",worksheet[[#This Row],[age]]&lt; 35,"2. Early Adulthood (25-34)",worksheet[[#This Row],[age]]&lt; 45,"3. Mid Adulthood (35-44)",worksheet[[#This Row],[age]]&lt; 55,"4. Mature Adulthood (45-54)",TRUE,"5. Late Adulthood/Senior (55+)")</f>
        <v>4. Mature Adulthood (45-54)</v>
      </c>
      <c r="D2650" t="s">
        <v>41</v>
      </c>
      <c r="E2650" t="s">
        <v>16</v>
      </c>
      <c r="F2650" s="4">
        <v>5.47</v>
      </c>
      <c r="G2650" s="5">
        <v>36</v>
      </c>
      <c r="H2650" t="s">
        <v>49</v>
      </c>
      <c r="I2650" t="s">
        <v>24</v>
      </c>
      <c r="J2650" s="6">
        <v>8.99</v>
      </c>
      <c r="K2650">
        <v>1</v>
      </c>
      <c r="L2650" t="s">
        <v>61</v>
      </c>
      <c r="M2650" s="5">
        <v>1</v>
      </c>
      <c r="N2650" s="4">
        <v>0.15</v>
      </c>
      <c r="O2650" t="s">
        <v>47</v>
      </c>
    </row>
    <row r="2651" spans="1:15" x14ac:dyDescent="0.3">
      <c r="A2651" t="s">
        <v>541</v>
      </c>
      <c r="B2651" s="5">
        <v>53</v>
      </c>
      <c r="C2651" s="5" t="str" cm="1">
        <f t="array" ref="C2651">_xlfn.IFS(worksheet[[#This Row],[age]]&lt;25,"1. Young Adulthood (18-24)",worksheet[[#This Row],[age]]&lt; 35,"2. Early Adulthood (25-34)",worksheet[[#This Row],[age]]&lt; 45,"3. Mid Adulthood (35-44)",worksheet[[#This Row],[age]]&lt; 55,"4. Mature Adulthood (45-54)",TRUE,"5. Late Adulthood/Senior (55+)")</f>
        <v>4. Mature Adulthood (45-54)</v>
      </c>
      <c r="D2651" t="s">
        <v>41</v>
      </c>
      <c r="E2651" t="s">
        <v>22</v>
      </c>
      <c r="F2651" s="4">
        <v>16.62</v>
      </c>
      <c r="G2651" s="5">
        <v>44</v>
      </c>
      <c r="H2651" t="s">
        <v>17</v>
      </c>
      <c r="I2651" t="s">
        <v>18</v>
      </c>
      <c r="J2651" s="6">
        <v>13.99</v>
      </c>
      <c r="K2651">
        <v>0</v>
      </c>
      <c r="L2651" t="s">
        <v>43</v>
      </c>
      <c r="M2651" s="5">
        <v>5</v>
      </c>
      <c r="N2651" s="4">
        <v>0.37</v>
      </c>
      <c r="O2651" t="s">
        <v>30</v>
      </c>
    </row>
    <row r="2652" spans="1:15" x14ac:dyDescent="0.3">
      <c r="A2652" t="s">
        <v>561</v>
      </c>
      <c r="B2652" s="5">
        <v>49</v>
      </c>
      <c r="C2652" s="5" t="str" cm="1">
        <f t="array" ref="C2652">_xlfn.IFS(worksheet[[#This Row],[age]]&lt;25,"1. Young Adulthood (18-24)",worksheet[[#This Row],[age]]&lt; 35,"2. Early Adulthood (25-34)",worksheet[[#This Row],[age]]&lt; 45,"3. Mid Adulthood (35-44)",worksheet[[#This Row],[age]]&lt; 55,"4. Mature Adulthood (45-54)",TRUE,"5. Late Adulthood/Senior (55+)")</f>
        <v>4. Mature Adulthood (45-54)</v>
      </c>
      <c r="D2652" t="s">
        <v>27</v>
      </c>
      <c r="E2652" t="s">
        <v>22</v>
      </c>
      <c r="F2652" s="4">
        <v>11.06</v>
      </c>
      <c r="G2652" s="5">
        <v>50</v>
      </c>
      <c r="H2652" t="s">
        <v>23</v>
      </c>
      <c r="I2652" t="s">
        <v>57</v>
      </c>
      <c r="J2652" s="6">
        <v>13.99</v>
      </c>
      <c r="K2652">
        <v>1</v>
      </c>
      <c r="L2652" t="s">
        <v>43</v>
      </c>
      <c r="M2652" s="5">
        <v>3</v>
      </c>
      <c r="N2652" s="4">
        <v>0.22</v>
      </c>
      <c r="O2652" t="s">
        <v>52</v>
      </c>
    </row>
    <row r="2653" spans="1:15" x14ac:dyDescent="0.3">
      <c r="A2653" t="s">
        <v>582</v>
      </c>
      <c r="B2653" s="5">
        <v>54</v>
      </c>
      <c r="C2653" s="5" t="str" cm="1">
        <f t="array" ref="C2653">_xlfn.IFS(worksheet[[#This Row],[age]]&lt;25,"1. Young Adulthood (18-24)",worksheet[[#This Row],[age]]&lt; 35,"2. Early Adulthood (25-34)",worksheet[[#This Row],[age]]&lt; 45,"3. Mid Adulthood (35-44)",worksheet[[#This Row],[age]]&lt; 55,"4. Mature Adulthood (45-54)",TRUE,"5. Late Adulthood/Senior (55+)")</f>
        <v>4. Mature Adulthood (45-54)</v>
      </c>
      <c r="D2653" t="s">
        <v>27</v>
      </c>
      <c r="E2653" t="s">
        <v>22</v>
      </c>
      <c r="F2653" s="4">
        <v>21.67</v>
      </c>
      <c r="G2653" s="5">
        <v>18</v>
      </c>
      <c r="H2653" t="s">
        <v>17</v>
      </c>
      <c r="I2653" t="s">
        <v>18</v>
      </c>
      <c r="J2653" s="6">
        <v>13.99</v>
      </c>
      <c r="K2653">
        <v>0</v>
      </c>
      <c r="L2653" t="s">
        <v>19</v>
      </c>
      <c r="M2653" s="5">
        <v>3</v>
      </c>
      <c r="N2653" s="4">
        <v>1.1399999999999999</v>
      </c>
      <c r="O2653" t="s">
        <v>39</v>
      </c>
    </row>
    <row r="2654" spans="1:15" x14ac:dyDescent="0.3">
      <c r="A2654" t="s">
        <v>587</v>
      </c>
      <c r="B2654" s="5">
        <v>45</v>
      </c>
      <c r="C2654" s="5" t="str" cm="1">
        <f t="array" ref="C2654">_xlfn.IFS(worksheet[[#This Row],[age]]&lt;25,"1. Young Adulthood (18-24)",worksheet[[#This Row],[age]]&lt; 35,"2. Early Adulthood (25-34)",worksheet[[#This Row],[age]]&lt; 45,"3. Mid Adulthood (35-44)",worksheet[[#This Row],[age]]&lt; 55,"4. Mature Adulthood (45-54)",TRUE,"5. Late Adulthood/Senior (55+)")</f>
        <v>4. Mature Adulthood (45-54)</v>
      </c>
      <c r="D2654" t="s">
        <v>27</v>
      </c>
      <c r="E2654" t="s">
        <v>32</v>
      </c>
      <c r="F2654" s="4">
        <v>0.91</v>
      </c>
      <c r="G2654" s="5">
        <v>7</v>
      </c>
      <c r="H2654" t="s">
        <v>49</v>
      </c>
      <c r="I2654" t="s">
        <v>24</v>
      </c>
      <c r="J2654" s="6">
        <v>17.989999999999998</v>
      </c>
      <c r="K2654">
        <v>1</v>
      </c>
      <c r="L2654" t="s">
        <v>29</v>
      </c>
      <c r="M2654" s="5">
        <v>5</v>
      </c>
      <c r="N2654" s="4">
        <v>0.11</v>
      </c>
      <c r="O2654" t="s">
        <v>34</v>
      </c>
    </row>
    <row r="2655" spans="1:15" x14ac:dyDescent="0.3">
      <c r="A2655" t="s">
        <v>593</v>
      </c>
      <c r="B2655" s="5">
        <v>51</v>
      </c>
      <c r="C2655" s="5" t="str" cm="1">
        <f t="array" ref="C2655">_xlfn.IFS(worksheet[[#This Row],[age]]&lt;25,"1. Young Adulthood (18-24)",worksheet[[#This Row],[age]]&lt; 35,"2. Early Adulthood (25-34)",worksheet[[#This Row],[age]]&lt; 45,"3. Mid Adulthood (35-44)",worksheet[[#This Row],[age]]&lt; 55,"4. Mature Adulthood (45-54)",TRUE,"5. Late Adulthood/Senior (55+)")</f>
        <v>4. Mature Adulthood (45-54)</v>
      </c>
      <c r="D2655" t="s">
        <v>41</v>
      </c>
      <c r="E2655" t="s">
        <v>22</v>
      </c>
      <c r="F2655" s="4">
        <v>41.24</v>
      </c>
      <c r="G2655" s="5">
        <v>38</v>
      </c>
      <c r="H2655" t="s">
        <v>70</v>
      </c>
      <c r="I2655" t="s">
        <v>24</v>
      </c>
      <c r="J2655" s="6">
        <v>13.99</v>
      </c>
      <c r="K2655">
        <v>0</v>
      </c>
      <c r="L2655" t="s">
        <v>61</v>
      </c>
      <c r="M2655" s="5">
        <v>5</v>
      </c>
      <c r="N2655" s="4">
        <v>1.06</v>
      </c>
      <c r="O2655" t="s">
        <v>47</v>
      </c>
    </row>
    <row r="2656" spans="1:15" x14ac:dyDescent="0.3">
      <c r="A2656" t="s">
        <v>595</v>
      </c>
      <c r="B2656" s="5">
        <v>45</v>
      </c>
      <c r="C2656" s="5" t="str" cm="1">
        <f t="array" ref="C2656">_xlfn.IFS(worksheet[[#This Row],[age]]&lt;25,"1. Young Adulthood (18-24)",worksheet[[#This Row],[age]]&lt; 35,"2. Early Adulthood (25-34)",worksheet[[#This Row],[age]]&lt; 45,"3. Mid Adulthood (35-44)",worksheet[[#This Row],[age]]&lt; 55,"4. Mature Adulthood (45-54)",TRUE,"5. Late Adulthood/Senior (55+)")</f>
        <v>4. Mature Adulthood (45-54)</v>
      </c>
      <c r="D2656" t="s">
        <v>41</v>
      </c>
      <c r="E2656" t="s">
        <v>22</v>
      </c>
      <c r="F2656" s="4">
        <v>13.13</v>
      </c>
      <c r="G2656" s="5">
        <v>5</v>
      </c>
      <c r="H2656" t="s">
        <v>28</v>
      </c>
      <c r="I2656" t="s">
        <v>55</v>
      </c>
      <c r="J2656" s="6">
        <v>13.99</v>
      </c>
      <c r="K2656">
        <v>0</v>
      </c>
      <c r="L2656" t="s">
        <v>29</v>
      </c>
      <c r="M2656" s="5">
        <v>5</v>
      </c>
      <c r="N2656" s="4">
        <v>2.19</v>
      </c>
      <c r="O2656" t="s">
        <v>30</v>
      </c>
    </row>
    <row r="2657" spans="1:15" x14ac:dyDescent="0.3">
      <c r="A2657" t="s">
        <v>600</v>
      </c>
      <c r="B2657" s="5">
        <v>49</v>
      </c>
      <c r="C2657" s="5" t="str" cm="1">
        <f t="array" ref="C2657">_xlfn.IFS(worksheet[[#This Row],[age]]&lt;25,"1. Young Adulthood (18-24)",worksheet[[#This Row],[age]]&lt; 35,"2. Early Adulthood (25-34)",worksheet[[#This Row],[age]]&lt; 45,"3. Mid Adulthood (35-44)",worksheet[[#This Row],[age]]&lt; 55,"4. Mature Adulthood (45-54)",TRUE,"5. Late Adulthood/Senior (55+)")</f>
        <v>4. Mature Adulthood (45-54)</v>
      </c>
      <c r="D2657" t="s">
        <v>27</v>
      </c>
      <c r="E2657" t="s">
        <v>32</v>
      </c>
      <c r="F2657" s="4">
        <v>4.26</v>
      </c>
      <c r="G2657" s="5">
        <v>40</v>
      </c>
      <c r="H2657" t="s">
        <v>17</v>
      </c>
      <c r="I2657" t="s">
        <v>24</v>
      </c>
      <c r="J2657" s="6">
        <v>17.989999999999998</v>
      </c>
      <c r="K2657">
        <v>1</v>
      </c>
      <c r="L2657" t="s">
        <v>61</v>
      </c>
      <c r="M2657" s="5">
        <v>3</v>
      </c>
      <c r="N2657" s="4">
        <v>0.1</v>
      </c>
      <c r="O2657" t="s">
        <v>47</v>
      </c>
    </row>
    <row r="2658" spans="1:15" x14ac:dyDescent="0.3">
      <c r="A2658" t="s">
        <v>605</v>
      </c>
      <c r="B2658" s="5">
        <v>47</v>
      </c>
      <c r="C2658" s="5" t="str" cm="1">
        <f t="array" ref="C2658">_xlfn.IFS(worksheet[[#This Row],[age]]&lt;25,"1. Young Adulthood (18-24)",worksheet[[#This Row],[age]]&lt; 35,"2. Early Adulthood (25-34)",worksheet[[#This Row],[age]]&lt; 45,"3. Mid Adulthood (35-44)",worksheet[[#This Row],[age]]&lt; 55,"4. Mature Adulthood (45-54)",TRUE,"5. Late Adulthood/Senior (55+)")</f>
        <v>4. Mature Adulthood (45-54)</v>
      </c>
      <c r="D2658" t="s">
        <v>27</v>
      </c>
      <c r="E2658" t="s">
        <v>16</v>
      </c>
      <c r="F2658" s="4">
        <v>8.2200000000000006</v>
      </c>
      <c r="G2658" s="5">
        <v>4</v>
      </c>
      <c r="H2658" t="s">
        <v>17</v>
      </c>
      <c r="I2658" t="s">
        <v>18</v>
      </c>
      <c r="J2658" s="6">
        <v>8.99</v>
      </c>
      <c r="K2658">
        <v>0</v>
      </c>
      <c r="L2658" t="s">
        <v>19</v>
      </c>
      <c r="M2658" s="5">
        <v>2</v>
      </c>
      <c r="N2658" s="4">
        <v>1.64</v>
      </c>
      <c r="O2658" t="s">
        <v>20</v>
      </c>
    </row>
    <row r="2659" spans="1:15" x14ac:dyDescent="0.3">
      <c r="A2659" t="s">
        <v>614</v>
      </c>
      <c r="B2659" s="5">
        <v>50</v>
      </c>
      <c r="C2659" s="5" t="str" cm="1">
        <f t="array" ref="C2659">_xlfn.IFS(worksheet[[#This Row],[age]]&lt;25,"1. Young Adulthood (18-24)",worksheet[[#This Row],[age]]&lt; 35,"2. Early Adulthood (25-34)",worksheet[[#This Row],[age]]&lt; 45,"3. Mid Adulthood (35-44)",worksheet[[#This Row],[age]]&lt; 55,"4. Mature Adulthood (45-54)",TRUE,"5. Late Adulthood/Senior (55+)")</f>
        <v>4. Mature Adulthood (45-54)</v>
      </c>
      <c r="D2659" t="s">
        <v>41</v>
      </c>
      <c r="E2659" t="s">
        <v>16</v>
      </c>
      <c r="F2659" s="4">
        <v>3.28</v>
      </c>
      <c r="G2659" s="5">
        <v>59</v>
      </c>
      <c r="H2659" t="s">
        <v>17</v>
      </c>
      <c r="I2659" t="s">
        <v>57</v>
      </c>
      <c r="J2659" s="6">
        <v>8.99</v>
      </c>
      <c r="K2659">
        <v>1</v>
      </c>
      <c r="L2659" t="s">
        <v>19</v>
      </c>
      <c r="M2659" s="5">
        <v>3</v>
      </c>
      <c r="N2659" s="4">
        <v>0.05</v>
      </c>
      <c r="O2659" t="s">
        <v>52</v>
      </c>
    </row>
    <row r="2660" spans="1:15" x14ac:dyDescent="0.3">
      <c r="A2660" t="s">
        <v>617</v>
      </c>
      <c r="B2660" s="5">
        <v>50</v>
      </c>
      <c r="C2660" s="5" t="str" cm="1">
        <f t="array" ref="C2660">_xlfn.IFS(worksheet[[#This Row],[age]]&lt;25,"1. Young Adulthood (18-24)",worksheet[[#This Row],[age]]&lt; 35,"2. Early Adulthood (25-34)",worksheet[[#This Row],[age]]&lt; 45,"3. Mid Adulthood (35-44)",worksheet[[#This Row],[age]]&lt; 55,"4. Mature Adulthood (45-54)",TRUE,"5. Late Adulthood/Senior (55+)")</f>
        <v>4. Mature Adulthood (45-54)</v>
      </c>
      <c r="D2660" t="s">
        <v>41</v>
      </c>
      <c r="E2660" t="s">
        <v>32</v>
      </c>
      <c r="F2660" s="4">
        <v>4.2699999999999996</v>
      </c>
      <c r="G2660" s="5">
        <v>50</v>
      </c>
      <c r="H2660" t="s">
        <v>28</v>
      </c>
      <c r="I2660" t="s">
        <v>24</v>
      </c>
      <c r="J2660" s="6">
        <v>17.989999999999998</v>
      </c>
      <c r="K2660">
        <v>1</v>
      </c>
      <c r="L2660" t="s">
        <v>61</v>
      </c>
      <c r="M2660" s="5">
        <v>3</v>
      </c>
      <c r="N2660" s="4">
        <v>0.08</v>
      </c>
      <c r="O2660" t="s">
        <v>52</v>
      </c>
    </row>
    <row r="2661" spans="1:15" x14ac:dyDescent="0.3">
      <c r="A2661" t="s">
        <v>621</v>
      </c>
      <c r="B2661" s="5">
        <v>51</v>
      </c>
      <c r="C2661" s="5" t="str" cm="1">
        <f t="array" ref="C2661">_xlfn.IFS(worksheet[[#This Row],[age]]&lt;25,"1. Young Adulthood (18-24)",worksheet[[#This Row],[age]]&lt; 35,"2. Early Adulthood (25-34)",worksheet[[#This Row],[age]]&lt; 45,"3. Mid Adulthood (35-44)",worksheet[[#This Row],[age]]&lt; 55,"4. Mature Adulthood (45-54)",TRUE,"5. Late Adulthood/Senior (55+)")</f>
        <v>4. Mature Adulthood (45-54)</v>
      </c>
      <c r="D2661" t="s">
        <v>27</v>
      </c>
      <c r="E2661" t="s">
        <v>16</v>
      </c>
      <c r="F2661" s="4">
        <v>4.74</v>
      </c>
      <c r="G2661" s="5">
        <v>27</v>
      </c>
      <c r="H2661" t="s">
        <v>17</v>
      </c>
      <c r="I2661" t="s">
        <v>57</v>
      </c>
      <c r="J2661" s="6">
        <v>8.99</v>
      </c>
      <c r="K2661">
        <v>1</v>
      </c>
      <c r="L2661" t="s">
        <v>43</v>
      </c>
      <c r="M2661" s="5">
        <v>3</v>
      </c>
      <c r="N2661" s="4">
        <v>0.17</v>
      </c>
      <c r="O2661" t="s">
        <v>30</v>
      </c>
    </row>
    <row r="2662" spans="1:15" x14ac:dyDescent="0.3">
      <c r="A2662" t="s">
        <v>622</v>
      </c>
      <c r="B2662" s="5">
        <v>51</v>
      </c>
      <c r="C2662" s="5" t="str" cm="1">
        <f t="array" ref="C2662">_xlfn.IFS(worksheet[[#This Row],[age]]&lt;25,"1. Young Adulthood (18-24)",worksheet[[#This Row],[age]]&lt; 35,"2. Early Adulthood (25-34)",worksheet[[#This Row],[age]]&lt; 45,"3. Mid Adulthood (35-44)",worksheet[[#This Row],[age]]&lt; 55,"4. Mature Adulthood (45-54)",TRUE,"5. Late Adulthood/Senior (55+)")</f>
        <v>4. Mature Adulthood (45-54)</v>
      </c>
      <c r="D2662" t="s">
        <v>27</v>
      </c>
      <c r="E2662" t="s">
        <v>16</v>
      </c>
      <c r="F2662" s="4">
        <v>23.59</v>
      </c>
      <c r="G2662" s="5">
        <v>9</v>
      </c>
      <c r="H2662" t="s">
        <v>49</v>
      </c>
      <c r="I2662" t="s">
        <v>18</v>
      </c>
      <c r="J2662" s="6">
        <v>8.99</v>
      </c>
      <c r="K2662">
        <v>0</v>
      </c>
      <c r="L2662" t="s">
        <v>37</v>
      </c>
      <c r="M2662" s="5">
        <v>3</v>
      </c>
      <c r="N2662" s="4">
        <v>2.36</v>
      </c>
      <c r="O2662" t="s">
        <v>52</v>
      </c>
    </row>
    <row r="2663" spans="1:15" x14ac:dyDescent="0.3">
      <c r="A2663" t="s">
        <v>624</v>
      </c>
      <c r="B2663" s="5">
        <v>53</v>
      </c>
      <c r="C2663" s="5" t="str" cm="1">
        <f t="array" ref="C2663">_xlfn.IFS(worksheet[[#This Row],[age]]&lt;25,"1. Young Adulthood (18-24)",worksheet[[#This Row],[age]]&lt; 35,"2. Early Adulthood (25-34)",worksheet[[#This Row],[age]]&lt; 45,"3. Mid Adulthood (35-44)",worksheet[[#This Row],[age]]&lt; 55,"4. Mature Adulthood (45-54)",TRUE,"5. Late Adulthood/Senior (55+)")</f>
        <v>4. Mature Adulthood (45-54)</v>
      </c>
      <c r="D2663" t="s">
        <v>41</v>
      </c>
      <c r="E2663" t="s">
        <v>32</v>
      </c>
      <c r="F2663" s="4">
        <v>0.77</v>
      </c>
      <c r="G2663" s="5">
        <v>21</v>
      </c>
      <c r="H2663" t="s">
        <v>49</v>
      </c>
      <c r="I2663" t="s">
        <v>46</v>
      </c>
      <c r="J2663" s="6">
        <v>17.989999999999998</v>
      </c>
      <c r="K2663">
        <v>1</v>
      </c>
      <c r="L2663" t="s">
        <v>29</v>
      </c>
      <c r="M2663" s="5">
        <v>3</v>
      </c>
      <c r="N2663" s="4">
        <v>0.04</v>
      </c>
      <c r="O2663" t="s">
        <v>25</v>
      </c>
    </row>
    <row r="2664" spans="1:15" x14ac:dyDescent="0.3">
      <c r="A2664" t="s">
        <v>627</v>
      </c>
      <c r="B2664" s="5">
        <v>49</v>
      </c>
      <c r="C2664" s="5" t="str" cm="1">
        <f t="array" ref="C2664">_xlfn.IFS(worksheet[[#This Row],[age]]&lt;25,"1. Young Adulthood (18-24)",worksheet[[#This Row],[age]]&lt; 35,"2. Early Adulthood (25-34)",worksheet[[#This Row],[age]]&lt; 45,"3. Mid Adulthood (35-44)",worksheet[[#This Row],[age]]&lt; 55,"4. Mature Adulthood (45-54)",TRUE,"5. Late Adulthood/Senior (55+)")</f>
        <v>4. Mature Adulthood (45-54)</v>
      </c>
      <c r="D2664" t="s">
        <v>27</v>
      </c>
      <c r="E2664" t="s">
        <v>22</v>
      </c>
      <c r="F2664" s="4">
        <v>0.59</v>
      </c>
      <c r="G2664" s="5">
        <v>4</v>
      </c>
      <c r="H2664" t="s">
        <v>17</v>
      </c>
      <c r="I2664" t="s">
        <v>55</v>
      </c>
      <c r="J2664" s="6">
        <v>13.99</v>
      </c>
      <c r="K2664">
        <v>1</v>
      </c>
      <c r="L2664" t="s">
        <v>61</v>
      </c>
      <c r="M2664" s="5">
        <v>1</v>
      </c>
      <c r="N2664" s="4">
        <v>0.12</v>
      </c>
      <c r="O2664" t="s">
        <v>47</v>
      </c>
    </row>
    <row r="2665" spans="1:15" x14ac:dyDescent="0.3">
      <c r="A2665" t="s">
        <v>630</v>
      </c>
      <c r="B2665" s="5">
        <v>53</v>
      </c>
      <c r="C2665" s="5" t="str" cm="1">
        <f t="array" ref="C2665">_xlfn.IFS(worksheet[[#This Row],[age]]&lt;25,"1. Young Adulthood (18-24)",worksheet[[#This Row],[age]]&lt; 35,"2. Early Adulthood (25-34)",worksheet[[#This Row],[age]]&lt; 45,"3. Mid Adulthood (35-44)",worksheet[[#This Row],[age]]&lt; 55,"4. Mature Adulthood (45-54)",TRUE,"5. Late Adulthood/Senior (55+)")</f>
        <v>4. Mature Adulthood (45-54)</v>
      </c>
      <c r="D2665" t="s">
        <v>15</v>
      </c>
      <c r="E2665" t="s">
        <v>16</v>
      </c>
      <c r="F2665" s="4">
        <v>23.5</v>
      </c>
      <c r="G2665" s="5">
        <v>20</v>
      </c>
      <c r="H2665" t="s">
        <v>49</v>
      </c>
      <c r="I2665" t="s">
        <v>24</v>
      </c>
      <c r="J2665" s="6">
        <v>8.99</v>
      </c>
      <c r="K2665">
        <v>0</v>
      </c>
      <c r="L2665" t="s">
        <v>19</v>
      </c>
      <c r="M2665" s="5">
        <v>4</v>
      </c>
      <c r="N2665" s="4">
        <v>1.1200000000000001</v>
      </c>
      <c r="O2665" t="s">
        <v>52</v>
      </c>
    </row>
    <row r="2666" spans="1:15" x14ac:dyDescent="0.3">
      <c r="A2666" t="s">
        <v>634</v>
      </c>
      <c r="B2666" s="5">
        <v>47</v>
      </c>
      <c r="C2666" s="5" t="str" cm="1">
        <f t="array" ref="C2666">_xlfn.IFS(worksheet[[#This Row],[age]]&lt;25,"1. Young Adulthood (18-24)",worksheet[[#This Row],[age]]&lt; 35,"2. Early Adulthood (25-34)",worksheet[[#This Row],[age]]&lt; 45,"3. Mid Adulthood (35-44)",worksheet[[#This Row],[age]]&lt; 55,"4. Mature Adulthood (45-54)",TRUE,"5. Late Adulthood/Senior (55+)")</f>
        <v>4. Mature Adulthood (45-54)</v>
      </c>
      <c r="D2666" t="s">
        <v>41</v>
      </c>
      <c r="E2666" t="s">
        <v>32</v>
      </c>
      <c r="F2666" s="4">
        <v>19.68</v>
      </c>
      <c r="G2666" s="5">
        <v>59</v>
      </c>
      <c r="H2666" t="s">
        <v>49</v>
      </c>
      <c r="I2666" t="s">
        <v>55</v>
      </c>
      <c r="J2666" s="6">
        <v>17.989999999999998</v>
      </c>
      <c r="K2666">
        <v>1</v>
      </c>
      <c r="L2666" t="s">
        <v>29</v>
      </c>
      <c r="M2666" s="5">
        <v>2</v>
      </c>
      <c r="N2666" s="4">
        <v>0.33</v>
      </c>
      <c r="O2666" t="s">
        <v>34</v>
      </c>
    </row>
    <row r="2667" spans="1:15" x14ac:dyDescent="0.3">
      <c r="A2667" t="s">
        <v>639</v>
      </c>
      <c r="B2667" s="5">
        <v>45</v>
      </c>
      <c r="C2667" s="5" t="str" cm="1">
        <f t="array" ref="C2667">_xlfn.IFS(worksheet[[#This Row],[age]]&lt;25,"1. Young Adulthood (18-24)",worksheet[[#This Row],[age]]&lt; 35,"2. Early Adulthood (25-34)",worksheet[[#This Row],[age]]&lt; 45,"3. Mid Adulthood (35-44)",worksheet[[#This Row],[age]]&lt; 55,"4. Mature Adulthood (45-54)",TRUE,"5. Late Adulthood/Senior (55+)")</f>
        <v>4. Mature Adulthood (45-54)</v>
      </c>
      <c r="D2667" t="s">
        <v>41</v>
      </c>
      <c r="E2667" t="s">
        <v>16</v>
      </c>
      <c r="F2667" s="4">
        <v>2.73</v>
      </c>
      <c r="G2667" s="5">
        <v>27</v>
      </c>
      <c r="H2667" t="s">
        <v>28</v>
      </c>
      <c r="I2667" t="s">
        <v>24</v>
      </c>
      <c r="J2667" s="6">
        <v>8.99</v>
      </c>
      <c r="K2667">
        <v>1</v>
      </c>
      <c r="L2667" t="s">
        <v>37</v>
      </c>
      <c r="M2667" s="5">
        <v>3</v>
      </c>
      <c r="N2667" s="4">
        <v>0.1</v>
      </c>
      <c r="O2667" t="s">
        <v>30</v>
      </c>
    </row>
    <row r="2668" spans="1:15" x14ac:dyDescent="0.3">
      <c r="A2668" t="s">
        <v>645</v>
      </c>
      <c r="B2668" s="5">
        <v>53</v>
      </c>
      <c r="C2668" s="5" t="str" cm="1">
        <f t="array" ref="C2668">_xlfn.IFS(worksheet[[#This Row],[age]]&lt;25,"1. Young Adulthood (18-24)",worksheet[[#This Row],[age]]&lt; 35,"2. Early Adulthood (25-34)",worksheet[[#This Row],[age]]&lt; 45,"3. Mid Adulthood (35-44)",worksheet[[#This Row],[age]]&lt; 55,"4. Mature Adulthood (45-54)",TRUE,"5. Late Adulthood/Senior (55+)")</f>
        <v>4. Mature Adulthood (45-54)</v>
      </c>
      <c r="D2668" t="s">
        <v>41</v>
      </c>
      <c r="E2668" t="s">
        <v>32</v>
      </c>
      <c r="F2668" s="4">
        <v>16.53</v>
      </c>
      <c r="G2668" s="5">
        <v>43</v>
      </c>
      <c r="H2668" t="s">
        <v>23</v>
      </c>
      <c r="I2668" t="s">
        <v>24</v>
      </c>
      <c r="J2668" s="6">
        <v>17.989999999999998</v>
      </c>
      <c r="K2668">
        <v>1</v>
      </c>
      <c r="L2668" t="s">
        <v>19</v>
      </c>
      <c r="M2668" s="5">
        <v>1</v>
      </c>
      <c r="N2668" s="4">
        <v>0.38</v>
      </c>
      <c r="O2668" t="s">
        <v>39</v>
      </c>
    </row>
    <row r="2669" spans="1:15" x14ac:dyDescent="0.3">
      <c r="A2669" t="s">
        <v>648</v>
      </c>
      <c r="B2669" s="5">
        <v>53</v>
      </c>
      <c r="C2669" s="5" t="str" cm="1">
        <f t="array" ref="C2669">_xlfn.IFS(worksheet[[#This Row],[age]]&lt;25,"1. Young Adulthood (18-24)",worksheet[[#This Row],[age]]&lt; 35,"2. Early Adulthood (25-34)",worksheet[[#This Row],[age]]&lt; 45,"3. Mid Adulthood (35-44)",worksheet[[#This Row],[age]]&lt; 55,"4. Mature Adulthood (45-54)",TRUE,"5. Late Adulthood/Senior (55+)")</f>
        <v>4. Mature Adulthood (45-54)</v>
      </c>
      <c r="D2669" t="s">
        <v>15</v>
      </c>
      <c r="E2669" t="s">
        <v>22</v>
      </c>
      <c r="F2669" s="4">
        <v>7.0000000000000007E-2</v>
      </c>
      <c r="G2669" s="5">
        <v>50</v>
      </c>
      <c r="H2669" t="s">
        <v>70</v>
      </c>
      <c r="I2669" t="s">
        <v>55</v>
      </c>
      <c r="J2669" s="6">
        <v>13.99</v>
      </c>
      <c r="K2669">
        <v>1</v>
      </c>
      <c r="L2669" t="s">
        <v>43</v>
      </c>
      <c r="M2669" s="5">
        <v>3</v>
      </c>
      <c r="N2669" s="4">
        <v>0</v>
      </c>
      <c r="O2669" t="s">
        <v>20</v>
      </c>
    </row>
    <row r="2670" spans="1:15" x14ac:dyDescent="0.3">
      <c r="A2670" t="s">
        <v>649</v>
      </c>
      <c r="B2670" s="5">
        <v>52</v>
      </c>
      <c r="C2670" s="5" t="str" cm="1">
        <f t="array" ref="C2670">_xlfn.IFS(worksheet[[#This Row],[age]]&lt;25,"1. Young Adulthood (18-24)",worksheet[[#This Row],[age]]&lt; 35,"2. Early Adulthood (25-34)",worksheet[[#This Row],[age]]&lt; 45,"3. Mid Adulthood (35-44)",worksheet[[#This Row],[age]]&lt; 55,"4. Mature Adulthood (45-54)",TRUE,"5. Late Adulthood/Senior (55+)")</f>
        <v>4. Mature Adulthood (45-54)</v>
      </c>
      <c r="D2670" t="s">
        <v>27</v>
      </c>
      <c r="E2670" t="s">
        <v>16</v>
      </c>
      <c r="F2670" s="4">
        <v>22.21</v>
      </c>
      <c r="G2670" s="5">
        <v>54</v>
      </c>
      <c r="H2670" t="s">
        <v>33</v>
      </c>
      <c r="I2670" t="s">
        <v>18</v>
      </c>
      <c r="J2670" s="6">
        <v>8.99</v>
      </c>
      <c r="K2670">
        <v>1</v>
      </c>
      <c r="L2670" t="s">
        <v>61</v>
      </c>
      <c r="M2670" s="5">
        <v>1</v>
      </c>
      <c r="N2670" s="4">
        <v>0.4</v>
      </c>
      <c r="O2670" t="s">
        <v>39</v>
      </c>
    </row>
    <row r="2671" spans="1:15" x14ac:dyDescent="0.3">
      <c r="A2671" t="s">
        <v>651</v>
      </c>
      <c r="B2671" s="5">
        <v>54</v>
      </c>
      <c r="C2671" s="5" t="str" cm="1">
        <f t="array" ref="C2671">_xlfn.IFS(worksheet[[#This Row],[age]]&lt;25,"1. Young Adulthood (18-24)",worksheet[[#This Row],[age]]&lt; 35,"2. Early Adulthood (25-34)",worksheet[[#This Row],[age]]&lt; 45,"3. Mid Adulthood (35-44)",worksheet[[#This Row],[age]]&lt; 55,"4. Mature Adulthood (45-54)",TRUE,"5. Late Adulthood/Senior (55+)")</f>
        <v>4. Mature Adulthood (45-54)</v>
      </c>
      <c r="D2671" t="s">
        <v>15</v>
      </c>
      <c r="E2671" t="s">
        <v>32</v>
      </c>
      <c r="F2671" s="4">
        <v>13.49</v>
      </c>
      <c r="G2671" s="5">
        <v>4</v>
      </c>
      <c r="H2671" t="s">
        <v>17</v>
      </c>
      <c r="I2671" t="s">
        <v>46</v>
      </c>
      <c r="J2671" s="6">
        <v>17.989999999999998</v>
      </c>
      <c r="K2671">
        <v>0</v>
      </c>
      <c r="L2671" t="s">
        <v>37</v>
      </c>
      <c r="M2671" s="5">
        <v>1</v>
      </c>
      <c r="N2671" s="4">
        <v>2.7</v>
      </c>
      <c r="O2671" t="s">
        <v>20</v>
      </c>
    </row>
    <row r="2672" spans="1:15" x14ac:dyDescent="0.3">
      <c r="A2672" t="s">
        <v>652</v>
      </c>
      <c r="B2672" s="5">
        <v>54</v>
      </c>
      <c r="C2672" s="5" t="str" cm="1">
        <f t="array" ref="C2672">_xlfn.IFS(worksheet[[#This Row],[age]]&lt;25,"1. Young Adulthood (18-24)",worksheet[[#This Row],[age]]&lt; 35,"2. Early Adulthood (25-34)",worksheet[[#This Row],[age]]&lt; 45,"3. Mid Adulthood (35-44)",worksheet[[#This Row],[age]]&lt; 55,"4. Mature Adulthood (45-54)",TRUE,"5. Late Adulthood/Senior (55+)")</f>
        <v>4. Mature Adulthood (45-54)</v>
      </c>
      <c r="D2672" t="s">
        <v>41</v>
      </c>
      <c r="E2672" t="s">
        <v>32</v>
      </c>
      <c r="F2672" s="4">
        <v>11.38</v>
      </c>
      <c r="G2672" s="5">
        <v>31</v>
      </c>
      <c r="H2672" t="s">
        <v>28</v>
      </c>
      <c r="I2672" t="s">
        <v>24</v>
      </c>
      <c r="J2672" s="6">
        <v>17.989999999999998</v>
      </c>
      <c r="K2672">
        <v>0</v>
      </c>
      <c r="L2672" t="s">
        <v>61</v>
      </c>
      <c r="M2672" s="5">
        <v>4</v>
      </c>
      <c r="N2672" s="4">
        <v>0.36</v>
      </c>
      <c r="O2672" t="s">
        <v>34</v>
      </c>
    </row>
    <row r="2673" spans="1:15" x14ac:dyDescent="0.3">
      <c r="A2673" t="s">
        <v>654</v>
      </c>
      <c r="B2673" s="5">
        <v>49</v>
      </c>
      <c r="C2673" s="5" t="str" cm="1">
        <f t="array" ref="C2673">_xlfn.IFS(worksheet[[#This Row],[age]]&lt;25,"1. Young Adulthood (18-24)",worksheet[[#This Row],[age]]&lt; 35,"2. Early Adulthood (25-34)",worksheet[[#This Row],[age]]&lt; 45,"3. Mid Adulthood (35-44)",worksheet[[#This Row],[age]]&lt; 55,"4. Mature Adulthood (45-54)",TRUE,"5. Late Adulthood/Senior (55+)")</f>
        <v>4. Mature Adulthood (45-54)</v>
      </c>
      <c r="D2673" t="s">
        <v>27</v>
      </c>
      <c r="E2673" t="s">
        <v>16</v>
      </c>
      <c r="F2673" s="4">
        <v>10.87</v>
      </c>
      <c r="G2673" s="5">
        <v>14</v>
      </c>
      <c r="H2673" t="s">
        <v>49</v>
      </c>
      <c r="I2673" t="s">
        <v>57</v>
      </c>
      <c r="J2673" s="6">
        <v>8.99</v>
      </c>
      <c r="K2673">
        <v>0</v>
      </c>
      <c r="L2673" t="s">
        <v>61</v>
      </c>
      <c r="M2673" s="5">
        <v>5</v>
      </c>
      <c r="N2673" s="4">
        <v>0.72</v>
      </c>
      <c r="O2673" t="s">
        <v>25</v>
      </c>
    </row>
    <row r="2674" spans="1:15" x14ac:dyDescent="0.3">
      <c r="A2674" t="s">
        <v>661</v>
      </c>
      <c r="B2674" s="5">
        <v>48</v>
      </c>
      <c r="C2674" s="5" t="str" cm="1">
        <f t="array" ref="C2674">_xlfn.IFS(worksheet[[#This Row],[age]]&lt;25,"1. Young Adulthood (18-24)",worksheet[[#This Row],[age]]&lt; 35,"2. Early Adulthood (25-34)",worksheet[[#This Row],[age]]&lt; 45,"3. Mid Adulthood (35-44)",worksheet[[#This Row],[age]]&lt; 55,"4. Mature Adulthood (45-54)",TRUE,"5. Late Adulthood/Senior (55+)")</f>
        <v>4. Mature Adulthood (45-54)</v>
      </c>
      <c r="D2674" t="s">
        <v>27</v>
      </c>
      <c r="E2674" t="s">
        <v>16</v>
      </c>
      <c r="F2674" s="4">
        <v>17.68</v>
      </c>
      <c r="G2674" s="5">
        <v>47</v>
      </c>
      <c r="H2674" t="s">
        <v>33</v>
      </c>
      <c r="I2674" t="s">
        <v>57</v>
      </c>
      <c r="J2674" s="6">
        <v>8.99</v>
      </c>
      <c r="K2674">
        <v>1</v>
      </c>
      <c r="L2674" t="s">
        <v>43</v>
      </c>
      <c r="M2674" s="5">
        <v>3</v>
      </c>
      <c r="N2674" s="4">
        <v>0.37</v>
      </c>
      <c r="O2674" t="s">
        <v>39</v>
      </c>
    </row>
    <row r="2675" spans="1:15" x14ac:dyDescent="0.3">
      <c r="A2675" t="s">
        <v>670</v>
      </c>
      <c r="B2675" s="5">
        <v>50</v>
      </c>
      <c r="C2675" s="5" t="str" cm="1">
        <f t="array" ref="C2675">_xlfn.IFS(worksheet[[#This Row],[age]]&lt;25,"1. Young Adulthood (18-24)",worksheet[[#This Row],[age]]&lt; 35,"2. Early Adulthood (25-34)",worksheet[[#This Row],[age]]&lt; 45,"3. Mid Adulthood (35-44)",worksheet[[#This Row],[age]]&lt; 55,"4. Mature Adulthood (45-54)",TRUE,"5. Late Adulthood/Senior (55+)")</f>
        <v>4. Mature Adulthood (45-54)</v>
      </c>
      <c r="D2675" t="s">
        <v>15</v>
      </c>
      <c r="E2675" t="s">
        <v>22</v>
      </c>
      <c r="F2675" s="4">
        <v>8.77</v>
      </c>
      <c r="G2675" s="5">
        <v>42</v>
      </c>
      <c r="H2675" t="s">
        <v>70</v>
      </c>
      <c r="I2675" t="s">
        <v>57</v>
      </c>
      <c r="J2675" s="6">
        <v>13.99</v>
      </c>
      <c r="K2675">
        <v>1</v>
      </c>
      <c r="L2675" t="s">
        <v>43</v>
      </c>
      <c r="M2675" s="5">
        <v>2</v>
      </c>
      <c r="N2675" s="4">
        <v>0.2</v>
      </c>
      <c r="O2675" t="s">
        <v>20</v>
      </c>
    </row>
    <row r="2676" spans="1:15" x14ac:dyDescent="0.3">
      <c r="A2676" t="s">
        <v>673</v>
      </c>
      <c r="B2676" s="5">
        <v>54</v>
      </c>
      <c r="C2676" s="5" t="str" cm="1">
        <f t="array" ref="C2676">_xlfn.IFS(worksheet[[#This Row],[age]]&lt;25,"1. Young Adulthood (18-24)",worksheet[[#This Row],[age]]&lt; 35,"2. Early Adulthood (25-34)",worksheet[[#This Row],[age]]&lt; 45,"3. Mid Adulthood (35-44)",worksheet[[#This Row],[age]]&lt; 55,"4. Mature Adulthood (45-54)",TRUE,"5. Late Adulthood/Senior (55+)")</f>
        <v>4. Mature Adulthood (45-54)</v>
      </c>
      <c r="D2676" t="s">
        <v>41</v>
      </c>
      <c r="E2676" t="s">
        <v>22</v>
      </c>
      <c r="F2676" s="4">
        <v>9.7799999999999994</v>
      </c>
      <c r="G2676" s="5">
        <v>56</v>
      </c>
      <c r="H2676" t="s">
        <v>17</v>
      </c>
      <c r="I2676" t="s">
        <v>24</v>
      </c>
      <c r="J2676" s="6">
        <v>13.99</v>
      </c>
      <c r="K2676">
        <v>0</v>
      </c>
      <c r="L2676" t="s">
        <v>37</v>
      </c>
      <c r="M2676" s="5">
        <v>5</v>
      </c>
      <c r="N2676" s="4">
        <v>0.17</v>
      </c>
      <c r="O2676" t="s">
        <v>52</v>
      </c>
    </row>
    <row r="2677" spans="1:15" x14ac:dyDescent="0.3">
      <c r="A2677" t="s">
        <v>676</v>
      </c>
      <c r="B2677" s="5">
        <v>48</v>
      </c>
      <c r="C2677" s="5" t="str" cm="1">
        <f t="array" ref="C2677">_xlfn.IFS(worksheet[[#This Row],[age]]&lt;25,"1. Young Adulthood (18-24)",worksheet[[#This Row],[age]]&lt; 35,"2. Early Adulthood (25-34)",worksheet[[#This Row],[age]]&lt; 45,"3. Mid Adulthood (35-44)",worksheet[[#This Row],[age]]&lt; 55,"4. Mature Adulthood (45-54)",TRUE,"5. Late Adulthood/Senior (55+)")</f>
        <v>4. Mature Adulthood (45-54)</v>
      </c>
      <c r="D2677" t="s">
        <v>15</v>
      </c>
      <c r="E2677" t="s">
        <v>32</v>
      </c>
      <c r="F2677" s="4">
        <v>0.71</v>
      </c>
      <c r="G2677" s="5">
        <v>24</v>
      </c>
      <c r="H2677" t="s">
        <v>17</v>
      </c>
      <c r="I2677" t="s">
        <v>24</v>
      </c>
      <c r="J2677" s="6">
        <v>17.989999999999998</v>
      </c>
      <c r="K2677">
        <v>1</v>
      </c>
      <c r="L2677" t="s">
        <v>43</v>
      </c>
      <c r="M2677" s="5">
        <v>2</v>
      </c>
      <c r="N2677" s="4">
        <v>0.03</v>
      </c>
      <c r="O2677" t="s">
        <v>25</v>
      </c>
    </row>
    <row r="2678" spans="1:15" x14ac:dyDescent="0.3">
      <c r="A2678" t="s">
        <v>678</v>
      </c>
      <c r="B2678" s="5">
        <v>53</v>
      </c>
      <c r="C2678" s="5" t="str" cm="1">
        <f t="array" ref="C2678">_xlfn.IFS(worksheet[[#This Row],[age]]&lt;25,"1. Young Adulthood (18-24)",worksheet[[#This Row],[age]]&lt; 35,"2. Early Adulthood (25-34)",worksheet[[#This Row],[age]]&lt; 45,"3. Mid Adulthood (35-44)",worksheet[[#This Row],[age]]&lt; 55,"4. Mature Adulthood (45-54)",TRUE,"5. Late Adulthood/Senior (55+)")</f>
        <v>4. Mature Adulthood (45-54)</v>
      </c>
      <c r="D2678" t="s">
        <v>27</v>
      </c>
      <c r="E2678" t="s">
        <v>22</v>
      </c>
      <c r="F2678" s="4">
        <v>1.49</v>
      </c>
      <c r="G2678" s="5">
        <v>14</v>
      </c>
      <c r="H2678" t="s">
        <v>70</v>
      </c>
      <c r="I2678" t="s">
        <v>55</v>
      </c>
      <c r="J2678" s="6">
        <v>13.99</v>
      </c>
      <c r="K2678">
        <v>1</v>
      </c>
      <c r="L2678" t="s">
        <v>19</v>
      </c>
      <c r="M2678" s="5">
        <v>2</v>
      </c>
      <c r="N2678" s="4">
        <v>0.1</v>
      </c>
      <c r="O2678" t="s">
        <v>20</v>
      </c>
    </row>
    <row r="2679" spans="1:15" x14ac:dyDescent="0.3">
      <c r="A2679" t="s">
        <v>684</v>
      </c>
      <c r="B2679" s="5">
        <v>46</v>
      </c>
      <c r="C2679" s="5" t="str" cm="1">
        <f t="array" ref="C2679">_xlfn.IFS(worksheet[[#This Row],[age]]&lt;25,"1. Young Adulthood (18-24)",worksheet[[#This Row],[age]]&lt; 35,"2. Early Adulthood (25-34)",worksheet[[#This Row],[age]]&lt; 45,"3. Mid Adulthood (35-44)",worksheet[[#This Row],[age]]&lt; 55,"4. Mature Adulthood (45-54)",TRUE,"5. Late Adulthood/Senior (55+)")</f>
        <v>4. Mature Adulthood (45-54)</v>
      </c>
      <c r="D2679" t="s">
        <v>27</v>
      </c>
      <c r="E2679" t="s">
        <v>22</v>
      </c>
      <c r="F2679" s="4">
        <v>7.59</v>
      </c>
      <c r="G2679" s="5">
        <v>3</v>
      </c>
      <c r="H2679" t="s">
        <v>33</v>
      </c>
      <c r="I2679" t="s">
        <v>46</v>
      </c>
      <c r="J2679" s="6">
        <v>13.99</v>
      </c>
      <c r="K2679">
        <v>0</v>
      </c>
      <c r="L2679" t="s">
        <v>29</v>
      </c>
      <c r="M2679" s="5">
        <v>3</v>
      </c>
      <c r="N2679" s="4">
        <v>1.9</v>
      </c>
      <c r="O2679" t="s">
        <v>47</v>
      </c>
    </row>
    <row r="2680" spans="1:15" x14ac:dyDescent="0.3">
      <c r="A2680" t="s">
        <v>697</v>
      </c>
      <c r="B2680" s="5">
        <v>48</v>
      </c>
      <c r="C2680" s="5" t="str" cm="1">
        <f t="array" ref="C2680">_xlfn.IFS(worksheet[[#This Row],[age]]&lt;25,"1. Young Adulthood (18-24)",worksheet[[#This Row],[age]]&lt; 35,"2. Early Adulthood (25-34)",worksheet[[#This Row],[age]]&lt; 45,"3. Mid Adulthood (35-44)",worksheet[[#This Row],[age]]&lt; 55,"4. Mature Adulthood (45-54)",TRUE,"5. Late Adulthood/Senior (55+)")</f>
        <v>4. Mature Adulthood (45-54)</v>
      </c>
      <c r="D2680" t="s">
        <v>27</v>
      </c>
      <c r="E2680" t="s">
        <v>16</v>
      </c>
      <c r="F2680" s="4">
        <v>0.23</v>
      </c>
      <c r="G2680" s="5">
        <v>37</v>
      </c>
      <c r="H2680" t="s">
        <v>23</v>
      </c>
      <c r="I2680" t="s">
        <v>24</v>
      </c>
      <c r="J2680" s="6">
        <v>8.99</v>
      </c>
      <c r="K2680">
        <v>1</v>
      </c>
      <c r="L2680" t="s">
        <v>61</v>
      </c>
      <c r="M2680" s="5">
        <v>2</v>
      </c>
      <c r="N2680" s="4">
        <v>0.01</v>
      </c>
      <c r="O2680" t="s">
        <v>20</v>
      </c>
    </row>
    <row r="2681" spans="1:15" x14ac:dyDescent="0.3">
      <c r="A2681" t="s">
        <v>703</v>
      </c>
      <c r="B2681" s="5">
        <v>47</v>
      </c>
      <c r="C2681" s="5" t="str" cm="1">
        <f t="array" ref="C2681">_xlfn.IFS(worksheet[[#This Row],[age]]&lt;25,"1. Young Adulthood (18-24)",worksheet[[#This Row],[age]]&lt; 35,"2. Early Adulthood (25-34)",worksheet[[#This Row],[age]]&lt; 45,"3. Mid Adulthood (35-44)",worksheet[[#This Row],[age]]&lt; 55,"4. Mature Adulthood (45-54)",TRUE,"5. Late Adulthood/Senior (55+)")</f>
        <v>4. Mature Adulthood (45-54)</v>
      </c>
      <c r="D2681" t="s">
        <v>41</v>
      </c>
      <c r="E2681" t="s">
        <v>32</v>
      </c>
      <c r="F2681" s="4">
        <v>3.88</v>
      </c>
      <c r="G2681" s="5">
        <v>53</v>
      </c>
      <c r="H2681" t="s">
        <v>70</v>
      </c>
      <c r="I2681" t="s">
        <v>24</v>
      </c>
      <c r="J2681" s="6">
        <v>17.989999999999998</v>
      </c>
      <c r="K2681">
        <v>1</v>
      </c>
      <c r="L2681" t="s">
        <v>29</v>
      </c>
      <c r="M2681" s="5">
        <v>5</v>
      </c>
      <c r="N2681" s="4">
        <v>7.0000000000000007E-2</v>
      </c>
      <c r="O2681" t="s">
        <v>52</v>
      </c>
    </row>
    <row r="2682" spans="1:15" x14ac:dyDescent="0.3">
      <c r="A2682" t="s">
        <v>707</v>
      </c>
      <c r="B2682" s="5">
        <v>50</v>
      </c>
      <c r="C2682" s="5" t="str" cm="1">
        <f t="array" ref="C2682">_xlfn.IFS(worksheet[[#This Row],[age]]&lt;25,"1. Young Adulthood (18-24)",worksheet[[#This Row],[age]]&lt; 35,"2. Early Adulthood (25-34)",worksheet[[#This Row],[age]]&lt; 45,"3. Mid Adulthood (35-44)",worksheet[[#This Row],[age]]&lt; 55,"4. Mature Adulthood (45-54)",TRUE,"5. Late Adulthood/Senior (55+)")</f>
        <v>4. Mature Adulthood (45-54)</v>
      </c>
      <c r="D2682" t="s">
        <v>27</v>
      </c>
      <c r="E2682" t="s">
        <v>22</v>
      </c>
      <c r="F2682" s="4">
        <v>0.27</v>
      </c>
      <c r="G2682" s="5">
        <v>31</v>
      </c>
      <c r="H2682" t="s">
        <v>49</v>
      </c>
      <c r="I2682" t="s">
        <v>57</v>
      </c>
      <c r="J2682" s="6">
        <v>13.99</v>
      </c>
      <c r="K2682">
        <v>1</v>
      </c>
      <c r="L2682" t="s">
        <v>29</v>
      </c>
      <c r="M2682" s="5">
        <v>1</v>
      </c>
      <c r="N2682" s="4">
        <v>0.01</v>
      </c>
      <c r="O2682" t="s">
        <v>39</v>
      </c>
    </row>
    <row r="2683" spans="1:15" x14ac:dyDescent="0.3">
      <c r="A2683" t="s">
        <v>711</v>
      </c>
      <c r="B2683" s="5">
        <v>46</v>
      </c>
      <c r="C2683" s="5" t="str" cm="1">
        <f t="array" ref="C2683">_xlfn.IFS(worksheet[[#This Row],[age]]&lt;25,"1. Young Adulthood (18-24)",worksheet[[#This Row],[age]]&lt; 35,"2. Early Adulthood (25-34)",worksheet[[#This Row],[age]]&lt; 45,"3. Mid Adulthood (35-44)",worksheet[[#This Row],[age]]&lt; 55,"4. Mature Adulthood (45-54)",TRUE,"5. Late Adulthood/Senior (55+)")</f>
        <v>4. Mature Adulthood (45-54)</v>
      </c>
      <c r="D2683" t="s">
        <v>15</v>
      </c>
      <c r="E2683" t="s">
        <v>32</v>
      </c>
      <c r="F2683" s="4">
        <v>5.98</v>
      </c>
      <c r="G2683" s="5">
        <v>31</v>
      </c>
      <c r="H2683" t="s">
        <v>28</v>
      </c>
      <c r="I2683" t="s">
        <v>46</v>
      </c>
      <c r="J2683" s="6">
        <v>17.989999999999998</v>
      </c>
      <c r="K2683">
        <v>1</v>
      </c>
      <c r="L2683" t="s">
        <v>43</v>
      </c>
      <c r="M2683" s="5">
        <v>1</v>
      </c>
      <c r="N2683" s="4">
        <v>0.19</v>
      </c>
      <c r="O2683" t="s">
        <v>47</v>
      </c>
    </row>
    <row r="2684" spans="1:15" x14ac:dyDescent="0.3">
      <c r="A2684" t="s">
        <v>723</v>
      </c>
      <c r="B2684" s="5">
        <v>52</v>
      </c>
      <c r="C2684" s="5" t="str" cm="1">
        <f t="array" ref="C2684">_xlfn.IFS(worksheet[[#This Row],[age]]&lt;25,"1. Young Adulthood (18-24)",worksheet[[#This Row],[age]]&lt; 35,"2. Early Adulthood (25-34)",worksheet[[#This Row],[age]]&lt; 45,"3. Mid Adulthood (35-44)",worksheet[[#This Row],[age]]&lt; 55,"4. Mature Adulthood (45-54)",TRUE,"5. Late Adulthood/Senior (55+)")</f>
        <v>4. Mature Adulthood (45-54)</v>
      </c>
      <c r="D2684" t="s">
        <v>27</v>
      </c>
      <c r="E2684" t="s">
        <v>32</v>
      </c>
      <c r="F2684" s="4">
        <v>6.28</v>
      </c>
      <c r="G2684" s="5">
        <v>44</v>
      </c>
      <c r="H2684" t="s">
        <v>70</v>
      </c>
      <c r="I2684" t="s">
        <v>55</v>
      </c>
      <c r="J2684" s="6">
        <v>17.989999999999998</v>
      </c>
      <c r="K2684">
        <v>1</v>
      </c>
      <c r="L2684" t="s">
        <v>29</v>
      </c>
      <c r="M2684" s="5">
        <v>1</v>
      </c>
      <c r="N2684" s="4">
        <v>0.14000000000000001</v>
      </c>
      <c r="O2684" t="s">
        <v>39</v>
      </c>
    </row>
    <row r="2685" spans="1:15" x14ac:dyDescent="0.3">
      <c r="A2685" t="s">
        <v>726</v>
      </c>
      <c r="B2685" s="5">
        <v>47</v>
      </c>
      <c r="C2685" s="5" t="str" cm="1">
        <f t="array" ref="C2685">_xlfn.IFS(worksheet[[#This Row],[age]]&lt;25,"1. Young Adulthood (18-24)",worksheet[[#This Row],[age]]&lt; 35,"2. Early Adulthood (25-34)",worksheet[[#This Row],[age]]&lt; 45,"3. Mid Adulthood (35-44)",worksheet[[#This Row],[age]]&lt; 55,"4. Mature Adulthood (45-54)",TRUE,"5. Late Adulthood/Senior (55+)")</f>
        <v>4. Mature Adulthood (45-54)</v>
      </c>
      <c r="D2685" t="s">
        <v>41</v>
      </c>
      <c r="E2685" t="s">
        <v>32</v>
      </c>
      <c r="F2685" s="4">
        <v>1.57</v>
      </c>
      <c r="G2685" s="5">
        <v>39</v>
      </c>
      <c r="H2685" t="s">
        <v>33</v>
      </c>
      <c r="I2685" t="s">
        <v>55</v>
      </c>
      <c r="J2685" s="6">
        <v>17.989999999999998</v>
      </c>
      <c r="K2685">
        <v>1</v>
      </c>
      <c r="L2685" t="s">
        <v>61</v>
      </c>
      <c r="M2685" s="5">
        <v>5</v>
      </c>
      <c r="N2685" s="4">
        <v>0.04</v>
      </c>
      <c r="O2685" t="s">
        <v>34</v>
      </c>
    </row>
    <row r="2686" spans="1:15" x14ac:dyDescent="0.3">
      <c r="A2686" t="s">
        <v>750</v>
      </c>
      <c r="B2686" s="5">
        <v>52</v>
      </c>
      <c r="C2686" s="5" t="str" cm="1">
        <f t="array" ref="C2686">_xlfn.IFS(worksheet[[#This Row],[age]]&lt;25,"1. Young Adulthood (18-24)",worksheet[[#This Row],[age]]&lt; 35,"2. Early Adulthood (25-34)",worksheet[[#This Row],[age]]&lt; 45,"3. Mid Adulthood (35-44)",worksheet[[#This Row],[age]]&lt; 55,"4. Mature Adulthood (45-54)",TRUE,"5. Late Adulthood/Senior (55+)")</f>
        <v>4. Mature Adulthood (45-54)</v>
      </c>
      <c r="D2686" t="s">
        <v>41</v>
      </c>
      <c r="E2686" t="s">
        <v>32</v>
      </c>
      <c r="F2686" s="4">
        <v>2.73</v>
      </c>
      <c r="G2686" s="5">
        <v>45</v>
      </c>
      <c r="H2686" t="s">
        <v>70</v>
      </c>
      <c r="I2686" t="s">
        <v>18</v>
      </c>
      <c r="J2686" s="6">
        <v>17.989999999999998</v>
      </c>
      <c r="K2686">
        <v>1</v>
      </c>
      <c r="L2686" t="s">
        <v>29</v>
      </c>
      <c r="M2686" s="5">
        <v>5</v>
      </c>
      <c r="N2686" s="4">
        <v>0.06</v>
      </c>
      <c r="O2686" t="s">
        <v>34</v>
      </c>
    </row>
    <row r="2687" spans="1:15" x14ac:dyDescent="0.3">
      <c r="A2687" t="s">
        <v>767</v>
      </c>
      <c r="B2687" s="5">
        <v>49</v>
      </c>
      <c r="C2687" s="5" t="str" cm="1">
        <f t="array" ref="C2687">_xlfn.IFS(worksheet[[#This Row],[age]]&lt;25,"1. Young Adulthood (18-24)",worksheet[[#This Row],[age]]&lt; 35,"2. Early Adulthood (25-34)",worksheet[[#This Row],[age]]&lt; 45,"3. Mid Adulthood (35-44)",worksheet[[#This Row],[age]]&lt; 55,"4. Mature Adulthood (45-54)",TRUE,"5. Late Adulthood/Senior (55+)")</f>
        <v>4. Mature Adulthood (45-54)</v>
      </c>
      <c r="D2687" t="s">
        <v>15</v>
      </c>
      <c r="E2687" t="s">
        <v>32</v>
      </c>
      <c r="F2687" s="4">
        <v>9.61</v>
      </c>
      <c r="G2687" s="5">
        <v>27</v>
      </c>
      <c r="H2687" t="s">
        <v>49</v>
      </c>
      <c r="I2687" t="s">
        <v>18</v>
      </c>
      <c r="J2687" s="6">
        <v>17.989999999999998</v>
      </c>
      <c r="K2687">
        <v>0</v>
      </c>
      <c r="L2687" t="s">
        <v>43</v>
      </c>
      <c r="M2687" s="5">
        <v>3</v>
      </c>
      <c r="N2687" s="4">
        <v>0.34</v>
      </c>
      <c r="O2687" t="s">
        <v>34</v>
      </c>
    </row>
    <row r="2688" spans="1:15" x14ac:dyDescent="0.3">
      <c r="A2688" t="s">
        <v>771</v>
      </c>
      <c r="B2688" s="5">
        <v>47</v>
      </c>
      <c r="C2688" s="5" t="str" cm="1">
        <f t="array" ref="C2688">_xlfn.IFS(worksheet[[#This Row],[age]]&lt;25,"1. Young Adulthood (18-24)",worksheet[[#This Row],[age]]&lt; 35,"2. Early Adulthood (25-34)",worksheet[[#This Row],[age]]&lt; 45,"3. Mid Adulthood (35-44)",worksheet[[#This Row],[age]]&lt; 55,"4. Mature Adulthood (45-54)",TRUE,"5. Late Adulthood/Senior (55+)")</f>
        <v>4. Mature Adulthood (45-54)</v>
      </c>
      <c r="D2688" t="s">
        <v>27</v>
      </c>
      <c r="E2688" t="s">
        <v>22</v>
      </c>
      <c r="F2688" s="4">
        <v>9.7799999999999994</v>
      </c>
      <c r="G2688" s="5">
        <v>18</v>
      </c>
      <c r="H2688" t="s">
        <v>28</v>
      </c>
      <c r="I2688" t="s">
        <v>57</v>
      </c>
      <c r="J2688" s="6">
        <v>13.99</v>
      </c>
      <c r="K2688">
        <v>0</v>
      </c>
      <c r="L2688" t="s">
        <v>29</v>
      </c>
      <c r="M2688" s="5">
        <v>3</v>
      </c>
      <c r="N2688" s="4">
        <v>0.51</v>
      </c>
      <c r="O2688" t="s">
        <v>47</v>
      </c>
    </row>
    <row r="2689" spans="1:15" x14ac:dyDescent="0.3">
      <c r="A2689" t="s">
        <v>782</v>
      </c>
      <c r="B2689" s="5">
        <v>46</v>
      </c>
      <c r="C2689" s="5" t="str" cm="1">
        <f t="array" ref="C2689">_xlfn.IFS(worksheet[[#This Row],[age]]&lt;25,"1. Young Adulthood (18-24)",worksheet[[#This Row],[age]]&lt; 35,"2. Early Adulthood (25-34)",worksheet[[#This Row],[age]]&lt; 45,"3. Mid Adulthood (35-44)",worksheet[[#This Row],[age]]&lt; 55,"4. Mature Adulthood (45-54)",TRUE,"5. Late Adulthood/Senior (55+)")</f>
        <v>4. Mature Adulthood (45-54)</v>
      </c>
      <c r="D2689" t="s">
        <v>15</v>
      </c>
      <c r="E2689" t="s">
        <v>16</v>
      </c>
      <c r="F2689" s="4">
        <v>14.53</v>
      </c>
      <c r="G2689" s="5">
        <v>19</v>
      </c>
      <c r="H2689" t="s">
        <v>49</v>
      </c>
      <c r="I2689" t="s">
        <v>24</v>
      </c>
      <c r="J2689" s="6">
        <v>8.99</v>
      </c>
      <c r="K2689">
        <v>0</v>
      </c>
      <c r="L2689" t="s">
        <v>29</v>
      </c>
      <c r="M2689" s="5">
        <v>4</v>
      </c>
      <c r="N2689" s="4">
        <v>0.73</v>
      </c>
      <c r="O2689" t="s">
        <v>39</v>
      </c>
    </row>
    <row r="2690" spans="1:15" x14ac:dyDescent="0.3">
      <c r="A2690" t="s">
        <v>796</v>
      </c>
      <c r="B2690" s="5">
        <v>49</v>
      </c>
      <c r="C2690" s="5" t="str" cm="1">
        <f t="array" ref="C2690">_xlfn.IFS(worksheet[[#This Row],[age]]&lt;25,"1. Young Adulthood (18-24)",worksheet[[#This Row],[age]]&lt; 35,"2. Early Adulthood (25-34)",worksheet[[#This Row],[age]]&lt; 45,"3. Mid Adulthood (35-44)",worksheet[[#This Row],[age]]&lt; 55,"4. Mature Adulthood (45-54)",TRUE,"5. Late Adulthood/Senior (55+)")</f>
        <v>4. Mature Adulthood (45-54)</v>
      </c>
      <c r="D2690" t="s">
        <v>27</v>
      </c>
      <c r="E2690" t="s">
        <v>32</v>
      </c>
      <c r="F2690" s="4">
        <v>2.74</v>
      </c>
      <c r="G2690" s="5">
        <v>46</v>
      </c>
      <c r="H2690" t="s">
        <v>28</v>
      </c>
      <c r="I2690" t="s">
        <v>18</v>
      </c>
      <c r="J2690" s="6">
        <v>17.989999999999998</v>
      </c>
      <c r="K2690">
        <v>1</v>
      </c>
      <c r="L2690" t="s">
        <v>61</v>
      </c>
      <c r="M2690" s="5">
        <v>5</v>
      </c>
      <c r="N2690" s="4">
        <v>0.06</v>
      </c>
      <c r="O2690" t="s">
        <v>34</v>
      </c>
    </row>
    <row r="2691" spans="1:15" x14ac:dyDescent="0.3">
      <c r="A2691" t="s">
        <v>803</v>
      </c>
      <c r="B2691" s="5">
        <v>48</v>
      </c>
      <c r="C2691" s="5" t="str" cm="1">
        <f t="array" ref="C2691">_xlfn.IFS(worksheet[[#This Row],[age]]&lt;25,"1. Young Adulthood (18-24)",worksheet[[#This Row],[age]]&lt; 35,"2. Early Adulthood (25-34)",worksheet[[#This Row],[age]]&lt; 45,"3. Mid Adulthood (35-44)",worksheet[[#This Row],[age]]&lt; 55,"4. Mature Adulthood (45-54)",TRUE,"5. Late Adulthood/Senior (55+)")</f>
        <v>4. Mature Adulthood (45-54)</v>
      </c>
      <c r="D2691" t="s">
        <v>27</v>
      </c>
      <c r="E2691" t="s">
        <v>22</v>
      </c>
      <c r="F2691" s="4">
        <v>10.98</v>
      </c>
      <c r="G2691" s="5">
        <v>44</v>
      </c>
      <c r="H2691" t="s">
        <v>28</v>
      </c>
      <c r="I2691" t="s">
        <v>57</v>
      </c>
      <c r="J2691" s="6">
        <v>13.99</v>
      </c>
      <c r="K2691">
        <v>1</v>
      </c>
      <c r="L2691" t="s">
        <v>29</v>
      </c>
      <c r="M2691" s="5">
        <v>1</v>
      </c>
      <c r="N2691" s="4">
        <v>0.24</v>
      </c>
      <c r="O2691" t="s">
        <v>30</v>
      </c>
    </row>
    <row r="2692" spans="1:15" x14ac:dyDescent="0.3">
      <c r="A2692" t="s">
        <v>806</v>
      </c>
      <c r="B2692" s="5">
        <v>53</v>
      </c>
      <c r="C2692" s="5" t="str" cm="1">
        <f t="array" ref="C2692">_xlfn.IFS(worksheet[[#This Row],[age]]&lt;25,"1. Young Adulthood (18-24)",worksheet[[#This Row],[age]]&lt; 35,"2. Early Adulthood (25-34)",worksheet[[#This Row],[age]]&lt; 45,"3. Mid Adulthood (35-44)",worksheet[[#This Row],[age]]&lt; 55,"4. Mature Adulthood (45-54)",TRUE,"5. Late Adulthood/Senior (55+)")</f>
        <v>4. Mature Adulthood (45-54)</v>
      </c>
      <c r="D2692" t="s">
        <v>27</v>
      </c>
      <c r="E2692" t="s">
        <v>16</v>
      </c>
      <c r="F2692" s="4">
        <v>4.01</v>
      </c>
      <c r="G2692" s="5">
        <v>49</v>
      </c>
      <c r="H2692" t="s">
        <v>70</v>
      </c>
      <c r="I2692" t="s">
        <v>55</v>
      </c>
      <c r="J2692" s="6">
        <v>8.99</v>
      </c>
      <c r="K2692">
        <v>1</v>
      </c>
      <c r="L2692" t="s">
        <v>29</v>
      </c>
      <c r="M2692" s="5">
        <v>2</v>
      </c>
      <c r="N2692" s="4">
        <v>0.08</v>
      </c>
      <c r="O2692" t="s">
        <v>20</v>
      </c>
    </row>
    <row r="2693" spans="1:15" x14ac:dyDescent="0.3">
      <c r="A2693" t="s">
        <v>810</v>
      </c>
      <c r="B2693" s="5">
        <v>54</v>
      </c>
      <c r="C2693" s="5" t="str" cm="1">
        <f t="array" ref="C2693">_xlfn.IFS(worksheet[[#This Row],[age]]&lt;25,"1. Young Adulthood (18-24)",worksheet[[#This Row],[age]]&lt; 35,"2. Early Adulthood (25-34)",worksheet[[#This Row],[age]]&lt; 45,"3. Mid Adulthood (35-44)",worksheet[[#This Row],[age]]&lt; 55,"4. Mature Adulthood (45-54)",TRUE,"5. Late Adulthood/Senior (55+)")</f>
        <v>4. Mature Adulthood (45-54)</v>
      </c>
      <c r="D2693" t="s">
        <v>41</v>
      </c>
      <c r="E2693" t="s">
        <v>22</v>
      </c>
      <c r="F2693" s="4">
        <v>19.260000000000002</v>
      </c>
      <c r="G2693" s="5">
        <v>10</v>
      </c>
      <c r="H2693" t="s">
        <v>17</v>
      </c>
      <c r="I2693" t="s">
        <v>24</v>
      </c>
      <c r="J2693" s="6">
        <v>13.99</v>
      </c>
      <c r="K2693">
        <v>0</v>
      </c>
      <c r="L2693" t="s">
        <v>37</v>
      </c>
      <c r="M2693" s="5">
        <v>5</v>
      </c>
      <c r="N2693" s="4">
        <v>1.75</v>
      </c>
      <c r="O2693" t="s">
        <v>47</v>
      </c>
    </row>
    <row r="2694" spans="1:15" x14ac:dyDescent="0.3">
      <c r="A2694" t="s">
        <v>813</v>
      </c>
      <c r="B2694" s="5">
        <v>52</v>
      </c>
      <c r="C2694" s="5" t="str" cm="1">
        <f t="array" ref="C2694">_xlfn.IFS(worksheet[[#This Row],[age]]&lt;25,"1. Young Adulthood (18-24)",worksheet[[#This Row],[age]]&lt; 35,"2. Early Adulthood (25-34)",worksheet[[#This Row],[age]]&lt; 45,"3. Mid Adulthood (35-44)",worksheet[[#This Row],[age]]&lt; 55,"4. Mature Adulthood (45-54)",TRUE,"5. Late Adulthood/Senior (55+)")</f>
        <v>4. Mature Adulthood (45-54)</v>
      </c>
      <c r="D2694" t="s">
        <v>41</v>
      </c>
      <c r="E2694" t="s">
        <v>32</v>
      </c>
      <c r="F2694" s="4">
        <v>8.34</v>
      </c>
      <c r="G2694" s="5">
        <v>21</v>
      </c>
      <c r="H2694" t="s">
        <v>17</v>
      </c>
      <c r="I2694" t="s">
        <v>18</v>
      </c>
      <c r="J2694" s="6">
        <v>17.989999999999998</v>
      </c>
      <c r="K2694">
        <v>0</v>
      </c>
      <c r="L2694" t="s">
        <v>43</v>
      </c>
      <c r="M2694" s="5">
        <v>2</v>
      </c>
      <c r="N2694" s="4">
        <v>0.38</v>
      </c>
      <c r="O2694" t="s">
        <v>25</v>
      </c>
    </row>
    <row r="2695" spans="1:15" x14ac:dyDescent="0.3">
      <c r="A2695" t="s">
        <v>814</v>
      </c>
      <c r="B2695" s="5">
        <v>50</v>
      </c>
      <c r="C2695" s="5" t="str" cm="1">
        <f t="array" ref="C2695">_xlfn.IFS(worksheet[[#This Row],[age]]&lt;25,"1. Young Adulthood (18-24)",worksheet[[#This Row],[age]]&lt; 35,"2. Early Adulthood (25-34)",worksheet[[#This Row],[age]]&lt; 45,"3. Mid Adulthood (35-44)",worksheet[[#This Row],[age]]&lt; 55,"4. Mature Adulthood (45-54)",TRUE,"5. Late Adulthood/Senior (55+)")</f>
        <v>4. Mature Adulthood (45-54)</v>
      </c>
      <c r="D2695" t="s">
        <v>41</v>
      </c>
      <c r="E2695" t="s">
        <v>22</v>
      </c>
      <c r="F2695" s="4">
        <v>4.17</v>
      </c>
      <c r="G2695" s="5">
        <v>44</v>
      </c>
      <c r="H2695" t="s">
        <v>33</v>
      </c>
      <c r="I2695" t="s">
        <v>57</v>
      </c>
      <c r="J2695" s="6">
        <v>13.99</v>
      </c>
      <c r="K2695">
        <v>1</v>
      </c>
      <c r="L2695" t="s">
        <v>19</v>
      </c>
      <c r="M2695" s="5">
        <v>1</v>
      </c>
      <c r="N2695" s="4">
        <v>0.09</v>
      </c>
      <c r="O2695" t="s">
        <v>52</v>
      </c>
    </row>
    <row r="2696" spans="1:15" x14ac:dyDescent="0.3">
      <c r="A2696" t="s">
        <v>822</v>
      </c>
      <c r="B2696" s="5">
        <v>50</v>
      </c>
      <c r="C2696" s="5" t="str" cm="1">
        <f t="array" ref="C2696">_xlfn.IFS(worksheet[[#This Row],[age]]&lt;25,"1. Young Adulthood (18-24)",worksheet[[#This Row],[age]]&lt; 35,"2. Early Adulthood (25-34)",worksheet[[#This Row],[age]]&lt; 45,"3. Mid Adulthood (35-44)",worksheet[[#This Row],[age]]&lt; 55,"4. Mature Adulthood (45-54)",TRUE,"5. Late Adulthood/Senior (55+)")</f>
        <v>4. Mature Adulthood (45-54)</v>
      </c>
      <c r="D2696" t="s">
        <v>15</v>
      </c>
      <c r="E2696" t="s">
        <v>16</v>
      </c>
      <c r="F2696" s="4">
        <v>29.04</v>
      </c>
      <c r="G2696" s="5">
        <v>48</v>
      </c>
      <c r="H2696" t="s">
        <v>49</v>
      </c>
      <c r="I2696" t="s">
        <v>18</v>
      </c>
      <c r="J2696" s="6">
        <v>8.99</v>
      </c>
      <c r="K2696">
        <v>0</v>
      </c>
      <c r="L2696" t="s">
        <v>61</v>
      </c>
      <c r="M2696" s="5">
        <v>4</v>
      </c>
      <c r="N2696" s="4">
        <v>0.59</v>
      </c>
      <c r="O2696" t="s">
        <v>39</v>
      </c>
    </row>
    <row r="2697" spans="1:15" x14ac:dyDescent="0.3">
      <c r="A2697" t="s">
        <v>823</v>
      </c>
      <c r="B2697" s="5">
        <v>49</v>
      </c>
      <c r="C2697" s="5" t="str" cm="1">
        <f t="array" ref="C2697">_xlfn.IFS(worksheet[[#This Row],[age]]&lt;25,"1. Young Adulthood (18-24)",worksheet[[#This Row],[age]]&lt; 35,"2. Early Adulthood (25-34)",worksheet[[#This Row],[age]]&lt; 45,"3. Mid Adulthood (35-44)",worksheet[[#This Row],[age]]&lt; 55,"4. Mature Adulthood (45-54)",TRUE,"5. Late Adulthood/Senior (55+)")</f>
        <v>4. Mature Adulthood (45-54)</v>
      </c>
      <c r="D2697" t="s">
        <v>41</v>
      </c>
      <c r="E2697" t="s">
        <v>22</v>
      </c>
      <c r="F2697" s="4">
        <v>4.67</v>
      </c>
      <c r="G2697" s="5">
        <v>48</v>
      </c>
      <c r="H2697" t="s">
        <v>70</v>
      </c>
      <c r="I2697" t="s">
        <v>46</v>
      </c>
      <c r="J2697" s="6">
        <v>13.99</v>
      </c>
      <c r="K2697">
        <v>1</v>
      </c>
      <c r="L2697" t="s">
        <v>37</v>
      </c>
      <c r="M2697" s="5">
        <v>5</v>
      </c>
      <c r="N2697" s="4">
        <v>0.1</v>
      </c>
      <c r="O2697" t="s">
        <v>34</v>
      </c>
    </row>
    <row r="2698" spans="1:15" x14ac:dyDescent="0.3">
      <c r="A2698" t="s">
        <v>826</v>
      </c>
      <c r="B2698" s="5">
        <v>46</v>
      </c>
      <c r="C2698" s="5" t="str" cm="1">
        <f t="array" ref="C2698">_xlfn.IFS(worksheet[[#This Row],[age]]&lt;25,"1. Young Adulthood (18-24)",worksheet[[#This Row],[age]]&lt; 35,"2. Early Adulthood (25-34)",worksheet[[#This Row],[age]]&lt; 45,"3. Mid Adulthood (35-44)",worksheet[[#This Row],[age]]&lt; 55,"4. Mature Adulthood (45-54)",TRUE,"5. Late Adulthood/Senior (55+)")</f>
        <v>4. Mature Adulthood (45-54)</v>
      </c>
      <c r="D2698" t="s">
        <v>41</v>
      </c>
      <c r="E2698" t="s">
        <v>32</v>
      </c>
      <c r="F2698" s="4">
        <v>8.7799999999999994</v>
      </c>
      <c r="G2698" s="5">
        <v>13</v>
      </c>
      <c r="H2698" t="s">
        <v>28</v>
      </c>
      <c r="I2698" t="s">
        <v>57</v>
      </c>
      <c r="J2698" s="6">
        <v>17.989999999999998</v>
      </c>
      <c r="K2698">
        <v>0</v>
      </c>
      <c r="L2698" t="s">
        <v>43</v>
      </c>
      <c r="M2698" s="5">
        <v>4</v>
      </c>
      <c r="N2698" s="4">
        <v>0.63</v>
      </c>
      <c r="O2698" t="s">
        <v>20</v>
      </c>
    </row>
    <row r="2699" spans="1:15" x14ac:dyDescent="0.3">
      <c r="A2699" t="s">
        <v>841</v>
      </c>
      <c r="B2699" s="5">
        <v>54</v>
      </c>
      <c r="C2699" s="5" t="str" cm="1">
        <f t="array" ref="C2699">_xlfn.IFS(worksheet[[#This Row],[age]]&lt;25,"1. Young Adulthood (18-24)",worksheet[[#This Row],[age]]&lt; 35,"2. Early Adulthood (25-34)",worksheet[[#This Row],[age]]&lt; 45,"3. Mid Adulthood (35-44)",worksheet[[#This Row],[age]]&lt; 55,"4. Mature Adulthood (45-54)",TRUE,"5. Late Adulthood/Senior (55+)")</f>
        <v>4. Mature Adulthood (45-54)</v>
      </c>
      <c r="D2699" t="s">
        <v>41</v>
      </c>
      <c r="E2699" t="s">
        <v>22</v>
      </c>
      <c r="F2699" s="4">
        <v>18.96</v>
      </c>
      <c r="G2699" s="5">
        <v>18</v>
      </c>
      <c r="H2699" t="s">
        <v>33</v>
      </c>
      <c r="I2699" t="s">
        <v>57</v>
      </c>
      <c r="J2699" s="6">
        <v>13.99</v>
      </c>
      <c r="K2699">
        <v>0</v>
      </c>
      <c r="L2699" t="s">
        <v>29</v>
      </c>
      <c r="M2699" s="5">
        <v>3</v>
      </c>
      <c r="N2699" s="4">
        <v>1</v>
      </c>
      <c r="O2699" t="s">
        <v>52</v>
      </c>
    </row>
    <row r="2700" spans="1:15" x14ac:dyDescent="0.3">
      <c r="A2700" t="s">
        <v>842</v>
      </c>
      <c r="B2700" s="5">
        <v>47</v>
      </c>
      <c r="C2700" s="5" t="str" cm="1">
        <f t="array" ref="C2700">_xlfn.IFS(worksheet[[#This Row],[age]]&lt;25,"1. Young Adulthood (18-24)",worksheet[[#This Row],[age]]&lt; 35,"2. Early Adulthood (25-34)",worksheet[[#This Row],[age]]&lt; 45,"3. Mid Adulthood (35-44)",worksheet[[#This Row],[age]]&lt; 55,"4. Mature Adulthood (45-54)",TRUE,"5. Late Adulthood/Senior (55+)")</f>
        <v>4. Mature Adulthood (45-54)</v>
      </c>
      <c r="D2700" t="s">
        <v>41</v>
      </c>
      <c r="E2700" t="s">
        <v>32</v>
      </c>
      <c r="F2700" s="4">
        <v>6.33</v>
      </c>
      <c r="G2700" s="5">
        <v>9</v>
      </c>
      <c r="H2700" t="s">
        <v>28</v>
      </c>
      <c r="I2700" t="s">
        <v>46</v>
      </c>
      <c r="J2700" s="6">
        <v>17.989999999999998</v>
      </c>
      <c r="K2700">
        <v>0</v>
      </c>
      <c r="L2700" t="s">
        <v>19</v>
      </c>
      <c r="M2700" s="5">
        <v>4</v>
      </c>
      <c r="N2700" s="4">
        <v>0.63</v>
      </c>
      <c r="O2700" t="s">
        <v>52</v>
      </c>
    </row>
    <row r="2701" spans="1:15" x14ac:dyDescent="0.3">
      <c r="A2701" t="s">
        <v>846</v>
      </c>
      <c r="B2701" s="5">
        <v>53</v>
      </c>
      <c r="C2701" s="5" t="str" cm="1">
        <f t="array" ref="C2701">_xlfn.IFS(worksheet[[#This Row],[age]]&lt;25,"1. Young Adulthood (18-24)",worksheet[[#This Row],[age]]&lt; 35,"2. Early Adulthood (25-34)",worksheet[[#This Row],[age]]&lt; 45,"3. Mid Adulthood (35-44)",worksheet[[#This Row],[age]]&lt; 55,"4. Mature Adulthood (45-54)",TRUE,"5. Late Adulthood/Senior (55+)")</f>
        <v>4. Mature Adulthood (45-54)</v>
      </c>
      <c r="D2701" t="s">
        <v>15</v>
      </c>
      <c r="E2701" t="s">
        <v>22</v>
      </c>
      <c r="F2701" s="4">
        <v>8.85</v>
      </c>
      <c r="G2701" s="5">
        <v>3</v>
      </c>
      <c r="H2701" t="s">
        <v>33</v>
      </c>
      <c r="I2701" t="s">
        <v>24</v>
      </c>
      <c r="J2701" s="6">
        <v>13.99</v>
      </c>
      <c r="K2701">
        <v>0</v>
      </c>
      <c r="L2701" t="s">
        <v>19</v>
      </c>
      <c r="M2701" s="5">
        <v>1</v>
      </c>
      <c r="N2701" s="4">
        <v>2.21</v>
      </c>
      <c r="O2701" t="s">
        <v>25</v>
      </c>
    </row>
    <row r="2702" spans="1:15" x14ac:dyDescent="0.3">
      <c r="A2702" t="s">
        <v>852</v>
      </c>
      <c r="B2702" s="5">
        <v>45</v>
      </c>
      <c r="C2702" s="5" t="str" cm="1">
        <f t="array" ref="C2702">_xlfn.IFS(worksheet[[#This Row],[age]]&lt;25,"1. Young Adulthood (18-24)",worksheet[[#This Row],[age]]&lt; 35,"2. Early Adulthood (25-34)",worksheet[[#This Row],[age]]&lt; 45,"3. Mid Adulthood (35-44)",worksheet[[#This Row],[age]]&lt; 55,"4. Mature Adulthood (45-54)",TRUE,"5. Late Adulthood/Senior (55+)")</f>
        <v>4. Mature Adulthood (45-54)</v>
      </c>
      <c r="D2702" t="s">
        <v>41</v>
      </c>
      <c r="E2702" t="s">
        <v>32</v>
      </c>
      <c r="F2702" s="4">
        <v>13.88</v>
      </c>
      <c r="G2702" s="5">
        <v>26</v>
      </c>
      <c r="H2702" t="s">
        <v>70</v>
      </c>
      <c r="I2702" t="s">
        <v>55</v>
      </c>
      <c r="J2702" s="6">
        <v>17.989999999999998</v>
      </c>
      <c r="K2702">
        <v>0</v>
      </c>
      <c r="L2702" t="s">
        <v>29</v>
      </c>
      <c r="M2702" s="5">
        <v>1</v>
      </c>
      <c r="N2702" s="4">
        <v>0.51</v>
      </c>
      <c r="O2702" t="s">
        <v>52</v>
      </c>
    </row>
    <row r="2703" spans="1:15" x14ac:dyDescent="0.3">
      <c r="A2703" t="s">
        <v>853</v>
      </c>
      <c r="B2703" s="5">
        <v>50</v>
      </c>
      <c r="C2703" s="5" t="str" cm="1">
        <f t="array" ref="C2703">_xlfn.IFS(worksheet[[#This Row],[age]]&lt;25,"1. Young Adulthood (18-24)",worksheet[[#This Row],[age]]&lt; 35,"2. Early Adulthood (25-34)",worksheet[[#This Row],[age]]&lt; 45,"3. Mid Adulthood (35-44)",worksheet[[#This Row],[age]]&lt; 55,"4. Mature Adulthood (45-54)",TRUE,"5. Late Adulthood/Senior (55+)")</f>
        <v>4. Mature Adulthood (45-54)</v>
      </c>
      <c r="D2703" t="s">
        <v>15</v>
      </c>
      <c r="E2703" t="s">
        <v>32</v>
      </c>
      <c r="F2703" s="4">
        <v>0.32</v>
      </c>
      <c r="G2703" s="5">
        <v>35</v>
      </c>
      <c r="H2703" t="s">
        <v>23</v>
      </c>
      <c r="I2703" t="s">
        <v>55</v>
      </c>
      <c r="J2703" s="6">
        <v>17.989999999999998</v>
      </c>
      <c r="K2703">
        <v>1</v>
      </c>
      <c r="L2703" t="s">
        <v>37</v>
      </c>
      <c r="M2703" s="5">
        <v>2</v>
      </c>
      <c r="N2703" s="4">
        <v>0.01</v>
      </c>
      <c r="O2703" t="s">
        <v>47</v>
      </c>
    </row>
    <row r="2704" spans="1:15" x14ac:dyDescent="0.3">
      <c r="A2704" t="s">
        <v>862</v>
      </c>
      <c r="B2704" s="5">
        <v>45</v>
      </c>
      <c r="C2704" s="5" t="str" cm="1">
        <f t="array" ref="C2704">_xlfn.IFS(worksheet[[#This Row],[age]]&lt;25,"1. Young Adulthood (18-24)",worksheet[[#This Row],[age]]&lt; 35,"2. Early Adulthood (25-34)",worksheet[[#This Row],[age]]&lt; 45,"3. Mid Adulthood (35-44)",worksheet[[#This Row],[age]]&lt; 55,"4. Mature Adulthood (45-54)",TRUE,"5. Late Adulthood/Senior (55+)")</f>
        <v>4. Mature Adulthood (45-54)</v>
      </c>
      <c r="D2704" t="s">
        <v>15</v>
      </c>
      <c r="E2704" t="s">
        <v>22</v>
      </c>
      <c r="F2704" s="4">
        <v>7.03</v>
      </c>
      <c r="G2704" s="5">
        <v>2</v>
      </c>
      <c r="H2704" t="s">
        <v>17</v>
      </c>
      <c r="I2704" t="s">
        <v>46</v>
      </c>
      <c r="J2704" s="6">
        <v>13.99</v>
      </c>
      <c r="K2704">
        <v>0</v>
      </c>
      <c r="L2704" t="s">
        <v>43</v>
      </c>
      <c r="M2704" s="5">
        <v>2</v>
      </c>
      <c r="N2704" s="4">
        <v>2.34</v>
      </c>
      <c r="O2704" t="s">
        <v>30</v>
      </c>
    </row>
    <row r="2705" spans="1:15" x14ac:dyDescent="0.3">
      <c r="A2705" t="s">
        <v>865</v>
      </c>
      <c r="B2705" s="5">
        <v>49</v>
      </c>
      <c r="C2705" s="5" t="str" cm="1">
        <f t="array" ref="C2705">_xlfn.IFS(worksheet[[#This Row],[age]]&lt;25,"1. Young Adulthood (18-24)",worksheet[[#This Row],[age]]&lt; 35,"2. Early Adulthood (25-34)",worksheet[[#This Row],[age]]&lt; 45,"3. Mid Adulthood (35-44)",worksheet[[#This Row],[age]]&lt; 55,"4. Mature Adulthood (45-54)",TRUE,"5. Late Adulthood/Senior (55+)")</f>
        <v>4. Mature Adulthood (45-54)</v>
      </c>
      <c r="D2705" t="s">
        <v>15</v>
      </c>
      <c r="E2705" t="s">
        <v>22</v>
      </c>
      <c r="F2705" s="4">
        <v>2.86</v>
      </c>
      <c r="G2705" s="5">
        <v>30</v>
      </c>
      <c r="H2705" t="s">
        <v>23</v>
      </c>
      <c r="I2705" t="s">
        <v>57</v>
      </c>
      <c r="J2705" s="6">
        <v>13.99</v>
      </c>
      <c r="K2705">
        <v>1</v>
      </c>
      <c r="L2705" t="s">
        <v>61</v>
      </c>
      <c r="M2705" s="5">
        <v>3</v>
      </c>
      <c r="N2705" s="4">
        <v>0.09</v>
      </c>
      <c r="O2705" t="s">
        <v>30</v>
      </c>
    </row>
    <row r="2706" spans="1:15" x14ac:dyDescent="0.3">
      <c r="A2706" t="s">
        <v>870</v>
      </c>
      <c r="B2706" s="5">
        <v>45</v>
      </c>
      <c r="C2706" s="5" t="str" cm="1">
        <f t="array" ref="C2706">_xlfn.IFS(worksheet[[#This Row],[age]]&lt;25,"1. Young Adulthood (18-24)",worksheet[[#This Row],[age]]&lt; 35,"2. Early Adulthood (25-34)",worksheet[[#This Row],[age]]&lt; 45,"3. Mid Adulthood (35-44)",worksheet[[#This Row],[age]]&lt; 55,"4. Mature Adulthood (45-54)",TRUE,"5. Late Adulthood/Senior (55+)")</f>
        <v>4. Mature Adulthood (45-54)</v>
      </c>
      <c r="D2706" t="s">
        <v>27</v>
      </c>
      <c r="E2706" t="s">
        <v>16</v>
      </c>
      <c r="F2706" s="4">
        <v>7.13</v>
      </c>
      <c r="G2706" s="5">
        <v>8</v>
      </c>
      <c r="H2706" t="s">
        <v>33</v>
      </c>
      <c r="I2706" t="s">
        <v>24</v>
      </c>
      <c r="J2706" s="6">
        <v>8.99</v>
      </c>
      <c r="K2706">
        <v>0</v>
      </c>
      <c r="L2706" t="s">
        <v>61</v>
      </c>
      <c r="M2706" s="5">
        <v>3</v>
      </c>
      <c r="N2706" s="4">
        <v>0.79</v>
      </c>
      <c r="O2706" t="s">
        <v>34</v>
      </c>
    </row>
    <row r="2707" spans="1:15" x14ac:dyDescent="0.3">
      <c r="A2707" t="s">
        <v>871</v>
      </c>
      <c r="B2707" s="5">
        <v>47</v>
      </c>
      <c r="C2707" s="5" t="str" cm="1">
        <f t="array" ref="C2707">_xlfn.IFS(worksheet[[#This Row],[age]]&lt;25,"1. Young Adulthood (18-24)",worksheet[[#This Row],[age]]&lt; 35,"2. Early Adulthood (25-34)",worksheet[[#This Row],[age]]&lt; 45,"3. Mid Adulthood (35-44)",worksheet[[#This Row],[age]]&lt; 55,"4. Mature Adulthood (45-54)",TRUE,"5. Late Adulthood/Senior (55+)")</f>
        <v>4. Mature Adulthood (45-54)</v>
      </c>
      <c r="D2707" t="s">
        <v>27</v>
      </c>
      <c r="E2707" t="s">
        <v>22</v>
      </c>
      <c r="F2707" s="4">
        <v>4.13</v>
      </c>
      <c r="G2707" s="5">
        <v>30</v>
      </c>
      <c r="H2707" t="s">
        <v>49</v>
      </c>
      <c r="I2707" t="s">
        <v>57</v>
      </c>
      <c r="J2707" s="6">
        <v>13.99</v>
      </c>
      <c r="K2707">
        <v>1</v>
      </c>
      <c r="L2707" t="s">
        <v>19</v>
      </c>
      <c r="M2707" s="5">
        <v>2</v>
      </c>
      <c r="N2707" s="4">
        <v>0.13</v>
      </c>
      <c r="O2707" t="s">
        <v>34</v>
      </c>
    </row>
    <row r="2708" spans="1:15" x14ac:dyDescent="0.3">
      <c r="A2708" t="s">
        <v>880</v>
      </c>
      <c r="B2708" s="5">
        <v>54</v>
      </c>
      <c r="C2708" s="5" t="str" cm="1">
        <f t="array" ref="C2708">_xlfn.IFS(worksheet[[#This Row],[age]]&lt;25,"1. Young Adulthood (18-24)",worksheet[[#This Row],[age]]&lt; 35,"2. Early Adulthood (25-34)",worksheet[[#This Row],[age]]&lt; 45,"3. Mid Adulthood (35-44)",worksheet[[#This Row],[age]]&lt; 55,"4. Mature Adulthood (45-54)",TRUE,"5. Late Adulthood/Senior (55+)")</f>
        <v>4. Mature Adulthood (45-54)</v>
      </c>
      <c r="D2708" t="s">
        <v>27</v>
      </c>
      <c r="E2708" t="s">
        <v>22</v>
      </c>
      <c r="F2708" s="4">
        <v>6.26</v>
      </c>
      <c r="G2708" s="5">
        <v>47</v>
      </c>
      <c r="H2708" t="s">
        <v>49</v>
      </c>
      <c r="I2708" t="s">
        <v>55</v>
      </c>
      <c r="J2708" s="6">
        <v>13.99</v>
      </c>
      <c r="K2708">
        <v>1</v>
      </c>
      <c r="L2708" t="s">
        <v>61</v>
      </c>
      <c r="M2708" s="5">
        <v>2</v>
      </c>
      <c r="N2708" s="4">
        <v>0.13</v>
      </c>
      <c r="O2708" t="s">
        <v>30</v>
      </c>
    </row>
    <row r="2709" spans="1:15" x14ac:dyDescent="0.3">
      <c r="A2709" t="s">
        <v>885</v>
      </c>
      <c r="B2709" s="5">
        <v>52</v>
      </c>
      <c r="C2709" s="5" t="str" cm="1">
        <f t="array" ref="C2709">_xlfn.IFS(worksheet[[#This Row],[age]]&lt;25,"1. Young Adulthood (18-24)",worksheet[[#This Row],[age]]&lt; 35,"2. Early Adulthood (25-34)",worksheet[[#This Row],[age]]&lt; 45,"3. Mid Adulthood (35-44)",worksheet[[#This Row],[age]]&lt; 55,"4. Mature Adulthood (45-54)",TRUE,"5. Late Adulthood/Senior (55+)")</f>
        <v>4. Mature Adulthood (45-54)</v>
      </c>
      <c r="D2709" t="s">
        <v>41</v>
      </c>
      <c r="E2709" t="s">
        <v>22</v>
      </c>
      <c r="F2709" s="4">
        <v>28.47</v>
      </c>
      <c r="G2709" s="5">
        <v>15</v>
      </c>
      <c r="H2709" t="s">
        <v>23</v>
      </c>
      <c r="I2709" t="s">
        <v>46</v>
      </c>
      <c r="J2709" s="6">
        <v>13.99</v>
      </c>
      <c r="K2709">
        <v>0</v>
      </c>
      <c r="L2709" t="s">
        <v>61</v>
      </c>
      <c r="M2709" s="5">
        <v>1</v>
      </c>
      <c r="N2709" s="4">
        <v>1.78</v>
      </c>
      <c r="O2709" t="s">
        <v>30</v>
      </c>
    </row>
    <row r="2710" spans="1:15" x14ac:dyDescent="0.3">
      <c r="A2710" t="s">
        <v>894</v>
      </c>
      <c r="B2710" s="5">
        <v>54</v>
      </c>
      <c r="C2710" s="5" t="str" cm="1">
        <f t="array" ref="C2710">_xlfn.IFS(worksheet[[#This Row],[age]]&lt;25,"1. Young Adulthood (18-24)",worksheet[[#This Row],[age]]&lt; 35,"2. Early Adulthood (25-34)",worksheet[[#This Row],[age]]&lt; 45,"3. Mid Adulthood (35-44)",worksheet[[#This Row],[age]]&lt; 55,"4. Mature Adulthood (45-54)",TRUE,"5. Late Adulthood/Senior (55+)")</f>
        <v>4. Mature Adulthood (45-54)</v>
      </c>
      <c r="D2710" t="s">
        <v>15</v>
      </c>
      <c r="E2710" t="s">
        <v>22</v>
      </c>
      <c r="F2710" s="4">
        <v>0.37</v>
      </c>
      <c r="G2710" s="5">
        <v>39</v>
      </c>
      <c r="H2710" t="s">
        <v>70</v>
      </c>
      <c r="I2710" t="s">
        <v>57</v>
      </c>
      <c r="J2710" s="6">
        <v>13.99</v>
      </c>
      <c r="K2710">
        <v>1</v>
      </c>
      <c r="L2710" t="s">
        <v>61</v>
      </c>
      <c r="M2710" s="5">
        <v>4</v>
      </c>
      <c r="N2710" s="4">
        <v>0.01</v>
      </c>
      <c r="O2710" t="s">
        <v>25</v>
      </c>
    </row>
    <row r="2711" spans="1:15" x14ac:dyDescent="0.3">
      <c r="A2711" t="s">
        <v>901</v>
      </c>
      <c r="B2711" s="5">
        <v>51</v>
      </c>
      <c r="C2711" s="5" t="str" cm="1">
        <f t="array" ref="C2711">_xlfn.IFS(worksheet[[#This Row],[age]]&lt;25,"1. Young Adulthood (18-24)",worksheet[[#This Row],[age]]&lt; 35,"2. Early Adulthood (25-34)",worksheet[[#This Row],[age]]&lt; 45,"3. Mid Adulthood (35-44)",worksheet[[#This Row],[age]]&lt; 55,"4. Mature Adulthood (45-54)",TRUE,"5. Late Adulthood/Senior (55+)")</f>
        <v>4. Mature Adulthood (45-54)</v>
      </c>
      <c r="D2711" t="s">
        <v>15</v>
      </c>
      <c r="E2711" t="s">
        <v>16</v>
      </c>
      <c r="F2711" s="4">
        <v>15.14</v>
      </c>
      <c r="G2711" s="5">
        <v>17</v>
      </c>
      <c r="H2711" t="s">
        <v>70</v>
      </c>
      <c r="I2711" t="s">
        <v>55</v>
      </c>
      <c r="J2711" s="6">
        <v>8.99</v>
      </c>
      <c r="K2711">
        <v>0</v>
      </c>
      <c r="L2711" t="s">
        <v>19</v>
      </c>
      <c r="M2711" s="5">
        <v>4</v>
      </c>
      <c r="N2711" s="4">
        <v>0.84</v>
      </c>
      <c r="O2711" t="s">
        <v>52</v>
      </c>
    </row>
    <row r="2712" spans="1:15" x14ac:dyDescent="0.3">
      <c r="A2712" s="1" t="s">
        <v>905</v>
      </c>
      <c r="B2712" s="5">
        <v>54</v>
      </c>
      <c r="C2712" s="5" t="str" cm="1">
        <f t="array" ref="C2712">_xlfn.IFS(worksheet[[#This Row],[age]]&lt;25,"1. Young Adulthood (18-24)",worksheet[[#This Row],[age]]&lt; 35,"2. Early Adulthood (25-34)",worksheet[[#This Row],[age]]&lt; 45,"3. Mid Adulthood (35-44)",worksheet[[#This Row],[age]]&lt; 55,"4. Mature Adulthood (45-54)",TRUE,"5. Late Adulthood/Senior (55+)")</f>
        <v>4. Mature Adulthood (45-54)</v>
      </c>
      <c r="D2712" t="s">
        <v>41</v>
      </c>
      <c r="E2712" t="s">
        <v>22</v>
      </c>
      <c r="F2712" s="4">
        <v>3.47</v>
      </c>
      <c r="G2712" s="5">
        <v>31</v>
      </c>
      <c r="H2712" t="s">
        <v>23</v>
      </c>
      <c r="I2712" t="s">
        <v>46</v>
      </c>
      <c r="J2712" s="6">
        <v>13.99</v>
      </c>
      <c r="K2712">
        <v>1</v>
      </c>
      <c r="L2712" t="s">
        <v>29</v>
      </c>
      <c r="M2712" s="5">
        <v>5</v>
      </c>
      <c r="N2712" s="4">
        <v>0.11</v>
      </c>
      <c r="O2712" t="s">
        <v>25</v>
      </c>
    </row>
    <row r="2713" spans="1:15" x14ac:dyDescent="0.3">
      <c r="A2713" t="s">
        <v>919</v>
      </c>
      <c r="B2713" s="5">
        <v>48</v>
      </c>
      <c r="C2713" s="5" t="str" cm="1">
        <f t="array" ref="C2713">_xlfn.IFS(worksheet[[#This Row],[age]]&lt;25,"1. Young Adulthood (18-24)",worksheet[[#This Row],[age]]&lt; 35,"2. Early Adulthood (25-34)",worksheet[[#This Row],[age]]&lt; 45,"3. Mid Adulthood (35-44)",worksheet[[#This Row],[age]]&lt; 55,"4. Mature Adulthood (45-54)",TRUE,"5. Late Adulthood/Senior (55+)")</f>
        <v>4. Mature Adulthood (45-54)</v>
      </c>
      <c r="D2713" t="s">
        <v>27</v>
      </c>
      <c r="E2713" t="s">
        <v>32</v>
      </c>
      <c r="F2713" s="4">
        <v>9.65</v>
      </c>
      <c r="G2713" s="5">
        <v>60</v>
      </c>
      <c r="H2713" t="s">
        <v>33</v>
      </c>
      <c r="I2713" t="s">
        <v>46</v>
      </c>
      <c r="J2713" s="6">
        <v>17.989999999999998</v>
      </c>
      <c r="K2713">
        <v>1</v>
      </c>
      <c r="L2713" t="s">
        <v>19</v>
      </c>
      <c r="M2713" s="5">
        <v>4</v>
      </c>
      <c r="N2713" s="4">
        <v>0.16</v>
      </c>
      <c r="O2713" t="s">
        <v>30</v>
      </c>
    </row>
    <row r="2714" spans="1:15" x14ac:dyDescent="0.3">
      <c r="A2714" t="s">
        <v>923</v>
      </c>
      <c r="B2714" s="5">
        <v>46</v>
      </c>
      <c r="C2714" s="5" t="str" cm="1">
        <f t="array" ref="C2714">_xlfn.IFS(worksheet[[#This Row],[age]]&lt;25,"1. Young Adulthood (18-24)",worksheet[[#This Row],[age]]&lt; 35,"2. Early Adulthood (25-34)",worksheet[[#This Row],[age]]&lt; 45,"3. Mid Adulthood (35-44)",worksheet[[#This Row],[age]]&lt; 55,"4. Mature Adulthood (45-54)",TRUE,"5. Late Adulthood/Senior (55+)")</f>
        <v>4. Mature Adulthood (45-54)</v>
      </c>
      <c r="D2714" t="s">
        <v>27</v>
      </c>
      <c r="E2714" t="s">
        <v>22</v>
      </c>
      <c r="F2714" s="4">
        <v>19.63</v>
      </c>
      <c r="G2714" s="5">
        <v>30</v>
      </c>
      <c r="H2714" t="s">
        <v>70</v>
      </c>
      <c r="I2714" t="s">
        <v>24</v>
      </c>
      <c r="J2714" s="6">
        <v>13.99</v>
      </c>
      <c r="K2714">
        <v>0</v>
      </c>
      <c r="L2714" t="s">
        <v>61</v>
      </c>
      <c r="M2714" s="5">
        <v>1</v>
      </c>
      <c r="N2714" s="4">
        <v>0.63</v>
      </c>
      <c r="O2714" t="s">
        <v>47</v>
      </c>
    </row>
    <row r="2715" spans="1:15" x14ac:dyDescent="0.3">
      <c r="A2715" t="s">
        <v>929</v>
      </c>
      <c r="B2715" s="5">
        <v>54</v>
      </c>
      <c r="C2715" s="5" t="str" cm="1">
        <f t="array" ref="C2715">_xlfn.IFS(worksheet[[#This Row],[age]]&lt;25,"1. Young Adulthood (18-24)",worksheet[[#This Row],[age]]&lt; 35,"2. Early Adulthood (25-34)",worksheet[[#This Row],[age]]&lt; 45,"3. Mid Adulthood (35-44)",worksheet[[#This Row],[age]]&lt; 55,"4. Mature Adulthood (45-54)",TRUE,"5. Late Adulthood/Senior (55+)")</f>
        <v>4. Mature Adulthood (45-54)</v>
      </c>
      <c r="D2715" t="s">
        <v>27</v>
      </c>
      <c r="E2715" t="s">
        <v>22</v>
      </c>
      <c r="F2715" s="4">
        <v>8.41</v>
      </c>
      <c r="G2715" s="5">
        <v>55</v>
      </c>
      <c r="H2715" t="s">
        <v>70</v>
      </c>
      <c r="I2715" t="s">
        <v>24</v>
      </c>
      <c r="J2715" s="6">
        <v>13.99</v>
      </c>
      <c r="K2715">
        <v>1</v>
      </c>
      <c r="L2715" t="s">
        <v>29</v>
      </c>
      <c r="M2715" s="5">
        <v>4</v>
      </c>
      <c r="N2715" s="4">
        <v>0.15</v>
      </c>
      <c r="O2715" t="s">
        <v>25</v>
      </c>
    </row>
    <row r="2716" spans="1:15" x14ac:dyDescent="0.3">
      <c r="A2716" t="s">
        <v>932</v>
      </c>
      <c r="B2716" s="5">
        <v>54</v>
      </c>
      <c r="C2716" s="5" t="str" cm="1">
        <f t="array" ref="C2716">_xlfn.IFS(worksheet[[#This Row],[age]]&lt;25,"1. Young Adulthood (18-24)",worksheet[[#This Row],[age]]&lt; 35,"2. Early Adulthood (25-34)",worksheet[[#This Row],[age]]&lt; 45,"3. Mid Adulthood (35-44)",worksheet[[#This Row],[age]]&lt; 55,"4. Mature Adulthood (45-54)",TRUE,"5. Late Adulthood/Senior (55+)")</f>
        <v>4. Mature Adulthood (45-54)</v>
      </c>
      <c r="D2716" t="s">
        <v>27</v>
      </c>
      <c r="E2716" t="s">
        <v>32</v>
      </c>
      <c r="F2716" s="4">
        <v>11.96</v>
      </c>
      <c r="G2716" s="5">
        <v>37</v>
      </c>
      <c r="H2716" t="s">
        <v>33</v>
      </c>
      <c r="I2716" t="s">
        <v>55</v>
      </c>
      <c r="J2716" s="6">
        <v>17.989999999999998</v>
      </c>
      <c r="K2716">
        <v>1</v>
      </c>
      <c r="L2716" t="s">
        <v>19</v>
      </c>
      <c r="M2716" s="5">
        <v>3</v>
      </c>
      <c r="N2716" s="4">
        <v>0.31</v>
      </c>
      <c r="O2716" t="s">
        <v>39</v>
      </c>
    </row>
    <row r="2717" spans="1:15" x14ac:dyDescent="0.3">
      <c r="A2717" t="s">
        <v>944</v>
      </c>
      <c r="B2717" s="5">
        <v>47</v>
      </c>
      <c r="C2717" s="5" t="str" cm="1">
        <f t="array" ref="C2717">_xlfn.IFS(worksheet[[#This Row],[age]]&lt;25,"1. Young Adulthood (18-24)",worksheet[[#This Row],[age]]&lt; 35,"2. Early Adulthood (25-34)",worksheet[[#This Row],[age]]&lt; 45,"3. Mid Adulthood (35-44)",worksheet[[#This Row],[age]]&lt; 55,"4. Mature Adulthood (45-54)",TRUE,"5. Late Adulthood/Senior (55+)")</f>
        <v>4. Mature Adulthood (45-54)</v>
      </c>
      <c r="D2717" t="s">
        <v>15</v>
      </c>
      <c r="E2717" t="s">
        <v>32</v>
      </c>
      <c r="F2717" s="4">
        <v>3.99</v>
      </c>
      <c r="G2717" s="5">
        <v>53</v>
      </c>
      <c r="H2717" t="s">
        <v>17</v>
      </c>
      <c r="I2717" t="s">
        <v>24</v>
      </c>
      <c r="J2717" s="6">
        <v>17.989999999999998</v>
      </c>
      <c r="K2717">
        <v>1</v>
      </c>
      <c r="L2717" t="s">
        <v>19</v>
      </c>
      <c r="M2717" s="5">
        <v>2</v>
      </c>
      <c r="N2717" s="4">
        <v>7.0000000000000007E-2</v>
      </c>
      <c r="O2717" t="s">
        <v>25</v>
      </c>
    </row>
    <row r="2718" spans="1:15" x14ac:dyDescent="0.3">
      <c r="A2718" t="s">
        <v>945</v>
      </c>
      <c r="B2718" s="5">
        <v>49</v>
      </c>
      <c r="C2718" s="5" t="str" cm="1">
        <f t="array" ref="C2718">_xlfn.IFS(worksheet[[#This Row],[age]]&lt;25,"1. Young Adulthood (18-24)",worksheet[[#This Row],[age]]&lt; 35,"2. Early Adulthood (25-34)",worksheet[[#This Row],[age]]&lt; 45,"3. Mid Adulthood (35-44)",worksheet[[#This Row],[age]]&lt; 55,"4. Mature Adulthood (45-54)",TRUE,"5. Late Adulthood/Senior (55+)")</f>
        <v>4. Mature Adulthood (45-54)</v>
      </c>
      <c r="D2718" t="s">
        <v>41</v>
      </c>
      <c r="E2718" t="s">
        <v>16</v>
      </c>
      <c r="F2718" s="4">
        <v>3.34</v>
      </c>
      <c r="G2718" s="5">
        <v>50</v>
      </c>
      <c r="H2718" t="s">
        <v>17</v>
      </c>
      <c r="I2718" t="s">
        <v>46</v>
      </c>
      <c r="J2718" s="6">
        <v>8.99</v>
      </c>
      <c r="K2718">
        <v>1</v>
      </c>
      <c r="L2718" t="s">
        <v>61</v>
      </c>
      <c r="M2718" s="5">
        <v>5</v>
      </c>
      <c r="N2718" s="4">
        <v>7.0000000000000007E-2</v>
      </c>
      <c r="O2718" t="s">
        <v>25</v>
      </c>
    </row>
    <row r="2719" spans="1:15" x14ac:dyDescent="0.3">
      <c r="A2719" t="s">
        <v>954</v>
      </c>
      <c r="B2719" s="5">
        <v>51</v>
      </c>
      <c r="C2719" s="5" t="str" cm="1">
        <f t="array" ref="C2719">_xlfn.IFS(worksheet[[#This Row],[age]]&lt;25,"1. Young Adulthood (18-24)",worksheet[[#This Row],[age]]&lt; 35,"2. Early Adulthood (25-34)",worksheet[[#This Row],[age]]&lt; 45,"3. Mid Adulthood (35-44)",worksheet[[#This Row],[age]]&lt; 55,"4. Mature Adulthood (45-54)",TRUE,"5. Late Adulthood/Senior (55+)")</f>
        <v>4. Mature Adulthood (45-54)</v>
      </c>
      <c r="D2719" t="s">
        <v>15</v>
      </c>
      <c r="E2719" t="s">
        <v>16</v>
      </c>
      <c r="F2719" s="4">
        <v>7.53</v>
      </c>
      <c r="G2719" s="5">
        <v>39</v>
      </c>
      <c r="H2719" t="s">
        <v>17</v>
      </c>
      <c r="I2719" t="s">
        <v>24</v>
      </c>
      <c r="J2719" s="6">
        <v>8.99</v>
      </c>
      <c r="K2719">
        <v>1</v>
      </c>
      <c r="L2719" t="s">
        <v>61</v>
      </c>
      <c r="M2719" s="5">
        <v>3</v>
      </c>
      <c r="N2719" s="4">
        <v>0.19</v>
      </c>
      <c r="O2719" t="s">
        <v>30</v>
      </c>
    </row>
    <row r="2720" spans="1:15" x14ac:dyDescent="0.3">
      <c r="A2720" t="s">
        <v>955</v>
      </c>
      <c r="B2720" s="5">
        <v>46</v>
      </c>
      <c r="C2720" s="5" t="str" cm="1">
        <f t="array" ref="C2720">_xlfn.IFS(worksheet[[#This Row],[age]]&lt;25,"1. Young Adulthood (18-24)",worksheet[[#This Row],[age]]&lt; 35,"2. Early Adulthood (25-34)",worksheet[[#This Row],[age]]&lt; 45,"3. Mid Adulthood (35-44)",worksheet[[#This Row],[age]]&lt; 55,"4. Mature Adulthood (45-54)",TRUE,"5. Late Adulthood/Senior (55+)")</f>
        <v>4. Mature Adulthood (45-54)</v>
      </c>
      <c r="D2720" t="s">
        <v>27</v>
      </c>
      <c r="E2720" t="s">
        <v>22</v>
      </c>
      <c r="F2720" s="4">
        <v>13.41</v>
      </c>
      <c r="G2720" s="5">
        <v>42</v>
      </c>
      <c r="H2720" t="s">
        <v>33</v>
      </c>
      <c r="I2720" t="s">
        <v>57</v>
      </c>
      <c r="J2720" s="6">
        <v>13.99</v>
      </c>
      <c r="K2720">
        <v>1</v>
      </c>
      <c r="L2720" t="s">
        <v>29</v>
      </c>
      <c r="M2720" s="5">
        <v>1</v>
      </c>
      <c r="N2720" s="4">
        <v>0.31</v>
      </c>
      <c r="O2720" t="s">
        <v>30</v>
      </c>
    </row>
    <row r="2721" spans="1:15" x14ac:dyDescent="0.3">
      <c r="A2721" t="s">
        <v>976</v>
      </c>
      <c r="B2721" s="5">
        <v>53</v>
      </c>
      <c r="C2721" s="5" t="str" cm="1">
        <f t="array" ref="C2721">_xlfn.IFS(worksheet[[#This Row],[age]]&lt;25,"1. Young Adulthood (18-24)",worksheet[[#This Row],[age]]&lt; 35,"2. Early Adulthood (25-34)",worksheet[[#This Row],[age]]&lt; 45,"3. Mid Adulthood (35-44)",worksheet[[#This Row],[age]]&lt; 55,"4. Mature Adulthood (45-54)",TRUE,"5. Late Adulthood/Senior (55+)")</f>
        <v>4. Mature Adulthood (45-54)</v>
      </c>
      <c r="D2721" t="s">
        <v>27</v>
      </c>
      <c r="E2721" t="s">
        <v>16</v>
      </c>
      <c r="F2721" s="4">
        <v>7.94</v>
      </c>
      <c r="G2721" s="5">
        <v>12</v>
      </c>
      <c r="H2721" t="s">
        <v>23</v>
      </c>
      <c r="I2721" t="s">
        <v>24</v>
      </c>
      <c r="J2721" s="6">
        <v>8.99</v>
      </c>
      <c r="K2721">
        <v>0</v>
      </c>
      <c r="L2721" t="s">
        <v>43</v>
      </c>
      <c r="M2721" s="5">
        <v>1</v>
      </c>
      <c r="N2721" s="4">
        <v>0.61</v>
      </c>
      <c r="O2721" t="s">
        <v>52</v>
      </c>
    </row>
    <row r="2722" spans="1:15" x14ac:dyDescent="0.3">
      <c r="A2722" t="s">
        <v>977</v>
      </c>
      <c r="B2722" s="5">
        <v>53</v>
      </c>
      <c r="C2722" s="5" t="str" cm="1">
        <f t="array" ref="C2722">_xlfn.IFS(worksheet[[#This Row],[age]]&lt;25,"1. Young Adulthood (18-24)",worksheet[[#This Row],[age]]&lt; 35,"2. Early Adulthood (25-34)",worksheet[[#This Row],[age]]&lt; 45,"3. Mid Adulthood (35-44)",worksheet[[#This Row],[age]]&lt; 55,"4. Mature Adulthood (45-54)",TRUE,"5. Late Adulthood/Senior (55+)")</f>
        <v>4. Mature Adulthood (45-54)</v>
      </c>
      <c r="D2722" t="s">
        <v>41</v>
      </c>
      <c r="E2722" t="s">
        <v>32</v>
      </c>
      <c r="F2722" s="4">
        <v>2.72</v>
      </c>
      <c r="G2722" s="5">
        <v>8</v>
      </c>
      <c r="H2722" t="s">
        <v>28</v>
      </c>
      <c r="I2722" t="s">
        <v>55</v>
      </c>
      <c r="J2722" s="6">
        <v>17.989999999999998</v>
      </c>
      <c r="K2722">
        <v>1</v>
      </c>
      <c r="L2722" t="s">
        <v>29</v>
      </c>
      <c r="M2722" s="5">
        <v>1</v>
      </c>
      <c r="N2722" s="4">
        <v>0.3</v>
      </c>
      <c r="O2722" t="s">
        <v>39</v>
      </c>
    </row>
    <row r="2723" spans="1:15" x14ac:dyDescent="0.3">
      <c r="A2723" t="s">
        <v>980</v>
      </c>
      <c r="B2723" s="5">
        <v>47</v>
      </c>
      <c r="C2723" s="5" t="str" cm="1">
        <f t="array" ref="C2723">_xlfn.IFS(worksheet[[#This Row],[age]]&lt;25,"1. Young Adulthood (18-24)",worksheet[[#This Row],[age]]&lt; 35,"2. Early Adulthood (25-34)",worksheet[[#This Row],[age]]&lt; 45,"3. Mid Adulthood (35-44)",worksheet[[#This Row],[age]]&lt; 55,"4. Mature Adulthood (45-54)",TRUE,"5. Late Adulthood/Senior (55+)")</f>
        <v>4. Mature Adulthood (45-54)</v>
      </c>
      <c r="D2723" t="s">
        <v>27</v>
      </c>
      <c r="E2723" t="s">
        <v>16</v>
      </c>
      <c r="F2723" s="4">
        <v>6.51</v>
      </c>
      <c r="G2723" s="5">
        <v>58</v>
      </c>
      <c r="H2723" t="s">
        <v>28</v>
      </c>
      <c r="I2723" t="s">
        <v>46</v>
      </c>
      <c r="J2723" s="6">
        <v>8.99</v>
      </c>
      <c r="K2723">
        <v>1</v>
      </c>
      <c r="L2723" t="s">
        <v>19</v>
      </c>
      <c r="M2723" s="5">
        <v>5</v>
      </c>
      <c r="N2723" s="4">
        <v>0.11</v>
      </c>
      <c r="O2723" t="s">
        <v>52</v>
      </c>
    </row>
    <row r="2724" spans="1:15" x14ac:dyDescent="0.3">
      <c r="A2724" t="s">
        <v>983</v>
      </c>
      <c r="B2724" s="5">
        <v>47</v>
      </c>
      <c r="C2724" s="5" t="str" cm="1">
        <f t="array" ref="C2724">_xlfn.IFS(worksheet[[#This Row],[age]]&lt;25,"1. Young Adulthood (18-24)",worksheet[[#This Row],[age]]&lt; 35,"2. Early Adulthood (25-34)",worksheet[[#This Row],[age]]&lt; 45,"3. Mid Adulthood (35-44)",worksheet[[#This Row],[age]]&lt; 55,"4. Mature Adulthood (45-54)",TRUE,"5. Late Adulthood/Senior (55+)")</f>
        <v>4. Mature Adulthood (45-54)</v>
      </c>
      <c r="D2724" t="s">
        <v>27</v>
      </c>
      <c r="E2724" t="s">
        <v>16</v>
      </c>
      <c r="F2724" s="4">
        <v>16.29</v>
      </c>
      <c r="G2724" s="5">
        <v>57</v>
      </c>
      <c r="H2724" t="s">
        <v>70</v>
      </c>
      <c r="I2724" t="s">
        <v>57</v>
      </c>
      <c r="J2724" s="6">
        <v>8.99</v>
      </c>
      <c r="K2724">
        <v>1</v>
      </c>
      <c r="L2724" t="s">
        <v>61</v>
      </c>
      <c r="M2724" s="5">
        <v>3</v>
      </c>
      <c r="N2724" s="4">
        <v>0.28000000000000003</v>
      </c>
      <c r="O2724" t="s">
        <v>34</v>
      </c>
    </row>
    <row r="2725" spans="1:15" x14ac:dyDescent="0.3">
      <c r="A2725" t="s">
        <v>990</v>
      </c>
      <c r="B2725" s="5">
        <v>49</v>
      </c>
      <c r="C2725" s="5" t="str" cm="1">
        <f t="array" ref="C2725">_xlfn.IFS(worksheet[[#This Row],[age]]&lt;25,"1. Young Adulthood (18-24)",worksheet[[#This Row],[age]]&lt; 35,"2. Early Adulthood (25-34)",worksheet[[#This Row],[age]]&lt; 45,"3. Mid Adulthood (35-44)",worksheet[[#This Row],[age]]&lt; 55,"4. Mature Adulthood (45-54)",TRUE,"5. Late Adulthood/Senior (55+)")</f>
        <v>4. Mature Adulthood (45-54)</v>
      </c>
      <c r="D2725" t="s">
        <v>27</v>
      </c>
      <c r="E2725" t="s">
        <v>22</v>
      </c>
      <c r="F2725" s="4">
        <v>10.83</v>
      </c>
      <c r="G2725" s="5">
        <v>56</v>
      </c>
      <c r="H2725" t="s">
        <v>23</v>
      </c>
      <c r="I2725" t="s">
        <v>24</v>
      </c>
      <c r="J2725" s="6">
        <v>13.99</v>
      </c>
      <c r="K2725">
        <v>1</v>
      </c>
      <c r="L2725" t="s">
        <v>19</v>
      </c>
      <c r="M2725" s="5">
        <v>1</v>
      </c>
      <c r="N2725" s="4">
        <v>0.19</v>
      </c>
      <c r="O2725" t="s">
        <v>25</v>
      </c>
    </row>
    <row r="2726" spans="1:15" x14ac:dyDescent="0.3">
      <c r="A2726" t="s">
        <v>994</v>
      </c>
      <c r="B2726" s="5">
        <v>51</v>
      </c>
      <c r="C2726" s="5" t="str" cm="1">
        <f t="array" ref="C2726">_xlfn.IFS(worksheet[[#This Row],[age]]&lt;25,"1. Young Adulthood (18-24)",worksheet[[#This Row],[age]]&lt; 35,"2. Early Adulthood (25-34)",worksheet[[#This Row],[age]]&lt; 45,"3. Mid Adulthood (35-44)",worksheet[[#This Row],[age]]&lt; 55,"4. Mature Adulthood (45-54)",TRUE,"5. Late Adulthood/Senior (55+)")</f>
        <v>4. Mature Adulthood (45-54)</v>
      </c>
      <c r="D2726" t="s">
        <v>15</v>
      </c>
      <c r="E2726" t="s">
        <v>32</v>
      </c>
      <c r="F2726" s="4">
        <v>8</v>
      </c>
      <c r="G2726" s="5">
        <v>11</v>
      </c>
      <c r="H2726" t="s">
        <v>49</v>
      </c>
      <c r="I2726" t="s">
        <v>18</v>
      </c>
      <c r="J2726" s="6">
        <v>17.989999999999998</v>
      </c>
      <c r="K2726">
        <v>0</v>
      </c>
      <c r="L2726" t="s">
        <v>29</v>
      </c>
      <c r="M2726" s="5">
        <v>1</v>
      </c>
      <c r="N2726" s="4">
        <v>0.67</v>
      </c>
      <c r="O2726" t="s">
        <v>25</v>
      </c>
    </row>
    <row r="2727" spans="1:15" x14ac:dyDescent="0.3">
      <c r="A2727" t="s">
        <v>1003</v>
      </c>
      <c r="B2727" s="5">
        <v>50</v>
      </c>
      <c r="C2727" s="5" t="str" cm="1">
        <f t="array" ref="C2727">_xlfn.IFS(worksheet[[#This Row],[age]]&lt;25,"1. Young Adulthood (18-24)",worksheet[[#This Row],[age]]&lt; 35,"2. Early Adulthood (25-34)",worksheet[[#This Row],[age]]&lt; 45,"3. Mid Adulthood (35-44)",worksheet[[#This Row],[age]]&lt; 55,"4. Mature Adulthood (45-54)",TRUE,"5. Late Adulthood/Senior (55+)")</f>
        <v>4. Mature Adulthood (45-54)</v>
      </c>
      <c r="D2727" t="s">
        <v>15</v>
      </c>
      <c r="E2727" t="s">
        <v>32</v>
      </c>
      <c r="F2727" s="4">
        <v>21.92</v>
      </c>
      <c r="G2727" s="5">
        <v>6</v>
      </c>
      <c r="H2727" t="s">
        <v>28</v>
      </c>
      <c r="I2727" t="s">
        <v>24</v>
      </c>
      <c r="J2727" s="6">
        <v>17.989999999999998</v>
      </c>
      <c r="K2727">
        <v>0</v>
      </c>
      <c r="L2727" t="s">
        <v>43</v>
      </c>
      <c r="M2727" s="5">
        <v>1</v>
      </c>
      <c r="N2727" s="4">
        <v>3.13</v>
      </c>
      <c r="O2727" t="s">
        <v>52</v>
      </c>
    </row>
    <row r="2728" spans="1:15" x14ac:dyDescent="0.3">
      <c r="A2728" t="s">
        <v>1015</v>
      </c>
      <c r="B2728" s="5">
        <v>49</v>
      </c>
      <c r="C2728" s="5" t="str" cm="1">
        <f t="array" ref="C2728">_xlfn.IFS(worksheet[[#This Row],[age]]&lt;25,"1. Young Adulthood (18-24)",worksheet[[#This Row],[age]]&lt; 35,"2. Early Adulthood (25-34)",worksheet[[#This Row],[age]]&lt; 45,"3. Mid Adulthood (35-44)",worksheet[[#This Row],[age]]&lt; 55,"4. Mature Adulthood (45-54)",TRUE,"5. Late Adulthood/Senior (55+)")</f>
        <v>4. Mature Adulthood (45-54)</v>
      </c>
      <c r="D2728" t="s">
        <v>41</v>
      </c>
      <c r="E2728" t="s">
        <v>22</v>
      </c>
      <c r="F2728" s="4">
        <v>3.91</v>
      </c>
      <c r="G2728" s="5">
        <v>10</v>
      </c>
      <c r="H2728" t="s">
        <v>33</v>
      </c>
      <c r="I2728" t="s">
        <v>18</v>
      </c>
      <c r="J2728" s="6">
        <v>13.99</v>
      </c>
      <c r="K2728">
        <v>1</v>
      </c>
      <c r="L2728" t="s">
        <v>19</v>
      </c>
      <c r="M2728" s="5">
        <v>3</v>
      </c>
      <c r="N2728" s="4">
        <v>0.36</v>
      </c>
      <c r="O2728" t="s">
        <v>39</v>
      </c>
    </row>
    <row r="2729" spans="1:15" x14ac:dyDescent="0.3">
      <c r="A2729" t="s">
        <v>1016</v>
      </c>
      <c r="B2729" s="5">
        <v>46</v>
      </c>
      <c r="C2729" s="5" t="str" cm="1">
        <f t="array" ref="C2729">_xlfn.IFS(worksheet[[#This Row],[age]]&lt;25,"1. Young Adulthood (18-24)",worksheet[[#This Row],[age]]&lt; 35,"2. Early Adulthood (25-34)",worksheet[[#This Row],[age]]&lt; 45,"3. Mid Adulthood (35-44)",worksheet[[#This Row],[age]]&lt; 55,"4. Mature Adulthood (45-54)",TRUE,"5. Late Adulthood/Senior (55+)")</f>
        <v>4. Mature Adulthood (45-54)</v>
      </c>
      <c r="D2729" t="s">
        <v>15</v>
      </c>
      <c r="E2729" t="s">
        <v>22</v>
      </c>
      <c r="F2729" s="4">
        <v>16.420000000000002</v>
      </c>
      <c r="G2729" s="5">
        <v>58</v>
      </c>
      <c r="H2729" t="s">
        <v>17</v>
      </c>
      <c r="I2729" t="s">
        <v>24</v>
      </c>
      <c r="J2729" s="6">
        <v>13.99</v>
      </c>
      <c r="K2729">
        <v>1</v>
      </c>
      <c r="L2729" t="s">
        <v>37</v>
      </c>
      <c r="M2729" s="5">
        <v>2</v>
      </c>
      <c r="N2729" s="4">
        <v>0.28000000000000003</v>
      </c>
      <c r="O2729" t="s">
        <v>47</v>
      </c>
    </row>
    <row r="2730" spans="1:15" x14ac:dyDescent="0.3">
      <c r="A2730" t="s">
        <v>1017</v>
      </c>
      <c r="B2730" s="5">
        <v>46</v>
      </c>
      <c r="C2730" s="5" t="str" cm="1">
        <f t="array" ref="C2730">_xlfn.IFS(worksheet[[#This Row],[age]]&lt;25,"1. Young Adulthood (18-24)",worksheet[[#This Row],[age]]&lt; 35,"2. Early Adulthood (25-34)",worksheet[[#This Row],[age]]&lt; 45,"3. Mid Adulthood (35-44)",worksheet[[#This Row],[age]]&lt; 55,"4. Mature Adulthood (45-54)",TRUE,"5. Late Adulthood/Senior (55+)")</f>
        <v>4. Mature Adulthood (45-54)</v>
      </c>
      <c r="D2730" t="s">
        <v>27</v>
      </c>
      <c r="E2730" t="s">
        <v>32</v>
      </c>
      <c r="F2730" s="4">
        <v>2.09</v>
      </c>
      <c r="G2730" s="5">
        <v>36</v>
      </c>
      <c r="H2730" t="s">
        <v>70</v>
      </c>
      <c r="I2730" t="s">
        <v>24</v>
      </c>
      <c r="J2730" s="6">
        <v>17.989999999999998</v>
      </c>
      <c r="K2730">
        <v>1</v>
      </c>
      <c r="L2730" t="s">
        <v>37</v>
      </c>
      <c r="M2730" s="5">
        <v>3</v>
      </c>
      <c r="N2730" s="4">
        <v>0.06</v>
      </c>
      <c r="O2730" t="s">
        <v>25</v>
      </c>
    </row>
    <row r="2731" spans="1:15" x14ac:dyDescent="0.3">
      <c r="A2731" t="s">
        <v>1018</v>
      </c>
      <c r="B2731" s="5">
        <v>48</v>
      </c>
      <c r="C2731" s="5" t="str" cm="1">
        <f t="array" ref="C2731">_xlfn.IFS(worksheet[[#This Row],[age]]&lt;25,"1. Young Adulthood (18-24)",worksheet[[#This Row],[age]]&lt; 35,"2. Early Adulthood (25-34)",worksheet[[#This Row],[age]]&lt; 45,"3. Mid Adulthood (35-44)",worksheet[[#This Row],[age]]&lt; 55,"4. Mature Adulthood (45-54)",TRUE,"5. Late Adulthood/Senior (55+)")</f>
        <v>4. Mature Adulthood (45-54)</v>
      </c>
      <c r="D2731" t="s">
        <v>27</v>
      </c>
      <c r="E2731" t="s">
        <v>16</v>
      </c>
      <c r="F2731" s="4">
        <v>5.22</v>
      </c>
      <c r="G2731" s="5">
        <v>51</v>
      </c>
      <c r="H2731" t="s">
        <v>23</v>
      </c>
      <c r="I2731" t="s">
        <v>18</v>
      </c>
      <c r="J2731" s="6">
        <v>8.99</v>
      </c>
      <c r="K2731">
        <v>1</v>
      </c>
      <c r="L2731" t="s">
        <v>19</v>
      </c>
      <c r="M2731" s="5">
        <v>2</v>
      </c>
      <c r="N2731" s="4">
        <v>0.1</v>
      </c>
      <c r="O2731" t="s">
        <v>52</v>
      </c>
    </row>
    <row r="2732" spans="1:15" x14ac:dyDescent="0.3">
      <c r="A2732" t="s">
        <v>1025</v>
      </c>
      <c r="B2732" s="5">
        <v>52</v>
      </c>
      <c r="C2732" s="5" t="str" cm="1">
        <f t="array" ref="C2732">_xlfn.IFS(worksheet[[#This Row],[age]]&lt;25,"1. Young Adulthood (18-24)",worksheet[[#This Row],[age]]&lt; 35,"2. Early Adulthood (25-34)",worksheet[[#This Row],[age]]&lt; 45,"3. Mid Adulthood (35-44)",worksheet[[#This Row],[age]]&lt; 55,"4. Mature Adulthood (45-54)",TRUE,"5. Late Adulthood/Senior (55+)")</f>
        <v>4. Mature Adulthood (45-54)</v>
      </c>
      <c r="D2732" t="s">
        <v>15</v>
      </c>
      <c r="E2732" t="s">
        <v>32</v>
      </c>
      <c r="F2732" s="4">
        <v>26.94</v>
      </c>
      <c r="G2732" s="5">
        <v>6</v>
      </c>
      <c r="H2732" t="s">
        <v>70</v>
      </c>
      <c r="I2732" t="s">
        <v>55</v>
      </c>
      <c r="J2732" s="6">
        <v>17.989999999999998</v>
      </c>
      <c r="K2732">
        <v>0</v>
      </c>
      <c r="L2732" t="s">
        <v>29</v>
      </c>
      <c r="M2732" s="5">
        <v>3</v>
      </c>
      <c r="N2732" s="4">
        <v>3.85</v>
      </c>
      <c r="O2732" t="s">
        <v>52</v>
      </c>
    </row>
    <row r="2733" spans="1:15" x14ac:dyDescent="0.3">
      <c r="A2733" t="s">
        <v>1030</v>
      </c>
      <c r="B2733" s="5">
        <v>51</v>
      </c>
      <c r="C2733" s="5" t="str" cm="1">
        <f t="array" ref="C2733">_xlfn.IFS(worksheet[[#This Row],[age]]&lt;25,"1. Young Adulthood (18-24)",worksheet[[#This Row],[age]]&lt; 35,"2. Early Adulthood (25-34)",worksheet[[#This Row],[age]]&lt; 45,"3. Mid Adulthood (35-44)",worksheet[[#This Row],[age]]&lt; 55,"4. Mature Adulthood (45-54)",TRUE,"5. Late Adulthood/Senior (55+)")</f>
        <v>4. Mature Adulthood (45-54)</v>
      </c>
      <c r="D2733" t="s">
        <v>15</v>
      </c>
      <c r="E2733" t="s">
        <v>22</v>
      </c>
      <c r="F2733" s="4">
        <v>16.03</v>
      </c>
      <c r="G2733" s="5">
        <v>48</v>
      </c>
      <c r="H2733" t="s">
        <v>17</v>
      </c>
      <c r="I2733" t="s">
        <v>57</v>
      </c>
      <c r="J2733" s="6">
        <v>13.99</v>
      </c>
      <c r="K2733">
        <v>1</v>
      </c>
      <c r="L2733" t="s">
        <v>29</v>
      </c>
      <c r="M2733" s="5">
        <v>4</v>
      </c>
      <c r="N2733" s="4">
        <v>0.33</v>
      </c>
      <c r="O2733" t="s">
        <v>39</v>
      </c>
    </row>
    <row r="2734" spans="1:15" x14ac:dyDescent="0.3">
      <c r="A2734" t="s">
        <v>1031</v>
      </c>
      <c r="B2734" s="5">
        <v>53</v>
      </c>
      <c r="C2734" s="5" t="str" cm="1">
        <f t="array" ref="C2734">_xlfn.IFS(worksheet[[#This Row],[age]]&lt;25,"1. Young Adulthood (18-24)",worksheet[[#This Row],[age]]&lt; 35,"2. Early Adulthood (25-34)",worksheet[[#This Row],[age]]&lt; 45,"3. Mid Adulthood (35-44)",worksheet[[#This Row],[age]]&lt; 55,"4. Mature Adulthood (45-54)",TRUE,"5. Late Adulthood/Senior (55+)")</f>
        <v>4. Mature Adulthood (45-54)</v>
      </c>
      <c r="D2734" t="s">
        <v>41</v>
      </c>
      <c r="E2734" t="s">
        <v>22</v>
      </c>
      <c r="F2734" s="4">
        <v>7.88</v>
      </c>
      <c r="G2734" s="5">
        <v>23</v>
      </c>
      <c r="H2734" t="s">
        <v>49</v>
      </c>
      <c r="I2734" t="s">
        <v>18</v>
      </c>
      <c r="J2734" s="6">
        <v>13.99</v>
      </c>
      <c r="K2734">
        <v>0</v>
      </c>
      <c r="L2734" t="s">
        <v>61</v>
      </c>
      <c r="M2734" s="5">
        <v>1</v>
      </c>
      <c r="N2734" s="4">
        <v>0.33</v>
      </c>
      <c r="O2734" t="s">
        <v>34</v>
      </c>
    </row>
    <row r="2735" spans="1:15" x14ac:dyDescent="0.3">
      <c r="A2735" t="s">
        <v>1032</v>
      </c>
      <c r="B2735" s="5">
        <v>50</v>
      </c>
      <c r="C2735" s="5" t="str" cm="1">
        <f t="array" ref="C2735">_xlfn.IFS(worksheet[[#This Row],[age]]&lt;25,"1. Young Adulthood (18-24)",worksheet[[#This Row],[age]]&lt; 35,"2. Early Adulthood (25-34)",worksheet[[#This Row],[age]]&lt; 45,"3. Mid Adulthood (35-44)",worksheet[[#This Row],[age]]&lt; 55,"4. Mature Adulthood (45-54)",TRUE,"5. Late Adulthood/Senior (55+)")</f>
        <v>4. Mature Adulthood (45-54)</v>
      </c>
      <c r="D2735" t="s">
        <v>27</v>
      </c>
      <c r="E2735" t="s">
        <v>32</v>
      </c>
      <c r="F2735" s="4">
        <v>3.81</v>
      </c>
      <c r="G2735" s="5">
        <v>53</v>
      </c>
      <c r="H2735" t="s">
        <v>23</v>
      </c>
      <c r="I2735" t="s">
        <v>24</v>
      </c>
      <c r="J2735" s="6">
        <v>17.989999999999998</v>
      </c>
      <c r="K2735">
        <v>1</v>
      </c>
      <c r="L2735" t="s">
        <v>19</v>
      </c>
      <c r="M2735" s="5">
        <v>1</v>
      </c>
      <c r="N2735" s="4">
        <v>7.0000000000000007E-2</v>
      </c>
      <c r="O2735" t="s">
        <v>25</v>
      </c>
    </row>
    <row r="2736" spans="1:15" x14ac:dyDescent="0.3">
      <c r="A2736" t="s">
        <v>1037</v>
      </c>
      <c r="B2736" s="5">
        <v>50</v>
      </c>
      <c r="C2736" s="5" t="str" cm="1">
        <f t="array" ref="C2736">_xlfn.IFS(worksheet[[#This Row],[age]]&lt;25,"1. Young Adulthood (18-24)",worksheet[[#This Row],[age]]&lt; 35,"2. Early Adulthood (25-34)",worksheet[[#This Row],[age]]&lt; 45,"3. Mid Adulthood (35-44)",worksheet[[#This Row],[age]]&lt; 55,"4. Mature Adulthood (45-54)",TRUE,"5. Late Adulthood/Senior (55+)")</f>
        <v>4. Mature Adulthood (45-54)</v>
      </c>
      <c r="D2736" t="s">
        <v>15</v>
      </c>
      <c r="E2736" t="s">
        <v>16</v>
      </c>
      <c r="F2736" s="4">
        <v>7.86</v>
      </c>
      <c r="G2736" s="5">
        <v>55</v>
      </c>
      <c r="H2736" t="s">
        <v>28</v>
      </c>
      <c r="I2736" t="s">
        <v>18</v>
      </c>
      <c r="J2736" s="6">
        <v>8.99</v>
      </c>
      <c r="K2736">
        <v>1</v>
      </c>
      <c r="L2736" t="s">
        <v>19</v>
      </c>
      <c r="M2736" s="5">
        <v>1</v>
      </c>
      <c r="N2736" s="4">
        <v>0.14000000000000001</v>
      </c>
      <c r="O2736" t="s">
        <v>30</v>
      </c>
    </row>
    <row r="2737" spans="1:15" x14ac:dyDescent="0.3">
      <c r="A2737" t="s">
        <v>1039</v>
      </c>
      <c r="B2737" s="5">
        <v>54</v>
      </c>
      <c r="C2737" s="5" t="str" cm="1">
        <f t="array" ref="C2737">_xlfn.IFS(worksheet[[#This Row],[age]]&lt;25,"1. Young Adulthood (18-24)",worksheet[[#This Row],[age]]&lt; 35,"2. Early Adulthood (25-34)",worksheet[[#This Row],[age]]&lt; 45,"3. Mid Adulthood (35-44)",worksheet[[#This Row],[age]]&lt; 55,"4. Mature Adulthood (45-54)",TRUE,"5. Late Adulthood/Senior (55+)")</f>
        <v>4. Mature Adulthood (45-54)</v>
      </c>
      <c r="D2737" t="s">
        <v>15</v>
      </c>
      <c r="E2737" t="s">
        <v>32</v>
      </c>
      <c r="F2737" s="4">
        <v>6.83</v>
      </c>
      <c r="G2737" s="5">
        <v>53</v>
      </c>
      <c r="H2737" t="s">
        <v>33</v>
      </c>
      <c r="I2737" t="s">
        <v>18</v>
      </c>
      <c r="J2737" s="6">
        <v>17.989999999999998</v>
      </c>
      <c r="K2737">
        <v>0</v>
      </c>
      <c r="L2737" t="s">
        <v>37</v>
      </c>
      <c r="M2737" s="5">
        <v>4</v>
      </c>
      <c r="N2737" s="4">
        <v>0.13</v>
      </c>
      <c r="O2737" t="s">
        <v>52</v>
      </c>
    </row>
    <row r="2738" spans="1:15" x14ac:dyDescent="0.3">
      <c r="A2738" t="s">
        <v>1046</v>
      </c>
      <c r="B2738" s="5">
        <v>49</v>
      </c>
      <c r="C2738" s="5" t="str" cm="1">
        <f t="array" ref="C2738">_xlfn.IFS(worksheet[[#This Row],[age]]&lt;25,"1. Young Adulthood (18-24)",worksheet[[#This Row],[age]]&lt; 35,"2. Early Adulthood (25-34)",worksheet[[#This Row],[age]]&lt; 45,"3. Mid Adulthood (35-44)",worksheet[[#This Row],[age]]&lt; 55,"4. Mature Adulthood (45-54)",TRUE,"5. Late Adulthood/Senior (55+)")</f>
        <v>4. Mature Adulthood (45-54)</v>
      </c>
      <c r="D2738" t="s">
        <v>15</v>
      </c>
      <c r="E2738" t="s">
        <v>16</v>
      </c>
      <c r="F2738" s="4">
        <v>25.4</v>
      </c>
      <c r="G2738" s="5">
        <v>47</v>
      </c>
      <c r="H2738" t="s">
        <v>70</v>
      </c>
      <c r="I2738" t="s">
        <v>46</v>
      </c>
      <c r="J2738" s="6">
        <v>8.99</v>
      </c>
      <c r="K2738">
        <v>0</v>
      </c>
      <c r="L2738" t="s">
        <v>29</v>
      </c>
      <c r="M2738" s="5">
        <v>4</v>
      </c>
      <c r="N2738" s="4">
        <v>0.53</v>
      </c>
      <c r="O2738" t="s">
        <v>52</v>
      </c>
    </row>
    <row r="2739" spans="1:15" x14ac:dyDescent="0.3">
      <c r="A2739" t="s">
        <v>1048</v>
      </c>
      <c r="B2739" s="5">
        <v>49</v>
      </c>
      <c r="C2739" s="5" t="str" cm="1">
        <f t="array" ref="C2739">_xlfn.IFS(worksheet[[#This Row],[age]]&lt;25,"1. Young Adulthood (18-24)",worksheet[[#This Row],[age]]&lt; 35,"2. Early Adulthood (25-34)",worksheet[[#This Row],[age]]&lt; 45,"3. Mid Adulthood (35-44)",worksheet[[#This Row],[age]]&lt; 55,"4. Mature Adulthood (45-54)",TRUE,"5. Late Adulthood/Senior (55+)")</f>
        <v>4. Mature Adulthood (45-54)</v>
      </c>
      <c r="D2739" t="s">
        <v>15</v>
      </c>
      <c r="E2739" t="s">
        <v>32</v>
      </c>
      <c r="F2739" s="4">
        <v>6.23</v>
      </c>
      <c r="G2739" s="5">
        <v>12</v>
      </c>
      <c r="H2739" t="s">
        <v>23</v>
      </c>
      <c r="I2739" t="s">
        <v>46</v>
      </c>
      <c r="J2739" s="6">
        <v>17.989999999999998</v>
      </c>
      <c r="K2739">
        <v>0</v>
      </c>
      <c r="L2739" t="s">
        <v>37</v>
      </c>
      <c r="M2739" s="5">
        <v>2</v>
      </c>
      <c r="N2739" s="4">
        <v>0.48</v>
      </c>
      <c r="O2739" t="s">
        <v>30</v>
      </c>
    </row>
    <row r="2740" spans="1:15" x14ac:dyDescent="0.3">
      <c r="A2740" t="s">
        <v>1051</v>
      </c>
      <c r="B2740" s="5">
        <v>47</v>
      </c>
      <c r="C2740" s="5" t="str" cm="1">
        <f t="array" ref="C2740">_xlfn.IFS(worksheet[[#This Row],[age]]&lt;25,"1. Young Adulthood (18-24)",worksheet[[#This Row],[age]]&lt; 35,"2. Early Adulthood (25-34)",worksheet[[#This Row],[age]]&lt; 45,"3. Mid Adulthood (35-44)",worksheet[[#This Row],[age]]&lt; 55,"4. Mature Adulthood (45-54)",TRUE,"5. Late Adulthood/Senior (55+)")</f>
        <v>4. Mature Adulthood (45-54)</v>
      </c>
      <c r="D2740" t="s">
        <v>27</v>
      </c>
      <c r="E2740" t="s">
        <v>32</v>
      </c>
      <c r="F2740" s="4">
        <v>14.8</v>
      </c>
      <c r="G2740" s="5">
        <v>43</v>
      </c>
      <c r="H2740" t="s">
        <v>23</v>
      </c>
      <c r="I2740" t="s">
        <v>18</v>
      </c>
      <c r="J2740" s="6">
        <v>17.989999999999998</v>
      </c>
      <c r="K2740">
        <v>1</v>
      </c>
      <c r="L2740" t="s">
        <v>61</v>
      </c>
      <c r="M2740" s="5">
        <v>3</v>
      </c>
      <c r="N2740" s="4">
        <v>0.34</v>
      </c>
      <c r="O2740" t="s">
        <v>39</v>
      </c>
    </row>
    <row r="2741" spans="1:15" x14ac:dyDescent="0.3">
      <c r="A2741" t="s">
        <v>1056</v>
      </c>
      <c r="B2741" s="5">
        <v>52</v>
      </c>
      <c r="C2741" s="5" t="str" cm="1">
        <f t="array" ref="C2741">_xlfn.IFS(worksheet[[#This Row],[age]]&lt;25,"1. Young Adulthood (18-24)",worksheet[[#This Row],[age]]&lt; 35,"2. Early Adulthood (25-34)",worksheet[[#This Row],[age]]&lt; 45,"3. Mid Adulthood (35-44)",worksheet[[#This Row],[age]]&lt; 55,"4. Mature Adulthood (45-54)",TRUE,"5. Late Adulthood/Senior (55+)")</f>
        <v>4. Mature Adulthood (45-54)</v>
      </c>
      <c r="D2741" t="s">
        <v>27</v>
      </c>
      <c r="E2741" t="s">
        <v>16</v>
      </c>
      <c r="F2741" s="4">
        <v>34.130000000000003</v>
      </c>
      <c r="G2741" s="5">
        <v>32</v>
      </c>
      <c r="H2741" t="s">
        <v>49</v>
      </c>
      <c r="I2741" t="s">
        <v>55</v>
      </c>
      <c r="J2741" s="6">
        <v>8.99</v>
      </c>
      <c r="K2741">
        <v>0</v>
      </c>
      <c r="L2741" t="s">
        <v>29</v>
      </c>
      <c r="M2741" s="5">
        <v>3</v>
      </c>
      <c r="N2741" s="4">
        <v>1.03</v>
      </c>
      <c r="O2741" t="s">
        <v>47</v>
      </c>
    </row>
    <row r="2742" spans="1:15" x14ac:dyDescent="0.3">
      <c r="A2742" t="s">
        <v>1061</v>
      </c>
      <c r="B2742" s="5">
        <v>45</v>
      </c>
      <c r="C2742" s="5" t="str" cm="1">
        <f t="array" ref="C2742">_xlfn.IFS(worksheet[[#This Row],[age]]&lt;25,"1. Young Adulthood (18-24)",worksheet[[#This Row],[age]]&lt; 35,"2. Early Adulthood (25-34)",worksheet[[#This Row],[age]]&lt; 45,"3. Mid Adulthood (35-44)",worksheet[[#This Row],[age]]&lt; 55,"4. Mature Adulthood (45-54)",TRUE,"5. Late Adulthood/Senior (55+)")</f>
        <v>4. Mature Adulthood (45-54)</v>
      </c>
      <c r="D2742" t="s">
        <v>41</v>
      </c>
      <c r="E2742" t="s">
        <v>22</v>
      </c>
      <c r="F2742" s="4">
        <v>13.11</v>
      </c>
      <c r="G2742" s="5">
        <v>8</v>
      </c>
      <c r="H2742" t="s">
        <v>28</v>
      </c>
      <c r="I2742" t="s">
        <v>46</v>
      </c>
      <c r="J2742" s="6">
        <v>13.99</v>
      </c>
      <c r="K2742">
        <v>0</v>
      </c>
      <c r="L2742" t="s">
        <v>19</v>
      </c>
      <c r="M2742" s="5">
        <v>1</v>
      </c>
      <c r="N2742" s="4">
        <v>1.46</v>
      </c>
      <c r="O2742" t="s">
        <v>25</v>
      </c>
    </row>
    <row r="2743" spans="1:15" x14ac:dyDescent="0.3">
      <c r="A2743" t="s">
        <v>1064</v>
      </c>
      <c r="B2743" s="5">
        <v>45</v>
      </c>
      <c r="C2743" s="5" t="str" cm="1">
        <f t="array" ref="C2743">_xlfn.IFS(worksheet[[#This Row],[age]]&lt;25,"1. Young Adulthood (18-24)",worksheet[[#This Row],[age]]&lt; 35,"2. Early Adulthood (25-34)",worksheet[[#This Row],[age]]&lt; 45,"3. Mid Adulthood (35-44)",worksheet[[#This Row],[age]]&lt; 55,"4. Mature Adulthood (45-54)",TRUE,"5. Late Adulthood/Senior (55+)")</f>
        <v>4. Mature Adulthood (45-54)</v>
      </c>
      <c r="D2743" t="s">
        <v>41</v>
      </c>
      <c r="E2743" t="s">
        <v>16</v>
      </c>
      <c r="F2743" s="4">
        <v>6.78</v>
      </c>
      <c r="G2743" s="5">
        <v>23</v>
      </c>
      <c r="H2743" t="s">
        <v>28</v>
      </c>
      <c r="I2743" t="s">
        <v>46</v>
      </c>
      <c r="J2743" s="6">
        <v>8.99</v>
      </c>
      <c r="K2743">
        <v>0</v>
      </c>
      <c r="L2743" t="s">
        <v>43</v>
      </c>
      <c r="M2743" s="5">
        <v>2</v>
      </c>
      <c r="N2743" s="4">
        <v>0.28000000000000003</v>
      </c>
      <c r="O2743" t="s">
        <v>25</v>
      </c>
    </row>
    <row r="2744" spans="1:15" x14ac:dyDescent="0.3">
      <c r="A2744" t="s">
        <v>1071</v>
      </c>
      <c r="B2744" s="5">
        <v>46</v>
      </c>
      <c r="C2744" s="5" t="str" cm="1">
        <f t="array" ref="C2744">_xlfn.IFS(worksheet[[#This Row],[age]]&lt;25,"1. Young Adulthood (18-24)",worksheet[[#This Row],[age]]&lt; 35,"2. Early Adulthood (25-34)",worksheet[[#This Row],[age]]&lt; 45,"3. Mid Adulthood (35-44)",worksheet[[#This Row],[age]]&lt; 55,"4. Mature Adulthood (45-54)",TRUE,"5. Late Adulthood/Senior (55+)")</f>
        <v>4. Mature Adulthood (45-54)</v>
      </c>
      <c r="D2744" t="s">
        <v>27</v>
      </c>
      <c r="E2744" t="s">
        <v>16</v>
      </c>
      <c r="F2744" s="4">
        <v>0.49</v>
      </c>
      <c r="G2744" s="5">
        <v>35</v>
      </c>
      <c r="H2744" t="s">
        <v>17</v>
      </c>
      <c r="I2744" t="s">
        <v>24</v>
      </c>
      <c r="J2744" s="6">
        <v>8.99</v>
      </c>
      <c r="K2744">
        <v>1</v>
      </c>
      <c r="L2744" t="s">
        <v>19</v>
      </c>
      <c r="M2744" s="5">
        <v>3</v>
      </c>
      <c r="N2744" s="4">
        <v>0.01</v>
      </c>
      <c r="O2744" t="s">
        <v>30</v>
      </c>
    </row>
    <row r="2745" spans="1:15" x14ac:dyDescent="0.3">
      <c r="A2745" t="s">
        <v>1075</v>
      </c>
      <c r="B2745" s="5">
        <v>50</v>
      </c>
      <c r="C2745" s="5" t="str" cm="1">
        <f t="array" ref="C2745">_xlfn.IFS(worksheet[[#This Row],[age]]&lt;25,"1. Young Adulthood (18-24)",worksheet[[#This Row],[age]]&lt; 35,"2. Early Adulthood (25-34)",worksheet[[#This Row],[age]]&lt; 45,"3. Mid Adulthood (35-44)",worksheet[[#This Row],[age]]&lt; 55,"4. Mature Adulthood (45-54)",TRUE,"5. Late Adulthood/Senior (55+)")</f>
        <v>4. Mature Adulthood (45-54)</v>
      </c>
      <c r="D2745" t="s">
        <v>41</v>
      </c>
      <c r="E2745" t="s">
        <v>32</v>
      </c>
      <c r="F2745" s="4">
        <v>4.5999999999999996</v>
      </c>
      <c r="G2745" s="5">
        <v>6</v>
      </c>
      <c r="H2745" t="s">
        <v>70</v>
      </c>
      <c r="I2745" t="s">
        <v>57</v>
      </c>
      <c r="J2745" s="6">
        <v>17.989999999999998</v>
      </c>
      <c r="K2745">
        <v>0</v>
      </c>
      <c r="L2745" t="s">
        <v>43</v>
      </c>
      <c r="M2745" s="5">
        <v>4</v>
      </c>
      <c r="N2745" s="4">
        <v>0.66</v>
      </c>
      <c r="O2745" t="s">
        <v>25</v>
      </c>
    </row>
    <row r="2746" spans="1:15" x14ac:dyDescent="0.3">
      <c r="A2746" t="s">
        <v>1080</v>
      </c>
      <c r="B2746" s="5">
        <v>50</v>
      </c>
      <c r="C2746" s="5" t="str" cm="1">
        <f t="array" ref="C2746">_xlfn.IFS(worksheet[[#This Row],[age]]&lt;25,"1. Young Adulthood (18-24)",worksheet[[#This Row],[age]]&lt; 35,"2. Early Adulthood (25-34)",worksheet[[#This Row],[age]]&lt; 45,"3. Mid Adulthood (35-44)",worksheet[[#This Row],[age]]&lt; 55,"4. Mature Adulthood (45-54)",TRUE,"5. Late Adulthood/Senior (55+)")</f>
        <v>4. Mature Adulthood (45-54)</v>
      </c>
      <c r="D2746" t="s">
        <v>15</v>
      </c>
      <c r="E2746" t="s">
        <v>32</v>
      </c>
      <c r="F2746" s="4">
        <v>1.21</v>
      </c>
      <c r="G2746" s="5">
        <v>44</v>
      </c>
      <c r="H2746" t="s">
        <v>23</v>
      </c>
      <c r="I2746" t="s">
        <v>57</v>
      </c>
      <c r="J2746" s="6">
        <v>17.989999999999998</v>
      </c>
      <c r="K2746">
        <v>1</v>
      </c>
      <c r="L2746" t="s">
        <v>61</v>
      </c>
      <c r="M2746" s="5">
        <v>1</v>
      </c>
      <c r="N2746" s="4">
        <v>0.03</v>
      </c>
      <c r="O2746" t="s">
        <v>20</v>
      </c>
    </row>
    <row r="2747" spans="1:15" x14ac:dyDescent="0.3">
      <c r="A2747" t="s">
        <v>1089</v>
      </c>
      <c r="B2747" s="5">
        <v>53</v>
      </c>
      <c r="C2747" s="5" t="str" cm="1">
        <f t="array" ref="C2747">_xlfn.IFS(worksheet[[#This Row],[age]]&lt;25,"1. Young Adulthood (18-24)",worksheet[[#This Row],[age]]&lt; 35,"2. Early Adulthood (25-34)",worksheet[[#This Row],[age]]&lt; 45,"3. Mid Adulthood (35-44)",worksheet[[#This Row],[age]]&lt; 55,"4. Mature Adulthood (45-54)",TRUE,"5. Late Adulthood/Senior (55+)")</f>
        <v>4. Mature Adulthood (45-54)</v>
      </c>
      <c r="D2747" t="s">
        <v>27</v>
      </c>
      <c r="E2747" t="s">
        <v>16</v>
      </c>
      <c r="F2747" s="4">
        <v>20.8</v>
      </c>
      <c r="G2747" s="5">
        <v>27</v>
      </c>
      <c r="H2747" t="s">
        <v>28</v>
      </c>
      <c r="I2747" t="s">
        <v>24</v>
      </c>
      <c r="J2747" s="6">
        <v>8.99</v>
      </c>
      <c r="K2747">
        <v>0</v>
      </c>
      <c r="L2747" t="s">
        <v>19</v>
      </c>
      <c r="M2747" s="5">
        <v>5</v>
      </c>
      <c r="N2747" s="4">
        <v>0.74</v>
      </c>
      <c r="O2747" t="s">
        <v>47</v>
      </c>
    </row>
    <row r="2748" spans="1:15" x14ac:dyDescent="0.3">
      <c r="A2748" t="s">
        <v>1093</v>
      </c>
      <c r="B2748" s="5">
        <v>48</v>
      </c>
      <c r="C2748" s="5" t="str" cm="1">
        <f t="array" ref="C2748">_xlfn.IFS(worksheet[[#This Row],[age]]&lt;25,"1. Young Adulthood (18-24)",worksheet[[#This Row],[age]]&lt; 35,"2. Early Adulthood (25-34)",worksheet[[#This Row],[age]]&lt; 45,"3. Mid Adulthood (35-44)",worksheet[[#This Row],[age]]&lt; 55,"4. Mature Adulthood (45-54)",TRUE,"5. Late Adulthood/Senior (55+)")</f>
        <v>4. Mature Adulthood (45-54)</v>
      </c>
      <c r="D2748" t="s">
        <v>41</v>
      </c>
      <c r="E2748" t="s">
        <v>32</v>
      </c>
      <c r="F2748" s="4">
        <v>8.82</v>
      </c>
      <c r="G2748" s="5">
        <v>1</v>
      </c>
      <c r="H2748" t="s">
        <v>49</v>
      </c>
      <c r="I2748" t="s">
        <v>46</v>
      </c>
      <c r="J2748" s="6">
        <v>17.989999999999998</v>
      </c>
      <c r="K2748">
        <v>0</v>
      </c>
      <c r="L2748" t="s">
        <v>43</v>
      </c>
      <c r="M2748" s="5">
        <v>5</v>
      </c>
      <c r="N2748" s="4">
        <v>4.41</v>
      </c>
      <c r="O2748" t="s">
        <v>39</v>
      </c>
    </row>
    <row r="2749" spans="1:15" x14ac:dyDescent="0.3">
      <c r="A2749" t="s">
        <v>1095</v>
      </c>
      <c r="B2749" s="5">
        <v>50</v>
      </c>
      <c r="C2749" s="5" t="str" cm="1">
        <f t="array" ref="C2749">_xlfn.IFS(worksheet[[#This Row],[age]]&lt;25,"1. Young Adulthood (18-24)",worksheet[[#This Row],[age]]&lt; 35,"2. Early Adulthood (25-34)",worksheet[[#This Row],[age]]&lt; 45,"3. Mid Adulthood (35-44)",worksheet[[#This Row],[age]]&lt; 55,"4. Mature Adulthood (45-54)",TRUE,"5. Late Adulthood/Senior (55+)")</f>
        <v>4. Mature Adulthood (45-54)</v>
      </c>
      <c r="D2749" t="s">
        <v>15</v>
      </c>
      <c r="E2749" t="s">
        <v>32</v>
      </c>
      <c r="F2749" s="4">
        <v>75.900000000000006</v>
      </c>
      <c r="G2749" s="5">
        <v>40</v>
      </c>
      <c r="H2749" t="s">
        <v>49</v>
      </c>
      <c r="I2749" t="s">
        <v>24</v>
      </c>
      <c r="J2749" s="6">
        <v>17.989999999999998</v>
      </c>
      <c r="K2749">
        <v>0</v>
      </c>
      <c r="L2749" t="s">
        <v>29</v>
      </c>
      <c r="M2749" s="5">
        <v>5</v>
      </c>
      <c r="N2749" s="4">
        <v>1.85</v>
      </c>
      <c r="O2749" t="s">
        <v>20</v>
      </c>
    </row>
    <row r="2750" spans="1:15" x14ac:dyDescent="0.3">
      <c r="A2750" t="s">
        <v>1106</v>
      </c>
      <c r="B2750" s="5">
        <v>49</v>
      </c>
      <c r="C2750" s="5" t="str" cm="1">
        <f t="array" ref="C2750">_xlfn.IFS(worksheet[[#This Row],[age]]&lt;25,"1. Young Adulthood (18-24)",worksheet[[#This Row],[age]]&lt; 35,"2. Early Adulthood (25-34)",worksheet[[#This Row],[age]]&lt; 45,"3. Mid Adulthood (35-44)",worksheet[[#This Row],[age]]&lt; 55,"4. Mature Adulthood (45-54)",TRUE,"5. Late Adulthood/Senior (55+)")</f>
        <v>4. Mature Adulthood (45-54)</v>
      </c>
      <c r="D2750" t="s">
        <v>27</v>
      </c>
      <c r="E2750" t="s">
        <v>16</v>
      </c>
      <c r="F2750" s="4">
        <v>18.190000000000001</v>
      </c>
      <c r="G2750" s="5">
        <v>23</v>
      </c>
      <c r="H2750" t="s">
        <v>23</v>
      </c>
      <c r="I2750" t="s">
        <v>24</v>
      </c>
      <c r="J2750" s="6">
        <v>8.99</v>
      </c>
      <c r="K2750">
        <v>0</v>
      </c>
      <c r="L2750" t="s">
        <v>19</v>
      </c>
      <c r="M2750" s="5">
        <v>3</v>
      </c>
      <c r="N2750" s="4">
        <v>0.76</v>
      </c>
      <c r="O2750" t="s">
        <v>25</v>
      </c>
    </row>
    <row r="2751" spans="1:15" x14ac:dyDescent="0.3">
      <c r="A2751" s="1" t="s">
        <v>1107</v>
      </c>
      <c r="B2751" s="5">
        <v>52</v>
      </c>
      <c r="C2751" s="5" t="str" cm="1">
        <f t="array" ref="C2751">_xlfn.IFS(worksheet[[#This Row],[age]]&lt;25,"1. Young Adulthood (18-24)",worksheet[[#This Row],[age]]&lt; 35,"2. Early Adulthood (25-34)",worksheet[[#This Row],[age]]&lt; 45,"3. Mid Adulthood (35-44)",worksheet[[#This Row],[age]]&lt; 55,"4. Mature Adulthood (45-54)",TRUE,"5. Late Adulthood/Senior (55+)")</f>
        <v>4. Mature Adulthood (45-54)</v>
      </c>
      <c r="D2751" t="s">
        <v>41</v>
      </c>
      <c r="E2751" t="s">
        <v>32</v>
      </c>
      <c r="F2751" s="4">
        <v>10.14</v>
      </c>
      <c r="G2751" s="5">
        <v>42</v>
      </c>
      <c r="H2751" t="s">
        <v>23</v>
      </c>
      <c r="I2751" t="s">
        <v>46</v>
      </c>
      <c r="J2751" s="6">
        <v>17.989999999999998</v>
      </c>
      <c r="K2751">
        <v>0</v>
      </c>
      <c r="L2751" t="s">
        <v>61</v>
      </c>
      <c r="M2751" s="5">
        <v>5</v>
      </c>
      <c r="N2751" s="4">
        <v>0.24</v>
      </c>
      <c r="O2751" t="s">
        <v>30</v>
      </c>
    </row>
    <row r="2752" spans="1:15" x14ac:dyDescent="0.3">
      <c r="A2752" t="s">
        <v>1110</v>
      </c>
      <c r="B2752" s="5">
        <v>51</v>
      </c>
      <c r="C2752" s="5" t="str" cm="1">
        <f t="array" ref="C2752">_xlfn.IFS(worksheet[[#This Row],[age]]&lt;25,"1. Young Adulthood (18-24)",worksheet[[#This Row],[age]]&lt; 35,"2. Early Adulthood (25-34)",worksheet[[#This Row],[age]]&lt; 45,"3. Mid Adulthood (35-44)",worksheet[[#This Row],[age]]&lt; 55,"4. Mature Adulthood (45-54)",TRUE,"5. Late Adulthood/Senior (55+)")</f>
        <v>4. Mature Adulthood (45-54)</v>
      </c>
      <c r="D2752" t="s">
        <v>27</v>
      </c>
      <c r="E2752" t="s">
        <v>22</v>
      </c>
      <c r="F2752" s="4">
        <v>18.3</v>
      </c>
      <c r="G2752" s="5">
        <v>56</v>
      </c>
      <c r="H2752" t="s">
        <v>17</v>
      </c>
      <c r="I2752" t="s">
        <v>18</v>
      </c>
      <c r="J2752" s="6">
        <v>13.99</v>
      </c>
      <c r="K2752">
        <v>1</v>
      </c>
      <c r="L2752" t="s">
        <v>37</v>
      </c>
      <c r="M2752" s="5">
        <v>3</v>
      </c>
      <c r="N2752" s="4">
        <v>0.32</v>
      </c>
      <c r="O2752" t="s">
        <v>34</v>
      </c>
    </row>
    <row r="2753" spans="1:15" x14ac:dyDescent="0.3">
      <c r="A2753" t="s">
        <v>1112</v>
      </c>
      <c r="B2753" s="5">
        <v>53</v>
      </c>
      <c r="C2753" s="5" t="str" cm="1">
        <f t="array" ref="C2753">_xlfn.IFS(worksheet[[#This Row],[age]]&lt;25,"1. Young Adulthood (18-24)",worksheet[[#This Row],[age]]&lt; 35,"2. Early Adulthood (25-34)",worksheet[[#This Row],[age]]&lt; 45,"3. Mid Adulthood (35-44)",worksheet[[#This Row],[age]]&lt; 55,"4. Mature Adulthood (45-54)",TRUE,"5. Late Adulthood/Senior (55+)")</f>
        <v>4. Mature Adulthood (45-54)</v>
      </c>
      <c r="D2753" t="s">
        <v>27</v>
      </c>
      <c r="E2753" t="s">
        <v>32</v>
      </c>
      <c r="F2753" s="4">
        <v>1.25</v>
      </c>
      <c r="G2753" s="5">
        <v>37</v>
      </c>
      <c r="H2753" t="s">
        <v>28</v>
      </c>
      <c r="I2753" t="s">
        <v>24</v>
      </c>
      <c r="J2753" s="6">
        <v>17.989999999999998</v>
      </c>
      <c r="K2753">
        <v>1</v>
      </c>
      <c r="L2753" t="s">
        <v>43</v>
      </c>
      <c r="M2753" s="5">
        <v>5</v>
      </c>
      <c r="N2753" s="4">
        <v>0.03</v>
      </c>
      <c r="O2753" t="s">
        <v>20</v>
      </c>
    </row>
    <row r="2754" spans="1:15" x14ac:dyDescent="0.3">
      <c r="A2754" t="s">
        <v>1123</v>
      </c>
      <c r="B2754" s="5">
        <v>54</v>
      </c>
      <c r="C2754" s="5" t="str" cm="1">
        <f t="array" ref="C2754">_xlfn.IFS(worksheet[[#This Row],[age]]&lt;25,"1. Young Adulthood (18-24)",worksheet[[#This Row],[age]]&lt; 35,"2. Early Adulthood (25-34)",worksheet[[#This Row],[age]]&lt; 45,"3. Mid Adulthood (35-44)",worksheet[[#This Row],[age]]&lt; 55,"4. Mature Adulthood (45-54)",TRUE,"5. Late Adulthood/Senior (55+)")</f>
        <v>4. Mature Adulthood (45-54)</v>
      </c>
      <c r="D2754" t="s">
        <v>41</v>
      </c>
      <c r="E2754" t="s">
        <v>22</v>
      </c>
      <c r="F2754" s="4">
        <v>8.18</v>
      </c>
      <c r="G2754" s="5">
        <v>36</v>
      </c>
      <c r="H2754" t="s">
        <v>33</v>
      </c>
      <c r="I2754" t="s">
        <v>24</v>
      </c>
      <c r="J2754" s="6">
        <v>13.99</v>
      </c>
      <c r="K2754">
        <v>1</v>
      </c>
      <c r="L2754" t="s">
        <v>61</v>
      </c>
      <c r="M2754" s="5">
        <v>2</v>
      </c>
      <c r="N2754" s="4">
        <v>0.22</v>
      </c>
      <c r="O2754" t="s">
        <v>52</v>
      </c>
    </row>
    <row r="2755" spans="1:15" x14ac:dyDescent="0.3">
      <c r="A2755" t="s">
        <v>1125</v>
      </c>
      <c r="B2755" s="5">
        <v>54</v>
      </c>
      <c r="C2755" s="5" t="str" cm="1">
        <f t="array" ref="C2755">_xlfn.IFS(worksheet[[#This Row],[age]]&lt;25,"1. Young Adulthood (18-24)",worksheet[[#This Row],[age]]&lt; 35,"2. Early Adulthood (25-34)",worksheet[[#This Row],[age]]&lt; 45,"3. Mid Adulthood (35-44)",worksheet[[#This Row],[age]]&lt; 55,"4. Mature Adulthood (45-54)",TRUE,"5. Late Adulthood/Senior (55+)")</f>
        <v>4. Mature Adulthood (45-54)</v>
      </c>
      <c r="D2755" t="s">
        <v>15</v>
      </c>
      <c r="E2755" t="s">
        <v>16</v>
      </c>
      <c r="F2755" s="4">
        <v>12.13</v>
      </c>
      <c r="G2755" s="5">
        <v>50</v>
      </c>
      <c r="H2755" t="s">
        <v>49</v>
      </c>
      <c r="I2755" t="s">
        <v>57</v>
      </c>
      <c r="J2755" s="6">
        <v>8.99</v>
      </c>
      <c r="K2755">
        <v>1</v>
      </c>
      <c r="L2755" t="s">
        <v>29</v>
      </c>
      <c r="M2755" s="5">
        <v>1</v>
      </c>
      <c r="N2755" s="4">
        <v>0.24</v>
      </c>
      <c r="O2755" t="s">
        <v>39</v>
      </c>
    </row>
    <row r="2756" spans="1:15" x14ac:dyDescent="0.3">
      <c r="A2756" t="s">
        <v>1128</v>
      </c>
      <c r="B2756" s="5">
        <v>54</v>
      </c>
      <c r="C2756" s="5" t="str" cm="1">
        <f t="array" ref="C2756">_xlfn.IFS(worksheet[[#This Row],[age]]&lt;25,"1. Young Adulthood (18-24)",worksheet[[#This Row],[age]]&lt; 35,"2. Early Adulthood (25-34)",worksheet[[#This Row],[age]]&lt; 45,"3. Mid Adulthood (35-44)",worksheet[[#This Row],[age]]&lt; 55,"4. Mature Adulthood (45-54)",TRUE,"5. Late Adulthood/Senior (55+)")</f>
        <v>4. Mature Adulthood (45-54)</v>
      </c>
      <c r="D2756" t="s">
        <v>15</v>
      </c>
      <c r="E2756" t="s">
        <v>16</v>
      </c>
      <c r="F2756" s="4">
        <v>30.06</v>
      </c>
      <c r="G2756" s="5">
        <v>37</v>
      </c>
      <c r="H2756" t="s">
        <v>33</v>
      </c>
      <c r="I2756" t="s">
        <v>18</v>
      </c>
      <c r="J2756" s="6">
        <v>8.99</v>
      </c>
      <c r="K2756">
        <v>0</v>
      </c>
      <c r="L2756" t="s">
        <v>19</v>
      </c>
      <c r="M2756" s="5">
        <v>2</v>
      </c>
      <c r="N2756" s="4">
        <v>0.79</v>
      </c>
      <c r="O2756" t="s">
        <v>20</v>
      </c>
    </row>
    <row r="2757" spans="1:15" x14ac:dyDescent="0.3">
      <c r="A2757" t="s">
        <v>1130</v>
      </c>
      <c r="B2757" s="5">
        <v>54</v>
      </c>
      <c r="C2757" s="5" t="str" cm="1">
        <f t="array" ref="C2757">_xlfn.IFS(worksheet[[#This Row],[age]]&lt;25,"1. Young Adulthood (18-24)",worksheet[[#This Row],[age]]&lt; 35,"2. Early Adulthood (25-34)",worksheet[[#This Row],[age]]&lt; 45,"3. Mid Adulthood (35-44)",worksheet[[#This Row],[age]]&lt; 55,"4. Mature Adulthood (45-54)",TRUE,"5. Late Adulthood/Senior (55+)")</f>
        <v>4. Mature Adulthood (45-54)</v>
      </c>
      <c r="D2757" t="s">
        <v>27</v>
      </c>
      <c r="E2757" t="s">
        <v>22</v>
      </c>
      <c r="F2757" s="4">
        <v>15.72</v>
      </c>
      <c r="G2757" s="5">
        <v>0</v>
      </c>
      <c r="H2757" t="s">
        <v>17</v>
      </c>
      <c r="I2757" t="s">
        <v>24</v>
      </c>
      <c r="J2757" s="6">
        <v>13.99</v>
      </c>
      <c r="K2757">
        <v>0</v>
      </c>
      <c r="L2757" t="s">
        <v>43</v>
      </c>
      <c r="M2757" s="5">
        <v>5</v>
      </c>
      <c r="N2757" s="4">
        <v>15.72</v>
      </c>
      <c r="O2757" t="s">
        <v>39</v>
      </c>
    </row>
    <row r="2758" spans="1:15" x14ac:dyDescent="0.3">
      <c r="A2758" t="s">
        <v>1143</v>
      </c>
      <c r="B2758" s="5">
        <v>47</v>
      </c>
      <c r="C2758" s="5" t="str" cm="1">
        <f t="array" ref="C2758">_xlfn.IFS(worksheet[[#This Row],[age]]&lt;25,"1. Young Adulthood (18-24)",worksheet[[#This Row],[age]]&lt; 35,"2. Early Adulthood (25-34)",worksheet[[#This Row],[age]]&lt; 45,"3. Mid Adulthood (35-44)",worksheet[[#This Row],[age]]&lt; 55,"4. Mature Adulthood (45-54)",TRUE,"5. Late Adulthood/Senior (55+)")</f>
        <v>4. Mature Adulthood (45-54)</v>
      </c>
      <c r="D2758" t="s">
        <v>15</v>
      </c>
      <c r="E2758" t="s">
        <v>22</v>
      </c>
      <c r="F2758" s="4">
        <v>24.11</v>
      </c>
      <c r="G2758" s="5">
        <v>31</v>
      </c>
      <c r="H2758" t="s">
        <v>23</v>
      </c>
      <c r="I2758" t="s">
        <v>46</v>
      </c>
      <c r="J2758" s="6">
        <v>13.99</v>
      </c>
      <c r="K2758">
        <v>0</v>
      </c>
      <c r="L2758" t="s">
        <v>43</v>
      </c>
      <c r="M2758" s="5">
        <v>3</v>
      </c>
      <c r="N2758" s="4">
        <v>0.75</v>
      </c>
      <c r="O2758" t="s">
        <v>25</v>
      </c>
    </row>
    <row r="2759" spans="1:15" x14ac:dyDescent="0.3">
      <c r="A2759" t="s">
        <v>1151</v>
      </c>
      <c r="B2759" s="5">
        <v>45</v>
      </c>
      <c r="C2759" s="5" t="str" cm="1">
        <f t="array" ref="C2759">_xlfn.IFS(worksheet[[#This Row],[age]]&lt;25,"1. Young Adulthood (18-24)",worksheet[[#This Row],[age]]&lt; 35,"2. Early Adulthood (25-34)",worksheet[[#This Row],[age]]&lt; 45,"3. Mid Adulthood (35-44)",worksheet[[#This Row],[age]]&lt; 55,"4. Mature Adulthood (45-54)",TRUE,"5. Late Adulthood/Senior (55+)")</f>
        <v>4. Mature Adulthood (45-54)</v>
      </c>
      <c r="D2759" t="s">
        <v>27</v>
      </c>
      <c r="E2759" t="s">
        <v>32</v>
      </c>
      <c r="F2759" s="4">
        <v>11.99</v>
      </c>
      <c r="G2759" s="5">
        <v>54</v>
      </c>
      <c r="H2759" t="s">
        <v>70</v>
      </c>
      <c r="I2759" t="s">
        <v>55</v>
      </c>
      <c r="J2759" s="6">
        <v>17.989999999999998</v>
      </c>
      <c r="K2759">
        <v>1</v>
      </c>
      <c r="L2759" t="s">
        <v>61</v>
      </c>
      <c r="M2759" s="5">
        <v>2</v>
      </c>
      <c r="N2759" s="4">
        <v>0.22</v>
      </c>
      <c r="O2759" t="s">
        <v>34</v>
      </c>
    </row>
    <row r="2760" spans="1:15" x14ac:dyDescent="0.3">
      <c r="A2760" t="s">
        <v>1152</v>
      </c>
      <c r="B2760" s="5">
        <v>48</v>
      </c>
      <c r="C2760" s="5" t="str" cm="1">
        <f t="array" ref="C2760">_xlfn.IFS(worksheet[[#This Row],[age]]&lt;25,"1. Young Adulthood (18-24)",worksheet[[#This Row],[age]]&lt; 35,"2. Early Adulthood (25-34)",worksheet[[#This Row],[age]]&lt; 45,"3. Mid Adulthood (35-44)",worksheet[[#This Row],[age]]&lt; 55,"4. Mature Adulthood (45-54)",TRUE,"5. Late Adulthood/Senior (55+)")</f>
        <v>4. Mature Adulthood (45-54)</v>
      </c>
      <c r="D2760" t="s">
        <v>41</v>
      </c>
      <c r="E2760" t="s">
        <v>32</v>
      </c>
      <c r="F2760" s="4">
        <v>7.18</v>
      </c>
      <c r="G2760" s="5">
        <v>53</v>
      </c>
      <c r="H2760" t="s">
        <v>28</v>
      </c>
      <c r="I2760" t="s">
        <v>57</v>
      </c>
      <c r="J2760" s="6">
        <v>17.989999999999998</v>
      </c>
      <c r="K2760">
        <v>0</v>
      </c>
      <c r="L2760" t="s">
        <v>37</v>
      </c>
      <c r="M2760" s="5">
        <v>4</v>
      </c>
      <c r="N2760" s="4">
        <v>0.13</v>
      </c>
      <c r="O2760" t="s">
        <v>47</v>
      </c>
    </row>
    <row r="2761" spans="1:15" x14ac:dyDescent="0.3">
      <c r="A2761" t="s">
        <v>1162</v>
      </c>
      <c r="B2761" s="5">
        <v>51</v>
      </c>
      <c r="C2761" s="5" t="str" cm="1">
        <f t="array" ref="C2761">_xlfn.IFS(worksheet[[#This Row],[age]]&lt;25,"1. Young Adulthood (18-24)",worksheet[[#This Row],[age]]&lt; 35,"2. Early Adulthood (25-34)",worksheet[[#This Row],[age]]&lt; 45,"3. Mid Adulthood (35-44)",worksheet[[#This Row],[age]]&lt; 55,"4. Mature Adulthood (45-54)",TRUE,"5. Late Adulthood/Senior (55+)")</f>
        <v>4. Mature Adulthood (45-54)</v>
      </c>
      <c r="D2761" t="s">
        <v>15</v>
      </c>
      <c r="E2761" t="s">
        <v>16</v>
      </c>
      <c r="F2761" s="4">
        <v>36.619999999999997</v>
      </c>
      <c r="G2761" s="5">
        <v>43</v>
      </c>
      <c r="H2761" t="s">
        <v>70</v>
      </c>
      <c r="I2761" t="s">
        <v>46</v>
      </c>
      <c r="J2761" s="6">
        <v>8.99</v>
      </c>
      <c r="K2761">
        <v>0</v>
      </c>
      <c r="L2761" t="s">
        <v>61</v>
      </c>
      <c r="M2761" s="5">
        <v>4</v>
      </c>
      <c r="N2761" s="4">
        <v>0.83</v>
      </c>
      <c r="O2761" t="s">
        <v>34</v>
      </c>
    </row>
    <row r="2762" spans="1:15" x14ac:dyDescent="0.3">
      <c r="A2762" t="s">
        <v>1165</v>
      </c>
      <c r="B2762" s="5">
        <v>46</v>
      </c>
      <c r="C2762" s="5" t="str" cm="1">
        <f t="array" ref="C2762">_xlfn.IFS(worksheet[[#This Row],[age]]&lt;25,"1. Young Adulthood (18-24)",worksheet[[#This Row],[age]]&lt; 35,"2. Early Adulthood (25-34)",worksheet[[#This Row],[age]]&lt; 45,"3. Mid Adulthood (35-44)",worksheet[[#This Row],[age]]&lt; 55,"4. Mature Adulthood (45-54)",TRUE,"5. Late Adulthood/Senior (55+)")</f>
        <v>4. Mature Adulthood (45-54)</v>
      </c>
      <c r="D2762" t="s">
        <v>27</v>
      </c>
      <c r="E2762" t="s">
        <v>22</v>
      </c>
      <c r="F2762" s="4">
        <v>10.98</v>
      </c>
      <c r="G2762" s="5">
        <v>20</v>
      </c>
      <c r="H2762" t="s">
        <v>17</v>
      </c>
      <c r="I2762" t="s">
        <v>24</v>
      </c>
      <c r="J2762" s="6">
        <v>13.99</v>
      </c>
      <c r="K2762">
        <v>0</v>
      </c>
      <c r="L2762" t="s">
        <v>19</v>
      </c>
      <c r="M2762" s="5">
        <v>5</v>
      </c>
      <c r="N2762" s="4">
        <v>0.52</v>
      </c>
      <c r="O2762" t="s">
        <v>25</v>
      </c>
    </row>
    <row r="2763" spans="1:15" x14ac:dyDescent="0.3">
      <c r="A2763" t="s">
        <v>1173</v>
      </c>
      <c r="B2763" s="5">
        <v>45</v>
      </c>
      <c r="C2763" s="5" t="str" cm="1">
        <f t="array" ref="C2763">_xlfn.IFS(worksheet[[#This Row],[age]]&lt;25,"1. Young Adulthood (18-24)",worksheet[[#This Row],[age]]&lt; 35,"2. Early Adulthood (25-34)",worksheet[[#This Row],[age]]&lt; 45,"3. Mid Adulthood (35-44)",worksheet[[#This Row],[age]]&lt; 55,"4. Mature Adulthood (45-54)",TRUE,"5. Late Adulthood/Senior (55+)")</f>
        <v>4. Mature Adulthood (45-54)</v>
      </c>
      <c r="D2763" t="s">
        <v>41</v>
      </c>
      <c r="E2763" t="s">
        <v>16</v>
      </c>
      <c r="F2763" s="4">
        <v>5.8</v>
      </c>
      <c r="G2763" s="5">
        <v>39</v>
      </c>
      <c r="H2763" t="s">
        <v>70</v>
      </c>
      <c r="I2763" t="s">
        <v>24</v>
      </c>
      <c r="J2763" s="6">
        <v>8.99</v>
      </c>
      <c r="K2763">
        <v>1</v>
      </c>
      <c r="L2763" t="s">
        <v>37</v>
      </c>
      <c r="M2763" s="5">
        <v>4</v>
      </c>
      <c r="N2763" s="4">
        <v>0.14000000000000001</v>
      </c>
      <c r="O2763" t="s">
        <v>52</v>
      </c>
    </row>
    <row r="2764" spans="1:15" x14ac:dyDescent="0.3">
      <c r="A2764" t="s">
        <v>1179</v>
      </c>
      <c r="B2764" s="5">
        <v>46</v>
      </c>
      <c r="C2764" s="5" t="str" cm="1">
        <f t="array" ref="C2764">_xlfn.IFS(worksheet[[#This Row],[age]]&lt;25,"1. Young Adulthood (18-24)",worksheet[[#This Row],[age]]&lt; 35,"2. Early Adulthood (25-34)",worksheet[[#This Row],[age]]&lt; 45,"3. Mid Adulthood (35-44)",worksheet[[#This Row],[age]]&lt; 55,"4. Mature Adulthood (45-54)",TRUE,"5. Late Adulthood/Senior (55+)")</f>
        <v>4. Mature Adulthood (45-54)</v>
      </c>
      <c r="D2764" t="s">
        <v>15</v>
      </c>
      <c r="E2764" t="s">
        <v>16</v>
      </c>
      <c r="F2764" s="4">
        <v>8.69</v>
      </c>
      <c r="G2764" s="5">
        <v>35</v>
      </c>
      <c r="H2764" t="s">
        <v>33</v>
      </c>
      <c r="I2764" t="s">
        <v>18</v>
      </c>
      <c r="J2764" s="6">
        <v>8.99</v>
      </c>
      <c r="K2764">
        <v>1</v>
      </c>
      <c r="L2764" t="s">
        <v>19</v>
      </c>
      <c r="M2764" s="5">
        <v>1</v>
      </c>
      <c r="N2764" s="4">
        <v>0.24</v>
      </c>
      <c r="O2764" t="s">
        <v>47</v>
      </c>
    </row>
    <row r="2765" spans="1:15" x14ac:dyDescent="0.3">
      <c r="A2765" t="s">
        <v>1181</v>
      </c>
      <c r="B2765" s="5">
        <v>52</v>
      </c>
      <c r="C2765" s="5" t="str" cm="1">
        <f t="array" ref="C2765">_xlfn.IFS(worksheet[[#This Row],[age]]&lt;25,"1. Young Adulthood (18-24)",worksheet[[#This Row],[age]]&lt; 35,"2. Early Adulthood (25-34)",worksheet[[#This Row],[age]]&lt; 45,"3. Mid Adulthood (35-44)",worksheet[[#This Row],[age]]&lt; 55,"4. Mature Adulthood (45-54)",TRUE,"5. Late Adulthood/Senior (55+)")</f>
        <v>4. Mature Adulthood (45-54)</v>
      </c>
      <c r="D2765" t="s">
        <v>15</v>
      </c>
      <c r="E2765" t="s">
        <v>22</v>
      </c>
      <c r="F2765" s="4">
        <v>8.61</v>
      </c>
      <c r="G2765" s="5">
        <v>45</v>
      </c>
      <c r="H2765" t="s">
        <v>70</v>
      </c>
      <c r="I2765" t="s">
        <v>24</v>
      </c>
      <c r="J2765" s="6">
        <v>13.99</v>
      </c>
      <c r="K2765">
        <v>1</v>
      </c>
      <c r="L2765" t="s">
        <v>29</v>
      </c>
      <c r="M2765" s="5">
        <v>3</v>
      </c>
      <c r="N2765" s="4">
        <v>0.19</v>
      </c>
      <c r="O2765" t="s">
        <v>34</v>
      </c>
    </row>
    <row r="2766" spans="1:15" x14ac:dyDescent="0.3">
      <c r="A2766" t="s">
        <v>1187</v>
      </c>
      <c r="B2766" s="5">
        <v>46</v>
      </c>
      <c r="C2766" s="5" t="str" cm="1">
        <f t="array" ref="C2766">_xlfn.IFS(worksheet[[#This Row],[age]]&lt;25,"1. Young Adulthood (18-24)",worksheet[[#This Row],[age]]&lt; 35,"2. Early Adulthood (25-34)",worksheet[[#This Row],[age]]&lt; 45,"3. Mid Adulthood (35-44)",worksheet[[#This Row],[age]]&lt; 55,"4. Mature Adulthood (45-54)",TRUE,"5. Late Adulthood/Senior (55+)")</f>
        <v>4. Mature Adulthood (45-54)</v>
      </c>
      <c r="D2766" t="s">
        <v>15</v>
      </c>
      <c r="E2766" t="s">
        <v>22</v>
      </c>
      <c r="F2766" s="4">
        <v>0.83</v>
      </c>
      <c r="G2766" s="5">
        <v>12</v>
      </c>
      <c r="H2766" t="s">
        <v>49</v>
      </c>
      <c r="I2766" t="s">
        <v>24</v>
      </c>
      <c r="J2766" s="6">
        <v>13.99</v>
      </c>
      <c r="K2766">
        <v>1</v>
      </c>
      <c r="L2766" t="s">
        <v>29</v>
      </c>
      <c r="M2766" s="5">
        <v>4</v>
      </c>
      <c r="N2766" s="4">
        <v>0.06</v>
      </c>
      <c r="O2766" t="s">
        <v>47</v>
      </c>
    </row>
    <row r="2767" spans="1:15" x14ac:dyDescent="0.3">
      <c r="A2767" t="s">
        <v>1189</v>
      </c>
      <c r="B2767" s="5">
        <v>49</v>
      </c>
      <c r="C2767" s="5" t="str" cm="1">
        <f t="array" ref="C2767">_xlfn.IFS(worksheet[[#This Row],[age]]&lt;25,"1. Young Adulthood (18-24)",worksheet[[#This Row],[age]]&lt; 35,"2. Early Adulthood (25-34)",worksheet[[#This Row],[age]]&lt; 45,"3. Mid Adulthood (35-44)",worksheet[[#This Row],[age]]&lt; 55,"4. Mature Adulthood (45-54)",TRUE,"5. Late Adulthood/Senior (55+)")</f>
        <v>4. Mature Adulthood (45-54)</v>
      </c>
      <c r="D2767" t="s">
        <v>27</v>
      </c>
      <c r="E2767" t="s">
        <v>32</v>
      </c>
      <c r="F2767" s="4">
        <v>3.31</v>
      </c>
      <c r="G2767" s="5">
        <v>59</v>
      </c>
      <c r="H2767" t="s">
        <v>23</v>
      </c>
      <c r="I2767" t="s">
        <v>46</v>
      </c>
      <c r="J2767" s="6">
        <v>17.989999999999998</v>
      </c>
      <c r="K2767">
        <v>1</v>
      </c>
      <c r="L2767" t="s">
        <v>43</v>
      </c>
      <c r="M2767" s="5">
        <v>1</v>
      </c>
      <c r="N2767" s="4">
        <v>0.06</v>
      </c>
      <c r="O2767" t="s">
        <v>25</v>
      </c>
    </row>
    <row r="2768" spans="1:15" x14ac:dyDescent="0.3">
      <c r="A2768" t="s">
        <v>1209</v>
      </c>
      <c r="B2768" s="5">
        <v>51</v>
      </c>
      <c r="C2768" s="5" t="str" cm="1">
        <f t="array" ref="C2768">_xlfn.IFS(worksheet[[#This Row],[age]]&lt;25,"1. Young Adulthood (18-24)",worksheet[[#This Row],[age]]&lt; 35,"2. Early Adulthood (25-34)",worksheet[[#This Row],[age]]&lt; 45,"3. Mid Adulthood (35-44)",worksheet[[#This Row],[age]]&lt; 55,"4. Mature Adulthood (45-54)",TRUE,"5. Late Adulthood/Senior (55+)")</f>
        <v>4. Mature Adulthood (45-54)</v>
      </c>
      <c r="D2768" t="s">
        <v>27</v>
      </c>
      <c r="E2768" t="s">
        <v>22</v>
      </c>
      <c r="F2768" s="4">
        <v>13.68</v>
      </c>
      <c r="G2768" s="5">
        <v>3</v>
      </c>
      <c r="H2768" t="s">
        <v>17</v>
      </c>
      <c r="I2768" t="s">
        <v>55</v>
      </c>
      <c r="J2768" s="6">
        <v>13.99</v>
      </c>
      <c r="K2768">
        <v>0</v>
      </c>
      <c r="L2768" t="s">
        <v>43</v>
      </c>
      <c r="M2768" s="5">
        <v>4</v>
      </c>
      <c r="N2768" s="4">
        <v>3.42</v>
      </c>
      <c r="O2768" t="s">
        <v>52</v>
      </c>
    </row>
    <row r="2769" spans="1:15" x14ac:dyDescent="0.3">
      <c r="A2769" t="s">
        <v>1220</v>
      </c>
      <c r="B2769" s="5">
        <v>46</v>
      </c>
      <c r="C2769" s="5" t="str" cm="1">
        <f t="array" ref="C2769">_xlfn.IFS(worksheet[[#This Row],[age]]&lt;25,"1. Young Adulthood (18-24)",worksheet[[#This Row],[age]]&lt; 35,"2. Early Adulthood (25-34)",worksheet[[#This Row],[age]]&lt; 45,"3. Mid Adulthood (35-44)",worksheet[[#This Row],[age]]&lt; 55,"4. Mature Adulthood (45-54)",TRUE,"5. Late Adulthood/Senior (55+)")</f>
        <v>4. Mature Adulthood (45-54)</v>
      </c>
      <c r="D2769" t="s">
        <v>15</v>
      </c>
      <c r="E2769" t="s">
        <v>22</v>
      </c>
      <c r="F2769" s="4">
        <v>1.24</v>
      </c>
      <c r="G2769" s="5">
        <v>60</v>
      </c>
      <c r="H2769" t="s">
        <v>23</v>
      </c>
      <c r="I2769" t="s">
        <v>18</v>
      </c>
      <c r="J2769" s="6">
        <v>13.99</v>
      </c>
      <c r="K2769">
        <v>1</v>
      </c>
      <c r="L2769" t="s">
        <v>37</v>
      </c>
      <c r="M2769" s="5">
        <v>5</v>
      </c>
      <c r="N2769" s="4">
        <v>0.02</v>
      </c>
      <c r="O2769" t="s">
        <v>34</v>
      </c>
    </row>
    <row r="2770" spans="1:15" x14ac:dyDescent="0.3">
      <c r="A2770" t="s">
        <v>1223</v>
      </c>
      <c r="B2770" s="5">
        <v>48</v>
      </c>
      <c r="C2770" s="5" t="str" cm="1">
        <f t="array" ref="C2770">_xlfn.IFS(worksheet[[#This Row],[age]]&lt;25,"1. Young Adulthood (18-24)",worksheet[[#This Row],[age]]&lt; 35,"2. Early Adulthood (25-34)",worksheet[[#This Row],[age]]&lt; 45,"3. Mid Adulthood (35-44)",worksheet[[#This Row],[age]]&lt; 55,"4. Mature Adulthood (45-54)",TRUE,"5. Late Adulthood/Senior (55+)")</f>
        <v>4. Mature Adulthood (45-54)</v>
      </c>
      <c r="D2770" t="s">
        <v>15</v>
      </c>
      <c r="E2770" t="s">
        <v>32</v>
      </c>
      <c r="F2770" s="4">
        <v>25.07</v>
      </c>
      <c r="G2770" s="5">
        <v>29</v>
      </c>
      <c r="H2770" t="s">
        <v>70</v>
      </c>
      <c r="I2770" t="s">
        <v>57</v>
      </c>
      <c r="J2770" s="6">
        <v>17.989999999999998</v>
      </c>
      <c r="K2770">
        <v>0</v>
      </c>
      <c r="L2770" t="s">
        <v>61</v>
      </c>
      <c r="M2770" s="5">
        <v>4</v>
      </c>
      <c r="N2770" s="4">
        <v>0.84</v>
      </c>
      <c r="O2770" t="s">
        <v>30</v>
      </c>
    </row>
    <row r="2771" spans="1:15" x14ac:dyDescent="0.3">
      <c r="A2771" t="s">
        <v>1240</v>
      </c>
      <c r="B2771" s="5">
        <v>54</v>
      </c>
      <c r="C2771" s="5" t="str" cm="1">
        <f t="array" ref="C2771">_xlfn.IFS(worksheet[[#This Row],[age]]&lt;25,"1. Young Adulthood (18-24)",worksheet[[#This Row],[age]]&lt; 35,"2. Early Adulthood (25-34)",worksheet[[#This Row],[age]]&lt; 45,"3. Mid Adulthood (35-44)",worksheet[[#This Row],[age]]&lt; 55,"4. Mature Adulthood (45-54)",TRUE,"5. Late Adulthood/Senior (55+)")</f>
        <v>4. Mature Adulthood (45-54)</v>
      </c>
      <c r="D2771" t="s">
        <v>15</v>
      </c>
      <c r="E2771" t="s">
        <v>22</v>
      </c>
      <c r="F2771" s="4">
        <v>8.61</v>
      </c>
      <c r="G2771" s="5">
        <v>11</v>
      </c>
      <c r="H2771" t="s">
        <v>17</v>
      </c>
      <c r="I2771" t="s">
        <v>57</v>
      </c>
      <c r="J2771" s="6">
        <v>13.99</v>
      </c>
      <c r="K2771">
        <v>0</v>
      </c>
      <c r="L2771" t="s">
        <v>19</v>
      </c>
      <c r="M2771" s="5">
        <v>3</v>
      </c>
      <c r="N2771" s="4">
        <v>0.72</v>
      </c>
      <c r="O2771" t="s">
        <v>39</v>
      </c>
    </row>
    <row r="2772" spans="1:15" x14ac:dyDescent="0.3">
      <c r="A2772" t="s">
        <v>1241</v>
      </c>
      <c r="B2772" s="5">
        <v>48</v>
      </c>
      <c r="C2772" s="5" t="str" cm="1">
        <f t="array" ref="C2772">_xlfn.IFS(worksheet[[#This Row],[age]]&lt;25,"1. Young Adulthood (18-24)",worksheet[[#This Row],[age]]&lt; 35,"2. Early Adulthood (25-34)",worksheet[[#This Row],[age]]&lt; 45,"3. Mid Adulthood (35-44)",worksheet[[#This Row],[age]]&lt; 55,"4. Mature Adulthood (45-54)",TRUE,"5. Late Adulthood/Senior (55+)")</f>
        <v>4. Mature Adulthood (45-54)</v>
      </c>
      <c r="D2772" t="s">
        <v>41</v>
      </c>
      <c r="E2772" t="s">
        <v>32</v>
      </c>
      <c r="F2772" s="4">
        <v>4.1500000000000004</v>
      </c>
      <c r="G2772" s="5">
        <v>53</v>
      </c>
      <c r="H2772" t="s">
        <v>17</v>
      </c>
      <c r="I2772" t="s">
        <v>46</v>
      </c>
      <c r="J2772" s="6">
        <v>17.989999999999998</v>
      </c>
      <c r="K2772">
        <v>1</v>
      </c>
      <c r="L2772" t="s">
        <v>61</v>
      </c>
      <c r="M2772" s="5">
        <v>4</v>
      </c>
      <c r="N2772" s="4">
        <v>0.08</v>
      </c>
      <c r="O2772" t="s">
        <v>52</v>
      </c>
    </row>
    <row r="2773" spans="1:15" x14ac:dyDescent="0.3">
      <c r="A2773" t="s">
        <v>1244</v>
      </c>
      <c r="B2773" s="5">
        <v>53</v>
      </c>
      <c r="C2773" s="5" t="str" cm="1">
        <f t="array" ref="C2773">_xlfn.IFS(worksheet[[#This Row],[age]]&lt;25,"1. Young Adulthood (18-24)",worksheet[[#This Row],[age]]&lt; 35,"2. Early Adulthood (25-34)",worksheet[[#This Row],[age]]&lt; 45,"3. Mid Adulthood (35-44)",worksheet[[#This Row],[age]]&lt; 55,"4. Mature Adulthood (45-54)",TRUE,"5. Late Adulthood/Senior (55+)")</f>
        <v>4. Mature Adulthood (45-54)</v>
      </c>
      <c r="D2773" t="s">
        <v>27</v>
      </c>
      <c r="E2773" t="s">
        <v>22</v>
      </c>
      <c r="F2773" s="4">
        <v>20.82</v>
      </c>
      <c r="G2773" s="5">
        <v>13</v>
      </c>
      <c r="H2773" t="s">
        <v>28</v>
      </c>
      <c r="I2773" t="s">
        <v>46</v>
      </c>
      <c r="J2773" s="6">
        <v>13.99</v>
      </c>
      <c r="K2773">
        <v>0</v>
      </c>
      <c r="L2773" t="s">
        <v>61</v>
      </c>
      <c r="M2773" s="5">
        <v>2</v>
      </c>
      <c r="N2773" s="4">
        <v>1.49</v>
      </c>
      <c r="O2773" t="s">
        <v>39</v>
      </c>
    </row>
    <row r="2774" spans="1:15" x14ac:dyDescent="0.3">
      <c r="A2774" t="s">
        <v>1245</v>
      </c>
      <c r="B2774" s="5">
        <v>48</v>
      </c>
      <c r="C2774" s="5" t="str" cm="1">
        <f t="array" ref="C2774">_xlfn.IFS(worksheet[[#This Row],[age]]&lt;25,"1. Young Adulthood (18-24)",worksheet[[#This Row],[age]]&lt; 35,"2. Early Adulthood (25-34)",worksheet[[#This Row],[age]]&lt; 45,"3. Mid Adulthood (35-44)",worksheet[[#This Row],[age]]&lt; 55,"4. Mature Adulthood (45-54)",TRUE,"5. Late Adulthood/Senior (55+)")</f>
        <v>4. Mature Adulthood (45-54)</v>
      </c>
      <c r="D2774" t="s">
        <v>27</v>
      </c>
      <c r="E2774" t="s">
        <v>32</v>
      </c>
      <c r="F2774" s="4">
        <v>5.85</v>
      </c>
      <c r="G2774" s="5">
        <v>3</v>
      </c>
      <c r="H2774" t="s">
        <v>70</v>
      </c>
      <c r="I2774" t="s">
        <v>57</v>
      </c>
      <c r="J2774" s="6">
        <v>17.989999999999998</v>
      </c>
      <c r="K2774">
        <v>0</v>
      </c>
      <c r="L2774" t="s">
        <v>61</v>
      </c>
      <c r="M2774" s="5">
        <v>4</v>
      </c>
      <c r="N2774" s="4">
        <v>1.46</v>
      </c>
      <c r="O2774" t="s">
        <v>20</v>
      </c>
    </row>
    <row r="2775" spans="1:15" x14ac:dyDescent="0.3">
      <c r="A2775" t="s">
        <v>1248</v>
      </c>
      <c r="B2775" s="5">
        <v>54</v>
      </c>
      <c r="C2775" s="5" t="str" cm="1">
        <f t="array" ref="C2775">_xlfn.IFS(worksheet[[#This Row],[age]]&lt;25,"1. Young Adulthood (18-24)",worksheet[[#This Row],[age]]&lt; 35,"2. Early Adulthood (25-34)",worksheet[[#This Row],[age]]&lt; 45,"3. Mid Adulthood (35-44)",worksheet[[#This Row],[age]]&lt; 55,"4. Mature Adulthood (45-54)",TRUE,"5. Late Adulthood/Senior (55+)")</f>
        <v>4. Mature Adulthood (45-54)</v>
      </c>
      <c r="D2775" t="s">
        <v>15</v>
      </c>
      <c r="E2775" t="s">
        <v>16</v>
      </c>
      <c r="F2775" s="4">
        <v>0.5</v>
      </c>
      <c r="G2775" s="5">
        <v>54</v>
      </c>
      <c r="H2775" t="s">
        <v>28</v>
      </c>
      <c r="I2775" t="s">
        <v>55</v>
      </c>
      <c r="J2775" s="6">
        <v>8.99</v>
      </c>
      <c r="K2775">
        <v>1</v>
      </c>
      <c r="L2775" t="s">
        <v>29</v>
      </c>
      <c r="M2775" s="5">
        <v>1</v>
      </c>
      <c r="N2775" s="4">
        <v>0.01</v>
      </c>
      <c r="O2775" t="s">
        <v>47</v>
      </c>
    </row>
    <row r="2776" spans="1:15" x14ac:dyDescent="0.3">
      <c r="A2776" t="s">
        <v>1256</v>
      </c>
      <c r="B2776" s="5">
        <v>45</v>
      </c>
      <c r="C2776" s="5" t="str" cm="1">
        <f t="array" ref="C2776">_xlfn.IFS(worksheet[[#This Row],[age]]&lt;25,"1. Young Adulthood (18-24)",worksheet[[#This Row],[age]]&lt; 35,"2. Early Adulthood (25-34)",worksheet[[#This Row],[age]]&lt; 45,"3. Mid Adulthood (35-44)",worksheet[[#This Row],[age]]&lt; 55,"4. Mature Adulthood (45-54)",TRUE,"5. Late Adulthood/Senior (55+)")</f>
        <v>4. Mature Adulthood (45-54)</v>
      </c>
      <c r="D2776" t="s">
        <v>15</v>
      </c>
      <c r="E2776" t="s">
        <v>16</v>
      </c>
      <c r="F2776" s="4">
        <v>10.01</v>
      </c>
      <c r="G2776" s="5">
        <v>46</v>
      </c>
      <c r="H2776" t="s">
        <v>28</v>
      </c>
      <c r="I2776" t="s">
        <v>24</v>
      </c>
      <c r="J2776" s="6">
        <v>8.99</v>
      </c>
      <c r="K2776">
        <v>1</v>
      </c>
      <c r="L2776" t="s">
        <v>43</v>
      </c>
      <c r="M2776" s="5">
        <v>3</v>
      </c>
      <c r="N2776" s="4">
        <v>0.21</v>
      </c>
      <c r="O2776" t="s">
        <v>47</v>
      </c>
    </row>
    <row r="2777" spans="1:15" x14ac:dyDescent="0.3">
      <c r="A2777" t="s">
        <v>1268</v>
      </c>
      <c r="B2777" s="5">
        <v>53</v>
      </c>
      <c r="C2777" s="5" t="str" cm="1">
        <f t="array" ref="C2777">_xlfn.IFS(worksheet[[#This Row],[age]]&lt;25,"1. Young Adulthood (18-24)",worksheet[[#This Row],[age]]&lt; 35,"2. Early Adulthood (25-34)",worksheet[[#This Row],[age]]&lt; 45,"3. Mid Adulthood (35-44)",worksheet[[#This Row],[age]]&lt; 55,"4. Mature Adulthood (45-54)",TRUE,"5. Late Adulthood/Senior (55+)")</f>
        <v>4. Mature Adulthood (45-54)</v>
      </c>
      <c r="D2777" t="s">
        <v>41</v>
      </c>
      <c r="E2777" t="s">
        <v>32</v>
      </c>
      <c r="F2777" s="4">
        <v>7.98</v>
      </c>
      <c r="G2777" s="5">
        <v>20</v>
      </c>
      <c r="H2777" t="s">
        <v>23</v>
      </c>
      <c r="I2777" t="s">
        <v>55</v>
      </c>
      <c r="J2777" s="6">
        <v>17.989999999999998</v>
      </c>
      <c r="K2777">
        <v>0</v>
      </c>
      <c r="L2777" t="s">
        <v>61</v>
      </c>
      <c r="M2777" s="5">
        <v>3</v>
      </c>
      <c r="N2777" s="4">
        <v>0.38</v>
      </c>
      <c r="O2777" t="s">
        <v>20</v>
      </c>
    </row>
    <row r="2778" spans="1:15" x14ac:dyDescent="0.3">
      <c r="A2778" t="s">
        <v>1276</v>
      </c>
      <c r="B2778" s="5">
        <v>47</v>
      </c>
      <c r="C2778" s="5" t="str" cm="1">
        <f t="array" ref="C2778">_xlfn.IFS(worksheet[[#This Row],[age]]&lt;25,"1. Young Adulthood (18-24)",worksheet[[#This Row],[age]]&lt; 35,"2. Early Adulthood (25-34)",worksheet[[#This Row],[age]]&lt; 45,"3. Mid Adulthood (35-44)",worksheet[[#This Row],[age]]&lt; 55,"4. Mature Adulthood (45-54)",TRUE,"5. Late Adulthood/Senior (55+)")</f>
        <v>4. Mature Adulthood (45-54)</v>
      </c>
      <c r="D2778" t="s">
        <v>41</v>
      </c>
      <c r="E2778" t="s">
        <v>22</v>
      </c>
      <c r="F2778" s="4">
        <v>26.18</v>
      </c>
      <c r="G2778" s="5">
        <v>8</v>
      </c>
      <c r="H2778" t="s">
        <v>70</v>
      </c>
      <c r="I2778" t="s">
        <v>18</v>
      </c>
      <c r="J2778" s="6">
        <v>13.99</v>
      </c>
      <c r="K2778">
        <v>0</v>
      </c>
      <c r="L2778" t="s">
        <v>37</v>
      </c>
      <c r="M2778" s="5">
        <v>1</v>
      </c>
      <c r="N2778" s="4">
        <v>2.91</v>
      </c>
      <c r="O2778" t="s">
        <v>20</v>
      </c>
    </row>
    <row r="2779" spans="1:15" x14ac:dyDescent="0.3">
      <c r="A2779" t="s">
        <v>1280</v>
      </c>
      <c r="B2779" s="5">
        <v>46</v>
      </c>
      <c r="C2779" s="5" t="str" cm="1">
        <f t="array" ref="C2779">_xlfn.IFS(worksheet[[#This Row],[age]]&lt;25,"1. Young Adulthood (18-24)",worksheet[[#This Row],[age]]&lt; 35,"2. Early Adulthood (25-34)",worksheet[[#This Row],[age]]&lt; 45,"3. Mid Adulthood (35-44)",worksheet[[#This Row],[age]]&lt; 55,"4. Mature Adulthood (45-54)",TRUE,"5. Late Adulthood/Senior (55+)")</f>
        <v>4. Mature Adulthood (45-54)</v>
      </c>
      <c r="D2779" t="s">
        <v>41</v>
      </c>
      <c r="E2779" t="s">
        <v>16</v>
      </c>
      <c r="F2779" s="4">
        <v>7.08</v>
      </c>
      <c r="G2779" s="5">
        <v>23</v>
      </c>
      <c r="H2779" t="s">
        <v>28</v>
      </c>
      <c r="I2779" t="s">
        <v>55</v>
      </c>
      <c r="J2779" s="6">
        <v>8.99</v>
      </c>
      <c r="K2779">
        <v>0</v>
      </c>
      <c r="L2779" t="s">
        <v>61</v>
      </c>
      <c r="M2779" s="5">
        <v>5</v>
      </c>
      <c r="N2779" s="4">
        <v>0.28999999999999998</v>
      </c>
      <c r="O2779" t="s">
        <v>20</v>
      </c>
    </row>
    <row r="2780" spans="1:15" x14ac:dyDescent="0.3">
      <c r="A2780" t="s">
        <v>1282</v>
      </c>
      <c r="B2780" s="5">
        <v>51</v>
      </c>
      <c r="C2780" s="5" t="str" cm="1">
        <f t="array" ref="C2780">_xlfn.IFS(worksheet[[#This Row],[age]]&lt;25,"1. Young Adulthood (18-24)",worksheet[[#This Row],[age]]&lt; 35,"2. Early Adulthood (25-34)",worksheet[[#This Row],[age]]&lt; 45,"3. Mid Adulthood (35-44)",worksheet[[#This Row],[age]]&lt; 55,"4. Mature Adulthood (45-54)",TRUE,"5. Late Adulthood/Senior (55+)")</f>
        <v>4. Mature Adulthood (45-54)</v>
      </c>
      <c r="D2780" t="s">
        <v>41</v>
      </c>
      <c r="E2780" t="s">
        <v>16</v>
      </c>
      <c r="F2780" s="4">
        <v>26.04</v>
      </c>
      <c r="G2780" s="5">
        <v>8</v>
      </c>
      <c r="H2780" t="s">
        <v>49</v>
      </c>
      <c r="I2780" t="s">
        <v>46</v>
      </c>
      <c r="J2780" s="6">
        <v>8.99</v>
      </c>
      <c r="K2780">
        <v>0</v>
      </c>
      <c r="L2780" t="s">
        <v>61</v>
      </c>
      <c r="M2780" s="5">
        <v>1</v>
      </c>
      <c r="N2780" s="4">
        <v>2.89</v>
      </c>
      <c r="O2780" t="s">
        <v>39</v>
      </c>
    </row>
    <row r="2781" spans="1:15" x14ac:dyDescent="0.3">
      <c r="A2781" t="s">
        <v>1293</v>
      </c>
      <c r="B2781" s="5">
        <v>46</v>
      </c>
      <c r="C2781" s="5" t="str" cm="1">
        <f t="array" ref="C2781">_xlfn.IFS(worksheet[[#This Row],[age]]&lt;25,"1. Young Adulthood (18-24)",worksheet[[#This Row],[age]]&lt; 35,"2. Early Adulthood (25-34)",worksheet[[#This Row],[age]]&lt; 45,"3. Mid Adulthood (35-44)",worksheet[[#This Row],[age]]&lt; 55,"4. Mature Adulthood (45-54)",TRUE,"5. Late Adulthood/Senior (55+)")</f>
        <v>4. Mature Adulthood (45-54)</v>
      </c>
      <c r="D2781" t="s">
        <v>27</v>
      </c>
      <c r="E2781" t="s">
        <v>22</v>
      </c>
      <c r="F2781" s="4">
        <v>4.68</v>
      </c>
      <c r="G2781" s="5">
        <v>11</v>
      </c>
      <c r="H2781" t="s">
        <v>17</v>
      </c>
      <c r="I2781" t="s">
        <v>57</v>
      </c>
      <c r="J2781" s="6">
        <v>13.99</v>
      </c>
      <c r="K2781">
        <v>1</v>
      </c>
      <c r="L2781" t="s">
        <v>19</v>
      </c>
      <c r="M2781" s="5">
        <v>5</v>
      </c>
      <c r="N2781" s="4">
        <v>0.39</v>
      </c>
      <c r="O2781" t="s">
        <v>47</v>
      </c>
    </row>
    <row r="2782" spans="1:15" x14ac:dyDescent="0.3">
      <c r="A2782" t="s">
        <v>1296</v>
      </c>
      <c r="B2782" s="5">
        <v>51</v>
      </c>
      <c r="C2782" s="5" t="str" cm="1">
        <f t="array" ref="C2782">_xlfn.IFS(worksheet[[#This Row],[age]]&lt;25,"1. Young Adulthood (18-24)",worksheet[[#This Row],[age]]&lt; 35,"2. Early Adulthood (25-34)",worksheet[[#This Row],[age]]&lt; 45,"3. Mid Adulthood (35-44)",worksheet[[#This Row],[age]]&lt; 55,"4. Mature Adulthood (45-54)",TRUE,"5. Late Adulthood/Senior (55+)")</f>
        <v>4. Mature Adulthood (45-54)</v>
      </c>
      <c r="D2782" t="s">
        <v>27</v>
      </c>
      <c r="E2782" t="s">
        <v>32</v>
      </c>
      <c r="F2782" s="4">
        <v>8.6</v>
      </c>
      <c r="G2782" s="5">
        <v>9</v>
      </c>
      <c r="H2782" t="s">
        <v>23</v>
      </c>
      <c r="I2782" t="s">
        <v>18</v>
      </c>
      <c r="J2782" s="6">
        <v>17.989999999999998</v>
      </c>
      <c r="K2782">
        <v>0</v>
      </c>
      <c r="L2782" t="s">
        <v>19</v>
      </c>
      <c r="M2782" s="5">
        <v>1</v>
      </c>
      <c r="N2782" s="4">
        <v>0.86</v>
      </c>
      <c r="O2782" t="s">
        <v>25</v>
      </c>
    </row>
    <row r="2783" spans="1:15" x14ac:dyDescent="0.3">
      <c r="A2783" t="s">
        <v>1302</v>
      </c>
      <c r="B2783" s="5">
        <v>46</v>
      </c>
      <c r="C2783" s="5" t="str" cm="1">
        <f t="array" ref="C2783">_xlfn.IFS(worksheet[[#This Row],[age]]&lt;25,"1. Young Adulthood (18-24)",worksheet[[#This Row],[age]]&lt; 35,"2. Early Adulthood (25-34)",worksheet[[#This Row],[age]]&lt; 45,"3. Mid Adulthood (35-44)",worksheet[[#This Row],[age]]&lt; 55,"4. Mature Adulthood (45-54)",TRUE,"5. Late Adulthood/Senior (55+)")</f>
        <v>4. Mature Adulthood (45-54)</v>
      </c>
      <c r="D2783" t="s">
        <v>41</v>
      </c>
      <c r="E2783" t="s">
        <v>32</v>
      </c>
      <c r="F2783" s="4">
        <v>2.96</v>
      </c>
      <c r="G2783" s="5">
        <v>33</v>
      </c>
      <c r="H2783" t="s">
        <v>49</v>
      </c>
      <c r="I2783" t="s">
        <v>18</v>
      </c>
      <c r="J2783" s="6">
        <v>17.989999999999998</v>
      </c>
      <c r="K2783">
        <v>1</v>
      </c>
      <c r="L2783" t="s">
        <v>43</v>
      </c>
      <c r="M2783" s="5">
        <v>5</v>
      </c>
      <c r="N2783" s="4">
        <v>0.09</v>
      </c>
      <c r="O2783" t="s">
        <v>20</v>
      </c>
    </row>
    <row r="2784" spans="1:15" x14ac:dyDescent="0.3">
      <c r="A2784" t="s">
        <v>1303</v>
      </c>
      <c r="B2784" s="5">
        <v>49</v>
      </c>
      <c r="C2784" s="5" t="str" cm="1">
        <f t="array" ref="C2784">_xlfn.IFS(worksheet[[#This Row],[age]]&lt;25,"1. Young Adulthood (18-24)",worksheet[[#This Row],[age]]&lt; 35,"2. Early Adulthood (25-34)",worksheet[[#This Row],[age]]&lt; 45,"3. Mid Adulthood (35-44)",worksheet[[#This Row],[age]]&lt; 55,"4. Mature Adulthood (45-54)",TRUE,"5. Late Adulthood/Senior (55+)")</f>
        <v>4. Mature Adulthood (45-54)</v>
      </c>
      <c r="D2784" t="s">
        <v>15</v>
      </c>
      <c r="E2784" t="s">
        <v>32</v>
      </c>
      <c r="F2784" s="4">
        <v>22.29</v>
      </c>
      <c r="G2784" s="5">
        <v>19</v>
      </c>
      <c r="H2784" t="s">
        <v>17</v>
      </c>
      <c r="I2784" t="s">
        <v>57</v>
      </c>
      <c r="J2784" s="6">
        <v>17.989999999999998</v>
      </c>
      <c r="K2784">
        <v>0</v>
      </c>
      <c r="L2784" t="s">
        <v>19</v>
      </c>
      <c r="M2784" s="5">
        <v>1</v>
      </c>
      <c r="N2784" s="4">
        <v>1.1100000000000001</v>
      </c>
      <c r="O2784" t="s">
        <v>47</v>
      </c>
    </row>
    <row r="2785" spans="1:15" x14ac:dyDescent="0.3">
      <c r="A2785" t="s">
        <v>1315</v>
      </c>
      <c r="B2785" s="5">
        <v>52</v>
      </c>
      <c r="C2785" s="5" t="str" cm="1">
        <f t="array" ref="C2785">_xlfn.IFS(worksheet[[#This Row],[age]]&lt;25,"1. Young Adulthood (18-24)",worksheet[[#This Row],[age]]&lt; 35,"2. Early Adulthood (25-34)",worksheet[[#This Row],[age]]&lt; 45,"3. Mid Adulthood (35-44)",worksheet[[#This Row],[age]]&lt; 55,"4. Mature Adulthood (45-54)",TRUE,"5. Late Adulthood/Senior (55+)")</f>
        <v>4. Mature Adulthood (45-54)</v>
      </c>
      <c r="D2785" t="s">
        <v>41</v>
      </c>
      <c r="E2785" t="s">
        <v>32</v>
      </c>
      <c r="F2785" s="4">
        <v>1.92</v>
      </c>
      <c r="G2785" s="5">
        <v>0</v>
      </c>
      <c r="H2785" t="s">
        <v>70</v>
      </c>
      <c r="I2785" t="s">
        <v>18</v>
      </c>
      <c r="J2785" s="6">
        <v>17.989999999999998</v>
      </c>
      <c r="K2785">
        <v>0</v>
      </c>
      <c r="L2785" t="s">
        <v>37</v>
      </c>
      <c r="M2785" s="5">
        <v>4</v>
      </c>
      <c r="N2785" s="4">
        <v>1.92</v>
      </c>
      <c r="O2785" t="s">
        <v>20</v>
      </c>
    </row>
    <row r="2786" spans="1:15" x14ac:dyDescent="0.3">
      <c r="A2786" t="s">
        <v>1324</v>
      </c>
      <c r="B2786" s="5">
        <v>53</v>
      </c>
      <c r="C2786" s="5" t="str" cm="1">
        <f t="array" ref="C2786">_xlfn.IFS(worksheet[[#This Row],[age]]&lt;25,"1. Young Adulthood (18-24)",worksheet[[#This Row],[age]]&lt; 35,"2. Early Adulthood (25-34)",worksheet[[#This Row],[age]]&lt; 45,"3. Mid Adulthood (35-44)",worksheet[[#This Row],[age]]&lt; 55,"4. Mature Adulthood (45-54)",TRUE,"5. Late Adulthood/Senior (55+)")</f>
        <v>4. Mature Adulthood (45-54)</v>
      </c>
      <c r="D2786" t="s">
        <v>27</v>
      </c>
      <c r="E2786" t="s">
        <v>32</v>
      </c>
      <c r="F2786" s="4">
        <v>10.75</v>
      </c>
      <c r="G2786" s="5">
        <v>48</v>
      </c>
      <c r="H2786" t="s">
        <v>49</v>
      </c>
      <c r="I2786" t="s">
        <v>24</v>
      </c>
      <c r="J2786" s="6">
        <v>17.989999999999998</v>
      </c>
      <c r="K2786">
        <v>0</v>
      </c>
      <c r="L2786" t="s">
        <v>43</v>
      </c>
      <c r="M2786" s="5">
        <v>4</v>
      </c>
      <c r="N2786" s="4">
        <v>0.22</v>
      </c>
      <c r="O2786" t="s">
        <v>25</v>
      </c>
    </row>
    <row r="2787" spans="1:15" x14ac:dyDescent="0.3">
      <c r="A2787" t="s">
        <v>1337</v>
      </c>
      <c r="B2787" s="5">
        <v>46</v>
      </c>
      <c r="C2787" s="5" t="str" cm="1">
        <f t="array" ref="C2787">_xlfn.IFS(worksheet[[#This Row],[age]]&lt;25,"1. Young Adulthood (18-24)",worksheet[[#This Row],[age]]&lt; 35,"2. Early Adulthood (25-34)",worksheet[[#This Row],[age]]&lt; 45,"3. Mid Adulthood (35-44)",worksheet[[#This Row],[age]]&lt; 55,"4. Mature Adulthood (45-54)",TRUE,"5. Late Adulthood/Senior (55+)")</f>
        <v>4. Mature Adulthood (45-54)</v>
      </c>
      <c r="D2787" t="s">
        <v>27</v>
      </c>
      <c r="E2787" t="s">
        <v>16</v>
      </c>
      <c r="F2787" s="4">
        <v>5.62</v>
      </c>
      <c r="G2787" s="5">
        <v>58</v>
      </c>
      <c r="H2787" t="s">
        <v>23</v>
      </c>
      <c r="I2787" t="s">
        <v>24</v>
      </c>
      <c r="J2787" s="6">
        <v>8.99</v>
      </c>
      <c r="K2787">
        <v>1</v>
      </c>
      <c r="L2787" t="s">
        <v>43</v>
      </c>
      <c r="M2787" s="5">
        <v>4</v>
      </c>
      <c r="N2787" s="4">
        <v>0.1</v>
      </c>
      <c r="O2787" t="s">
        <v>52</v>
      </c>
    </row>
    <row r="2788" spans="1:15" x14ac:dyDescent="0.3">
      <c r="A2788" t="s">
        <v>1342</v>
      </c>
      <c r="B2788" s="5">
        <v>45</v>
      </c>
      <c r="C2788" s="5" t="str" cm="1">
        <f t="array" ref="C2788">_xlfn.IFS(worksheet[[#This Row],[age]]&lt;25,"1. Young Adulthood (18-24)",worksheet[[#This Row],[age]]&lt; 35,"2. Early Adulthood (25-34)",worksheet[[#This Row],[age]]&lt; 45,"3. Mid Adulthood (35-44)",worksheet[[#This Row],[age]]&lt; 55,"4. Mature Adulthood (45-54)",TRUE,"5. Late Adulthood/Senior (55+)")</f>
        <v>4. Mature Adulthood (45-54)</v>
      </c>
      <c r="D2788" t="s">
        <v>27</v>
      </c>
      <c r="E2788" t="s">
        <v>32</v>
      </c>
      <c r="F2788" s="4">
        <v>15.57</v>
      </c>
      <c r="G2788" s="5">
        <v>24</v>
      </c>
      <c r="H2788" t="s">
        <v>23</v>
      </c>
      <c r="I2788" t="s">
        <v>24</v>
      </c>
      <c r="J2788" s="6">
        <v>17.989999999999998</v>
      </c>
      <c r="K2788">
        <v>0</v>
      </c>
      <c r="L2788" t="s">
        <v>61</v>
      </c>
      <c r="M2788" s="5">
        <v>4</v>
      </c>
      <c r="N2788" s="4">
        <v>0.62</v>
      </c>
      <c r="O2788" t="s">
        <v>52</v>
      </c>
    </row>
    <row r="2789" spans="1:15" x14ac:dyDescent="0.3">
      <c r="A2789" t="s">
        <v>1352</v>
      </c>
      <c r="B2789" s="5">
        <v>46</v>
      </c>
      <c r="C2789" s="5" t="str" cm="1">
        <f t="array" ref="C2789">_xlfn.IFS(worksheet[[#This Row],[age]]&lt;25,"1. Young Adulthood (18-24)",worksheet[[#This Row],[age]]&lt; 35,"2. Early Adulthood (25-34)",worksheet[[#This Row],[age]]&lt; 45,"3. Mid Adulthood (35-44)",worksheet[[#This Row],[age]]&lt; 55,"4. Mature Adulthood (45-54)",TRUE,"5. Late Adulthood/Senior (55+)")</f>
        <v>4. Mature Adulthood (45-54)</v>
      </c>
      <c r="D2789" t="s">
        <v>15</v>
      </c>
      <c r="E2789" t="s">
        <v>22</v>
      </c>
      <c r="F2789" s="4">
        <v>20.57</v>
      </c>
      <c r="G2789" s="5">
        <v>43</v>
      </c>
      <c r="H2789" t="s">
        <v>28</v>
      </c>
      <c r="I2789" t="s">
        <v>24</v>
      </c>
      <c r="J2789" s="6">
        <v>13.99</v>
      </c>
      <c r="K2789">
        <v>0</v>
      </c>
      <c r="L2789" t="s">
        <v>61</v>
      </c>
      <c r="M2789" s="5">
        <v>3</v>
      </c>
      <c r="N2789" s="4">
        <v>0.47</v>
      </c>
      <c r="O2789" t="s">
        <v>30</v>
      </c>
    </row>
    <row r="2790" spans="1:15" x14ac:dyDescent="0.3">
      <c r="A2790" t="s">
        <v>1356</v>
      </c>
      <c r="B2790" s="5">
        <v>50</v>
      </c>
      <c r="C2790" s="5" t="str" cm="1">
        <f t="array" ref="C2790">_xlfn.IFS(worksheet[[#This Row],[age]]&lt;25,"1. Young Adulthood (18-24)",worksheet[[#This Row],[age]]&lt; 35,"2. Early Adulthood (25-34)",worksheet[[#This Row],[age]]&lt; 45,"3. Mid Adulthood (35-44)",worksheet[[#This Row],[age]]&lt; 55,"4. Mature Adulthood (45-54)",TRUE,"5. Late Adulthood/Senior (55+)")</f>
        <v>4. Mature Adulthood (45-54)</v>
      </c>
      <c r="D2790" t="s">
        <v>15</v>
      </c>
      <c r="E2790" t="s">
        <v>22</v>
      </c>
      <c r="F2790" s="4">
        <v>31.24</v>
      </c>
      <c r="G2790" s="5">
        <v>8</v>
      </c>
      <c r="H2790" t="s">
        <v>49</v>
      </c>
      <c r="I2790" t="s">
        <v>18</v>
      </c>
      <c r="J2790" s="6">
        <v>13.99</v>
      </c>
      <c r="K2790">
        <v>0</v>
      </c>
      <c r="L2790" t="s">
        <v>43</v>
      </c>
      <c r="M2790" s="5">
        <v>4</v>
      </c>
      <c r="N2790" s="4">
        <v>3.47</v>
      </c>
      <c r="O2790" t="s">
        <v>39</v>
      </c>
    </row>
    <row r="2791" spans="1:15" x14ac:dyDescent="0.3">
      <c r="A2791" t="s">
        <v>1361</v>
      </c>
      <c r="B2791" s="5">
        <v>53</v>
      </c>
      <c r="C2791" s="5" t="str" cm="1">
        <f t="array" ref="C2791">_xlfn.IFS(worksheet[[#This Row],[age]]&lt;25,"1. Young Adulthood (18-24)",worksheet[[#This Row],[age]]&lt; 35,"2. Early Adulthood (25-34)",worksheet[[#This Row],[age]]&lt; 45,"3. Mid Adulthood (35-44)",worksheet[[#This Row],[age]]&lt; 55,"4. Mature Adulthood (45-54)",TRUE,"5. Late Adulthood/Senior (55+)")</f>
        <v>4. Mature Adulthood (45-54)</v>
      </c>
      <c r="D2791" t="s">
        <v>41</v>
      </c>
      <c r="E2791" t="s">
        <v>22</v>
      </c>
      <c r="F2791" s="4">
        <v>3.65</v>
      </c>
      <c r="G2791" s="5">
        <v>2</v>
      </c>
      <c r="H2791" t="s">
        <v>28</v>
      </c>
      <c r="I2791" t="s">
        <v>46</v>
      </c>
      <c r="J2791" s="6">
        <v>13.99</v>
      </c>
      <c r="K2791">
        <v>0</v>
      </c>
      <c r="L2791" t="s">
        <v>43</v>
      </c>
      <c r="M2791" s="5">
        <v>4</v>
      </c>
      <c r="N2791" s="4">
        <v>1.22</v>
      </c>
      <c r="O2791" t="s">
        <v>39</v>
      </c>
    </row>
    <row r="2792" spans="1:15" x14ac:dyDescent="0.3">
      <c r="A2792" t="s">
        <v>1364</v>
      </c>
      <c r="B2792" s="5">
        <v>51</v>
      </c>
      <c r="C2792" s="5" t="str" cm="1">
        <f t="array" ref="C2792">_xlfn.IFS(worksheet[[#This Row],[age]]&lt;25,"1. Young Adulthood (18-24)",worksheet[[#This Row],[age]]&lt; 35,"2. Early Adulthood (25-34)",worksheet[[#This Row],[age]]&lt; 45,"3. Mid Adulthood (35-44)",worksheet[[#This Row],[age]]&lt; 55,"4. Mature Adulthood (45-54)",TRUE,"5. Late Adulthood/Senior (55+)")</f>
        <v>4. Mature Adulthood (45-54)</v>
      </c>
      <c r="D2792" t="s">
        <v>15</v>
      </c>
      <c r="E2792" t="s">
        <v>32</v>
      </c>
      <c r="F2792" s="4">
        <v>4.5199999999999996</v>
      </c>
      <c r="G2792" s="5">
        <v>59</v>
      </c>
      <c r="H2792" t="s">
        <v>70</v>
      </c>
      <c r="I2792" t="s">
        <v>18</v>
      </c>
      <c r="J2792" s="6">
        <v>17.989999999999998</v>
      </c>
      <c r="K2792">
        <v>1</v>
      </c>
      <c r="L2792" t="s">
        <v>29</v>
      </c>
      <c r="M2792" s="5">
        <v>3</v>
      </c>
      <c r="N2792" s="4">
        <v>0.08</v>
      </c>
      <c r="O2792" t="s">
        <v>47</v>
      </c>
    </row>
    <row r="2793" spans="1:15" x14ac:dyDescent="0.3">
      <c r="A2793" t="s">
        <v>1366</v>
      </c>
      <c r="B2793" s="5">
        <v>54</v>
      </c>
      <c r="C2793" s="5" t="str" cm="1">
        <f t="array" ref="C2793">_xlfn.IFS(worksheet[[#This Row],[age]]&lt;25,"1. Young Adulthood (18-24)",worksheet[[#This Row],[age]]&lt; 35,"2. Early Adulthood (25-34)",worksheet[[#This Row],[age]]&lt; 45,"3. Mid Adulthood (35-44)",worksheet[[#This Row],[age]]&lt; 55,"4. Mature Adulthood (45-54)",TRUE,"5. Late Adulthood/Senior (55+)")</f>
        <v>4. Mature Adulthood (45-54)</v>
      </c>
      <c r="D2793" t="s">
        <v>15</v>
      </c>
      <c r="E2793" t="s">
        <v>16</v>
      </c>
      <c r="F2793" s="4">
        <v>12.9</v>
      </c>
      <c r="G2793" s="5">
        <v>48</v>
      </c>
      <c r="H2793" t="s">
        <v>17</v>
      </c>
      <c r="I2793" t="s">
        <v>57</v>
      </c>
      <c r="J2793" s="6">
        <v>8.99</v>
      </c>
      <c r="K2793">
        <v>1</v>
      </c>
      <c r="L2793" t="s">
        <v>19</v>
      </c>
      <c r="M2793" s="5">
        <v>4</v>
      </c>
      <c r="N2793" s="4">
        <v>0.26</v>
      </c>
      <c r="O2793" t="s">
        <v>20</v>
      </c>
    </row>
    <row r="2794" spans="1:15" x14ac:dyDescent="0.3">
      <c r="A2794" t="s">
        <v>1374</v>
      </c>
      <c r="B2794" s="5">
        <v>51</v>
      </c>
      <c r="C2794" s="5" t="str" cm="1">
        <f t="array" ref="C2794">_xlfn.IFS(worksheet[[#This Row],[age]]&lt;25,"1. Young Adulthood (18-24)",worksheet[[#This Row],[age]]&lt; 35,"2. Early Adulthood (25-34)",worksheet[[#This Row],[age]]&lt; 45,"3. Mid Adulthood (35-44)",worksheet[[#This Row],[age]]&lt; 55,"4. Mature Adulthood (45-54)",TRUE,"5. Late Adulthood/Senior (55+)")</f>
        <v>4. Mature Adulthood (45-54)</v>
      </c>
      <c r="D2794" t="s">
        <v>41</v>
      </c>
      <c r="E2794" t="s">
        <v>32</v>
      </c>
      <c r="F2794" s="4">
        <v>7.8</v>
      </c>
      <c r="G2794" s="5">
        <v>59</v>
      </c>
      <c r="H2794" t="s">
        <v>70</v>
      </c>
      <c r="I2794" t="s">
        <v>55</v>
      </c>
      <c r="J2794" s="6">
        <v>17.989999999999998</v>
      </c>
      <c r="K2794">
        <v>1</v>
      </c>
      <c r="L2794" t="s">
        <v>37</v>
      </c>
      <c r="M2794" s="5">
        <v>2</v>
      </c>
      <c r="N2794" s="4">
        <v>0.13</v>
      </c>
      <c r="O2794" t="s">
        <v>39</v>
      </c>
    </row>
    <row r="2795" spans="1:15" x14ac:dyDescent="0.3">
      <c r="A2795" t="s">
        <v>1375</v>
      </c>
      <c r="B2795" s="5">
        <v>47</v>
      </c>
      <c r="C2795" s="5" t="str" cm="1">
        <f t="array" ref="C2795">_xlfn.IFS(worksheet[[#This Row],[age]]&lt;25,"1. Young Adulthood (18-24)",worksheet[[#This Row],[age]]&lt; 35,"2. Early Adulthood (25-34)",worksheet[[#This Row],[age]]&lt; 45,"3. Mid Adulthood (35-44)",worksheet[[#This Row],[age]]&lt; 55,"4. Mature Adulthood (45-54)",TRUE,"5. Late Adulthood/Senior (55+)")</f>
        <v>4. Mature Adulthood (45-54)</v>
      </c>
      <c r="D2795" t="s">
        <v>15</v>
      </c>
      <c r="E2795" t="s">
        <v>16</v>
      </c>
      <c r="F2795" s="4">
        <v>3.64</v>
      </c>
      <c r="G2795" s="5">
        <v>15</v>
      </c>
      <c r="H2795" t="s">
        <v>33</v>
      </c>
      <c r="I2795" t="s">
        <v>24</v>
      </c>
      <c r="J2795" s="6">
        <v>8.99</v>
      </c>
      <c r="K2795">
        <v>1</v>
      </c>
      <c r="L2795" t="s">
        <v>29</v>
      </c>
      <c r="M2795" s="5">
        <v>4</v>
      </c>
      <c r="N2795" s="4">
        <v>0.23</v>
      </c>
      <c r="O2795" t="s">
        <v>30</v>
      </c>
    </row>
    <row r="2796" spans="1:15" x14ac:dyDescent="0.3">
      <c r="A2796" t="s">
        <v>1382</v>
      </c>
      <c r="B2796" s="5">
        <v>46</v>
      </c>
      <c r="C2796" s="5" t="str" cm="1">
        <f t="array" ref="C2796">_xlfn.IFS(worksheet[[#This Row],[age]]&lt;25,"1. Young Adulthood (18-24)",worksheet[[#This Row],[age]]&lt; 35,"2. Early Adulthood (25-34)",worksheet[[#This Row],[age]]&lt; 45,"3. Mid Adulthood (35-44)",worksheet[[#This Row],[age]]&lt; 55,"4. Mature Adulthood (45-54)",TRUE,"5. Late Adulthood/Senior (55+)")</f>
        <v>4. Mature Adulthood (45-54)</v>
      </c>
      <c r="D2796" t="s">
        <v>41</v>
      </c>
      <c r="E2796" t="s">
        <v>32</v>
      </c>
      <c r="F2796" s="4">
        <v>30.92</v>
      </c>
      <c r="G2796" s="5">
        <v>15</v>
      </c>
      <c r="H2796" t="s">
        <v>23</v>
      </c>
      <c r="I2796" t="s">
        <v>55</v>
      </c>
      <c r="J2796" s="6">
        <v>17.989999999999998</v>
      </c>
      <c r="K2796">
        <v>0</v>
      </c>
      <c r="L2796" t="s">
        <v>61</v>
      </c>
      <c r="M2796" s="5">
        <v>5</v>
      </c>
      <c r="N2796" s="4">
        <v>1.93</v>
      </c>
      <c r="O2796" t="s">
        <v>20</v>
      </c>
    </row>
    <row r="2797" spans="1:15" x14ac:dyDescent="0.3">
      <c r="A2797" t="s">
        <v>1386</v>
      </c>
      <c r="B2797" s="5">
        <v>48</v>
      </c>
      <c r="C2797" s="5" t="str" cm="1">
        <f t="array" ref="C2797">_xlfn.IFS(worksheet[[#This Row],[age]]&lt;25,"1. Young Adulthood (18-24)",worksheet[[#This Row],[age]]&lt; 35,"2. Early Adulthood (25-34)",worksheet[[#This Row],[age]]&lt; 45,"3. Mid Adulthood (35-44)",worksheet[[#This Row],[age]]&lt; 55,"4. Mature Adulthood (45-54)",TRUE,"5. Late Adulthood/Senior (55+)")</f>
        <v>4. Mature Adulthood (45-54)</v>
      </c>
      <c r="D2797" t="s">
        <v>15</v>
      </c>
      <c r="E2797" t="s">
        <v>16</v>
      </c>
      <c r="F2797" s="4">
        <v>17.72</v>
      </c>
      <c r="G2797" s="5">
        <v>22</v>
      </c>
      <c r="H2797" t="s">
        <v>17</v>
      </c>
      <c r="I2797" t="s">
        <v>24</v>
      </c>
      <c r="J2797" s="6">
        <v>8.99</v>
      </c>
      <c r="K2797">
        <v>0</v>
      </c>
      <c r="L2797" t="s">
        <v>29</v>
      </c>
      <c r="M2797" s="5">
        <v>3</v>
      </c>
      <c r="N2797" s="4">
        <v>0.77</v>
      </c>
      <c r="O2797" t="s">
        <v>47</v>
      </c>
    </row>
    <row r="2798" spans="1:15" x14ac:dyDescent="0.3">
      <c r="A2798" t="s">
        <v>1387</v>
      </c>
      <c r="B2798" s="5">
        <v>46</v>
      </c>
      <c r="C2798" s="5" t="str" cm="1">
        <f t="array" ref="C2798">_xlfn.IFS(worksheet[[#This Row],[age]]&lt;25,"1. Young Adulthood (18-24)",worksheet[[#This Row],[age]]&lt; 35,"2. Early Adulthood (25-34)",worksheet[[#This Row],[age]]&lt; 45,"3. Mid Adulthood (35-44)",worksheet[[#This Row],[age]]&lt; 55,"4. Mature Adulthood (45-54)",TRUE,"5. Late Adulthood/Senior (55+)")</f>
        <v>4. Mature Adulthood (45-54)</v>
      </c>
      <c r="D2798" t="s">
        <v>15</v>
      </c>
      <c r="E2798" t="s">
        <v>32</v>
      </c>
      <c r="F2798" s="4">
        <v>1.76</v>
      </c>
      <c r="G2798" s="5">
        <v>28</v>
      </c>
      <c r="H2798" t="s">
        <v>33</v>
      </c>
      <c r="I2798" t="s">
        <v>55</v>
      </c>
      <c r="J2798" s="6">
        <v>17.989999999999998</v>
      </c>
      <c r="K2798">
        <v>0</v>
      </c>
      <c r="L2798" t="s">
        <v>61</v>
      </c>
      <c r="M2798" s="5">
        <v>4</v>
      </c>
      <c r="N2798" s="4">
        <v>0.06</v>
      </c>
      <c r="O2798" t="s">
        <v>52</v>
      </c>
    </row>
    <row r="2799" spans="1:15" x14ac:dyDescent="0.3">
      <c r="A2799" t="s">
        <v>1391</v>
      </c>
      <c r="B2799" s="5">
        <v>52</v>
      </c>
      <c r="C2799" s="5" t="str" cm="1">
        <f t="array" ref="C2799">_xlfn.IFS(worksheet[[#This Row],[age]]&lt;25,"1. Young Adulthood (18-24)",worksheet[[#This Row],[age]]&lt; 35,"2. Early Adulthood (25-34)",worksheet[[#This Row],[age]]&lt; 45,"3. Mid Adulthood (35-44)",worksheet[[#This Row],[age]]&lt; 55,"4. Mature Adulthood (45-54)",TRUE,"5. Late Adulthood/Senior (55+)")</f>
        <v>4. Mature Adulthood (45-54)</v>
      </c>
      <c r="D2799" t="s">
        <v>41</v>
      </c>
      <c r="E2799" t="s">
        <v>16</v>
      </c>
      <c r="F2799" s="4">
        <v>0.41</v>
      </c>
      <c r="G2799" s="5">
        <v>48</v>
      </c>
      <c r="H2799" t="s">
        <v>23</v>
      </c>
      <c r="I2799" t="s">
        <v>18</v>
      </c>
      <c r="J2799" s="6">
        <v>8.99</v>
      </c>
      <c r="K2799">
        <v>1</v>
      </c>
      <c r="L2799" t="s">
        <v>61</v>
      </c>
      <c r="M2799" s="5">
        <v>5</v>
      </c>
      <c r="N2799" s="4">
        <v>0.01</v>
      </c>
      <c r="O2799" t="s">
        <v>52</v>
      </c>
    </row>
    <row r="2800" spans="1:15" x14ac:dyDescent="0.3">
      <c r="A2800" t="s">
        <v>1393</v>
      </c>
      <c r="B2800" s="5">
        <v>46</v>
      </c>
      <c r="C2800" s="5" t="str" cm="1">
        <f t="array" ref="C2800">_xlfn.IFS(worksheet[[#This Row],[age]]&lt;25,"1. Young Adulthood (18-24)",worksheet[[#This Row],[age]]&lt; 35,"2. Early Adulthood (25-34)",worksheet[[#This Row],[age]]&lt; 45,"3. Mid Adulthood (35-44)",worksheet[[#This Row],[age]]&lt; 55,"4. Mature Adulthood (45-54)",TRUE,"5. Late Adulthood/Senior (55+)")</f>
        <v>4. Mature Adulthood (45-54)</v>
      </c>
      <c r="D2800" t="s">
        <v>15</v>
      </c>
      <c r="E2800" t="s">
        <v>32</v>
      </c>
      <c r="F2800" s="4">
        <v>7.86</v>
      </c>
      <c r="G2800" s="5">
        <v>10</v>
      </c>
      <c r="H2800" t="s">
        <v>33</v>
      </c>
      <c r="I2800" t="s">
        <v>57</v>
      </c>
      <c r="J2800" s="6">
        <v>17.989999999999998</v>
      </c>
      <c r="K2800">
        <v>0</v>
      </c>
      <c r="L2800" t="s">
        <v>61</v>
      </c>
      <c r="M2800" s="5">
        <v>1</v>
      </c>
      <c r="N2800" s="4">
        <v>0.71</v>
      </c>
      <c r="O2800" t="s">
        <v>30</v>
      </c>
    </row>
    <row r="2801" spans="1:15" x14ac:dyDescent="0.3">
      <c r="A2801" t="s">
        <v>1398</v>
      </c>
      <c r="B2801" s="5">
        <v>46</v>
      </c>
      <c r="C2801" s="5" t="str" cm="1">
        <f t="array" ref="C2801">_xlfn.IFS(worksheet[[#This Row],[age]]&lt;25,"1. Young Adulthood (18-24)",worksheet[[#This Row],[age]]&lt; 35,"2. Early Adulthood (25-34)",worksheet[[#This Row],[age]]&lt; 45,"3. Mid Adulthood (35-44)",worksheet[[#This Row],[age]]&lt; 55,"4. Mature Adulthood (45-54)",TRUE,"5. Late Adulthood/Senior (55+)")</f>
        <v>4. Mature Adulthood (45-54)</v>
      </c>
      <c r="D2801" t="s">
        <v>15</v>
      </c>
      <c r="E2801" t="s">
        <v>32</v>
      </c>
      <c r="F2801" s="4">
        <v>13.15</v>
      </c>
      <c r="G2801" s="5">
        <v>57</v>
      </c>
      <c r="H2801" t="s">
        <v>33</v>
      </c>
      <c r="I2801" t="s">
        <v>57</v>
      </c>
      <c r="J2801" s="6">
        <v>17.989999999999998</v>
      </c>
      <c r="K2801">
        <v>1</v>
      </c>
      <c r="L2801" t="s">
        <v>29</v>
      </c>
      <c r="M2801" s="5">
        <v>5</v>
      </c>
      <c r="N2801" s="4">
        <v>0.23</v>
      </c>
      <c r="O2801" t="s">
        <v>20</v>
      </c>
    </row>
    <row r="2802" spans="1:15" x14ac:dyDescent="0.3">
      <c r="A2802" s="1" t="s">
        <v>1407</v>
      </c>
      <c r="B2802" s="5">
        <v>53</v>
      </c>
      <c r="C2802" s="5" t="str" cm="1">
        <f t="array" ref="C2802">_xlfn.IFS(worksheet[[#This Row],[age]]&lt;25,"1. Young Adulthood (18-24)",worksheet[[#This Row],[age]]&lt; 35,"2. Early Adulthood (25-34)",worksheet[[#This Row],[age]]&lt; 45,"3. Mid Adulthood (35-44)",worksheet[[#This Row],[age]]&lt; 55,"4. Mature Adulthood (45-54)",TRUE,"5. Late Adulthood/Senior (55+)")</f>
        <v>4. Mature Adulthood (45-54)</v>
      </c>
      <c r="D2802" t="s">
        <v>27</v>
      </c>
      <c r="E2802" t="s">
        <v>32</v>
      </c>
      <c r="F2802" s="4">
        <v>2.89</v>
      </c>
      <c r="G2802" s="5">
        <v>22</v>
      </c>
      <c r="H2802" t="s">
        <v>49</v>
      </c>
      <c r="I2802" t="s">
        <v>24</v>
      </c>
      <c r="J2802" s="6">
        <v>17.989999999999998</v>
      </c>
      <c r="K2802">
        <v>0</v>
      </c>
      <c r="L2802" t="s">
        <v>43</v>
      </c>
      <c r="M2802" s="5">
        <v>5</v>
      </c>
      <c r="N2802" s="4">
        <v>0.13</v>
      </c>
      <c r="O2802" t="s">
        <v>52</v>
      </c>
    </row>
    <row r="2803" spans="1:15" x14ac:dyDescent="0.3">
      <c r="A2803" t="s">
        <v>1419</v>
      </c>
      <c r="B2803" s="5">
        <v>54</v>
      </c>
      <c r="C2803" s="5" t="str" cm="1">
        <f t="array" ref="C2803">_xlfn.IFS(worksheet[[#This Row],[age]]&lt;25,"1. Young Adulthood (18-24)",worksheet[[#This Row],[age]]&lt; 35,"2. Early Adulthood (25-34)",worksheet[[#This Row],[age]]&lt; 45,"3. Mid Adulthood (35-44)",worksheet[[#This Row],[age]]&lt; 55,"4. Mature Adulthood (45-54)",TRUE,"5. Late Adulthood/Senior (55+)")</f>
        <v>4. Mature Adulthood (45-54)</v>
      </c>
      <c r="D2803" t="s">
        <v>15</v>
      </c>
      <c r="E2803" t="s">
        <v>22</v>
      </c>
      <c r="F2803" s="4">
        <v>5.57</v>
      </c>
      <c r="G2803" s="5">
        <v>53</v>
      </c>
      <c r="H2803" t="s">
        <v>23</v>
      </c>
      <c r="I2803" t="s">
        <v>18</v>
      </c>
      <c r="J2803" s="6">
        <v>13.99</v>
      </c>
      <c r="K2803">
        <v>1</v>
      </c>
      <c r="L2803" t="s">
        <v>29</v>
      </c>
      <c r="M2803" s="5">
        <v>5</v>
      </c>
      <c r="N2803" s="4">
        <v>0.1</v>
      </c>
      <c r="O2803" t="s">
        <v>52</v>
      </c>
    </row>
    <row r="2804" spans="1:15" x14ac:dyDescent="0.3">
      <c r="A2804" t="s">
        <v>1425</v>
      </c>
      <c r="B2804" s="5">
        <v>46</v>
      </c>
      <c r="C2804" s="5" t="str" cm="1">
        <f t="array" ref="C2804">_xlfn.IFS(worksheet[[#This Row],[age]]&lt;25,"1. Young Adulthood (18-24)",worksheet[[#This Row],[age]]&lt; 35,"2. Early Adulthood (25-34)",worksheet[[#This Row],[age]]&lt; 45,"3. Mid Adulthood (35-44)",worksheet[[#This Row],[age]]&lt; 55,"4. Mature Adulthood (45-54)",TRUE,"5. Late Adulthood/Senior (55+)")</f>
        <v>4. Mature Adulthood (45-54)</v>
      </c>
      <c r="D2804" t="s">
        <v>41</v>
      </c>
      <c r="E2804" t="s">
        <v>22</v>
      </c>
      <c r="F2804" s="4">
        <v>3.37</v>
      </c>
      <c r="G2804" s="5">
        <v>18</v>
      </c>
      <c r="H2804" t="s">
        <v>33</v>
      </c>
      <c r="I2804" t="s">
        <v>18</v>
      </c>
      <c r="J2804" s="6">
        <v>13.99</v>
      </c>
      <c r="K2804">
        <v>0</v>
      </c>
      <c r="L2804" t="s">
        <v>37</v>
      </c>
      <c r="M2804" s="5">
        <v>5</v>
      </c>
      <c r="N2804" s="4">
        <v>0.18</v>
      </c>
      <c r="O2804" t="s">
        <v>34</v>
      </c>
    </row>
    <row r="2805" spans="1:15" x14ac:dyDescent="0.3">
      <c r="A2805" t="s">
        <v>1426</v>
      </c>
      <c r="B2805" s="5">
        <v>47</v>
      </c>
      <c r="C2805" s="5" t="str" cm="1">
        <f t="array" ref="C2805">_xlfn.IFS(worksheet[[#This Row],[age]]&lt;25,"1. Young Adulthood (18-24)",worksheet[[#This Row],[age]]&lt; 35,"2. Early Adulthood (25-34)",worksheet[[#This Row],[age]]&lt; 45,"3. Mid Adulthood (35-44)",worksheet[[#This Row],[age]]&lt; 55,"4. Mature Adulthood (45-54)",TRUE,"5. Late Adulthood/Senior (55+)")</f>
        <v>4. Mature Adulthood (45-54)</v>
      </c>
      <c r="D2805" t="s">
        <v>41</v>
      </c>
      <c r="E2805" t="s">
        <v>22</v>
      </c>
      <c r="F2805" s="4">
        <v>2.0099999999999998</v>
      </c>
      <c r="G2805" s="5">
        <v>5</v>
      </c>
      <c r="H2805" t="s">
        <v>70</v>
      </c>
      <c r="I2805" t="s">
        <v>46</v>
      </c>
      <c r="J2805" s="6">
        <v>13.99</v>
      </c>
      <c r="K2805">
        <v>0</v>
      </c>
      <c r="L2805" t="s">
        <v>61</v>
      </c>
      <c r="M2805" s="5">
        <v>2</v>
      </c>
      <c r="N2805" s="4">
        <v>0.33</v>
      </c>
      <c r="O2805" t="s">
        <v>52</v>
      </c>
    </row>
    <row r="2806" spans="1:15" x14ac:dyDescent="0.3">
      <c r="A2806" t="s">
        <v>1427</v>
      </c>
      <c r="B2806" s="5">
        <v>47</v>
      </c>
      <c r="C2806" s="5" t="str" cm="1">
        <f t="array" ref="C2806">_xlfn.IFS(worksheet[[#This Row],[age]]&lt;25,"1. Young Adulthood (18-24)",worksheet[[#This Row],[age]]&lt; 35,"2. Early Adulthood (25-34)",worksheet[[#This Row],[age]]&lt; 45,"3. Mid Adulthood (35-44)",worksheet[[#This Row],[age]]&lt; 55,"4. Mature Adulthood (45-54)",TRUE,"5. Late Adulthood/Senior (55+)")</f>
        <v>4. Mature Adulthood (45-54)</v>
      </c>
      <c r="D2806" t="s">
        <v>41</v>
      </c>
      <c r="E2806" t="s">
        <v>16</v>
      </c>
      <c r="F2806" s="4">
        <v>6.54</v>
      </c>
      <c r="G2806" s="5">
        <v>55</v>
      </c>
      <c r="H2806" t="s">
        <v>17</v>
      </c>
      <c r="I2806" t="s">
        <v>24</v>
      </c>
      <c r="J2806" s="6">
        <v>8.99</v>
      </c>
      <c r="K2806">
        <v>1</v>
      </c>
      <c r="L2806" t="s">
        <v>43</v>
      </c>
      <c r="M2806" s="5">
        <v>2</v>
      </c>
      <c r="N2806" s="4">
        <v>0.12</v>
      </c>
      <c r="O2806" t="s">
        <v>47</v>
      </c>
    </row>
    <row r="2807" spans="1:15" x14ac:dyDescent="0.3">
      <c r="A2807" t="s">
        <v>1443</v>
      </c>
      <c r="B2807" s="5">
        <v>47</v>
      </c>
      <c r="C2807" s="5" t="str" cm="1">
        <f t="array" ref="C2807">_xlfn.IFS(worksheet[[#This Row],[age]]&lt;25,"1. Young Adulthood (18-24)",worksheet[[#This Row],[age]]&lt; 35,"2. Early Adulthood (25-34)",worksheet[[#This Row],[age]]&lt; 45,"3. Mid Adulthood (35-44)",worksheet[[#This Row],[age]]&lt; 55,"4. Mature Adulthood (45-54)",TRUE,"5. Late Adulthood/Senior (55+)")</f>
        <v>4. Mature Adulthood (45-54)</v>
      </c>
      <c r="D2807" t="s">
        <v>15</v>
      </c>
      <c r="E2807" t="s">
        <v>22</v>
      </c>
      <c r="F2807" s="4">
        <v>10.82</v>
      </c>
      <c r="G2807" s="5">
        <v>51</v>
      </c>
      <c r="H2807" t="s">
        <v>23</v>
      </c>
      <c r="I2807" t="s">
        <v>24</v>
      </c>
      <c r="J2807" s="6">
        <v>13.99</v>
      </c>
      <c r="K2807">
        <v>1</v>
      </c>
      <c r="L2807" t="s">
        <v>61</v>
      </c>
      <c r="M2807" s="5">
        <v>2</v>
      </c>
      <c r="N2807" s="4">
        <v>0.21</v>
      </c>
      <c r="O2807" t="s">
        <v>47</v>
      </c>
    </row>
    <row r="2808" spans="1:15" x14ac:dyDescent="0.3">
      <c r="A2808" t="s">
        <v>1444</v>
      </c>
      <c r="B2808" s="5">
        <v>47</v>
      </c>
      <c r="C2808" s="5" t="str" cm="1">
        <f t="array" ref="C2808">_xlfn.IFS(worksheet[[#This Row],[age]]&lt;25,"1. Young Adulthood (18-24)",worksheet[[#This Row],[age]]&lt; 35,"2. Early Adulthood (25-34)",worksheet[[#This Row],[age]]&lt; 45,"3. Mid Adulthood (35-44)",worksheet[[#This Row],[age]]&lt; 55,"4. Mature Adulthood (45-54)",TRUE,"5. Late Adulthood/Senior (55+)")</f>
        <v>4. Mature Adulthood (45-54)</v>
      </c>
      <c r="D2808" t="s">
        <v>41</v>
      </c>
      <c r="E2808" t="s">
        <v>32</v>
      </c>
      <c r="F2808" s="4">
        <v>2.57</v>
      </c>
      <c r="G2808" s="5">
        <v>60</v>
      </c>
      <c r="H2808" t="s">
        <v>49</v>
      </c>
      <c r="I2808" t="s">
        <v>18</v>
      </c>
      <c r="J2808" s="6">
        <v>17.989999999999998</v>
      </c>
      <c r="K2808">
        <v>1</v>
      </c>
      <c r="L2808" t="s">
        <v>19</v>
      </c>
      <c r="M2808" s="5">
        <v>3</v>
      </c>
      <c r="N2808" s="4">
        <v>0.04</v>
      </c>
      <c r="O2808" t="s">
        <v>20</v>
      </c>
    </row>
    <row r="2809" spans="1:15" x14ac:dyDescent="0.3">
      <c r="A2809" t="s">
        <v>1447</v>
      </c>
      <c r="B2809" s="5">
        <v>51</v>
      </c>
      <c r="C2809" s="5" t="str" cm="1">
        <f t="array" ref="C2809">_xlfn.IFS(worksheet[[#This Row],[age]]&lt;25,"1. Young Adulthood (18-24)",worksheet[[#This Row],[age]]&lt; 35,"2. Early Adulthood (25-34)",worksheet[[#This Row],[age]]&lt; 45,"3. Mid Adulthood (35-44)",worksheet[[#This Row],[age]]&lt; 55,"4. Mature Adulthood (45-54)",TRUE,"5. Late Adulthood/Senior (55+)")</f>
        <v>4. Mature Adulthood (45-54)</v>
      </c>
      <c r="D2809" t="s">
        <v>27</v>
      </c>
      <c r="E2809" t="s">
        <v>32</v>
      </c>
      <c r="F2809" s="4">
        <v>8.34</v>
      </c>
      <c r="G2809" s="5">
        <v>32</v>
      </c>
      <c r="H2809" t="s">
        <v>28</v>
      </c>
      <c r="I2809" t="s">
        <v>18</v>
      </c>
      <c r="J2809" s="6">
        <v>17.989999999999998</v>
      </c>
      <c r="K2809">
        <v>1</v>
      </c>
      <c r="L2809" t="s">
        <v>29</v>
      </c>
      <c r="M2809" s="5">
        <v>2</v>
      </c>
      <c r="N2809" s="4">
        <v>0.25</v>
      </c>
      <c r="O2809" t="s">
        <v>39</v>
      </c>
    </row>
    <row r="2810" spans="1:15" x14ac:dyDescent="0.3">
      <c r="A2810" t="s">
        <v>1448</v>
      </c>
      <c r="B2810" s="5">
        <v>48</v>
      </c>
      <c r="C2810" s="5" t="str" cm="1">
        <f t="array" ref="C2810">_xlfn.IFS(worksheet[[#This Row],[age]]&lt;25,"1. Young Adulthood (18-24)",worksheet[[#This Row],[age]]&lt; 35,"2. Early Adulthood (25-34)",worksheet[[#This Row],[age]]&lt; 45,"3. Mid Adulthood (35-44)",worksheet[[#This Row],[age]]&lt; 55,"4. Mature Adulthood (45-54)",TRUE,"5. Late Adulthood/Senior (55+)")</f>
        <v>4. Mature Adulthood (45-54)</v>
      </c>
      <c r="D2810" t="s">
        <v>41</v>
      </c>
      <c r="E2810" t="s">
        <v>22</v>
      </c>
      <c r="F2810" s="4">
        <v>20.69</v>
      </c>
      <c r="G2810" s="5">
        <v>43</v>
      </c>
      <c r="H2810" t="s">
        <v>17</v>
      </c>
      <c r="I2810" t="s">
        <v>46</v>
      </c>
      <c r="J2810" s="6">
        <v>13.99</v>
      </c>
      <c r="K2810">
        <v>0</v>
      </c>
      <c r="L2810" t="s">
        <v>61</v>
      </c>
      <c r="M2810" s="5">
        <v>2</v>
      </c>
      <c r="N2810" s="4">
        <v>0.47</v>
      </c>
      <c r="O2810" t="s">
        <v>20</v>
      </c>
    </row>
    <row r="2811" spans="1:15" x14ac:dyDescent="0.3">
      <c r="A2811" t="s">
        <v>1452</v>
      </c>
      <c r="B2811" s="5">
        <v>51</v>
      </c>
      <c r="C2811" s="5" t="str" cm="1">
        <f t="array" ref="C2811">_xlfn.IFS(worksheet[[#This Row],[age]]&lt;25,"1. Young Adulthood (18-24)",worksheet[[#This Row],[age]]&lt; 35,"2. Early Adulthood (25-34)",worksheet[[#This Row],[age]]&lt; 45,"3. Mid Adulthood (35-44)",worksheet[[#This Row],[age]]&lt; 55,"4. Mature Adulthood (45-54)",TRUE,"5. Late Adulthood/Senior (55+)")</f>
        <v>4. Mature Adulthood (45-54)</v>
      </c>
      <c r="D2811" t="s">
        <v>15</v>
      </c>
      <c r="E2811" t="s">
        <v>16</v>
      </c>
      <c r="F2811" s="4">
        <v>3.64</v>
      </c>
      <c r="G2811" s="5">
        <v>50</v>
      </c>
      <c r="H2811" t="s">
        <v>49</v>
      </c>
      <c r="I2811" t="s">
        <v>18</v>
      </c>
      <c r="J2811" s="6">
        <v>8.99</v>
      </c>
      <c r="K2811">
        <v>1</v>
      </c>
      <c r="L2811" t="s">
        <v>37</v>
      </c>
      <c r="M2811" s="5">
        <v>1</v>
      </c>
      <c r="N2811" s="4">
        <v>7.0000000000000007E-2</v>
      </c>
      <c r="O2811" t="s">
        <v>20</v>
      </c>
    </row>
    <row r="2812" spans="1:15" x14ac:dyDescent="0.3">
      <c r="A2812" t="s">
        <v>1455</v>
      </c>
      <c r="B2812" s="5">
        <v>52</v>
      </c>
      <c r="C2812" s="5" t="str" cm="1">
        <f t="array" ref="C2812">_xlfn.IFS(worksheet[[#This Row],[age]]&lt;25,"1. Young Adulthood (18-24)",worksheet[[#This Row],[age]]&lt; 35,"2. Early Adulthood (25-34)",worksheet[[#This Row],[age]]&lt; 45,"3. Mid Adulthood (35-44)",worksheet[[#This Row],[age]]&lt; 55,"4. Mature Adulthood (45-54)",TRUE,"5. Late Adulthood/Senior (55+)")</f>
        <v>4. Mature Adulthood (45-54)</v>
      </c>
      <c r="D2812" t="s">
        <v>27</v>
      </c>
      <c r="E2812" t="s">
        <v>22</v>
      </c>
      <c r="F2812" s="4">
        <v>10.14</v>
      </c>
      <c r="G2812" s="5">
        <v>49</v>
      </c>
      <c r="H2812" t="s">
        <v>23</v>
      </c>
      <c r="I2812" t="s">
        <v>18</v>
      </c>
      <c r="J2812" s="6">
        <v>13.99</v>
      </c>
      <c r="K2812">
        <v>1</v>
      </c>
      <c r="L2812" t="s">
        <v>19</v>
      </c>
      <c r="M2812" s="5">
        <v>4</v>
      </c>
      <c r="N2812" s="4">
        <v>0.2</v>
      </c>
      <c r="O2812" t="s">
        <v>20</v>
      </c>
    </row>
    <row r="2813" spans="1:15" x14ac:dyDescent="0.3">
      <c r="A2813" t="s">
        <v>1457</v>
      </c>
      <c r="B2813" s="5">
        <v>48</v>
      </c>
      <c r="C2813" s="5" t="str" cm="1">
        <f t="array" ref="C2813">_xlfn.IFS(worksheet[[#This Row],[age]]&lt;25,"1. Young Adulthood (18-24)",worksheet[[#This Row],[age]]&lt; 35,"2. Early Adulthood (25-34)",worksheet[[#This Row],[age]]&lt; 45,"3. Mid Adulthood (35-44)",worksheet[[#This Row],[age]]&lt; 55,"4. Mature Adulthood (45-54)",TRUE,"5. Late Adulthood/Senior (55+)")</f>
        <v>4. Mature Adulthood (45-54)</v>
      </c>
      <c r="D2813" t="s">
        <v>15</v>
      </c>
      <c r="E2813" t="s">
        <v>16</v>
      </c>
      <c r="F2813" s="4">
        <v>6.63</v>
      </c>
      <c r="G2813" s="5">
        <v>10</v>
      </c>
      <c r="H2813" t="s">
        <v>49</v>
      </c>
      <c r="I2813" t="s">
        <v>57</v>
      </c>
      <c r="J2813" s="6">
        <v>8.99</v>
      </c>
      <c r="K2813">
        <v>0</v>
      </c>
      <c r="L2813" t="s">
        <v>43</v>
      </c>
      <c r="M2813" s="5">
        <v>2</v>
      </c>
      <c r="N2813" s="4">
        <v>0.6</v>
      </c>
      <c r="O2813" t="s">
        <v>52</v>
      </c>
    </row>
    <row r="2814" spans="1:15" x14ac:dyDescent="0.3">
      <c r="A2814" t="s">
        <v>1459</v>
      </c>
      <c r="B2814" s="5">
        <v>53</v>
      </c>
      <c r="C2814" s="5" t="str" cm="1">
        <f t="array" ref="C2814">_xlfn.IFS(worksheet[[#This Row],[age]]&lt;25,"1. Young Adulthood (18-24)",worksheet[[#This Row],[age]]&lt; 35,"2. Early Adulthood (25-34)",worksheet[[#This Row],[age]]&lt; 45,"3. Mid Adulthood (35-44)",worksheet[[#This Row],[age]]&lt; 55,"4. Mature Adulthood (45-54)",TRUE,"5. Late Adulthood/Senior (55+)")</f>
        <v>4. Mature Adulthood (45-54)</v>
      </c>
      <c r="D2814" t="s">
        <v>41</v>
      </c>
      <c r="E2814" t="s">
        <v>16</v>
      </c>
      <c r="F2814" s="4">
        <v>3.37</v>
      </c>
      <c r="G2814" s="5">
        <v>54</v>
      </c>
      <c r="H2814" t="s">
        <v>49</v>
      </c>
      <c r="I2814" t="s">
        <v>55</v>
      </c>
      <c r="J2814" s="6">
        <v>8.99</v>
      </c>
      <c r="K2814">
        <v>1</v>
      </c>
      <c r="L2814" t="s">
        <v>43</v>
      </c>
      <c r="M2814" s="5">
        <v>5</v>
      </c>
      <c r="N2814" s="4">
        <v>0.06</v>
      </c>
      <c r="O2814" t="s">
        <v>47</v>
      </c>
    </row>
    <row r="2815" spans="1:15" x14ac:dyDescent="0.3">
      <c r="A2815" t="s">
        <v>1461</v>
      </c>
      <c r="B2815" s="5">
        <v>50</v>
      </c>
      <c r="C2815" s="5" t="str" cm="1">
        <f t="array" ref="C2815">_xlfn.IFS(worksheet[[#This Row],[age]]&lt;25,"1. Young Adulthood (18-24)",worksheet[[#This Row],[age]]&lt; 35,"2. Early Adulthood (25-34)",worksheet[[#This Row],[age]]&lt; 45,"3. Mid Adulthood (35-44)",worksheet[[#This Row],[age]]&lt; 55,"4. Mature Adulthood (45-54)",TRUE,"5. Late Adulthood/Senior (55+)")</f>
        <v>4. Mature Adulthood (45-54)</v>
      </c>
      <c r="D2815" t="s">
        <v>15</v>
      </c>
      <c r="E2815" t="s">
        <v>22</v>
      </c>
      <c r="F2815" s="4">
        <v>21.29</v>
      </c>
      <c r="G2815" s="5">
        <v>26</v>
      </c>
      <c r="H2815" t="s">
        <v>33</v>
      </c>
      <c r="I2815" t="s">
        <v>46</v>
      </c>
      <c r="J2815" s="6">
        <v>13.99</v>
      </c>
      <c r="K2815">
        <v>0</v>
      </c>
      <c r="L2815" t="s">
        <v>19</v>
      </c>
      <c r="M2815" s="5">
        <v>3</v>
      </c>
      <c r="N2815" s="4">
        <v>0.79</v>
      </c>
      <c r="O2815" t="s">
        <v>39</v>
      </c>
    </row>
    <row r="2816" spans="1:15" x14ac:dyDescent="0.3">
      <c r="A2816" t="s">
        <v>1463</v>
      </c>
      <c r="B2816" s="5">
        <v>47</v>
      </c>
      <c r="C2816" s="5" t="str" cm="1">
        <f t="array" ref="C2816">_xlfn.IFS(worksheet[[#This Row],[age]]&lt;25,"1. Young Adulthood (18-24)",worksheet[[#This Row],[age]]&lt; 35,"2. Early Adulthood (25-34)",worksheet[[#This Row],[age]]&lt; 45,"3. Mid Adulthood (35-44)",worksheet[[#This Row],[age]]&lt; 55,"4. Mature Adulthood (45-54)",TRUE,"5. Late Adulthood/Senior (55+)")</f>
        <v>4. Mature Adulthood (45-54)</v>
      </c>
      <c r="D2816" t="s">
        <v>27</v>
      </c>
      <c r="E2816" t="s">
        <v>22</v>
      </c>
      <c r="F2816" s="4">
        <v>4.0999999999999996</v>
      </c>
      <c r="G2816" s="5">
        <v>52</v>
      </c>
      <c r="H2816" t="s">
        <v>49</v>
      </c>
      <c r="I2816" t="s">
        <v>46</v>
      </c>
      <c r="J2816" s="6">
        <v>13.99</v>
      </c>
      <c r="K2816">
        <v>1</v>
      </c>
      <c r="L2816" t="s">
        <v>37</v>
      </c>
      <c r="M2816" s="5">
        <v>1</v>
      </c>
      <c r="N2816" s="4">
        <v>0.08</v>
      </c>
      <c r="O2816" t="s">
        <v>30</v>
      </c>
    </row>
    <row r="2817" spans="1:15" x14ac:dyDescent="0.3">
      <c r="A2817" t="s">
        <v>1468</v>
      </c>
      <c r="B2817" s="5">
        <v>54</v>
      </c>
      <c r="C2817" s="5" t="str" cm="1">
        <f t="array" ref="C2817">_xlfn.IFS(worksheet[[#This Row],[age]]&lt;25,"1. Young Adulthood (18-24)",worksheet[[#This Row],[age]]&lt; 35,"2. Early Adulthood (25-34)",worksheet[[#This Row],[age]]&lt; 45,"3. Mid Adulthood (35-44)",worksheet[[#This Row],[age]]&lt; 55,"4. Mature Adulthood (45-54)",TRUE,"5. Late Adulthood/Senior (55+)")</f>
        <v>4. Mature Adulthood (45-54)</v>
      </c>
      <c r="D2817" t="s">
        <v>15</v>
      </c>
      <c r="E2817" t="s">
        <v>16</v>
      </c>
      <c r="F2817" s="4">
        <v>8.52</v>
      </c>
      <c r="G2817" s="5">
        <v>10</v>
      </c>
      <c r="H2817" t="s">
        <v>28</v>
      </c>
      <c r="I2817" t="s">
        <v>18</v>
      </c>
      <c r="J2817" s="6">
        <v>8.99</v>
      </c>
      <c r="K2817">
        <v>0</v>
      </c>
      <c r="L2817" t="s">
        <v>61</v>
      </c>
      <c r="M2817" s="5">
        <v>4</v>
      </c>
      <c r="N2817" s="4">
        <v>0.77</v>
      </c>
      <c r="O2817" t="s">
        <v>20</v>
      </c>
    </row>
    <row r="2818" spans="1:15" x14ac:dyDescent="0.3">
      <c r="A2818" t="s">
        <v>1469</v>
      </c>
      <c r="B2818" s="5">
        <v>48</v>
      </c>
      <c r="C2818" s="5" t="str" cm="1">
        <f t="array" ref="C2818">_xlfn.IFS(worksheet[[#This Row],[age]]&lt;25,"1. Young Adulthood (18-24)",worksheet[[#This Row],[age]]&lt; 35,"2. Early Adulthood (25-34)",worksheet[[#This Row],[age]]&lt; 45,"3. Mid Adulthood (35-44)",worksheet[[#This Row],[age]]&lt; 55,"4. Mature Adulthood (45-54)",TRUE,"5. Late Adulthood/Senior (55+)")</f>
        <v>4. Mature Adulthood (45-54)</v>
      </c>
      <c r="D2818" t="s">
        <v>15</v>
      </c>
      <c r="E2818" t="s">
        <v>32</v>
      </c>
      <c r="F2818" s="4">
        <v>18.21</v>
      </c>
      <c r="G2818" s="5">
        <v>35</v>
      </c>
      <c r="H2818" t="s">
        <v>28</v>
      </c>
      <c r="I2818" t="s">
        <v>46</v>
      </c>
      <c r="J2818" s="6">
        <v>17.989999999999998</v>
      </c>
      <c r="K2818">
        <v>0</v>
      </c>
      <c r="L2818" t="s">
        <v>19</v>
      </c>
      <c r="M2818" s="5">
        <v>2</v>
      </c>
      <c r="N2818" s="4">
        <v>0.51</v>
      </c>
      <c r="O2818" t="s">
        <v>25</v>
      </c>
    </row>
    <row r="2819" spans="1:15" x14ac:dyDescent="0.3">
      <c r="A2819" t="s">
        <v>1473</v>
      </c>
      <c r="B2819" s="5">
        <v>49</v>
      </c>
      <c r="C2819" s="5" t="str" cm="1">
        <f t="array" ref="C2819">_xlfn.IFS(worksheet[[#This Row],[age]]&lt;25,"1. Young Adulthood (18-24)",worksheet[[#This Row],[age]]&lt; 35,"2. Early Adulthood (25-34)",worksheet[[#This Row],[age]]&lt; 45,"3. Mid Adulthood (35-44)",worksheet[[#This Row],[age]]&lt; 55,"4. Mature Adulthood (45-54)",TRUE,"5. Late Adulthood/Senior (55+)")</f>
        <v>4. Mature Adulthood (45-54)</v>
      </c>
      <c r="D2819" t="s">
        <v>41</v>
      </c>
      <c r="E2819" t="s">
        <v>32</v>
      </c>
      <c r="F2819" s="4">
        <v>5.08</v>
      </c>
      <c r="G2819" s="5">
        <v>25</v>
      </c>
      <c r="H2819" t="s">
        <v>33</v>
      </c>
      <c r="I2819" t="s">
        <v>46</v>
      </c>
      <c r="J2819" s="6">
        <v>17.989999999999998</v>
      </c>
      <c r="K2819">
        <v>0</v>
      </c>
      <c r="L2819" t="s">
        <v>43</v>
      </c>
      <c r="M2819" s="5">
        <v>4</v>
      </c>
      <c r="N2819" s="4">
        <v>0.2</v>
      </c>
      <c r="O2819" t="s">
        <v>34</v>
      </c>
    </row>
    <row r="2820" spans="1:15" x14ac:dyDescent="0.3">
      <c r="A2820" t="s">
        <v>1474</v>
      </c>
      <c r="B2820" s="5">
        <v>45</v>
      </c>
      <c r="C2820" s="5" t="str" cm="1">
        <f t="array" ref="C2820">_xlfn.IFS(worksheet[[#This Row],[age]]&lt;25,"1. Young Adulthood (18-24)",worksheet[[#This Row],[age]]&lt; 35,"2. Early Adulthood (25-34)",worksheet[[#This Row],[age]]&lt; 45,"3. Mid Adulthood (35-44)",worksheet[[#This Row],[age]]&lt; 55,"4. Mature Adulthood (45-54)",TRUE,"5. Late Adulthood/Senior (55+)")</f>
        <v>4. Mature Adulthood (45-54)</v>
      </c>
      <c r="D2820" t="s">
        <v>41</v>
      </c>
      <c r="E2820" t="s">
        <v>16</v>
      </c>
      <c r="F2820" s="4">
        <v>1.92</v>
      </c>
      <c r="G2820" s="5">
        <v>46</v>
      </c>
      <c r="H2820" t="s">
        <v>70</v>
      </c>
      <c r="I2820" t="s">
        <v>18</v>
      </c>
      <c r="J2820" s="6">
        <v>8.99</v>
      </c>
      <c r="K2820">
        <v>1</v>
      </c>
      <c r="L2820" t="s">
        <v>37</v>
      </c>
      <c r="M2820" s="5">
        <v>4</v>
      </c>
      <c r="N2820" s="4">
        <v>0.04</v>
      </c>
      <c r="O2820" t="s">
        <v>30</v>
      </c>
    </row>
    <row r="2821" spans="1:15" x14ac:dyDescent="0.3">
      <c r="A2821" t="s">
        <v>1476</v>
      </c>
      <c r="B2821" s="5">
        <v>54</v>
      </c>
      <c r="C2821" s="5" t="str" cm="1">
        <f t="array" ref="C2821">_xlfn.IFS(worksheet[[#This Row],[age]]&lt;25,"1. Young Adulthood (18-24)",worksheet[[#This Row],[age]]&lt; 35,"2. Early Adulthood (25-34)",worksheet[[#This Row],[age]]&lt; 45,"3. Mid Adulthood (35-44)",worksheet[[#This Row],[age]]&lt; 55,"4. Mature Adulthood (45-54)",TRUE,"5. Late Adulthood/Senior (55+)")</f>
        <v>4. Mature Adulthood (45-54)</v>
      </c>
      <c r="D2821" t="s">
        <v>27</v>
      </c>
      <c r="E2821" t="s">
        <v>16</v>
      </c>
      <c r="F2821" s="4">
        <v>5.61</v>
      </c>
      <c r="G2821" s="5">
        <v>11</v>
      </c>
      <c r="H2821" t="s">
        <v>23</v>
      </c>
      <c r="I2821" t="s">
        <v>24</v>
      </c>
      <c r="J2821" s="6">
        <v>8.99</v>
      </c>
      <c r="K2821">
        <v>0</v>
      </c>
      <c r="L2821" t="s">
        <v>43</v>
      </c>
      <c r="M2821" s="5">
        <v>4</v>
      </c>
      <c r="N2821" s="4">
        <v>0.47</v>
      </c>
      <c r="O2821" t="s">
        <v>25</v>
      </c>
    </row>
    <row r="2822" spans="1:15" x14ac:dyDescent="0.3">
      <c r="A2822" t="s">
        <v>1483</v>
      </c>
      <c r="B2822" s="5">
        <v>47</v>
      </c>
      <c r="C2822" s="5" t="str" cm="1">
        <f t="array" ref="C2822">_xlfn.IFS(worksheet[[#This Row],[age]]&lt;25,"1. Young Adulthood (18-24)",worksheet[[#This Row],[age]]&lt; 35,"2. Early Adulthood (25-34)",worksheet[[#This Row],[age]]&lt; 45,"3. Mid Adulthood (35-44)",worksheet[[#This Row],[age]]&lt; 55,"4. Mature Adulthood (45-54)",TRUE,"5. Late Adulthood/Senior (55+)")</f>
        <v>4. Mature Adulthood (45-54)</v>
      </c>
      <c r="D2822" t="s">
        <v>27</v>
      </c>
      <c r="E2822" t="s">
        <v>16</v>
      </c>
      <c r="F2822" s="4">
        <v>0.46</v>
      </c>
      <c r="G2822" s="5">
        <v>1</v>
      </c>
      <c r="H2822" t="s">
        <v>28</v>
      </c>
      <c r="I2822" t="s">
        <v>18</v>
      </c>
      <c r="J2822" s="6">
        <v>8.99</v>
      </c>
      <c r="K2822">
        <v>1</v>
      </c>
      <c r="L2822" t="s">
        <v>61</v>
      </c>
      <c r="M2822" s="5">
        <v>1</v>
      </c>
      <c r="N2822" s="4">
        <v>0.23</v>
      </c>
      <c r="O2822" t="s">
        <v>47</v>
      </c>
    </row>
    <row r="2823" spans="1:15" x14ac:dyDescent="0.3">
      <c r="A2823" t="s">
        <v>1484</v>
      </c>
      <c r="B2823" s="5">
        <v>46</v>
      </c>
      <c r="C2823" s="5" t="str" cm="1">
        <f t="array" ref="C2823">_xlfn.IFS(worksheet[[#This Row],[age]]&lt;25,"1. Young Adulthood (18-24)",worksheet[[#This Row],[age]]&lt; 35,"2. Early Adulthood (25-34)",worksheet[[#This Row],[age]]&lt; 45,"3. Mid Adulthood (35-44)",worksheet[[#This Row],[age]]&lt; 55,"4. Mature Adulthood (45-54)",TRUE,"5. Late Adulthood/Senior (55+)")</f>
        <v>4. Mature Adulthood (45-54)</v>
      </c>
      <c r="D2823" t="s">
        <v>41</v>
      </c>
      <c r="E2823" t="s">
        <v>22</v>
      </c>
      <c r="F2823" s="4">
        <v>6.19</v>
      </c>
      <c r="G2823" s="5">
        <v>60</v>
      </c>
      <c r="H2823" t="s">
        <v>23</v>
      </c>
      <c r="I2823" t="s">
        <v>46</v>
      </c>
      <c r="J2823" s="6">
        <v>13.99</v>
      </c>
      <c r="K2823">
        <v>1</v>
      </c>
      <c r="L2823" t="s">
        <v>19</v>
      </c>
      <c r="M2823" s="5">
        <v>3</v>
      </c>
      <c r="N2823" s="4">
        <v>0.1</v>
      </c>
      <c r="O2823" t="s">
        <v>34</v>
      </c>
    </row>
    <row r="2824" spans="1:15" x14ac:dyDescent="0.3">
      <c r="A2824" t="s">
        <v>1485</v>
      </c>
      <c r="B2824" s="5">
        <v>47</v>
      </c>
      <c r="C2824" s="5" t="str" cm="1">
        <f t="array" ref="C2824">_xlfn.IFS(worksheet[[#This Row],[age]]&lt;25,"1. Young Adulthood (18-24)",worksheet[[#This Row],[age]]&lt; 35,"2. Early Adulthood (25-34)",worksheet[[#This Row],[age]]&lt; 45,"3. Mid Adulthood (35-44)",worksheet[[#This Row],[age]]&lt; 55,"4. Mature Adulthood (45-54)",TRUE,"5. Late Adulthood/Senior (55+)")</f>
        <v>4. Mature Adulthood (45-54)</v>
      </c>
      <c r="D2824" t="s">
        <v>15</v>
      </c>
      <c r="E2824" t="s">
        <v>32</v>
      </c>
      <c r="F2824" s="4">
        <v>1.03</v>
      </c>
      <c r="G2824" s="5">
        <v>38</v>
      </c>
      <c r="H2824" t="s">
        <v>70</v>
      </c>
      <c r="I2824" t="s">
        <v>57</v>
      </c>
      <c r="J2824" s="6">
        <v>17.989999999999998</v>
      </c>
      <c r="K2824">
        <v>1</v>
      </c>
      <c r="L2824" t="s">
        <v>29</v>
      </c>
      <c r="M2824" s="5">
        <v>5</v>
      </c>
      <c r="N2824" s="4">
        <v>0.03</v>
      </c>
      <c r="O2824" t="s">
        <v>47</v>
      </c>
    </row>
    <row r="2825" spans="1:15" x14ac:dyDescent="0.3">
      <c r="A2825" t="s">
        <v>1496</v>
      </c>
      <c r="B2825" s="5">
        <v>53</v>
      </c>
      <c r="C2825" s="5" t="str" cm="1">
        <f t="array" ref="C2825">_xlfn.IFS(worksheet[[#This Row],[age]]&lt;25,"1. Young Adulthood (18-24)",worksheet[[#This Row],[age]]&lt; 35,"2. Early Adulthood (25-34)",worksheet[[#This Row],[age]]&lt; 45,"3. Mid Adulthood (35-44)",worksheet[[#This Row],[age]]&lt; 55,"4. Mature Adulthood (45-54)",TRUE,"5. Late Adulthood/Senior (55+)")</f>
        <v>4. Mature Adulthood (45-54)</v>
      </c>
      <c r="D2825" t="s">
        <v>27</v>
      </c>
      <c r="E2825" t="s">
        <v>22</v>
      </c>
      <c r="F2825" s="4">
        <v>5.54</v>
      </c>
      <c r="G2825" s="5">
        <v>40</v>
      </c>
      <c r="H2825" t="s">
        <v>49</v>
      </c>
      <c r="I2825" t="s">
        <v>24</v>
      </c>
      <c r="J2825" s="6">
        <v>13.99</v>
      </c>
      <c r="K2825">
        <v>1</v>
      </c>
      <c r="L2825" t="s">
        <v>29</v>
      </c>
      <c r="M2825" s="5">
        <v>3</v>
      </c>
      <c r="N2825" s="4">
        <v>0.14000000000000001</v>
      </c>
      <c r="O2825" t="s">
        <v>34</v>
      </c>
    </row>
    <row r="2826" spans="1:15" x14ac:dyDescent="0.3">
      <c r="A2826" t="s">
        <v>1506</v>
      </c>
      <c r="B2826" s="5">
        <v>50</v>
      </c>
      <c r="C2826" s="5" t="str" cm="1">
        <f t="array" ref="C2826">_xlfn.IFS(worksheet[[#This Row],[age]]&lt;25,"1. Young Adulthood (18-24)",worksheet[[#This Row],[age]]&lt; 35,"2. Early Adulthood (25-34)",worksheet[[#This Row],[age]]&lt; 45,"3. Mid Adulthood (35-44)",worksheet[[#This Row],[age]]&lt; 55,"4. Mature Adulthood (45-54)",TRUE,"5. Late Adulthood/Senior (55+)")</f>
        <v>4. Mature Adulthood (45-54)</v>
      </c>
      <c r="D2826" t="s">
        <v>27</v>
      </c>
      <c r="E2826" t="s">
        <v>16</v>
      </c>
      <c r="F2826" s="4">
        <v>11.25</v>
      </c>
      <c r="G2826" s="5">
        <v>13</v>
      </c>
      <c r="H2826" t="s">
        <v>28</v>
      </c>
      <c r="I2826" t="s">
        <v>18</v>
      </c>
      <c r="J2826" s="6">
        <v>8.99</v>
      </c>
      <c r="K2826">
        <v>0</v>
      </c>
      <c r="L2826" t="s">
        <v>29</v>
      </c>
      <c r="M2826" s="5">
        <v>4</v>
      </c>
      <c r="N2826" s="4">
        <v>0.8</v>
      </c>
      <c r="O2826" t="s">
        <v>25</v>
      </c>
    </row>
    <row r="2827" spans="1:15" x14ac:dyDescent="0.3">
      <c r="A2827" t="s">
        <v>1512</v>
      </c>
      <c r="B2827" s="5">
        <v>47</v>
      </c>
      <c r="C2827" s="5" t="str" cm="1">
        <f t="array" ref="C2827">_xlfn.IFS(worksheet[[#This Row],[age]]&lt;25,"1. Young Adulthood (18-24)",worksheet[[#This Row],[age]]&lt; 35,"2. Early Adulthood (25-34)",worksheet[[#This Row],[age]]&lt; 45,"3. Mid Adulthood (35-44)",worksheet[[#This Row],[age]]&lt; 55,"4. Mature Adulthood (45-54)",TRUE,"5. Late Adulthood/Senior (55+)")</f>
        <v>4. Mature Adulthood (45-54)</v>
      </c>
      <c r="D2827" t="s">
        <v>15</v>
      </c>
      <c r="E2827" t="s">
        <v>22</v>
      </c>
      <c r="F2827" s="4">
        <v>6.85</v>
      </c>
      <c r="G2827" s="5">
        <v>2</v>
      </c>
      <c r="H2827" t="s">
        <v>70</v>
      </c>
      <c r="I2827" t="s">
        <v>24</v>
      </c>
      <c r="J2827" s="6">
        <v>13.99</v>
      </c>
      <c r="K2827">
        <v>0</v>
      </c>
      <c r="L2827" t="s">
        <v>19</v>
      </c>
      <c r="M2827" s="5">
        <v>3</v>
      </c>
      <c r="N2827" s="4">
        <v>2.2799999999999998</v>
      </c>
      <c r="O2827" t="s">
        <v>39</v>
      </c>
    </row>
    <row r="2828" spans="1:15" x14ac:dyDescent="0.3">
      <c r="A2828" t="s">
        <v>1518</v>
      </c>
      <c r="B2828" s="5">
        <v>53</v>
      </c>
      <c r="C2828" s="5" t="str" cm="1">
        <f t="array" ref="C2828">_xlfn.IFS(worksheet[[#This Row],[age]]&lt;25,"1. Young Adulthood (18-24)",worksheet[[#This Row],[age]]&lt; 35,"2. Early Adulthood (25-34)",worksheet[[#This Row],[age]]&lt; 45,"3. Mid Adulthood (35-44)",worksheet[[#This Row],[age]]&lt; 55,"4. Mature Adulthood (45-54)",TRUE,"5. Late Adulthood/Senior (55+)")</f>
        <v>4. Mature Adulthood (45-54)</v>
      </c>
      <c r="D2828" t="s">
        <v>27</v>
      </c>
      <c r="E2828" t="s">
        <v>32</v>
      </c>
      <c r="F2828" s="4">
        <v>5.65</v>
      </c>
      <c r="G2828" s="5">
        <v>24</v>
      </c>
      <c r="H2828" t="s">
        <v>28</v>
      </c>
      <c r="I2828" t="s">
        <v>57</v>
      </c>
      <c r="J2828" s="6">
        <v>17.989999999999998</v>
      </c>
      <c r="K2828">
        <v>0</v>
      </c>
      <c r="L2828" t="s">
        <v>61</v>
      </c>
      <c r="M2828" s="5">
        <v>2</v>
      </c>
      <c r="N2828" s="4">
        <v>0.23</v>
      </c>
      <c r="O2828" t="s">
        <v>25</v>
      </c>
    </row>
    <row r="2829" spans="1:15" x14ac:dyDescent="0.3">
      <c r="A2829" s="1" t="s">
        <v>1522</v>
      </c>
      <c r="B2829" s="5">
        <v>53</v>
      </c>
      <c r="C2829" s="5" t="str" cm="1">
        <f t="array" ref="C2829">_xlfn.IFS(worksheet[[#This Row],[age]]&lt;25,"1. Young Adulthood (18-24)",worksheet[[#This Row],[age]]&lt; 35,"2. Early Adulthood (25-34)",worksheet[[#This Row],[age]]&lt; 45,"3. Mid Adulthood (35-44)",worksheet[[#This Row],[age]]&lt; 55,"4. Mature Adulthood (45-54)",TRUE,"5. Late Adulthood/Senior (55+)")</f>
        <v>4. Mature Adulthood (45-54)</v>
      </c>
      <c r="D2829" t="s">
        <v>27</v>
      </c>
      <c r="E2829" t="s">
        <v>16</v>
      </c>
      <c r="F2829" s="4">
        <v>2.6</v>
      </c>
      <c r="G2829" s="5">
        <v>46</v>
      </c>
      <c r="H2829" t="s">
        <v>23</v>
      </c>
      <c r="I2829" t="s">
        <v>55</v>
      </c>
      <c r="J2829" s="6">
        <v>8.99</v>
      </c>
      <c r="K2829">
        <v>1</v>
      </c>
      <c r="L2829" t="s">
        <v>19</v>
      </c>
      <c r="M2829" s="5">
        <v>5</v>
      </c>
      <c r="N2829" s="4">
        <v>0.06</v>
      </c>
      <c r="O2829" t="s">
        <v>25</v>
      </c>
    </row>
    <row r="2830" spans="1:15" x14ac:dyDescent="0.3">
      <c r="A2830" t="s">
        <v>1527</v>
      </c>
      <c r="B2830" s="5">
        <v>50</v>
      </c>
      <c r="C2830" s="5" t="str" cm="1">
        <f t="array" ref="C2830">_xlfn.IFS(worksheet[[#This Row],[age]]&lt;25,"1. Young Adulthood (18-24)",worksheet[[#This Row],[age]]&lt; 35,"2. Early Adulthood (25-34)",worksheet[[#This Row],[age]]&lt; 45,"3. Mid Adulthood (35-44)",worksheet[[#This Row],[age]]&lt; 55,"4. Mature Adulthood (45-54)",TRUE,"5. Late Adulthood/Senior (55+)")</f>
        <v>4. Mature Adulthood (45-54)</v>
      </c>
      <c r="D2830" t="s">
        <v>15</v>
      </c>
      <c r="E2830" t="s">
        <v>16</v>
      </c>
      <c r="F2830" s="4">
        <v>8.9700000000000006</v>
      </c>
      <c r="G2830" s="5">
        <v>56</v>
      </c>
      <c r="H2830" t="s">
        <v>28</v>
      </c>
      <c r="I2830" t="s">
        <v>46</v>
      </c>
      <c r="J2830" s="6">
        <v>8.99</v>
      </c>
      <c r="K2830">
        <v>1</v>
      </c>
      <c r="L2830" t="s">
        <v>61</v>
      </c>
      <c r="M2830" s="5">
        <v>4</v>
      </c>
      <c r="N2830" s="4">
        <v>0.16</v>
      </c>
      <c r="O2830" t="s">
        <v>47</v>
      </c>
    </row>
    <row r="2831" spans="1:15" x14ac:dyDescent="0.3">
      <c r="A2831" t="s">
        <v>1530</v>
      </c>
      <c r="B2831" s="5">
        <v>52</v>
      </c>
      <c r="C2831" s="5" t="str" cm="1">
        <f t="array" ref="C2831">_xlfn.IFS(worksheet[[#This Row],[age]]&lt;25,"1. Young Adulthood (18-24)",worksheet[[#This Row],[age]]&lt; 35,"2. Early Adulthood (25-34)",worksheet[[#This Row],[age]]&lt; 45,"3. Mid Adulthood (35-44)",worksheet[[#This Row],[age]]&lt; 55,"4. Mature Adulthood (45-54)",TRUE,"5. Late Adulthood/Senior (55+)")</f>
        <v>4. Mature Adulthood (45-54)</v>
      </c>
      <c r="D2831" t="s">
        <v>15</v>
      </c>
      <c r="E2831" t="s">
        <v>16</v>
      </c>
      <c r="F2831" s="4">
        <v>8.9</v>
      </c>
      <c r="G2831" s="5">
        <v>23</v>
      </c>
      <c r="H2831" t="s">
        <v>28</v>
      </c>
      <c r="I2831" t="s">
        <v>24</v>
      </c>
      <c r="J2831" s="6">
        <v>8.99</v>
      </c>
      <c r="K2831">
        <v>1</v>
      </c>
      <c r="L2831" t="s">
        <v>43</v>
      </c>
      <c r="M2831" s="5">
        <v>1</v>
      </c>
      <c r="N2831" s="4">
        <v>0.37</v>
      </c>
      <c r="O2831" t="s">
        <v>47</v>
      </c>
    </row>
    <row r="2832" spans="1:15" x14ac:dyDescent="0.3">
      <c r="A2832" t="s">
        <v>1540</v>
      </c>
      <c r="B2832" s="5">
        <v>46</v>
      </c>
      <c r="C2832" s="5" t="str" cm="1">
        <f t="array" ref="C2832">_xlfn.IFS(worksheet[[#This Row],[age]]&lt;25,"1. Young Adulthood (18-24)",worksheet[[#This Row],[age]]&lt; 35,"2. Early Adulthood (25-34)",worksheet[[#This Row],[age]]&lt; 45,"3. Mid Adulthood (35-44)",worksheet[[#This Row],[age]]&lt; 55,"4. Mature Adulthood (45-54)",TRUE,"5. Late Adulthood/Senior (55+)")</f>
        <v>4. Mature Adulthood (45-54)</v>
      </c>
      <c r="D2832" t="s">
        <v>41</v>
      </c>
      <c r="E2832" t="s">
        <v>16</v>
      </c>
      <c r="F2832" s="4">
        <v>9.09</v>
      </c>
      <c r="G2832" s="5">
        <v>60</v>
      </c>
      <c r="H2832" t="s">
        <v>49</v>
      </c>
      <c r="I2832" t="s">
        <v>55</v>
      </c>
      <c r="J2832" s="6">
        <v>8.99</v>
      </c>
      <c r="K2832">
        <v>1</v>
      </c>
      <c r="L2832" t="s">
        <v>19</v>
      </c>
      <c r="M2832" s="5">
        <v>1</v>
      </c>
      <c r="N2832" s="4">
        <v>0.15</v>
      </c>
      <c r="O2832" t="s">
        <v>20</v>
      </c>
    </row>
    <row r="2833" spans="1:15" x14ac:dyDescent="0.3">
      <c r="A2833" t="s">
        <v>1541</v>
      </c>
      <c r="B2833" s="5">
        <v>45</v>
      </c>
      <c r="C2833" s="5" t="str" cm="1">
        <f t="array" ref="C2833">_xlfn.IFS(worksheet[[#This Row],[age]]&lt;25,"1. Young Adulthood (18-24)",worksheet[[#This Row],[age]]&lt; 35,"2. Early Adulthood (25-34)",worksheet[[#This Row],[age]]&lt; 45,"3. Mid Adulthood (35-44)",worksheet[[#This Row],[age]]&lt; 55,"4. Mature Adulthood (45-54)",TRUE,"5. Late Adulthood/Senior (55+)")</f>
        <v>4. Mature Adulthood (45-54)</v>
      </c>
      <c r="D2833" t="s">
        <v>27</v>
      </c>
      <c r="E2833" t="s">
        <v>32</v>
      </c>
      <c r="F2833" s="4">
        <v>3.45</v>
      </c>
      <c r="G2833" s="5">
        <v>44</v>
      </c>
      <c r="H2833" t="s">
        <v>49</v>
      </c>
      <c r="I2833" t="s">
        <v>57</v>
      </c>
      <c r="J2833" s="6">
        <v>17.989999999999998</v>
      </c>
      <c r="K2833">
        <v>1</v>
      </c>
      <c r="L2833" t="s">
        <v>29</v>
      </c>
      <c r="M2833" s="5">
        <v>3</v>
      </c>
      <c r="N2833" s="4">
        <v>0.08</v>
      </c>
      <c r="O2833" t="s">
        <v>20</v>
      </c>
    </row>
    <row r="2834" spans="1:15" x14ac:dyDescent="0.3">
      <c r="A2834" t="s">
        <v>1542</v>
      </c>
      <c r="B2834" s="5">
        <v>54</v>
      </c>
      <c r="C2834" s="5" t="str" cm="1">
        <f t="array" ref="C2834">_xlfn.IFS(worksheet[[#This Row],[age]]&lt;25,"1. Young Adulthood (18-24)",worksheet[[#This Row],[age]]&lt; 35,"2. Early Adulthood (25-34)",worksheet[[#This Row],[age]]&lt; 45,"3. Mid Adulthood (35-44)",worksheet[[#This Row],[age]]&lt; 55,"4. Mature Adulthood (45-54)",TRUE,"5. Late Adulthood/Senior (55+)")</f>
        <v>4. Mature Adulthood (45-54)</v>
      </c>
      <c r="D2834" t="s">
        <v>27</v>
      </c>
      <c r="E2834" t="s">
        <v>22</v>
      </c>
      <c r="F2834" s="4">
        <v>10.91</v>
      </c>
      <c r="G2834" s="5">
        <v>37</v>
      </c>
      <c r="H2834" t="s">
        <v>49</v>
      </c>
      <c r="I2834" t="s">
        <v>57</v>
      </c>
      <c r="J2834" s="6">
        <v>13.99</v>
      </c>
      <c r="K2834">
        <v>0</v>
      </c>
      <c r="L2834" t="s">
        <v>43</v>
      </c>
      <c r="M2834" s="5">
        <v>5</v>
      </c>
      <c r="N2834" s="4">
        <v>0.28999999999999998</v>
      </c>
      <c r="O2834" t="s">
        <v>52</v>
      </c>
    </row>
    <row r="2835" spans="1:15" x14ac:dyDescent="0.3">
      <c r="A2835" t="s">
        <v>1546</v>
      </c>
      <c r="B2835" s="5">
        <v>52</v>
      </c>
      <c r="C2835" s="5" t="str" cm="1">
        <f t="array" ref="C2835">_xlfn.IFS(worksheet[[#This Row],[age]]&lt;25,"1. Young Adulthood (18-24)",worksheet[[#This Row],[age]]&lt; 35,"2. Early Adulthood (25-34)",worksheet[[#This Row],[age]]&lt; 45,"3. Mid Adulthood (35-44)",worksheet[[#This Row],[age]]&lt; 55,"4. Mature Adulthood (45-54)",TRUE,"5. Late Adulthood/Senior (55+)")</f>
        <v>4. Mature Adulthood (45-54)</v>
      </c>
      <c r="D2835" t="s">
        <v>15</v>
      </c>
      <c r="E2835" t="s">
        <v>16</v>
      </c>
      <c r="F2835" s="4">
        <v>10.08</v>
      </c>
      <c r="G2835" s="5">
        <v>46</v>
      </c>
      <c r="H2835" t="s">
        <v>33</v>
      </c>
      <c r="I2835" t="s">
        <v>46</v>
      </c>
      <c r="J2835" s="6">
        <v>8.99</v>
      </c>
      <c r="K2835">
        <v>1</v>
      </c>
      <c r="L2835" t="s">
        <v>29</v>
      </c>
      <c r="M2835" s="5">
        <v>5</v>
      </c>
      <c r="N2835" s="4">
        <v>0.21</v>
      </c>
      <c r="O2835" t="s">
        <v>25</v>
      </c>
    </row>
    <row r="2836" spans="1:15" x14ac:dyDescent="0.3">
      <c r="A2836" t="s">
        <v>1553</v>
      </c>
      <c r="B2836" s="5">
        <v>52</v>
      </c>
      <c r="C2836" s="5" t="str" cm="1">
        <f t="array" ref="C2836">_xlfn.IFS(worksheet[[#This Row],[age]]&lt;25,"1. Young Adulthood (18-24)",worksheet[[#This Row],[age]]&lt; 35,"2. Early Adulthood (25-34)",worksheet[[#This Row],[age]]&lt; 45,"3. Mid Adulthood (35-44)",worksheet[[#This Row],[age]]&lt; 55,"4. Mature Adulthood (45-54)",TRUE,"5. Late Adulthood/Senior (55+)")</f>
        <v>4. Mature Adulthood (45-54)</v>
      </c>
      <c r="D2836" t="s">
        <v>15</v>
      </c>
      <c r="E2836" t="s">
        <v>16</v>
      </c>
      <c r="F2836" s="4">
        <v>8.4499999999999993</v>
      </c>
      <c r="G2836" s="5">
        <v>58</v>
      </c>
      <c r="H2836" t="s">
        <v>33</v>
      </c>
      <c r="I2836" t="s">
        <v>18</v>
      </c>
      <c r="J2836" s="6">
        <v>8.99</v>
      </c>
      <c r="K2836">
        <v>1</v>
      </c>
      <c r="L2836" t="s">
        <v>43</v>
      </c>
      <c r="M2836" s="5">
        <v>3</v>
      </c>
      <c r="N2836" s="4">
        <v>0.14000000000000001</v>
      </c>
      <c r="O2836" t="s">
        <v>52</v>
      </c>
    </row>
    <row r="2837" spans="1:15" x14ac:dyDescent="0.3">
      <c r="A2837" t="s">
        <v>1564</v>
      </c>
      <c r="B2837" s="5">
        <v>51</v>
      </c>
      <c r="C2837" s="5" t="str" cm="1">
        <f t="array" ref="C2837">_xlfn.IFS(worksheet[[#This Row],[age]]&lt;25,"1. Young Adulthood (18-24)",worksheet[[#This Row],[age]]&lt; 35,"2. Early Adulthood (25-34)",worksheet[[#This Row],[age]]&lt; 45,"3. Mid Adulthood (35-44)",worksheet[[#This Row],[age]]&lt; 55,"4. Mature Adulthood (45-54)",TRUE,"5. Late Adulthood/Senior (55+)")</f>
        <v>4. Mature Adulthood (45-54)</v>
      </c>
      <c r="D2837" t="s">
        <v>15</v>
      </c>
      <c r="E2837" t="s">
        <v>22</v>
      </c>
      <c r="F2837" s="4">
        <v>2.68</v>
      </c>
      <c r="G2837" s="5">
        <v>48</v>
      </c>
      <c r="H2837" t="s">
        <v>28</v>
      </c>
      <c r="I2837" t="s">
        <v>46</v>
      </c>
      <c r="J2837" s="6">
        <v>13.99</v>
      </c>
      <c r="K2837">
        <v>1</v>
      </c>
      <c r="L2837" t="s">
        <v>29</v>
      </c>
      <c r="M2837" s="5">
        <v>3</v>
      </c>
      <c r="N2837" s="4">
        <v>0.05</v>
      </c>
      <c r="O2837" t="s">
        <v>47</v>
      </c>
    </row>
    <row r="2838" spans="1:15" x14ac:dyDescent="0.3">
      <c r="A2838" t="s">
        <v>1565</v>
      </c>
      <c r="B2838" s="5">
        <v>52</v>
      </c>
      <c r="C2838" s="5" t="str" cm="1">
        <f t="array" ref="C2838">_xlfn.IFS(worksheet[[#This Row],[age]]&lt;25,"1. Young Adulthood (18-24)",worksheet[[#This Row],[age]]&lt; 35,"2. Early Adulthood (25-34)",worksheet[[#This Row],[age]]&lt; 45,"3. Mid Adulthood (35-44)",worksheet[[#This Row],[age]]&lt; 55,"4. Mature Adulthood (45-54)",TRUE,"5. Late Adulthood/Senior (55+)")</f>
        <v>4. Mature Adulthood (45-54)</v>
      </c>
      <c r="D2838" t="s">
        <v>27</v>
      </c>
      <c r="E2838" t="s">
        <v>16</v>
      </c>
      <c r="F2838" s="4">
        <v>20.8</v>
      </c>
      <c r="G2838" s="5">
        <v>33</v>
      </c>
      <c r="H2838" t="s">
        <v>23</v>
      </c>
      <c r="I2838" t="s">
        <v>18</v>
      </c>
      <c r="J2838" s="6">
        <v>8.99</v>
      </c>
      <c r="K2838">
        <v>0</v>
      </c>
      <c r="L2838" t="s">
        <v>61</v>
      </c>
      <c r="M2838" s="5">
        <v>2</v>
      </c>
      <c r="N2838" s="4">
        <v>0.61</v>
      </c>
      <c r="O2838" t="s">
        <v>39</v>
      </c>
    </row>
    <row r="2839" spans="1:15" x14ac:dyDescent="0.3">
      <c r="A2839" t="s">
        <v>1570</v>
      </c>
      <c r="B2839" s="5">
        <v>52</v>
      </c>
      <c r="C2839" s="5" t="str" cm="1">
        <f t="array" ref="C2839">_xlfn.IFS(worksheet[[#This Row],[age]]&lt;25,"1. Young Adulthood (18-24)",worksheet[[#This Row],[age]]&lt; 35,"2. Early Adulthood (25-34)",worksheet[[#This Row],[age]]&lt; 45,"3. Mid Adulthood (35-44)",worksheet[[#This Row],[age]]&lt; 55,"4. Mature Adulthood (45-54)",TRUE,"5. Late Adulthood/Senior (55+)")</f>
        <v>4. Mature Adulthood (45-54)</v>
      </c>
      <c r="D2839" t="s">
        <v>41</v>
      </c>
      <c r="E2839" t="s">
        <v>22</v>
      </c>
      <c r="F2839" s="4">
        <v>11.84</v>
      </c>
      <c r="G2839" s="5">
        <v>36</v>
      </c>
      <c r="H2839" t="s">
        <v>23</v>
      </c>
      <c r="I2839" t="s">
        <v>57</v>
      </c>
      <c r="J2839" s="6">
        <v>13.99</v>
      </c>
      <c r="K2839">
        <v>0</v>
      </c>
      <c r="L2839" t="s">
        <v>61</v>
      </c>
      <c r="M2839" s="5">
        <v>4</v>
      </c>
      <c r="N2839" s="4">
        <v>0.32</v>
      </c>
      <c r="O2839" t="s">
        <v>34</v>
      </c>
    </row>
    <row r="2840" spans="1:15" x14ac:dyDescent="0.3">
      <c r="A2840" t="s">
        <v>1576</v>
      </c>
      <c r="B2840" s="5">
        <v>45</v>
      </c>
      <c r="C2840" s="5" t="str" cm="1">
        <f t="array" ref="C2840">_xlfn.IFS(worksheet[[#This Row],[age]]&lt;25,"1. Young Adulthood (18-24)",worksheet[[#This Row],[age]]&lt; 35,"2. Early Adulthood (25-34)",worksheet[[#This Row],[age]]&lt; 45,"3. Mid Adulthood (35-44)",worksheet[[#This Row],[age]]&lt; 55,"4. Mature Adulthood (45-54)",TRUE,"5. Late Adulthood/Senior (55+)")</f>
        <v>4. Mature Adulthood (45-54)</v>
      </c>
      <c r="D2840" t="s">
        <v>41</v>
      </c>
      <c r="E2840" t="s">
        <v>16</v>
      </c>
      <c r="F2840" s="4">
        <v>3.05</v>
      </c>
      <c r="G2840" s="5">
        <v>59</v>
      </c>
      <c r="H2840" t="s">
        <v>70</v>
      </c>
      <c r="I2840" t="s">
        <v>57</v>
      </c>
      <c r="J2840" s="6">
        <v>8.99</v>
      </c>
      <c r="K2840">
        <v>1</v>
      </c>
      <c r="L2840" t="s">
        <v>61</v>
      </c>
      <c r="M2840" s="5">
        <v>1</v>
      </c>
      <c r="N2840" s="4">
        <v>0.05</v>
      </c>
      <c r="O2840" t="s">
        <v>20</v>
      </c>
    </row>
    <row r="2841" spans="1:15" x14ac:dyDescent="0.3">
      <c r="A2841" t="s">
        <v>1577</v>
      </c>
      <c r="B2841" s="5">
        <v>51</v>
      </c>
      <c r="C2841" s="5" t="str" cm="1">
        <f t="array" ref="C2841">_xlfn.IFS(worksheet[[#This Row],[age]]&lt;25,"1. Young Adulthood (18-24)",worksheet[[#This Row],[age]]&lt; 35,"2. Early Adulthood (25-34)",worksheet[[#This Row],[age]]&lt; 45,"3. Mid Adulthood (35-44)",worksheet[[#This Row],[age]]&lt; 55,"4. Mature Adulthood (45-54)",TRUE,"5. Late Adulthood/Senior (55+)")</f>
        <v>4. Mature Adulthood (45-54)</v>
      </c>
      <c r="D2841" t="s">
        <v>41</v>
      </c>
      <c r="E2841" t="s">
        <v>22</v>
      </c>
      <c r="F2841" s="4">
        <v>5.54</v>
      </c>
      <c r="G2841" s="5">
        <v>26</v>
      </c>
      <c r="H2841" t="s">
        <v>33</v>
      </c>
      <c r="I2841" t="s">
        <v>57</v>
      </c>
      <c r="J2841" s="6">
        <v>13.99</v>
      </c>
      <c r="K2841">
        <v>0</v>
      </c>
      <c r="L2841" t="s">
        <v>37</v>
      </c>
      <c r="M2841" s="5">
        <v>4</v>
      </c>
      <c r="N2841" s="4">
        <v>0.21</v>
      </c>
      <c r="O2841" t="s">
        <v>52</v>
      </c>
    </row>
    <row r="2842" spans="1:15" x14ac:dyDescent="0.3">
      <c r="A2842" t="s">
        <v>1586</v>
      </c>
      <c r="B2842" s="5">
        <v>47</v>
      </c>
      <c r="C2842" s="5" t="str" cm="1">
        <f t="array" ref="C2842">_xlfn.IFS(worksheet[[#This Row],[age]]&lt;25,"1. Young Adulthood (18-24)",worksheet[[#This Row],[age]]&lt; 35,"2. Early Adulthood (25-34)",worksheet[[#This Row],[age]]&lt; 45,"3. Mid Adulthood (35-44)",worksheet[[#This Row],[age]]&lt; 55,"4. Mature Adulthood (45-54)",TRUE,"5. Late Adulthood/Senior (55+)")</f>
        <v>4. Mature Adulthood (45-54)</v>
      </c>
      <c r="D2842" t="s">
        <v>15</v>
      </c>
      <c r="E2842" t="s">
        <v>16</v>
      </c>
      <c r="F2842" s="4">
        <v>8.3699999999999992</v>
      </c>
      <c r="G2842" s="5">
        <v>27</v>
      </c>
      <c r="H2842" t="s">
        <v>23</v>
      </c>
      <c r="I2842" t="s">
        <v>57</v>
      </c>
      <c r="J2842" s="6">
        <v>8.99</v>
      </c>
      <c r="K2842">
        <v>0</v>
      </c>
      <c r="L2842" t="s">
        <v>19</v>
      </c>
      <c r="M2842" s="5">
        <v>5</v>
      </c>
      <c r="N2842" s="4">
        <v>0.3</v>
      </c>
      <c r="O2842" t="s">
        <v>47</v>
      </c>
    </row>
    <row r="2843" spans="1:15" x14ac:dyDescent="0.3">
      <c r="A2843" t="s">
        <v>1593</v>
      </c>
      <c r="B2843" s="5">
        <v>51</v>
      </c>
      <c r="C2843" s="5" t="str" cm="1">
        <f t="array" ref="C2843">_xlfn.IFS(worksheet[[#This Row],[age]]&lt;25,"1. Young Adulthood (18-24)",worksheet[[#This Row],[age]]&lt; 35,"2. Early Adulthood (25-34)",worksheet[[#This Row],[age]]&lt; 45,"3. Mid Adulthood (35-44)",worksheet[[#This Row],[age]]&lt; 55,"4. Mature Adulthood (45-54)",TRUE,"5. Late Adulthood/Senior (55+)")</f>
        <v>4. Mature Adulthood (45-54)</v>
      </c>
      <c r="D2843" t="s">
        <v>41</v>
      </c>
      <c r="E2843" t="s">
        <v>22</v>
      </c>
      <c r="F2843" s="4">
        <v>18.53</v>
      </c>
      <c r="G2843" s="5">
        <v>30</v>
      </c>
      <c r="H2843" t="s">
        <v>33</v>
      </c>
      <c r="I2843" t="s">
        <v>18</v>
      </c>
      <c r="J2843" s="6">
        <v>13.99</v>
      </c>
      <c r="K2843">
        <v>0</v>
      </c>
      <c r="L2843" t="s">
        <v>61</v>
      </c>
      <c r="M2843" s="5">
        <v>3</v>
      </c>
      <c r="N2843" s="4">
        <v>0.6</v>
      </c>
      <c r="O2843" t="s">
        <v>30</v>
      </c>
    </row>
    <row r="2844" spans="1:15" x14ac:dyDescent="0.3">
      <c r="A2844" t="s">
        <v>1610</v>
      </c>
      <c r="B2844" s="5">
        <v>53</v>
      </c>
      <c r="C2844" s="5" t="str" cm="1">
        <f t="array" ref="C2844">_xlfn.IFS(worksheet[[#This Row],[age]]&lt;25,"1. Young Adulthood (18-24)",worksheet[[#This Row],[age]]&lt; 35,"2. Early Adulthood (25-34)",worksheet[[#This Row],[age]]&lt; 45,"3. Mid Adulthood (35-44)",worksheet[[#This Row],[age]]&lt; 55,"4. Mature Adulthood (45-54)",TRUE,"5. Late Adulthood/Senior (55+)")</f>
        <v>4. Mature Adulthood (45-54)</v>
      </c>
      <c r="D2844" t="s">
        <v>27</v>
      </c>
      <c r="E2844" t="s">
        <v>22</v>
      </c>
      <c r="F2844" s="4">
        <v>1.72</v>
      </c>
      <c r="G2844" s="5">
        <v>19</v>
      </c>
      <c r="H2844" t="s">
        <v>28</v>
      </c>
      <c r="I2844" t="s">
        <v>18</v>
      </c>
      <c r="J2844" s="6">
        <v>13.99</v>
      </c>
      <c r="K2844">
        <v>1</v>
      </c>
      <c r="L2844" t="s">
        <v>61</v>
      </c>
      <c r="M2844" s="5">
        <v>1</v>
      </c>
      <c r="N2844" s="4">
        <v>0.09</v>
      </c>
      <c r="O2844" t="s">
        <v>34</v>
      </c>
    </row>
    <row r="2845" spans="1:15" x14ac:dyDescent="0.3">
      <c r="A2845" t="s">
        <v>1630</v>
      </c>
      <c r="B2845" s="5">
        <v>50</v>
      </c>
      <c r="C2845" s="5" t="str" cm="1">
        <f t="array" ref="C2845">_xlfn.IFS(worksheet[[#This Row],[age]]&lt;25,"1. Young Adulthood (18-24)",worksheet[[#This Row],[age]]&lt; 35,"2. Early Adulthood (25-34)",worksheet[[#This Row],[age]]&lt; 45,"3. Mid Adulthood (35-44)",worksheet[[#This Row],[age]]&lt; 55,"4. Mature Adulthood (45-54)",TRUE,"5. Late Adulthood/Senior (55+)")</f>
        <v>4. Mature Adulthood (45-54)</v>
      </c>
      <c r="D2845" t="s">
        <v>27</v>
      </c>
      <c r="E2845" t="s">
        <v>22</v>
      </c>
      <c r="F2845" s="4">
        <v>8.43</v>
      </c>
      <c r="G2845" s="5">
        <v>16</v>
      </c>
      <c r="H2845" t="s">
        <v>23</v>
      </c>
      <c r="I2845" t="s">
        <v>18</v>
      </c>
      <c r="J2845" s="6">
        <v>13.99</v>
      </c>
      <c r="K2845">
        <v>0</v>
      </c>
      <c r="L2845" t="s">
        <v>43</v>
      </c>
      <c r="M2845" s="5">
        <v>3</v>
      </c>
      <c r="N2845" s="4">
        <v>0.5</v>
      </c>
      <c r="O2845" t="s">
        <v>52</v>
      </c>
    </row>
    <row r="2846" spans="1:15" x14ac:dyDescent="0.3">
      <c r="A2846" t="s">
        <v>1632</v>
      </c>
      <c r="B2846" s="5">
        <v>47</v>
      </c>
      <c r="C2846" s="5" t="str" cm="1">
        <f t="array" ref="C2846">_xlfn.IFS(worksheet[[#This Row],[age]]&lt;25,"1. Young Adulthood (18-24)",worksheet[[#This Row],[age]]&lt; 35,"2. Early Adulthood (25-34)",worksheet[[#This Row],[age]]&lt; 45,"3. Mid Adulthood (35-44)",worksheet[[#This Row],[age]]&lt; 55,"4. Mature Adulthood (45-54)",TRUE,"5. Late Adulthood/Senior (55+)")</f>
        <v>4. Mature Adulthood (45-54)</v>
      </c>
      <c r="D2846" t="s">
        <v>41</v>
      </c>
      <c r="E2846" t="s">
        <v>32</v>
      </c>
      <c r="F2846" s="4">
        <v>9.82</v>
      </c>
      <c r="G2846" s="5">
        <v>55</v>
      </c>
      <c r="H2846" t="s">
        <v>70</v>
      </c>
      <c r="I2846" t="s">
        <v>24</v>
      </c>
      <c r="J2846" s="6">
        <v>17.989999999999998</v>
      </c>
      <c r="K2846">
        <v>0</v>
      </c>
      <c r="L2846" t="s">
        <v>37</v>
      </c>
      <c r="M2846" s="5">
        <v>5</v>
      </c>
      <c r="N2846" s="4">
        <v>0.18</v>
      </c>
      <c r="O2846" t="s">
        <v>30</v>
      </c>
    </row>
    <row r="2847" spans="1:15" x14ac:dyDescent="0.3">
      <c r="A2847" t="s">
        <v>1638</v>
      </c>
      <c r="B2847" s="5">
        <v>52</v>
      </c>
      <c r="C2847" s="5" t="str" cm="1">
        <f t="array" ref="C2847">_xlfn.IFS(worksheet[[#This Row],[age]]&lt;25,"1. Young Adulthood (18-24)",worksheet[[#This Row],[age]]&lt; 35,"2. Early Adulthood (25-34)",worksheet[[#This Row],[age]]&lt; 45,"3. Mid Adulthood (35-44)",worksheet[[#This Row],[age]]&lt; 55,"4. Mature Adulthood (45-54)",TRUE,"5. Late Adulthood/Senior (55+)")</f>
        <v>4. Mature Adulthood (45-54)</v>
      </c>
      <c r="D2847" t="s">
        <v>41</v>
      </c>
      <c r="E2847" t="s">
        <v>22</v>
      </c>
      <c r="F2847" s="4">
        <v>17.260000000000002</v>
      </c>
      <c r="G2847" s="5">
        <v>58</v>
      </c>
      <c r="H2847" t="s">
        <v>70</v>
      </c>
      <c r="I2847" t="s">
        <v>24</v>
      </c>
      <c r="J2847" s="6">
        <v>13.99</v>
      </c>
      <c r="K2847">
        <v>1</v>
      </c>
      <c r="L2847" t="s">
        <v>29</v>
      </c>
      <c r="M2847" s="5">
        <v>4</v>
      </c>
      <c r="N2847" s="4">
        <v>0.28999999999999998</v>
      </c>
      <c r="O2847" t="s">
        <v>47</v>
      </c>
    </row>
    <row r="2848" spans="1:15" x14ac:dyDescent="0.3">
      <c r="A2848" t="s">
        <v>1639</v>
      </c>
      <c r="B2848" s="5">
        <v>49</v>
      </c>
      <c r="C2848" s="5" t="str" cm="1">
        <f t="array" ref="C2848">_xlfn.IFS(worksheet[[#This Row],[age]]&lt;25,"1. Young Adulthood (18-24)",worksheet[[#This Row],[age]]&lt; 35,"2. Early Adulthood (25-34)",worksheet[[#This Row],[age]]&lt; 45,"3. Mid Adulthood (35-44)",worksheet[[#This Row],[age]]&lt; 55,"4. Mature Adulthood (45-54)",TRUE,"5. Late Adulthood/Senior (55+)")</f>
        <v>4. Mature Adulthood (45-54)</v>
      </c>
      <c r="D2848" t="s">
        <v>27</v>
      </c>
      <c r="E2848" t="s">
        <v>22</v>
      </c>
      <c r="F2848" s="4">
        <v>11.88</v>
      </c>
      <c r="G2848" s="5">
        <v>41</v>
      </c>
      <c r="H2848" t="s">
        <v>28</v>
      </c>
      <c r="I2848" t="s">
        <v>55</v>
      </c>
      <c r="J2848" s="6">
        <v>13.99</v>
      </c>
      <c r="K2848">
        <v>0</v>
      </c>
      <c r="L2848" t="s">
        <v>61</v>
      </c>
      <c r="M2848" s="5">
        <v>4</v>
      </c>
      <c r="N2848" s="4">
        <v>0.28000000000000003</v>
      </c>
      <c r="O2848" t="s">
        <v>34</v>
      </c>
    </row>
    <row r="2849" spans="1:15" x14ac:dyDescent="0.3">
      <c r="A2849" t="s">
        <v>1644</v>
      </c>
      <c r="B2849" s="5">
        <v>47</v>
      </c>
      <c r="C2849" s="5" t="str" cm="1">
        <f t="array" ref="C2849">_xlfn.IFS(worksheet[[#This Row],[age]]&lt;25,"1. Young Adulthood (18-24)",worksheet[[#This Row],[age]]&lt; 35,"2. Early Adulthood (25-34)",worksheet[[#This Row],[age]]&lt; 45,"3. Mid Adulthood (35-44)",worksheet[[#This Row],[age]]&lt; 55,"4. Mature Adulthood (45-54)",TRUE,"5. Late Adulthood/Senior (55+)")</f>
        <v>4. Mature Adulthood (45-54)</v>
      </c>
      <c r="D2849" t="s">
        <v>27</v>
      </c>
      <c r="E2849" t="s">
        <v>22</v>
      </c>
      <c r="F2849" s="4">
        <v>0.55000000000000004</v>
      </c>
      <c r="G2849" s="5">
        <v>40</v>
      </c>
      <c r="H2849" t="s">
        <v>28</v>
      </c>
      <c r="I2849" t="s">
        <v>18</v>
      </c>
      <c r="J2849" s="6">
        <v>13.99</v>
      </c>
      <c r="K2849">
        <v>1</v>
      </c>
      <c r="L2849" t="s">
        <v>43</v>
      </c>
      <c r="M2849" s="5">
        <v>3</v>
      </c>
      <c r="N2849" s="4">
        <v>0.01</v>
      </c>
      <c r="O2849" t="s">
        <v>34</v>
      </c>
    </row>
    <row r="2850" spans="1:15" x14ac:dyDescent="0.3">
      <c r="A2850" t="s">
        <v>1645</v>
      </c>
      <c r="B2850" s="5">
        <v>47</v>
      </c>
      <c r="C2850" s="5" t="str" cm="1">
        <f t="array" ref="C2850">_xlfn.IFS(worksheet[[#This Row],[age]]&lt;25,"1. Young Adulthood (18-24)",worksheet[[#This Row],[age]]&lt; 35,"2. Early Adulthood (25-34)",worksheet[[#This Row],[age]]&lt; 45,"3. Mid Adulthood (35-44)",worksheet[[#This Row],[age]]&lt; 55,"4. Mature Adulthood (45-54)",TRUE,"5. Late Adulthood/Senior (55+)")</f>
        <v>4. Mature Adulthood (45-54)</v>
      </c>
      <c r="D2850" t="s">
        <v>27</v>
      </c>
      <c r="E2850" t="s">
        <v>16</v>
      </c>
      <c r="F2850" s="4">
        <v>4.6900000000000004</v>
      </c>
      <c r="G2850" s="5">
        <v>46</v>
      </c>
      <c r="H2850" t="s">
        <v>23</v>
      </c>
      <c r="I2850" t="s">
        <v>46</v>
      </c>
      <c r="J2850" s="6">
        <v>8.99</v>
      </c>
      <c r="K2850">
        <v>1</v>
      </c>
      <c r="L2850" t="s">
        <v>29</v>
      </c>
      <c r="M2850" s="5">
        <v>2</v>
      </c>
      <c r="N2850" s="4">
        <v>0.1</v>
      </c>
      <c r="O2850" t="s">
        <v>25</v>
      </c>
    </row>
    <row r="2851" spans="1:15" x14ac:dyDescent="0.3">
      <c r="A2851" t="s">
        <v>1646</v>
      </c>
      <c r="B2851" s="5">
        <v>45</v>
      </c>
      <c r="C2851" s="5" t="str" cm="1">
        <f t="array" ref="C2851">_xlfn.IFS(worksheet[[#This Row],[age]]&lt;25,"1. Young Adulthood (18-24)",worksheet[[#This Row],[age]]&lt; 35,"2. Early Adulthood (25-34)",worksheet[[#This Row],[age]]&lt; 45,"3. Mid Adulthood (35-44)",worksheet[[#This Row],[age]]&lt; 55,"4. Mature Adulthood (45-54)",TRUE,"5. Late Adulthood/Senior (55+)")</f>
        <v>4. Mature Adulthood (45-54)</v>
      </c>
      <c r="D2851" t="s">
        <v>15</v>
      </c>
      <c r="E2851" t="s">
        <v>22</v>
      </c>
      <c r="F2851" s="4">
        <v>26.82</v>
      </c>
      <c r="G2851" s="5">
        <v>41</v>
      </c>
      <c r="H2851" t="s">
        <v>33</v>
      </c>
      <c r="I2851" t="s">
        <v>24</v>
      </c>
      <c r="J2851" s="6">
        <v>13.99</v>
      </c>
      <c r="K2851">
        <v>0</v>
      </c>
      <c r="L2851" t="s">
        <v>61</v>
      </c>
      <c r="M2851" s="5">
        <v>5</v>
      </c>
      <c r="N2851" s="4">
        <v>0.64</v>
      </c>
      <c r="O2851" t="s">
        <v>39</v>
      </c>
    </row>
    <row r="2852" spans="1:15" x14ac:dyDescent="0.3">
      <c r="A2852" t="s">
        <v>1649</v>
      </c>
      <c r="B2852" s="5">
        <v>48</v>
      </c>
      <c r="C2852" s="5" t="str" cm="1">
        <f t="array" ref="C2852">_xlfn.IFS(worksheet[[#This Row],[age]]&lt;25,"1. Young Adulthood (18-24)",worksheet[[#This Row],[age]]&lt; 35,"2. Early Adulthood (25-34)",worksheet[[#This Row],[age]]&lt; 45,"3. Mid Adulthood (35-44)",worksheet[[#This Row],[age]]&lt; 55,"4. Mature Adulthood (45-54)",TRUE,"5. Late Adulthood/Senior (55+)")</f>
        <v>4. Mature Adulthood (45-54)</v>
      </c>
      <c r="D2852" t="s">
        <v>41</v>
      </c>
      <c r="E2852" t="s">
        <v>16</v>
      </c>
      <c r="F2852" s="4">
        <v>0.31</v>
      </c>
      <c r="G2852" s="5">
        <v>37</v>
      </c>
      <c r="H2852" t="s">
        <v>28</v>
      </c>
      <c r="I2852" t="s">
        <v>24</v>
      </c>
      <c r="J2852" s="6">
        <v>8.99</v>
      </c>
      <c r="K2852">
        <v>1</v>
      </c>
      <c r="L2852" t="s">
        <v>29</v>
      </c>
      <c r="M2852" s="5">
        <v>2</v>
      </c>
      <c r="N2852" s="4">
        <v>0.01</v>
      </c>
      <c r="O2852" t="s">
        <v>20</v>
      </c>
    </row>
    <row r="2853" spans="1:15" x14ac:dyDescent="0.3">
      <c r="A2853" t="s">
        <v>1653</v>
      </c>
      <c r="B2853" s="5">
        <v>48</v>
      </c>
      <c r="C2853" s="5" t="str" cm="1">
        <f t="array" ref="C2853">_xlfn.IFS(worksheet[[#This Row],[age]]&lt;25,"1. Young Adulthood (18-24)",worksheet[[#This Row],[age]]&lt; 35,"2. Early Adulthood (25-34)",worksheet[[#This Row],[age]]&lt; 45,"3. Mid Adulthood (35-44)",worksheet[[#This Row],[age]]&lt; 55,"4. Mature Adulthood (45-54)",TRUE,"5. Late Adulthood/Senior (55+)")</f>
        <v>4. Mature Adulthood (45-54)</v>
      </c>
      <c r="D2853" t="s">
        <v>41</v>
      </c>
      <c r="E2853" t="s">
        <v>16</v>
      </c>
      <c r="F2853" s="4">
        <v>34.5</v>
      </c>
      <c r="G2853" s="5">
        <v>42</v>
      </c>
      <c r="H2853" t="s">
        <v>70</v>
      </c>
      <c r="I2853" t="s">
        <v>24</v>
      </c>
      <c r="J2853" s="6">
        <v>8.99</v>
      </c>
      <c r="K2853">
        <v>0</v>
      </c>
      <c r="L2853" t="s">
        <v>19</v>
      </c>
      <c r="M2853" s="5">
        <v>5</v>
      </c>
      <c r="N2853" s="4">
        <v>0.8</v>
      </c>
      <c r="O2853" t="s">
        <v>52</v>
      </c>
    </row>
    <row r="2854" spans="1:15" x14ac:dyDescent="0.3">
      <c r="A2854" t="s">
        <v>1658</v>
      </c>
      <c r="B2854" s="5">
        <v>45</v>
      </c>
      <c r="C2854" s="5" t="str" cm="1">
        <f t="array" ref="C2854">_xlfn.IFS(worksheet[[#This Row],[age]]&lt;25,"1. Young Adulthood (18-24)",worksheet[[#This Row],[age]]&lt; 35,"2. Early Adulthood (25-34)",worksheet[[#This Row],[age]]&lt; 45,"3. Mid Adulthood (35-44)",worksheet[[#This Row],[age]]&lt; 55,"4. Mature Adulthood (45-54)",TRUE,"5. Late Adulthood/Senior (55+)")</f>
        <v>4. Mature Adulthood (45-54)</v>
      </c>
      <c r="D2854" t="s">
        <v>41</v>
      </c>
      <c r="E2854" t="s">
        <v>16</v>
      </c>
      <c r="F2854" s="4">
        <v>9.31</v>
      </c>
      <c r="G2854" s="5">
        <v>51</v>
      </c>
      <c r="H2854" t="s">
        <v>17</v>
      </c>
      <c r="I2854" t="s">
        <v>57</v>
      </c>
      <c r="J2854" s="6">
        <v>8.99</v>
      </c>
      <c r="K2854">
        <v>1</v>
      </c>
      <c r="L2854" t="s">
        <v>43</v>
      </c>
      <c r="M2854" s="5">
        <v>2</v>
      </c>
      <c r="N2854" s="4">
        <v>0.18</v>
      </c>
      <c r="O2854" t="s">
        <v>39</v>
      </c>
    </row>
    <row r="2855" spans="1:15" x14ac:dyDescent="0.3">
      <c r="A2855" t="s">
        <v>1663</v>
      </c>
      <c r="B2855" s="5">
        <v>54</v>
      </c>
      <c r="C2855" s="5" t="str" cm="1">
        <f t="array" ref="C2855">_xlfn.IFS(worksheet[[#This Row],[age]]&lt;25,"1. Young Adulthood (18-24)",worksheet[[#This Row],[age]]&lt; 35,"2. Early Adulthood (25-34)",worksheet[[#This Row],[age]]&lt; 45,"3. Mid Adulthood (35-44)",worksheet[[#This Row],[age]]&lt; 55,"4. Mature Adulthood (45-54)",TRUE,"5. Late Adulthood/Senior (55+)")</f>
        <v>4. Mature Adulthood (45-54)</v>
      </c>
      <c r="D2855" t="s">
        <v>27</v>
      </c>
      <c r="E2855" t="s">
        <v>32</v>
      </c>
      <c r="F2855" s="4">
        <v>11.6</v>
      </c>
      <c r="G2855" s="5">
        <v>33</v>
      </c>
      <c r="H2855" t="s">
        <v>17</v>
      </c>
      <c r="I2855" t="s">
        <v>18</v>
      </c>
      <c r="J2855" s="6">
        <v>17.989999999999998</v>
      </c>
      <c r="K2855">
        <v>1</v>
      </c>
      <c r="L2855" t="s">
        <v>19</v>
      </c>
      <c r="M2855" s="5">
        <v>4</v>
      </c>
      <c r="N2855" s="4">
        <v>0.34</v>
      </c>
      <c r="O2855" t="s">
        <v>34</v>
      </c>
    </row>
    <row r="2856" spans="1:15" x14ac:dyDescent="0.3">
      <c r="A2856" t="s">
        <v>1668</v>
      </c>
      <c r="B2856" s="5">
        <v>47</v>
      </c>
      <c r="C2856" s="5" t="str" cm="1">
        <f t="array" ref="C2856">_xlfn.IFS(worksheet[[#This Row],[age]]&lt;25,"1. Young Adulthood (18-24)",worksheet[[#This Row],[age]]&lt; 35,"2. Early Adulthood (25-34)",worksheet[[#This Row],[age]]&lt; 45,"3. Mid Adulthood (35-44)",worksheet[[#This Row],[age]]&lt; 55,"4. Mature Adulthood (45-54)",TRUE,"5. Late Adulthood/Senior (55+)")</f>
        <v>4. Mature Adulthood (45-54)</v>
      </c>
      <c r="D2856" t="s">
        <v>15</v>
      </c>
      <c r="E2856" t="s">
        <v>22</v>
      </c>
      <c r="F2856" s="4">
        <v>3.5</v>
      </c>
      <c r="G2856" s="5">
        <v>32</v>
      </c>
      <c r="H2856" t="s">
        <v>23</v>
      </c>
      <c r="I2856" t="s">
        <v>57</v>
      </c>
      <c r="J2856" s="6">
        <v>13.99</v>
      </c>
      <c r="K2856">
        <v>1</v>
      </c>
      <c r="L2856" t="s">
        <v>29</v>
      </c>
      <c r="M2856" s="5">
        <v>1</v>
      </c>
      <c r="N2856" s="4">
        <v>0.11</v>
      </c>
      <c r="O2856" t="s">
        <v>25</v>
      </c>
    </row>
    <row r="2857" spans="1:15" x14ac:dyDescent="0.3">
      <c r="A2857" t="s">
        <v>1678</v>
      </c>
      <c r="B2857" s="5">
        <v>54</v>
      </c>
      <c r="C2857" s="5" t="str" cm="1">
        <f t="array" ref="C2857">_xlfn.IFS(worksheet[[#This Row],[age]]&lt;25,"1. Young Adulthood (18-24)",worksheet[[#This Row],[age]]&lt; 35,"2. Early Adulthood (25-34)",worksheet[[#This Row],[age]]&lt; 45,"3. Mid Adulthood (35-44)",worksheet[[#This Row],[age]]&lt; 55,"4. Mature Adulthood (45-54)",TRUE,"5. Late Adulthood/Senior (55+)")</f>
        <v>4. Mature Adulthood (45-54)</v>
      </c>
      <c r="D2857" t="s">
        <v>15</v>
      </c>
      <c r="E2857" t="s">
        <v>22</v>
      </c>
      <c r="F2857" s="4">
        <v>2.79</v>
      </c>
      <c r="G2857" s="5">
        <v>1</v>
      </c>
      <c r="H2857" t="s">
        <v>49</v>
      </c>
      <c r="I2857" t="s">
        <v>18</v>
      </c>
      <c r="J2857" s="6">
        <v>13.99</v>
      </c>
      <c r="K2857">
        <v>0</v>
      </c>
      <c r="L2857" t="s">
        <v>61</v>
      </c>
      <c r="M2857" s="5">
        <v>1</v>
      </c>
      <c r="N2857" s="4">
        <v>1.4</v>
      </c>
      <c r="O2857" t="s">
        <v>20</v>
      </c>
    </row>
    <row r="2858" spans="1:15" x14ac:dyDescent="0.3">
      <c r="A2858" t="s">
        <v>1684</v>
      </c>
      <c r="B2858" s="5">
        <v>50</v>
      </c>
      <c r="C2858" s="5" t="str" cm="1">
        <f t="array" ref="C2858">_xlfn.IFS(worksheet[[#This Row],[age]]&lt;25,"1. Young Adulthood (18-24)",worksheet[[#This Row],[age]]&lt; 35,"2. Early Adulthood (25-34)",worksheet[[#This Row],[age]]&lt; 45,"3. Mid Adulthood (35-44)",worksheet[[#This Row],[age]]&lt; 55,"4. Mature Adulthood (45-54)",TRUE,"5. Late Adulthood/Senior (55+)")</f>
        <v>4. Mature Adulthood (45-54)</v>
      </c>
      <c r="D2858" t="s">
        <v>41</v>
      </c>
      <c r="E2858" t="s">
        <v>22</v>
      </c>
      <c r="F2858" s="4">
        <v>30.53</v>
      </c>
      <c r="G2858" s="5">
        <v>31</v>
      </c>
      <c r="H2858" t="s">
        <v>70</v>
      </c>
      <c r="I2858" t="s">
        <v>55</v>
      </c>
      <c r="J2858" s="6">
        <v>13.99</v>
      </c>
      <c r="K2858">
        <v>0</v>
      </c>
      <c r="L2858" t="s">
        <v>19</v>
      </c>
      <c r="M2858" s="5">
        <v>5</v>
      </c>
      <c r="N2858" s="4">
        <v>0.95</v>
      </c>
      <c r="O2858" t="s">
        <v>20</v>
      </c>
    </row>
    <row r="2859" spans="1:15" x14ac:dyDescent="0.3">
      <c r="A2859" t="s">
        <v>1692</v>
      </c>
      <c r="B2859" s="5">
        <v>54</v>
      </c>
      <c r="C2859" s="5" t="str" cm="1">
        <f t="array" ref="C2859">_xlfn.IFS(worksheet[[#This Row],[age]]&lt;25,"1. Young Adulthood (18-24)",worksheet[[#This Row],[age]]&lt; 35,"2. Early Adulthood (25-34)",worksheet[[#This Row],[age]]&lt; 45,"3. Mid Adulthood (35-44)",worksheet[[#This Row],[age]]&lt; 55,"4. Mature Adulthood (45-54)",TRUE,"5. Late Adulthood/Senior (55+)")</f>
        <v>4. Mature Adulthood (45-54)</v>
      </c>
      <c r="D2859" t="s">
        <v>41</v>
      </c>
      <c r="E2859" t="s">
        <v>32</v>
      </c>
      <c r="F2859" s="4">
        <v>6.26</v>
      </c>
      <c r="G2859" s="5">
        <v>51</v>
      </c>
      <c r="H2859" t="s">
        <v>49</v>
      </c>
      <c r="I2859" t="s">
        <v>55</v>
      </c>
      <c r="J2859" s="6">
        <v>17.989999999999998</v>
      </c>
      <c r="K2859">
        <v>1</v>
      </c>
      <c r="L2859" t="s">
        <v>19</v>
      </c>
      <c r="M2859" s="5">
        <v>3</v>
      </c>
      <c r="N2859" s="4">
        <v>0.12</v>
      </c>
      <c r="O2859" t="s">
        <v>34</v>
      </c>
    </row>
    <row r="2860" spans="1:15" x14ac:dyDescent="0.3">
      <c r="A2860" t="s">
        <v>1706</v>
      </c>
      <c r="B2860" s="5">
        <v>45</v>
      </c>
      <c r="C2860" s="5" t="str" cm="1">
        <f t="array" ref="C2860">_xlfn.IFS(worksheet[[#This Row],[age]]&lt;25,"1. Young Adulthood (18-24)",worksheet[[#This Row],[age]]&lt; 35,"2. Early Adulthood (25-34)",worksheet[[#This Row],[age]]&lt; 45,"3. Mid Adulthood (35-44)",worksheet[[#This Row],[age]]&lt; 55,"4. Mature Adulthood (45-54)",TRUE,"5. Late Adulthood/Senior (55+)")</f>
        <v>4. Mature Adulthood (45-54)</v>
      </c>
      <c r="D2860" t="s">
        <v>15</v>
      </c>
      <c r="E2860" t="s">
        <v>16</v>
      </c>
      <c r="F2860" s="4">
        <v>6.87</v>
      </c>
      <c r="G2860" s="5">
        <v>11</v>
      </c>
      <c r="H2860" t="s">
        <v>23</v>
      </c>
      <c r="I2860" t="s">
        <v>46</v>
      </c>
      <c r="J2860" s="6">
        <v>8.99</v>
      </c>
      <c r="K2860">
        <v>0</v>
      </c>
      <c r="L2860" t="s">
        <v>37</v>
      </c>
      <c r="M2860" s="5">
        <v>3</v>
      </c>
      <c r="N2860" s="4">
        <v>0.56999999999999995</v>
      </c>
      <c r="O2860" t="s">
        <v>30</v>
      </c>
    </row>
    <row r="2861" spans="1:15" x14ac:dyDescent="0.3">
      <c r="A2861" s="1" t="s">
        <v>1710</v>
      </c>
      <c r="B2861" s="5">
        <v>50</v>
      </c>
      <c r="C2861" s="5" t="str" cm="1">
        <f t="array" ref="C2861">_xlfn.IFS(worksheet[[#This Row],[age]]&lt;25,"1. Young Adulthood (18-24)",worksheet[[#This Row],[age]]&lt; 35,"2. Early Adulthood (25-34)",worksheet[[#This Row],[age]]&lt; 45,"3. Mid Adulthood (35-44)",worksheet[[#This Row],[age]]&lt; 55,"4. Mature Adulthood (45-54)",TRUE,"5. Late Adulthood/Senior (55+)")</f>
        <v>4. Mature Adulthood (45-54)</v>
      </c>
      <c r="D2861" t="s">
        <v>15</v>
      </c>
      <c r="E2861" t="s">
        <v>22</v>
      </c>
      <c r="F2861" s="4">
        <v>7.54</v>
      </c>
      <c r="G2861" s="5">
        <v>18</v>
      </c>
      <c r="H2861" t="s">
        <v>49</v>
      </c>
      <c r="I2861" t="s">
        <v>55</v>
      </c>
      <c r="J2861" s="6">
        <v>13.99</v>
      </c>
      <c r="K2861">
        <v>0</v>
      </c>
      <c r="L2861" t="s">
        <v>61</v>
      </c>
      <c r="M2861" s="5">
        <v>4</v>
      </c>
      <c r="N2861" s="4">
        <v>0.4</v>
      </c>
      <c r="O2861" t="s">
        <v>20</v>
      </c>
    </row>
    <row r="2862" spans="1:15" x14ac:dyDescent="0.3">
      <c r="A2862" t="s">
        <v>1713</v>
      </c>
      <c r="B2862" s="5">
        <v>50</v>
      </c>
      <c r="C2862" s="5" t="str" cm="1">
        <f t="array" ref="C2862">_xlfn.IFS(worksheet[[#This Row],[age]]&lt;25,"1. Young Adulthood (18-24)",worksheet[[#This Row],[age]]&lt; 35,"2. Early Adulthood (25-34)",worksheet[[#This Row],[age]]&lt; 45,"3. Mid Adulthood (35-44)",worksheet[[#This Row],[age]]&lt; 55,"4. Mature Adulthood (45-54)",TRUE,"5. Late Adulthood/Senior (55+)")</f>
        <v>4. Mature Adulthood (45-54)</v>
      </c>
      <c r="D2862" t="s">
        <v>15</v>
      </c>
      <c r="E2862" t="s">
        <v>16</v>
      </c>
      <c r="F2862" s="4">
        <v>18.87</v>
      </c>
      <c r="G2862" s="5">
        <v>28</v>
      </c>
      <c r="H2862" t="s">
        <v>33</v>
      </c>
      <c r="I2862" t="s">
        <v>24</v>
      </c>
      <c r="J2862" s="6">
        <v>8.99</v>
      </c>
      <c r="K2862">
        <v>0</v>
      </c>
      <c r="L2862" t="s">
        <v>29</v>
      </c>
      <c r="M2862" s="5">
        <v>4</v>
      </c>
      <c r="N2862" s="4">
        <v>0.65</v>
      </c>
      <c r="O2862" t="s">
        <v>20</v>
      </c>
    </row>
    <row r="2863" spans="1:15" x14ac:dyDescent="0.3">
      <c r="A2863" t="s">
        <v>1716</v>
      </c>
      <c r="B2863" s="5">
        <v>48</v>
      </c>
      <c r="C2863" s="5" t="str" cm="1">
        <f t="array" ref="C2863">_xlfn.IFS(worksheet[[#This Row],[age]]&lt;25,"1. Young Adulthood (18-24)",worksheet[[#This Row],[age]]&lt; 35,"2. Early Adulthood (25-34)",worksheet[[#This Row],[age]]&lt; 45,"3. Mid Adulthood (35-44)",worksheet[[#This Row],[age]]&lt; 55,"4. Mature Adulthood (45-54)",TRUE,"5. Late Adulthood/Senior (55+)")</f>
        <v>4. Mature Adulthood (45-54)</v>
      </c>
      <c r="D2863" t="s">
        <v>41</v>
      </c>
      <c r="E2863" t="s">
        <v>16</v>
      </c>
      <c r="F2863" s="4">
        <v>3.88</v>
      </c>
      <c r="G2863" s="5">
        <v>17</v>
      </c>
      <c r="H2863" t="s">
        <v>49</v>
      </c>
      <c r="I2863" t="s">
        <v>24</v>
      </c>
      <c r="J2863" s="6">
        <v>8.99</v>
      </c>
      <c r="K2863">
        <v>1</v>
      </c>
      <c r="L2863" t="s">
        <v>37</v>
      </c>
      <c r="M2863" s="5">
        <v>1</v>
      </c>
      <c r="N2863" s="4">
        <v>0.22</v>
      </c>
      <c r="O2863" t="s">
        <v>20</v>
      </c>
    </row>
    <row r="2864" spans="1:15" x14ac:dyDescent="0.3">
      <c r="A2864" t="s">
        <v>1720</v>
      </c>
      <c r="B2864" s="5">
        <v>51</v>
      </c>
      <c r="C2864" s="5" t="str" cm="1">
        <f t="array" ref="C2864">_xlfn.IFS(worksheet[[#This Row],[age]]&lt;25,"1. Young Adulthood (18-24)",worksheet[[#This Row],[age]]&lt; 35,"2. Early Adulthood (25-34)",worksheet[[#This Row],[age]]&lt; 45,"3. Mid Adulthood (35-44)",worksheet[[#This Row],[age]]&lt; 55,"4. Mature Adulthood (45-54)",TRUE,"5. Late Adulthood/Senior (55+)")</f>
        <v>4. Mature Adulthood (45-54)</v>
      </c>
      <c r="D2864" t="s">
        <v>15</v>
      </c>
      <c r="E2864" t="s">
        <v>16</v>
      </c>
      <c r="F2864" s="4">
        <v>1.5</v>
      </c>
      <c r="G2864" s="5">
        <v>34</v>
      </c>
      <c r="H2864" t="s">
        <v>49</v>
      </c>
      <c r="I2864" t="s">
        <v>18</v>
      </c>
      <c r="J2864" s="6">
        <v>8.99</v>
      </c>
      <c r="K2864">
        <v>1</v>
      </c>
      <c r="L2864" t="s">
        <v>29</v>
      </c>
      <c r="M2864" s="5">
        <v>2</v>
      </c>
      <c r="N2864" s="4">
        <v>0.04</v>
      </c>
      <c r="O2864" t="s">
        <v>52</v>
      </c>
    </row>
    <row r="2865" spans="1:15" x14ac:dyDescent="0.3">
      <c r="A2865" t="s">
        <v>1731</v>
      </c>
      <c r="B2865" s="5">
        <v>51</v>
      </c>
      <c r="C2865" s="5" t="str" cm="1">
        <f t="array" ref="C2865">_xlfn.IFS(worksheet[[#This Row],[age]]&lt;25,"1. Young Adulthood (18-24)",worksheet[[#This Row],[age]]&lt; 35,"2. Early Adulthood (25-34)",worksheet[[#This Row],[age]]&lt; 45,"3. Mid Adulthood (35-44)",worksheet[[#This Row],[age]]&lt; 55,"4. Mature Adulthood (45-54)",TRUE,"5. Late Adulthood/Senior (55+)")</f>
        <v>4. Mature Adulthood (45-54)</v>
      </c>
      <c r="D2865" t="s">
        <v>27</v>
      </c>
      <c r="E2865" t="s">
        <v>16</v>
      </c>
      <c r="F2865" s="4">
        <v>7.61</v>
      </c>
      <c r="G2865" s="5">
        <v>23</v>
      </c>
      <c r="H2865" t="s">
        <v>49</v>
      </c>
      <c r="I2865" t="s">
        <v>57</v>
      </c>
      <c r="J2865" s="6">
        <v>8.99</v>
      </c>
      <c r="K2865">
        <v>1</v>
      </c>
      <c r="L2865" t="s">
        <v>19</v>
      </c>
      <c r="M2865" s="5">
        <v>3</v>
      </c>
      <c r="N2865" s="4">
        <v>0.32</v>
      </c>
      <c r="O2865" t="s">
        <v>47</v>
      </c>
    </row>
    <row r="2866" spans="1:15" x14ac:dyDescent="0.3">
      <c r="A2866" t="s">
        <v>1732</v>
      </c>
      <c r="B2866" s="5">
        <v>48</v>
      </c>
      <c r="C2866" s="5" t="str" cm="1">
        <f t="array" ref="C2866">_xlfn.IFS(worksheet[[#This Row],[age]]&lt;25,"1. Young Adulthood (18-24)",worksheet[[#This Row],[age]]&lt; 35,"2. Early Adulthood (25-34)",worksheet[[#This Row],[age]]&lt; 45,"3. Mid Adulthood (35-44)",worksheet[[#This Row],[age]]&lt; 55,"4. Mature Adulthood (45-54)",TRUE,"5. Late Adulthood/Senior (55+)")</f>
        <v>4. Mature Adulthood (45-54)</v>
      </c>
      <c r="D2866" t="s">
        <v>41</v>
      </c>
      <c r="E2866" t="s">
        <v>16</v>
      </c>
      <c r="F2866" s="4">
        <v>7.52</v>
      </c>
      <c r="G2866" s="5">
        <v>48</v>
      </c>
      <c r="H2866" t="s">
        <v>28</v>
      </c>
      <c r="I2866" t="s">
        <v>55</v>
      </c>
      <c r="J2866" s="6">
        <v>8.99</v>
      </c>
      <c r="K2866">
        <v>1</v>
      </c>
      <c r="L2866" t="s">
        <v>37</v>
      </c>
      <c r="M2866" s="5">
        <v>3</v>
      </c>
      <c r="N2866" s="4">
        <v>0.15</v>
      </c>
      <c r="O2866" t="s">
        <v>39</v>
      </c>
    </row>
    <row r="2867" spans="1:15" x14ac:dyDescent="0.3">
      <c r="A2867" t="s">
        <v>1737</v>
      </c>
      <c r="B2867" s="5">
        <v>51</v>
      </c>
      <c r="C2867" s="5" t="str" cm="1">
        <f t="array" ref="C2867">_xlfn.IFS(worksheet[[#This Row],[age]]&lt;25,"1. Young Adulthood (18-24)",worksheet[[#This Row],[age]]&lt; 35,"2. Early Adulthood (25-34)",worksheet[[#This Row],[age]]&lt; 45,"3. Mid Adulthood (35-44)",worksheet[[#This Row],[age]]&lt; 55,"4. Mature Adulthood (45-54)",TRUE,"5. Late Adulthood/Senior (55+)")</f>
        <v>4. Mature Adulthood (45-54)</v>
      </c>
      <c r="D2867" t="s">
        <v>15</v>
      </c>
      <c r="E2867" t="s">
        <v>32</v>
      </c>
      <c r="F2867" s="4">
        <v>1.37</v>
      </c>
      <c r="G2867" s="5">
        <v>60</v>
      </c>
      <c r="H2867" t="s">
        <v>49</v>
      </c>
      <c r="I2867" t="s">
        <v>57</v>
      </c>
      <c r="J2867" s="6">
        <v>17.989999999999998</v>
      </c>
      <c r="K2867">
        <v>1</v>
      </c>
      <c r="L2867" t="s">
        <v>43</v>
      </c>
      <c r="M2867" s="5">
        <v>4</v>
      </c>
      <c r="N2867" s="4">
        <v>0.02</v>
      </c>
      <c r="O2867" t="s">
        <v>20</v>
      </c>
    </row>
    <row r="2868" spans="1:15" x14ac:dyDescent="0.3">
      <c r="A2868" t="s">
        <v>1739</v>
      </c>
      <c r="B2868" s="5">
        <v>52</v>
      </c>
      <c r="C2868" s="5" t="str" cm="1">
        <f t="array" ref="C2868">_xlfn.IFS(worksheet[[#This Row],[age]]&lt;25,"1. Young Adulthood (18-24)",worksheet[[#This Row],[age]]&lt; 35,"2. Early Adulthood (25-34)",worksheet[[#This Row],[age]]&lt; 45,"3. Mid Adulthood (35-44)",worksheet[[#This Row],[age]]&lt; 55,"4. Mature Adulthood (45-54)",TRUE,"5. Late Adulthood/Senior (55+)")</f>
        <v>4. Mature Adulthood (45-54)</v>
      </c>
      <c r="D2868" t="s">
        <v>15</v>
      </c>
      <c r="E2868" t="s">
        <v>16</v>
      </c>
      <c r="F2868" s="4">
        <v>9.57</v>
      </c>
      <c r="G2868" s="5">
        <v>25</v>
      </c>
      <c r="H2868" t="s">
        <v>49</v>
      </c>
      <c r="I2868" t="s">
        <v>18</v>
      </c>
      <c r="J2868" s="6">
        <v>8.99</v>
      </c>
      <c r="K2868">
        <v>0</v>
      </c>
      <c r="L2868" t="s">
        <v>37</v>
      </c>
      <c r="M2868" s="5">
        <v>5</v>
      </c>
      <c r="N2868" s="4">
        <v>0.37</v>
      </c>
      <c r="O2868" t="s">
        <v>34</v>
      </c>
    </row>
    <row r="2869" spans="1:15" x14ac:dyDescent="0.3">
      <c r="A2869" t="s">
        <v>1756</v>
      </c>
      <c r="B2869" s="5">
        <v>46</v>
      </c>
      <c r="C2869" s="5" t="str" cm="1">
        <f t="array" ref="C2869">_xlfn.IFS(worksheet[[#This Row],[age]]&lt;25,"1. Young Adulthood (18-24)",worksheet[[#This Row],[age]]&lt; 35,"2. Early Adulthood (25-34)",worksheet[[#This Row],[age]]&lt; 45,"3. Mid Adulthood (35-44)",worksheet[[#This Row],[age]]&lt; 55,"4. Mature Adulthood (45-54)",TRUE,"5. Late Adulthood/Senior (55+)")</f>
        <v>4. Mature Adulthood (45-54)</v>
      </c>
      <c r="D2869" t="s">
        <v>41</v>
      </c>
      <c r="E2869" t="s">
        <v>16</v>
      </c>
      <c r="F2869" s="4">
        <v>13.33</v>
      </c>
      <c r="G2869" s="5">
        <v>34</v>
      </c>
      <c r="H2869" t="s">
        <v>28</v>
      </c>
      <c r="I2869" t="s">
        <v>46</v>
      </c>
      <c r="J2869" s="6">
        <v>8.99</v>
      </c>
      <c r="K2869">
        <v>1</v>
      </c>
      <c r="L2869" t="s">
        <v>61</v>
      </c>
      <c r="M2869" s="5">
        <v>2</v>
      </c>
      <c r="N2869" s="4">
        <v>0.38</v>
      </c>
      <c r="O2869" t="s">
        <v>25</v>
      </c>
    </row>
    <row r="2870" spans="1:15" x14ac:dyDescent="0.3">
      <c r="A2870" t="s">
        <v>1759</v>
      </c>
      <c r="B2870" s="5">
        <v>53</v>
      </c>
      <c r="C2870" s="5" t="str" cm="1">
        <f t="array" ref="C2870">_xlfn.IFS(worksheet[[#This Row],[age]]&lt;25,"1. Young Adulthood (18-24)",worksheet[[#This Row],[age]]&lt; 35,"2. Early Adulthood (25-34)",worksheet[[#This Row],[age]]&lt; 45,"3. Mid Adulthood (35-44)",worksheet[[#This Row],[age]]&lt; 55,"4. Mature Adulthood (45-54)",TRUE,"5. Late Adulthood/Senior (55+)")</f>
        <v>4. Mature Adulthood (45-54)</v>
      </c>
      <c r="D2870" t="s">
        <v>27</v>
      </c>
      <c r="E2870" t="s">
        <v>16</v>
      </c>
      <c r="F2870" s="4">
        <v>7.84</v>
      </c>
      <c r="G2870" s="5">
        <v>0</v>
      </c>
      <c r="H2870" t="s">
        <v>70</v>
      </c>
      <c r="I2870" t="s">
        <v>24</v>
      </c>
      <c r="J2870" s="6">
        <v>8.99</v>
      </c>
      <c r="K2870">
        <v>0</v>
      </c>
      <c r="L2870" t="s">
        <v>19</v>
      </c>
      <c r="M2870" s="5">
        <v>3</v>
      </c>
      <c r="N2870" s="4">
        <v>7.84</v>
      </c>
      <c r="O2870" t="s">
        <v>20</v>
      </c>
    </row>
    <row r="2871" spans="1:15" x14ac:dyDescent="0.3">
      <c r="A2871" t="s">
        <v>1763</v>
      </c>
      <c r="B2871" s="5">
        <v>53</v>
      </c>
      <c r="C2871" s="5" t="str" cm="1">
        <f t="array" ref="C2871">_xlfn.IFS(worksheet[[#This Row],[age]]&lt;25,"1. Young Adulthood (18-24)",worksheet[[#This Row],[age]]&lt; 35,"2. Early Adulthood (25-34)",worksheet[[#This Row],[age]]&lt; 45,"3. Mid Adulthood (35-44)",worksheet[[#This Row],[age]]&lt; 55,"4. Mature Adulthood (45-54)",TRUE,"5. Late Adulthood/Senior (55+)")</f>
        <v>4. Mature Adulthood (45-54)</v>
      </c>
      <c r="D2871" t="s">
        <v>15</v>
      </c>
      <c r="E2871" t="s">
        <v>22</v>
      </c>
      <c r="F2871" s="4">
        <v>7.16</v>
      </c>
      <c r="G2871" s="5">
        <v>33</v>
      </c>
      <c r="H2871" t="s">
        <v>28</v>
      </c>
      <c r="I2871" t="s">
        <v>46</v>
      </c>
      <c r="J2871" s="6">
        <v>13.99</v>
      </c>
      <c r="K2871">
        <v>1</v>
      </c>
      <c r="L2871" t="s">
        <v>37</v>
      </c>
      <c r="M2871" s="5">
        <v>1</v>
      </c>
      <c r="N2871" s="4">
        <v>0.21</v>
      </c>
      <c r="O2871" t="s">
        <v>30</v>
      </c>
    </row>
    <row r="2872" spans="1:15" x14ac:dyDescent="0.3">
      <c r="A2872" t="s">
        <v>1765</v>
      </c>
      <c r="B2872" s="5">
        <v>46</v>
      </c>
      <c r="C2872" s="5" t="str" cm="1">
        <f t="array" ref="C2872">_xlfn.IFS(worksheet[[#This Row],[age]]&lt;25,"1. Young Adulthood (18-24)",worksheet[[#This Row],[age]]&lt; 35,"2. Early Adulthood (25-34)",worksheet[[#This Row],[age]]&lt; 45,"3. Mid Adulthood (35-44)",worksheet[[#This Row],[age]]&lt; 55,"4. Mature Adulthood (45-54)",TRUE,"5. Late Adulthood/Senior (55+)")</f>
        <v>4. Mature Adulthood (45-54)</v>
      </c>
      <c r="D2872" t="s">
        <v>15</v>
      </c>
      <c r="E2872" t="s">
        <v>32</v>
      </c>
      <c r="F2872" s="4">
        <v>8.98</v>
      </c>
      <c r="G2872" s="5">
        <v>13</v>
      </c>
      <c r="H2872" t="s">
        <v>17</v>
      </c>
      <c r="I2872" t="s">
        <v>55</v>
      </c>
      <c r="J2872" s="6">
        <v>17.989999999999998</v>
      </c>
      <c r="K2872">
        <v>0</v>
      </c>
      <c r="L2872" t="s">
        <v>19</v>
      </c>
      <c r="M2872" s="5">
        <v>5</v>
      </c>
      <c r="N2872" s="4">
        <v>0.64</v>
      </c>
      <c r="O2872" t="s">
        <v>39</v>
      </c>
    </row>
    <row r="2873" spans="1:15" x14ac:dyDescent="0.3">
      <c r="A2873" t="s">
        <v>1770</v>
      </c>
      <c r="B2873" s="5">
        <v>51</v>
      </c>
      <c r="C2873" s="5" t="str" cm="1">
        <f t="array" ref="C2873">_xlfn.IFS(worksheet[[#This Row],[age]]&lt;25,"1. Young Adulthood (18-24)",worksheet[[#This Row],[age]]&lt; 35,"2. Early Adulthood (25-34)",worksheet[[#This Row],[age]]&lt; 45,"3. Mid Adulthood (35-44)",worksheet[[#This Row],[age]]&lt; 55,"4. Mature Adulthood (45-54)",TRUE,"5. Late Adulthood/Senior (55+)")</f>
        <v>4. Mature Adulthood (45-54)</v>
      </c>
      <c r="D2873" t="s">
        <v>27</v>
      </c>
      <c r="E2873" t="s">
        <v>16</v>
      </c>
      <c r="F2873" s="4">
        <v>12.86</v>
      </c>
      <c r="G2873" s="5">
        <v>32</v>
      </c>
      <c r="H2873" t="s">
        <v>17</v>
      </c>
      <c r="I2873" t="s">
        <v>46</v>
      </c>
      <c r="J2873" s="6">
        <v>8.99</v>
      </c>
      <c r="K2873">
        <v>1</v>
      </c>
      <c r="L2873" t="s">
        <v>43</v>
      </c>
      <c r="M2873" s="5">
        <v>5</v>
      </c>
      <c r="N2873" s="4">
        <v>0.39</v>
      </c>
      <c r="O2873" t="s">
        <v>20</v>
      </c>
    </row>
    <row r="2874" spans="1:15" x14ac:dyDescent="0.3">
      <c r="A2874" t="s">
        <v>1778</v>
      </c>
      <c r="B2874" s="5">
        <v>48</v>
      </c>
      <c r="C2874" s="5" t="str" cm="1">
        <f t="array" ref="C2874">_xlfn.IFS(worksheet[[#This Row],[age]]&lt;25,"1. Young Adulthood (18-24)",worksheet[[#This Row],[age]]&lt; 35,"2. Early Adulthood (25-34)",worksheet[[#This Row],[age]]&lt; 45,"3. Mid Adulthood (35-44)",worksheet[[#This Row],[age]]&lt; 55,"4. Mature Adulthood (45-54)",TRUE,"5. Late Adulthood/Senior (55+)")</f>
        <v>4. Mature Adulthood (45-54)</v>
      </c>
      <c r="D2874" t="s">
        <v>27</v>
      </c>
      <c r="E2874" t="s">
        <v>22</v>
      </c>
      <c r="F2874" s="4">
        <v>0.81</v>
      </c>
      <c r="G2874" s="5">
        <v>54</v>
      </c>
      <c r="H2874" t="s">
        <v>70</v>
      </c>
      <c r="I2874" t="s">
        <v>24</v>
      </c>
      <c r="J2874" s="6">
        <v>13.99</v>
      </c>
      <c r="K2874">
        <v>1</v>
      </c>
      <c r="L2874" t="s">
        <v>61</v>
      </c>
      <c r="M2874" s="5">
        <v>1</v>
      </c>
      <c r="N2874" s="4">
        <v>0.01</v>
      </c>
      <c r="O2874" t="s">
        <v>20</v>
      </c>
    </row>
    <row r="2875" spans="1:15" x14ac:dyDescent="0.3">
      <c r="A2875" t="s">
        <v>1782</v>
      </c>
      <c r="B2875" s="5">
        <v>49</v>
      </c>
      <c r="C2875" s="5" t="str" cm="1">
        <f t="array" ref="C2875">_xlfn.IFS(worksheet[[#This Row],[age]]&lt;25,"1. Young Adulthood (18-24)",worksheet[[#This Row],[age]]&lt; 35,"2. Early Adulthood (25-34)",worksheet[[#This Row],[age]]&lt; 45,"3. Mid Adulthood (35-44)",worksheet[[#This Row],[age]]&lt; 55,"4. Mature Adulthood (45-54)",TRUE,"5. Late Adulthood/Senior (55+)")</f>
        <v>4. Mature Adulthood (45-54)</v>
      </c>
      <c r="D2875" t="s">
        <v>41</v>
      </c>
      <c r="E2875" t="s">
        <v>16</v>
      </c>
      <c r="F2875" s="4">
        <v>4.1100000000000003</v>
      </c>
      <c r="G2875" s="5">
        <v>3</v>
      </c>
      <c r="H2875" t="s">
        <v>33</v>
      </c>
      <c r="I2875" t="s">
        <v>24</v>
      </c>
      <c r="J2875" s="6">
        <v>8.99</v>
      </c>
      <c r="K2875">
        <v>1</v>
      </c>
      <c r="L2875" t="s">
        <v>29</v>
      </c>
      <c r="M2875" s="5">
        <v>3</v>
      </c>
      <c r="N2875" s="4">
        <v>1.03</v>
      </c>
      <c r="O2875" t="s">
        <v>20</v>
      </c>
    </row>
    <row r="2876" spans="1:15" x14ac:dyDescent="0.3">
      <c r="A2876" t="s">
        <v>1784</v>
      </c>
      <c r="B2876" s="5">
        <v>48</v>
      </c>
      <c r="C2876" s="5" t="str" cm="1">
        <f t="array" ref="C2876">_xlfn.IFS(worksheet[[#This Row],[age]]&lt;25,"1. Young Adulthood (18-24)",worksheet[[#This Row],[age]]&lt; 35,"2. Early Adulthood (25-34)",worksheet[[#This Row],[age]]&lt; 45,"3. Mid Adulthood (35-44)",worksheet[[#This Row],[age]]&lt; 55,"4. Mature Adulthood (45-54)",TRUE,"5. Late Adulthood/Senior (55+)")</f>
        <v>4. Mature Adulthood (45-54)</v>
      </c>
      <c r="D2876" t="s">
        <v>41</v>
      </c>
      <c r="E2876" t="s">
        <v>16</v>
      </c>
      <c r="F2876" s="4">
        <v>2.12</v>
      </c>
      <c r="G2876" s="5">
        <v>52</v>
      </c>
      <c r="H2876" t="s">
        <v>70</v>
      </c>
      <c r="I2876" t="s">
        <v>46</v>
      </c>
      <c r="J2876" s="6">
        <v>8.99</v>
      </c>
      <c r="K2876">
        <v>1</v>
      </c>
      <c r="L2876" t="s">
        <v>29</v>
      </c>
      <c r="M2876" s="5">
        <v>5</v>
      </c>
      <c r="N2876" s="4">
        <v>0.04</v>
      </c>
      <c r="O2876" t="s">
        <v>52</v>
      </c>
    </row>
    <row r="2877" spans="1:15" x14ac:dyDescent="0.3">
      <c r="A2877" t="s">
        <v>1786</v>
      </c>
      <c r="B2877" s="5">
        <v>54</v>
      </c>
      <c r="C2877" s="5" t="str" cm="1">
        <f t="array" ref="C2877">_xlfn.IFS(worksheet[[#This Row],[age]]&lt;25,"1. Young Adulthood (18-24)",worksheet[[#This Row],[age]]&lt; 35,"2. Early Adulthood (25-34)",worksheet[[#This Row],[age]]&lt; 45,"3. Mid Adulthood (35-44)",worksheet[[#This Row],[age]]&lt; 55,"4. Mature Adulthood (45-54)",TRUE,"5. Late Adulthood/Senior (55+)")</f>
        <v>4. Mature Adulthood (45-54)</v>
      </c>
      <c r="D2877" t="s">
        <v>41</v>
      </c>
      <c r="E2877" t="s">
        <v>22</v>
      </c>
      <c r="F2877" s="4">
        <v>13.51</v>
      </c>
      <c r="G2877" s="5">
        <v>26</v>
      </c>
      <c r="H2877" t="s">
        <v>28</v>
      </c>
      <c r="I2877" t="s">
        <v>57</v>
      </c>
      <c r="J2877" s="6">
        <v>13.99</v>
      </c>
      <c r="K2877">
        <v>0</v>
      </c>
      <c r="L2877" t="s">
        <v>43</v>
      </c>
      <c r="M2877" s="5">
        <v>4</v>
      </c>
      <c r="N2877" s="4">
        <v>0.5</v>
      </c>
      <c r="O2877" t="s">
        <v>34</v>
      </c>
    </row>
    <row r="2878" spans="1:15" x14ac:dyDescent="0.3">
      <c r="A2878" s="1" t="s">
        <v>1789</v>
      </c>
      <c r="B2878" s="5">
        <v>46</v>
      </c>
      <c r="C2878" s="5" t="str" cm="1">
        <f t="array" ref="C2878">_xlfn.IFS(worksheet[[#This Row],[age]]&lt;25,"1. Young Adulthood (18-24)",worksheet[[#This Row],[age]]&lt; 35,"2. Early Adulthood (25-34)",worksheet[[#This Row],[age]]&lt; 45,"3. Mid Adulthood (35-44)",worksheet[[#This Row],[age]]&lt; 55,"4. Mature Adulthood (45-54)",TRUE,"5. Late Adulthood/Senior (55+)")</f>
        <v>4. Mature Adulthood (45-54)</v>
      </c>
      <c r="D2878" t="s">
        <v>27</v>
      </c>
      <c r="E2878" t="s">
        <v>22</v>
      </c>
      <c r="F2878" s="4">
        <v>3.07</v>
      </c>
      <c r="G2878" s="5">
        <v>51</v>
      </c>
      <c r="H2878" t="s">
        <v>23</v>
      </c>
      <c r="I2878" t="s">
        <v>57</v>
      </c>
      <c r="J2878" s="6">
        <v>13.99</v>
      </c>
      <c r="K2878">
        <v>1</v>
      </c>
      <c r="L2878" t="s">
        <v>29</v>
      </c>
      <c r="M2878" s="5">
        <v>2</v>
      </c>
      <c r="N2878" s="4">
        <v>0.06</v>
      </c>
      <c r="O2878" t="s">
        <v>52</v>
      </c>
    </row>
    <row r="2879" spans="1:15" x14ac:dyDescent="0.3">
      <c r="A2879" t="s">
        <v>1790</v>
      </c>
      <c r="B2879" s="5">
        <v>53</v>
      </c>
      <c r="C2879" s="5" t="str" cm="1">
        <f t="array" ref="C2879">_xlfn.IFS(worksheet[[#This Row],[age]]&lt;25,"1. Young Adulthood (18-24)",worksheet[[#This Row],[age]]&lt; 35,"2. Early Adulthood (25-34)",worksheet[[#This Row],[age]]&lt; 45,"3. Mid Adulthood (35-44)",worksheet[[#This Row],[age]]&lt; 55,"4. Mature Adulthood (45-54)",TRUE,"5. Late Adulthood/Senior (55+)")</f>
        <v>4. Mature Adulthood (45-54)</v>
      </c>
      <c r="D2879" t="s">
        <v>41</v>
      </c>
      <c r="E2879" t="s">
        <v>16</v>
      </c>
      <c r="F2879" s="4">
        <v>0.09</v>
      </c>
      <c r="G2879" s="5">
        <v>18</v>
      </c>
      <c r="H2879" t="s">
        <v>17</v>
      </c>
      <c r="I2879" t="s">
        <v>24</v>
      </c>
      <c r="J2879" s="6">
        <v>8.99</v>
      </c>
      <c r="K2879">
        <v>1</v>
      </c>
      <c r="L2879" t="s">
        <v>43</v>
      </c>
      <c r="M2879" s="5">
        <v>3</v>
      </c>
      <c r="N2879" s="4">
        <v>0</v>
      </c>
      <c r="O2879" t="s">
        <v>47</v>
      </c>
    </row>
    <row r="2880" spans="1:15" x14ac:dyDescent="0.3">
      <c r="A2880" t="s">
        <v>1795</v>
      </c>
      <c r="B2880" s="5">
        <v>54</v>
      </c>
      <c r="C2880" s="5" t="str" cm="1">
        <f t="array" ref="C2880">_xlfn.IFS(worksheet[[#This Row],[age]]&lt;25,"1. Young Adulthood (18-24)",worksheet[[#This Row],[age]]&lt; 35,"2. Early Adulthood (25-34)",worksheet[[#This Row],[age]]&lt; 45,"3. Mid Adulthood (35-44)",worksheet[[#This Row],[age]]&lt; 55,"4. Mature Adulthood (45-54)",TRUE,"5. Late Adulthood/Senior (55+)")</f>
        <v>4. Mature Adulthood (45-54)</v>
      </c>
      <c r="D2880" t="s">
        <v>27</v>
      </c>
      <c r="E2880" t="s">
        <v>32</v>
      </c>
      <c r="F2880" s="4">
        <v>1.42</v>
      </c>
      <c r="G2880" s="5">
        <v>59</v>
      </c>
      <c r="H2880" t="s">
        <v>49</v>
      </c>
      <c r="I2880" t="s">
        <v>46</v>
      </c>
      <c r="J2880" s="6">
        <v>17.989999999999998</v>
      </c>
      <c r="K2880">
        <v>1</v>
      </c>
      <c r="L2880" t="s">
        <v>61</v>
      </c>
      <c r="M2880" s="5">
        <v>5</v>
      </c>
      <c r="N2880" s="4">
        <v>0.02</v>
      </c>
      <c r="O2880" t="s">
        <v>52</v>
      </c>
    </row>
    <row r="2881" spans="1:15" x14ac:dyDescent="0.3">
      <c r="A2881" t="s">
        <v>1799</v>
      </c>
      <c r="B2881" s="5">
        <v>50</v>
      </c>
      <c r="C2881" s="5" t="str" cm="1">
        <f t="array" ref="C2881">_xlfn.IFS(worksheet[[#This Row],[age]]&lt;25,"1. Young Adulthood (18-24)",worksheet[[#This Row],[age]]&lt; 35,"2. Early Adulthood (25-34)",worksheet[[#This Row],[age]]&lt; 45,"3. Mid Adulthood (35-44)",worksheet[[#This Row],[age]]&lt; 55,"4. Mature Adulthood (45-54)",TRUE,"5. Late Adulthood/Senior (55+)")</f>
        <v>4. Mature Adulthood (45-54)</v>
      </c>
      <c r="D2881" t="s">
        <v>27</v>
      </c>
      <c r="E2881" t="s">
        <v>22</v>
      </c>
      <c r="F2881" s="4">
        <v>16.829999999999998</v>
      </c>
      <c r="G2881" s="5">
        <v>11</v>
      </c>
      <c r="H2881" t="s">
        <v>49</v>
      </c>
      <c r="I2881" t="s">
        <v>57</v>
      </c>
      <c r="J2881" s="6">
        <v>13.99</v>
      </c>
      <c r="K2881">
        <v>0</v>
      </c>
      <c r="L2881" t="s">
        <v>61</v>
      </c>
      <c r="M2881" s="5">
        <v>2</v>
      </c>
      <c r="N2881" s="4">
        <v>1.4</v>
      </c>
      <c r="O2881" t="s">
        <v>52</v>
      </c>
    </row>
    <row r="2882" spans="1:15" x14ac:dyDescent="0.3">
      <c r="A2882" t="s">
        <v>1803</v>
      </c>
      <c r="B2882" s="5">
        <v>54</v>
      </c>
      <c r="C2882" s="5" t="str" cm="1">
        <f t="array" ref="C2882">_xlfn.IFS(worksheet[[#This Row],[age]]&lt;25,"1. Young Adulthood (18-24)",worksheet[[#This Row],[age]]&lt; 35,"2. Early Adulthood (25-34)",worksheet[[#This Row],[age]]&lt; 45,"3. Mid Adulthood (35-44)",worksheet[[#This Row],[age]]&lt; 55,"4. Mature Adulthood (45-54)",TRUE,"5. Late Adulthood/Senior (55+)")</f>
        <v>4. Mature Adulthood (45-54)</v>
      </c>
      <c r="D2882" t="s">
        <v>27</v>
      </c>
      <c r="E2882" t="s">
        <v>16</v>
      </c>
      <c r="F2882" s="4">
        <v>39.11</v>
      </c>
      <c r="G2882" s="5">
        <v>53</v>
      </c>
      <c r="H2882" t="s">
        <v>49</v>
      </c>
      <c r="I2882" t="s">
        <v>46</v>
      </c>
      <c r="J2882" s="6">
        <v>8.99</v>
      </c>
      <c r="K2882">
        <v>0</v>
      </c>
      <c r="L2882" t="s">
        <v>19</v>
      </c>
      <c r="M2882" s="5">
        <v>3</v>
      </c>
      <c r="N2882" s="4">
        <v>0.72</v>
      </c>
      <c r="O2882" t="s">
        <v>34</v>
      </c>
    </row>
    <row r="2883" spans="1:15" x14ac:dyDescent="0.3">
      <c r="A2883" t="s">
        <v>1805</v>
      </c>
      <c r="B2883" s="5">
        <v>54</v>
      </c>
      <c r="C2883" s="5" t="str" cm="1">
        <f t="array" ref="C2883">_xlfn.IFS(worksheet[[#This Row],[age]]&lt;25,"1. Young Adulthood (18-24)",worksheet[[#This Row],[age]]&lt; 35,"2. Early Adulthood (25-34)",worksheet[[#This Row],[age]]&lt; 45,"3. Mid Adulthood (35-44)",worksheet[[#This Row],[age]]&lt; 55,"4. Mature Adulthood (45-54)",TRUE,"5. Late Adulthood/Senior (55+)")</f>
        <v>4. Mature Adulthood (45-54)</v>
      </c>
      <c r="D2883" t="s">
        <v>41</v>
      </c>
      <c r="E2883" t="s">
        <v>32</v>
      </c>
      <c r="F2883" s="4">
        <v>12.02</v>
      </c>
      <c r="G2883" s="5">
        <v>58</v>
      </c>
      <c r="H2883" t="s">
        <v>23</v>
      </c>
      <c r="I2883" t="s">
        <v>57</v>
      </c>
      <c r="J2883" s="6">
        <v>17.989999999999998</v>
      </c>
      <c r="K2883">
        <v>1</v>
      </c>
      <c r="L2883" t="s">
        <v>37</v>
      </c>
      <c r="M2883" s="5">
        <v>3</v>
      </c>
      <c r="N2883" s="4">
        <v>0.2</v>
      </c>
      <c r="O2883" t="s">
        <v>52</v>
      </c>
    </row>
    <row r="2884" spans="1:15" x14ac:dyDescent="0.3">
      <c r="A2884" t="s">
        <v>1827</v>
      </c>
      <c r="B2884" s="5">
        <v>46</v>
      </c>
      <c r="C2884" s="5" t="str" cm="1">
        <f t="array" ref="C2884">_xlfn.IFS(worksheet[[#This Row],[age]]&lt;25,"1. Young Adulthood (18-24)",worksheet[[#This Row],[age]]&lt; 35,"2. Early Adulthood (25-34)",worksheet[[#This Row],[age]]&lt; 45,"3. Mid Adulthood (35-44)",worksheet[[#This Row],[age]]&lt; 55,"4. Mature Adulthood (45-54)",TRUE,"5. Late Adulthood/Senior (55+)")</f>
        <v>4. Mature Adulthood (45-54)</v>
      </c>
      <c r="D2884" t="s">
        <v>41</v>
      </c>
      <c r="E2884" t="s">
        <v>22</v>
      </c>
      <c r="F2884" s="4">
        <v>19.739999999999998</v>
      </c>
      <c r="G2884" s="5">
        <v>2</v>
      </c>
      <c r="H2884" t="s">
        <v>70</v>
      </c>
      <c r="I2884" t="s">
        <v>55</v>
      </c>
      <c r="J2884" s="6">
        <v>13.99</v>
      </c>
      <c r="K2884">
        <v>0</v>
      </c>
      <c r="L2884" t="s">
        <v>61</v>
      </c>
      <c r="M2884" s="5">
        <v>4</v>
      </c>
      <c r="N2884" s="4">
        <v>6.58</v>
      </c>
      <c r="O2884" t="s">
        <v>52</v>
      </c>
    </row>
    <row r="2885" spans="1:15" x14ac:dyDescent="0.3">
      <c r="A2885" t="s">
        <v>1831</v>
      </c>
      <c r="B2885" s="5">
        <v>51</v>
      </c>
      <c r="C2885" s="5" t="str" cm="1">
        <f t="array" ref="C2885">_xlfn.IFS(worksheet[[#This Row],[age]]&lt;25,"1. Young Adulthood (18-24)",worksheet[[#This Row],[age]]&lt; 35,"2. Early Adulthood (25-34)",worksheet[[#This Row],[age]]&lt; 45,"3. Mid Adulthood (35-44)",worksheet[[#This Row],[age]]&lt; 55,"4. Mature Adulthood (45-54)",TRUE,"5. Late Adulthood/Senior (55+)")</f>
        <v>4. Mature Adulthood (45-54)</v>
      </c>
      <c r="D2885" t="s">
        <v>15</v>
      </c>
      <c r="E2885" t="s">
        <v>22</v>
      </c>
      <c r="F2885" s="4">
        <v>1.1200000000000001</v>
      </c>
      <c r="G2885" s="5">
        <v>34</v>
      </c>
      <c r="H2885" t="s">
        <v>17</v>
      </c>
      <c r="I2885" t="s">
        <v>46</v>
      </c>
      <c r="J2885" s="6">
        <v>13.99</v>
      </c>
      <c r="K2885">
        <v>1</v>
      </c>
      <c r="L2885" t="s">
        <v>19</v>
      </c>
      <c r="M2885" s="5">
        <v>1</v>
      </c>
      <c r="N2885" s="4">
        <v>0.03</v>
      </c>
      <c r="O2885" t="s">
        <v>52</v>
      </c>
    </row>
    <row r="2886" spans="1:15" x14ac:dyDescent="0.3">
      <c r="A2886" t="s">
        <v>1844</v>
      </c>
      <c r="B2886" s="5">
        <v>46</v>
      </c>
      <c r="C2886" s="5" t="str" cm="1">
        <f t="array" ref="C2886">_xlfn.IFS(worksheet[[#This Row],[age]]&lt;25,"1. Young Adulthood (18-24)",worksheet[[#This Row],[age]]&lt; 35,"2. Early Adulthood (25-34)",worksheet[[#This Row],[age]]&lt; 45,"3. Mid Adulthood (35-44)",worksheet[[#This Row],[age]]&lt; 55,"4. Mature Adulthood (45-54)",TRUE,"5. Late Adulthood/Senior (55+)")</f>
        <v>4. Mature Adulthood (45-54)</v>
      </c>
      <c r="D2886" t="s">
        <v>41</v>
      </c>
      <c r="E2886" t="s">
        <v>16</v>
      </c>
      <c r="F2886" s="4">
        <v>11.72</v>
      </c>
      <c r="G2886" s="5">
        <v>23</v>
      </c>
      <c r="H2886" t="s">
        <v>23</v>
      </c>
      <c r="I2886" t="s">
        <v>18</v>
      </c>
      <c r="J2886" s="6">
        <v>8.99</v>
      </c>
      <c r="K2886">
        <v>0</v>
      </c>
      <c r="L2886" t="s">
        <v>29</v>
      </c>
      <c r="M2886" s="5">
        <v>4</v>
      </c>
      <c r="N2886" s="4">
        <v>0.49</v>
      </c>
      <c r="O2886" t="s">
        <v>30</v>
      </c>
    </row>
    <row r="2887" spans="1:15" x14ac:dyDescent="0.3">
      <c r="A2887" t="s">
        <v>1854</v>
      </c>
      <c r="B2887" s="5">
        <v>48</v>
      </c>
      <c r="C2887" s="5" t="str" cm="1">
        <f t="array" ref="C2887">_xlfn.IFS(worksheet[[#This Row],[age]]&lt;25,"1. Young Adulthood (18-24)",worksheet[[#This Row],[age]]&lt; 35,"2. Early Adulthood (25-34)",worksheet[[#This Row],[age]]&lt; 45,"3. Mid Adulthood (35-44)",worksheet[[#This Row],[age]]&lt; 55,"4. Mature Adulthood (45-54)",TRUE,"5. Late Adulthood/Senior (55+)")</f>
        <v>4. Mature Adulthood (45-54)</v>
      </c>
      <c r="D2887" t="s">
        <v>15</v>
      </c>
      <c r="E2887" t="s">
        <v>16</v>
      </c>
      <c r="F2887" s="4">
        <v>1.61</v>
      </c>
      <c r="G2887" s="5">
        <v>41</v>
      </c>
      <c r="H2887" t="s">
        <v>17</v>
      </c>
      <c r="I2887" t="s">
        <v>46</v>
      </c>
      <c r="J2887" s="6">
        <v>8.99</v>
      </c>
      <c r="K2887">
        <v>1</v>
      </c>
      <c r="L2887" t="s">
        <v>61</v>
      </c>
      <c r="M2887" s="5">
        <v>2</v>
      </c>
      <c r="N2887" s="4">
        <v>0.04</v>
      </c>
      <c r="O2887" t="s">
        <v>30</v>
      </c>
    </row>
    <row r="2888" spans="1:15" x14ac:dyDescent="0.3">
      <c r="A2888" t="s">
        <v>1863</v>
      </c>
      <c r="B2888" s="5">
        <v>52</v>
      </c>
      <c r="C2888" s="5" t="str" cm="1">
        <f t="array" ref="C2888">_xlfn.IFS(worksheet[[#This Row],[age]]&lt;25,"1. Young Adulthood (18-24)",worksheet[[#This Row],[age]]&lt; 35,"2. Early Adulthood (25-34)",worksheet[[#This Row],[age]]&lt; 45,"3. Mid Adulthood (35-44)",worksheet[[#This Row],[age]]&lt; 55,"4. Mature Adulthood (45-54)",TRUE,"5. Late Adulthood/Senior (55+)")</f>
        <v>4. Mature Adulthood (45-54)</v>
      </c>
      <c r="D2888" t="s">
        <v>15</v>
      </c>
      <c r="E2888" t="s">
        <v>32</v>
      </c>
      <c r="F2888" s="4">
        <v>7.17</v>
      </c>
      <c r="G2888" s="5">
        <v>48</v>
      </c>
      <c r="H2888" t="s">
        <v>33</v>
      </c>
      <c r="I2888" t="s">
        <v>55</v>
      </c>
      <c r="J2888" s="6">
        <v>17.989999999999998</v>
      </c>
      <c r="K2888">
        <v>1</v>
      </c>
      <c r="L2888" t="s">
        <v>61</v>
      </c>
      <c r="M2888" s="5">
        <v>3</v>
      </c>
      <c r="N2888" s="4">
        <v>0.15</v>
      </c>
      <c r="O2888" t="s">
        <v>47</v>
      </c>
    </row>
    <row r="2889" spans="1:15" x14ac:dyDescent="0.3">
      <c r="A2889" t="s">
        <v>1864</v>
      </c>
      <c r="B2889" s="5">
        <v>45</v>
      </c>
      <c r="C2889" s="5" t="str" cm="1">
        <f t="array" ref="C2889">_xlfn.IFS(worksheet[[#This Row],[age]]&lt;25,"1. Young Adulthood (18-24)",worksheet[[#This Row],[age]]&lt; 35,"2. Early Adulthood (25-34)",worksheet[[#This Row],[age]]&lt; 45,"3. Mid Adulthood (35-44)",worksheet[[#This Row],[age]]&lt; 55,"4. Mature Adulthood (45-54)",TRUE,"5. Late Adulthood/Senior (55+)")</f>
        <v>4. Mature Adulthood (45-54)</v>
      </c>
      <c r="D2889" t="s">
        <v>27</v>
      </c>
      <c r="E2889" t="s">
        <v>16</v>
      </c>
      <c r="F2889" s="4">
        <v>5.12</v>
      </c>
      <c r="G2889" s="5">
        <v>25</v>
      </c>
      <c r="H2889" t="s">
        <v>33</v>
      </c>
      <c r="I2889" t="s">
        <v>18</v>
      </c>
      <c r="J2889" s="6">
        <v>8.99</v>
      </c>
      <c r="K2889">
        <v>0</v>
      </c>
      <c r="L2889" t="s">
        <v>29</v>
      </c>
      <c r="M2889" s="5">
        <v>5</v>
      </c>
      <c r="N2889" s="4">
        <v>0.2</v>
      </c>
      <c r="O2889" t="s">
        <v>34</v>
      </c>
    </row>
    <row r="2890" spans="1:15" x14ac:dyDescent="0.3">
      <c r="A2890" t="s">
        <v>1872</v>
      </c>
      <c r="B2890" s="5">
        <v>45</v>
      </c>
      <c r="C2890" s="5" t="str" cm="1">
        <f t="array" ref="C2890">_xlfn.IFS(worksheet[[#This Row],[age]]&lt;25,"1. Young Adulthood (18-24)",worksheet[[#This Row],[age]]&lt; 35,"2. Early Adulthood (25-34)",worksheet[[#This Row],[age]]&lt; 45,"3. Mid Adulthood (35-44)",worksheet[[#This Row],[age]]&lt; 55,"4. Mature Adulthood (45-54)",TRUE,"5. Late Adulthood/Senior (55+)")</f>
        <v>4. Mature Adulthood (45-54)</v>
      </c>
      <c r="D2890" t="s">
        <v>27</v>
      </c>
      <c r="E2890" t="s">
        <v>32</v>
      </c>
      <c r="F2890" s="4">
        <v>32.96</v>
      </c>
      <c r="G2890" s="5">
        <v>50</v>
      </c>
      <c r="H2890" t="s">
        <v>33</v>
      </c>
      <c r="I2890" t="s">
        <v>57</v>
      </c>
      <c r="J2890" s="6">
        <v>17.989999999999998</v>
      </c>
      <c r="K2890">
        <v>0</v>
      </c>
      <c r="L2890" t="s">
        <v>37</v>
      </c>
      <c r="M2890" s="5">
        <v>5</v>
      </c>
      <c r="N2890" s="4">
        <v>0.65</v>
      </c>
      <c r="O2890" t="s">
        <v>39</v>
      </c>
    </row>
    <row r="2891" spans="1:15" x14ac:dyDescent="0.3">
      <c r="A2891" t="s">
        <v>1874</v>
      </c>
      <c r="B2891" s="5">
        <v>46</v>
      </c>
      <c r="C2891" s="5" t="str" cm="1">
        <f t="array" ref="C2891">_xlfn.IFS(worksheet[[#This Row],[age]]&lt;25,"1. Young Adulthood (18-24)",worksheet[[#This Row],[age]]&lt; 35,"2. Early Adulthood (25-34)",worksheet[[#This Row],[age]]&lt; 45,"3. Mid Adulthood (35-44)",worksheet[[#This Row],[age]]&lt; 55,"4. Mature Adulthood (45-54)",TRUE,"5. Late Adulthood/Senior (55+)")</f>
        <v>4. Mature Adulthood (45-54)</v>
      </c>
      <c r="D2891" t="s">
        <v>41</v>
      </c>
      <c r="E2891" t="s">
        <v>32</v>
      </c>
      <c r="F2891" s="4">
        <v>14.63</v>
      </c>
      <c r="G2891" s="5">
        <v>0</v>
      </c>
      <c r="H2891" t="s">
        <v>33</v>
      </c>
      <c r="I2891" t="s">
        <v>24</v>
      </c>
      <c r="J2891" s="6">
        <v>17.989999999999998</v>
      </c>
      <c r="K2891">
        <v>0</v>
      </c>
      <c r="L2891" t="s">
        <v>43</v>
      </c>
      <c r="M2891" s="5">
        <v>2</v>
      </c>
      <c r="N2891" s="4">
        <v>14.63</v>
      </c>
      <c r="O2891" t="s">
        <v>52</v>
      </c>
    </row>
    <row r="2892" spans="1:15" x14ac:dyDescent="0.3">
      <c r="A2892" t="s">
        <v>1882</v>
      </c>
      <c r="B2892" s="5">
        <v>54</v>
      </c>
      <c r="C2892" s="5" t="str" cm="1">
        <f t="array" ref="C2892">_xlfn.IFS(worksheet[[#This Row],[age]]&lt;25,"1. Young Adulthood (18-24)",worksheet[[#This Row],[age]]&lt; 35,"2. Early Adulthood (25-34)",worksheet[[#This Row],[age]]&lt; 45,"3. Mid Adulthood (35-44)",worksheet[[#This Row],[age]]&lt; 55,"4. Mature Adulthood (45-54)",TRUE,"5. Late Adulthood/Senior (55+)")</f>
        <v>4. Mature Adulthood (45-54)</v>
      </c>
      <c r="D2892" t="s">
        <v>41</v>
      </c>
      <c r="E2892" t="s">
        <v>32</v>
      </c>
      <c r="F2892" s="4">
        <v>4.8099999999999996</v>
      </c>
      <c r="G2892" s="5">
        <v>27</v>
      </c>
      <c r="H2892" t="s">
        <v>70</v>
      </c>
      <c r="I2892" t="s">
        <v>18</v>
      </c>
      <c r="J2892" s="6">
        <v>17.989999999999998</v>
      </c>
      <c r="K2892">
        <v>1</v>
      </c>
      <c r="L2892" t="s">
        <v>37</v>
      </c>
      <c r="M2892" s="5">
        <v>3</v>
      </c>
      <c r="N2892" s="4">
        <v>0.17</v>
      </c>
      <c r="O2892" t="s">
        <v>52</v>
      </c>
    </row>
    <row r="2893" spans="1:15" x14ac:dyDescent="0.3">
      <c r="A2893" t="s">
        <v>1886</v>
      </c>
      <c r="B2893" s="5">
        <v>45</v>
      </c>
      <c r="C2893" s="5" t="str" cm="1">
        <f t="array" ref="C2893">_xlfn.IFS(worksheet[[#This Row],[age]]&lt;25,"1. Young Adulthood (18-24)",worksheet[[#This Row],[age]]&lt; 35,"2. Early Adulthood (25-34)",worksheet[[#This Row],[age]]&lt; 45,"3. Mid Adulthood (35-44)",worksheet[[#This Row],[age]]&lt; 55,"4. Mature Adulthood (45-54)",TRUE,"5. Late Adulthood/Senior (55+)")</f>
        <v>4. Mature Adulthood (45-54)</v>
      </c>
      <c r="D2893" t="s">
        <v>27</v>
      </c>
      <c r="E2893" t="s">
        <v>22</v>
      </c>
      <c r="F2893" s="4">
        <v>21.09</v>
      </c>
      <c r="G2893" s="5">
        <v>4</v>
      </c>
      <c r="H2893" t="s">
        <v>17</v>
      </c>
      <c r="I2893" t="s">
        <v>57</v>
      </c>
      <c r="J2893" s="6">
        <v>13.99</v>
      </c>
      <c r="K2893">
        <v>0</v>
      </c>
      <c r="L2893" t="s">
        <v>19</v>
      </c>
      <c r="M2893" s="5">
        <v>5</v>
      </c>
      <c r="N2893" s="4">
        <v>4.22</v>
      </c>
      <c r="O2893" t="s">
        <v>39</v>
      </c>
    </row>
    <row r="2894" spans="1:15" x14ac:dyDescent="0.3">
      <c r="A2894" t="s">
        <v>1889</v>
      </c>
      <c r="B2894" s="5">
        <v>53</v>
      </c>
      <c r="C2894" s="5" t="str" cm="1">
        <f t="array" ref="C2894">_xlfn.IFS(worksheet[[#This Row],[age]]&lt;25,"1. Young Adulthood (18-24)",worksheet[[#This Row],[age]]&lt; 35,"2. Early Adulthood (25-34)",worksheet[[#This Row],[age]]&lt; 45,"3. Mid Adulthood (35-44)",worksheet[[#This Row],[age]]&lt; 55,"4. Mature Adulthood (45-54)",TRUE,"5. Late Adulthood/Senior (55+)")</f>
        <v>4. Mature Adulthood (45-54)</v>
      </c>
      <c r="D2894" t="s">
        <v>27</v>
      </c>
      <c r="E2894" t="s">
        <v>22</v>
      </c>
      <c r="F2894" s="4">
        <v>2.23</v>
      </c>
      <c r="G2894" s="5">
        <v>22</v>
      </c>
      <c r="H2894" t="s">
        <v>23</v>
      </c>
      <c r="I2894" t="s">
        <v>55</v>
      </c>
      <c r="J2894" s="6">
        <v>13.99</v>
      </c>
      <c r="K2894">
        <v>1</v>
      </c>
      <c r="L2894" t="s">
        <v>61</v>
      </c>
      <c r="M2894" s="5">
        <v>2</v>
      </c>
      <c r="N2894" s="4">
        <v>0.1</v>
      </c>
      <c r="O2894" t="s">
        <v>39</v>
      </c>
    </row>
    <row r="2895" spans="1:15" x14ac:dyDescent="0.3">
      <c r="A2895" t="s">
        <v>1890</v>
      </c>
      <c r="B2895" s="5">
        <v>52</v>
      </c>
      <c r="C2895" s="5" t="str" cm="1">
        <f t="array" ref="C2895">_xlfn.IFS(worksheet[[#This Row],[age]]&lt;25,"1. Young Adulthood (18-24)",worksheet[[#This Row],[age]]&lt; 35,"2. Early Adulthood (25-34)",worksheet[[#This Row],[age]]&lt; 45,"3. Mid Adulthood (35-44)",worksheet[[#This Row],[age]]&lt; 55,"4. Mature Adulthood (45-54)",TRUE,"5. Late Adulthood/Senior (55+)")</f>
        <v>4. Mature Adulthood (45-54)</v>
      </c>
      <c r="D2895" t="s">
        <v>15</v>
      </c>
      <c r="E2895" t="s">
        <v>16</v>
      </c>
      <c r="F2895" s="4">
        <v>4.08</v>
      </c>
      <c r="G2895" s="5">
        <v>37</v>
      </c>
      <c r="H2895" t="s">
        <v>17</v>
      </c>
      <c r="I2895" t="s">
        <v>55</v>
      </c>
      <c r="J2895" s="6">
        <v>8.99</v>
      </c>
      <c r="K2895">
        <v>1</v>
      </c>
      <c r="L2895" t="s">
        <v>43</v>
      </c>
      <c r="M2895" s="5">
        <v>4</v>
      </c>
      <c r="N2895" s="4">
        <v>0.11</v>
      </c>
      <c r="O2895" t="s">
        <v>39</v>
      </c>
    </row>
    <row r="2896" spans="1:15" x14ac:dyDescent="0.3">
      <c r="A2896" t="s">
        <v>1892</v>
      </c>
      <c r="B2896" s="5">
        <v>46</v>
      </c>
      <c r="C2896" s="5" t="str" cm="1">
        <f t="array" ref="C2896">_xlfn.IFS(worksheet[[#This Row],[age]]&lt;25,"1. Young Adulthood (18-24)",worksheet[[#This Row],[age]]&lt; 35,"2. Early Adulthood (25-34)",worksheet[[#This Row],[age]]&lt; 45,"3. Mid Adulthood (35-44)",worksheet[[#This Row],[age]]&lt; 55,"4. Mature Adulthood (45-54)",TRUE,"5. Late Adulthood/Senior (55+)")</f>
        <v>4. Mature Adulthood (45-54)</v>
      </c>
      <c r="D2896" t="s">
        <v>15</v>
      </c>
      <c r="E2896" t="s">
        <v>22</v>
      </c>
      <c r="F2896" s="4">
        <v>7.14</v>
      </c>
      <c r="G2896" s="5">
        <v>23</v>
      </c>
      <c r="H2896" t="s">
        <v>33</v>
      </c>
      <c r="I2896" t="s">
        <v>18</v>
      </c>
      <c r="J2896" s="6">
        <v>13.99</v>
      </c>
      <c r="K2896">
        <v>0</v>
      </c>
      <c r="L2896" t="s">
        <v>29</v>
      </c>
      <c r="M2896" s="5">
        <v>5</v>
      </c>
      <c r="N2896" s="4">
        <v>0.3</v>
      </c>
      <c r="O2896" t="s">
        <v>25</v>
      </c>
    </row>
    <row r="2897" spans="1:15" x14ac:dyDescent="0.3">
      <c r="A2897" t="s">
        <v>1896</v>
      </c>
      <c r="B2897" s="5">
        <v>49</v>
      </c>
      <c r="C2897" s="5" t="str" cm="1">
        <f t="array" ref="C2897">_xlfn.IFS(worksheet[[#This Row],[age]]&lt;25,"1. Young Adulthood (18-24)",worksheet[[#This Row],[age]]&lt; 35,"2. Early Adulthood (25-34)",worksheet[[#This Row],[age]]&lt; 45,"3. Mid Adulthood (35-44)",worksheet[[#This Row],[age]]&lt; 55,"4. Mature Adulthood (45-54)",TRUE,"5. Late Adulthood/Senior (55+)")</f>
        <v>4. Mature Adulthood (45-54)</v>
      </c>
      <c r="D2897" t="s">
        <v>27</v>
      </c>
      <c r="E2897" t="s">
        <v>22</v>
      </c>
      <c r="F2897" s="4">
        <v>4.38</v>
      </c>
      <c r="G2897" s="5">
        <v>43</v>
      </c>
      <c r="H2897" t="s">
        <v>23</v>
      </c>
      <c r="I2897" t="s">
        <v>18</v>
      </c>
      <c r="J2897" s="6">
        <v>13.99</v>
      </c>
      <c r="K2897">
        <v>1</v>
      </c>
      <c r="L2897" t="s">
        <v>37</v>
      </c>
      <c r="M2897" s="5">
        <v>3</v>
      </c>
      <c r="N2897" s="4">
        <v>0.1</v>
      </c>
      <c r="O2897" t="s">
        <v>39</v>
      </c>
    </row>
    <row r="2898" spans="1:15" x14ac:dyDescent="0.3">
      <c r="A2898" t="s">
        <v>1905</v>
      </c>
      <c r="B2898" s="5">
        <v>46</v>
      </c>
      <c r="C2898" s="5" t="str" cm="1">
        <f t="array" ref="C2898">_xlfn.IFS(worksheet[[#This Row],[age]]&lt;25,"1. Young Adulthood (18-24)",worksheet[[#This Row],[age]]&lt; 35,"2. Early Adulthood (25-34)",worksheet[[#This Row],[age]]&lt; 45,"3. Mid Adulthood (35-44)",worksheet[[#This Row],[age]]&lt; 55,"4. Mature Adulthood (45-54)",TRUE,"5. Late Adulthood/Senior (55+)")</f>
        <v>4. Mature Adulthood (45-54)</v>
      </c>
      <c r="D2898" t="s">
        <v>27</v>
      </c>
      <c r="E2898" t="s">
        <v>32</v>
      </c>
      <c r="F2898" s="4">
        <v>4.16</v>
      </c>
      <c r="G2898" s="5">
        <v>13</v>
      </c>
      <c r="H2898" t="s">
        <v>70</v>
      </c>
      <c r="I2898" t="s">
        <v>57</v>
      </c>
      <c r="J2898" s="6">
        <v>17.989999999999998</v>
      </c>
      <c r="K2898">
        <v>1</v>
      </c>
      <c r="L2898" t="s">
        <v>37</v>
      </c>
      <c r="M2898" s="5">
        <v>2</v>
      </c>
      <c r="N2898" s="4">
        <v>0.3</v>
      </c>
      <c r="O2898" t="s">
        <v>25</v>
      </c>
    </row>
    <row r="2899" spans="1:15" x14ac:dyDescent="0.3">
      <c r="A2899" t="s">
        <v>1906</v>
      </c>
      <c r="B2899" s="5">
        <v>50</v>
      </c>
      <c r="C2899" s="5" t="str" cm="1">
        <f t="array" ref="C2899">_xlfn.IFS(worksheet[[#This Row],[age]]&lt;25,"1. Young Adulthood (18-24)",worksheet[[#This Row],[age]]&lt; 35,"2. Early Adulthood (25-34)",worksheet[[#This Row],[age]]&lt; 45,"3. Mid Adulthood (35-44)",worksheet[[#This Row],[age]]&lt; 55,"4. Mature Adulthood (45-54)",TRUE,"5. Late Adulthood/Senior (55+)")</f>
        <v>4. Mature Adulthood (45-54)</v>
      </c>
      <c r="D2899" t="s">
        <v>15</v>
      </c>
      <c r="E2899" t="s">
        <v>16</v>
      </c>
      <c r="F2899" s="4">
        <v>13.21</v>
      </c>
      <c r="G2899" s="5">
        <v>36</v>
      </c>
      <c r="H2899" t="s">
        <v>28</v>
      </c>
      <c r="I2899" t="s">
        <v>57</v>
      </c>
      <c r="J2899" s="6">
        <v>8.99</v>
      </c>
      <c r="K2899">
        <v>1</v>
      </c>
      <c r="L2899" t="s">
        <v>29</v>
      </c>
      <c r="M2899" s="5">
        <v>4</v>
      </c>
      <c r="N2899" s="4">
        <v>0.36</v>
      </c>
      <c r="O2899" t="s">
        <v>47</v>
      </c>
    </row>
    <row r="2900" spans="1:15" x14ac:dyDescent="0.3">
      <c r="A2900" t="s">
        <v>1913</v>
      </c>
      <c r="B2900" s="5">
        <v>54</v>
      </c>
      <c r="C2900" s="5" t="str" cm="1">
        <f t="array" ref="C2900">_xlfn.IFS(worksheet[[#This Row],[age]]&lt;25,"1. Young Adulthood (18-24)",worksheet[[#This Row],[age]]&lt; 35,"2. Early Adulthood (25-34)",worksheet[[#This Row],[age]]&lt; 45,"3. Mid Adulthood (35-44)",worksheet[[#This Row],[age]]&lt; 55,"4. Mature Adulthood (45-54)",TRUE,"5. Late Adulthood/Senior (55+)")</f>
        <v>4. Mature Adulthood (45-54)</v>
      </c>
      <c r="D2900" t="s">
        <v>41</v>
      </c>
      <c r="E2900" t="s">
        <v>16</v>
      </c>
      <c r="F2900" s="4">
        <v>2.2799999999999998</v>
      </c>
      <c r="G2900" s="5">
        <v>17</v>
      </c>
      <c r="H2900" t="s">
        <v>28</v>
      </c>
      <c r="I2900" t="s">
        <v>18</v>
      </c>
      <c r="J2900" s="6">
        <v>8.99</v>
      </c>
      <c r="K2900">
        <v>1</v>
      </c>
      <c r="L2900" t="s">
        <v>43</v>
      </c>
      <c r="M2900" s="5">
        <v>2</v>
      </c>
      <c r="N2900" s="4">
        <v>0.13</v>
      </c>
      <c r="O2900" t="s">
        <v>34</v>
      </c>
    </row>
    <row r="2901" spans="1:15" x14ac:dyDescent="0.3">
      <c r="A2901" t="s">
        <v>1916</v>
      </c>
      <c r="B2901" s="5">
        <v>52</v>
      </c>
      <c r="C2901" s="5" t="str" cm="1">
        <f t="array" ref="C2901">_xlfn.IFS(worksheet[[#This Row],[age]]&lt;25,"1. Young Adulthood (18-24)",worksheet[[#This Row],[age]]&lt; 35,"2. Early Adulthood (25-34)",worksheet[[#This Row],[age]]&lt; 45,"3. Mid Adulthood (35-44)",worksheet[[#This Row],[age]]&lt; 55,"4. Mature Adulthood (45-54)",TRUE,"5. Late Adulthood/Senior (55+)")</f>
        <v>4. Mature Adulthood (45-54)</v>
      </c>
      <c r="D2901" t="s">
        <v>27</v>
      </c>
      <c r="E2901" t="s">
        <v>16</v>
      </c>
      <c r="F2901" s="4">
        <v>1.59</v>
      </c>
      <c r="G2901" s="5">
        <v>29</v>
      </c>
      <c r="H2901" t="s">
        <v>49</v>
      </c>
      <c r="I2901" t="s">
        <v>18</v>
      </c>
      <c r="J2901" s="6">
        <v>8.99</v>
      </c>
      <c r="K2901">
        <v>1</v>
      </c>
      <c r="L2901" t="s">
        <v>43</v>
      </c>
      <c r="M2901" s="5">
        <v>3</v>
      </c>
      <c r="N2901" s="4">
        <v>0.05</v>
      </c>
      <c r="O2901" t="s">
        <v>20</v>
      </c>
    </row>
    <row r="2902" spans="1:15" x14ac:dyDescent="0.3">
      <c r="A2902" t="s">
        <v>1921</v>
      </c>
      <c r="B2902" s="5">
        <v>47</v>
      </c>
      <c r="C2902" s="5" t="str" cm="1">
        <f t="array" ref="C2902">_xlfn.IFS(worksheet[[#This Row],[age]]&lt;25,"1. Young Adulthood (18-24)",worksheet[[#This Row],[age]]&lt; 35,"2. Early Adulthood (25-34)",worksheet[[#This Row],[age]]&lt; 45,"3. Mid Adulthood (35-44)",worksheet[[#This Row],[age]]&lt; 55,"4. Mature Adulthood (45-54)",TRUE,"5. Late Adulthood/Senior (55+)")</f>
        <v>4. Mature Adulthood (45-54)</v>
      </c>
      <c r="D2902" t="s">
        <v>15</v>
      </c>
      <c r="E2902" t="s">
        <v>16</v>
      </c>
      <c r="F2902" s="4">
        <v>14.08</v>
      </c>
      <c r="G2902" s="5">
        <v>20</v>
      </c>
      <c r="H2902" t="s">
        <v>17</v>
      </c>
      <c r="I2902" t="s">
        <v>55</v>
      </c>
      <c r="J2902" s="6">
        <v>8.99</v>
      </c>
      <c r="K2902">
        <v>0</v>
      </c>
      <c r="L2902" t="s">
        <v>19</v>
      </c>
      <c r="M2902" s="5">
        <v>3</v>
      </c>
      <c r="N2902" s="4">
        <v>0.67</v>
      </c>
      <c r="O2902" t="s">
        <v>47</v>
      </c>
    </row>
    <row r="2903" spans="1:15" x14ac:dyDescent="0.3">
      <c r="A2903" t="s">
        <v>1925</v>
      </c>
      <c r="B2903" s="5">
        <v>45</v>
      </c>
      <c r="C2903" s="5" t="str" cm="1">
        <f t="array" ref="C2903">_xlfn.IFS(worksheet[[#This Row],[age]]&lt;25,"1. Young Adulthood (18-24)",worksheet[[#This Row],[age]]&lt; 35,"2. Early Adulthood (25-34)",worksheet[[#This Row],[age]]&lt; 45,"3. Mid Adulthood (35-44)",worksheet[[#This Row],[age]]&lt; 55,"4. Mature Adulthood (45-54)",TRUE,"5. Late Adulthood/Senior (55+)")</f>
        <v>4. Mature Adulthood (45-54)</v>
      </c>
      <c r="D2903" t="s">
        <v>15</v>
      </c>
      <c r="E2903" t="s">
        <v>16</v>
      </c>
      <c r="F2903" s="4">
        <v>3.95</v>
      </c>
      <c r="G2903" s="5">
        <v>38</v>
      </c>
      <c r="H2903" t="s">
        <v>17</v>
      </c>
      <c r="I2903" t="s">
        <v>57</v>
      </c>
      <c r="J2903" s="6">
        <v>8.99</v>
      </c>
      <c r="K2903">
        <v>1</v>
      </c>
      <c r="L2903" t="s">
        <v>19</v>
      </c>
      <c r="M2903" s="5">
        <v>1</v>
      </c>
      <c r="N2903" s="4">
        <v>0.1</v>
      </c>
      <c r="O2903" t="s">
        <v>52</v>
      </c>
    </row>
    <row r="2904" spans="1:15" x14ac:dyDescent="0.3">
      <c r="A2904" t="s">
        <v>1930</v>
      </c>
      <c r="B2904" s="5">
        <v>53</v>
      </c>
      <c r="C2904" s="5" t="str" cm="1">
        <f t="array" ref="C2904">_xlfn.IFS(worksheet[[#This Row],[age]]&lt;25,"1. Young Adulthood (18-24)",worksheet[[#This Row],[age]]&lt; 35,"2. Early Adulthood (25-34)",worksheet[[#This Row],[age]]&lt; 45,"3. Mid Adulthood (35-44)",worksheet[[#This Row],[age]]&lt; 55,"4. Mature Adulthood (45-54)",TRUE,"5. Late Adulthood/Senior (55+)")</f>
        <v>4. Mature Adulthood (45-54)</v>
      </c>
      <c r="D2904" t="s">
        <v>15</v>
      </c>
      <c r="E2904" t="s">
        <v>32</v>
      </c>
      <c r="F2904" s="4">
        <v>5.79</v>
      </c>
      <c r="G2904" s="5">
        <v>34</v>
      </c>
      <c r="H2904" t="s">
        <v>17</v>
      </c>
      <c r="I2904" t="s">
        <v>24</v>
      </c>
      <c r="J2904" s="6">
        <v>17.989999999999998</v>
      </c>
      <c r="K2904">
        <v>1</v>
      </c>
      <c r="L2904" t="s">
        <v>19</v>
      </c>
      <c r="M2904" s="5">
        <v>5</v>
      </c>
      <c r="N2904" s="4">
        <v>0.17</v>
      </c>
      <c r="O2904" t="s">
        <v>52</v>
      </c>
    </row>
    <row r="2905" spans="1:15" x14ac:dyDescent="0.3">
      <c r="A2905" t="s">
        <v>1932</v>
      </c>
      <c r="B2905" s="5">
        <v>48</v>
      </c>
      <c r="C2905" s="5" t="str" cm="1">
        <f t="array" ref="C2905">_xlfn.IFS(worksheet[[#This Row],[age]]&lt;25,"1. Young Adulthood (18-24)",worksheet[[#This Row],[age]]&lt; 35,"2. Early Adulthood (25-34)",worksheet[[#This Row],[age]]&lt; 45,"3. Mid Adulthood (35-44)",worksheet[[#This Row],[age]]&lt; 55,"4. Mature Adulthood (45-54)",TRUE,"5. Late Adulthood/Senior (55+)")</f>
        <v>4. Mature Adulthood (45-54)</v>
      </c>
      <c r="D2905" t="s">
        <v>27</v>
      </c>
      <c r="E2905" t="s">
        <v>16</v>
      </c>
      <c r="F2905" s="4">
        <v>5.71</v>
      </c>
      <c r="G2905" s="5">
        <v>40</v>
      </c>
      <c r="H2905" t="s">
        <v>17</v>
      </c>
      <c r="I2905" t="s">
        <v>57</v>
      </c>
      <c r="J2905" s="6">
        <v>8.99</v>
      </c>
      <c r="K2905">
        <v>1</v>
      </c>
      <c r="L2905" t="s">
        <v>29</v>
      </c>
      <c r="M2905" s="5">
        <v>1</v>
      </c>
      <c r="N2905" s="4">
        <v>0.14000000000000001</v>
      </c>
      <c r="O2905" t="s">
        <v>39</v>
      </c>
    </row>
    <row r="2906" spans="1:15" x14ac:dyDescent="0.3">
      <c r="A2906" t="s">
        <v>1937</v>
      </c>
      <c r="B2906" s="5">
        <v>51</v>
      </c>
      <c r="C2906" s="5" t="str" cm="1">
        <f t="array" ref="C2906">_xlfn.IFS(worksheet[[#This Row],[age]]&lt;25,"1. Young Adulthood (18-24)",worksheet[[#This Row],[age]]&lt; 35,"2. Early Adulthood (25-34)",worksheet[[#This Row],[age]]&lt; 45,"3. Mid Adulthood (35-44)",worksheet[[#This Row],[age]]&lt; 55,"4. Mature Adulthood (45-54)",TRUE,"5. Late Adulthood/Senior (55+)")</f>
        <v>4. Mature Adulthood (45-54)</v>
      </c>
      <c r="D2906" t="s">
        <v>15</v>
      </c>
      <c r="E2906" t="s">
        <v>22</v>
      </c>
      <c r="F2906" s="4">
        <v>7.43</v>
      </c>
      <c r="G2906" s="5">
        <v>25</v>
      </c>
      <c r="H2906" t="s">
        <v>70</v>
      </c>
      <c r="I2906" t="s">
        <v>24</v>
      </c>
      <c r="J2906" s="6">
        <v>13.99</v>
      </c>
      <c r="K2906">
        <v>0</v>
      </c>
      <c r="L2906" t="s">
        <v>29</v>
      </c>
      <c r="M2906" s="5">
        <v>5</v>
      </c>
      <c r="N2906" s="4">
        <v>0.28999999999999998</v>
      </c>
      <c r="O2906" t="s">
        <v>47</v>
      </c>
    </row>
    <row r="2907" spans="1:15" x14ac:dyDescent="0.3">
      <c r="A2907" t="s">
        <v>1948</v>
      </c>
      <c r="B2907" s="5">
        <v>49</v>
      </c>
      <c r="C2907" s="5" t="str" cm="1">
        <f t="array" ref="C2907">_xlfn.IFS(worksheet[[#This Row],[age]]&lt;25,"1. Young Adulthood (18-24)",worksheet[[#This Row],[age]]&lt; 35,"2. Early Adulthood (25-34)",worksheet[[#This Row],[age]]&lt; 45,"3. Mid Adulthood (35-44)",worksheet[[#This Row],[age]]&lt; 55,"4. Mature Adulthood (45-54)",TRUE,"5. Late Adulthood/Senior (55+)")</f>
        <v>4. Mature Adulthood (45-54)</v>
      </c>
      <c r="D2907" t="s">
        <v>41</v>
      </c>
      <c r="E2907" t="s">
        <v>22</v>
      </c>
      <c r="F2907" s="4">
        <v>14.28</v>
      </c>
      <c r="G2907" s="5">
        <v>7</v>
      </c>
      <c r="H2907" t="s">
        <v>17</v>
      </c>
      <c r="I2907" t="s">
        <v>55</v>
      </c>
      <c r="J2907" s="6">
        <v>13.99</v>
      </c>
      <c r="K2907">
        <v>0</v>
      </c>
      <c r="L2907" t="s">
        <v>29</v>
      </c>
      <c r="M2907" s="5">
        <v>3</v>
      </c>
      <c r="N2907" s="4">
        <v>1.78</v>
      </c>
      <c r="O2907" t="s">
        <v>25</v>
      </c>
    </row>
    <row r="2908" spans="1:15" x14ac:dyDescent="0.3">
      <c r="A2908" t="s">
        <v>1958</v>
      </c>
      <c r="B2908" s="5">
        <v>52</v>
      </c>
      <c r="C2908" s="5" t="str" cm="1">
        <f t="array" ref="C2908">_xlfn.IFS(worksheet[[#This Row],[age]]&lt;25,"1. Young Adulthood (18-24)",worksheet[[#This Row],[age]]&lt; 35,"2. Early Adulthood (25-34)",worksheet[[#This Row],[age]]&lt; 45,"3. Mid Adulthood (35-44)",worksheet[[#This Row],[age]]&lt; 55,"4. Mature Adulthood (45-54)",TRUE,"5. Late Adulthood/Senior (55+)")</f>
        <v>4. Mature Adulthood (45-54)</v>
      </c>
      <c r="D2908" t="s">
        <v>41</v>
      </c>
      <c r="E2908" t="s">
        <v>32</v>
      </c>
      <c r="F2908" s="4">
        <v>45.18</v>
      </c>
      <c r="G2908" s="5">
        <v>45</v>
      </c>
      <c r="H2908" t="s">
        <v>17</v>
      </c>
      <c r="I2908" t="s">
        <v>18</v>
      </c>
      <c r="J2908" s="6">
        <v>17.989999999999998</v>
      </c>
      <c r="K2908">
        <v>0</v>
      </c>
      <c r="L2908" t="s">
        <v>19</v>
      </c>
      <c r="M2908" s="5">
        <v>5</v>
      </c>
      <c r="N2908" s="4">
        <v>0.98</v>
      </c>
      <c r="O2908" t="s">
        <v>20</v>
      </c>
    </row>
    <row r="2909" spans="1:15" x14ac:dyDescent="0.3">
      <c r="A2909" t="s">
        <v>1963</v>
      </c>
      <c r="B2909" s="5">
        <v>50</v>
      </c>
      <c r="C2909" s="5" t="str" cm="1">
        <f t="array" ref="C2909">_xlfn.IFS(worksheet[[#This Row],[age]]&lt;25,"1. Young Adulthood (18-24)",worksheet[[#This Row],[age]]&lt; 35,"2. Early Adulthood (25-34)",worksheet[[#This Row],[age]]&lt; 45,"3. Mid Adulthood (35-44)",worksheet[[#This Row],[age]]&lt; 55,"4. Mature Adulthood (45-54)",TRUE,"5. Late Adulthood/Senior (55+)")</f>
        <v>4. Mature Adulthood (45-54)</v>
      </c>
      <c r="D2909" t="s">
        <v>41</v>
      </c>
      <c r="E2909" t="s">
        <v>22</v>
      </c>
      <c r="F2909" s="4">
        <v>13.5</v>
      </c>
      <c r="G2909" s="5">
        <v>49</v>
      </c>
      <c r="H2909" t="s">
        <v>28</v>
      </c>
      <c r="I2909" t="s">
        <v>57</v>
      </c>
      <c r="J2909" s="6">
        <v>13.99</v>
      </c>
      <c r="K2909">
        <v>1</v>
      </c>
      <c r="L2909" t="s">
        <v>61</v>
      </c>
      <c r="M2909" s="5">
        <v>2</v>
      </c>
      <c r="N2909" s="4">
        <v>0.27</v>
      </c>
      <c r="O2909" t="s">
        <v>30</v>
      </c>
    </row>
    <row r="2910" spans="1:15" x14ac:dyDescent="0.3">
      <c r="A2910" t="s">
        <v>1976</v>
      </c>
      <c r="B2910" s="5">
        <v>45</v>
      </c>
      <c r="C2910" s="5" t="str" cm="1">
        <f t="array" ref="C2910">_xlfn.IFS(worksheet[[#This Row],[age]]&lt;25,"1. Young Adulthood (18-24)",worksheet[[#This Row],[age]]&lt; 35,"2. Early Adulthood (25-34)",worksheet[[#This Row],[age]]&lt; 45,"3. Mid Adulthood (35-44)",worksheet[[#This Row],[age]]&lt; 55,"4. Mature Adulthood (45-54)",TRUE,"5. Late Adulthood/Senior (55+)")</f>
        <v>4. Mature Adulthood (45-54)</v>
      </c>
      <c r="D2910" t="s">
        <v>27</v>
      </c>
      <c r="E2910" t="s">
        <v>22</v>
      </c>
      <c r="F2910" s="4">
        <v>2.52</v>
      </c>
      <c r="G2910" s="5">
        <v>23</v>
      </c>
      <c r="H2910" t="s">
        <v>23</v>
      </c>
      <c r="I2910" t="s">
        <v>55</v>
      </c>
      <c r="J2910" s="6">
        <v>13.99</v>
      </c>
      <c r="K2910">
        <v>1</v>
      </c>
      <c r="L2910" t="s">
        <v>37</v>
      </c>
      <c r="M2910" s="5">
        <v>1</v>
      </c>
      <c r="N2910" s="4">
        <v>0.1</v>
      </c>
      <c r="O2910" t="s">
        <v>52</v>
      </c>
    </row>
    <row r="2911" spans="1:15" x14ac:dyDescent="0.3">
      <c r="A2911" t="s">
        <v>1978</v>
      </c>
      <c r="B2911" s="5">
        <v>45</v>
      </c>
      <c r="C2911" s="5" t="str" cm="1">
        <f t="array" ref="C2911">_xlfn.IFS(worksheet[[#This Row],[age]]&lt;25,"1. Young Adulthood (18-24)",worksheet[[#This Row],[age]]&lt; 35,"2. Early Adulthood (25-34)",worksheet[[#This Row],[age]]&lt; 45,"3. Mid Adulthood (35-44)",worksheet[[#This Row],[age]]&lt; 55,"4. Mature Adulthood (45-54)",TRUE,"5. Late Adulthood/Senior (55+)")</f>
        <v>4. Mature Adulthood (45-54)</v>
      </c>
      <c r="D2911" t="s">
        <v>15</v>
      </c>
      <c r="E2911" t="s">
        <v>22</v>
      </c>
      <c r="F2911" s="4">
        <v>6.84</v>
      </c>
      <c r="G2911" s="5">
        <v>40</v>
      </c>
      <c r="H2911" t="s">
        <v>49</v>
      </c>
      <c r="I2911" t="s">
        <v>57</v>
      </c>
      <c r="J2911" s="6">
        <v>13.99</v>
      </c>
      <c r="K2911">
        <v>1</v>
      </c>
      <c r="L2911" t="s">
        <v>29</v>
      </c>
      <c r="M2911" s="5">
        <v>2</v>
      </c>
      <c r="N2911" s="4">
        <v>0.17</v>
      </c>
      <c r="O2911" t="s">
        <v>52</v>
      </c>
    </row>
    <row r="2912" spans="1:15" x14ac:dyDescent="0.3">
      <c r="A2912" t="s">
        <v>1979</v>
      </c>
      <c r="B2912" s="5">
        <v>52</v>
      </c>
      <c r="C2912" s="5" t="str" cm="1">
        <f t="array" ref="C2912">_xlfn.IFS(worksheet[[#This Row],[age]]&lt;25,"1. Young Adulthood (18-24)",worksheet[[#This Row],[age]]&lt; 35,"2. Early Adulthood (25-34)",worksheet[[#This Row],[age]]&lt; 45,"3. Mid Adulthood (35-44)",worksheet[[#This Row],[age]]&lt; 55,"4. Mature Adulthood (45-54)",TRUE,"5. Late Adulthood/Senior (55+)")</f>
        <v>4. Mature Adulthood (45-54)</v>
      </c>
      <c r="D2912" t="s">
        <v>41</v>
      </c>
      <c r="E2912" t="s">
        <v>32</v>
      </c>
      <c r="F2912" s="4">
        <v>1.81</v>
      </c>
      <c r="G2912" s="5">
        <v>23</v>
      </c>
      <c r="H2912" t="s">
        <v>70</v>
      </c>
      <c r="I2912" t="s">
        <v>24</v>
      </c>
      <c r="J2912" s="6">
        <v>17.989999999999998</v>
      </c>
      <c r="K2912">
        <v>1</v>
      </c>
      <c r="L2912" t="s">
        <v>37</v>
      </c>
      <c r="M2912" s="5">
        <v>3</v>
      </c>
      <c r="N2912" s="4">
        <v>0.08</v>
      </c>
      <c r="O2912" t="s">
        <v>52</v>
      </c>
    </row>
    <row r="2913" spans="1:15" x14ac:dyDescent="0.3">
      <c r="A2913" t="s">
        <v>1985</v>
      </c>
      <c r="B2913" s="5">
        <v>46</v>
      </c>
      <c r="C2913" s="5" t="str" cm="1">
        <f t="array" ref="C2913">_xlfn.IFS(worksheet[[#This Row],[age]]&lt;25,"1. Young Adulthood (18-24)",worksheet[[#This Row],[age]]&lt; 35,"2. Early Adulthood (25-34)",worksheet[[#This Row],[age]]&lt; 45,"3. Mid Adulthood (35-44)",worksheet[[#This Row],[age]]&lt; 55,"4. Mature Adulthood (45-54)",TRUE,"5. Late Adulthood/Senior (55+)")</f>
        <v>4. Mature Adulthood (45-54)</v>
      </c>
      <c r="D2913" t="s">
        <v>15</v>
      </c>
      <c r="E2913" t="s">
        <v>32</v>
      </c>
      <c r="F2913" s="4">
        <v>30.01</v>
      </c>
      <c r="G2913" s="5">
        <v>56</v>
      </c>
      <c r="H2913" t="s">
        <v>70</v>
      </c>
      <c r="I2913" t="s">
        <v>24</v>
      </c>
      <c r="J2913" s="6">
        <v>17.989999999999998</v>
      </c>
      <c r="K2913">
        <v>0</v>
      </c>
      <c r="L2913" t="s">
        <v>19</v>
      </c>
      <c r="M2913" s="5">
        <v>5</v>
      </c>
      <c r="N2913" s="4">
        <v>0.53</v>
      </c>
      <c r="O2913" t="s">
        <v>39</v>
      </c>
    </row>
    <row r="2914" spans="1:15" x14ac:dyDescent="0.3">
      <c r="A2914" t="s">
        <v>1994</v>
      </c>
      <c r="B2914" s="5">
        <v>46</v>
      </c>
      <c r="C2914" s="5" t="str" cm="1">
        <f t="array" ref="C2914">_xlfn.IFS(worksheet[[#This Row],[age]]&lt;25,"1. Young Adulthood (18-24)",worksheet[[#This Row],[age]]&lt; 35,"2. Early Adulthood (25-34)",worksheet[[#This Row],[age]]&lt; 45,"3. Mid Adulthood (35-44)",worksheet[[#This Row],[age]]&lt; 55,"4. Mature Adulthood (45-54)",TRUE,"5. Late Adulthood/Senior (55+)")</f>
        <v>4. Mature Adulthood (45-54)</v>
      </c>
      <c r="D2914" t="s">
        <v>15</v>
      </c>
      <c r="E2914" t="s">
        <v>32</v>
      </c>
      <c r="F2914" s="4">
        <v>7.29</v>
      </c>
      <c r="G2914" s="5">
        <v>4</v>
      </c>
      <c r="H2914" t="s">
        <v>70</v>
      </c>
      <c r="I2914" t="s">
        <v>46</v>
      </c>
      <c r="J2914" s="6">
        <v>17.989999999999998</v>
      </c>
      <c r="K2914">
        <v>0</v>
      </c>
      <c r="L2914" t="s">
        <v>61</v>
      </c>
      <c r="M2914" s="5">
        <v>2</v>
      </c>
      <c r="N2914" s="4">
        <v>1.46</v>
      </c>
      <c r="O2914" t="s">
        <v>47</v>
      </c>
    </row>
    <row r="2915" spans="1:15" x14ac:dyDescent="0.3">
      <c r="A2915" t="s">
        <v>1998</v>
      </c>
      <c r="B2915" s="5">
        <v>52</v>
      </c>
      <c r="C2915" s="5" t="str" cm="1">
        <f t="array" ref="C2915">_xlfn.IFS(worksheet[[#This Row],[age]]&lt;25,"1. Young Adulthood (18-24)",worksheet[[#This Row],[age]]&lt; 35,"2. Early Adulthood (25-34)",worksheet[[#This Row],[age]]&lt; 45,"3. Mid Adulthood (35-44)",worksheet[[#This Row],[age]]&lt; 55,"4. Mature Adulthood (45-54)",TRUE,"5. Late Adulthood/Senior (55+)")</f>
        <v>4. Mature Adulthood (45-54)</v>
      </c>
      <c r="D2915" t="s">
        <v>15</v>
      </c>
      <c r="E2915" t="s">
        <v>16</v>
      </c>
      <c r="F2915" s="4">
        <v>8.7200000000000006</v>
      </c>
      <c r="G2915" s="5">
        <v>28</v>
      </c>
      <c r="H2915" t="s">
        <v>17</v>
      </c>
      <c r="I2915" t="s">
        <v>46</v>
      </c>
      <c r="J2915" s="6">
        <v>8.99</v>
      </c>
      <c r="K2915">
        <v>1</v>
      </c>
      <c r="L2915" t="s">
        <v>37</v>
      </c>
      <c r="M2915" s="5">
        <v>1</v>
      </c>
      <c r="N2915" s="4">
        <v>0.3</v>
      </c>
      <c r="O2915" t="s">
        <v>34</v>
      </c>
    </row>
    <row r="2916" spans="1:15" x14ac:dyDescent="0.3">
      <c r="A2916" t="s">
        <v>1999</v>
      </c>
      <c r="B2916" s="5">
        <v>54</v>
      </c>
      <c r="C2916" s="5" t="str" cm="1">
        <f t="array" ref="C2916">_xlfn.IFS(worksheet[[#This Row],[age]]&lt;25,"1. Young Adulthood (18-24)",worksheet[[#This Row],[age]]&lt; 35,"2. Early Adulthood (25-34)",worksheet[[#This Row],[age]]&lt; 45,"3. Mid Adulthood (35-44)",worksheet[[#This Row],[age]]&lt; 55,"4. Mature Adulthood (45-54)",TRUE,"5. Late Adulthood/Senior (55+)")</f>
        <v>4. Mature Adulthood (45-54)</v>
      </c>
      <c r="D2916" t="s">
        <v>27</v>
      </c>
      <c r="E2916" t="s">
        <v>16</v>
      </c>
      <c r="F2916" s="4">
        <v>12.12</v>
      </c>
      <c r="G2916" s="5">
        <v>38</v>
      </c>
      <c r="H2916" t="s">
        <v>70</v>
      </c>
      <c r="I2916" t="s">
        <v>18</v>
      </c>
      <c r="J2916" s="6">
        <v>8.99</v>
      </c>
      <c r="K2916">
        <v>1</v>
      </c>
      <c r="L2916" t="s">
        <v>19</v>
      </c>
      <c r="M2916" s="5">
        <v>5</v>
      </c>
      <c r="N2916" s="4">
        <v>0.31</v>
      </c>
      <c r="O2916" t="s">
        <v>39</v>
      </c>
    </row>
    <row r="2917" spans="1:15" x14ac:dyDescent="0.3">
      <c r="A2917" t="s">
        <v>2005</v>
      </c>
      <c r="B2917" s="5">
        <v>54</v>
      </c>
      <c r="C2917" s="5" t="str" cm="1">
        <f t="array" ref="C2917">_xlfn.IFS(worksheet[[#This Row],[age]]&lt;25,"1. Young Adulthood (18-24)",worksheet[[#This Row],[age]]&lt; 35,"2. Early Adulthood (25-34)",worksheet[[#This Row],[age]]&lt; 45,"3. Mid Adulthood (35-44)",worksheet[[#This Row],[age]]&lt; 55,"4. Mature Adulthood (45-54)",TRUE,"5. Late Adulthood/Senior (55+)")</f>
        <v>4. Mature Adulthood (45-54)</v>
      </c>
      <c r="D2917" t="s">
        <v>27</v>
      </c>
      <c r="E2917" t="s">
        <v>16</v>
      </c>
      <c r="F2917" s="4">
        <v>18.84</v>
      </c>
      <c r="G2917" s="5">
        <v>49</v>
      </c>
      <c r="H2917" t="s">
        <v>49</v>
      </c>
      <c r="I2917" t="s">
        <v>24</v>
      </c>
      <c r="J2917" s="6">
        <v>8.99</v>
      </c>
      <c r="K2917">
        <v>1</v>
      </c>
      <c r="L2917" t="s">
        <v>19</v>
      </c>
      <c r="M2917" s="5">
        <v>1</v>
      </c>
      <c r="N2917" s="4">
        <v>0.38</v>
      </c>
      <c r="O2917" t="s">
        <v>47</v>
      </c>
    </row>
    <row r="2918" spans="1:15" x14ac:dyDescent="0.3">
      <c r="A2918" t="s">
        <v>2009</v>
      </c>
      <c r="B2918" s="5">
        <v>48</v>
      </c>
      <c r="C2918" s="5" t="str" cm="1">
        <f t="array" ref="C2918">_xlfn.IFS(worksheet[[#This Row],[age]]&lt;25,"1. Young Adulthood (18-24)",worksheet[[#This Row],[age]]&lt; 35,"2. Early Adulthood (25-34)",worksheet[[#This Row],[age]]&lt; 45,"3. Mid Adulthood (35-44)",worksheet[[#This Row],[age]]&lt; 55,"4. Mature Adulthood (45-54)",TRUE,"5. Late Adulthood/Senior (55+)")</f>
        <v>4. Mature Adulthood (45-54)</v>
      </c>
      <c r="D2918" t="s">
        <v>41</v>
      </c>
      <c r="E2918" t="s">
        <v>32</v>
      </c>
      <c r="F2918" s="4">
        <v>0.84</v>
      </c>
      <c r="G2918" s="5">
        <v>43</v>
      </c>
      <c r="H2918" t="s">
        <v>17</v>
      </c>
      <c r="I2918" t="s">
        <v>24</v>
      </c>
      <c r="J2918" s="6">
        <v>17.989999999999998</v>
      </c>
      <c r="K2918">
        <v>1</v>
      </c>
      <c r="L2918" t="s">
        <v>29</v>
      </c>
      <c r="M2918" s="5">
        <v>4</v>
      </c>
      <c r="N2918" s="4">
        <v>0.02</v>
      </c>
      <c r="O2918" t="s">
        <v>34</v>
      </c>
    </row>
    <row r="2919" spans="1:15" x14ac:dyDescent="0.3">
      <c r="A2919" t="s">
        <v>2017</v>
      </c>
      <c r="B2919" s="5">
        <v>46</v>
      </c>
      <c r="C2919" s="5" t="str" cm="1">
        <f t="array" ref="C2919">_xlfn.IFS(worksheet[[#This Row],[age]]&lt;25,"1. Young Adulthood (18-24)",worksheet[[#This Row],[age]]&lt; 35,"2. Early Adulthood (25-34)",worksheet[[#This Row],[age]]&lt; 45,"3. Mid Adulthood (35-44)",worksheet[[#This Row],[age]]&lt; 55,"4. Mature Adulthood (45-54)",TRUE,"5. Late Adulthood/Senior (55+)")</f>
        <v>4. Mature Adulthood (45-54)</v>
      </c>
      <c r="D2919" t="s">
        <v>15</v>
      </c>
      <c r="E2919" t="s">
        <v>32</v>
      </c>
      <c r="F2919" s="4">
        <v>26.06</v>
      </c>
      <c r="G2919" s="5">
        <v>4</v>
      </c>
      <c r="H2919" t="s">
        <v>33</v>
      </c>
      <c r="I2919" t="s">
        <v>55</v>
      </c>
      <c r="J2919" s="6">
        <v>17.989999999999998</v>
      </c>
      <c r="K2919">
        <v>0</v>
      </c>
      <c r="L2919" t="s">
        <v>43</v>
      </c>
      <c r="M2919" s="5">
        <v>4</v>
      </c>
      <c r="N2919" s="4">
        <v>5.21</v>
      </c>
      <c r="O2919" t="s">
        <v>20</v>
      </c>
    </row>
    <row r="2920" spans="1:15" x14ac:dyDescent="0.3">
      <c r="A2920" t="s">
        <v>2018</v>
      </c>
      <c r="B2920" s="5">
        <v>51</v>
      </c>
      <c r="C2920" s="5" t="str" cm="1">
        <f t="array" ref="C2920">_xlfn.IFS(worksheet[[#This Row],[age]]&lt;25,"1. Young Adulthood (18-24)",worksheet[[#This Row],[age]]&lt; 35,"2. Early Adulthood (25-34)",worksheet[[#This Row],[age]]&lt; 45,"3. Mid Adulthood (35-44)",worksheet[[#This Row],[age]]&lt; 55,"4. Mature Adulthood (45-54)",TRUE,"5. Late Adulthood/Senior (55+)")</f>
        <v>4. Mature Adulthood (45-54)</v>
      </c>
      <c r="D2920" t="s">
        <v>15</v>
      </c>
      <c r="E2920" t="s">
        <v>22</v>
      </c>
      <c r="F2920" s="4">
        <v>1.1399999999999999</v>
      </c>
      <c r="G2920" s="5">
        <v>55</v>
      </c>
      <c r="H2920" t="s">
        <v>28</v>
      </c>
      <c r="I2920" t="s">
        <v>46</v>
      </c>
      <c r="J2920" s="6">
        <v>13.99</v>
      </c>
      <c r="K2920">
        <v>1</v>
      </c>
      <c r="L2920" t="s">
        <v>29</v>
      </c>
      <c r="M2920" s="5">
        <v>1</v>
      </c>
      <c r="N2920" s="4">
        <v>0.02</v>
      </c>
      <c r="O2920" t="s">
        <v>30</v>
      </c>
    </row>
    <row r="2921" spans="1:15" x14ac:dyDescent="0.3">
      <c r="A2921" t="s">
        <v>2022</v>
      </c>
      <c r="B2921" s="5">
        <v>50</v>
      </c>
      <c r="C2921" s="5" t="str" cm="1">
        <f t="array" ref="C2921">_xlfn.IFS(worksheet[[#This Row],[age]]&lt;25,"1. Young Adulthood (18-24)",worksheet[[#This Row],[age]]&lt; 35,"2. Early Adulthood (25-34)",worksheet[[#This Row],[age]]&lt; 45,"3. Mid Adulthood (35-44)",worksheet[[#This Row],[age]]&lt; 55,"4. Mature Adulthood (45-54)",TRUE,"5. Late Adulthood/Senior (55+)")</f>
        <v>4. Mature Adulthood (45-54)</v>
      </c>
      <c r="D2921" t="s">
        <v>27</v>
      </c>
      <c r="E2921" t="s">
        <v>16</v>
      </c>
      <c r="F2921" s="4">
        <v>8.09</v>
      </c>
      <c r="G2921" s="5">
        <v>4</v>
      </c>
      <c r="H2921" t="s">
        <v>70</v>
      </c>
      <c r="I2921" t="s">
        <v>24</v>
      </c>
      <c r="J2921" s="6">
        <v>8.99</v>
      </c>
      <c r="K2921">
        <v>0</v>
      </c>
      <c r="L2921" t="s">
        <v>37</v>
      </c>
      <c r="M2921" s="5">
        <v>1</v>
      </c>
      <c r="N2921" s="4">
        <v>1.62</v>
      </c>
      <c r="O2921" t="s">
        <v>20</v>
      </c>
    </row>
    <row r="2922" spans="1:15" x14ac:dyDescent="0.3">
      <c r="A2922" t="s">
        <v>2029</v>
      </c>
      <c r="B2922" s="5">
        <v>52</v>
      </c>
      <c r="C2922" s="5" t="str" cm="1">
        <f t="array" ref="C2922">_xlfn.IFS(worksheet[[#This Row],[age]]&lt;25,"1. Young Adulthood (18-24)",worksheet[[#This Row],[age]]&lt; 35,"2. Early Adulthood (25-34)",worksheet[[#This Row],[age]]&lt; 45,"3. Mid Adulthood (35-44)",worksheet[[#This Row],[age]]&lt; 55,"4. Mature Adulthood (45-54)",TRUE,"5. Late Adulthood/Senior (55+)")</f>
        <v>4. Mature Adulthood (45-54)</v>
      </c>
      <c r="D2922" t="s">
        <v>15</v>
      </c>
      <c r="E2922" t="s">
        <v>32</v>
      </c>
      <c r="F2922" s="4">
        <v>21.99</v>
      </c>
      <c r="G2922" s="5">
        <v>19</v>
      </c>
      <c r="H2922" t="s">
        <v>28</v>
      </c>
      <c r="I2922" t="s">
        <v>46</v>
      </c>
      <c r="J2922" s="6">
        <v>17.989999999999998</v>
      </c>
      <c r="K2922">
        <v>0</v>
      </c>
      <c r="L2922" t="s">
        <v>19</v>
      </c>
      <c r="M2922" s="5">
        <v>2</v>
      </c>
      <c r="N2922" s="4">
        <v>1.1000000000000001</v>
      </c>
      <c r="O2922" t="s">
        <v>30</v>
      </c>
    </row>
    <row r="2923" spans="1:15" x14ac:dyDescent="0.3">
      <c r="A2923" t="s">
        <v>2034</v>
      </c>
      <c r="B2923" s="5">
        <v>48</v>
      </c>
      <c r="C2923" s="5" t="str" cm="1">
        <f t="array" ref="C2923">_xlfn.IFS(worksheet[[#This Row],[age]]&lt;25,"1. Young Adulthood (18-24)",worksheet[[#This Row],[age]]&lt; 35,"2. Early Adulthood (25-34)",worksheet[[#This Row],[age]]&lt; 45,"3. Mid Adulthood (35-44)",worksheet[[#This Row],[age]]&lt; 55,"4. Mature Adulthood (45-54)",TRUE,"5. Late Adulthood/Senior (55+)")</f>
        <v>4. Mature Adulthood (45-54)</v>
      </c>
      <c r="D2923" t="s">
        <v>15</v>
      </c>
      <c r="E2923" t="s">
        <v>22</v>
      </c>
      <c r="F2923" s="4">
        <v>3.97</v>
      </c>
      <c r="G2923" s="5">
        <v>1</v>
      </c>
      <c r="H2923" t="s">
        <v>49</v>
      </c>
      <c r="I2923" t="s">
        <v>18</v>
      </c>
      <c r="J2923" s="6">
        <v>13.99</v>
      </c>
      <c r="K2923">
        <v>0</v>
      </c>
      <c r="L2923" t="s">
        <v>37</v>
      </c>
      <c r="M2923" s="5">
        <v>5</v>
      </c>
      <c r="N2923" s="4">
        <v>1.99</v>
      </c>
      <c r="O2923" t="s">
        <v>34</v>
      </c>
    </row>
    <row r="2924" spans="1:15" x14ac:dyDescent="0.3">
      <c r="A2924" t="s">
        <v>2041</v>
      </c>
      <c r="B2924" s="5">
        <v>50</v>
      </c>
      <c r="C2924" s="5" t="str" cm="1">
        <f t="array" ref="C2924">_xlfn.IFS(worksheet[[#This Row],[age]]&lt;25,"1. Young Adulthood (18-24)",worksheet[[#This Row],[age]]&lt; 35,"2. Early Adulthood (25-34)",worksheet[[#This Row],[age]]&lt; 45,"3. Mid Adulthood (35-44)",worksheet[[#This Row],[age]]&lt; 55,"4. Mature Adulthood (45-54)",TRUE,"5. Late Adulthood/Senior (55+)")</f>
        <v>4. Mature Adulthood (45-54)</v>
      </c>
      <c r="D2924" t="s">
        <v>41</v>
      </c>
      <c r="E2924" t="s">
        <v>32</v>
      </c>
      <c r="F2924" s="4">
        <v>10.83</v>
      </c>
      <c r="G2924" s="5">
        <v>3</v>
      </c>
      <c r="H2924" t="s">
        <v>17</v>
      </c>
      <c r="I2924" t="s">
        <v>46</v>
      </c>
      <c r="J2924" s="6">
        <v>17.989999999999998</v>
      </c>
      <c r="K2924">
        <v>0</v>
      </c>
      <c r="L2924" t="s">
        <v>61</v>
      </c>
      <c r="M2924" s="5">
        <v>3</v>
      </c>
      <c r="N2924" s="4">
        <v>2.71</v>
      </c>
      <c r="O2924" t="s">
        <v>30</v>
      </c>
    </row>
    <row r="2925" spans="1:15" x14ac:dyDescent="0.3">
      <c r="A2925" t="s">
        <v>2043</v>
      </c>
      <c r="B2925" s="5">
        <v>53</v>
      </c>
      <c r="C2925" s="5" t="str" cm="1">
        <f t="array" ref="C2925">_xlfn.IFS(worksheet[[#This Row],[age]]&lt;25,"1. Young Adulthood (18-24)",worksheet[[#This Row],[age]]&lt; 35,"2. Early Adulthood (25-34)",worksheet[[#This Row],[age]]&lt; 45,"3. Mid Adulthood (35-44)",worksheet[[#This Row],[age]]&lt; 55,"4. Mature Adulthood (45-54)",TRUE,"5. Late Adulthood/Senior (55+)")</f>
        <v>4. Mature Adulthood (45-54)</v>
      </c>
      <c r="D2925" t="s">
        <v>27</v>
      </c>
      <c r="E2925" t="s">
        <v>22</v>
      </c>
      <c r="F2925" s="4">
        <v>6.68</v>
      </c>
      <c r="G2925" s="5">
        <v>11</v>
      </c>
      <c r="H2925" t="s">
        <v>70</v>
      </c>
      <c r="I2925" t="s">
        <v>24</v>
      </c>
      <c r="J2925" s="6">
        <v>13.99</v>
      </c>
      <c r="K2925">
        <v>0</v>
      </c>
      <c r="L2925" t="s">
        <v>43</v>
      </c>
      <c r="M2925" s="5">
        <v>4</v>
      </c>
      <c r="N2925" s="4">
        <v>0.56000000000000005</v>
      </c>
      <c r="O2925" t="s">
        <v>20</v>
      </c>
    </row>
    <row r="2926" spans="1:15" x14ac:dyDescent="0.3">
      <c r="A2926" t="s">
        <v>2045</v>
      </c>
      <c r="B2926" s="5">
        <v>52</v>
      </c>
      <c r="C2926" s="5" t="str" cm="1">
        <f t="array" ref="C2926">_xlfn.IFS(worksheet[[#This Row],[age]]&lt;25,"1. Young Adulthood (18-24)",worksheet[[#This Row],[age]]&lt; 35,"2. Early Adulthood (25-34)",worksheet[[#This Row],[age]]&lt; 45,"3. Mid Adulthood (35-44)",worksheet[[#This Row],[age]]&lt; 55,"4. Mature Adulthood (45-54)",TRUE,"5. Late Adulthood/Senior (55+)")</f>
        <v>4. Mature Adulthood (45-54)</v>
      </c>
      <c r="D2926" t="s">
        <v>15</v>
      </c>
      <c r="E2926" t="s">
        <v>22</v>
      </c>
      <c r="F2926" s="4">
        <v>6.41</v>
      </c>
      <c r="G2926" s="5">
        <v>15</v>
      </c>
      <c r="H2926" t="s">
        <v>33</v>
      </c>
      <c r="I2926" t="s">
        <v>18</v>
      </c>
      <c r="J2926" s="6">
        <v>13.99</v>
      </c>
      <c r="K2926">
        <v>0</v>
      </c>
      <c r="L2926" t="s">
        <v>43</v>
      </c>
      <c r="M2926" s="5">
        <v>1</v>
      </c>
      <c r="N2926" s="4">
        <v>0.4</v>
      </c>
      <c r="O2926" t="s">
        <v>25</v>
      </c>
    </row>
    <row r="2927" spans="1:15" x14ac:dyDescent="0.3">
      <c r="A2927" t="s">
        <v>2047</v>
      </c>
      <c r="B2927" s="5">
        <v>51</v>
      </c>
      <c r="C2927" s="5" t="str" cm="1">
        <f t="array" ref="C2927">_xlfn.IFS(worksheet[[#This Row],[age]]&lt;25,"1. Young Adulthood (18-24)",worksheet[[#This Row],[age]]&lt; 35,"2. Early Adulthood (25-34)",worksheet[[#This Row],[age]]&lt; 45,"3. Mid Adulthood (35-44)",worksheet[[#This Row],[age]]&lt; 55,"4. Mature Adulthood (45-54)",TRUE,"5. Late Adulthood/Senior (55+)")</f>
        <v>4. Mature Adulthood (45-54)</v>
      </c>
      <c r="D2927" t="s">
        <v>27</v>
      </c>
      <c r="E2927" t="s">
        <v>32</v>
      </c>
      <c r="F2927" s="4">
        <v>1.46</v>
      </c>
      <c r="G2927" s="5">
        <v>35</v>
      </c>
      <c r="H2927" t="s">
        <v>33</v>
      </c>
      <c r="I2927" t="s">
        <v>57</v>
      </c>
      <c r="J2927" s="6">
        <v>17.989999999999998</v>
      </c>
      <c r="K2927">
        <v>1</v>
      </c>
      <c r="L2927" t="s">
        <v>43</v>
      </c>
      <c r="M2927" s="5">
        <v>3</v>
      </c>
      <c r="N2927" s="4">
        <v>0.04</v>
      </c>
      <c r="O2927" t="s">
        <v>20</v>
      </c>
    </row>
    <row r="2928" spans="1:15" x14ac:dyDescent="0.3">
      <c r="A2928" t="s">
        <v>2050</v>
      </c>
      <c r="B2928" s="5">
        <v>54</v>
      </c>
      <c r="C2928" s="5" t="str" cm="1">
        <f t="array" ref="C2928">_xlfn.IFS(worksheet[[#This Row],[age]]&lt;25,"1. Young Adulthood (18-24)",worksheet[[#This Row],[age]]&lt; 35,"2. Early Adulthood (25-34)",worksheet[[#This Row],[age]]&lt; 45,"3. Mid Adulthood (35-44)",worksheet[[#This Row],[age]]&lt; 55,"4. Mature Adulthood (45-54)",TRUE,"5. Late Adulthood/Senior (55+)")</f>
        <v>4. Mature Adulthood (45-54)</v>
      </c>
      <c r="D2928" t="s">
        <v>41</v>
      </c>
      <c r="E2928" t="s">
        <v>22</v>
      </c>
      <c r="F2928" s="4">
        <v>23.35</v>
      </c>
      <c r="G2928" s="5">
        <v>40</v>
      </c>
      <c r="H2928" t="s">
        <v>70</v>
      </c>
      <c r="I2928" t="s">
        <v>24</v>
      </c>
      <c r="J2928" s="6">
        <v>13.99</v>
      </c>
      <c r="K2928">
        <v>0</v>
      </c>
      <c r="L2928" t="s">
        <v>61</v>
      </c>
      <c r="M2928" s="5">
        <v>5</v>
      </c>
      <c r="N2928" s="4">
        <v>0.56999999999999995</v>
      </c>
      <c r="O2928" t="s">
        <v>34</v>
      </c>
    </row>
    <row r="2929" spans="1:15" x14ac:dyDescent="0.3">
      <c r="A2929" t="s">
        <v>2057</v>
      </c>
      <c r="B2929" s="5">
        <v>51</v>
      </c>
      <c r="C2929" s="5" t="str" cm="1">
        <f t="array" ref="C2929">_xlfn.IFS(worksheet[[#This Row],[age]]&lt;25,"1. Young Adulthood (18-24)",worksheet[[#This Row],[age]]&lt; 35,"2. Early Adulthood (25-34)",worksheet[[#This Row],[age]]&lt; 45,"3. Mid Adulthood (35-44)",worksheet[[#This Row],[age]]&lt; 55,"4. Mature Adulthood (45-54)",TRUE,"5. Late Adulthood/Senior (55+)")</f>
        <v>4. Mature Adulthood (45-54)</v>
      </c>
      <c r="D2929" t="s">
        <v>41</v>
      </c>
      <c r="E2929" t="s">
        <v>16</v>
      </c>
      <c r="F2929" s="4">
        <v>5.69</v>
      </c>
      <c r="G2929" s="5">
        <v>36</v>
      </c>
      <c r="H2929" t="s">
        <v>23</v>
      </c>
      <c r="I2929" t="s">
        <v>18</v>
      </c>
      <c r="J2929" s="6">
        <v>8.99</v>
      </c>
      <c r="K2929">
        <v>1</v>
      </c>
      <c r="L2929" t="s">
        <v>43</v>
      </c>
      <c r="M2929" s="5">
        <v>3</v>
      </c>
      <c r="N2929" s="4">
        <v>0.15</v>
      </c>
      <c r="O2929" t="s">
        <v>34</v>
      </c>
    </row>
    <row r="2930" spans="1:15" x14ac:dyDescent="0.3">
      <c r="A2930" t="s">
        <v>2073</v>
      </c>
      <c r="B2930" s="5">
        <v>54</v>
      </c>
      <c r="C2930" s="5" t="str" cm="1">
        <f t="array" ref="C2930">_xlfn.IFS(worksheet[[#This Row],[age]]&lt;25,"1. Young Adulthood (18-24)",worksheet[[#This Row],[age]]&lt; 35,"2. Early Adulthood (25-34)",worksheet[[#This Row],[age]]&lt; 45,"3. Mid Adulthood (35-44)",worksheet[[#This Row],[age]]&lt; 55,"4. Mature Adulthood (45-54)",TRUE,"5. Late Adulthood/Senior (55+)")</f>
        <v>4. Mature Adulthood (45-54)</v>
      </c>
      <c r="D2930" t="s">
        <v>15</v>
      </c>
      <c r="E2930" t="s">
        <v>32</v>
      </c>
      <c r="F2930" s="4">
        <v>3.66</v>
      </c>
      <c r="G2930" s="5">
        <v>40</v>
      </c>
      <c r="H2930" t="s">
        <v>33</v>
      </c>
      <c r="I2930" t="s">
        <v>18</v>
      </c>
      <c r="J2930" s="6">
        <v>17.989999999999998</v>
      </c>
      <c r="K2930">
        <v>1</v>
      </c>
      <c r="L2930" t="s">
        <v>19</v>
      </c>
      <c r="M2930" s="5">
        <v>1</v>
      </c>
      <c r="N2930" s="4">
        <v>0.09</v>
      </c>
      <c r="O2930" t="s">
        <v>52</v>
      </c>
    </row>
    <row r="2931" spans="1:15" x14ac:dyDescent="0.3">
      <c r="A2931" t="s">
        <v>2074</v>
      </c>
      <c r="B2931" s="5">
        <v>48</v>
      </c>
      <c r="C2931" s="5" t="str" cm="1">
        <f t="array" ref="C2931">_xlfn.IFS(worksheet[[#This Row],[age]]&lt;25,"1. Young Adulthood (18-24)",worksheet[[#This Row],[age]]&lt; 35,"2. Early Adulthood (25-34)",worksheet[[#This Row],[age]]&lt; 45,"3. Mid Adulthood (35-44)",worksheet[[#This Row],[age]]&lt; 55,"4. Mature Adulthood (45-54)",TRUE,"5. Late Adulthood/Senior (55+)")</f>
        <v>4. Mature Adulthood (45-54)</v>
      </c>
      <c r="D2931" t="s">
        <v>41</v>
      </c>
      <c r="E2931" t="s">
        <v>32</v>
      </c>
      <c r="F2931" s="4">
        <v>7.86</v>
      </c>
      <c r="G2931" s="5">
        <v>40</v>
      </c>
      <c r="H2931" t="s">
        <v>33</v>
      </c>
      <c r="I2931" t="s">
        <v>55</v>
      </c>
      <c r="J2931" s="6">
        <v>17.989999999999998</v>
      </c>
      <c r="K2931">
        <v>1</v>
      </c>
      <c r="L2931" t="s">
        <v>29</v>
      </c>
      <c r="M2931" s="5">
        <v>3</v>
      </c>
      <c r="N2931" s="4">
        <v>0.19</v>
      </c>
      <c r="O2931" t="s">
        <v>34</v>
      </c>
    </row>
    <row r="2932" spans="1:15" x14ac:dyDescent="0.3">
      <c r="A2932" t="s">
        <v>2076</v>
      </c>
      <c r="B2932" s="5">
        <v>48</v>
      </c>
      <c r="C2932" s="5" t="str" cm="1">
        <f t="array" ref="C2932">_xlfn.IFS(worksheet[[#This Row],[age]]&lt;25,"1. Young Adulthood (18-24)",worksheet[[#This Row],[age]]&lt; 35,"2. Early Adulthood (25-34)",worksheet[[#This Row],[age]]&lt; 45,"3. Mid Adulthood (35-44)",worksheet[[#This Row],[age]]&lt; 55,"4. Mature Adulthood (45-54)",TRUE,"5. Late Adulthood/Senior (55+)")</f>
        <v>4. Mature Adulthood (45-54)</v>
      </c>
      <c r="D2932" t="s">
        <v>15</v>
      </c>
      <c r="E2932" t="s">
        <v>22</v>
      </c>
      <c r="F2932" s="4">
        <v>6.66</v>
      </c>
      <c r="G2932" s="5">
        <v>34</v>
      </c>
      <c r="H2932" t="s">
        <v>49</v>
      </c>
      <c r="I2932" t="s">
        <v>55</v>
      </c>
      <c r="J2932" s="6">
        <v>13.99</v>
      </c>
      <c r="K2932">
        <v>0</v>
      </c>
      <c r="L2932" t="s">
        <v>37</v>
      </c>
      <c r="M2932" s="5">
        <v>5</v>
      </c>
      <c r="N2932" s="4">
        <v>0.19</v>
      </c>
      <c r="O2932" t="s">
        <v>34</v>
      </c>
    </row>
    <row r="2933" spans="1:15" x14ac:dyDescent="0.3">
      <c r="A2933" t="s">
        <v>2079</v>
      </c>
      <c r="B2933" s="5">
        <v>47</v>
      </c>
      <c r="C2933" s="5" t="str" cm="1">
        <f t="array" ref="C2933">_xlfn.IFS(worksheet[[#This Row],[age]]&lt;25,"1. Young Adulthood (18-24)",worksheet[[#This Row],[age]]&lt; 35,"2. Early Adulthood (25-34)",worksheet[[#This Row],[age]]&lt; 45,"3. Mid Adulthood (35-44)",worksheet[[#This Row],[age]]&lt; 55,"4. Mature Adulthood (45-54)",TRUE,"5. Late Adulthood/Senior (55+)")</f>
        <v>4. Mature Adulthood (45-54)</v>
      </c>
      <c r="D2933" t="s">
        <v>41</v>
      </c>
      <c r="E2933" t="s">
        <v>32</v>
      </c>
      <c r="F2933" s="4">
        <v>7.22</v>
      </c>
      <c r="G2933" s="5">
        <v>38</v>
      </c>
      <c r="H2933" t="s">
        <v>23</v>
      </c>
      <c r="I2933" t="s">
        <v>55</v>
      </c>
      <c r="J2933" s="6">
        <v>17.989999999999998</v>
      </c>
      <c r="K2933">
        <v>1</v>
      </c>
      <c r="L2933" t="s">
        <v>61</v>
      </c>
      <c r="M2933" s="5">
        <v>2</v>
      </c>
      <c r="N2933" s="4">
        <v>0.19</v>
      </c>
      <c r="O2933" t="s">
        <v>30</v>
      </c>
    </row>
    <row r="2934" spans="1:15" x14ac:dyDescent="0.3">
      <c r="A2934" t="s">
        <v>2082</v>
      </c>
      <c r="B2934" s="5">
        <v>48</v>
      </c>
      <c r="C2934" s="5" t="str" cm="1">
        <f t="array" ref="C2934">_xlfn.IFS(worksheet[[#This Row],[age]]&lt;25,"1. Young Adulthood (18-24)",worksheet[[#This Row],[age]]&lt; 35,"2. Early Adulthood (25-34)",worksheet[[#This Row],[age]]&lt; 45,"3. Mid Adulthood (35-44)",worksheet[[#This Row],[age]]&lt; 55,"4. Mature Adulthood (45-54)",TRUE,"5. Late Adulthood/Senior (55+)")</f>
        <v>4. Mature Adulthood (45-54)</v>
      </c>
      <c r="D2934" t="s">
        <v>27</v>
      </c>
      <c r="E2934" t="s">
        <v>16</v>
      </c>
      <c r="F2934" s="4">
        <v>22.06</v>
      </c>
      <c r="G2934" s="5">
        <v>47</v>
      </c>
      <c r="H2934" t="s">
        <v>17</v>
      </c>
      <c r="I2934" t="s">
        <v>55</v>
      </c>
      <c r="J2934" s="6">
        <v>8.99</v>
      </c>
      <c r="K2934">
        <v>1</v>
      </c>
      <c r="L2934" t="s">
        <v>29</v>
      </c>
      <c r="M2934" s="5">
        <v>1</v>
      </c>
      <c r="N2934" s="4">
        <v>0.46</v>
      </c>
      <c r="O2934" t="s">
        <v>25</v>
      </c>
    </row>
    <row r="2935" spans="1:15" x14ac:dyDescent="0.3">
      <c r="A2935" t="s">
        <v>2085</v>
      </c>
      <c r="B2935" s="5">
        <v>48</v>
      </c>
      <c r="C2935" s="5" t="str" cm="1">
        <f t="array" ref="C2935">_xlfn.IFS(worksheet[[#This Row],[age]]&lt;25,"1. Young Adulthood (18-24)",worksheet[[#This Row],[age]]&lt; 35,"2. Early Adulthood (25-34)",worksheet[[#This Row],[age]]&lt; 45,"3. Mid Adulthood (35-44)",worksheet[[#This Row],[age]]&lt; 55,"4. Mature Adulthood (45-54)",TRUE,"5. Late Adulthood/Senior (55+)")</f>
        <v>4. Mature Adulthood (45-54)</v>
      </c>
      <c r="D2935" t="s">
        <v>41</v>
      </c>
      <c r="E2935" t="s">
        <v>22</v>
      </c>
      <c r="F2935" s="4">
        <v>1.93</v>
      </c>
      <c r="G2935" s="5">
        <v>50</v>
      </c>
      <c r="H2935" t="s">
        <v>28</v>
      </c>
      <c r="I2935" t="s">
        <v>18</v>
      </c>
      <c r="J2935" s="6">
        <v>13.99</v>
      </c>
      <c r="K2935">
        <v>1</v>
      </c>
      <c r="L2935" t="s">
        <v>19</v>
      </c>
      <c r="M2935" s="5">
        <v>4</v>
      </c>
      <c r="N2935" s="4">
        <v>0.04</v>
      </c>
      <c r="O2935" t="s">
        <v>30</v>
      </c>
    </row>
    <row r="2936" spans="1:15" x14ac:dyDescent="0.3">
      <c r="A2936" t="s">
        <v>2086</v>
      </c>
      <c r="B2936" s="5">
        <v>46</v>
      </c>
      <c r="C2936" s="5" t="str" cm="1">
        <f t="array" ref="C2936">_xlfn.IFS(worksheet[[#This Row],[age]]&lt;25,"1. Young Adulthood (18-24)",worksheet[[#This Row],[age]]&lt; 35,"2. Early Adulthood (25-34)",worksheet[[#This Row],[age]]&lt; 45,"3. Mid Adulthood (35-44)",worksheet[[#This Row],[age]]&lt; 55,"4. Mature Adulthood (45-54)",TRUE,"5. Late Adulthood/Senior (55+)")</f>
        <v>4. Mature Adulthood (45-54)</v>
      </c>
      <c r="D2936" t="s">
        <v>15</v>
      </c>
      <c r="E2936" t="s">
        <v>16</v>
      </c>
      <c r="F2936" s="4">
        <v>9.61</v>
      </c>
      <c r="G2936" s="5">
        <v>15</v>
      </c>
      <c r="H2936" t="s">
        <v>33</v>
      </c>
      <c r="I2936" t="s">
        <v>57</v>
      </c>
      <c r="J2936" s="6">
        <v>8.99</v>
      </c>
      <c r="K2936">
        <v>0</v>
      </c>
      <c r="L2936" t="s">
        <v>43</v>
      </c>
      <c r="M2936" s="5">
        <v>1</v>
      </c>
      <c r="N2936" s="4">
        <v>0.6</v>
      </c>
      <c r="O2936" t="s">
        <v>47</v>
      </c>
    </row>
    <row r="2937" spans="1:15" x14ac:dyDescent="0.3">
      <c r="A2937" t="s">
        <v>2098</v>
      </c>
      <c r="B2937" s="5">
        <v>51</v>
      </c>
      <c r="C2937" s="5" t="str" cm="1">
        <f t="array" ref="C2937">_xlfn.IFS(worksheet[[#This Row],[age]]&lt;25,"1. Young Adulthood (18-24)",worksheet[[#This Row],[age]]&lt; 35,"2. Early Adulthood (25-34)",worksheet[[#This Row],[age]]&lt; 45,"3. Mid Adulthood (35-44)",worksheet[[#This Row],[age]]&lt; 55,"4. Mature Adulthood (45-54)",TRUE,"5. Late Adulthood/Senior (55+)")</f>
        <v>4. Mature Adulthood (45-54)</v>
      </c>
      <c r="D2937" t="s">
        <v>41</v>
      </c>
      <c r="E2937" t="s">
        <v>32</v>
      </c>
      <c r="F2937" s="4">
        <v>26.92</v>
      </c>
      <c r="G2937" s="5">
        <v>24</v>
      </c>
      <c r="H2937" t="s">
        <v>70</v>
      </c>
      <c r="I2937" t="s">
        <v>57</v>
      </c>
      <c r="J2937" s="6">
        <v>17.989999999999998</v>
      </c>
      <c r="K2937">
        <v>0</v>
      </c>
      <c r="L2937" t="s">
        <v>43</v>
      </c>
      <c r="M2937" s="5">
        <v>1</v>
      </c>
      <c r="N2937" s="4">
        <v>1.08</v>
      </c>
      <c r="O2937" t="s">
        <v>30</v>
      </c>
    </row>
    <row r="2938" spans="1:15" x14ac:dyDescent="0.3">
      <c r="A2938" t="s">
        <v>2101</v>
      </c>
      <c r="B2938" s="5">
        <v>54</v>
      </c>
      <c r="C2938" s="5" t="str" cm="1">
        <f t="array" ref="C2938">_xlfn.IFS(worksheet[[#This Row],[age]]&lt;25,"1. Young Adulthood (18-24)",worksheet[[#This Row],[age]]&lt; 35,"2. Early Adulthood (25-34)",worksheet[[#This Row],[age]]&lt; 45,"3. Mid Adulthood (35-44)",worksheet[[#This Row],[age]]&lt; 55,"4. Mature Adulthood (45-54)",TRUE,"5. Late Adulthood/Senior (55+)")</f>
        <v>4. Mature Adulthood (45-54)</v>
      </c>
      <c r="D2938" t="s">
        <v>41</v>
      </c>
      <c r="E2938" t="s">
        <v>16</v>
      </c>
      <c r="F2938" s="4">
        <v>2.54</v>
      </c>
      <c r="G2938" s="5">
        <v>52</v>
      </c>
      <c r="H2938" t="s">
        <v>23</v>
      </c>
      <c r="I2938" t="s">
        <v>46</v>
      </c>
      <c r="J2938" s="6">
        <v>8.99</v>
      </c>
      <c r="K2938">
        <v>1</v>
      </c>
      <c r="L2938" t="s">
        <v>43</v>
      </c>
      <c r="M2938" s="5">
        <v>4</v>
      </c>
      <c r="N2938" s="4">
        <v>0.05</v>
      </c>
      <c r="O2938" t="s">
        <v>39</v>
      </c>
    </row>
    <row r="2939" spans="1:15" x14ac:dyDescent="0.3">
      <c r="A2939" t="s">
        <v>2107</v>
      </c>
      <c r="B2939" s="5">
        <v>47</v>
      </c>
      <c r="C2939" s="5" t="str" cm="1">
        <f t="array" ref="C2939">_xlfn.IFS(worksheet[[#This Row],[age]]&lt;25,"1. Young Adulthood (18-24)",worksheet[[#This Row],[age]]&lt; 35,"2. Early Adulthood (25-34)",worksheet[[#This Row],[age]]&lt; 45,"3. Mid Adulthood (35-44)",worksheet[[#This Row],[age]]&lt; 55,"4. Mature Adulthood (45-54)",TRUE,"5. Late Adulthood/Senior (55+)")</f>
        <v>4. Mature Adulthood (45-54)</v>
      </c>
      <c r="D2939" t="s">
        <v>41</v>
      </c>
      <c r="E2939" t="s">
        <v>32</v>
      </c>
      <c r="F2939" s="4">
        <v>2.11</v>
      </c>
      <c r="G2939" s="5">
        <v>58</v>
      </c>
      <c r="H2939" t="s">
        <v>33</v>
      </c>
      <c r="I2939" t="s">
        <v>57</v>
      </c>
      <c r="J2939" s="6">
        <v>17.989999999999998</v>
      </c>
      <c r="K2939">
        <v>1</v>
      </c>
      <c r="L2939" t="s">
        <v>19</v>
      </c>
      <c r="M2939" s="5">
        <v>2</v>
      </c>
      <c r="N2939" s="4">
        <v>0.04</v>
      </c>
      <c r="O2939" t="s">
        <v>34</v>
      </c>
    </row>
    <row r="2940" spans="1:15" x14ac:dyDescent="0.3">
      <c r="A2940" t="s">
        <v>2109</v>
      </c>
      <c r="B2940" s="5">
        <v>52</v>
      </c>
      <c r="C2940" s="5" t="str" cm="1">
        <f t="array" ref="C2940">_xlfn.IFS(worksheet[[#This Row],[age]]&lt;25,"1. Young Adulthood (18-24)",worksheet[[#This Row],[age]]&lt; 35,"2. Early Adulthood (25-34)",worksheet[[#This Row],[age]]&lt; 45,"3. Mid Adulthood (35-44)",worksheet[[#This Row],[age]]&lt; 55,"4. Mature Adulthood (45-54)",TRUE,"5. Late Adulthood/Senior (55+)")</f>
        <v>4. Mature Adulthood (45-54)</v>
      </c>
      <c r="D2940" t="s">
        <v>41</v>
      </c>
      <c r="E2940" t="s">
        <v>16</v>
      </c>
      <c r="F2940" s="4">
        <v>27.37</v>
      </c>
      <c r="G2940" s="5">
        <v>12</v>
      </c>
      <c r="H2940" t="s">
        <v>49</v>
      </c>
      <c r="I2940" t="s">
        <v>18</v>
      </c>
      <c r="J2940" s="6">
        <v>8.99</v>
      </c>
      <c r="K2940">
        <v>0</v>
      </c>
      <c r="L2940" t="s">
        <v>61</v>
      </c>
      <c r="M2940" s="5">
        <v>2</v>
      </c>
      <c r="N2940" s="4">
        <v>2.11</v>
      </c>
      <c r="O2940" t="s">
        <v>39</v>
      </c>
    </row>
    <row r="2941" spans="1:15" x14ac:dyDescent="0.3">
      <c r="A2941" t="s">
        <v>2111</v>
      </c>
      <c r="B2941" s="5">
        <v>47</v>
      </c>
      <c r="C2941" s="5" t="str" cm="1">
        <f t="array" ref="C2941">_xlfn.IFS(worksheet[[#This Row],[age]]&lt;25,"1. Young Adulthood (18-24)",worksheet[[#This Row],[age]]&lt; 35,"2. Early Adulthood (25-34)",worksheet[[#This Row],[age]]&lt; 45,"3. Mid Adulthood (35-44)",worksheet[[#This Row],[age]]&lt; 55,"4. Mature Adulthood (45-54)",TRUE,"5. Late Adulthood/Senior (55+)")</f>
        <v>4. Mature Adulthood (45-54)</v>
      </c>
      <c r="D2941" t="s">
        <v>15</v>
      </c>
      <c r="E2941" t="s">
        <v>16</v>
      </c>
      <c r="F2941" s="4">
        <v>14.8</v>
      </c>
      <c r="G2941" s="5">
        <v>19</v>
      </c>
      <c r="H2941" t="s">
        <v>23</v>
      </c>
      <c r="I2941" t="s">
        <v>24</v>
      </c>
      <c r="J2941" s="6">
        <v>8.99</v>
      </c>
      <c r="K2941">
        <v>0</v>
      </c>
      <c r="L2941" t="s">
        <v>61</v>
      </c>
      <c r="M2941" s="5">
        <v>2</v>
      </c>
      <c r="N2941" s="4">
        <v>0.74</v>
      </c>
      <c r="O2941" t="s">
        <v>39</v>
      </c>
    </row>
    <row r="2942" spans="1:15" x14ac:dyDescent="0.3">
      <c r="A2942" t="s">
        <v>2112</v>
      </c>
      <c r="B2942" s="5">
        <v>45</v>
      </c>
      <c r="C2942" s="5" t="str" cm="1">
        <f t="array" ref="C2942">_xlfn.IFS(worksheet[[#This Row],[age]]&lt;25,"1. Young Adulthood (18-24)",worksheet[[#This Row],[age]]&lt; 35,"2. Early Adulthood (25-34)",worksheet[[#This Row],[age]]&lt; 45,"3. Mid Adulthood (35-44)",worksheet[[#This Row],[age]]&lt; 55,"4. Mature Adulthood (45-54)",TRUE,"5. Late Adulthood/Senior (55+)")</f>
        <v>4. Mature Adulthood (45-54)</v>
      </c>
      <c r="D2942" t="s">
        <v>27</v>
      </c>
      <c r="E2942" t="s">
        <v>32</v>
      </c>
      <c r="F2942" s="4">
        <v>3.91</v>
      </c>
      <c r="G2942" s="5">
        <v>44</v>
      </c>
      <c r="H2942" t="s">
        <v>17</v>
      </c>
      <c r="I2942" t="s">
        <v>55</v>
      </c>
      <c r="J2942" s="6">
        <v>17.989999999999998</v>
      </c>
      <c r="K2942">
        <v>1</v>
      </c>
      <c r="L2942" t="s">
        <v>61</v>
      </c>
      <c r="M2942" s="5">
        <v>3</v>
      </c>
      <c r="N2942" s="4">
        <v>0.09</v>
      </c>
      <c r="O2942" t="s">
        <v>47</v>
      </c>
    </row>
    <row r="2943" spans="1:15" x14ac:dyDescent="0.3">
      <c r="A2943" t="s">
        <v>2114</v>
      </c>
      <c r="B2943" s="5">
        <v>46</v>
      </c>
      <c r="C2943" s="5" t="str" cm="1">
        <f t="array" ref="C2943">_xlfn.IFS(worksheet[[#This Row],[age]]&lt;25,"1. Young Adulthood (18-24)",worksheet[[#This Row],[age]]&lt; 35,"2. Early Adulthood (25-34)",worksheet[[#This Row],[age]]&lt; 45,"3. Mid Adulthood (35-44)",worksheet[[#This Row],[age]]&lt; 55,"4. Mature Adulthood (45-54)",TRUE,"5. Late Adulthood/Senior (55+)")</f>
        <v>4. Mature Adulthood (45-54)</v>
      </c>
      <c r="D2943" t="s">
        <v>15</v>
      </c>
      <c r="E2943" t="s">
        <v>22</v>
      </c>
      <c r="F2943" s="4">
        <v>16.079999999999998</v>
      </c>
      <c r="G2943" s="5">
        <v>40</v>
      </c>
      <c r="H2943" t="s">
        <v>33</v>
      </c>
      <c r="I2943" t="s">
        <v>55</v>
      </c>
      <c r="J2943" s="6">
        <v>13.99</v>
      </c>
      <c r="K2943">
        <v>1</v>
      </c>
      <c r="L2943" t="s">
        <v>29</v>
      </c>
      <c r="M2943" s="5">
        <v>3</v>
      </c>
      <c r="N2943" s="4">
        <v>0.39</v>
      </c>
      <c r="O2943" t="s">
        <v>20</v>
      </c>
    </row>
    <row r="2944" spans="1:15" x14ac:dyDescent="0.3">
      <c r="A2944" t="s">
        <v>2127</v>
      </c>
      <c r="B2944" s="5">
        <v>51</v>
      </c>
      <c r="C2944" s="5" t="str" cm="1">
        <f t="array" ref="C2944">_xlfn.IFS(worksheet[[#This Row],[age]]&lt;25,"1. Young Adulthood (18-24)",worksheet[[#This Row],[age]]&lt; 35,"2. Early Adulthood (25-34)",worksheet[[#This Row],[age]]&lt; 45,"3. Mid Adulthood (35-44)",worksheet[[#This Row],[age]]&lt; 55,"4. Mature Adulthood (45-54)",TRUE,"5. Late Adulthood/Senior (55+)")</f>
        <v>4. Mature Adulthood (45-54)</v>
      </c>
      <c r="D2944" t="s">
        <v>41</v>
      </c>
      <c r="E2944" t="s">
        <v>22</v>
      </c>
      <c r="F2944" s="4">
        <v>8.6300000000000008</v>
      </c>
      <c r="G2944" s="5">
        <v>23</v>
      </c>
      <c r="H2944" t="s">
        <v>33</v>
      </c>
      <c r="I2944" t="s">
        <v>57</v>
      </c>
      <c r="J2944" s="6">
        <v>13.99</v>
      </c>
      <c r="K2944">
        <v>0</v>
      </c>
      <c r="L2944" t="s">
        <v>37</v>
      </c>
      <c r="M2944" s="5">
        <v>1</v>
      </c>
      <c r="N2944" s="4">
        <v>0.36</v>
      </c>
      <c r="O2944" t="s">
        <v>30</v>
      </c>
    </row>
    <row r="2945" spans="1:15" x14ac:dyDescent="0.3">
      <c r="A2945" t="s">
        <v>2133</v>
      </c>
      <c r="B2945" s="5">
        <v>51</v>
      </c>
      <c r="C2945" s="5" t="str" cm="1">
        <f t="array" ref="C2945">_xlfn.IFS(worksheet[[#This Row],[age]]&lt;25,"1. Young Adulthood (18-24)",worksheet[[#This Row],[age]]&lt; 35,"2. Early Adulthood (25-34)",worksheet[[#This Row],[age]]&lt; 45,"3. Mid Adulthood (35-44)",worksheet[[#This Row],[age]]&lt; 55,"4. Mature Adulthood (45-54)",TRUE,"5. Late Adulthood/Senior (55+)")</f>
        <v>4. Mature Adulthood (45-54)</v>
      </c>
      <c r="D2945" t="s">
        <v>15</v>
      </c>
      <c r="E2945" t="s">
        <v>22</v>
      </c>
      <c r="F2945" s="4">
        <v>4.9800000000000004</v>
      </c>
      <c r="G2945" s="5">
        <v>28</v>
      </c>
      <c r="H2945" t="s">
        <v>49</v>
      </c>
      <c r="I2945" t="s">
        <v>57</v>
      </c>
      <c r="J2945" s="6">
        <v>13.99</v>
      </c>
      <c r="K2945">
        <v>1</v>
      </c>
      <c r="L2945" t="s">
        <v>19</v>
      </c>
      <c r="M2945" s="5">
        <v>5</v>
      </c>
      <c r="N2945" s="4">
        <v>0.17</v>
      </c>
      <c r="O2945" t="s">
        <v>25</v>
      </c>
    </row>
    <row r="2946" spans="1:15" x14ac:dyDescent="0.3">
      <c r="A2946" t="s">
        <v>2145</v>
      </c>
      <c r="B2946" s="5">
        <v>45</v>
      </c>
      <c r="C2946" s="5" t="str" cm="1">
        <f t="array" ref="C2946">_xlfn.IFS(worksheet[[#This Row],[age]]&lt;25,"1. Young Adulthood (18-24)",worksheet[[#This Row],[age]]&lt; 35,"2. Early Adulthood (25-34)",worksheet[[#This Row],[age]]&lt; 45,"3. Mid Adulthood (35-44)",worksheet[[#This Row],[age]]&lt; 55,"4. Mature Adulthood (45-54)",TRUE,"5. Late Adulthood/Senior (55+)")</f>
        <v>4. Mature Adulthood (45-54)</v>
      </c>
      <c r="D2946" t="s">
        <v>41</v>
      </c>
      <c r="E2946" t="s">
        <v>32</v>
      </c>
      <c r="F2946" s="4">
        <v>2.7</v>
      </c>
      <c r="G2946" s="5">
        <v>2</v>
      </c>
      <c r="H2946" t="s">
        <v>23</v>
      </c>
      <c r="I2946" t="s">
        <v>18</v>
      </c>
      <c r="J2946" s="6">
        <v>17.989999999999998</v>
      </c>
      <c r="K2946">
        <v>0</v>
      </c>
      <c r="L2946" t="s">
        <v>61</v>
      </c>
      <c r="M2946" s="5">
        <v>4</v>
      </c>
      <c r="N2946" s="4">
        <v>0.9</v>
      </c>
      <c r="O2946" t="s">
        <v>25</v>
      </c>
    </row>
    <row r="2947" spans="1:15" x14ac:dyDescent="0.3">
      <c r="A2947" t="s">
        <v>2158</v>
      </c>
      <c r="B2947" s="5">
        <v>49</v>
      </c>
      <c r="C2947" s="5" t="str" cm="1">
        <f t="array" ref="C2947">_xlfn.IFS(worksheet[[#This Row],[age]]&lt;25,"1. Young Adulthood (18-24)",worksheet[[#This Row],[age]]&lt; 35,"2. Early Adulthood (25-34)",worksheet[[#This Row],[age]]&lt; 45,"3. Mid Adulthood (35-44)",worksheet[[#This Row],[age]]&lt; 55,"4. Mature Adulthood (45-54)",TRUE,"5. Late Adulthood/Senior (55+)")</f>
        <v>4. Mature Adulthood (45-54)</v>
      </c>
      <c r="D2947" t="s">
        <v>27</v>
      </c>
      <c r="E2947" t="s">
        <v>16</v>
      </c>
      <c r="F2947" s="4">
        <v>17.05</v>
      </c>
      <c r="G2947" s="5">
        <v>16</v>
      </c>
      <c r="H2947" t="s">
        <v>23</v>
      </c>
      <c r="I2947" t="s">
        <v>46</v>
      </c>
      <c r="J2947" s="6">
        <v>8.99</v>
      </c>
      <c r="K2947">
        <v>0</v>
      </c>
      <c r="L2947" t="s">
        <v>43</v>
      </c>
      <c r="M2947" s="5">
        <v>4</v>
      </c>
      <c r="N2947" s="4">
        <v>1</v>
      </c>
      <c r="O2947" t="s">
        <v>34</v>
      </c>
    </row>
    <row r="2948" spans="1:15" x14ac:dyDescent="0.3">
      <c r="A2948" t="s">
        <v>2162</v>
      </c>
      <c r="B2948" s="5">
        <v>48</v>
      </c>
      <c r="C2948" s="5" t="str" cm="1">
        <f t="array" ref="C2948">_xlfn.IFS(worksheet[[#This Row],[age]]&lt;25,"1. Young Adulthood (18-24)",worksheet[[#This Row],[age]]&lt; 35,"2. Early Adulthood (25-34)",worksheet[[#This Row],[age]]&lt; 45,"3. Mid Adulthood (35-44)",worksheet[[#This Row],[age]]&lt; 55,"4. Mature Adulthood (45-54)",TRUE,"5. Late Adulthood/Senior (55+)")</f>
        <v>4. Mature Adulthood (45-54)</v>
      </c>
      <c r="D2948" t="s">
        <v>41</v>
      </c>
      <c r="E2948" t="s">
        <v>22</v>
      </c>
      <c r="F2948" s="4">
        <v>5.33</v>
      </c>
      <c r="G2948" s="5">
        <v>31</v>
      </c>
      <c r="H2948" t="s">
        <v>70</v>
      </c>
      <c r="I2948" t="s">
        <v>57</v>
      </c>
      <c r="J2948" s="6">
        <v>13.99</v>
      </c>
      <c r="K2948">
        <v>1</v>
      </c>
      <c r="L2948" t="s">
        <v>29</v>
      </c>
      <c r="M2948" s="5">
        <v>3</v>
      </c>
      <c r="N2948" s="4">
        <v>0.17</v>
      </c>
      <c r="O2948" t="s">
        <v>52</v>
      </c>
    </row>
    <row r="2949" spans="1:15" x14ac:dyDescent="0.3">
      <c r="A2949" t="s">
        <v>2170</v>
      </c>
      <c r="B2949" s="5">
        <v>50</v>
      </c>
      <c r="C2949" s="5" t="str" cm="1">
        <f t="array" ref="C2949">_xlfn.IFS(worksheet[[#This Row],[age]]&lt;25,"1. Young Adulthood (18-24)",worksheet[[#This Row],[age]]&lt; 35,"2. Early Adulthood (25-34)",worksheet[[#This Row],[age]]&lt; 45,"3. Mid Adulthood (35-44)",worksheet[[#This Row],[age]]&lt; 55,"4. Mature Adulthood (45-54)",TRUE,"5. Late Adulthood/Senior (55+)")</f>
        <v>4. Mature Adulthood (45-54)</v>
      </c>
      <c r="D2949" t="s">
        <v>41</v>
      </c>
      <c r="E2949" t="s">
        <v>32</v>
      </c>
      <c r="F2949" s="4">
        <v>7.18</v>
      </c>
      <c r="G2949" s="5">
        <v>23</v>
      </c>
      <c r="H2949" t="s">
        <v>70</v>
      </c>
      <c r="I2949" t="s">
        <v>18</v>
      </c>
      <c r="J2949" s="6">
        <v>17.989999999999998</v>
      </c>
      <c r="K2949">
        <v>0</v>
      </c>
      <c r="L2949" t="s">
        <v>61</v>
      </c>
      <c r="M2949" s="5">
        <v>3</v>
      </c>
      <c r="N2949" s="4">
        <v>0.3</v>
      </c>
      <c r="O2949" t="s">
        <v>20</v>
      </c>
    </row>
    <row r="2950" spans="1:15" x14ac:dyDescent="0.3">
      <c r="A2950" t="s">
        <v>2173</v>
      </c>
      <c r="B2950" s="5">
        <v>48</v>
      </c>
      <c r="C2950" s="5" t="str" cm="1">
        <f t="array" ref="C2950">_xlfn.IFS(worksheet[[#This Row],[age]]&lt;25,"1. Young Adulthood (18-24)",worksheet[[#This Row],[age]]&lt; 35,"2. Early Adulthood (25-34)",worksheet[[#This Row],[age]]&lt; 45,"3. Mid Adulthood (35-44)",worksheet[[#This Row],[age]]&lt; 55,"4. Mature Adulthood (45-54)",TRUE,"5. Late Adulthood/Senior (55+)")</f>
        <v>4. Mature Adulthood (45-54)</v>
      </c>
      <c r="D2950" t="s">
        <v>15</v>
      </c>
      <c r="E2950" t="s">
        <v>32</v>
      </c>
      <c r="F2950" s="4">
        <v>1.67</v>
      </c>
      <c r="G2950" s="5">
        <v>14</v>
      </c>
      <c r="H2950" t="s">
        <v>28</v>
      </c>
      <c r="I2950" t="s">
        <v>46</v>
      </c>
      <c r="J2950" s="6">
        <v>17.989999999999998</v>
      </c>
      <c r="K2950">
        <v>1</v>
      </c>
      <c r="L2950" t="s">
        <v>19</v>
      </c>
      <c r="M2950" s="5">
        <v>3</v>
      </c>
      <c r="N2950" s="4">
        <v>0.11</v>
      </c>
      <c r="O2950" t="s">
        <v>25</v>
      </c>
    </row>
    <row r="2951" spans="1:15" x14ac:dyDescent="0.3">
      <c r="A2951" t="s">
        <v>2183</v>
      </c>
      <c r="B2951" s="5">
        <v>52</v>
      </c>
      <c r="C2951" s="5" t="str" cm="1">
        <f t="array" ref="C2951">_xlfn.IFS(worksheet[[#This Row],[age]]&lt;25,"1. Young Adulthood (18-24)",worksheet[[#This Row],[age]]&lt; 35,"2. Early Adulthood (25-34)",worksheet[[#This Row],[age]]&lt; 45,"3. Mid Adulthood (35-44)",worksheet[[#This Row],[age]]&lt; 55,"4. Mature Adulthood (45-54)",TRUE,"5. Late Adulthood/Senior (55+)")</f>
        <v>4. Mature Adulthood (45-54)</v>
      </c>
      <c r="D2951" t="s">
        <v>41</v>
      </c>
      <c r="E2951" t="s">
        <v>32</v>
      </c>
      <c r="F2951" s="4">
        <v>10.6</v>
      </c>
      <c r="G2951" s="5">
        <v>38</v>
      </c>
      <c r="H2951" t="s">
        <v>17</v>
      </c>
      <c r="I2951" t="s">
        <v>55</v>
      </c>
      <c r="J2951" s="6">
        <v>17.989999999999998</v>
      </c>
      <c r="K2951">
        <v>0</v>
      </c>
      <c r="L2951" t="s">
        <v>61</v>
      </c>
      <c r="M2951" s="5">
        <v>4</v>
      </c>
      <c r="N2951" s="4">
        <v>0.27</v>
      </c>
      <c r="O2951" t="s">
        <v>39</v>
      </c>
    </row>
    <row r="2952" spans="1:15" x14ac:dyDescent="0.3">
      <c r="A2952" t="s">
        <v>2184</v>
      </c>
      <c r="B2952" s="5">
        <v>45</v>
      </c>
      <c r="C2952" s="5" t="str" cm="1">
        <f t="array" ref="C2952">_xlfn.IFS(worksheet[[#This Row],[age]]&lt;25,"1. Young Adulthood (18-24)",worksheet[[#This Row],[age]]&lt; 35,"2. Early Adulthood (25-34)",worksheet[[#This Row],[age]]&lt; 45,"3. Mid Adulthood (35-44)",worksheet[[#This Row],[age]]&lt; 55,"4. Mature Adulthood (45-54)",TRUE,"5. Late Adulthood/Senior (55+)")</f>
        <v>4. Mature Adulthood (45-54)</v>
      </c>
      <c r="D2952" t="s">
        <v>41</v>
      </c>
      <c r="E2952" t="s">
        <v>32</v>
      </c>
      <c r="F2952" s="4">
        <v>14</v>
      </c>
      <c r="G2952" s="5">
        <v>33</v>
      </c>
      <c r="H2952" t="s">
        <v>70</v>
      </c>
      <c r="I2952" t="s">
        <v>18</v>
      </c>
      <c r="J2952" s="6">
        <v>17.989999999999998</v>
      </c>
      <c r="K2952">
        <v>1</v>
      </c>
      <c r="L2952" t="s">
        <v>61</v>
      </c>
      <c r="M2952" s="5">
        <v>2</v>
      </c>
      <c r="N2952" s="4">
        <v>0.41</v>
      </c>
      <c r="O2952" t="s">
        <v>34</v>
      </c>
    </row>
    <row r="2953" spans="1:15" x14ac:dyDescent="0.3">
      <c r="A2953" t="s">
        <v>2191</v>
      </c>
      <c r="B2953" s="5">
        <v>49</v>
      </c>
      <c r="C2953" s="5" t="str" cm="1">
        <f t="array" ref="C2953">_xlfn.IFS(worksheet[[#This Row],[age]]&lt;25,"1. Young Adulthood (18-24)",worksheet[[#This Row],[age]]&lt; 35,"2. Early Adulthood (25-34)",worksheet[[#This Row],[age]]&lt; 45,"3. Mid Adulthood (35-44)",worksheet[[#This Row],[age]]&lt; 55,"4. Mature Adulthood (45-54)",TRUE,"5. Late Adulthood/Senior (55+)")</f>
        <v>4. Mature Adulthood (45-54)</v>
      </c>
      <c r="D2953" t="s">
        <v>41</v>
      </c>
      <c r="E2953" t="s">
        <v>32</v>
      </c>
      <c r="F2953" s="4">
        <v>6.06</v>
      </c>
      <c r="G2953" s="5">
        <v>12</v>
      </c>
      <c r="H2953" t="s">
        <v>28</v>
      </c>
      <c r="I2953" t="s">
        <v>18</v>
      </c>
      <c r="J2953" s="6">
        <v>17.989999999999998</v>
      </c>
      <c r="K2953">
        <v>0</v>
      </c>
      <c r="L2953" t="s">
        <v>43</v>
      </c>
      <c r="M2953" s="5">
        <v>5</v>
      </c>
      <c r="N2953" s="4">
        <v>0.47</v>
      </c>
      <c r="O2953" t="s">
        <v>47</v>
      </c>
    </row>
    <row r="2954" spans="1:15" x14ac:dyDescent="0.3">
      <c r="A2954" t="s">
        <v>2192</v>
      </c>
      <c r="B2954" s="5">
        <v>54</v>
      </c>
      <c r="C2954" s="5" t="str" cm="1">
        <f t="array" ref="C2954">_xlfn.IFS(worksheet[[#This Row],[age]]&lt;25,"1. Young Adulthood (18-24)",worksheet[[#This Row],[age]]&lt; 35,"2. Early Adulthood (25-34)",worksheet[[#This Row],[age]]&lt; 45,"3. Mid Adulthood (35-44)",worksheet[[#This Row],[age]]&lt; 55,"4. Mature Adulthood (45-54)",TRUE,"5. Late Adulthood/Senior (55+)")</f>
        <v>4. Mature Adulthood (45-54)</v>
      </c>
      <c r="D2954" t="s">
        <v>15</v>
      </c>
      <c r="E2954" t="s">
        <v>16</v>
      </c>
      <c r="F2954" s="4">
        <v>9.44</v>
      </c>
      <c r="G2954" s="5">
        <v>36</v>
      </c>
      <c r="H2954" t="s">
        <v>49</v>
      </c>
      <c r="I2954" t="s">
        <v>57</v>
      </c>
      <c r="J2954" s="6">
        <v>8.99</v>
      </c>
      <c r="K2954">
        <v>1</v>
      </c>
      <c r="L2954" t="s">
        <v>29</v>
      </c>
      <c r="M2954" s="5">
        <v>4</v>
      </c>
      <c r="N2954" s="4">
        <v>0.26</v>
      </c>
      <c r="O2954" t="s">
        <v>47</v>
      </c>
    </row>
    <row r="2955" spans="1:15" x14ac:dyDescent="0.3">
      <c r="A2955" t="s">
        <v>2195</v>
      </c>
      <c r="B2955" s="5">
        <v>50</v>
      </c>
      <c r="C2955" s="5" t="str" cm="1">
        <f t="array" ref="C2955">_xlfn.IFS(worksheet[[#This Row],[age]]&lt;25,"1. Young Adulthood (18-24)",worksheet[[#This Row],[age]]&lt; 35,"2. Early Adulthood (25-34)",worksheet[[#This Row],[age]]&lt; 45,"3. Mid Adulthood (35-44)",worksheet[[#This Row],[age]]&lt; 55,"4. Mature Adulthood (45-54)",TRUE,"5. Late Adulthood/Senior (55+)")</f>
        <v>4. Mature Adulthood (45-54)</v>
      </c>
      <c r="D2955" t="s">
        <v>15</v>
      </c>
      <c r="E2955" t="s">
        <v>32</v>
      </c>
      <c r="F2955" s="4">
        <v>2.77</v>
      </c>
      <c r="G2955" s="5">
        <v>49</v>
      </c>
      <c r="H2955" t="s">
        <v>49</v>
      </c>
      <c r="I2955" t="s">
        <v>24</v>
      </c>
      <c r="J2955" s="6">
        <v>17.989999999999998</v>
      </c>
      <c r="K2955">
        <v>1</v>
      </c>
      <c r="L2955" t="s">
        <v>37</v>
      </c>
      <c r="M2955" s="5">
        <v>4</v>
      </c>
      <c r="N2955" s="4">
        <v>0.06</v>
      </c>
      <c r="O2955" t="s">
        <v>30</v>
      </c>
    </row>
    <row r="2956" spans="1:15" x14ac:dyDescent="0.3">
      <c r="A2956" t="s">
        <v>2196</v>
      </c>
      <c r="B2956" s="5">
        <v>49</v>
      </c>
      <c r="C2956" s="5" t="str" cm="1">
        <f t="array" ref="C2956">_xlfn.IFS(worksheet[[#This Row],[age]]&lt;25,"1. Young Adulthood (18-24)",worksheet[[#This Row],[age]]&lt; 35,"2. Early Adulthood (25-34)",worksheet[[#This Row],[age]]&lt; 45,"3. Mid Adulthood (35-44)",worksheet[[#This Row],[age]]&lt; 55,"4. Mature Adulthood (45-54)",TRUE,"5. Late Adulthood/Senior (55+)")</f>
        <v>4. Mature Adulthood (45-54)</v>
      </c>
      <c r="D2956" t="s">
        <v>15</v>
      </c>
      <c r="E2956" t="s">
        <v>16</v>
      </c>
      <c r="F2956" s="4">
        <v>3.07</v>
      </c>
      <c r="G2956" s="5">
        <v>44</v>
      </c>
      <c r="H2956" t="s">
        <v>49</v>
      </c>
      <c r="I2956" t="s">
        <v>57</v>
      </c>
      <c r="J2956" s="6">
        <v>8.99</v>
      </c>
      <c r="K2956">
        <v>1</v>
      </c>
      <c r="L2956" t="s">
        <v>29</v>
      </c>
      <c r="M2956" s="5">
        <v>1</v>
      </c>
      <c r="N2956" s="4">
        <v>7.0000000000000007E-2</v>
      </c>
      <c r="O2956" t="s">
        <v>39</v>
      </c>
    </row>
    <row r="2957" spans="1:15" x14ac:dyDescent="0.3">
      <c r="A2957" t="s">
        <v>2198</v>
      </c>
      <c r="B2957" s="5">
        <v>45</v>
      </c>
      <c r="C2957" s="5" t="str" cm="1">
        <f t="array" ref="C2957">_xlfn.IFS(worksheet[[#This Row],[age]]&lt;25,"1. Young Adulthood (18-24)",worksheet[[#This Row],[age]]&lt; 35,"2. Early Adulthood (25-34)",worksheet[[#This Row],[age]]&lt; 45,"3. Mid Adulthood (35-44)",worksheet[[#This Row],[age]]&lt; 55,"4. Mature Adulthood (45-54)",TRUE,"5. Late Adulthood/Senior (55+)")</f>
        <v>4. Mature Adulthood (45-54)</v>
      </c>
      <c r="D2957" t="s">
        <v>27</v>
      </c>
      <c r="E2957" t="s">
        <v>16</v>
      </c>
      <c r="F2957" s="4">
        <v>4.0199999999999996</v>
      </c>
      <c r="G2957" s="5">
        <v>5</v>
      </c>
      <c r="H2957" t="s">
        <v>70</v>
      </c>
      <c r="I2957" t="s">
        <v>57</v>
      </c>
      <c r="J2957" s="6">
        <v>8.99</v>
      </c>
      <c r="K2957">
        <v>1</v>
      </c>
      <c r="L2957" t="s">
        <v>43</v>
      </c>
      <c r="M2957" s="5">
        <v>1</v>
      </c>
      <c r="N2957" s="4">
        <v>0.67</v>
      </c>
      <c r="O2957" t="s">
        <v>52</v>
      </c>
    </row>
    <row r="2958" spans="1:15" x14ac:dyDescent="0.3">
      <c r="A2958" t="s">
        <v>2216</v>
      </c>
      <c r="B2958" s="5">
        <v>52</v>
      </c>
      <c r="C2958" s="5" t="str" cm="1">
        <f t="array" ref="C2958">_xlfn.IFS(worksheet[[#This Row],[age]]&lt;25,"1. Young Adulthood (18-24)",worksheet[[#This Row],[age]]&lt; 35,"2. Early Adulthood (25-34)",worksheet[[#This Row],[age]]&lt; 45,"3. Mid Adulthood (35-44)",worksheet[[#This Row],[age]]&lt; 55,"4. Mature Adulthood (45-54)",TRUE,"5. Late Adulthood/Senior (55+)")</f>
        <v>4. Mature Adulthood (45-54)</v>
      </c>
      <c r="D2958" t="s">
        <v>41</v>
      </c>
      <c r="E2958" t="s">
        <v>22</v>
      </c>
      <c r="F2958" s="4">
        <v>22.33</v>
      </c>
      <c r="G2958" s="5">
        <v>28</v>
      </c>
      <c r="H2958" t="s">
        <v>49</v>
      </c>
      <c r="I2958" t="s">
        <v>55</v>
      </c>
      <c r="J2958" s="6">
        <v>13.99</v>
      </c>
      <c r="K2958">
        <v>0</v>
      </c>
      <c r="L2958" t="s">
        <v>43</v>
      </c>
      <c r="M2958" s="5">
        <v>5</v>
      </c>
      <c r="N2958" s="4">
        <v>0.77</v>
      </c>
      <c r="O2958" t="s">
        <v>25</v>
      </c>
    </row>
    <row r="2959" spans="1:15" x14ac:dyDescent="0.3">
      <c r="A2959" t="s">
        <v>2219</v>
      </c>
      <c r="B2959" s="5">
        <v>48</v>
      </c>
      <c r="C2959" s="5" t="str" cm="1">
        <f t="array" ref="C2959">_xlfn.IFS(worksheet[[#This Row],[age]]&lt;25,"1. Young Adulthood (18-24)",worksheet[[#This Row],[age]]&lt; 35,"2. Early Adulthood (25-34)",worksheet[[#This Row],[age]]&lt; 45,"3. Mid Adulthood (35-44)",worksheet[[#This Row],[age]]&lt; 55,"4. Mature Adulthood (45-54)",TRUE,"5. Late Adulthood/Senior (55+)")</f>
        <v>4. Mature Adulthood (45-54)</v>
      </c>
      <c r="D2959" t="s">
        <v>27</v>
      </c>
      <c r="E2959" t="s">
        <v>16</v>
      </c>
      <c r="F2959" s="4">
        <v>16.75</v>
      </c>
      <c r="G2959" s="5">
        <v>16</v>
      </c>
      <c r="H2959" t="s">
        <v>17</v>
      </c>
      <c r="I2959" t="s">
        <v>46</v>
      </c>
      <c r="J2959" s="6">
        <v>8.99</v>
      </c>
      <c r="K2959">
        <v>0</v>
      </c>
      <c r="L2959" t="s">
        <v>19</v>
      </c>
      <c r="M2959" s="5">
        <v>5</v>
      </c>
      <c r="N2959" s="4">
        <v>0.99</v>
      </c>
      <c r="O2959" t="s">
        <v>52</v>
      </c>
    </row>
    <row r="2960" spans="1:15" x14ac:dyDescent="0.3">
      <c r="A2960" t="s">
        <v>2220</v>
      </c>
      <c r="B2960" s="5">
        <v>46</v>
      </c>
      <c r="C2960" s="5" t="str" cm="1">
        <f t="array" ref="C2960">_xlfn.IFS(worksheet[[#This Row],[age]]&lt;25,"1. Young Adulthood (18-24)",worksheet[[#This Row],[age]]&lt; 35,"2. Early Adulthood (25-34)",worksheet[[#This Row],[age]]&lt; 45,"3. Mid Adulthood (35-44)",worksheet[[#This Row],[age]]&lt; 55,"4. Mature Adulthood (45-54)",TRUE,"5. Late Adulthood/Senior (55+)")</f>
        <v>4. Mature Adulthood (45-54)</v>
      </c>
      <c r="D2960" t="s">
        <v>27</v>
      </c>
      <c r="E2960" t="s">
        <v>32</v>
      </c>
      <c r="F2960" s="4">
        <v>23.02</v>
      </c>
      <c r="G2960" s="5">
        <v>59</v>
      </c>
      <c r="H2960" t="s">
        <v>28</v>
      </c>
      <c r="I2960" t="s">
        <v>57</v>
      </c>
      <c r="J2960" s="6">
        <v>17.989999999999998</v>
      </c>
      <c r="K2960">
        <v>0</v>
      </c>
      <c r="L2960" t="s">
        <v>29</v>
      </c>
      <c r="M2960" s="5">
        <v>2</v>
      </c>
      <c r="N2960" s="4">
        <v>0.38</v>
      </c>
      <c r="O2960" t="s">
        <v>52</v>
      </c>
    </row>
    <row r="2961" spans="1:15" x14ac:dyDescent="0.3">
      <c r="A2961" t="s">
        <v>2226</v>
      </c>
      <c r="B2961" s="5">
        <v>54</v>
      </c>
      <c r="C2961" s="5" t="str" cm="1">
        <f t="array" ref="C2961">_xlfn.IFS(worksheet[[#This Row],[age]]&lt;25,"1. Young Adulthood (18-24)",worksheet[[#This Row],[age]]&lt; 35,"2. Early Adulthood (25-34)",worksheet[[#This Row],[age]]&lt; 45,"3. Mid Adulthood (35-44)",worksheet[[#This Row],[age]]&lt; 55,"4. Mature Adulthood (45-54)",TRUE,"5. Late Adulthood/Senior (55+)")</f>
        <v>4. Mature Adulthood (45-54)</v>
      </c>
      <c r="D2961" t="s">
        <v>41</v>
      </c>
      <c r="E2961" t="s">
        <v>16</v>
      </c>
      <c r="F2961" s="4">
        <v>22.85</v>
      </c>
      <c r="G2961" s="5">
        <v>10</v>
      </c>
      <c r="H2961" t="s">
        <v>49</v>
      </c>
      <c r="I2961" t="s">
        <v>55</v>
      </c>
      <c r="J2961" s="6">
        <v>8.99</v>
      </c>
      <c r="K2961">
        <v>0</v>
      </c>
      <c r="L2961" t="s">
        <v>29</v>
      </c>
      <c r="M2961" s="5">
        <v>5</v>
      </c>
      <c r="N2961" s="4">
        <v>2.08</v>
      </c>
      <c r="O2961" t="s">
        <v>30</v>
      </c>
    </row>
    <row r="2962" spans="1:15" x14ac:dyDescent="0.3">
      <c r="A2962" t="s">
        <v>2232</v>
      </c>
      <c r="B2962" s="5">
        <v>54</v>
      </c>
      <c r="C2962" s="5" t="str" cm="1">
        <f t="array" ref="C2962">_xlfn.IFS(worksheet[[#This Row],[age]]&lt;25,"1. Young Adulthood (18-24)",worksheet[[#This Row],[age]]&lt; 35,"2. Early Adulthood (25-34)",worksheet[[#This Row],[age]]&lt; 45,"3. Mid Adulthood (35-44)",worksheet[[#This Row],[age]]&lt; 55,"4. Mature Adulthood (45-54)",TRUE,"5. Late Adulthood/Senior (55+)")</f>
        <v>4. Mature Adulthood (45-54)</v>
      </c>
      <c r="D2962" t="s">
        <v>15</v>
      </c>
      <c r="E2962" t="s">
        <v>22</v>
      </c>
      <c r="F2962" s="4">
        <v>3.22</v>
      </c>
      <c r="G2962" s="5">
        <v>12</v>
      </c>
      <c r="H2962" t="s">
        <v>17</v>
      </c>
      <c r="I2962" t="s">
        <v>46</v>
      </c>
      <c r="J2962" s="6">
        <v>13.99</v>
      </c>
      <c r="K2962">
        <v>1</v>
      </c>
      <c r="L2962" t="s">
        <v>61</v>
      </c>
      <c r="M2962" s="5">
        <v>1</v>
      </c>
      <c r="N2962" s="4">
        <v>0.25</v>
      </c>
      <c r="O2962" t="s">
        <v>30</v>
      </c>
    </row>
    <row r="2963" spans="1:15" x14ac:dyDescent="0.3">
      <c r="A2963" t="s">
        <v>2234</v>
      </c>
      <c r="B2963" s="5">
        <v>46</v>
      </c>
      <c r="C2963" s="5" t="str" cm="1">
        <f t="array" ref="C2963">_xlfn.IFS(worksheet[[#This Row],[age]]&lt;25,"1. Young Adulthood (18-24)",worksheet[[#This Row],[age]]&lt; 35,"2. Early Adulthood (25-34)",worksheet[[#This Row],[age]]&lt; 45,"3. Mid Adulthood (35-44)",worksheet[[#This Row],[age]]&lt; 55,"4. Mature Adulthood (45-54)",TRUE,"5. Late Adulthood/Senior (55+)")</f>
        <v>4. Mature Adulthood (45-54)</v>
      </c>
      <c r="D2963" t="s">
        <v>15</v>
      </c>
      <c r="E2963" t="s">
        <v>16</v>
      </c>
      <c r="F2963" s="4">
        <v>6.99</v>
      </c>
      <c r="G2963" s="5">
        <v>34</v>
      </c>
      <c r="H2963" t="s">
        <v>28</v>
      </c>
      <c r="I2963" t="s">
        <v>46</v>
      </c>
      <c r="J2963" s="6">
        <v>8.99</v>
      </c>
      <c r="K2963">
        <v>1</v>
      </c>
      <c r="L2963" t="s">
        <v>29</v>
      </c>
      <c r="M2963" s="5">
        <v>2</v>
      </c>
      <c r="N2963" s="4">
        <v>0.2</v>
      </c>
      <c r="O2963" t="s">
        <v>34</v>
      </c>
    </row>
    <row r="2964" spans="1:15" x14ac:dyDescent="0.3">
      <c r="A2964" t="s">
        <v>2238</v>
      </c>
      <c r="B2964" s="5">
        <v>53</v>
      </c>
      <c r="C2964" s="5" t="str" cm="1">
        <f t="array" ref="C2964">_xlfn.IFS(worksheet[[#This Row],[age]]&lt;25,"1. Young Adulthood (18-24)",worksheet[[#This Row],[age]]&lt; 35,"2. Early Adulthood (25-34)",worksheet[[#This Row],[age]]&lt; 45,"3. Mid Adulthood (35-44)",worksheet[[#This Row],[age]]&lt; 55,"4. Mature Adulthood (45-54)",TRUE,"5. Late Adulthood/Senior (55+)")</f>
        <v>4. Mature Adulthood (45-54)</v>
      </c>
      <c r="D2964" t="s">
        <v>27</v>
      </c>
      <c r="E2964" t="s">
        <v>16</v>
      </c>
      <c r="F2964" s="4">
        <v>20.16</v>
      </c>
      <c r="G2964" s="5">
        <v>1</v>
      </c>
      <c r="H2964" t="s">
        <v>70</v>
      </c>
      <c r="I2964" t="s">
        <v>57</v>
      </c>
      <c r="J2964" s="6">
        <v>8.99</v>
      </c>
      <c r="K2964">
        <v>0</v>
      </c>
      <c r="L2964" t="s">
        <v>37</v>
      </c>
      <c r="M2964" s="5">
        <v>5</v>
      </c>
      <c r="N2964" s="4">
        <v>10.08</v>
      </c>
      <c r="O2964" t="s">
        <v>52</v>
      </c>
    </row>
    <row r="2965" spans="1:15" x14ac:dyDescent="0.3">
      <c r="A2965" t="s">
        <v>2242</v>
      </c>
      <c r="B2965" s="5">
        <v>53</v>
      </c>
      <c r="C2965" s="5" t="str" cm="1">
        <f t="array" ref="C2965">_xlfn.IFS(worksheet[[#This Row],[age]]&lt;25,"1. Young Adulthood (18-24)",worksheet[[#This Row],[age]]&lt; 35,"2. Early Adulthood (25-34)",worksheet[[#This Row],[age]]&lt; 45,"3. Mid Adulthood (35-44)",worksheet[[#This Row],[age]]&lt; 55,"4. Mature Adulthood (45-54)",TRUE,"5. Late Adulthood/Senior (55+)")</f>
        <v>4. Mature Adulthood (45-54)</v>
      </c>
      <c r="D2965" t="s">
        <v>15</v>
      </c>
      <c r="E2965" t="s">
        <v>16</v>
      </c>
      <c r="F2965" s="4">
        <v>8.33</v>
      </c>
      <c r="G2965" s="5">
        <v>4</v>
      </c>
      <c r="H2965" t="s">
        <v>28</v>
      </c>
      <c r="I2965" t="s">
        <v>57</v>
      </c>
      <c r="J2965" s="6">
        <v>8.99</v>
      </c>
      <c r="K2965">
        <v>0</v>
      </c>
      <c r="L2965" t="s">
        <v>29</v>
      </c>
      <c r="M2965" s="5">
        <v>2</v>
      </c>
      <c r="N2965" s="4">
        <v>1.67</v>
      </c>
      <c r="O2965" t="s">
        <v>39</v>
      </c>
    </row>
    <row r="2966" spans="1:15" x14ac:dyDescent="0.3">
      <c r="A2966" t="s">
        <v>2243</v>
      </c>
      <c r="B2966" s="5">
        <v>47</v>
      </c>
      <c r="C2966" s="5" t="str" cm="1">
        <f t="array" ref="C2966">_xlfn.IFS(worksheet[[#This Row],[age]]&lt;25,"1. Young Adulthood (18-24)",worksheet[[#This Row],[age]]&lt; 35,"2. Early Adulthood (25-34)",worksheet[[#This Row],[age]]&lt; 45,"3. Mid Adulthood (35-44)",worksheet[[#This Row],[age]]&lt; 55,"4. Mature Adulthood (45-54)",TRUE,"5. Late Adulthood/Senior (55+)")</f>
        <v>4. Mature Adulthood (45-54)</v>
      </c>
      <c r="D2966" t="s">
        <v>27</v>
      </c>
      <c r="E2966" t="s">
        <v>32</v>
      </c>
      <c r="F2966" s="4">
        <v>3.51</v>
      </c>
      <c r="G2966" s="5">
        <v>50</v>
      </c>
      <c r="H2966" t="s">
        <v>33</v>
      </c>
      <c r="I2966" t="s">
        <v>24</v>
      </c>
      <c r="J2966" s="6">
        <v>17.989999999999998</v>
      </c>
      <c r="K2966">
        <v>1</v>
      </c>
      <c r="L2966" t="s">
        <v>29</v>
      </c>
      <c r="M2966" s="5">
        <v>1</v>
      </c>
      <c r="N2966" s="4">
        <v>7.0000000000000007E-2</v>
      </c>
      <c r="O2966" t="s">
        <v>39</v>
      </c>
    </row>
    <row r="2967" spans="1:15" x14ac:dyDescent="0.3">
      <c r="A2967" t="s">
        <v>2248</v>
      </c>
      <c r="B2967" s="5">
        <v>45</v>
      </c>
      <c r="C2967" s="5" t="str" cm="1">
        <f t="array" ref="C2967">_xlfn.IFS(worksheet[[#This Row],[age]]&lt;25,"1. Young Adulthood (18-24)",worksheet[[#This Row],[age]]&lt; 35,"2. Early Adulthood (25-34)",worksheet[[#This Row],[age]]&lt; 45,"3. Mid Adulthood (35-44)",worksheet[[#This Row],[age]]&lt; 55,"4. Mature Adulthood (45-54)",TRUE,"5. Late Adulthood/Senior (55+)")</f>
        <v>4. Mature Adulthood (45-54)</v>
      </c>
      <c r="D2967" t="s">
        <v>15</v>
      </c>
      <c r="E2967" t="s">
        <v>16</v>
      </c>
      <c r="F2967" s="4">
        <v>11.74</v>
      </c>
      <c r="G2967" s="5">
        <v>17</v>
      </c>
      <c r="H2967" t="s">
        <v>33</v>
      </c>
      <c r="I2967" t="s">
        <v>57</v>
      </c>
      <c r="J2967" s="6">
        <v>8.99</v>
      </c>
      <c r="K2967">
        <v>0</v>
      </c>
      <c r="L2967" t="s">
        <v>37</v>
      </c>
      <c r="M2967" s="5">
        <v>4</v>
      </c>
      <c r="N2967" s="4">
        <v>0.65</v>
      </c>
      <c r="O2967" t="s">
        <v>52</v>
      </c>
    </row>
    <row r="2968" spans="1:15" x14ac:dyDescent="0.3">
      <c r="A2968" t="s">
        <v>2259</v>
      </c>
      <c r="B2968" s="5">
        <v>46</v>
      </c>
      <c r="C2968" s="5" t="str" cm="1">
        <f t="array" ref="C2968">_xlfn.IFS(worksheet[[#This Row],[age]]&lt;25,"1. Young Adulthood (18-24)",worksheet[[#This Row],[age]]&lt; 35,"2. Early Adulthood (25-34)",worksheet[[#This Row],[age]]&lt; 45,"3. Mid Adulthood (35-44)",worksheet[[#This Row],[age]]&lt; 55,"4. Mature Adulthood (45-54)",TRUE,"5. Late Adulthood/Senior (55+)")</f>
        <v>4. Mature Adulthood (45-54)</v>
      </c>
      <c r="D2968" t="s">
        <v>15</v>
      </c>
      <c r="E2968" t="s">
        <v>16</v>
      </c>
      <c r="F2968" s="4">
        <v>3.39</v>
      </c>
      <c r="G2968" s="5">
        <v>5</v>
      </c>
      <c r="H2968" t="s">
        <v>70</v>
      </c>
      <c r="I2968" t="s">
        <v>57</v>
      </c>
      <c r="J2968" s="6">
        <v>8.99</v>
      </c>
      <c r="K2968">
        <v>0</v>
      </c>
      <c r="L2968" t="s">
        <v>37</v>
      </c>
      <c r="M2968" s="5">
        <v>4</v>
      </c>
      <c r="N2968" s="4">
        <v>0.56999999999999995</v>
      </c>
      <c r="O2968" t="s">
        <v>34</v>
      </c>
    </row>
    <row r="2969" spans="1:15" x14ac:dyDescent="0.3">
      <c r="A2969" t="s">
        <v>2270</v>
      </c>
      <c r="B2969" s="5">
        <v>46</v>
      </c>
      <c r="C2969" s="5" t="str" cm="1">
        <f t="array" ref="C2969">_xlfn.IFS(worksheet[[#This Row],[age]]&lt;25,"1. Young Adulthood (18-24)",worksheet[[#This Row],[age]]&lt; 35,"2. Early Adulthood (25-34)",worksheet[[#This Row],[age]]&lt; 45,"3. Mid Adulthood (35-44)",worksheet[[#This Row],[age]]&lt; 55,"4. Mature Adulthood (45-54)",TRUE,"5. Late Adulthood/Senior (55+)")</f>
        <v>4. Mature Adulthood (45-54)</v>
      </c>
      <c r="D2969" t="s">
        <v>15</v>
      </c>
      <c r="E2969" t="s">
        <v>22</v>
      </c>
      <c r="F2969" s="4">
        <v>16.95</v>
      </c>
      <c r="G2969" s="5">
        <v>32</v>
      </c>
      <c r="H2969" t="s">
        <v>33</v>
      </c>
      <c r="I2969" t="s">
        <v>46</v>
      </c>
      <c r="J2969" s="6">
        <v>13.99</v>
      </c>
      <c r="K2969">
        <v>0</v>
      </c>
      <c r="L2969" t="s">
        <v>37</v>
      </c>
      <c r="M2969" s="5">
        <v>2</v>
      </c>
      <c r="N2969" s="4">
        <v>0.51</v>
      </c>
      <c r="O2969" t="s">
        <v>30</v>
      </c>
    </row>
    <row r="2970" spans="1:15" x14ac:dyDescent="0.3">
      <c r="A2970" t="s">
        <v>2279</v>
      </c>
      <c r="B2970" s="5">
        <v>51</v>
      </c>
      <c r="C2970" s="5" t="str" cm="1">
        <f t="array" ref="C2970">_xlfn.IFS(worksheet[[#This Row],[age]]&lt;25,"1. Young Adulthood (18-24)",worksheet[[#This Row],[age]]&lt; 35,"2. Early Adulthood (25-34)",worksheet[[#This Row],[age]]&lt; 45,"3. Mid Adulthood (35-44)",worksheet[[#This Row],[age]]&lt; 55,"4. Mature Adulthood (45-54)",TRUE,"5. Late Adulthood/Senior (55+)")</f>
        <v>4. Mature Adulthood (45-54)</v>
      </c>
      <c r="D2970" t="s">
        <v>15</v>
      </c>
      <c r="E2970" t="s">
        <v>16</v>
      </c>
      <c r="F2970" s="4">
        <v>6.7</v>
      </c>
      <c r="G2970" s="5">
        <v>58</v>
      </c>
      <c r="H2970" t="s">
        <v>33</v>
      </c>
      <c r="I2970" t="s">
        <v>57</v>
      </c>
      <c r="J2970" s="6">
        <v>8.99</v>
      </c>
      <c r="K2970">
        <v>1</v>
      </c>
      <c r="L2970" t="s">
        <v>19</v>
      </c>
      <c r="M2970" s="5">
        <v>4</v>
      </c>
      <c r="N2970" s="4">
        <v>0.11</v>
      </c>
      <c r="O2970" t="s">
        <v>34</v>
      </c>
    </row>
    <row r="2971" spans="1:15" x14ac:dyDescent="0.3">
      <c r="A2971" t="s">
        <v>2286</v>
      </c>
      <c r="B2971" s="5">
        <v>49</v>
      </c>
      <c r="C2971" s="5" t="str" cm="1">
        <f t="array" ref="C2971">_xlfn.IFS(worksheet[[#This Row],[age]]&lt;25,"1. Young Adulthood (18-24)",worksheet[[#This Row],[age]]&lt; 35,"2. Early Adulthood (25-34)",worksheet[[#This Row],[age]]&lt; 45,"3. Mid Adulthood (35-44)",worksheet[[#This Row],[age]]&lt; 55,"4. Mature Adulthood (45-54)",TRUE,"5. Late Adulthood/Senior (55+)")</f>
        <v>4. Mature Adulthood (45-54)</v>
      </c>
      <c r="D2971" t="s">
        <v>41</v>
      </c>
      <c r="E2971" t="s">
        <v>22</v>
      </c>
      <c r="F2971" s="4">
        <v>20.37</v>
      </c>
      <c r="G2971" s="5">
        <v>30</v>
      </c>
      <c r="H2971" t="s">
        <v>23</v>
      </c>
      <c r="I2971" t="s">
        <v>24</v>
      </c>
      <c r="J2971" s="6">
        <v>13.99</v>
      </c>
      <c r="K2971">
        <v>0</v>
      </c>
      <c r="L2971" t="s">
        <v>29</v>
      </c>
      <c r="M2971" s="5">
        <v>1</v>
      </c>
      <c r="N2971" s="4">
        <v>0.66</v>
      </c>
      <c r="O2971" t="s">
        <v>30</v>
      </c>
    </row>
    <row r="2972" spans="1:15" x14ac:dyDescent="0.3">
      <c r="A2972" t="s">
        <v>2289</v>
      </c>
      <c r="B2972" s="5">
        <v>47</v>
      </c>
      <c r="C2972" s="5" t="str" cm="1">
        <f t="array" ref="C2972">_xlfn.IFS(worksheet[[#This Row],[age]]&lt;25,"1. Young Adulthood (18-24)",worksheet[[#This Row],[age]]&lt; 35,"2. Early Adulthood (25-34)",worksheet[[#This Row],[age]]&lt; 45,"3. Mid Adulthood (35-44)",worksheet[[#This Row],[age]]&lt; 55,"4. Mature Adulthood (45-54)",TRUE,"5. Late Adulthood/Senior (55+)")</f>
        <v>4. Mature Adulthood (45-54)</v>
      </c>
      <c r="D2972" t="s">
        <v>41</v>
      </c>
      <c r="E2972" t="s">
        <v>16</v>
      </c>
      <c r="F2972" s="4">
        <v>0.83</v>
      </c>
      <c r="G2972" s="5">
        <v>42</v>
      </c>
      <c r="H2972" t="s">
        <v>70</v>
      </c>
      <c r="I2972" t="s">
        <v>18</v>
      </c>
      <c r="J2972" s="6">
        <v>8.99</v>
      </c>
      <c r="K2972">
        <v>1</v>
      </c>
      <c r="L2972" t="s">
        <v>61</v>
      </c>
      <c r="M2972" s="5">
        <v>2</v>
      </c>
      <c r="N2972" s="4">
        <v>0.02</v>
      </c>
      <c r="O2972" t="s">
        <v>34</v>
      </c>
    </row>
    <row r="2973" spans="1:15" x14ac:dyDescent="0.3">
      <c r="A2973" t="s">
        <v>2290</v>
      </c>
      <c r="B2973" s="5">
        <v>47</v>
      </c>
      <c r="C2973" s="5" t="str" cm="1">
        <f t="array" ref="C2973">_xlfn.IFS(worksheet[[#This Row],[age]]&lt;25,"1. Young Adulthood (18-24)",worksheet[[#This Row],[age]]&lt; 35,"2. Early Adulthood (25-34)",worksheet[[#This Row],[age]]&lt; 45,"3. Mid Adulthood (35-44)",worksheet[[#This Row],[age]]&lt; 55,"4. Mature Adulthood (45-54)",TRUE,"5. Late Adulthood/Senior (55+)")</f>
        <v>4. Mature Adulthood (45-54)</v>
      </c>
      <c r="D2973" t="s">
        <v>41</v>
      </c>
      <c r="E2973" t="s">
        <v>32</v>
      </c>
      <c r="F2973" s="4">
        <v>25.17</v>
      </c>
      <c r="G2973" s="5">
        <v>1</v>
      </c>
      <c r="H2973" t="s">
        <v>17</v>
      </c>
      <c r="I2973" t="s">
        <v>55</v>
      </c>
      <c r="J2973" s="6">
        <v>17.989999999999998</v>
      </c>
      <c r="K2973">
        <v>0</v>
      </c>
      <c r="L2973" t="s">
        <v>29</v>
      </c>
      <c r="M2973" s="5">
        <v>5</v>
      </c>
      <c r="N2973" s="4">
        <v>12.59</v>
      </c>
      <c r="O2973" t="s">
        <v>25</v>
      </c>
    </row>
    <row r="2974" spans="1:15" x14ac:dyDescent="0.3">
      <c r="A2974" t="s">
        <v>2291</v>
      </c>
      <c r="B2974" s="5">
        <v>51</v>
      </c>
      <c r="C2974" s="5" t="str" cm="1">
        <f t="array" ref="C2974">_xlfn.IFS(worksheet[[#This Row],[age]]&lt;25,"1. Young Adulthood (18-24)",worksheet[[#This Row],[age]]&lt; 35,"2. Early Adulthood (25-34)",worksheet[[#This Row],[age]]&lt; 45,"3. Mid Adulthood (35-44)",worksheet[[#This Row],[age]]&lt; 55,"4. Mature Adulthood (45-54)",TRUE,"5. Late Adulthood/Senior (55+)")</f>
        <v>4. Mature Adulthood (45-54)</v>
      </c>
      <c r="D2974" t="s">
        <v>27</v>
      </c>
      <c r="E2974" t="s">
        <v>22</v>
      </c>
      <c r="F2974" s="4">
        <v>6.79</v>
      </c>
      <c r="G2974" s="5">
        <v>3</v>
      </c>
      <c r="H2974" t="s">
        <v>28</v>
      </c>
      <c r="I2974" t="s">
        <v>57</v>
      </c>
      <c r="J2974" s="6">
        <v>13.99</v>
      </c>
      <c r="K2974">
        <v>0</v>
      </c>
      <c r="L2974" t="s">
        <v>19</v>
      </c>
      <c r="M2974" s="5">
        <v>4</v>
      </c>
      <c r="N2974" s="4">
        <v>1.7</v>
      </c>
      <c r="O2974" t="s">
        <v>20</v>
      </c>
    </row>
    <row r="2975" spans="1:15" x14ac:dyDescent="0.3">
      <c r="A2975" t="s">
        <v>2293</v>
      </c>
      <c r="B2975" s="5">
        <v>48</v>
      </c>
      <c r="C2975" s="5" t="str" cm="1">
        <f t="array" ref="C2975">_xlfn.IFS(worksheet[[#This Row],[age]]&lt;25,"1. Young Adulthood (18-24)",worksheet[[#This Row],[age]]&lt; 35,"2. Early Adulthood (25-34)",worksheet[[#This Row],[age]]&lt; 45,"3. Mid Adulthood (35-44)",worksheet[[#This Row],[age]]&lt; 55,"4. Mature Adulthood (45-54)",TRUE,"5. Late Adulthood/Senior (55+)")</f>
        <v>4. Mature Adulthood (45-54)</v>
      </c>
      <c r="D2975" t="s">
        <v>15</v>
      </c>
      <c r="E2975" t="s">
        <v>16</v>
      </c>
      <c r="F2975" s="4">
        <v>60.85</v>
      </c>
      <c r="G2975" s="5">
        <v>10</v>
      </c>
      <c r="H2975" t="s">
        <v>17</v>
      </c>
      <c r="I2975" t="s">
        <v>55</v>
      </c>
      <c r="J2975" s="6">
        <v>8.99</v>
      </c>
      <c r="K2975">
        <v>0</v>
      </c>
      <c r="L2975" t="s">
        <v>37</v>
      </c>
      <c r="M2975" s="5">
        <v>5</v>
      </c>
      <c r="N2975" s="4">
        <v>5.53</v>
      </c>
      <c r="O2975" t="s">
        <v>34</v>
      </c>
    </row>
    <row r="2976" spans="1:15" x14ac:dyDescent="0.3">
      <c r="A2976" t="s">
        <v>2305</v>
      </c>
      <c r="B2976" s="5">
        <v>50</v>
      </c>
      <c r="C2976" s="5" t="str" cm="1">
        <f t="array" ref="C2976">_xlfn.IFS(worksheet[[#This Row],[age]]&lt;25,"1. Young Adulthood (18-24)",worksheet[[#This Row],[age]]&lt; 35,"2. Early Adulthood (25-34)",worksheet[[#This Row],[age]]&lt; 45,"3. Mid Adulthood (35-44)",worksheet[[#This Row],[age]]&lt; 55,"4. Mature Adulthood (45-54)",TRUE,"5. Late Adulthood/Senior (55+)")</f>
        <v>4. Mature Adulthood (45-54)</v>
      </c>
      <c r="D2976" t="s">
        <v>15</v>
      </c>
      <c r="E2976" t="s">
        <v>16</v>
      </c>
      <c r="F2976" s="4">
        <v>6.36</v>
      </c>
      <c r="G2976" s="5">
        <v>57</v>
      </c>
      <c r="H2976" t="s">
        <v>23</v>
      </c>
      <c r="I2976" t="s">
        <v>24</v>
      </c>
      <c r="J2976" s="6">
        <v>8.99</v>
      </c>
      <c r="K2976">
        <v>1</v>
      </c>
      <c r="L2976" t="s">
        <v>37</v>
      </c>
      <c r="M2976" s="5">
        <v>5</v>
      </c>
      <c r="N2976" s="4">
        <v>0.11</v>
      </c>
      <c r="O2976" t="s">
        <v>52</v>
      </c>
    </row>
    <row r="2977" spans="1:15" x14ac:dyDescent="0.3">
      <c r="A2977" t="s">
        <v>2308</v>
      </c>
      <c r="B2977" s="5">
        <v>49</v>
      </c>
      <c r="C2977" s="5" t="str" cm="1">
        <f t="array" ref="C2977">_xlfn.IFS(worksheet[[#This Row],[age]]&lt;25,"1. Young Adulthood (18-24)",worksheet[[#This Row],[age]]&lt; 35,"2. Early Adulthood (25-34)",worksheet[[#This Row],[age]]&lt; 45,"3. Mid Adulthood (35-44)",worksheet[[#This Row],[age]]&lt; 55,"4. Mature Adulthood (45-54)",TRUE,"5. Late Adulthood/Senior (55+)")</f>
        <v>4. Mature Adulthood (45-54)</v>
      </c>
      <c r="D2977" t="s">
        <v>41</v>
      </c>
      <c r="E2977" t="s">
        <v>22</v>
      </c>
      <c r="F2977" s="4">
        <v>3.75</v>
      </c>
      <c r="G2977" s="5">
        <v>0</v>
      </c>
      <c r="H2977" t="s">
        <v>70</v>
      </c>
      <c r="I2977" t="s">
        <v>57</v>
      </c>
      <c r="J2977" s="6">
        <v>13.99</v>
      </c>
      <c r="K2977">
        <v>0</v>
      </c>
      <c r="L2977" t="s">
        <v>61</v>
      </c>
      <c r="M2977" s="5">
        <v>4</v>
      </c>
      <c r="N2977" s="4">
        <v>3.75</v>
      </c>
      <c r="O2977" t="s">
        <v>34</v>
      </c>
    </row>
    <row r="2978" spans="1:15" x14ac:dyDescent="0.3">
      <c r="A2978" t="s">
        <v>2325</v>
      </c>
      <c r="B2978" s="5">
        <v>46</v>
      </c>
      <c r="C2978" s="5" t="str" cm="1">
        <f t="array" ref="C2978">_xlfn.IFS(worksheet[[#This Row],[age]]&lt;25,"1. Young Adulthood (18-24)",worksheet[[#This Row],[age]]&lt; 35,"2. Early Adulthood (25-34)",worksheet[[#This Row],[age]]&lt; 45,"3. Mid Adulthood (35-44)",worksheet[[#This Row],[age]]&lt; 55,"4. Mature Adulthood (45-54)",TRUE,"5. Late Adulthood/Senior (55+)")</f>
        <v>4. Mature Adulthood (45-54)</v>
      </c>
      <c r="D2978" t="s">
        <v>27</v>
      </c>
      <c r="E2978" t="s">
        <v>32</v>
      </c>
      <c r="F2978" s="4">
        <v>3.16</v>
      </c>
      <c r="G2978" s="5">
        <v>5</v>
      </c>
      <c r="H2978" t="s">
        <v>28</v>
      </c>
      <c r="I2978" t="s">
        <v>18</v>
      </c>
      <c r="J2978" s="6">
        <v>17.989999999999998</v>
      </c>
      <c r="K2978">
        <v>0</v>
      </c>
      <c r="L2978" t="s">
        <v>37</v>
      </c>
      <c r="M2978" s="5">
        <v>5</v>
      </c>
      <c r="N2978" s="4">
        <v>0.53</v>
      </c>
      <c r="O2978" t="s">
        <v>20</v>
      </c>
    </row>
    <row r="2979" spans="1:15" x14ac:dyDescent="0.3">
      <c r="A2979" t="s">
        <v>2344</v>
      </c>
      <c r="B2979" s="5">
        <v>47</v>
      </c>
      <c r="C2979" s="5" t="str" cm="1">
        <f t="array" ref="C2979">_xlfn.IFS(worksheet[[#This Row],[age]]&lt;25,"1. Young Adulthood (18-24)",worksheet[[#This Row],[age]]&lt; 35,"2. Early Adulthood (25-34)",worksheet[[#This Row],[age]]&lt; 45,"3. Mid Adulthood (35-44)",worksheet[[#This Row],[age]]&lt; 55,"4. Mature Adulthood (45-54)",TRUE,"5. Late Adulthood/Senior (55+)")</f>
        <v>4. Mature Adulthood (45-54)</v>
      </c>
      <c r="D2979" t="s">
        <v>41</v>
      </c>
      <c r="E2979" t="s">
        <v>16</v>
      </c>
      <c r="F2979" s="4">
        <v>19.260000000000002</v>
      </c>
      <c r="G2979" s="5">
        <v>57</v>
      </c>
      <c r="H2979" t="s">
        <v>23</v>
      </c>
      <c r="I2979" t="s">
        <v>18</v>
      </c>
      <c r="J2979" s="6">
        <v>8.99</v>
      </c>
      <c r="K2979">
        <v>1</v>
      </c>
      <c r="L2979" t="s">
        <v>43</v>
      </c>
      <c r="M2979" s="5">
        <v>2</v>
      </c>
      <c r="N2979" s="4">
        <v>0.33</v>
      </c>
      <c r="O2979" t="s">
        <v>20</v>
      </c>
    </row>
    <row r="2980" spans="1:15" x14ac:dyDescent="0.3">
      <c r="A2980" t="s">
        <v>2345</v>
      </c>
      <c r="B2980" s="5">
        <v>49</v>
      </c>
      <c r="C2980" s="5" t="str" cm="1">
        <f t="array" ref="C2980">_xlfn.IFS(worksheet[[#This Row],[age]]&lt;25,"1. Young Adulthood (18-24)",worksheet[[#This Row],[age]]&lt; 35,"2. Early Adulthood (25-34)",worksheet[[#This Row],[age]]&lt; 45,"3. Mid Adulthood (35-44)",worksheet[[#This Row],[age]]&lt; 55,"4. Mature Adulthood (45-54)",TRUE,"5. Late Adulthood/Senior (55+)")</f>
        <v>4. Mature Adulthood (45-54)</v>
      </c>
      <c r="D2980" t="s">
        <v>41</v>
      </c>
      <c r="E2980" t="s">
        <v>32</v>
      </c>
      <c r="F2980" s="4">
        <v>7.9</v>
      </c>
      <c r="G2980" s="5">
        <v>20</v>
      </c>
      <c r="H2980" t="s">
        <v>23</v>
      </c>
      <c r="I2980" t="s">
        <v>24</v>
      </c>
      <c r="J2980" s="6">
        <v>17.989999999999998</v>
      </c>
      <c r="K2980">
        <v>0</v>
      </c>
      <c r="L2980" t="s">
        <v>29</v>
      </c>
      <c r="M2980" s="5">
        <v>2</v>
      </c>
      <c r="N2980" s="4">
        <v>0.38</v>
      </c>
      <c r="O2980" t="s">
        <v>34</v>
      </c>
    </row>
    <row r="2981" spans="1:15" x14ac:dyDescent="0.3">
      <c r="A2981" t="s">
        <v>2353</v>
      </c>
      <c r="B2981" s="5">
        <v>46</v>
      </c>
      <c r="C2981" s="5" t="str" cm="1">
        <f t="array" ref="C2981">_xlfn.IFS(worksheet[[#This Row],[age]]&lt;25,"1. Young Adulthood (18-24)",worksheet[[#This Row],[age]]&lt; 35,"2. Early Adulthood (25-34)",worksheet[[#This Row],[age]]&lt; 45,"3. Mid Adulthood (35-44)",worksheet[[#This Row],[age]]&lt; 55,"4. Mature Adulthood (45-54)",TRUE,"5. Late Adulthood/Senior (55+)")</f>
        <v>4. Mature Adulthood (45-54)</v>
      </c>
      <c r="D2981" t="s">
        <v>41</v>
      </c>
      <c r="E2981" t="s">
        <v>32</v>
      </c>
      <c r="F2981" s="4">
        <v>26.01</v>
      </c>
      <c r="G2981" s="5">
        <v>3</v>
      </c>
      <c r="H2981" t="s">
        <v>28</v>
      </c>
      <c r="I2981" t="s">
        <v>24</v>
      </c>
      <c r="J2981" s="6">
        <v>17.989999999999998</v>
      </c>
      <c r="K2981">
        <v>0</v>
      </c>
      <c r="L2981" t="s">
        <v>37</v>
      </c>
      <c r="M2981" s="5">
        <v>3</v>
      </c>
      <c r="N2981" s="4">
        <v>6.5</v>
      </c>
      <c r="O2981" t="s">
        <v>34</v>
      </c>
    </row>
    <row r="2982" spans="1:15" x14ac:dyDescent="0.3">
      <c r="A2982" t="s">
        <v>2357</v>
      </c>
      <c r="B2982" s="5">
        <v>51</v>
      </c>
      <c r="C2982" s="5" t="str" cm="1">
        <f t="array" ref="C2982">_xlfn.IFS(worksheet[[#This Row],[age]]&lt;25,"1. Young Adulthood (18-24)",worksheet[[#This Row],[age]]&lt; 35,"2. Early Adulthood (25-34)",worksheet[[#This Row],[age]]&lt; 45,"3. Mid Adulthood (35-44)",worksheet[[#This Row],[age]]&lt; 55,"4. Mature Adulthood (45-54)",TRUE,"5. Late Adulthood/Senior (55+)")</f>
        <v>4. Mature Adulthood (45-54)</v>
      </c>
      <c r="D2982" t="s">
        <v>27</v>
      </c>
      <c r="E2982" t="s">
        <v>32</v>
      </c>
      <c r="F2982" s="4">
        <v>16.96</v>
      </c>
      <c r="G2982" s="5">
        <v>15</v>
      </c>
      <c r="H2982" t="s">
        <v>33</v>
      </c>
      <c r="I2982" t="s">
        <v>46</v>
      </c>
      <c r="J2982" s="6">
        <v>17.989999999999998</v>
      </c>
      <c r="K2982">
        <v>0</v>
      </c>
      <c r="L2982" t="s">
        <v>61</v>
      </c>
      <c r="M2982" s="5">
        <v>5</v>
      </c>
      <c r="N2982" s="4">
        <v>1.06</v>
      </c>
      <c r="O2982" t="s">
        <v>25</v>
      </c>
    </row>
    <row r="2983" spans="1:15" x14ac:dyDescent="0.3">
      <c r="A2983" t="s">
        <v>2366</v>
      </c>
      <c r="B2983" s="5">
        <v>53</v>
      </c>
      <c r="C2983" s="5" t="str" cm="1">
        <f t="array" ref="C2983">_xlfn.IFS(worksheet[[#This Row],[age]]&lt;25,"1. Young Adulthood (18-24)",worksheet[[#This Row],[age]]&lt; 35,"2. Early Adulthood (25-34)",worksheet[[#This Row],[age]]&lt; 45,"3. Mid Adulthood (35-44)",worksheet[[#This Row],[age]]&lt; 55,"4. Mature Adulthood (45-54)",TRUE,"5. Late Adulthood/Senior (55+)")</f>
        <v>4. Mature Adulthood (45-54)</v>
      </c>
      <c r="D2983" t="s">
        <v>41</v>
      </c>
      <c r="E2983" t="s">
        <v>16</v>
      </c>
      <c r="F2983" s="4">
        <v>6.64</v>
      </c>
      <c r="G2983" s="5">
        <v>37</v>
      </c>
      <c r="H2983" t="s">
        <v>17</v>
      </c>
      <c r="I2983" t="s">
        <v>55</v>
      </c>
      <c r="J2983" s="6">
        <v>8.99</v>
      </c>
      <c r="K2983">
        <v>1</v>
      </c>
      <c r="L2983" t="s">
        <v>61</v>
      </c>
      <c r="M2983" s="5">
        <v>5</v>
      </c>
      <c r="N2983" s="4">
        <v>0.17</v>
      </c>
      <c r="O2983" t="s">
        <v>52</v>
      </c>
    </row>
    <row r="2984" spans="1:15" x14ac:dyDescent="0.3">
      <c r="A2984" t="s">
        <v>2368</v>
      </c>
      <c r="B2984" s="5">
        <v>45</v>
      </c>
      <c r="C2984" s="5" t="str" cm="1">
        <f t="array" ref="C2984">_xlfn.IFS(worksheet[[#This Row],[age]]&lt;25,"1. Young Adulthood (18-24)",worksheet[[#This Row],[age]]&lt; 35,"2. Early Adulthood (25-34)",worksheet[[#This Row],[age]]&lt; 45,"3. Mid Adulthood (35-44)",worksheet[[#This Row],[age]]&lt; 55,"4. Mature Adulthood (45-54)",TRUE,"5. Late Adulthood/Senior (55+)")</f>
        <v>4. Mature Adulthood (45-54)</v>
      </c>
      <c r="D2984" t="s">
        <v>15</v>
      </c>
      <c r="E2984" t="s">
        <v>22</v>
      </c>
      <c r="F2984" s="4">
        <v>25.59</v>
      </c>
      <c r="G2984" s="5">
        <v>22</v>
      </c>
      <c r="H2984" t="s">
        <v>23</v>
      </c>
      <c r="I2984" t="s">
        <v>18</v>
      </c>
      <c r="J2984" s="6">
        <v>13.99</v>
      </c>
      <c r="K2984">
        <v>0</v>
      </c>
      <c r="L2984" t="s">
        <v>61</v>
      </c>
      <c r="M2984" s="5">
        <v>2</v>
      </c>
      <c r="N2984" s="4">
        <v>1.1100000000000001</v>
      </c>
      <c r="O2984" t="s">
        <v>25</v>
      </c>
    </row>
    <row r="2985" spans="1:15" x14ac:dyDescent="0.3">
      <c r="A2985" t="s">
        <v>2373</v>
      </c>
      <c r="B2985" s="5">
        <v>54</v>
      </c>
      <c r="C2985" s="5" t="str" cm="1">
        <f t="array" ref="C2985">_xlfn.IFS(worksheet[[#This Row],[age]]&lt;25,"1. Young Adulthood (18-24)",worksheet[[#This Row],[age]]&lt; 35,"2. Early Adulthood (25-34)",worksheet[[#This Row],[age]]&lt; 45,"3. Mid Adulthood (35-44)",worksheet[[#This Row],[age]]&lt; 55,"4. Mature Adulthood (45-54)",TRUE,"5. Late Adulthood/Senior (55+)")</f>
        <v>4. Mature Adulthood (45-54)</v>
      </c>
      <c r="D2985" t="s">
        <v>15</v>
      </c>
      <c r="E2985" t="s">
        <v>16</v>
      </c>
      <c r="F2985" s="4">
        <v>1.07</v>
      </c>
      <c r="G2985" s="5">
        <v>59</v>
      </c>
      <c r="H2985" t="s">
        <v>23</v>
      </c>
      <c r="I2985" t="s">
        <v>18</v>
      </c>
      <c r="J2985" s="6">
        <v>8.99</v>
      </c>
      <c r="K2985">
        <v>1</v>
      </c>
      <c r="L2985" t="s">
        <v>61</v>
      </c>
      <c r="M2985" s="5">
        <v>1</v>
      </c>
      <c r="N2985" s="4">
        <v>0.02</v>
      </c>
      <c r="O2985" t="s">
        <v>52</v>
      </c>
    </row>
    <row r="2986" spans="1:15" x14ac:dyDescent="0.3">
      <c r="A2986" t="s">
        <v>2384</v>
      </c>
      <c r="B2986" s="5">
        <v>46</v>
      </c>
      <c r="C2986" s="5" t="str" cm="1">
        <f t="array" ref="C2986">_xlfn.IFS(worksheet[[#This Row],[age]]&lt;25,"1. Young Adulthood (18-24)",worksheet[[#This Row],[age]]&lt; 35,"2. Early Adulthood (25-34)",worksheet[[#This Row],[age]]&lt; 45,"3. Mid Adulthood (35-44)",worksheet[[#This Row],[age]]&lt; 55,"4. Mature Adulthood (45-54)",TRUE,"5. Late Adulthood/Senior (55+)")</f>
        <v>4. Mature Adulthood (45-54)</v>
      </c>
      <c r="D2986" t="s">
        <v>15</v>
      </c>
      <c r="E2986" t="s">
        <v>16</v>
      </c>
      <c r="F2986" s="4">
        <v>7.63</v>
      </c>
      <c r="G2986" s="5">
        <v>31</v>
      </c>
      <c r="H2986" t="s">
        <v>28</v>
      </c>
      <c r="I2986" t="s">
        <v>57</v>
      </c>
      <c r="J2986" s="6">
        <v>8.99</v>
      </c>
      <c r="K2986">
        <v>1</v>
      </c>
      <c r="L2986" t="s">
        <v>19</v>
      </c>
      <c r="M2986" s="5">
        <v>5</v>
      </c>
      <c r="N2986" s="4">
        <v>0.24</v>
      </c>
      <c r="O2986" t="s">
        <v>39</v>
      </c>
    </row>
    <row r="2987" spans="1:15" x14ac:dyDescent="0.3">
      <c r="A2987" t="s">
        <v>2387</v>
      </c>
      <c r="B2987" s="5">
        <v>49</v>
      </c>
      <c r="C2987" s="5" t="str" cm="1">
        <f t="array" ref="C2987">_xlfn.IFS(worksheet[[#This Row],[age]]&lt;25,"1. Young Adulthood (18-24)",worksheet[[#This Row],[age]]&lt; 35,"2. Early Adulthood (25-34)",worksheet[[#This Row],[age]]&lt; 45,"3. Mid Adulthood (35-44)",worksheet[[#This Row],[age]]&lt; 55,"4. Mature Adulthood (45-54)",TRUE,"5. Late Adulthood/Senior (55+)")</f>
        <v>4. Mature Adulthood (45-54)</v>
      </c>
      <c r="D2987" t="s">
        <v>41</v>
      </c>
      <c r="E2987" t="s">
        <v>16</v>
      </c>
      <c r="F2987" s="4">
        <v>5.3</v>
      </c>
      <c r="G2987" s="5">
        <v>44</v>
      </c>
      <c r="H2987" t="s">
        <v>33</v>
      </c>
      <c r="I2987" t="s">
        <v>18</v>
      </c>
      <c r="J2987" s="6">
        <v>8.99</v>
      </c>
      <c r="K2987">
        <v>1</v>
      </c>
      <c r="L2987" t="s">
        <v>61</v>
      </c>
      <c r="M2987" s="5">
        <v>3</v>
      </c>
      <c r="N2987" s="4">
        <v>0.12</v>
      </c>
      <c r="O2987" t="s">
        <v>47</v>
      </c>
    </row>
    <row r="2988" spans="1:15" x14ac:dyDescent="0.3">
      <c r="A2988" t="s">
        <v>2401</v>
      </c>
      <c r="B2988" s="5">
        <v>53</v>
      </c>
      <c r="C2988" s="5" t="str" cm="1">
        <f t="array" ref="C2988">_xlfn.IFS(worksheet[[#This Row],[age]]&lt;25,"1. Young Adulthood (18-24)",worksheet[[#This Row],[age]]&lt; 35,"2. Early Adulthood (25-34)",worksheet[[#This Row],[age]]&lt; 45,"3. Mid Adulthood (35-44)",worksheet[[#This Row],[age]]&lt; 55,"4. Mature Adulthood (45-54)",TRUE,"5. Late Adulthood/Senior (55+)")</f>
        <v>4. Mature Adulthood (45-54)</v>
      </c>
      <c r="D2988" t="s">
        <v>15</v>
      </c>
      <c r="E2988" t="s">
        <v>32</v>
      </c>
      <c r="F2988" s="4">
        <v>4.49</v>
      </c>
      <c r="G2988" s="5">
        <v>10</v>
      </c>
      <c r="H2988" t="s">
        <v>49</v>
      </c>
      <c r="I2988" t="s">
        <v>57</v>
      </c>
      <c r="J2988" s="6">
        <v>17.989999999999998</v>
      </c>
      <c r="K2988">
        <v>1</v>
      </c>
      <c r="L2988" t="s">
        <v>37</v>
      </c>
      <c r="M2988" s="5">
        <v>1</v>
      </c>
      <c r="N2988" s="4">
        <v>0.41</v>
      </c>
      <c r="O2988" t="s">
        <v>20</v>
      </c>
    </row>
    <row r="2989" spans="1:15" x14ac:dyDescent="0.3">
      <c r="A2989" t="s">
        <v>2402</v>
      </c>
      <c r="B2989" s="5">
        <v>45</v>
      </c>
      <c r="C2989" s="5" t="str" cm="1">
        <f t="array" ref="C2989">_xlfn.IFS(worksheet[[#This Row],[age]]&lt;25,"1. Young Adulthood (18-24)",worksheet[[#This Row],[age]]&lt; 35,"2. Early Adulthood (25-34)",worksheet[[#This Row],[age]]&lt; 45,"3. Mid Adulthood (35-44)",worksheet[[#This Row],[age]]&lt; 55,"4. Mature Adulthood (45-54)",TRUE,"5. Late Adulthood/Senior (55+)")</f>
        <v>4. Mature Adulthood (45-54)</v>
      </c>
      <c r="D2989" t="s">
        <v>41</v>
      </c>
      <c r="E2989" t="s">
        <v>16</v>
      </c>
      <c r="F2989" s="4">
        <v>4.22</v>
      </c>
      <c r="G2989" s="5">
        <v>18</v>
      </c>
      <c r="H2989" t="s">
        <v>17</v>
      </c>
      <c r="I2989" t="s">
        <v>55</v>
      </c>
      <c r="J2989" s="6">
        <v>8.99</v>
      </c>
      <c r="K2989">
        <v>1</v>
      </c>
      <c r="L2989" t="s">
        <v>29</v>
      </c>
      <c r="M2989" s="5">
        <v>3</v>
      </c>
      <c r="N2989" s="4">
        <v>0.22</v>
      </c>
      <c r="O2989" t="s">
        <v>25</v>
      </c>
    </row>
    <row r="2990" spans="1:15" x14ac:dyDescent="0.3">
      <c r="A2990" t="s">
        <v>2405</v>
      </c>
      <c r="B2990" s="5">
        <v>53</v>
      </c>
      <c r="C2990" s="5" t="str" cm="1">
        <f t="array" ref="C2990">_xlfn.IFS(worksheet[[#This Row],[age]]&lt;25,"1. Young Adulthood (18-24)",worksheet[[#This Row],[age]]&lt; 35,"2. Early Adulthood (25-34)",worksheet[[#This Row],[age]]&lt; 45,"3. Mid Adulthood (35-44)",worksheet[[#This Row],[age]]&lt; 55,"4. Mature Adulthood (45-54)",TRUE,"5. Late Adulthood/Senior (55+)")</f>
        <v>4. Mature Adulthood (45-54)</v>
      </c>
      <c r="D2990" t="s">
        <v>15</v>
      </c>
      <c r="E2990" t="s">
        <v>32</v>
      </c>
      <c r="F2990" s="4">
        <v>27.73</v>
      </c>
      <c r="G2990" s="5">
        <v>32</v>
      </c>
      <c r="H2990" t="s">
        <v>17</v>
      </c>
      <c r="I2990" t="s">
        <v>55</v>
      </c>
      <c r="J2990" s="6">
        <v>17.989999999999998</v>
      </c>
      <c r="K2990">
        <v>0</v>
      </c>
      <c r="L2990" t="s">
        <v>37</v>
      </c>
      <c r="M2990" s="5">
        <v>4</v>
      </c>
      <c r="N2990" s="4">
        <v>0.84</v>
      </c>
      <c r="O2990" t="s">
        <v>47</v>
      </c>
    </row>
    <row r="2991" spans="1:15" x14ac:dyDescent="0.3">
      <c r="A2991" t="s">
        <v>2410</v>
      </c>
      <c r="B2991" s="5">
        <v>51</v>
      </c>
      <c r="C2991" s="5" t="str" cm="1">
        <f t="array" ref="C2991">_xlfn.IFS(worksheet[[#This Row],[age]]&lt;25,"1. Young Adulthood (18-24)",worksheet[[#This Row],[age]]&lt; 35,"2. Early Adulthood (25-34)",worksheet[[#This Row],[age]]&lt; 45,"3. Mid Adulthood (35-44)",worksheet[[#This Row],[age]]&lt; 55,"4. Mature Adulthood (45-54)",TRUE,"5. Late Adulthood/Senior (55+)")</f>
        <v>4. Mature Adulthood (45-54)</v>
      </c>
      <c r="D2991" t="s">
        <v>41</v>
      </c>
      <c r="E2991" t="s">
        <v>16</v>
      </c>
      <c r="F2991" s="4">
        <v>7.54</v>
      </c>
      <c r="G2991" s="5">
        <v>5</v>
      </c>
      <c r="H2991" t="s">
        <v>23</v>
      </c>
      <c r="I2991" t="s">
        <v>55</v>
      </c>
      <c r="J2991" s="6">
        <v>8.99</v>
      </c>
      <c r="K2991">
        <v>0</v>
      </c>
      <c r="L2991" t="s">
        <v>37</v>
      </c>
      <c r="M2991" s="5">
        <v>4</v>
      </c>
      <c r="N2991" s="4">
        <v>1.26</v>
      </c>
      <c r="O2991" t="s">
        <v>20</v>
      </c>
    </row>
    <row r="2992" spans="1:15" x14ac:dyDescent="0.3">
      <c r="A2992" t="s">
        <v>2421</v>
      </c>
      <c r="B2992" s="5">
        <v>46</v>
      </c>
      <c r="C2992" s="5" t="str" cm="1">
        <f t="array" ref="C2992">_xlfn.IFS(worksheet[[#This Row],[age]]&lt;25,"1. Young Adulthood (18-24)",worksheet[[#This Row],[age]]&lt; 35,"2. Early Adulthood (25-34)",worksheet[[#This Row],[age]]&lt; 45,"3. Mid Adulthood (35-44)",worksheet[[#This Row],[age]]&lt; 55,"4. Mature Adulthood (45-54)",TRUE,"5. Late Adulthood/Senior (55+)")</f>
        <v>4. Mature Adulthood (45-54)</v>
      </c>
      <c r="D2992" t="s">
        <v>15</v>
      </c>
      <c r="E2992" t="s">
        <v>16</v>
      </c>
      <c r="F2992" s="4">
        <v>13.83</v>
      </c>
      <c r="G2992" s="5">
        <v>44</v>
      </c>
      <c r="H2992" t="s">
        <v>70</v>
      </c>
      <c r="I2992" t="s">
        <v>24</v>
      </c>
      <c r="J2992" s="6">
        <v>8.99</v>
      </c>
      <c r="K2992">
        <v>1</v>
      </c>
      <c r="L2992" t="s">
        <v>37</v>
      </c>
      <c r="M2992" s="5">
        <v>4</v>
      </c>
      <c r="N2992" s="4">
        <v>0.31</v>
      </c>
      <c r="O2992" t="s">
        <v>20</v>
      </c>
    </row>
    <row r="2993" spans="1:15" x14ac:dyDescent="0.3">
      <c r="A2993" t="s">
        <v>2429</v>
      </c>
      <c r="B2993" s="5">
        <v>51</v>
      </c>
      <c r="C2993" s="5" t="str" cm="1">
        <f t="array" ref="C2993">_xlfn.IFS(worksheet[[#This Row],[age]]&lt;25,"1. Young Adulthood (18-24)",worksheet[[#This Row],[age]]&lt; 35,"2. Early Adulthood (25-34)",worksheet[[#This Row],[age]]&lt; 45,"3. Mid Adulthood (35-44)",worksheet[[#This Row],[age]]&lt; 55,"4. Mature Adulthood (45-54)",TRUE,"5. Late Adulthood/Senior (55+)")</f>
        <v>4. Mature Adulthood (45-54)</v>
      </c>
      <c r="D2993" t="s">
        <v>41</v>
      </c>
      <c r="E2993" t="s">
        <v>32</v>
      </c>
      <c r="F2993" s="4">
        <v>7.92</v>
      </c>
      <c r="G2993" s="5">
        <v>16</v>
      </c>
      <c r="H2993" t="s">
        <v>17</v>
      </c>
      <c r="I2993" t="s">
        <v>24</v>
      </c>
      <c r="J2993" s="6">
        <v>17.989999999999998</v>
      </c>
      <c r="K2993">
        <v>0</v>
      </c>
      <c r="L2993" t="s">
        <v>37</v>
      </c>
      <c r="M2993" s="5">
        <v>2</v>
      </c>
      <c r="N2993" s="4">
        <v>0.47</v>
      </c>
      <c r="O2993" t="s">
        <v>52</v>
      </c>
    </row>
    <row r="2994" spans="1:15" x14ac:dyDescent="0.3">
      <c r="A2994" t="s">
        <v>2444</v>
      </c>
      <c r="B2994" s="5">
        <v>54</v>
      </c>
      <c r="C2994" s="5" t="str" cm="1">
        <f t="array" ref="C2994">_xlfn.IFS(worksheet[[#This Row],[age]]&lt;25,"1. Young Adulthood (18-24)",worksheet[[#This Row],[age]]&lt; 35,"2. Early Adulthood (25-34)",worksheet[[#This Row],[age]]&lt; 45,"3. Mid Adulthood (35-44)",worksheet[[#This Row],[age]]&lt; 55,"4. Mature Adulthood (45-54)",TRUE,"5. Late Adulthood/Senior (55+)")</f>
        <v>4. Mature Adulthood (45-54)</v>
      </c>
      <c r="D2994" t="s">
        <v>41</v>
      </c>
      <c r="E2994" t="s">
        <v>22</v>
      </c>
      <c r="F2994" s="4">
        <v>15.65</v>
      </c>
      <c r="G2994" s="5">
        <v>53</v>
      </c>
      <c r="H2994" t="s">
        <v>33</v>
      </c>
      <c r="I2994" t="s">
        <v>57</v>
      </c>
      <c r="J2994" s="6">
        <v>13.99</v>
      </c>
      <c r="K2994">
        <v>1</v>
      </c>
      <c r="L2994" t="s">
        <v>19</v>
      </c>
      <c r="M2994" s="5">
        <v>2</v>
      </c>
      <c r="N2994" s="4">
        <v>0.28999999999999998</v>
      </c>
      <c r="O2994" t="s">
        <v>25</v>
      </c>
    </row>
    <row r="2995" spans="1:15" x14ac:dyDescent="0.3">
      <c r="A2995" t="s">
        <v>2446</v>
      </c>
      <c r="B2995" s="5">
        <v>51</v>
      </c>
      <c r="C2995" s="5" t="str" cm="1">
        <f t="array" ref="C2995">_xlfn.IFS(worksheet[[#This Row],[age]]&lt;25,"1. Young Adulthood (18-24)",worksheet[[#This Row],[age]]&lt; 35,"2. Early Adulthood (25-34)",worksheet[[#This Row],[age]]&lt; 45,"3. Mid Adulthood (35-44)",worksheet[[#This Row],[age]]&lt; 55,"4. Mature Adulthood (45-54)",TRUE,"5. Late Adulthood/Senior (55+)")</f>
        <v>4. Mature Adulthood (45-54)</v>
      </c>
      <c r="D2995" t="s">
        <v>27</v>
      </c>
      <c r="E2995" t="s">
        <v>22</v>
      </c>
      <c r="F2995" s="4">
        <v>5.79</v>
      </c>
      <c r="G2995" s="5">
        <v>47</v>
      </c>
      <c r="H2995" t="s">
        <v>49</v>
      </c>
      <c r="I2995" t="s">
        <v>24</v>
      </c>
      <c r="J2995" s="6">
        <v>13.99</v>
      </c>
      <c r="K2995">
        <v>1</v>
      </c>
      <c r="L2995" t="s">
        <v>37</v>
      </c>
      <c r="M2995" s="5">
        <v>2</v>
      </c>
      <c r="N2995" s="4">
        <v>0.12</v>
      </c>
      <c r="O2995" t="s">
        <v>52</v>
      </c>
    </row>
    <row r="2996" spans="1:15" x14ac:dyDescent="0.3">
      <c r="A2996" t="s">
        <v>2451</v>
      </c>
      <c r="B2996" s="5">
        <v>49</v>
      </c>
      <c r="C2996" s="5" t="str" cm="1">
        <f t="array" ref="C2996">_xlfn.IFS(worksheet[[#This Row],[age]]&lt;25,"1. Young Adulthood (18-24)",worksheet[[#This Row],[age]]&lt; 35,"2. Early Adulthood (25-34)",worksheet[[#This Row],[age]]&lt; 45,"3. Mid Adulthood (35-44)",worksheet[[#This Row],[age]]&lt; 55,"4. Mature Adulthood (45-54)",TRUE,"5. Late Adulthood/Senior (55+)")</f>
        <v>4. Mature Adulthood (45-54)</v>
      </c>
      <c r="D2996" t="s">
        <v>27</v>
      </c>
      <c r="E2996" t="s">
        <v>32</v>
      </c>
      <c r="F2996" s="4">
        <v>14.39</v>
      </c>
      <c r="G2996" s="5">
        <v>48</v>
      </c>
      <c r="H2996" t="s">
        <v>28</v>
      </c>
      <c r="I2996" t="s">
        <v>55</v>
      </c>
      <c r="J2996" s="6">
        <v>17.989999999999998</v>
      </c>
      <c r="K2996">
        <v>1</v>
      </c>
      <c r="L2996" t="s">
        <v>19</v>
      </c>
      <c r="M2996" s="5">
        <v>1</v>
      </c>
      <c r="N2996" s="4">
        <v>0.28999999999999998</v>
      </c>
      <c r="O2996" t="s">
        <v>20</v>
      </c>
    </row>
    <row r="2997" spans="1:15" x14ac:dyDescent="0.3">
      <c r="A2997" t="s">
        <v>2453</v>
      </c>
      <c r="B2997" s="5">
        <v>53</v>
      </c>
      <c r="C2997" s="5" t="str" cm="1">
        <f t="array" ref="C2997">_xlfn.IFS(worksheet[[#This Row],[age]]&lt;25,"1. Young Adulthood (18-24)",worksheet[[#This Row],[age]]&lt; 35,"2. Early Adulthood (25-34)",worksheet[[#This Row],[age]]&lt; 45,"3. Mid Adulthood (35-44)",worksheet[[#This Row],[age]]&lt; 55,"4. Mature Adulthood (45-54)",TRUE,"5. Late Adulthood/Senior (55+)")</f>
        <v>4. Mature Adulthood (45-54)</v>
      </c>
      <c r="D2997" t="s">
        <v>27</v>
      </c>
      <c r="E2997" t="s">
        <v>16</v>
      </c>
      <c r="F2997" s="4">
        <v>10.96</v>
      </c>
      <c r="G2997" s="5">
        <v>15</v>
      </c>
      <c r="H2997" t="s">
        <v>49</v>
      </c>
      <c r="I2997" t="s">
        <v>18</v>
      </c>
      <c r="J2997" s="6">
        <v>8.99</v>
      </c>
      <c r="K2997">
        <v>0</v>
      </c>
      <c r="L2997" t="s">
        <v>43</v>
      </c>
      <c r="M2997" s="5">
        <v>2</v>
      </c>
      <c r="N2997" s="4">
        <v>0.69</v>
      </c>
      <c r="O2997" t="s">
        <v>47</v>
      </c>
    </row>
    <row r="2998" spans="1:15" x14ac:dyDescent="0.3">
      <c r="A2998" t="s">
        <v>2461</v>
      </c>
      <c r="B2998" s="5">
        <v>52</v>
      </c>
      <c r="C2998" s="5" t="str" cm="1">
        <f t="array" ref="C2998">_xlfn.IFS(worksheet[[#This Row],[age]]&lt;25,"1. Young Adulthood (18-24)",worksheet[[#This Row],[age]]&lt; 35,"2. Early Adulthood (25-34)",worksheet[[#This Row],[age]]&lt; 45,"3. Mid Adulthood (35-44)",worksheet[[#This Row],[age]]&lt; 55,"4. Mature Adulthood (45-54)",TRUE,"5. Late Adulthood/Senior (55+)")</f>
        <v>4. Mature Adulthood (45-54)</v>
      </c>
      <c r="D2998" t="s">
        <v>41</v>
      </c>
      <c r="E2998" t="s">
        <v>22</v>
      </c>
      <c r="F2998" s="4">
        <v>5.03</v>
      </c>
      <c r="G2998" s="5">
        <v>4</v>
      </c>
      <c r="H2998" t="s">
        <v>23</v>
      </c>
      <c r="I2998" t="s">
        <v>55</v>
      </c>
      <c r="J2998" s="6">
        <v>13.99</v>
      </c>
      <c r="K2998">
        <v>0</v>
      </c>
      <c r="L2998" t="s">
        <v>37</v>
      </c>
      <c r="M2998" s="5">
        <v>5</v>
      </c>
      <c r="N2998" s="4">
        <v>1.01</v>
      </c>
      <c r="O2998" t="s">
        <v>25</v>
      </c>
    </row>
    <row r="2999" spans="1:15" x14ac:dyDescent="0.3">
      <c r="A2999" t="s">
        <v>2468</v>
      </c>
      <c r="B2999" s="5">
        <v>51</v>
      </c>
      <c r="C2999" s="5" t="str" cm="1">
        <f t="array" ref="C2999">_xlfn.IFS(worksheet[[#This Row],[age]]&lt;25,"1. Young Adulthood (18-24)",worksheet[[#This Row],[age]]&lt; 35,"2. Early Adulthood (25-34)",worksheet[[#This Row],[age]]&lt; 45,"3. Mid Adulthood (35-44)",worksheet[[#This Row],[age]]&lt; 55,"4. Mature Adulthood (45-54)",TRUE,"5. Late Adulthood/Senior (55+)")</f>
        <v>4. Mature Adulthood (45-54)</v>
      </c>
      <c r="D2999" t="s">
        <v>15</v>
      </c>
      <c r="E2999" t="s">
        <v>16</v>
      </c>
      <c r="F2999" s="4">
        <v>51.43</v>
      </c>
      <c r="G2999" s="5">
        <v>34</v>
      </c>
      <c r="H2999" t="s">
        <v>49</v>
      </c>
      <c r="I2999" t="s">
        <v>57</v>
      </c>
      <c r="J2999" s="6">
        <v>8.99</v>
      </c>
      <c r="K2999">
        <v>0</v>
      </c>
      <c r="L2999" t="s">
        <v>19</v>
      </c>
      <c r="M2999" s="5">
        <v>5</v>
      </c>
      <c r="N2999" s="4">
        <v>1.47</v>
      </c>
      <c r="O2999" t="s">
        <v>34</v>
      </c>
    </row>
    <row r="3000" spans="1:15" x14ac:dyDescent="0.3">
      <c r="A3000" t="s">
        <v>2469</v>
      </c>
      <c r="B3000" s="5">
        <v>52</v>
      </c>
      <c r="C3000" s="5" t="str" cm="1">
        <f t="array" ref="C3000">_xlfn.IFS(worksheet[[#This Row],[age]]&lt;25,"1. Young Adulthood (18-24)",worksheet[[#This Row],[age]]&lt; 35,"2. Early Adulthood (25-34)",worksheet[[#This Row],[age]]&lt; 45,"3. Mid Adulthood (35-44)",worksheet[[#This Row],[age]]&lt; 55,"4. Mature Adulthood (45-54)",TRUE,"5. Late Adulthood/Senior (55+)")</f>
        <v>4. Mature Adulthood (45-54)</v>
      </c>
      <c r="D3000" t="s">
        <v>41</v>
      </c>
      <c r="E3000" t="s">
        <v>22</v>
      </c>
      <c r="F3000" s="4">
        <v>21.89</v>
      </c>
      <c r="G3000" s="5">
        <v>3</v>
      </c>
      <c r="H3000" t="s">
        <v>23</v>
      </c>
      <c r="I3000" t="s">
        <v>24</v>
      </c>
      <c r="J3000" s="6">
        <v>13.99</v>
      </c>
      <c r="K3000">
        <v>0</v>
      </c>
      <c r="L3000" t="s">
        <v>43</v>
      </c>
      <c r="M3000" s="5">
        <v>1</v>
      </c>
      <c r="N3000" s="4">
        <v>5.47</v>
      </c>
      <c r="O3000" t="s">
        <v>34</v>
      </c>
    </row>
    <row r="3001" spans="1:15" x14ac:dyDescent="0.3">
      <c r="A3001" t="s">
        <v>2477</v>
      </c>
      <c r="B3001" s="5">
        <v>50</v>
      </c>
      <c r="C3001" s="5" t="str" cm="1">
        <f t="array" ref="C3001">_xlfn.IFS(worksheet[[#This Row],[age]]&lt;25,"1. Young Adulthood (18-24)",worksheet[[#This Row],[age]]&lt; 35,"2. Early Adulthood (25-34)",worksheet[[#This Row],[age]]&lt; 45,"3. Mid Adulthood (35-44)",worksheet[[#This Row],[age]]&lt; 55,"4. Mature Adulthood (45-54)",TRUE,"5. Late Adulthood/Senior (55+)")</f>
        <v>4. Mature Adulthood (45-54)</v>
      </c>
      <c r="D3001" t="s">
        <v>15</v>
      </c>
      <c r="E3001" t="s">
        <v>16</v>
      </c>
      <c r="F3001" s="4">
        <v>6.53</v>
      </c>
      <c r="G3001" s="5">
        <v>19</v>
      </c>
      <c r="H3001" t="s">
        <v>23</v>
      </c>
      <c r="I3001" t="s">
        <v>24</v>
      </c>
      <c r="J3001" s="6">
        <v>8.99</v>
      </c>
      <c r="K3001">
        <v>0</v>
      </c>
      <c r="L3001" t="s">
        <v>29</v>
      </c>
      <c r="M3001" s="5">
        <v>5</v>
      </c>
      <c r="N3001" s="4">
        <v>0.33</v>
      </c>
      <c r="O3001" t="s">
        <v>25</v>
      </c>
    </row>
    <row r="3002" spans="1:15" x14ac:dyDescent="0.3">
      <c r="A3002" t="s">
        <v>2479</v>
      </c>
      <c r="B3002" s="5">
        <v>51</v>
      </c>
      <c r="C3002" s="5" t="str" cm="1">
        <f t="array" ref="C3002">_xlfn.IFS(worksheet[[#This Row],[age]]&lt;25,"1. Young Adulthood (18-24)",worksheet[[#This Row],[age]]&lt; 35,"2. Early Adulthood (25-34)",worksheet[[#This Row],[age]]&lt; 45,"3. Mid Adulthood (35-44)",worksheet[[#This Row],[age]]&lt; 55,"4. Mature Adulthood (45-54)",TRUE,"5. Late Adulthood/Senior (55+)")</f>
        <v>4. Mature Adulthood (45-54)</v>
      </c>
      <c r="D3002" t="s">
        <v>15</v>
      </c>
      <c r="E3002" t="s">
        <v>32</v>
      </c>
      <c r="F3002" s="4">
        <v>10.47</v>
      </c>
      <c r="G3002" s="5">
        <v>22</v>
      </c>
      <c r="H3002" t="s">
        <v>49</v>
      </c>
      <c r="I3002" t="s">
        <v>57</v>
      </c>
      <c r="J3002" s="6">
        <v>17.989999999999998</v>
      </c>
      <c r="K3002">
        <v>0</v>
      </c>
      <c r="L3002" t="s">
        <v>61</v>
      </c>
      <c r="M3002" s="5">
        <v>2</v>
      </c>
      <c r="N3002" s="4">
        <v>0.46</v>
      </c>
      <c r="O3002" t="s">
        <v>34</v>
      </c>
    </row>
    <row r="3003" spans="1:15" x14ac:dyDescent="0.3">
      <c r="A3003" t="s">
        <v>2484</v>
      </c>
      <c r="B3003" s="5">
        <v>53</v>
      </c>
      <c r="C3003" s="5" t="str" cm="1">
        <f t="array" ref="C3003">_xlfn.IFS(worksheet[[#This Row],[age]]&lt;25,"1. Young Adulthood (18-24)",worksheet[[#This Row],[age]]&lt; 35,"2. Early Adulthood (25-34)",worksheet[[#This Row],[age]]&lt; 45,"3. Mid Adulthood (35-44)",worksheet[[#This Row],[age]]&lt; 55,"4. Mature Adulthood (45-54)",TRUE,"5. Late Adulthood/Senior (55+)")</f>
        <v>4. Mature Adulthood (45-54)</v>
      </c>
      <c r="D3003" t="s">
        <v>41</v>
      </c>
      <c r="E3003" t="s">
        <v>16</v>
      </c>
      <c r="F3003" s="4">
        <v>7.21</v>
      </c>
      <c r="G3003" s="5">
        <v>53</v>
      </c>
      <c r="H3003" t="s">
        <v>70</v>
      </c>
      <c r="I3003" t="s">
        <v>24</v>
      </c>
      <c r="J3003" s="6">
        <v>8.99</v>
      </c>
      <c r="K3003">
        <v>1</v>
      </c>
      <c r="L3003" t="s">
        <v>61</v>
      </c>
      <c r="M3003" s="5">
        <v>3</v>
      </c>
      <c r="N3003" s="4">
        <v>0.13</v>
      </c>
      <c r="O3003" t="s">
        <v>47</v>
      </c>
    </row>
    <row r="3004" spans="1:15" x14ac:dyDescent="0.3">
      <c r="A3004" t="s">
        <v>2489</v>
      </c>
      <c r="B3004" s="5">
        <v>45</v>
      </c>
      <c r="C3004" s="5" t="str" cm="1">
        <f t="array" ref="C3004">_xlfn.IFS(worksheet[[#This Row],[age]]&lt;25,"1. Young Adulthood (18-24)",worksheet[[#This Row],[age]]&lt; 35,"2. Early Adulthood (25-34)",worksheet[[#This Row],[age]]&lt; 45,"3. Mid Adulthood (35-44)",worksheet[[#This Row],[age]]&lt; 55,"4. Mature Adulthood (45-54)",TRUE,"5. Late Adulthood/Senior (55+)")</f>
        <v>4. Mature Adulthood (45-54)</v>
      </c>
      <c r="D3004" t="s">
        <v>15</v>
      </c>
      <c r="E3004" t="s">
        <v>22</v>
      </c>
      <c r="F3004" s="4">
        <v>12.64</v>
      </c>
      <c r="G3004" s="5">
        <v>33</v>
      </c>
      <c r="H3004" t="s">
        <v>70</v>
      </c>
      <c r="I3004" t="s">
        <v>55</v>
      </c>
      <c r="J3004" s="6">
        <v>13.99</v>
      </c>
      <c r="K3004">
        <v>1</v>
      </c>
      <c r="L3004" t="s">
        <v>29</v>
      </c>
      <c r="M3004" s="5">
        <v>4</v>
      </c>
      <c r="N3004" s="4">
        <v>0.37</v>
      </c>
      <c r="O3004" t="s">
        <v>39</v>
      </c>
    </row>
    <row r="3005" spans="1:15" x14ac:dyDescent="0.3">
      <c r="A3005" t="s">
        <v>2491</v>
      </c>
      <c r="B3005" s="5">
        <v>45</v>
      </c>
      <c r="C3005" s="5" t="str" cm="1">
        <f t="array" ref="C3005">_xlfn.IFS(worksheet[[#This Row],[age]]&lt;25,"1. Young Adulthood (18-24)",worksheet[[#This Row],[age]]&lt; 35,"2. Early Adulthood (25-34)",worksheet[[#This Row],[age]]&lt; 45,"3. Mid Adulthood (35-44)",worksheet[[#This Row],[age]]&lt; 55,"4. Mature Adulthood (45-54)",TRUE,"5. Late Adulthood/Senior (55+)")</f>
        <v>4. Mature Adulthood (45-54)</v>
      </c>
      <c r="D3005" t="s">
        <v>15</v>
      </c>
      <c r="E3005" t="s">
        <v>32</v>
      </c>
      <c r="F3005" s="4">
        <v>21.12</v>
      </c>
      <c r="G3005" s="5">
        <v>27</v>
      </c>
      <c r="H3005" t="s">
        <v>33</v>
      </c>
      <c r="I3005" t="s">
        <v>55</v>
      </c>
      <c r="J3005" s="6">
        <v>17.989999999999998</v>
      </c>
      <c r="K3005">
        <v>0</v>
      </c>
      <c r="L3005" t="s">
        <v>61</v>
      </c>
      <c r="M3005" s="5">
        <v>5</v>
      </c>
      <c r="N3005" s="4">
        <v>0.75</v>
      </c>
      <c r="O3005" t="s">
        <v>30</v>
      </c>
    </row>
    <row r="3006" spans="1:15" x14ac:dyDescent="0.3">
      <c r="A3006" t="s">
        <v>2493</v>
      </c>
      <c r="B3006" s="5">
        <v>48</v>
      </c>
      <c r="C3006" s="5" t="str" cm="1">
        <f t="array" ref="C3006">_xlfn.IFS(worksheet[[#This Row],[age]]&lt;25,"1. Young Adulthood (18-24)",worksheet[[#This Row],[age]]&lt; 35,"2. Early Adulthood (25-34)",worksheet[[#This Row],[age]]&lt; 45,"3. Mid Adulthood (35-44)",worksheet[[#This Row],[age]]&lt; 55,"4. Mature Adulthood (45-54)",TRUE,"5. Late Adulthood/Senior (55+)")</f>
        <v>4. Mature Adulthood (45-54)</v>
      </c>
      <c r="D3006" t="s">
        <v>15</v>
      </c>
      <c r="E3006" t="s">
        <v>22</v>
      </c>
      <c r="F3006" s="4">
        <v>3.22</v>
      </c>
      <c r="G3006" s="5">
        <v>33</v>
      </c>
      <c r="H3006" t="s">
        <v>28</v>
      </c>
      <c r="I3006" t="s">
        <v>55</v>
      </c>
      <c r="J3006" s="6">
        <v>13.99</v>
      </c>
      <c r="K3006">
        <v>1</v>
      </c>
      <c r="L3006" t="s">
        <v>43</v>
      </c>
      <c r="M3006" s="5">
        <v>1</v>
      </c>
      <c r="N3006" s="4">
        <v>0.09</v>
      </c>
      <c r="O3006" t="s">
        <v>47</v>
      </c>
    </row>
    <row r="3007" spans="1:15" x14ac:dyDescent="0.3">
      <c r="A3007" t="s">
        <v>2497</v>
      </c>
      <c r="B3007" s="5">
        <v>50</v>
      </c>
      <c r="C3007" s="5" t="str" cm="1">
        <f t="array" ref="C3007">_xlfn.IFS(worksheet[[#This Row],[age]]&lt;25,"1. Young Adulthood (18-24)",worksheet[[#This Row],[age]]&lt; 35,"2. Early Adulthood (25-34)",worksheet[[#This Row],[age]]&lt; 45,"3. Mid Adulthood (35-44)",worksheet[[#This Row],[age]]&lt; 55,"4. Mature Adulthood (45-54)",TRUE,"5. Late Adulthood/Senior (55+)")</f>
        <v>4. Mature Adulthood (45-54)</v>
      </c>
      <c r="D3007" t="s">
        <v>27</v>
      </c>
      <c r="E3007" t="s">
        <v>22</v>
      </c>
      <c r="F3007" s="4">
        <v>19.48</v>
      </c>
      <c r="G3007" s="5">
        <v>49</v>
      </c>
      <c r="H3007" t="s">
        <v>23</v>
      </c>
      <c r="I3007" t="s">
        <v>46</v>
      </c>
      <c r="J3007" s="6">
        <v>13.99</v>
      </c>
      <c r="K3007">
        <v>1</v>
      </c>
      <c r="L3007" t="s">
        <v>19</v>
      </c>
      <c r="M3007" s="5">
        <v>3</v>
      </c>
      <c r="N3007" s="4">
        <v>0.39</v>
      </c>
      <c r="O3007" t="s">
        <v>47</v>
      </c>
    </row>
    <row r="3008" spans="1:15" x14ac:dyDescent="0.3">
      <c r="A3008" t="s">
        <v>2503</v>
      </c>
      <c r="B3008" s="5">
        <v>54</v>
      </c>
      <c r="C3008" s="5" t="str" cm="1">
        <f t="array" ref="C3008">_xlfn.IFS(worksheet[[#This Row],[age]]&lt;25,"1. Young Adulthood (18-24)",worksheet[[#This Row],[age]]&lt; 35,"2. Early Adulthood (25-34)",worksheet[[#This Row],[age]]&lt; 45,"3. Mid Adulthood (35-44)",worksheet[[#This Row],[age]]&lt; 55,"4. Mature Adulthood (45-54)",TRUE,"5. Late Adulthood/Senior (55+)")</f>
        <v>4. Mature Adulthood (45-54)</v>
      </c>
      <c r="D3008" t="s">
        <v>15</v>
      </c>
      <c r="E3008" t="s">
        <v>16</v>
      </c>
      <c r="F3008" s="4">
        <v>9.92</v>
      </c>
      <c r="G3008" s="5">
        <v>27</v>
      </c>
      <c r="H3008" t="s">
        <v>28</v>
      </c>
      <c r="I3008" t="s">
        <v>46</v>
      </c>
      <c r="J3008" s="6">
        <v>8.99</v>
      </c>
      <c r="K3008">
        <v>1</v>
      </c>
      <c r="L3008" t="s">
        <v>61</v>
      </c>
      <c r="M3008" s="5">
        <v>1</v>
      </c>
      <c r="N3008" s="4">
        <v>0.35</v>
      </c>
      <c r="O3008" t="s">
        <v>30</v>
      </c>
    </row>
    <row r="3009" spans="1:15" x14ac:dyDescent="0.3">
      <c r="A3009" t="s">
        <v>2510</v>
      </c>
      <c r="B3009" s="5">
        <v>50</v>
      </c>
      <c r="C3009" s="5" t="str" cm="1">
        <f t="array" ref="C3009">_xlfn.IFS(worksheet[[#This Row],[age]]&lt;25,"1. Young Adulthood (18-24)",worksheet[[#This Row],[age]]&lt; 35,"2. Early Adulthood (25-34)",worksheet[[#This Row],[age]]&lt; 45,"3. Mid Adulthood (35-44)",worksheet[[#This Row],[age]]&lt; 55,"4. Mature Adulthood (45-54)",TRUE,"5. Late Adulthood/Senior (55+)")</f>
        <v>4. Mature Adulthood (45-54)</v>
      </c>
      <c r="D3009" t="s">
        <v>41</v>
      </c>
      <c r="E3009" t="s">
        <v>22</v>
      </c>
      <c r="F3009" s="4">
        <v>1.96</v>
      </c>
      <c r="G3009" s="5">
        <v>60</v>
      </c>
      <c r="H3009" t="s">
        <v>33</v>
      </c>
      <c r="I3009" t="s">
        <v>46</v>
      </c>
      <c r="J3009" s="6">
        <v>13.99</v>
      </c>
      <c r="K3009">
        <v>1</v>
      </c>
      <c r="L3009" t="s">
        <v>29</v>
      </c>
      <c r="M3009" s="5">
        <v>2</v>
      </c>
      <c r="N3009" s="4">
        <v>0.03</v>
      </c>
      <c r="O3009" t="s">
        <v>34</v>
      </c>
    </row>
    <row r="3010" spans="1:15" x14ac:dyDescent="0.3">
      <c r="A3010" t="s">
        <v>2512</v>
      </c>
      <c r="B3010" s="5">
        <v>46</v>
      </c>
      <c r="C3010" s="5" t="str" cm="1">
        <f t="array" ref="C3010">_xlfn.IFS(worksheet[[#This Row],[age]]&lt;25,"1. Young Adulthood (18-24)",worksheet[[#This Row],[age]]&lt; 35,"2. Early Adulthood (25-34)",worksheet[[#This Row],[age]]&lt; 45,"3. Mid Adulthood (35-44)",worksheet[[#This Row],[age]]&lt; 55,"4. Mature Adulthood (45-54)",TRUE,"5. Late Adulthood/Senior (55+)")</f>
        <v>4. Mature Adulthood (45-54)</v>
      </c>
      <c r="D3010" t="s">
        <v>27</v>
      </c>
      <c r="E3010" t="s">
        <v>32</v>
      </c>
      <c r="F3010" s="4">
        <v>0.5</v>
      </c>
      <c r="G3010" s="5">
        <v>51</v>
      </c>
      <c r="H3010" t="s">
        <v>49</v>
      </c>
      <c r="I3010" t="s">
        <v>57</v>
      </c>
      <c r="J3010" s="6">
        <v>17.989999999999998</v>
      </c>
      <c r="K3010">
        <v>1</v>
      </c>
      <c r="L3010" t="s">
        <v>37</v>
      </c>
      <c r="M3010" s="5">
        <v>4</v>
      </c>
      <c r="N3010" s="4">
        <v>0.01</v>
      </c>
      <c r="O3010" t="s">
        <v>47</v>
      </c>
    </row>
    <row r="3011" spans="1:15" x14ac:dyDescent="0.3">
      <c r="A3011" t="s">
        <v>2531</v>
      </c>
      <c r="B3011" s="5">
        <v>46</v>
      </c>
      <c r="C3011" s="5" t="str" cm="1">
        <f t="array" ref="C3011">_xlfn.IFS(worksheet[[#This Row],[age]]&lt;25,"1. Young Adulthood (18-24)",worksheet[[#This Row],[age]]&lt; 35,"2. Early Adulthood (25-34)",worksheet[[#This Row],[age]]&lt; 45,"3. Mid Adulthood (35-44)",worksheet[[#This Row],[age]]&lt; 55,"4. Mature Adulthood (45-54)",TRUE,"5. Late Adulthood/Senior (55+)")</f>
        <v>4. Mature Adulthood (45-54)</v>
      </c>
      <c r="D3011" t="s">
        <v>15</v>
      </c>
      <c r="E3011" t="s">
        <v>22</v>
      </c>
      <c r="F3011" s="4">
        <v>4</v>
      </c>
      <c r="G3011" s="5">
        <v>42</v>
      </c>
      <c r="H3011" t="s">
        <v>28</v>
      </c>
      <c r="I3011" t="s">
        <v>46</v>
      </c>
      <c r="J3011" s="6">
        <v>13.99</v>
      </c>
      <c r="K3011">
        <v>1</v>
      </c>
      <c r="L3011" t="s">
        <v>61</v>
      </c>
      <c r="M3011" s="5">
        <v>3</v>
      </c>
      <c r="N3011" s="4">
        <v>0.09</v>
      </c>
      <c r="O3011" t="s">
        <v>47</v>
      </c>
    </row>
    <row r="3012" spans="1:15" x14ac:dyDescent="0.3">
      <c r="A3012" t="s">
        <v>2536</v>
      </c>
      <c r="B3012" s="5">
        <v>54</v>
      </c>
      <c r="C3012" s="5" t="str" cm="1">
        <f t="array" ref="C3012">_xlfn.IFS(worksheet[[#This Row],[age]]&lt;25,"1. Young Adulthood (18-24)",worksheet[[#This Row],[age]]&lt; 35,"2. Early Adulthood (25-34)",worksheet[[#This Row],[age]]&lt; 45,"3. Mid Adulthood (35-44)",worksheet[[#This Row],[age]]&lt; 55,"4. Mature Adulthood (45-54)",TRUE,"5. Late Adulthood/Senior (55+)")</f>
        <v>4. Mature Adulthood (45-54)</v>
      </c>
      <c r="D3012" t="s">
        <v>27</v>
      </c>
      <c r="E3012" t="s">
        <v>22</v>
      </c>
      <c r="F3012" s="4">
        <v>9.9700000000000006</v>
      </c>
      <c r="G3012" s="5">
        <v>2</v>
      </c>
      <c r="H3012" t="s">
        <v>28</v>
      </c>
      <c r="I3012" t="s">
        <v>57</v>
      </c>
      <c r="J3012" s="6">
        <v>13.99</v>
      </c>
      <c r="K3012">
        <v>0</v>
      </c>
      <c r="L3012" t="s">
        <v>37</v>
      </c>
      <c r="M3012" s="5">
        <v>2</v>
      </c>
      <c r="N3012" s="4">
        <v>3.32</v>
      </c>
      <c r="O3012" t="s">
        <v>39</v>
      </c>
    </row>
    <row r="3013" spans="1:15" x14ac:dyDescent="0.3">
      <c r="A3013" t="s">
        <v>2539</v>
      </c>
      <c r="B3013" s="5">
        <v>47</v>
      </c>
      <c r="C3013" s="5" t="str" cm="1">
        <f t="array" ref="C3013">_xlfn.IFS(worksheet[[#This Row],[age]]&lt;25,"1. Young Adulthood (18-24)",worksheet[[#This Row],[age]]&lt; 35,"2. Early Adulthood (25-34)",worksheet[[#This Row],[age]]&lt; 45,"3. Mid Adulthood (35-44)",worksheet[[#This Row],[age]]&lt; 55,"4. Mature Adulthood (45-54)",TRUE,"5. Late Adulthood/Senior (55+)")</f>
        <v>4. Mature Adulthood (45-54)</v>
      </c>
      <c r="D3013" t="s">
        <v>41</v>
      </c>
      <c r="E3013" t="s">
        <v>22</v>
      </c>
      <c r="F3013" s="4">
        <v>13.37</v>
      </c>
      <c r="G3013" s="5">
        <v>46</v>
      </c>
      <c r="H3013" t="s">
        <v>28</v>
      </c>
      <c r="I3013" t="s">
        <v>24</v>
      </c>
      <c r="J3013" s="6">
        <v>13.99</v>
      </c>
      <c r="K3013">
        <v>1</v>
      </c>
      <c r="L3013" t="s">
        <v>29</v>
      </c>
      <c r="M3013" s="5">
        <v>3</v>
      </c>
      <c r="N3013" s="4">
        <v>0.28000000000000003</v>
      </c>
      <c r="O3013" t="s">
        <v>25</v>
      </c>
    </row>
    <row r="3014" spans="1:15" x14ac:dyDescent="0.3">
      <c r="A3014" t="s">
        <v>2548</v>
      </c>
      <c r="B3014" s="5">
        <v>53</v>
      </c>
      <c r="C3014" s="5" t="str" cm="1">
        <f t="array" ref="C3014">_xlfn.IFS(worksheet[[#This Row],[age]]&lt;25,"1. Young Adulthood (18-24)",worksheet[[#This Row],[age]]&lt; 35,"2. Early Adulthood (25-34)",worksheet[[#This Row],[age]]&lt; 45,"3. Mid Adulthood (35-44)",worksheet[[#This Row],[age]]&lt; 55,"4. Mature Adulthood (45-54)",TRUE,"5. Late Adulthood/Senior (55+)")</f>
        <v>4. Mature Adulthood (45-54)</v>
      </c>
      <c r="D3014" t="s">
        <v>27</v>
      </c>
      <c r="E3014" t="s">
        <v>22</v>
      </c>
      <c r="F3014" s="4">
        <v>0.89</v>
      </c>
      <c r="G3014" s="5">
        <v>42</v>
      </c>
      <c r="H3014" t="s">
        <v>23</v>
      </c>
      <c r="I3014" t="s">
        <v>18</v>
      </c>
      <c r="J3014" s="6">
        <v>13.99</v>
      </c>
      <c r="K3014">
        <v>1</v>
      </c>
      <c r="L3014" t="s">
        <v>61</v>
      </c>
      <c r="M3014" s="5">
        <v>3</v>
      </c>
      <c r="N3014" s="4">
        <v>0.02</v>
      </c>
      <c r="O3014" t="s">
        <v>39</v>
      </c>
    </row>
    <row r="3015" spans="1:15" x14ac:dyDescent="0.3">
      <c r="A3015" t="s">
        <v>2555</v>
      </c>
      <c r="B3015" s="5">
        <v>53</v>
      </c>
      <c r="C3015" s="5" t="str" cm="1">
        <f t="array" ref="C3015">_xlfn.IFS(worksheet[[#This Row],[age]]&lt;25,"1. Young Adulthood (18-24)",worksheet[[#This Row],[age]]&lt; 35,"2. Early Adulthood (25-34)",worksheet[[#This Row],[age]]&lt; 45,"3. Mid Adulthood (35-44)",worksheet[[#This Row],[age]]&lt; 55,"4. Mature Adulthood (45-54)",TRUE,"5. Late Adulthood/Senior (55+)")</f>
        <v>4. Mature Adulthood (45-54)</v>
      </c>
      <c r="D3015" t="s">
        <v>41</v>
      </c>
      <c r="E3015" t="s">
        <v>16</v>
      </c>
      <c r="F3015" s="4">
        <v>79.83</v>
      </c>
      <c r="G3015" s="5">
        <v>27</v>
      </c>
      <c r="H3015" t="s">
        <v>33</v>
      </c>
      <c r="I3015" t="s">
        <v>18</v>
      </c>
      <c r="J3015" s="6">
        <v>8.99</v>
      </c>
      <c r="K3015">
        <v>0</v>
      </c>
      <c r="L3015" t="s">
        <v>19</v>
      </c>
      <c r="M3015" s="5">
        <v>3</v>
      </c>
      <c r="N3015" s="4">
        <v>2.85</v>
      </c>
      <c r="O3015" t="s">
        <v>25</v>
      </c>
    </row>
    <row r="3016" spans="1:15" x14ac:dyDescent="0.3">
      <c r="A3016" t="s">
        <v>2558</v>
      </c>
      <c r="B3016" s="5">
        <v>45</v>
      </c>
      <c r="C3016" s="5" t="str" cm="1">
        <f t="array" ref="C3016">_xlfn.IFS(worksheet[[#This Row],[age]]&lt;25,"1. Young Adulthood (18-24)",worksheet[[#This Row],[age]]&lt; 35,"2. Early Adulthood (25-34)",worksheet[[#This Row],[age]]&lt; 45,"3. Mid Adulthood (35-44)",worksheet[[#This Row],[age]]&lt; 55,"4. Mature Adulthood (45-54)",TRUE,"5. Late Adulthood/Senior (55+)")</f>
        <v>4. Mature Adulthood (45-54)</v>
      </c>
      <c r="D3016" t="s">
        <v>41</v>
      </c>
      <c r="E3016" t="s">
        <v>22</v>
      </c>
      <c r="F3016" s="4">
        <v>2.69</v>
      </c>
      <c r="G3016" s="5">
        <v>8</v>
      </c>
      <c r="H3016" t="s">
        <v>28</v>
      </c>
      <c r="I3016" t="s">
        <v>57</v>
      </c>
      <c r="J3016" s="6">
        <v>13.99</v>
      </c>
      <c r="K3016">
        <v>1</v>
      </c>
      <c r="L3016" t="s">
        <v>29</v>
      </c>
      <c r="M3016" s="5">
        <v>3</v>
      </c>
      <c r="N3016" s="4">
        <v>0.3</v>
      </c>
      <c r="O3016" t="s">
        <v>30</v>
      </c>
    </row>
    <row r="3017" spans="1:15" x14ac:dyDescent="0.3">
      <c r="A3017" t="s">
        <v>2559</v>
      </c>
      <c r="B3017" s="5">
        <v>53</v>
      </c>
      <c r="C3017" s="5" t="str" cm="1">
        <f t="array" ref="C3017">_xlfn.IFS(worksheet[[#This Row],[age]]&lt;25,"1. Young Adulthood (18-24)",worksheet[[#This Row],[age]]&lt; 35,"2. Early Adulthood (25-34)",worksheet[[#This Row],[age]]&lt; 45,"3. Mid Adulthood (35-44)",worksheet[[#This Row],[age]]&lt; 55,"4. Mature Adulthood (45-54)",TRUE,"5. Late Adulthood/Senior (55+)")</f>
        <v>4. Mature Adulthood (45-54)</v>
      </c>
      <c r="D3017" t="s">
        <v>27</v>
      </c>
      <c r="E3017" t="s">
        <v>16</v>
      </c>
      <c r="F3017" s="4">
        <v>0.19</v>
      </c>
      <c r="G3017" s="5">
        <v>25</v>
      </c>
      <c r="H3017" t="s">
        <v>70</v>
      </c>
      <c r="I3017" t="s">
        <v>46</v>
      </c>
      <c r="J3017" s="6">
        <v>8.99</v>
      </c>
      <c r="K3017">
        <v>1</v>
      </c>
      <c r="L3017" t="s">
        <v>43</v>
      </c>
      <c r="M3017" s="5">
        <v>4</v>
      </c>
      <c r="N3017" s="4">
        <v>0.01</v>
      </c>
      <c r="O3017" t="s">
        <v>39</v>
      </c>
    </row>
    <row r="3018" spans="1:15" x14ac:dyDescent="0.3">
      <c r="A3018" t="s">
        <v>2562</v>
      </c>
      <c r="B3018" s="5">
        <v>51</v>
      </c>
      <c r="C3018" s="5" t="str" cm="1">
        <f t="array" ref="C3018">_xlfn.IFS(worksheet[[#This Row],[age]]&lt;25,"1. Young Adulthood (18-24)",worksheet[[#This Row],[age]]&lt; 35,"2. Early Adulthood (25-34)",worksheet[[#This Row],[age]]&lt; 45,"3. Mid Adulthood (35-44)",worksheet[[#This Row],[age]]&lt; 55,"4. Mature Adulthood (45-54)",TRUE,"5. Late Adulthood/Senior (55+)")</f>
        <v>4. Mature Adulthood (45-54)</v>
      </c>
      <c r="D3018" t="s">
        <v>27</v>
      </c>
      <c r="E3018" t="s">
        <v>22</v>
      </c>
      <c r="F3018" s="4">
        <v>1.91</v>
      </c>
      <c r="G3018" s="5">
        <v>8</v>
      </c>
      <c r="H3018" t="s">
        <v>23</v>
      </c>
      <c r="I3018" t="s">
        <v>46</v>
      </c>
      <c r="J3018" s="6">
        <v>13.99</v>
      </c>
      <c r="K3018">
        <v>1</v>
      </c>
      <c r="L3018" t="s">
        <v>43</v>
      </c>
      <c r="M3018" s="5">
        <v>3</v>
      </c>
      <c r="N3018" s="4">
        <v>0.21</v>
      </c>
      <c r="O3018" t="s">
        <v>47</v>
      </c>
    </row>
    <row r="3019" spans="1:15" x14ac:dyDescent="0.3">
      <c r="A3019" t="s">
        <v>2568</v>
      </c>
      <c r="B3019" s="5">
        <v>54</v>
      </c>
      <c r="C3019" s="5" t="str" cm="1">
        <f t="array" ref="C3019">_xlfn.IFS(worksheet[[#This Row],[age]]&lt;25,"1. Young Adulthood (18-24)",worksheet[[#This Row],[age]]&lt; 35,"2. Early Adulthood (25-34)",worksheet[[#This Row],[age]]&lt; 45,"3. Mid Adulthood (35-44)",worksheet[[#This Row],[age]]&lt; 55,"4. Mature Adulthood (45-54)",TRUE,"5. Late Adulthood/Senior (55+)")</f>
        <v>4. Mature Adulthood (45-54)</v>
      </c>
      <c r="D3019" t="s">
        <v>15</v>
      </c>
      <c r="E3019" t="s">
        <v>22</v>
      </c>
      <c r="F3019" s="4">
        <v>4.6900000000000004</v>
      </c>
      <c r="G3019" s="5">
        <v>6</v>
      </c>
      <c r="H3019" t="s">
        <v>49</v>
      </c>
      <c r="I3019" t="s">
        <v>46</v>
      </c>
      <c r="J3019" s="6">
        <v>13.99</v>
      </c>
      <c r="K3019">
        <v>0</v>
      </c>
      <c r="L3019" t="s">
        <v>19</v>
      </c>
      <c r="M3019" s="5">
        <v>5</v>
      </c>
      <c r="N3019" s="4">
        <v>0.67</v>
      </c>
      <c r="O3019" t="s">
        <v>52</v>
      </c>
    </row>
    <row r="3020" spans="1:15" x14ac:dyDescent="0.3">
      <c r="A3020" t="s">
        <v>2569</v>
      </c>
      <c r="B3020" s="5">
        <v>52</v>
      </c>
      <c r="C3020" s="5" t="str" cm="1">
        <f t="array" ref="C3020">_xlfn.IFS(worksheet[[#This Row],[age]]&lt;25,"1. Young Adulthood (18-24)",worksheet[[#This Row],[age]]&lt; 35,"2. Early Adulthood (25-34)",worksheet[[#This Row],[age]]&lt; 45,"3. Mid Adulthood (35-44)",worksheet[[#This Row],[age]]&lt; 55,"4. Mature Adulthood (45-54)",TRUE,"5. Late Adulthood/Senior (55+)")</f>
        <v>4. Mature Adulthood (45-54)</v>
      </c>
      <c r="D3020" t="s">
        <v>27</v>
      </c>
      <c r="E3020" t="s">
        <v>32</v>
      </c>
      <c r="F3020" s="4">
        <v>2.0499999999999998</v>
      </c>
      <c r="G3020" s="5">
        <v>24</v>
      </c>
      <c r="H3020" t="s">
        <v>17</v>
      </c>
      <c r="I3020" t="s">
        <v>24</v>
      </c>
      <c r="J3020" s="6">
        <v>17.989999999999998</v>
      </c>
      <c r="K3020">
        <v>1</v>
      </c>
      <c r="L3020" t="s">
        <v>19</v>
      </c>
      <c r="M3020" s="5">
        <v>2</v>
      </c>
      <c r="N3020" s="4">
        <v>0.08</v>
      </c>
      <c r="O3020" t="s">
        <v>39</v>
      </c>
    </row>
    <row r="3021" spans="1:15" x14ac:dyDescent="0.3">
      <c r="A3021" t="s">
        <v>2582</v>
      </c>
      <c r="B3021" s="5">
        <v>50</v>
      </c>
      <c r="C3021" s="5" t="str" cm="1">
        <f t="array" ref="C3021">_xlfn.IFS(worksheet[[#This Row],[age]]&lt;25,"1. Young Adulthood (18-24)",worksheet[[#This Row],[age]]&lt; 35,"2. Early Adulthood (25-34)",worksheet[[#This Row],[age]]&lt; 45,"3. Mid Adulthood (35-44)",worksheet[[#This Row],[age]]&lt; 55,"4. Mature Adulthood (45-54)",TRUE,"5. Late Adulthood/Senior (55+)")</f>
        <v>4. Mature Adulthood (45-54)</v>
      </c>
      <c r="D3021" t="s">
        <v>15</v>
      </c>
      <c r="E3021" t="s">
        <v>22</v>
      </c>
      <c r="F3021" s="4">
        <v>6.11</v>
      </c>
      <c r="G3021" s="5">
        <v>12</v>
      </c>
      <c r="H3021" t="s">
        <v>17</v>
      </c>
      <c r="I3021" t="s">
        <v>18</v>
      </c>
      <c r="J3021" s="6">
        <v>13.99</v>
      </c>
      <c r="K3021">
        <v>0</v>
      </c>
      <c r="L3021" t="s">
        <v>37</v>
      </c>
      <c r="M3021" s="5">
        <v>2</v>
      </c>
      <c r="N3021" s="4">
        <v>0.47</v>
      </c>
      <c r="O3021" t="s">
        <v>52</v>
      </c>
    </row>
    <row r="3022" spans="1:15" x14ac:dyDescent="0.3">
      <c r="A3022" t="s">
        <v>2591</v>
      </c>
      <c r="B3022" s="5">
        <v>51</v>
      </c>
      <c r="C3022" s="5" t="str" cm="1">
        <f t="array" ref="C3022">_xlfn.IFS(worksheet[[#This Row],[age]]&lt;25,"1. Young Adulthood (18-24)",worksheet[[#This Row],[age]]&lt; 35,"2. Early Adulthood (25-34)",worksheet[[#This Row],[age]]&lt; 45,"3. Mid Adulthood (35-44)",worksheet[[#This Row],[age]]&lt; 55,"4. Mature Adulthood (45-54)",TRUE,"5. Late Adulthood/Senior (55+)")</f>
        <v>4. Mature Adulthood (45-54)</v>
      </c>
      <c r="D3022" t="s">
        <v>15</v>
      </c>
      <c r="E3022" t="s">
        <v>16</v>
      </c>
      <c r="F3022" s="4">
        <v>2.42</v>
      </c>
      <c r="G3022" s="5">
        <v>9</v>
      </c>
      <c r="H3022" t="s">
        <v>23</v>
      </c>
      <c r="I3022" t="s">
        <v>57</v>
      </c>
      <c r="J3022" s="6">
        <v>8.99</v>
      </c>
      <c r="K3022">
        <v>1</v>
      </c>
      <c r="L3022" t="s">
        <v>29</v>
      </c>
      <c r="M3022" s="5">
        <v>5</v>
      </c>
      <c r="N3022" s="4">
        <v>0.24</v>
      </c>
      <c r="O3022" t="s">
        <v>52</v>
      </c>
    </row>
    <row r="3023" spans="1:15" x14ac:dyDescent="0.3">
      <c r="A3023" t="s">
        <v>2594</v>
      </c>
      <c r="B3023" s="5">
        <v>51</v>
      </c>
      <c r="C3023" s="5" t="str" cm="1">
        <f t="array" ref="C3023">_xlfn.IFS(worksheet[[#This Row],[age]]&lt;25,"1. Young Adulthood (18-24)",worksheet[[#This Row],[age]]&lt; 35,"2. Early Adulthood (25-34)",worksheet[[#This Row],[age]]&lt; 45,"3. Mid Adulthood (35-44)",worksheet[[#This Row],[age]]&lt; 55,"4. Mature Adulthood (45-54)",TRUE,"5. Late Adulthood/Senior (55+)")</f>
        <v>4. Mature Adulthood (45-54)</v>
      </c>
      <c r="D3023" t="s">
        <v>15</v>
      </c>
      <c r="E3023" t="s">
        <v>32</v>
      </c>
      <c r="F3023" s="4">
        <v>7.64</v>
      </c>
      <c r="G3023" s="5">
        <v>13</v>
      </c>
      <c r="H3023" t="s">
        <v>17</v>
      </c>
      <c r="I3023" t="s">
        <v>46</v>
      </c>
      <c r="J3023" s="6">
        <v>17.989999999999998</v>
      </c>
      <c r="K3023">
        <v>0</v>
      </c>
      <c r="L3023" t="s">
        <v>19</v>
      </c>
      <c r="M3023" s="5">
        <v>2</v>
      </c>
      <c r="N3023" s="4">
        <v>0.55000000000000004</v>
      </c>
      <c r="O3023" t="s">
        <v>39</v>
      </c>
    </row>
    <row r="3024" spans="1:15" x14ac:dyDescent="0.3">
      <c r="A3024" t="s">
        <v>2596</v>
      </c>
      <c r="B3024" s="5">
        <v>53</v>
      </c>
      <c r="C3024" s="5" t="str" cm="1">
        <f t="array" ref="C3024">_xlfn.IFS(worksheet[[#This Row],[age]]&lt;25,"1. Young Adulthood (18-24)",worksheet[[#This Row],[age]]&lt; 35,"2. Early Adulthood (25-34)",worksheet[[#This Row],[age]]&lt; 45,"3. Mid Adulthood (35-44)",worksheet[[#This Row],[age]]&lt; 55,"4. Mature Adulthood (45-54)",TRUE,"5. Late Adulthood/Senior (55+)")</f>
        <v>4. Mature Adulthood (45-54)</v>
      </c>
      <c r="D3024" t="s">
        <v>15</v>
      </c>
      <c r="E3024" t="s">
        <v>32</v>
      </c>
      <c r="F3024" s="4">
        <v>21.9</v>
      </c>
      <c r="G3024" s="5">
        <v>28</v>
      </c>
      <c r="H3024" t="s">
        <v>17</v>
      </c>
      <c r="I3024" t="s">
        <v>55</v>
      </c>
      <c r="J3024" s="6">
        <v>17.989999999999998</v>
      </c>
      <c r="K3024">
        <v>0</v>
      </c>
      <c r="L3024" t="s">
        <v>61</v>
      </c>
      <c r="M3024" s="5">
        <v>2</v>
      </c>
      <c r="N3024" s="4">
        <v>0.76</v>
      </c>
      <c r="O3024" t="s">
        <v>52</v>
      </c>
    </row>
    <row r="3025" spans="1:15" x14ac:dyDescent="0.3">
      <c r="A3025" t="s">
        <v>2602</v>
      </c>
      <c r="B3025" s="5">
        <v>47</v>
      </c>
      <c r="C3025" s="5" t="str" cm="1">
        <f t="array" ref="C3025">_xlfn.IFS(worksheet[[#This Row],[age]]&lt;25,"1. Young Adulthood (18-24)",worksheet[[#This Row],[age]]&lt; 35,"2. Early Adulthood (25-34)",worksheet[[#This Row],[age]]&lt; 45,"3. Mid Adulthood (35-44)",worksheet[[#This Row],[age]]&lt; 55,"4. Mature Adulthood (45-54)",TRUE,"5. Late Adulthood/Senior (55+)")</f>
        <v>4. Mature Adulthood (45-54)</v>
      </c>
      <c r="D3025" t="s">
        <v>15</v>
      </c>
      <c r="E3025" t="s">
        <v>32</v>
      </c>
      <c r="F3025" s="4">
        <v>15.18</v>
      </c>
      <c r="G3025" s="5">
        <v>30</v>
      </c>
      <c r="H3025" t="s">
        <v>28</v>
      </c>
      <c r="I3025" t="s">
        <v>55</v>
      </c>
      <c r="J3025" s="6">
        <v>17.989999999999998</v>
      </c>
      <c r="K3025">
        <v>0</v>
      </c>
      <c r="L3025" t="s">
        <v>29</v>
      </c>
      <c r="M3025" s="5">
        <v>4</v>
      </c>
      <c r="N3025" s="4">
        <v>0.49</v>
      </c>
      <c r="O3025" t="s">
        <v>34</v>
      </c>
    </row>
    <row r="3026" spans="1:15" x14ac:dyDescent="0.3">
      <c r="A3026" t="s">
        <v>2603</v>
      </c>
      <c r="B3026" s="5">
        <v>51</v>
      </c>
      <c r="C3026" s="5" t="str" cm="1">
        <f t="array" ref="C3026">_xlfn.IFS(worksheet[[#This Row],[age]]&lt;25,"1. Young Adulthood (18-24)",worksheet[[#This Row],[age]]&lt; 35,"2. Early Adulthood (25-34)",worksheet[[#This Row],[age]]&lt; 45,"3. Mid Adulthood (35-44)",worksheet[[#This Row],[age]]&lt; 55,"4. Mature Adulthood (45-54)",TRUE,"5. Late Adulthood/Senior (55+)")</f>
        <v>4. Mature Adulthood (45-54)</v>
      </c>
      <c r="D3026" t="s">
        <v>27</v>
      </c>
      <c r="E3026" t="s">
        <v>16</v>
      </c>
      <c r="F3026" s="4">
        <v>13.92</v>
      </c>
      <c r="G3026" s="5">
        <v>29</v>
      </c>
      <c r="H3026" t="s">
        <v>49</v>
      </c>
      <c r="I3026" t="s">
        <v>55</v>
      </c>
      <c r="J3026" s="6">
        <v>8.99</v>
      </c>
      <c r="K3026">
        <v>1</v>
      </c>
      <c r="L3026" t="s">
        <v>19</v>
      </c>
      <c r="M3026" s="5">
        <v>1</v>
      </c>
      <c r="N3026" s="4">
        <v>0.46</v>
      </c>
      <c r="O3026" t="s">
        <v>30</v>
      </c>
    </row>
    <row r="3027" spans="1:15" x14ac:dyDescent="0.3">
      <c r="A3027" t="s">
        <v>2611</v>
      </c>
      <c r="B3027" s="5">
        <v>52</v>
      </c>
      <c r="C3027" s="5" t="str" cm="1">
        <f t="array" ref="C3027">_xlfn.IFS(worksheet[[#This Row],[age]]&lt;25,"1. Young Adulthood (18-24)",worksheet[[#This Row],[age]]&lt; 35,"2. Early Adulthood (25-34)",worksheet[[#This Row],[age]]&lt; 45,"3. Mid Adulthood (35-44)",worksheet[[#This Row],[age]]&lt; 55,"4. Mature Adulthood (45-54)",TRUE,"5. Late Adulthood/Senior (55+)")</f>
        <v>4. Mature Adulthood (45-54)</v>
      </c>
      <c r="D3027" t="s">
        <v>15</v>
      </c>
      <c r="E3027" t="s">
        <v>16</v>
      </c>
      <c r="F3027" s="4">
        <v>13.94</v>
      </c>
      <c r="G3027" s="5">
        <v>56</v>
      </c>
      <c r="H3027" t="s">
        <v>28</v>
      </c>
      <c r="I3027" t="s">
        <v>55</v>
      </c>
      <c r="J3027" s="6">
        <v>8.99</v>
      </c>
      <c r="K3027">
        <v>1</v>
      </c>
      <c r="L3027" t="s">
        <v>43</v>
      </c>
      <c r="M3027" s="5">
        <v>3</v>
      </c>
      <c r="N3027" s="4">
        <v>0.24</v>
      </c>
      <c r="O3027" t="s">
        <v>52</v>
      </c>
    </row>
    <row r="3028" spans="1:15" x14ac:dyDescent="0.3">
      <c r="A3028" t="s">
        <v>2614</v>
      </c>
      <c r="B3028" s="5">
        <v>53</v>
      </c>
      <c r="C3028" s="5" t="str" cm="1">
        <f t="array" ref="C3028">_xlfn.IFS(worksheet[[#This Row],[age]]&lt;25,"1. Young Adulthood (18-24)",worksheet[[#This Row],[age]]&lt; 35,"2. Early Adulthood (25-34)",worksheet[[#This Row],[age]]&lt; 45,"3. Mid Adulthood (35-44)",worksheet[[#This Row],[age]]&lt; 55,"4. Mature Adulthood (45-54)",TRUE,"5. Late Adulthood/Senior (55+)")</f>
        <v>4. Mature Adulthood (45-54)</v>
      </c>
      <c r="D3028" t="s">
        <v>15</v>
      </c>
      <c r="E3028" t="s">
        <v>22</v>
      </c>
      <c r="F3028" s="4">
        <v>39.33</v>
      </c>
      <c r="G3028" s="5">
        <v>16</v>
      </c>
      <c r="H3028" t="s">
        <v>33</v>
      </c>
      <c r="I3028" t="s">
        <v>46</v>
      </c>
      <c r="J3028" s="6">
        <v>13.99</v>
      </c>
      <c r="K3028">
        <v>0</v>
      </c>
      <c r="L3028" t="s">
        <v>37</v>
      </c>
      <c r="M3028" s="5">
        <v>4</v>
      </c>
      <c r="N3028" s="4">
        <v>2.31</v>
      </c>
      <c r="O3028" t="s">
        <v>52</v>
      </c>
    </row>
    <row r="3029" spans="1:15" x14ac:dyDescent="0.3">
      <c r="A3029" t="s">
        <v>2620</v>
      </c>
      <c r="B3029" s="5">
        <v>50</v>
      </c>
      <c r="C3029" s="5" t="str" cm="1">
        <f t="array" ref="C3029">_xlfn.IFS(worksheet[[#This Row],[age]]&lt;25,"1. Young Adulthood (18-24)",worksheet[[#This Row],[age]]&lt; 35,"2. Early Adulthood (25-34)",worksheet[[#This Row],[age]]&lt; 45,"3. Mid Adulthood (35-44)",worksheet[[#This Row],[age]]&lt; 55,"4. Mature Adulthood (45-54)",TRUE,"5. Late Adulthood/Senior (55+)")</f>
        <v>4. Mature Adulthood (45-54)</v>
      </c>
      <c r="D3029" t="s">
        <v>41</v>
      </c>
      <c r="E3029" t="s">
        <v>32</v>
      </c>
      <c r="F3029" s="4">
        <v>22.44</v>
      </c>
      <c r="G3029" s="5">
        <v>29</v>
      </c>
      <c r="H3029" t="s">
        <v>23</v>
      </c>
      <c r="I3029" t="s">
        <v>57</v>
      </c>
      <c r="J3029" s="6">
        <v>17.989999999999998</v>
      </c>
      <c r="K3029">
        <v>0</v>
      </c>
      <c r="L3029" t="s">
        <v>61</v>
      </c>
      <c r="M3029" s="5">
        <v>2</v>
      </c>
      <c r="N3029" s="4">
        <v>0.75</v>
      </c>
      <c r="O3029" t="s">
        <v>20</v>
      </c>
    </row>
    <row r="3030" spans="1:15" x14ac:dyDescent="0.3">
      <c r="A3030" t="s">
        <v>2623</v>
      </c>
      <c r="B3030" s="5">
        <v>49</v>
      </c>
      <c r="C3030" s="5" t="str" cm="1">
        <f t="array" ref="C3030">_xlfn.IFS(worksheet[[#This Row],[age]]&lt;25,"1. Young Adulthood (18-24)",worksheet[[#This Row],[age]]&lt; 35,"2. Early Adulthood (25-34)",worksheet[[#This Row],[age]]&lt; 45,"3. Mid Adulthood (35-44)",worksheet[[#This Row],[age]]&lt; 55,"4. Mature Adulthood (45-54)",TRUE,"5. Late Adulthood/Senior (55+)")</f>
        <v>4. Mature Adulthood (45-54)</v>
      </c>
      <c r="D3030" t="s">
        <v>27</v>
      </c>
      <c r="E3030" t="s">
        <v>16</v>
      </c>
      <c r="F3030" s="4">
        <v>6.56</v>
      </c>
      <c r="G3030" s="5">
        <v>10</v>
      </c>
      <c r="H3030" t="s">
        <v>17</v>
      </c>
      <c r="I3030" t="s">
        <v>18</v>
      </c>
      <c r="J3030" s="6">
        <v>8.99</v>
      </c>
      <c r="K3030">
        <v>0</v>
      </c>
      <c r="L3030" t="s">
        <v>37</v>
      </c>
      <c r="M3030" s="5">
        <v>5</v>
      </c>
      <c r="N3030" s="4">
        <v>0.6</v>
      </c>
      <c r="O3030" t="s">
        <v>47</v>
      </c>
    </row>
    <row r="3031" spans="1:15" x14ac:dyDescent="0.3">
      <c r="A3031" t="s">
        <v>2637</v>
      </c>
      <c r="B3031" s="5">
        <v>53</v>
      </c>
      <c r="C3031" s="5" t="str" cm="1">
        <f t="array" ref="C3031">_xlfn.IFS(worksheet[[#This Row],[age]]&lt;25,"1. Young Adulthood (18-24)",worksheet[[#This Row],[age]]&lt; 35,"2. Early Adulthood (25-34)",worksheet[[#This Row],[age]]&lt; 45,"3. Mid Adulthood (35-44)",worksheet[[#This Row],[age]]&lt; 55,"4. Mature Adulthood (45-54)",TRUE,"5. Late Adulthood/Senior (55+)")</f>
        <v>4. Mature Adulthood (45-54)</v>
      </c>
      <c r="D3031" t="s">
        <v>15</v>
      </c>
      <c r="E3031" t="s">
        <v>16</v>
      </c>
      <c r="F3031" s="4">
        <v>14.1</v>
      </c>
      <c r="G3031" s="5">
        <v>42</v>
      </c>
      <c r="H3031" t="s">
        <v>70</v>
      </c>
      <c r="I3031" t="s">
        <v>46</v>
      </c>
      <c r="J3031" s="6">
        <v>8.99</v>
      </c>
      <c r="K3031">
        <v>1</v>
      </c>
      <c r="L3031" t="s">
        <v>43</v>
      </c>
      <c r="M3031" s="5">
        <v>5</v>
      </c>
      <c r="N3031" s="4">
        <v>0.33</v>
      </c>
      <c r="O3031" t="s">
        <v>34</v>
      </c>
    </row>
    <row r="3032" spans="1:15" x14ac:dyDescent="0.3">
      <c r="A3032" t="s">
        <v>2641</v>
      </c>
      <c r="B3032" s="5">
        <v>51</v>
      </c>
      <c r="C3032" s="5" t="str" cm="1">
        <f t="array" ref="C3032">_xlfn.IFS(worksheet[[#This Row],[age]]&lt;25,"1. Young Adulthood (18-24)",worksheet[[#This Row],[age]]&lt; 35,"2. Early Adulthood (25-34)",worksheet[[#This Row],[age]]&lt; 45,"3. Mid Adulthood (35-44)",worksheet[[#This Row],[age]]&lt; 55,"4. Mature Adulthood (45-54)",TRUE,"5. Late Adulthood/Senior (55+)")</f>
        <v>4. Mature Adulthood (45-54)</v>
      </c>
      <c r="D3032" t="s">
        <v>41</v>
      </c>
      <c r="E3032" t="s">
        <v>22</v>
      </c>
      <c r="F3032" s="4">
        <v>12.91</v>
      </c>
      <c r="G3032" s="5">
        <v>42</v>
      </c>
      <c r="H3032" t="s">
        <v>70</v>
      </c>
      <c r="I3032" t="s">
        <v>57</v>
      </c>
      <c r="J3032" s="6">
        <v>13.99</v>
      </c>
      <c r="K3032">
        <v>1</v>
      </c>
      <c r="L3032" t="s">
        <v>37</v>
      </c>
      <c r="M3032" s="5">
        <v>1</v>
      </c>
      <c r="N3032" s="4">
        <v>0.3</v>
      </c>
      <c r="O3032" t="s">
        <v>47</v>
      </c>
    </row>
    <row r="3033" spans="1:15" x14ac:dyDescent="0.3">
      <c r="A3033" t="s">
        <v>2646</v>
      </c>
      <c r="B3033" s="5">
        <v>53</v>
      </c>
      <c r="C3033" s="5" t="str" cm="1">
        <f t="array" ref="C3033">_xlfn.IFS(worksheet[[#This Row],[age]]&lt;25,"1. Young Adulthood (18-24)",worksheet[[#This Row],[age]]&lt; 35,"2. Early Adulthood (25-34)",worksheet[[#This Row],[age]]&lt; 45,"3. Mid Adulthood (35-44)",worksheet[[#This Row],[age]]&lt; 55,"4. Mature Adulthood (45-54)",TRUE,"5. Late Adulthood/Senior (55+)")</f>
        <v>4. Mature Adulthood (45-54)</v>
      </c>
      <c r="D3033" t="s">
        <v>15</v>
      </c>
      <c r="E3033" t="s">
        <v>32</v>
      </c>
      <c r="F3033" s="4">
        <v>1.64</v>
      </c>
      <c r="G3033" s="5">
        <v>5</v>
      </c>
      <c r="H3033" t="s">
        <v>70</v>
      </c>
      <c r="I3033" t="s">
        <v>46</v>
      </c>
      <c r="J3033" s="6">
        <v>17.989999999999998</v>
      </c>
      <c r="K3033">
        <v>1</v>
      </c>
      <c r="L3033" t="s">
        <v>29</v>
      </c>
      <c r="M3033" s="5">
        <v>1</v>
      </c>
      <c r="N3033" s="4">
        <v>0.27</v>
      </c>
      <c r="O3033" t="s">
        <v>34</v>
      </c>
    </row>
    <row r="3034" spans="1:15" x14ac:dyDescent="0.3">
      <c r="A3034" t="s">
        <v>2647</v>
      </c>
      <c r="B3034" s="5">
        <v>47</v>
      </c>
      <c r="C3034" s="5" t="str" cm="1">
        <f t="array" ref="C3034">_xlfn.IFS(worksheet[[#This Row],[age]]&lt;25,"1. Young Adulthood (18-24)",worksheet[[#This Row],[age]]&lt; 35,"2. Early Adulthood (25-34)",worksheet[[#This Row],[age]]&lt; 45,"3. Mid Adulthood (35-44)",worksheet[[#This Row],[age]]&lt; 55,"4. Mature Adulthood (45-54)",TRUE,"5. Late Adulthood/Senior (55+)")</f>
        <v>4. Mature Adulthood (45-54)</v>
      </c>
      <c r="D3034" t="s">
        <v>15</v>
      </c>
      <c r="E3034" t="s">
        <v>16</v>
      </c>
      <c r="F3034" s="4">
        <v>5.53</v>
      </c>
      <c r="G3034" s="5">
        <v>17</v>
      </c>
      <c r="H3034" t="s">
        <v>70</v>
      </c>
      <c r="I3034" t="s">
        <v>46</v>
      </c>
      <c r="J3034" s="6">
        <v>8.99</v>
      </c>
      <c r="K3034">
        <v>0</v>
      </c>
      <c r="L3034" t="s">
        <v>37</v>
      </c>
      <c r="M3034" s="5">
        <v>2</v>
      </c>
      <c r="N3034" s="4">
        <v>0.31</v>
      </c>
      <c r="O3034" t="s">
        <v>39</v>
      </c>
    </row>
    <row r="3035" spans="1:15" x14ac:dyDescent="0.3">
      <c r="A3035" t="s">
        <v>2658</v>
      </c>
      <c r="B3035" s="5">
        <v>49</v>
      </c>
      <c r="C3035" s="5" t="str" cm="1">
        <f t="array" ref="C3035">_xlfn.IFS(worksheet[[#This Row],[age]]&lt;25,"1. Young Adulthood (18-24)",worksheet[[#This Row],[age]]&lt; 35,"2. Early Adulthood (25-34)",worksheet[[#This Row],[age]]&lt; 45,"3. Mid Adulthood (35-44)",worksheet[[#This Row],[age]]&lt; 55,"4. Mature Adulthood (45-54)",TRUE,"5. Late Adulthood/Senior (55+)")</f>
        <v>4. Mature Adulthood (45-54)</v>
      </c>
      <c r="D3035" t="s">
        <v>41</v>
      </c>
      <c r="E3035" t="s">
        <v>16</v>
      </c>
      <c r="F3035" s="4">
        <v>18.97</v>
      </c>
      <c r="G3035" s="5">
        <v>60</v>
      </c>
      <c r="H3035" t="s">
        <v>33</v>
      </c>
      <c r="I3035" t="s">
        <v>24</v>
      </c>
      <c r="J3035" s="6">
        <v>8.99</v>
      </c>
      <c r="K3035">
        <v>1</v>
      </c>
      <c r="L3035" t="s">
        <v>19</v>
      </c>
      <c r="M3035" s="5">
        <v>3</v>
      </c>
      <c r="N3035" s="4">
        <v>0.31</v>
      </c>
      <c r="O3035" t="s">
        <v>20</v>
      </c>
    </row>
    <row r="3036" spans="1:15" x14ac:dyDescent="0.3">
      <c r="A3036" t="s">
        <v>2665</v>
      </c>
      <c r="B3036" s="5">
        <v>53</v>
      </c>
      <c r="C3036" s="5" t="str" cm="1">
        <f t="array" ref="C3036">_xlfn.IFS(worksheet[[#This Row],[age]]&lt;25,"1. Young Adulthood (18-24)",worksheet[[#This Row],[age]]&lt; 35,"2. Early Adulthood (25-34)",worksheet[[#This Row],[age]]&lt; 45,"3. Mid Adulthood (35-44)",worksheet[[#This Row],[age]]&lt; 55,"4. Mature Adulthood (45-54)",TRUE,"5. Late Adulthood/Senior (55+)")</f>
        <v>4. Mature Adulthood (45-54)</v>
      </c>
      <c r="D3036" t="s">
        <v>41</v>
      </c>
      <c r="E3036" t="s">
        <v>22</v>
      </c>
      <c r="F3036" s="4">
        <v>13.02</v>
      </c>
      <c r="G3036" s="5">
        <v>41</v>
      </c>
      <c r="H3036" t="s">
        <v>17</v>
      </c>
      <c r="I3036" t="s">
        <v>18</v>
      </c>
      <c r="J3036" s="6">
        <v>13.99</v>
      </c>
      <c r="K3036">
        <v>1</v>
      </c>
      <c r="L3036" t="s">
        <v>19</v>
      </c>
      <c r="M3036" s="5">
        <v>3</v>
      </c>
      <c r="N3036" s="4">
        <v>0.31</v>
      </c>
      <c r="O3036" t="s">
        <v>39</v>
      </c>
    </row>
    <row r="3037" spans="1:15" x14ac:dyDescent="0.3">
      <c r="A3037" t="s">
        <v>2671</v>
      </c>
      <c r="B3037" s="5">
        <v>49</v>
      </c>
      <c r="C3037" s="5" t="str" cm="1">
        <f t="array" ref="C3037">_xlfn.IFS(worksheet[[#This Row],[age]]&lt;25,"1. Young Adulthood (18-24)",worksheet[[#This Row],[age]]&lt; 35,"2. Early Adulthood (25-34)",worksheet[[#This Row],[age]]&lt; 45,"3. Mid Adulthood (35-44)",worksheet[[#This Row],[age]]&lt; 55,"4. Mature Adulthood (45-54)",TRUE,"5. Late Adulthood/Senior (55+)")</f>
        <v>4. Mature Adulthood (45-54)</v>
      </c>
      <c r="D3037" t="s">
        <v>41</v>
      </c>
      <c r="E3037" t="s">
        <v>22</v>
      </c>
      <c r="F3037" s="4">
        <v>35.69</v>
      </c>
      <c r="G3037" s="5">
        <v>42</v>
      </c>
      <c r="H3037" t="s">
        <v>70</v>
      </c>
      <c r="I3037" t="s">
        <v>18</v>
      </c>
      <c r="J3037" s="6">
        <v>13.99</v>
      </c>
      <c r="K3037">
        <v>0</v>
      </c>
      <c r="L3037" t="s">
        <v>61</v>
      </c>
      <c r="M3037" s="5">
        <v>2</v>
      </c>
      <c r="N3037" s="4">
        <v>0.83</v>
      </c>
      <c r="O3037" t="s">
        <v>30</v>
      </c>
    </row>
    <row r="3038" spans="1:15" x14ac:dyDescent="0.3">
      <c r="A3038" t="s">
        <v>2684</v>
      </c>
      <c r="B3038" s="5">
        <v>54</v>
      </c>
      <c r="C3038" s="5" t="str" cm="1">
        <f t="array" ref="C3038">_xlfn.IFS(worksheet[[#This Row],[age]]&lt;25,"1. Young Adulthood (18-24)",worksheet[[#This Row],[age]]&lt; 35,"2. Early Adulthood (25-34)",worksheet[[#This Row],[age]]&lt; 45,"3. Mid Adulthood (35-44)",worksheet[[#This Row],[age]]&lt; 55,"4. Mature Adulthood (45-54)",TRUE,"5. Late Adulthood/Senior (55+)")</f>
        <v>4. Mature Adulthood (45-54)</v>
      </c>
      <c r="D3038" t="s">
        <v>15</v>
      </c>
      <c r="E3038" t="s">
        <v>22</v>
      </c>
      <c r="F3038" s="4">
        <v>27.56</v>
      </c>
      <c r="G3038" s="5">
        <v>28</v>
      </c>
      <c r="H3038" t="s">
        <v>28</v>
      </c>
      <c r="I3038" t="s">
        <v>46</v>
      </c>
      <c r="J3038" s="6">
        <v>13.99</v>
      </c>
      <c r="K3038">
        <v>0</v>
      </c>
      <c r="L3038" t="s">
        <v>43</v>
      </c>
      <c r="M3038" s="5">
        <v>5</v>
      </c>
      <c r="N3038" s="4">
        <v>0.95</v>
      </c>
      <c r="O3038" t="s">
        <v>34</v>
      </c>
    </row>
    <row r="3039" spans="1:15" x14ac:dyDescent="0.3">
      <c r="A3039" t="s">
        <v>2698</v>
      </c>
      <c r="B3039" s="5">
        <v>45</v>
      </c>
      <c r="C3039" s="5" t="str" cm="1">
        <f t="array" ref="C3039">_xlfn.IFS(worksheet[[#This Row],[age]]&lt;25,"1. Young Adulthood (18-24)",worksheet[[#This Row],[age]]&lt; 35,"2. Early Adulthood (25-34)",worksheet[[#This Row],[age]]&lt; 45,"3. Mid Adulthood (35-44)",worksheet[[#This Row],[age]]&lt; 55,"4. Mature Adulthood (45-54)",TRUE,"5. Late Adulthood/Senior (55+)")</f>
        <v>4. Mature Adulthood (45-54)</v>
      </c>
      <c r="D3039" t="s">
        <v>15</v>
      </c>
      <c r="E3039" t="s">
        <v>32</v>
      </c>
      <c r="F3039" s="4">
        <v>19.18</v>
      </c>
      <c r="G3039" s="5">
        <v>49</v>
      </c>
      <c r="H3039" t="s">
        <v>70</v>
      </c>
      <c r="I3039" t="s">
        <v>24</v>
      </c>
      <c r="J3039" s="6">
        <v>17.989999999999998</v>
      </c>
      <c r="K3039">
        <v>1</v>
      </c>
      <c r="L3039" t="s">
        <v>19</v>
      </c>
      <c r="M3039" s="5">
        <v>5</v>
      </c>
      <c r="N3039" s="4">
        <v>0.38</v>
      </c>
      <c r="O3039" t="s">
        <v>52</v>
      </c>
    </row>
    <row r="3040" spans="1:15" x14ac:dyDescent="0.3">
      <c r="A3040" t="s">
        <v>2703</v>
      </c>
      <c r="B3040" s="5">
        <v>47</v>
      </c>
      <c r="C3040" s="5" t="str" cm="1">
        <f t="array" ref="C3040">_xlfn.IFS(worksheet[[#This Row],[age]]&lt;25,"1. Young Adulthood (18-24)",worksheet[[#This Row],[age]]&lt; 35,"2. Early Adulthood (25-34)",worksheet[[#This Row],[age]]&lt; 45,"3. Mid Adulthood (35-44)",worksheet[[#This Row],[age]]&lt; 55,"4. Mature Adulthood (45-54)",TRUE,"5. Late Adulthood/Senior (55+)")</f>
        <v>4. Mature Adulthood (45-54)</v>
      </c>
      <c r="D3040" t="s">
        <v>15</v>
      </c>
      <c r="E3040" t="s">
        <v>16</v>
      </c>
      <c r="F3040" s="4">
        <v>14.58</v>
      </c>
      <c r="G3040" s="5">
        <v>56</v>
      </c>
      <c r="H3040" t="s">
        <v>28</v>
      </c>
      <c r="I3040" t="s">
        <v>55</v>
      </c>
      <c r="J3040" s="6">
        <v>8.99</v>
      </c>
      <c r="K3040">
        <v>1</v>
      </c>
      <c r="L3040" t="s">
        <v>61</v>
      </c>
      <c r="M3040" s="5">
        <v>3</v>
      </c>
      <c r="N3040" s="4">
        <v>0.26</v>
      </c>
      <c r="O3040" t="s">
        <v>52</v>
      </c>
    </row>
    <row r="3041" spans="1:15" x14ac:dyDescent="0.3">
      <c r="A3041" t="s">
        <v>2708</v>
      </c>
      <c r="B3041" s="5">
        <v>52</v>
      </c>
      <c r="C3041" s="5" t="str" cm="1">
        <f t="array" ref="C3041">_xlfn.IFS(worksheet[[#This Row],[age]]&lt;25,"1. Young Adulthood (18-24)",worksheet[[#This Row],[age]]&lt; 35,"2. Early Adulthood (25-34)",worksheet[[#This Row],[age]]&lt; 45,"3. Mid Adulthood (35-44)",worksheet[[#This Row],[age]]&lt; 55,"4. Mature Adulthood (45-54)",TRUE,"5. Late Adulthood/Senior (55+)")</f>
        <v>4. Mature Adulthood (45-54)</v>
      </c>
      <c r="D3041" t="s">
        <v>27</v>
      </c>
      <c r="E3041" t="s">
        <v>32</v>
      </c>
      <c r="F3041" s="4">
        <v>2.69</v>
      </c>
      <c r="G3041" s="5">
        <v>54</v>
      </c>
      <c r="H3041" t="s">
        <v>49</v>
      </c>
      <c r="I3041" t="s">
        <v>24</v>
      </c>
      <c r="J3041" s="6">
        <v>17.989999999999998</v>
      </c>
      <c r="K3041">
        <v>1</v>
      </c>
      <c r="L3041" t="s">
        <v>29</v>
      </c>
      <c r="M3041" s="5">
        <v>3</v>
      </c>
      <c r="N3041" s="4">
        <v>0.05</v>
      </c>
      <c r="O3041" t="s">
        <v>25</v>
      </c>
    </row>
    <row r="3042" spans="1:15" x14ac:dyDescent="0.3">
      <c r="A3042" t="s">
        <v>2710</v>
      </c>
      <c r="B3042" s="5">
        <v>52</v>
      </c>
      <c r="C3042" s="5" t="str" cm="1">
        <f t="array" ref="C3042">_xlfn.IFS(worksheet[[#This Row],[age]]&lt;25,"1. Young Adulthood (18-24)",worksheet[[#This Row],[age]]&lt; 35,"2. Early Adulthood (25-34)",worksheet[[#This Row],[age]]&lt; 45,"3. Mid Adulthood (35-44)",worksheet[[#This Row],[age]]&lt; 55,"4. Mature Adulthood (45-54)",TRUE,"5. Late Adulthood/Senior (55+)")</f>
        <v>4. Mature Adulthood (45-54)</v>
      </c>
      <c r="D3042" t="s">
        <v>15</v>
      </c>
      <c r="E3042" t="s">
        <v>16</v>
      </c>
      <c r="F3042" s="4">
        <v>33.99</v>
      </c>
      <c r="G3042" s="5">
        <v>30</v>
      </c>
      <c r="H3042" t="s">
        <v>28</v>
      </c>
      <c r="I3042" t="s">
        <v>46</v>
      </c>
      <c r="J3042" s="6">
        <v>8.99</v>
      </c>
      <c r="K3042">
        <v>0</v>
      </c>
      <c r="L3042" t="s">
        <v>61</v>
      </c>
      <c r="M3042" s="5">
        <v>2</v>
      </c>
      <c r="N3042" s="4">
        <v>1.1000000000000001</v>
      </c>
      <c r="O3042" t="s">
        <v>30</v>
      </c>
    </row>
    <row r="3043" spans="1:15" x14ac:dyDescent="0.3">
      <c r="A3043" t="s">
        <v>2714</v>
      </c>
      <c r="B3043" s="5">
        <v>53</v>
      </c>
      <c r="C3043" s="5" t="str" cm="1">
        <f t="array" ref="C3043">_xlfn.IFS(worksheet[[#This Row],[age]]&lt;25,"1. Young Adulthood (18-24)",worksheet[[#This Row],[age]]&lt; 35,"2. Early Adulthood (25-34)",worksheet[[#This Row],[age]]&lt; 45,"3. Mid Adulthood (35-44)",worksheet[[#This Row],[age]]&lt; 55,"4. Mature Adulthood (45-54)",TRUE,"5. Late Adulthood/Senior (55+)")</f>
        <v>4. Mature Adulthood (45-54)</v>
      </c>
      <c r="D3043" t="s">
        <v>41</v>
      </c>
      <c r="E3043" t="s">
        <v>16</v>
      </c>
      <c r="F3043" s="4">
        <v>25.23</v>
      </c>
      <c r="G3043" s="5">
        <v>5</v>
      </c>
      <c r="H3043" t="s">
        <v>23</v>
      </c>
      <c r="I3043" t="s">
        <v>55</v>
      </c>
      <c r="J3043" s="6">
        <v>8.99</v>
      </c>
      <c r="K3043">
        <v>0</v>
      </c>
      <c r="L3043" t="s">
        <v>61</v>
      </c>
      <c r="M3043" s="5">
        <v>1</v>
      </c>
      <c r="N3043" s="4">
        <v>4.21</v>
      </c>
      <c r="O3043" t="s">
        <v>52</v>
      </c>
    </row>
    <row r="3044" spans="1:15" x14ac:dyDescent="0.3">
      <c r="A3044" t="s">
        <v>2717</v>
      </c>
      <c r="B3044" s="5">
        <v>46</v>
      </c>
      <c r="C3044" s="5" t="str" cm="1">
        <f t="array" ref="C3044">_xlfn.IFS(worksheet[[#This Row],[age]]&lt;25,"1. Young Adulthood (18-24)",worksheet[[#This Row],[age]]&lt; 35,"2. Early Adulthood (25-34)",worksheet[[#This Row],[age]]&lt; 45,"3. Mid Adulthood (35-44)",worksheet[[#This Row],[age]]&lt; 55,"4. Mature Adulthood (45-54)",TRUE,"5. Late Adulthood/Senior (55+)")</f>
        <v>4. Mature Adulthood (45-54)</v>
      </c>
      <c r="D3044" t="s">
        <v>41</v>
      </c>
      <c r="E3044" t="s">
        <v>32</v>
      </c>
      <c r="F3044" s="4">
        <v>4.4000000000000004</v>
      </c>
      <c r="G3044" s="5">
        <v>24</v>
      </c>
      <c r="H3044" t="s">
        <v>49</v>
      </c>
      <c r="I3044" t="s">
        <v>57</v>
      </c>
      <c r="J3044" s="6">
        <v>17.989999999999998</v>
      </c>
      <c r="K3044">
        <v>0</v>
      </c>
      <c r="L3044" t="s">
        <v>43</v>
      </c>
      <c r="M3044" s="5">
        <v>4</v>
      </c>
      <c r="N3044" s="4">
        <v>0.18</v>
      </c>
      <c r="O3044" t="s">
        <v>52</v>
      </c>
    </row>
    <row r="3045" spans="1:15" x14ac:dyDescent="0.3">
      <c r="A3045" t="s">
        <v>2722</v>
      </c>
      <c r="B3045" s="5">
        <v>53</v>
      </c>
      <c r="C3045" s="5" t="str" cm="1">
        <f t="array" ref="C3045">_xlfn.IFS(worksheet[[#This Row],[age]]&lt;25,"1. Young Adulthood (18-24)",worksheet[[#This Row],[age]]&lt; 35,"2. Early Adulthood (25-34)",worksheet[[#This Row],[age]]&lt; 45,"3. Mid Adulthood (35-44)",worksheet[[#This Row],[age]]&lt; 55,"4. Mature Adulthood (45-54)",TRUE,"5. Late Adulthood/Senior (55+)")</f>
        <v>4. Mature Adulthood (45-54)</v>
      </c>
      <c r="D3045" t="s">
        <v>41</v>
      </c>
      <c r="E3045" t="s">
        <v>16</v>
      </c>
      <c r="F3045" s="4">
        <v>15.01</v>
      </c>
      <c r="G3045" s="5">
        <v>25</v>
      </c>
      <c r="H3045" t="s">
        <v>28</v>
      </c>
      <c r="I3045" t="s">
        <v>57</v>
      </c>
      <c r="J3045" s="6">
        <v>8.99</v>
      </c>
      <c r="K3045">
        <v>0</v>
      </c>
      <c r="L3045" t="s">
        <v>37</v>
      </c>
      <c r="M3045" s="5">
        <v>2</v>
      </c>
      <c r="N3045" s="4">
        <v>0.57999999999999996</v>
      </c>
      <c r="O3045" t="s">
        <v>39</v>
      </c>
    </row>
    <row r="3046" spans="1:15" x14ac:dyDescent="0.3">
      <c r="A3046" t="s">
        <v>2723</v>
      </c>
      <c r="B3046" s="5">
        <v>53</v>
      </c>
      <c r="C3046" s="5" t="str" cm="1">
        <f t="array" ref="C3046">_xlfn.IFS(worksheet[[#This Row],[age]]&lt;25,"1. Young Adulthood (18-24)",worksheet[[#This Row],[age]]&lt; 35,"2. Early Adulthood (25-34)",worksheet[[#This Row],[age]]&lt; 45,"3. Mid Adulthood (35-44)",worksheet[[#This Row],[age]]&lt; 55,"4. Mature Adulthood (45-54)",TRUE,"5. Late Adulthood/Senior (55+)")</f>
        <v>4. Mature Adulthood (45-54)</v>
      </c>
      <c r="D3046" t="s">
        <v>15</v>
      </c>
      <c r="E3046" t="s">
        <v>16</v>
      </c>
      <c r="F3046" s="4">
        <v>16.649999999999999</v>
      </c>
      <c r="G3046" s="5">
        <v>0</v>
      </c>
      <c r="H3046" t="s">
        <v>23</v>
      </c>
      <c r="I3046" t="s">
        <v>55</v>
      </c>
      <c r="J3046" s="6">
        <v>8.99</v>
      </c>
      <c r="K3046">
        <v>0</v>
      </c>
      <c r="L3046" t="s">
        <v>37</v>
      </c>
      <c r="M3046" s="5">
        <v>4</v>
      </c>
      <c r="N3046" s="4">
        <v>16.649999999999999</v>
      </c>
      <c r="O3046" t="s">
        <v>25</v>
      </c>
    </row>
    <row r="3047" spans="1:15" x14ac:dyDescent="0.3">
      <c r="A3047" t="s">
        <v>2729</v>
      </c>
      <c r="B3047" s="5">
        <v>48</v>
      </c>
      <c r="C3047" s="5" t="str" cm="1">
        <f t="array" ref="C3047">_xlfn.IFS(worksheet[[#This Row],[age]]&lt;25,"1. Young Adulthood (18-24)",worksheet[[#This Row],[age]]&lt; 35,"2. Early Adulthood (25-34)",worksheet[[#This Row],[age]]&lt; 45,"3. Mid Adulthood (35-44)",worksheet[[#This Row],[age]]&lt; 55,"4. Mature Adulthood (45-54)",TRUE,"5. Late Adulthood/Senior (55+)")</f>
        <v>4. Mature Adulthood (45-54)</v>
      </c>
      <c r="D3047" t="s">
        <v>41</v>
      </c>
      <c r="E3047" t="s">
        <v>16</v>
      </c>
      <c r="F3047" s="4">
        <v>15.91</v>
      </c>
      <c r="G3047" s="5">
        <v>21</v>
      </c>
      <c r="H3047" t="s">
        <v>23</v>
      </c>
      <c r="I3047" t="s">
        <v>18</v>
      </c>
      <c r="J3047" s="6">
        <v>8.99</v>
      </c>
      <c r="K3047">
        <v>0</v>
      </c>
      <c r="L3047" t="s">
        <v>19</v>
      </c>
      <c r="M3047" s="5">
        <v>2</v>
      </c>
      <c r="N3047" s="4">
        <v>0.72</v>
      </c>
      <c r="O3047" t="s">
        <v>52</v>
      </c>
    </row>
    <row r="3048" spans="1:15" x14ac:dyDescent="0.3">
      <c r="A3048" t="s">
        <v>2741</v>
      </c>
      <c r="B3048" s="5">
        <v>51</v>
      </c>
      <c r="C3048" s="5" t="str" cm="1">
        <f t="array" ref="C3048">_xlfn.IFS(worksheet[[#This Row],[age]]&lt;25,"1. Young Adulthood (18-24)",worksheet[[#This Row],[age]]&lt; 35,"2. Early Adulthood (25-34)",worksheet[[#This Row],[age]]&lt; 45,"3. Mid Adulthood (35-44)",worksheet[[#This Row],[age]]&lt; 55,"4. Mature Adulthood (45-54)",TRUE,"5. Late Adulthood/Senior (55+)")</f>
        <v>4. Mature Adulthood (45-54)</v>
      </c>
      <c r="D3048" t="s">
        <v>15</v>
      </c>
      <c r="E3048" t="s">
        <v>32</v>
      </c>
      <c r="F3048" s="4">
        <v>20.55</v>
      </c>
      <c r="G3048" s="5">
        <v>20</v>
      </c>
      <c r="H3048" t="s">
        <v>49</v>
      </c>
      <c r="I3048" t="s">
        <v>18</v>
      </c>
      <c r="J3048" s="6">
        <v>17.989999999999998</v>
      </c>
      <c r="K3048">
        <v>0</v>
      </c>
      <c r="L3048" t="s">
        <v>61</v>
      </c>
      <c r="M3048" s="5">
        <v>5</v>
      </c>
      <c r="N3048" s="4">
        <v>0.98</v>
      </c>
      <c r="O3048" t="s">
        <v>25</v>
      </c>
    </row>
    <row r="3049" spans="1:15" x14ac:dyDescent="0.3">
      <c r="A3049" t="s">
        <v>2762</v>
      </c>
      <c r="B3049" s="5">
        <v>50</v>
      </c>
      <c r="C3049" s="5" t="str" cm="1">
        <f t="array" ref="C3049">_xlfn.IFS(worksheet[[#This Row],[age]]&lt;25,"1. Young Adulthood (18-24)",worksheet[[#This Row],[age]]&lt; 35,"2. Early Adulthood (25-34)",worksheet[[#This Row],[age]]&lt; 45,"3. Mid Adulthood (35-44)",worksheet[[#This Row],[age]]&lt; 55,"4. Mature Adulthood (45-54)",TRUE,"5. Late Adulthood/Senior (55+)")</f>
        <v>4. Mature Adulthood (45-54)</v>
      </c>
      <c r="D3049" t="s">
        <v>41</v>
      </c>
      <c r="E3049" t="s">
        <v>32</v>
      </c>
      <c r="F3049" s="4">
        <v>8.48</v>
      </c>
      <c r="G3049" s="5">
        <v>13</v>
      </c>
      <c r="H3049" t="s">
        <v>28</v>
      </c>
      <c r="I3049" t="s">
        <v>57</v>
      </c>
      <c r="J3049" s="6">
        <v>17.989999999999998</v>
      </c>
      <c r="K3049">
        <v>0</v>
      </c>
      <c r="L3049" t="s">
        <v>43</v>
      </c>
      <c r="M3049" s="5">
        <v>3</v>
      </c>
      <c r="N3049" s="4">
        <v>0.61</v>
      </c>
      <c r="O3049" t="s">
        <v>25</v>
      </c>
    </row>
    <row r="3050" spans="1:15" x14ac:dyDescent="0.3">
      <c r="A3050" t="s">
        <v>2764</v>
      </c>
      <c r="B3050" s="5">
        <v>52</v>
      </c>
      <c r="C3050" s="5" t="str" cm="1">
        <f t="array" ref="C3050">_xlfn.IFS(worksheet[[#This Row],[age]]&lt;25,"1. Young Adulthood (18-24)",worksheet[[#This Row],[age]]&lt; 35,"2. Early Adulthood (25-34)",worksheet[[#This Row],[age]]&lt; 45,"3. Mid Adulthood (35-44)",worksheet[[#This Row],[age]]&lt; 55,"4. Mature Adulthood (45-54)",TRUE,"5. Late Adulthood/Senior (55+)")</f>
        <v>4. Mature Adulthood (45-54)</v>
      </c>
      <c r="D3050" t="s">
        <v>41</v>
      </c>
      <c r="E3050" t="s">
        <v>16</v>
      </c>
      <c r="F3050" s="4">
        <v>6.78</v>
      </c>
      <c r="G3050" s="5">
        <v>2</v>
      </c>
      <c r="H3050" t="s">
        <v>28</v>
      </c>
      <c r="I3050" t="s">
        <v>24</v>
      </c>
      <c r="J3050" s="6">
        <v>8.99</v>
      </c>
      <c r="K3050">
        <v>0</v>
      </c>
      <c r="L3050" t="s">
        <v>19</v>
      </c>
      <c r="M3050" s="5">
        <v>1</v>
      </c>
      <c r="N3050" s="4">
        <v>2.2599999999999998</v>
      </c>
      <c r="O3050" t="s">
        <v>39</v>
      </c>
    </row>
    <row r="3051" spans="1:15" x14ac:dyDescent="0.3">
      <c r="A3051" t="s">
        <v>2766</v>
      </c>
      <c r="B3051" s="5">
        <v>53</v>
      </c>
      <c r="C3051" s="5" t="str" cm="1">
        <f t="array" ref="C3051">_xlfn.IFS(worksheet[[#This Row],[age]]&lt;25,"1. Young Adulthood (18-24)",worksheet[[#This Row],[age]]&lt; 35,"2. Early Adulthood (25-34)",worksheet[[#This Row],[age]]&lt; 45,"3. Mid Adulthood (35-44)",worksheet[[#This Row],[age]]&lt; 55,"4. Mature Adulthood (45-54)",TRUE,"5. Late Adulthood/Senior (55+)")</f>
        <v>4. Mature Adulthood (45-54)</v>
      </c>
      <c r="D3051" t="s">
        <v>27</v>
      </c>
      <c r="E3051" t="s">
        <v>16</v>
      </c>
      <c r="F3051" s="4">
        <v>0.01</v>
      </c>
      <c r="G3051" s="5">
        <v>55</v>
      </c>
      <c r="H3051" t="s">
        <v>17</v>
      </c>
      <c r="I3051" t="s">
        <v>24</v>
      </c>
      <c r="J3051" s="6">
        <v>8.99</v>
      </c>
      <c r="K3051">
        <v>1</v>
      </c>
      <c r="L3051" t="s">
        <v>43</v>
      </c>
      <c r="M3051" s="5">
        <v>3</v>
      </c>
      <c r="N3051" s="4">
        <v>0</v>
      </c>
      <c r="O3051" t="s">
        <v>52</v>
      </c>
    </row>
    <row r="3052" spans="1:15" x14ac:dyDescent="0.3">
      <c r="A3052" t="s">
        <v>2767</v>
      </c>
      <c r="B3052" s="5">
        <v>46</v>
      </c>
      <c r="C3052" s="5" t="str" cm="1">
        <f t="array" ref="C3052">_xlfn.IFS(worksheet[[#This Row],[age]]&lt;25,"1. Young Adulthood (18-24)",worksheet[[#This Row],[age]]&lt; 35,"2. Early Adulthood (25-34)",worksheet[[#This Row],[age]]&lt; 45,"3. Mid Adulthood (35-44)",worksheet[[#This Row],[age]]&lt; 55,"4. Mature Adulthood (45-54)",TRUE,"5. Late Adulthood/Senior (55+)")</f>
        <v>4. Mature Adulthood (45-54)</v>
      </c>
      <c r="D3052" t="s">
        <v>27</v>
      </c>
      <c r="E3052" t="s">
        <v>16</v>
      </c>
      <c r="F3052" s="4">
        <v>4.1500000000000004</v>
      </c>
      <c r="G3052" s="5">
        <v>50</v>
      </c>
      <c r="H3052" t="s">
        <v>70</v>
      </c>
      <c r="I3052" t="s">
        <v>18</v>
      </c>
      <c r="J3052" s="6">
        <v>8.99</v>
      </c>
      <c r="K3052">
        <v>1</v>
      </c>
      <c r="L3052" t="s">
        <v>37</v>
      </c>
      <c r="M3052" s="5">
        <v>2</v>
      </c>
      <c r="N3052" s="4">
        <v>0.08</v>
      </c>
      <c r="O3052" t="s">
        <v>52</v>
      </c>
    </row>
    <row r="3053" spans="1:15" x14ac:dyDescent="0.3">
      <c r="A3053" t="s">
        <v>2771</v>
      </c>
      <c r="B3053" s="5">
        <v>52</v>
      </c>
      <c r="C3053" s="5" t="str" cm="1">
        <f t="array" ref="C3053">_xlfn.IFS(worksheet[[#This Row],[age]]&lt;25,"1. Young Adulthood (18-24)",worksheet[[#This Row],[age]]&lt; 35,"2. Early Adulthood (25-34)",worksheet[[#This Row],[age]]&lt; 45,"3. Mid Adulthood (35-44)",worksheet[[#This Row],[age]]&lt; 55,"4. Mature Adulthood (45-54)",TRUE,"5. Late Adulthood/Senior (55+)")</f>
        <v>4. Mature Adulthood (45-54)</v>
      </c>
      <c r="D3053" t="s">
        <v>41</v>
      </c>
      <c r="E3053" t="s">
        <v>32</v>
      </c>
      <c r="F3053" s="4">
        <v>27.41</v>
      </c>
      <c r="G3053" s="5">
        <v>1</v>
      </c>
      <c r="H3053" t="s">
        <v>17</v>
      </c>
      <c r="I3053" t="s">
        <v>46</v>
      </c>
      <c r="J3053" s="6">
        <v>17.989999999999998</v>
      </c>
      <c r="K3053">
        <v>0</v>
      </c>
      <c r="L3053" t="s">
        <v>29</v>
      </c>
      <c r="M3053" s="5">
        <v>2</v>
      </c>
      <c r="N3053" s="4">
        <v>13.71</v>
      </c>
      <c r="O3053" t="s">
        <v>20</v>
      </c>
    </row>
    <row r="3054" spans="1:15" x14ac:dyDescent="0.3">
      <c r="A3054" t="s">
        <v>2777</v>
      </c>
      <c r="B3054" s="5">
        <v>48</v>
      </c>
      <c r="C3054" s="5" t="str" cm="1">
        <f t="array" ref="C3054">_xlfn.IFS(worksheet[[#This Row],[age]]&lt;25,"1. Young Adulthood (18-24)",worksheet[[#This Row],[age]]&lt; 35,"2. Early Adulthood (25-34)",worksheet[[#This Row],[age]]&lt; 45,"3. Mid Adulthood (35-44)",worksheet[[#This Row],[age]]&lt; 55,"4. Mature Adulthood (45-54)",TRUE,"5. Late Adulthood/Senior (55+)")</f>
        <v>4. Mature Adulthood (45-54)</v>
      </c>
      <c r="D3054" t="s">
        <v>41</v>
      </c>
      <c r="E3054" t="s">
        <v>32</v>
      </c>
      <c r="F3054" s="4">
        <v>1.64</v>
      </c>
      <c r="G3054" s="5">
        <v>11</v>
      </c>
      <c r="H3054" t="s">
        <v>70</v>
      </c>
      <c r="I3054" t="s">
        <v>24</v>
      </c>
      <c r="J3054" s="6">
        <v>17.989999999999998</v>
      </c>
      <c r="K3054">
        <v>1</v>
      </c>
      <c r="L3054" t="s">
        <v>19</v>
      </c>
      <c r="M3054" s="5">
        <v>1</v>
      </c>
      <c r="N3054" s="4">
        <v>0.14000000000000001</v>
      </c>
      <c r="O3054" t="s">
        <v>30</v>
      </c>
    </row>
    <row r="3055" spans="1:15" x14ac:dyDescent="0.3">
      <c r="A3055" t="s">
        <v>2778</v>
      </c>
      <c r="B3055" s="5">
        <v>54</v>
      </c>
      <c r="C3055" s="5" t="str" cm="1">
        <f t="array" ref="C3055">_xlfn.IFS(worksheet[[#This Row],[age]]&lt;25,"1. Young Adulthood (18-24)",worksheet[[#This Row],[age]]&lt; 35,"2. Early Adulthood (25-34)",worksheet[[#This Row],[age]]&lt; 45,"3. Mid Adulthood (35-44)",worksheet[[#This Row],[age]]&lt; 55,"4. Mature Adulthood (45-54)",TRUE,"5. Late Adulthood/Senior (55+)")</f>
        <v>4. Mature Adulthood (45-54)</v>
      </c>
      <c r="D3055" t="s">
        <v>15</v>
      </c>
      <c r="E3055" t="s">
        <v>22</v>
      </c>
      <c r="F3055" s="4">
        <v>8.5500000000000007</v>
      </c>
      <c r="G3055" s="5">
        <v>57</v>
      </c>
      <c r="H3055" t="s">
        <v>33</v>
      </c>
      <c r="I3055" t="s">
        <v>24</v>
      </c>
      <c r="J3055" s="6">
        <v>13.99</v>
      </c>
      <c r="K3055">
        <v>1</v>
      </c>
      <c r="L3055" t="s">
        <v>43</v>
      </c>
      <c r="M3055" s="5">
        <v>1</v>
      </c>
      <c r="N3055" s="4">
        <v>0.15</v>
      </c>
      <c r="O3055" t="s">
        <v>34</v>
      </c>
    </row>
    <row r="3056" spans="1:15" x14ac:dyDescent="0.3">
      <c r="A3056" t="s">
        <v>2786</v>
      </c>
      <c r="B3056" s="5">
        <v>45</v>
      </c>
      <c r="C3056" s="5" t="str" cm="1">
        <f t="array" ref="C3056">_xlfn.IFS(worksheet[[#This Row],[age]]&lt;25,"1. Young Adulthood (18-24)",worksheet[[#This Row],[age]]&lt; 35,"2. Early Adulthood (25-34)",worksheet[[#This Row],[age]]&lt; 45,"3. Mid Adulthood (35-44)",worksheet[[#This Row],[age]]&lt; 55,"4. Mature Adulthood (45-54)",TRUE,"5. Late Adulthood/Senior (55+)")</f>
        <v>4. Mature Adulthood (45-54)</v>
      </c>
      <c r="D3056" t="s">
        <v>41</v>
      </c>
      <c r="E3056" t="s">
        <v>22</v>
      </c>
      <c r="F3056" s="4">
        <v>8.7100000000000009</v>
      </c>
      <c r="G3056" s="5">
        <v>23</v>
      </c>
      <c r="H3056" t="s">
        <v>49</v>
      </c>
      <c r="I3056" t="s">
        <v>57</v>
      </c>
      <c r="J3056" s="6">
        <v>13.99</v>
      </c>
      <c r="K3056">
        <v>0</v>
      </c>
      <c r="L3056" t="s">
        <v>61</v>
      </c>
      <c r="M3056" s="5">
        <v>5</v>
      </c>
      <c r="N3056" s="4">
        <v>0.36</v>
      </c>
      <c r="O3056" t="s">
        <v>47</v>
      </c>
    </row>
    <row r="3057" spans="1:15" x14ac:dyDescent="0.3">
      <c r="A3057" t="s">
        <v>2787</v>
      </c>
      <c r="B3057" s="5">
        <v>48</v>
      </c>
      <c r="C3057" s="5" t="str" cm="1">
        <f t="array" ref="C3057">_xlfn.IFS(worksheet[[#This Row],[age]]&lt;25,"1. Young Adulthood (18-24)",worksheet[[#This Row],[age]]&lt; 35,"2. Early Adulthood (25-34)",worksheet[[#This Row],[age]]&lt; 45,"3. Mid Adulthood (35-44)",worksheet[[#This Row],[age]]&lt; 55,"4. Mature Adulthood (45-54)",TRUE,"5. Late Adulthood/Senior (55+)")</f>
        <v>4. Mature Adulthood (45-54)</v>
      </c>
      <c r="D3057" t="s">
        <v>15</v>
      </c>
      <c r="E3057" t="s">
        <v>22</v>
      </c>
      <c r="F3057" s="4">
        <v>4.6500000000000004</v>
      </c>
      <c r="G3057" s="5">
        <v>19</v>
      </c>
      <c r="H3057" t="s">
        <v>33</v>
      </c>
      <c r="I3057" t="s">
        <v>46</v>
      </c>
      <c r="J3057" s="6">
        <v>13.99</v>
      </c>
      <c r="K3057">
        <v>0</v>
      </c>
      <c r="L3057" t="s">
        <v>37</v>
      </c>
      <c r="M3057" s="5">
        <v>4</v>
      </c>
      <c r="N3057" s="4">
        <v>0.23</v>
      </c>
      <c r="O3057" t="s">
        <v>39</v>
      </c>
    </row>
    <row r="3058" spans="1:15" x14ac:dyDescent="0.3">
      <c r="A3058" t="s">
        <v>2793</v>
      </c>
      <c r="B3058" s="5">
        <v>47</v>
      </c>
      <c r="C3058" s="5" t="str" cm="1">
        <f t="array" ref="C3058">_xlfn.IFS(worksheet[[#This Row],[age]]&lt;25,"1. Young Adulthood (18-24)",worksheet[[#This Row],[age]]&lt; 35,"2. Early Adulthood (25-34)",worksheet[[#This Row],[age]]&lt; 45,"3. Mid Adulthood (35-44)",worksheet[[#This Row],[age]]&lt; 55,"4. Mature Adulthood (45-54)",TRUE,"5. Late Adulthood/Senior (55+)")</f>
        <v>4. Mature Adulthood (45-54)</v>
      </c>
      <c r="D3058" t="s">
        <v>27</v>
      </c>
      <c r="E3058" t="s">
        <v>22</v>
      </c>
      <c r="F3058" s="4">
        <v>13.28</v>
      </c>
      <c r="G3058" s="5">
        <v>20</v>
      </c>
      <c r="H3058" t="s">
        <v>23</v>
      </c>
      <c r="I3058" t="s">
        <v>24</v>
      </c>
      <c r="J3058" s="6">
        <v>13.99</v>
      </c>
      <c r="K3058">
        <v>0</v>
      </c>
      <c r="L3058" t="s">
        <v>43</v>
      </c>
      <c r="M3058" s="5">
        <v>3</v>
      </c>
      <c r="N3058" s="4">
        <v>0.63</v>
      </c>
      <c r="O3058" t="s">
        <v>52</v>
      </c>
    </row>
    <row r="3059" spans="1:15" x14ac:dyDescent="0.3">
      <c r="A3059" t="s">
        <v>2794</v>
      </c>
      <c r="B3059" s="5">
        <v>46</v>
      </c>
      <c r="C3059" s="5" t="str" cm="1">
        <f t="array" ref="C3059">_xlfn.IFS(worksheet[[#This Row],[age]]&lt;25,"1. Young Adulthood (18-24)",worksheet[[#This Row],[age]]&lt; 35,"2. Early Adulthood (25-34)",worksheet[[#This Row],[age]]&lt; 45,"3. Mid Adulthood (35-44)",worksheet[[#This Row],[age]]&lt; 55,"4. Mature Adulthood (45-54)",TRUE,"5. Late Adulthood/Senior (55+)")</f>
        <v>4. Mature Adulthood (45-54)</v>
      </c>
      <c r="D3059" t="s">
        <v>41</v>
      </c>
      <c r="E3059" t="s">
        <v>32</v>
      </c>
      <c r="F3059" s="4">
        <v>4.67</v>
      </c>
      <c r="G3059" s="5">
        <v>58</v>
      </c>
      <c r="H3059" t="s">
        <v>28</v>
      </c>
      <c r="I3059" t="s">
        <v>18</v>
      </c>
      <c r="J3059" s="6">
        <v>17.989999999999998</v>
      </c>
      <c r="K3059">
        <v>1</v>
      </c>
      <c r="L3059" t="s">
        <v>43</v>
      </c>
      <c r="M3059" s="5">
        <v>1</v>
      </c>
      <c r="N3059" s="4">
        <v>0.08</v>
      </c>
      <c r="O3059" t="s">
        <v>52</v>
      </c>
    </row>
    <row r="3060" spans="1:15" x14ac:dyDescent="0.3">
      <c r="A3060" t="s">
        <v>2799</v>
      </c>
      <c r="B3060" s="5">
        <v>49</v>
      </c>
      <c r="C3060" s="5" t="str" cm="1">
        <f t="array" ref="C3060">_xlfn.IFS(worksheet[[#This Row],[age]]&lt;25,"1. Young Adulthood (18-24)",worksheet[[#This Row],[age]]&lt; 35,"2. Early Adulthood (25-34)",worksheet[[#This Row],[age]]&lt; 45,"3. Mid Adulthood (35-44)",worksheet[[#This Row],[age]]&lt; 55,"4. Mature Adulthood (45-54)",TRUE,"5. Late Adulthood/Senior (55+)")</f>
        <v>4. Mature Adulthood (45-54)</v>
      </c>
      <c r="D3060" t="s">
        <v>41</v>
      </c>
      <c r="E3060" t="s">
        <v>22</v>
      </c>
      <c r="F3060" s="4">
        <v>9.39</v>
      </c>
      <c r="G3060" s="5">
        <v>22</v>
      </c>
      <c r="H3060" t="s">
        <v>23</v>
      </c>
      <c r="I3060" t="s">
        <v>46</v>
      </c>
      <c r="J3060" s="6">
        <v>13.99</v>
      </c>
      <c r="K3060">
        <v>0</v>
      </c>
      <c r="L3060" t="s">
        <v>19</v>
      </c>
      <c r="M3060" s="5">
        <v>1</v>
      </c>
      <c r="N3060" s="4">
        <v>0.41</v>
      </c>
      <c r="O3060" t="s">
        <v>20</v>
      </c>
    </row>
    <row r="3061" spans="1:15" x14ac:dyDescent="0.3">
      <c r="A3061" t="s">
        <v>2811</v>
      </c>
      <c r="B3061" s="5">
        <v>51</v>
      </c>
      <c r="C3061" s="5" t="str" cm="1">
        <f t="array" ref="C3061">_xlfn.IFS(worksheet[[#This Row],[age]]&lt;25,"1. Young Adulthood (18-24)",worksheet[[#This Row],[age]]&lt; 35,"2. Early Adulthood (25-34)",worksheet[[#This Row],[age]]&lt; 45,"3. Mid Adulthood (35-44)",worksheet[[#This Row],[age]]&lt; 55,"4. Mature Adulthood (45-54)",TRUE,"5. Late Adulthood/Senior (55+)")</f>
        <v>4. Mature Adulthood (45-54)</v>
      </c>
      <c r="D3061" t="s">
        <v>41</v>
      </c>
      <c r="E3061" t="s">
        <v>32</v>
      </c>
      <c r="F3061" s="4">
        <v>10.86</v>
      </c>
      <c r="G3061" s="5">
        <v>46</v>
      </c>
      <c r="H3061" t="s">
        <v>23</v>
      </c>
      <c r="I3061" t="s">
        <v>24</v>
      </c>
      <c r="J3061" s="6">
        <v>17.989999999999998</v>
      </c>
      <c r="K3061">
        <v>0</v>
      </c>
      <c r="L3061" t="s">
        <v>61</v>
      </c>
      <c r="M3061" s="5">
        <v>4</v>
      </c>
      <c r="N3061" s="4">
        <v>0.23</v>
      </c>
      <c r="O3061" t="s">
        <v>25</v>
      </c>
    </row>
    <row r="3062" spans="1:15" x14ac:dyDescent="0.3">
      <c r="A3062" t="s">
        <v>2813</v>
      </c>
      <c r="B3062" s="5">
        <v>49</v>
      </c>
      <c r="C3062" s="5" t="str" cm="1">
        <f t="array" ref="C3062">_xlfn.IFS(worksheet[[#This Row],[age]]&lt;25,"1. Young Adulthood (18-24)",worksheet[[#This Row],[age]]&lt; 35,"2. Early Adulthood (25-34)",worksheet[[#This Row],[age]]&lt; 45,"3. Mid Adulthood (35-44)",worksheet[[#This Row],[age]]&lt; 55,"4. Mature Adulthood (45-54)",TRUE,"5. Late Adulthood/Senior (55+)")</f>
        <v>4. Mature Adulthood (45-54)</v>
      </c>
      <c r="D3062" t="s">
        <v>27</v>
      </c>
      <c r="E3062" t="s">
        <v>16</v>
      </c>
      <c r="F3062" s="4">
        <v>13.93</v>
      </c>
      <c r="G3062" s="5">
        <v>34</v>
      </c>
      <c r="H3062" t="s">
        <v>70</v>
      </c>
      <c r="I3062" t="s">
        <v>46</v>
      </c>
      <c r="J3062" s="6">
        <v>8.99</v>
      </c>
      <c r="K3062">
        <v>1</v>
      </c>
      <c r="L3062" t="s">
        <v>61</v>
      </c>
      <c r="M3062" s="5">
        <v>2</v>
      </c>
      <c r="N3062" s="4">
        <v>0.4</v>
      </c>
      <c r="O3062" t="s">
        <v>47</v>
      </c>
    </row>
    <row r="3063" spans="1:15" x14ac:dyDescent="0.3">
      <c r="A3063" t="s">
        <v>2815</v>
      </c>
      <c r="B3063" s="5">
        <v>49</v>
      </c>
      <c r="C3063" s="5" t="str" cm="1">
        <f t="array" ref="C3063">_xlfn.IFS(worksheet[[#This Row],[age]]&lt;25,"1. Young Adulthood (18-24)",worksheet[[#This Row],[age]]&lt; 35,"2. Early Adulthood (25-34)",worksheet[[#This Row],[age]]&lt; 45,"3. Mid Adulthood (35-44)",worksheet[[#This Row],[age]]&lt; 55,"4. Mature Adulthood (45-54)",TRUE,"5. Late Adulthood/Senior (55+)")</f>
        <v>4. Mature Adulthood (45-54)</v>
      </c>
      <c r="D3063" t="s">
        <v>15</v>
      </c>
      <c r="E3063" t="s">
        <v>16</v>
      </c>
      <c r="F3063" s="4">
        <v>16.82</v>
      </c>
      <c r="G3063" s="5">
        <v>5</v>
      </c>
      <c r="H3063" t="s">
        <v>28</v>
      </c>
      <c r="I3063" t="s">
        <v>18</v>
      </c>
      <c r="J3063" s="6">
        <v>8.99</v>
      </c>
      <c r="K3063">
        <v>0</v>
      </c>
      <c r="L3063" t="s">
        <v>19</v>
      </c>
      <c r="M3063" s="5">
        <v>5</v>
      </c>
      <c r="N3063" s="4">
        <v>2.8</v>
      </c>
      <c r="O3063" t="s">
        <v>39</v>
      </c>
    </row>
    <row r="3064" spans="1:15" x14ac:dyDescent="0.3">
      <c r="A3064" t="s">
        <v>2816</v>
      </c>
      <c r="B3064" s="5">
        <v>48</v>
      </c>
      <c r="C3064" s="5" t="str" cm="1">
        <f t="array" ref="C3064">_xlfn.IFS(worksheet[[#This Row],[age]]&lt;25,"1. Young Adulthood (18-24)",worksheet[[#This Row],[age]]&lt; 35,"2. Early Adulthood (25-34)",worksheet[[#This Row],[age]]&lt; 45,"3. Mid Adulthood (35-44)",worksheet[[#This Row],[age]]&lt; 55,"4. Mature Adulthood (45-54)",TRUE,"5. Late Adulthood/Senior (55+)")</f>
        <v>4. Mature Adulthood (45-54)</v>
      </c>
      <c r="D3064" t="s">
        <v>41</v>
      </c>
      <c r="E3064" t="s">
        <v>32</v>
      </c>
      <c r="F3064" s="4">
        <v>28.14</v>
      </c>
      <c r="G3064" s="5">
        <v>60</v>
      </c>
      <c r="H3064" t="s">
        <v>17</v>
      </c>
      <c r="I3064" t="s">
        <v>24</v>
      </c>
      <c r="J3064" s="6">
        <v>17.989999999999998</v>
      </c>
      <c r="K3064">
        <v>0</v>
      </c>
      <c r="L3064" t="s">
        <v>61</v>
      </c>
      <c r="M3064" s="5">
        <v>2</v>
      </c>
      <c r="N3064" s="4">
        <v>0.46</v>
      </c>
      <c r="O3064" t="s">
        <v>47</v>
      </c>
    </row>
    <row r="3065" spans="1:15" x14ac:dyDescent="0.3">
      <c r="A3065" t="s">
        <v>2817</v>
      </c>
      <c r="B3065" s="5">
        <v>45</v>
      </c>
      <c r="C3065" s="5" t="str" cm="1">
        <f t="array" ref="C3065">_xlfn.IFS(worksheet[[#This Row],[age]]&lt;25,"1. Young Adulthood (18-24)",worksheet[[#This Row],[age]]&lt; 35,"2. Early Adulthood (25-34)",worksheet[[#This Row],[age]]&lt; 45,"3. Mid Adulthood (35-44)",worksheet[[#This Row],[age]]&lt; 55,"4. Mature Adulthood (45-54)",TRUE,"5. Late Adulthood/Senior (55+)")</f>
        <v>4. Mature Adulthood (45-54)</v>
      </c>
      <c r="D3065" t="s">
        <v>41</v>
      </c>
      <c r="E3065" t="s">
        <v>32</v>
      </c>
      <c r="F3065" s="4">
        <v>8.2799999999999994</v>
      </c>
      <c r="G3065" s="5">
        <v>16</v>
      </c>
      <c r="H3065" t="s">
        <v>49</v>
      </c>
      <c r="I3065" t="s">
        <v>55</v>
      </c>
      <c r="J3065" s="6">
        <v>17.989999999999998</v>
      </c>
      <c r="K3065">
        <v>0</v>
      </c>
      <c r="L3065" t="s">
        <v>37</v>
      </c>
      <c r="M3065" s="5">
        <v>5</v>
      </c>
      <c r="N3065" s="4">
        <v>0.49</v>
      </c>
      <c r="O3065" t="s">
        <v>34</v>
      </c>
    </row>
    <row r="3066" spans="1:15" x14ac:dyDescent="0.3">
      <c r="A3066" t="s">
        <v>2823</v>
      </c>
      <c r="B3066" s="5">
        <v>54</v>
      </c>
      <c r="C3066" s="5" t="str" cm="1">
        <f t="array" ref="C3066">_xlfn.IFS(worksheet[[#This Row],[age]]&lt;25,"1. Young Adulthood (18-24)",worksheet[[#This Row],[age]]&lt; 35,"2. Early Adulthood (25-34)",worksheet[[#This Row],[age]]&lt; 45,"3. Mid Adulthood (35-44)",worksheet[[#This Row],[age]]&lt; 55,"4. Mature Adulthood (45-54)",TRUE,"5. Late Adulthood/Senior (55+)")</f>
        <v>4. Mature Adulthood (45-54)</v>
      </c>
      <c r="D3066" t="s">
        <v>27</v>
      </c>
      <c r="E3066" t="s">
        <v>16</v>
      </c>
      <c r="F3066" s="4">
        <v>27.8</v>
      </c>
      <c r="G3066" s="5">
        <v>9</v>
      </c>
      <c r="H3066" t="s">
        <v>70</v>
      </c>
      <c r="I3066" t="s">
        <v>18</v>
      </c>
      <c r="J3066" s="6">
        <v>8.99</v>
      </c>
      <c r="K3066">
        <v>0</v>
      </c>
      <c r="L3066" t="s">
        <v>19</v>
      </c>
      <c r="M3066" s="5">
        <v>4</v>
      </c>
      <c r="N3066" s="4">
        <v>2.78</v>
      </c>
      <c r="O3066" t="s">
        <v>34</v>
      </c>
    </row>
    <row r="3067" spans="1:15" x14ac:dyDescent="0.3">
      <c r="A3067" t="s">
        <v>2830</v>
      </c>
      <c r="B3067" s="5">
        <v>49</v>
      </c>
      <c r="C3067" s="5" t="str" cm="1">
        <f t="array" ref="C3067">_xlfn.IFS(worksheet[[#This Row],[age]]&lt;25,"1. Young Adulthood (18-24)",worksheet[[#This Row],[age]]&lt; 35,"2. Early Adulthood (25-34)",worksheet[[#This Row],[age]]&lt; 45,"3. Mid Adulthood (35-44)",worksheet[[#This Row],[age]]&lt; 55,"4. Mature Adulthood (45-54)",TRUE,"5. Late Adulthood/Senior (55+)")</f>
        <v>4. Mature Adulthood (45-54)</v>
      </c>
      <c r="D3067" t="s">
        <v>27</v>
      </c>
      <c r="E3067" t="s">
        <v>32</v>
      </c>
      <c r="F3067" s="4">
        <v>0.48</v>
      </c>
      <c r="G3067" s="5">
        <v>35</v>
      </c>
      <c r="H3067" t="s">
        <v>70</v>
      </c>
      <c r="I3067" t="s">
        <v>46</v>
      </c>
      <c r="J3067" s="6">
        <v>17.989999999999998</v>
      </c>
      <c r="K3067">
        <v>1</v>
      </c>
      <c r="L3067" t="s">
        <v>43</v>
      </c>
      <c r="M3067" s="5">
        <v>3</v>
      </c>
      <c r="N3067" s="4">
        <v>0.01</v>
      </c>
      <c r="O3067" t="s">
        <v>25</v>
      </c>
    </row>
    <row r="3068" spans="1:15" x14ac:dyDescent="0.3">
      <c r="A3068" t="s">
        <v>2836</v>
      </c>
      <c r="B3068" s="5">
        <v>46</v>
      </c>
      <c r="C3068" s="5" t="str" cm="1">
        <f t="array" ref="C3068">_xlfn.IFS(worksheet[[#This Row],[age]]&lt;25,"1. Young Adulthood (18-24)",worksheet[[#This Row],[age]]&lt; 35,"2. Early Adulthood (25-34)",worksheet[[#This Row],[age]]&lt; 45,"3. Mid Adulthood (35-44)",worksheet[[#This Row],[age]]&lt; 55,"4. Mature Adulthood (45-54)",TRUE,"5. Late Adulthood/Senior (55+)")</f>
        <v>4. Mature Adulthood (45-54)</v>
      </c>
      <c r="D3068" t="s">
        <v>41</v>
      </c>
      <c r="E3068" t="s">
        <v>32</v>
      </c>
      <c r="F3068" s="4">
        <v>13.66</v>
      </c>
      <c r="G3068" s="5">
        <v>31</v>
      </c>
      <c r="H3068" t="s">
        <v>49</v>
      </c>
      <c r="I3068" t="s">
        <v>24</v>
      </c>
      <c r="J3068" s="6">
        <v>17.989999999999998</v>
      </c>
      <c r="K3068">
        <v>1</v>
      </c>
      <c r="L3068" t="s">
        <v>43</v>
      </c>
      <c r="M3068" s="5">
        <v>1</v>
      </c>
      <c r="N3068" s="4">
        <v>0.43</v>
      </c>
      <c r="O3068" t="s">
        <v>47</v>
      </c>
    </row>
    <row r="3069" spans="1:15" x14ac:dyDescent="0.3">
      <c r="A3069" t="s">
        <v>2849</v>
      </c>
      <c r="B3069" s="5">
        <v>54</v>
      </c>
      <c r="C3069" s="5" t="str" cm="1">
        <f t="array" ref="C3069">_xlfn.IFS(worksheet[[#This Row],[age]]&lt;25,"1. Young Adulthood (18-24)",worksheet[[#This Row],[age]]&lt; 35,"2. Early Adulthood (25-34)",worksheet[[#This Row],[age]]&lt; 45,"3. Mid Adulthood (35-44)",worksheet[[#This Row],[age]]&lt; 55,"4. Mature Adulthood (45-54)",TRUE,"5. Late Adulthood/Senior (55+)")</f>
        <v>4. Mature Adulthood (45-54)</v>
      </c>
      <c r="D3069" t="s">
        <v>15</v>
      </c>
      <c r="E3069" t="s">
        <v>22</v>
      </c>
      <c r="F3069" s="4">
        <v>6.59</v>
      </c>
      <c r="G3069" s="5">
        <v>40</v>
      </c>
      <c r="H3069" t="s">
        <v>70</v>
      </c>
      <c r="I3069" t="s">
        <v>55</v>
      </c>
      <c r="J3069" s="6">
        <v>13.99</v>
      </c>
      <c r="K3069">
        <v>1</v>
      </c>
      <c r="L3069" t="s">
        <v>29</v>
      </c>
      <c r="M3069" s="5">
        <v>4</v>
      </c>
      <c r="N3069" s="4">
        <v>0.16</v>
      </c>
      <c r="O3069" t="s">
        <v>34</v>
      </c>
    </row>
    <row r="3070" spans="1:15" x14ac:dyDescent="0.3">
      <c r="A3070" t="s">
        <v>2856</v>
      </c>
      <c r="B3070" s="5">
        <v>47</v>
      </c>
      <c r="C3070" s="5" t="str" cm="1">
        <f t="array" ref="C3070">_xlfn.IFS(worksheet[[#This Row],[age]]&lt;25,"1. Young Adulthood (18-24)",worksheet[[#This Row],[age]]&lt; 35,"2. Early Adulthood (25-34)",worksheet[[#This Row],[age]]&lt; 45,"3. Mid Adulthood (35-44)",worksheet[[#This Row],[age]]&lt; 55,"4. Mature Adulthood (45-54)",TRUE,"5. Late Adulthood/Senior (55+)")</f>
        <v>4. Mature Adulthood (45-54)</v>
      </c>
      <c r="D3070" t="s">
        <v>27</v>
      </c>
      <c r="E3070" t="s">
        <v>16</v>
      </c>
      <c r="F3070" s="4">
        <v>6.28</v>
      </c>
      <c r="G3070" s="5">
        <v>3</v>
      </c>
      <c r="H3070" t="s">
        <v>33</v>
      </c>
      <c r="I3070" t="s">
        <v>57</v>
      </c>
      <c r="J3070" s="6">
        <v>8.99</v>
      </c>
      <c r="K3070">
        <v>0</v>
      </c>
      <c r="L3070" t="s">
        <v>37</v>
      </c>
      <c r="M3070" s="5">
        <v>2</v>
      </c>
      <c r="N3070" s="4">
        <v>1.57</v>
      </c>
      <c r="O3070" t="s">
        <v>52</v>
      </c>
    </row>
    <row r="3071" spans="1:15" x14ac:dyDescent="0.3">
      <c r="A3071" t="s">
        <v>2858</v>
      </c>
      <c r="B3071" s="5">
        <v>52</v>
      </c>
      <c r="C3071" s="5" t="str" cm="1">
        <f t="array" ref="C3071">_xlfn.IFS(worksheet[[#This Row],[age]]&lt;25,"1. Young Adulthood (18-24)",worksheet[[#This Row],[age]]&lt; 35,"2. Early Adulthood (25-34)",worksheet[[#This Row],[age]]&lt; 45,"3. Mid Adulthood (35-44)",worksheet[[#This Row],[age]]&lt; 55,"4. Mature Adulthood (45-54)",TRUE,"5. Late Adulthood/Senior (55+)")</f>
        <v>4. Mature Adulthood (45-54)</v>
      </c>
      <c r="D3071" t="s">
        <v>15</v>
      </c>
      <c r="E3071" t="s">
        <v>22</v>
      </c>
      <c r="F3071" s="4">
        <v>13.22</v>
      </c>
      <c r="G3071" s="5">
        <v>37</v>
      </c>
      <c r="H3071" t="s">
        <v>23</v>
      </c>
      <c r="I3071" t="s">
        <v>24</v>
      </c>
      <c r="J3071" s="6">
        <v>13.99</v>
      </c>
      <c r="K3071">
        <v>1</v>
      </c>
      <c r="L3071" t="s">
        <v>29</v>
      </c>
      <c r="M3071" s="5">
        <v>2</v>
      </c>
      <c r="N3071" s="4">
        <v>0.35</v>
      </c>
      <c r="O3071" t="s">
        <v>30</v>
      </c>
    </row>
    <row r="3072" spans="1:15" x14ac:dyDescent="0.3">
      <c r="A3072" t="s">
        <v>2861</v>
      </c>
      <c r="B3072" s="5">
        <v>52</v>
      </c>
      <c r="C3072" s="5" t="str" cm="1">
        <f t="array" ref="C3072">_xlfn.IFS(worksheet[[#This Row],[age]]&lt;25,"1. Young Adulthood (18-24)",worksheet[[#This Row],[age]]&lt; 35,"2. Early Adulthood (25-34)",worksheet[[#This Row],[age]]&lt; 45,"3. Mid Adulthood (35-44)",worksheet[[#This Row],[age]]&lt; 55,"4. Mature Adulthood (45-54)",TRUE,"5. Late Adulthood/Senior (55+)")</f>
        <v>4. Mature Adulthood (45-54)</v>
      </c>
      <c r="D3072" t="s">
        <v>41</v>
      </c>
      <c r="E3072" t="s">
        <v>32</v>
      </c>
      <c r="F3072" s="4">
        <v>7.03</v>
      </c>
      <c r="G3072" s="5">
        <v>19</v>
      </c>
      <c r="H3072" t="s">
        <v>17</v>
      </c>
      <c r="I3072" t="s">
        <v>57</v>
      </c>
      <c r="J3072" s="6">
        <v>17.989999999999998</v>
      </c>
      <c r="K3072">
        <v>0</v>
      </c>
      <c r="L3072" t="s">
        <v>61</v>
      </c>
      <c r="M3072" s="5">
        <v>2</v>
      </c>
      <c r="N3072" s="4">
        <v>0.35</v>
      </c>
      <c r="O3072" t="s">
        <v>52</v>
      </c>
    </row>
    <row r="3073" spans="1:15" x14ac:dyDescent="0.3">
      <c r="A3073" t="s">
        <v>2863</v>
      </c>
      <c r="B3073" s="5">
        <v>52</v>
      </c>
      <c r="C3073" s="5" t="str" cm="1">
        <f t="array" ref="C3073">_xlfn.IFS(worksheet[[#This Row],[age]]&lt;25,"1. Young Adulthood (18-24)",worksheet[[#This Row],[age]]&lt; 35,"2. Early Adulthood (25-34)",worksheet[[#This Row],[age]]&lt; 45,"3. Mid Adulthood (35-44)",worksheet[[#This Row],[age]]&lt; 55,"4. Mature Adulthood (45-54)",TRUE,"5. Late Adulthood/Senior (55+)")</f>
        <v>4. Mature Adulthood (45-54)</v>
      </c>
      <c r="D3073" t="s">
        <v>41</v>
      </c>
      <c r="E3073" t="s">
        <v>32</v>
      </c>
      <c r="F3073" s="4">
        <v>3.11</v>
      </c>
      <c r="G3073" s="5">
        <v>50</v>
      </c>
      <c r="H3073" t="s">
        <v>70</v>
      </c>
      <c r="I3073" t="s">
        <v>24</v>
      </c>
      <c r="J3073" s="6">
        <v>17.989999999999998</v>
      </c>
      <c r="K3073">
        <v>1</v>
      </c>
      <c r="L3073" t="s">
        <v>61</v>
      </c>
      <c r="M3073" s="5">
        <v>4</v>
      </c>
      <c r="N3073" s="4">
        <v>0.06</v>
      </c>
      <c r="O3073" t="s">
        <v>47</v>
      </c>
    </row>
    <row r="3074" spans="1:15" x14ac:dyDescent="0.3">
      <c r="A3074" t="s">
        <v>2864</v>
      </c>
      <c r="B3074" s="5">
        <v>48</v>
      </c>
      <c r="C3074" s="5" t="str" cm="1">
        <f t="array" ref="C3074">_xlfn.IFS(worksheet[[#This Row],[age]]&lt;25,"1. Young Adulthood (18-24)",worksheet[[#This Row],[age]]&lt; 35,"2. Early Adulthood (25-34)",worksheet[[#This Row],[age]]&lt; 45,"3. Mid Adulthood (35-44)",worksheet[[#This Row],[age]]&lt; 55,"4. Mature Adulthood (45-54)",TRUE,"5. Late Adulthood/Senior (55+)")</f>
        <v>4. Mature Adulthood (45-54)</v>
      </c>
      <c r="D3074" t="s">
        <v>27</v>
      </c>
      <c r="E3074" t="s">
        <v>16</v>
      </c>
      <c r="F3074" s="4">
        <v>0.28999999999999998</v>
      </c>
      <c r="G3074" s="5">
        <v>33</v>
      </c>
      <c r="H3074" t="s">
        <v>70</v>
      </c>
      <c r="I3074" t="s">
        <v>57</v>
      </c>
      <c r="J3074" s="6">
        <v>8.99</v>
      </c>
      <c r="K3074">
        <v>1</v>
      </c>
      <c r="L3074" t="s">
        <v>37</v>
      </c>
      <c r="M3074" s="5">
        <v>1</v>
      </c>
      <c r="N3074" s="4">
        <v>0.01</v>
      </c>
      <c r="O3074" t="s">
        <v>34</v>
      </c>
    </row>
    <row r="3075" spans="1:15" x14ac:dyDescent="0.3">
      <c r="A3075" t="s">
        <v>2865</v>
      </c>
      <c r="B3075" s="5">
        <v>52</v>
      </c>
      <c r="C3075" s="5" t="str" cm="1">
        <f t="array" ref="C3075">_xlfn.IFS(worksheet[[#This Row],[age]]&lt;25,"1. Young Adulthood (18-24)",worksheet[[#This Row],[age]]&lt; 35,"2. Early Adulthood (25-34)",worksheet[[#This Row],[age]]&lt; 45,"3. Mid Adulthood (35-44)",worksheet[[#This Row],[age]]&lt; 55,"4. Mature Adulthood (45-54)",TRUE,"5. Late Adulthood/Senior (55+)")</f>
        <v>4. Mature Adulthood (45-54)</v>
      </c>
      <c r="D3075" t="s">
        <v>27</v>
      </c>
      <c r="E3075" t="s">
        <v>22</v>
      </c>
      <c r="F3075" s="4">
        <v>1.69</v>
      </c>
      <c r="G3075" s="5">
        <v>54</v>
      </c>
      <c r="H3075" t="s">
        <v>49</v>
      </c>
      <c r="I3075" t="s">
        <v>46</v>
      </c>
      <c r="J3075" s="6">
        <v>13.99</v>
      </c>
      <c r="K3075">
        <v>1</v>
      </c>
      <c r="L3075" t="s">
        <v>37</v>
      </c>
      <c r="M3075" s="5">
        <v>3</v>
      </c>
      <c r="N3075" s="4">
        <v>0.03</v>
      </c>
      <c r="O3075" t="s">
        <v>52</v>
      </c>
    </row>
    <row r="3076" spans="1:15" x14ac:dyDescent="0.3">
      <c r="A3076" t="s">
        <v>2866</v>
      </c>
      <c r="B3076" s="5">
        <v>50</v>
      </c>
      <c r="C3076" s="5" t="str" cm="1">
        <f t="array" ref="C3076">_xlfn.IFS(worksheet[[#This Row],[age]]&lt;25,"1. Young Adulthood (18-24)",worksheet[[#This Row],[age]]&lt; 35,"2. Early Adulthood (25-34)",worksheet[[#This Row],[age]]&lt; 45,"3. Mid Adulthood (35-44)",worksheet[[#This Row],[age]]&lt; 55,"4. Mature Adulthood (45-54)",TRUE,"5. Late Adulthood/Senior (55+)")</f>
        <v>4. Mature Adulthood (45-54)</v>
      </c>
      <c r="D3076" t="s">
        <v>15</v>
      </c>
      <c r="E3076" t="s">
        <v>16</v>
      </c>
      <c r="F3076" s="4">
        <v>0.61</v>
      </c>
      <c r="G3076" s="5">
        <v>16</v>
      </c>
      <c r="H3076" t="s">
        <v>28</v>
      </c>
      <c r="I3076" t="s">
        <v>18</v>
      </c>
      <c r="J3076" s="6">
        <v>8.99</v>
      </c>
      <c r="K3076">
        <v>1</v>
      </c>
      <c r="L3076" t="s">
        <v>19</v>
      </c>
      <c r="M3076" s="5">
        <v>2</v>
      </c>
      <c r="N3076" s="4">
        <v>0.04</v>
      </c>
      <c r="O3076" t="s">
        <v>30</v>
      </c>
    </row>
    <row r="3077" spans="1:15" x14ac:dyDescent="0.3">
      <c r="A3077" t="s">
        <v>2872</v>
      </c>
      <c r="B3077" s="5">
        <v>45</v>
      </c>
      <c r="C3077" s="5" t="str" cm="1">
        <f t="array" ref="C3077">_xlfn.IFS(worksheet[[#This Row],[age]]&lt;25,"1. Young Adulthood (18-24)",worksheet[[#This Row],[age]]&lt; 35,"2. Early Adulthood (25-34)",worksheet[[#This Row],[age]]&lt; 45,"3. Mid Adulthood (35-44)",worksheet[[#This Row],[age]]&lt; 55,"4. Mature Adulthood (45-54)",TRUE,"5. Late Adulthood/Senior (55+)")</f>
        <v>4. Mature Adulthood (45-54)</v>
      </c>
      <c r="D3077" t="s">
        <v>15</v>
      </c>
      <c r="E3077" t="s">
        <v>32</v>
      </c>
      <c r="F3077" s="4">
        <v>3.2</v>
      </c>
      <c r="G3077" s="5">
        <v>57</v>
      </c>
      <c r="H3077" t="s">
        <v>33</v>
      </c>
      <c r="I3077" t="s">
        <v>18</v>
      </c>
      <c r="J3077" s="6">
        <v>17.989999999999998</v>
      </c>
      <c r="K3077">
        <v>1</v>
      </c>
      <c r="L3077" t="s">
        <v>61</v>
      </c>
      <c r="M3077" s="5">
        <v>1</v>
      </c>
      <c r="N3077" s="4">
        <v>0.06</v>
      </c>
      <c r="O3077" t="s">
        <v>25</v>
      </c>
    </row>
    <row r="3078" spans="1:15" x14ac:dyDescent="0.3">
      <c r="A3078" t="s">
        <v>2875</v>
      </c>
      <c r="B3078" s="5">
        <v>51</v>
      </c>
      <c r="C3078" s="5" t="str" cm="1">
        <f t="array" ref="C3078">_xlfn.IFS(worksheet[[#This Row],[age]]&lt;25,"1. Young Adulthood (18-24)",worksheet[[#This Row],[age]]&lt; 35,"2. Early Adulthood (25-34)",worksheet[[#This Row],[age]]&lt; 45,"3. Mid Adulthood (35-44)",worksheet[[#This Row],[age]]&lt; 55,"4. Mature Adulthood (45-54)",TRUE,"5. Late Adulthood/Senior (55+)")</f>
        <v>4. Mature Adulthood (45-54)</v>
      </c>
      <c r="D3078" t="s">
        <v>41</v>
      </c>
      <c r="E3078" t="s">
        <v>22</v>
      </c>
      <c r="F3078" s="4">
        <v>7.01</v>
      </c>
      <c r="G3078" s="5">
        <v>38</v>
      </c>
      <c r="H3078" t="s">
        <v>28</v>
      </c>
      <c r="I3078" t="s">
        <v>57</v>
      </c>
      <c r="J3078" s="6">
        <v>13.99</v>
      </c>
      <c r="K3078">
        <v>1</v>
      </c>
      <c r="L3078" t="s">
        <v>19</v>
      </c>
      <c r="M3078" s="5">
        <v>2</v>
      </c>
      <c r="N3078" s="4">
        <v>0.18</v>
      </c>
      <c r="O3078" t="s">
        <v>25</v>
      </c>
    </row>
    <row r="3079" spans="1:15" x14ac:dyDescent="0.3">
      <c r="A3079" t="s">
        <v>2889</v>
      </c>
      <c r="B3079" s="5">
        <v>48</v>
      </c>
      <c r="C3079" s="5" t="str" cm="1">
        <f t="array" ref="C3079">_xlfn.IFS(worksheet[[#This Row],[age]]&lt;25,"1. Young Adulthood (18-24)",worksheet[[#This Row],[age]]&lt; 35,"2. Early Adulthood (25-34)",worksheet[[#This Row],[age]]&lt; 45,"3. Mid Adulthood (35-44)",worksheet[[#This Row],[age]]&lt; 55,"4. Mature Adulthood (45-54)",TRUE,"5. Late Adulthood/Senior (55+)")</f>
        <v>4. Mature Adulthood (45-54)</v>
      </c>
      <c r="D3079" t="s">
        <v>15</v>
      </c>
      <c r="E3079" t="s">
        <v>16</v>
      </c>
      <c r="F3079" s="4">
        <v>0.75</v>
      </c>
      <c r="G3079" s="5">
        <v>55</v>
      </c>
      <c r="H3079" t="s">
        <v>70</v>
      </c>
      <c r="I3079" t="s">
        <v>46</v>
      </c>
      <c r="J3079" s="6">
        <v>8.99</v>
      </c>
      <c r="K3079">
        <v>1</v>
      </c>
      <c r="L3079" t="s">
        <v>43</v>
      </c>
      <c r="M3079" s="5">
        <v>5</v>
      </c>
      <c r="N3079" s="4">
        <v>0.01</v>
      </c>
      <c r="O3079" t="s">
        <v>20</v>
      </c>
    </row>
    <row r="3080" spans="1:15" x14ac:dyDescent="0.3">
      <c r="A3080" t="s">
        <v>2892</v>
      </c>
      <c r="B3080" s="5">
        <v>51</v>
      </c>
      <c r="C3080" s="5" t="str" cm="1">
        <f t="array" ref="C3080">_xlfn.IFS(worksheet[[#This Row],[age]]&lt;25,"1. Young Adulthood (18-24)",worksheet[[#This Row],[age]]&lt; 35,"2. Early Adulthood (25-34)",worksheet[[#This Row],[age]]&lt; 45,"3. Mid Adulthood (35-44)",worksheet[[#This Row],[age]]&lt; 55,"4. Mature Adulthood (45-54)",TRUE,"5. Late Adulthood/Senior (55+)")</f>
        <v>4. Mature Adulthood (45-54)</v>
      </c>
      <c r="D3080" t="s">
        <v>15</v>
      </c>
      <c r="E3080" t="s">
        <v>16</v>
      </c>
      <c r="F3080" s="4">
        <v>25.77</v>
      </c>
      <c r="G3080" s="5">
        <v>38</v>
      </c>
      <c r="H3080" t="s">
        <v>49</v>
      </c>
      <c r="I3080" t="s">
        <v>24</v>
      </c>
      <c r="J3080" s="6">
        <v>8.99</v>
      </c>
      <c r="K3080">
        <v>0</v>
      </c>
      <c r="L3080" t="s">
        <v>43</v>
      </c>
      <c r="M3080" s="5">
        <v>4</v>
      </c>
      <c r="N3080" s="4">
        <v>0.66</v>
      </c>
      <c r="O3080" t="s">
        <v>20</v>
      </c>
    </row>
    <row r="3081" spans="1:15" x14ac:dyDescent="0.3">
      <c r="A3081" t="s">
        <v>2900</v>
      </c>
      <c r="B3081" s="5">
        <v>49</v>
      </c>
      <c r="C3081" s="5" t="str" cm="1">
        <f t="array" ref="C3081">_xlfn.IFS(worksheet[[#This Row],[age]]&lt;25,"1. Young Adulthood (18-24)",worksheet[[#This Row],[age]]&lt; 35,"2. Early Adulthood (25-34)",worksheet[[#This Row],[age]]&lt; 45,"3. Mid Adulthood (35-44)",worksheet[[#This Row],[age]]&lt; 55,"4. Mature Adulthood (45-54)",TRUE,"5. Late Adulthood/Senior (55+)")</f>
        <v>4. Mature Adulthood (45-54)</v>
      </c>
      <c r="D3081" t="s">
        <v>15</v>
      </c>
      <c r="E3081" t="s">
        <v>32</v>
      </c>
      <c r="F3081" s="4">
        <v>19.3</v>
      </c>
      <c r="G3081" s="5">
        <v>19</v>
      </c>
      <c r="H3081" t="s">
        <v>33</v>
      </c>
      <c r="I3081" t="s">
        <v>24</v>
      </c>
      <c r="J3081" s="6">
        <v>17.989999999999998</v>
      </c>
      <c r="K3081">
        <v>0</v>
      </c>
      <c r="L3081" t="s">
        <v>43</v>
      </c>
      <c r="M3081" s="5">
        <v>5</v>
      </c>
      <c r="N3081" s="4">
        <v>0.97</v>
      </c>
      <c r="O3081" t="s">
        <v>34</v>
      </c>
    </row>
    <row r="3082" spans="1:15" x14ac:dyDescent="0.3">
      <c r="A3082" t="s">
        <v>2902</v>
      </c>
      <c r="B3082" s="5">
        <v>49</v>
      </c>
      <c r="C3082" s="5" t="str" cm="1">
        <f t="array" ref="C3082">_xlfn.IFS(worksheet[[#This Row],[age]]&lt;25,"1. Young Adulthood (18-24)",worksheet[[#This Row],[age]]&lt; 35,"2. Early Adulthood (25-34)",worksheet[[#This Row],[age]]&lt; 45,"3. Mid Adulthood (35-44)",worksheet[[#This Row],[age]]&lt; 55,"4. Mature Adulthood (45-54)",TRUE,"5. Late Adulthood/Senior (55+)")</f>
        <v>4. Mature Adulthood (45-54)</v>
      </c>
      <c r="D3082" t="s">
        <v>41</v>
      </c>
      <c r="E3082" t="s">
        <v>32</v>
      </c>
      <c r="F3082" s="4">
        <v>1</v>
      </c>
      <c r="G3082" s="5">
        <v>40</v>
      </c>
      <c r="H3082" t="s">
        <v>28</v>
      </c>
      <c r="I3082" t="s">
        <v>57</v>
      </c>
      <c r="J3082" s="6">
        <v>17.989999999999998</v>
      </c>
      <c r="K3082">
        <v>1</v>
      </c>
      <c r="L3082" t="s">
        <v>19</v>
      </c>
      <c r="M3082" s="5">
        <v>4</v>
      </c>
      <c r="N3082" s="4">
        <v>0.02</v>
      </c>
      <c r="O3082" t="s">
        <v>52</v>
      </c>
    </row>
    <row r="3083" spans="1:15" x14ac:dyDescent="0.3">
      <c r="A3083" t="s">
        <v>2906</v>
      </c>
      <c r="B3083" s="5">
        <v>47</v>
      </c>
      <c r="C3083" s="5" t="str" cm="1">
        <f t="array" ref="C3083">_xlfn.IFS(worksheet[[#This Row],[age]]&lt;25,"1. Young Adulthood (18-24)",worksheet[[#This Row],[age]]&lt; 35,"2. Early Adulthood (25-34)",worksheet[[#This Row],[age]]&lt; 45,"3. Mid Adulthood (35-44)",worksheet[[#This Row],[age]]&lt; 55,"4. Mature Adulthood (45-54)",TRUE,"5. Late Adulthood/Senior (55+)")</f>
        <v>4. Mature Adulthood (45-54)</v>
      </c>
      <c r="D3083" t="s">
        <v>27</v>
      </c>
      <c r="E3083" t="s">
        <v>16</v>
      </c>
      <c r="F3083" s="4">
        <v>3.84</v>
      </c>
      <c r="G3083" s="5">
        <v>2</v>
      </c>
      <c r="H3083" t="s">
        <v>23</v>
      </c>
      <c r="I3083" t="s">
        <v>24</v>
      </c>
      <c r="J3083" s="6">
        <v>8.99</v>
      </c>
      <c r="K3083">
        <v>0</v>
      </c>
      <c r="L3083" t="s">
        <v>61</v>
      </c>
      <c r="M3083" s="5">
        <v>2</v>
      </c>
      <c r="N3083" s="4">
        <v>1.28</v>
      </c>
      <c r="O3083" t="s">
        <v>20</v>
      </c>
    </row>
    <row r="3084" spans="1:15" x14ac:dyDescent="0.3">
      <c r="A3084" t="s">
        <v>2911</v>
      </c>
      <c r="B3084" s="5">
        <v>50</v>
      </c>
      <c r="C3084" s="5" t="str" cm="1">
        <f t="array" ref="C3084">_xlfn.IFS(worksheet[[#This Row],[age]]&lt;25,"1. Young Adulthood (18-24)",worksheet[[#This Row],[age]]&lt; 35,"2. Early Adulthood (25-34)",worksheet[[#This Row],[age]]&lt; 45,"3. Mid Adulthood (35-44)",worksheet[[#This Row],[age]]&lt; 55,"4. Mature Adulthood (45-54)",TRUE,"5. Late Adulthood/Senior (55+)")</f>
        <v>4. Mature Adulthood (45-54)</v>
      </c>
      <c r="D3084" t="s">
        <v>15</v>
      </c>
      <c r="E3084" t="s">
        <v>32</v>
      </c>
      <c r="F3084" s="4">
        <v>1.05</v>
      </c>
      <c r="G3084" s="5">
        <v>42</v>
      </c>
      <c r="H3084" t="s">
        <v>28</v>
      </c>
      <c r="I3084" t="s">
        <v>46</v>
      </c>
      <c r="J3084" s="6">
        <v>17.989999999999998</v>
      </c>
      <c r="K3084">
        <v>1</v>
      </c>
      <c r="L3084" t="s">
        <v>61</v>
      </c>
      <c r="M3084" s="5">
        <v>2</v>
      </c>
      <c r="N3084" s="4">
        <v>0.02</v>
      </c>
      <c r="O3084" t="s">
        <v>20</v>
      </c>
    </row>
    <row r="3085" spans="1:15" x14ac:dyDescent="0.3">
      <c r="A3085" t="s">
        <v>2916</v>
      </c>
      <c r="B3085" s="5">
        <v>51</v>
      </c>
      <c r="C3085" s="5" t="str" cm="1">
        <f t="array" ref="C3085">_xlfn.IFS(worksheet[[#This Row],[age]]&lt;25,"1. Young Adulthood (18-24)",worksheet[[#This Row],[age]]&lt; 35,"2. Early Adulthood (25-34)",worksheet[[#This Row],[age]]&lt; 45,"3. Mid Adulthood (35-44)",worksheet[[#This Row],[age]]&lt; 55,"4. Mature Adulthood (45-54)",TRUE,"5. Late Adulthood/Senior (55+)")</f>
        <v>4. Mature Adulthood (45-54)</v>
      </c>
      <c r="D3085" t="s">
        <v>15</v>
      </c>
      <c r="E3085" t="s">
        <v>22</v>
      </c>
      <c r="F3085" s="4">
        <v>1.96</v>
      </c>
      <c r="G3085" s="5">
        <v>26</v>
      </c>
      <c r="H3085" t="s">
        <v>23</v>
      </c>
      <c r="I3085" t="s">
        <v>57</v>
      </c>
      <c r="J3085" s="6">
        <v>13.99</v>
      </c>
      <c r="K3085">
        <v>0</v>
      </c>
      <c r="L3085" t="s">
        <v>37</v>
      </c>
      <c r="M3085" s="5">
        <v>4</v>
      </c>
      <c r="N3085" s="4">
        <v>7.0000000000000007E-2</v>
      </c>
      <c r="O3085" t="s">
        <v>52</v>
      </c>
    </row>
    <row r="3086" spans="1:15" x14ac:dyDescent="0.3">
      <c r="A3086" t="s">
        <v>2918</v>
      </c>
      <c r="B3086" s="5">
        <v>48</v>
      </c>
      <c r="C3086" s="5" t="str" cm="1">
        <f t="array" ref="C3086">_xlfn.IFS(worksheet[[#This Row],[age]]&lt;25,"1. Young Adulthood (18-24)",worksheet[[#This Row],[age]]&lt; 35,"2. Early Adulthood (25-34)",worksheet[[#This Row],[age]]&lt; 45,"3. Mid Adulthood (35-44)",worksheet[[#This Row],[age]]&lt; 55,"4. Mature Adulthood (45-54)",TRUE,"5. Late Adulthood/Senior (55+)")</f>
        <v>4. Mature Adulthood (45-54)</v>
      </c>
      <c r="D3086" t="s">
        <v>41</v>
      </c>
      <c r="E3086" t="s">
        <v>22</v>
      </c>
      <c r="F3086" s="4">
        <v>7.38</v>
      </c>
      <c r="G3086" s="5">
        <v>4</v>
      </c>
      <c r="H3086" t="s">
        <v>49</v>
      </c>
      <c r="I3086" t="s">
        <v>55</v>
      </c>
      <c r="J3086" s="6">
        <v>13.99</v>
      </c>
      <c r="K3086">
        <v>0</v>
      </c>
      <c r="L3086" t="s">
        <v>61</v>
      </c>
      <c r="M3086" s="5">
        <v>4</v>
      </c>
      <c r="N3086" s="4">
        <v>1.48</v>
      </c>
      <c r="O3086" t="s">
        <v>34</v>
      </c>
    </row>
    <row r="3087" spans="1:15" x14ac:dyDescent="0.3">
      <c r="A3087" t="s">
        <v>2932</v>
      </c>
      <c r="B3087" s="5">
        <v>54</v>
      </c>
      <c r="C3087" s="5" t="str" cm="1">
        <f t="array" ref="C3087">_xlfn.IFS(worksheet[[#This Row],[age]]&lt;25,"1. Young Adulthood (18-24)",worksheet[[#This Row],[age]]&lt; 35,"2. Early Adulthood (25-34)",worksheet[[#This Row],[age]]&lt; 45,"3. Mid Adulthood (35-44)",worksheet[[#This Row],[age]]&lt; 55,"4. Mature Adulthood (45-54)",TRUE,"5. Late Adulthood/Senior (55+)")</f>
        <v>4. Mature Adulthood (45-54)</v>
      </c>
      <c r="D3087" t="s">
        <v>41</v>
      </c>
      <c r="E3087" t="s">
        <v>16</v>
      </c>
      <c r="F3087" s="4">
        <v>4.8499999999999996</v>
      </c>
      <c r="G3087" s="5">
        <v>37</v>
      </c>
      <c r="H3087" t="s">
        <v>17</v>
      </c>
      <c r="I3087" t="s">
        <v>57</v>
      </c>
      <c r="J3087" s="6">
        <v>8.99</v>
      </c>
      <c r="K3087">
        <v>1</v>
      </c>
      <c r="L3087" t="s">
        <v>61</v>
      </c>
      <c r="M3087" s="5">
        <v>4</v>
      </c>
      <c r="N3087" s="4">
        <v>0.13</v>
      </c>
      <c r="O3087" t="s">
        <v>47</v>
      </c>
    </row>
    <row r="3088" spans="1:15" x14ac:dyDescent="0.3">
      <c r="A3088" t="s">
        <v>2936</v>
      </c>
      <c r="B3088" s="5">
        <v>53</v>
      </c>
      <c r="C3088" s="5" t="str" cm="1">
        <f t="array" ref="C3088">_xlfn.IFS(worksheet[[#This Row],[age]]&lt;25,"1. Young Adulthood (18-24)",worksheet[[#This Row],[age]]&lt; 35,"2. Early Adulthood (25-34)",worksheet[[#This Row],[age]]&lt; 45,"3. Mid Adulthood (35-44)",worksheet[[#This Row],[age]]&lt; 55,"4. Mature Adulthood (45-54)",TRUE,"5. Late Adulthood/Senior (55+)")</f>
        <v>4. Mature Adulthood (45-54)</v>
      </c>
      <c r="D3088" t="s">
        <v>27</v>
      </c>
      <c r="E3088" t="s">
        <v>22</v>
      </c>
      <c r="F3088" s="4">
        <v>26.91</v>
      </c>
      <c r="G3088" s="5">
        <v>19</v>
      </c>
      <c r="H3088" t="s">
        <v>70</v>
      </c>
      <c r="I3088" t="s">
        <v>57</v>
      </c>
      <c r="J3088" s="6">
        <v>13.99</v>
      </c>
      <c r="K3088">
        <v>0</v>
      </c>
      <c r="L3088" t="s">
        <v>37</v>
      </c>
      <c r="M3088" s="5">
        <v>2</v>
      </c>
      <c r="N3088" s="4">
        <v>1.35</v>
      </c>
      <c r="O3088" t="s">
        <v>20</v>
      </c>
    </row>
    <row r="3089" spans="1:15" x14ac:dyDescent="0.3">
      <c r="A3089" t="s">
        <v>2949</v>
      </c>
      <c r="B3089" s="5">
        <v>50</v>
      </c>
      <c r="C3089" s="5" t="str" cm="1">
        <f t="array" ref="C3089">_xlfn.IFS(worksheet[[#This Row],[age]]&lt;25,"1. Young Adulthood (18-24)",worksheet[[#This Row],[age]]&lt; 35,"2. Early Adulthood (25-34)",worksheet[[#This Row],[age]]&lt; 45,"3. Mid Adulthood (35-44)",worksheet[[#This Row],[age]]&lt; 55,"4. Mature Adulthood (45-54)",TRUE,"5. Late Adulthood/Senior (55+)")</f>
        <v>4. Mature Adulthood (45-54)</v>
      </c>
      <c r="D3089" t="s">
        <v>15</v>
      </c>
      <c r="E3089" t="s">
        <v>16</v>
      </c>
      <c r="F3089" s="4">
        <v>1.1100000000000001</v>
      </c>
      <c r="G3089" s="5">
        <v>44</v>
      </c>
      <c r="H3089" t="s">
        <v>70</v>
      </c>
      <c r="I3089" t="s">
        <v>46</v>
      </c>
      <c r="J3089" s="6">
        <v>8.99</v>
      </c>
      <c r="K3089">
        <v>1</v>
      </c>
      <c r="L3089" t="s">
        <v>43</v>
      </c>
      <c r="M3089" s="5">
        <v>5</v>
      </c>
      <c r="N3089" s="4">
        <v>0.02</v>
      </c>
      <c r="O3089" t="s">
        <v>39</v>
      </c>
    </row>
    <row r="3090" spans="1:15" x14ac:dyDescent="0.3">
      <c r="A3090" t="s">
        <v>2957</v>
      </c>
      <c r="B3090" s="5">
        <v>46</v>
      </c>
      <c r="C3090" s="5" t="str" cm="1">
        <f t="array" ref="C3090">_xlfn.IFS(worksheet[[#This Row],[age]]&lt;25,"1. Young Adulthood (18-24)",worksheet[[#This Row],[age]]&lt; 35,"2. Early Adulthood (25-34)",worksheet[[#This Row],[age]]&lt; 45,"3. Mid Adulthood (35-44)",worksheet[[#This Row],[age]]&lt; 55,"4. Mature Adulthood (45-54)",TRUE,"5. Late Adulthood/Senior (55+)")</f>
        <v>4. Mature Adulthood (45-54)</v>
      </c>
      <c r="D3090" t="s">
        <v>27</v>
      </c>
      <c r="E3090" t="s">
        <v>22</v>
      </c>
      <c r="F3090" s="4">
        <v>13.81</v>
      </c>
      <c r="G3090" s="5">
        <v>13</v>
      </c>
      <c r="H3090" t="s">
        <v>33</v>
      </c>
      <c r="I3090" t="s">
        <v>18</v>
      </c>
      <c r="J3090" s="6">
        <v>13.99</v>
      </c>
      <c r="K3090">
        <v>0</v>
      </c>
      <c r="L3090" t="s">
        <v>61</v>
      </c>
      <c r="M3090" s="5">
        <v>1</v>
      </c>
      <c r="N3090" s="4">
        <v>0.99</v>
      </c>
      <c r="O3090" t="s">
        <v>20</v>
      </c>
    </row>
    <row r="3091" spans="1:15" x14ac:dyDescent="0.3">
      <c r="A3091" t="s">
        <v>2962</v>
      </c>
      <c r="B3091" s="5">
        <v>49</v>
      </c>
      <c r="C3091" s="5" t="str" cm="1">
        <f t="array" ref="C3091">_xlfn.IFS(worksheet[[#This Row],[age]]&lt;25,"1. Young Adulthood (18-24)",worksheet[[#This Row],[age]]&lt; 35,"2. Early Adulthood (25-34)",worksheet[[#This Row],[age]]&lt; 45,"3. Mid Adulthood (35-44)",worksheet[[#This Row],[age]]&lt; 55,"4. Mature Adulthood (45-54)",TRUE,"5. Late Adulthood/Senior (55+)")</f>
        <v>4. Mature Adulthood (45-54)</v>
      </c>
      <c r="D3091" t="s">
        <v>15</v>
      </c>
      <c r="E3091" t="s">
        <v>32</v>
      </c>
      <c r="F3091" s="4">
        <v>8.48</v>
      </c>
      <c r="G3091" s="5">
        <v>10</v>
      </c>
      <c r="H3091" t="s">
        <v>70</v>
      </c>
      <c r="I3091" t="s">
        <v>46</v>
      </c>
      <c r="J3091" s="6">
        <v>17.989999999999998</v>
      </c>
      <c r="K3091">
        <v>0</v>
      </c>
      <c r="L3091" t="s">
        <v>43</v>
      </c>
      <c r="M3091" s="5">
        <v>1</v>
      </c>
      <c r="N3091" s="4">
        <v>0.77</v>
      </c>
      <c r="O3091" t="s">
        <v>34</v>
      </c>
    </row>
    <row r="3092" spans="1:15" x14ac:dyDescent="0.3">
      <c r="A3092" t="s">
        <v>2965</v>
      </c>
      <c r="B3092" s="5">
        <v>46</v>
      </c>
      <c r="C3092" s="5" t="str" cm="1">
        <f t="array" ref="C3092">_xlfn.IFS(worksheet[[#This Row],[age]]&lt;25,"1. Young Adulthood (18-24)",worksheet[[#This Row],[age]]&lt; 35,"2. Early Adulthood (25-34)",worksheet[[#This Row],[age]]&lt; 45,"3. Mid Adulthood (35-44)",worksheet[[#This Row],[age]]&lt; 55,"4. Mature Adulthood (45-54)",TRUE,"5. Late Adulthood/Senior (55+)")</f>
        <v>4. Mature Adulthood (45-54)</v>
      </c>
      <c r="D3092" t="s">
        <v>41</v>
      </c>
      <c r="E3092" t="s">
        <v>32</v>
      </c>
      <c r="F3092" s="4">
        <v>0.48</v>
      </c>
      <c r="G3092" s="5">
        <v>36</v>
      </c>
      <c r="H3092" t="s">
        <v>28</v>
      </c>
      <c r="I3092" t="s">
        <v>18</v>
      </c>
      <c r="J3092" s="6">
        <v>17.989999999999998</v>
      </c>
      <c r="K3092">
        <v>1</v>
      </c>
      <c r="L3092" t="s">
        <v>19</v>
      </c>
      <c r="M3092" s="5">
        <v>5</v>
      </c>
      <c r="N3092" s="4">
        <v>0.01</v>
      </c>
      <c r="O3092" t="s">
        <v>39</v>
      </c>
    </row>
    <row r="3093" spans="1:15" x14ac:dyDescent="0.3">
      <c r="A3093" t="s">
        <v>2972</v>
      </c>
      <c r="B3093" s="5">
        <v>46</v>
      </c>
      <c r="C3093" s="5" t="str" cm="1">
        <f t="array" ref="C3093">_xlfn.IFS(worksheet[[#This Row],[age]]&lt;25,"1. Young Adulthood (18-24)",worksheet[[#This Row],[age]]&lt; 35,"2. Early Adulthood (25-34)",worksheet[[#This Row],[age]]&lt; 45,"3. Mid Adulthood (35-44)",worksheet[[#This Row],[age]]&lt; 55,"4. Mature Adulthood (45-54)",TRUE,"5. Late Adulthood/Senior (55+)")</f>
        <v>4. Mature Adulthood (45-54)</v>
      </c>
      <c r="D3093" t="s">
        <v>27</v>
      </c>
      <c r="E3093" t="s">
        <v>16</v>
      </c>
      <c r="F3093" s="4">
        <v>12.12</v>
      </c>
      <c r="G3093" s="5">
        <v>41</v>
      </c>
      <c r="H3093" t="s">
        <v>49</v>
      </c>
      <c r="I3093" t="s">
        <v>57</v>
      </c>
      <c r="J3093" s="6">
        <v>8.99</v>
      </c>
      <c r="K3093">
        <v>1</v>
      </c>
      <c r="L3093" t="s">
        <v>37</v>
      </c>
      <c r="M3093" s="5">
        <v>2</v>
      </c>
      <c r="N3093" s="4">
        <v>0.28999999999999998</v>
      </c>
      <c r="O3093" t="s">
        <v>30</v>
      </c>
    </row>
    <row r="3094" spans="1:15" x14ac:dyDescent="0.3">
      <c r="A3094" t="s">
        <v>2976</v>
      </c>
      <c r="B3094" s="5">
        <v>48</v>
      </c>
      <c r="C3094" s="5" t="str" cm="1">
        <f t="array" ref="C3094">_xlfn.IFS(worksheet[[#This Row],[age]]&lt;25,"1. Young Adulthood (18-24)",worksheet[[#This Row],[age]]&lt; 35,"2. Early Adulthood (25-34)",worksheet[[#This Row],[age]]&lt; 45,"3. Mid Adulthood (35-44)",worksheet[[#This Row],[age]]&lt; 55,"4. Mature Adulthood (45-54)",TRUE,"5. Late Adulthood/Senior (55+)")</f>
        <v>4. Mature Adulthood (45-54)</v>
      </c>
      <c r="D3094" t="s">
        <v>15</v>
      </c>
      <c r="E3094" t="s">
        <v>32</v>
      </c>
      <c r="F3094" s="4">
        <v>17.239999999999998</v>
      </c>
      <c r="G3094" s="5">
        <v>53</v>
      </c>
      <c r="H3094" t="s">
        <v>33</v>
      </c>
      <c r="I3094" t="s">
        <v>24</v>
      </c>
      <c r="J3094" s="6">
        <v>17.989999999999998</v>
      </c>
      <c r="K3094">
        <v>0</v>
      </c>
      <c r="L3094" t="s">
        <v>37</v>
      </c>
      <c r="M3094" s="5">
        <v>5</v>
      </c>
      <c r="N3094" s="4">
        <v>0.32</v>
      </c>
      <c r="O3094" t="s">
        <v>52</v>
      </c>
    </row>
    <row r="3095" spans="1:15" x14ac:dyDescent="0.3">
      <c r="A3095" t="s">
        <v>2988</v>
      </c>
      <c r="B3095" s="5">
        <v>51</v>
      </c>
      <c r="C3095" s="5" t="str" cm="1">
        <f t="array" ref="C3095">_xlfn.IFS(worksheet[[#This Row],[age]]&lt;25,"1. Young Adulthood (18-24)",worksheet[[#This Row],[age]]&lt; 35,"2. Early Adulthood (25-34)",worksheet[[#This Row],[age]]&lt; 45,"3. Mid Adulthood (35-44)",worksheet[[#This Row],[age]]&lt; 55,"4. Mature Adulthood (45-54)",TRUE,"5. Late Adulthood/Senior (55+)")</f>
        <v>4. Mature Adulthood (45-54)</v>
      </c>
      <c r="D3095" t="s">
        <v>41</v>
      </c>
      <c r="E3095" t="s">
        <v>22</v>
      </c>
      <c r="F3095" s="4">
        <v>8.43</v>
      </c>
      <c r="G3095" s="5">
        <v>37</v>
      </c>
      <c r="H3095" t="s">
        <v>49</v>
      </c>
      <c r="I3095" t="s">
        <v>24</v>
      </c>
      <c r="J3095" s="6">
        <v>13.99</v>
      </c>
      <c r="K3095">
        <v>1</v>
      </c>
      <c r="L3095" t="s">
        <v>37</v>
      </c>
      <c r="M3095" s="5">
        <v>1</v>
      </c>
      <c r="N3095" s="4">
        <v>0.22</v>
      </c>
      <c r="O3095" t="s">
        <v>52</v>
      </c>
    </row>
    <row r="3096" spans="1:15" x14ac:dyDescent="0.3">
      <c r="A3096" t="s">
        <v>2989</v>
      </c>
      <c r="B3096" s="5">
        <v>54</v>
      </c>
      <c r="C3096" s="5" t="str" cm="1">
        <f t="array" ref="C3096">_xlfn.IFS(worksheet[[#This Row],[age]]&lt;25,"1. Young Adulthood (18-24)",worksheet[[#This Row],[age]]&lt; 35,"2. Early Adulthood (25-34)",worksheet[[#This Row],[age]]&lt; 45,"3. Mid Adulthood (35-44)",worksheet[[#This Row],[age]]&lt; 55,"4. Mature Adulthood (45-54)",TRUE,"5. Late Adulthood/Senior (55+)")</f>
        <v>4. Mature Adulthood (45-54)</v>
      </c>
      <c r="D3096" t="s">
        <v>15</v>
      </c>
      <c r="E3096" t="s">
        <v>22</v>
      </c>
      <c r="F3096" s="4">
        <v>3.36</v>
      </c>
      <c r="G3096" s="5">
        <v>50</v>
      </c>
      <c r="H3096" t="s">
        <v>17</v>
      </c>
      <c r="I3096" t="s">
        <v>46</v>
      </c>
      <c r="J3096" s="6">
        <v>13.99</v>
      </c>
      <c r="K3096">
        <v>1</v>
      </c>
      <c r="L3096" t="s">
        <v>19</v>
      </c>
      <c r="M3096" s="5">
        <v>5</v>
      </c>
      <c r="N3096" s="4">
        <v>7.0000000000000007E-2</v>
      </c>
      <c r="O3096" t="s">
        <v>39</v>
      </c>
    </row>
    <row r="3097" spans="1:15" x14ac:dyDescent="0.3">
      <c r="A3097" t="s">
        <v>2991</v>
      </c>
      <c r="B3097" s="5">
        <v>54</v>
      </c>
      <c r="C3097" s="5" t="str" cm="1">
        <f t="array" ref="C3097">_xlfn.IFS(worksheet[[#This Row],[age]]&lt;25,"1. Young Adulthood (18-24)",worksheet[[#This Row],[age]]&lt; 35,"2. Early Adulthood (25-34)",worksheet[[#This Row],[age]]&lt; 45,"3. Mid Adulthood (35-44)",worksheet[[#This Row],[age]]&lt; 55,"4. Mature Adulthood (45-54)",TRUE,"5. Late Adulthood/Senior (55+)")</f>
        <v>4. Mature Adulthood (45-54)</v>
      </c>
      <c r="D3097" t="s">
        <v>27</v>
      </c>
      <c r="E3097" t="s">
        <v>32</v>
      </c>
      <c r="F3097" s="4">
        <v>2.08</v>
      </c>
      <c r="G3097" s="5">
        <v>12</v>
      </c>
      <c r="H3097" t="s">
        <v>17</v>
      </c>
      <c r="I3097" t="s">
        <v>24</v>
      </c>
      <c r="J3097" s="6">
        <v>17.989999999999998</v>
      </c>
      <c r="K3097">
        <v>0</v>
      </c>
      <c r="L3097" t="s">
        <v>37</v>
      </c>
      <c r="M3097" s="5">
        <v>5</v>
      </c>
      <c r="N3097" s="4">
        <v>0.16</v>
      </c>
      <c r="O3097" t="s">
        <v>20</v>
      </c>
    </row>
    <row r="3098" spans="1:15" x14ac:dyDescent="0.3">
      <c r="A3098" t="s">
        <v>3007</v>
      </c>
      <c r="B3098" s="5">
        <v>45</v>
      </c>
      <c r="C3098" s="5" t="str" cm="1">
        <f t="array" ref="C3098">_xlfn.IFS(worksheet[[#This Row],[age]]&lt;25,"1. Young Adulthood (18-24)",worksheet[[#This Row],[age]]&lt; 35,"2. Early Adulthood (25-34)",worksheet[[#This Row],[age]]&lt; 45,"3. Mid Adulthood (35-44)",worksheet[[#This Row],[age]]&lt; 55,"4. Mature Adulthood (45-54)",TRUE,"5. Late Adulthood/Senior (55+)")</f>
        <v>4. Mature Adulthood (45-54)</v>
      </c>
      <c r="D3098" t="s">
        <v>27</v>
      </c>
      <c r="E3098" t="s">
        <v>22</v>
      </c>
      <c r="F3098" s="4">
        <v>1.77</v>
      </c>
      <c r="G3098" s="5">
        <v>11</v>
      </c>
      <c r="H3098" t="s">
        <v>17</v>
      </c>
      <c r="I3098" t="s">
        <v>24</v>
      </c>
      <c r="J3098" s="6">
        <v>13.99</v>
      </c>
      <c r="K3098">
        <v>1</v>
      </c>
      <c r="L3098" t="s">
        <v>43</v>
      </c>
      <c r="M3098" s="5">
        <v>3</v>
      </c>
      <c r="N3098" s="4">
        <v>0.15</v>
      </c>
      <c r="O3098" t="s">
        <v>39</v>
      </c>
    </row>
    <row r="3099" spans="1:15" x14ac:dyDescent="0.3">
      <c r="A3099" t="s">
        <v>3010</v>
      </c>
      <c r="B3099" s="5">
        <v>54</v>
      </c>
      <c r="C3099" s="5" t="str" cm="1">
        <f t="array" ref="C3099">_xlfn.IFS(worksheet[[#This Row],[age]]&lt;25,"1. Young Adulthood (18-24)",worksheet[[#This Row],[age]]&lt; 35,"2. Early Adulthood (25-34)",worksheet[[#This Row],[age]]&lt; 45,"3. Mid Adulthood (35-44)",worksheet[[#This Row],[age]]&lt; 55,"4. Mature Adulthood (45-54)",TRUE,"5. Late Adulthood/Senior (55+)")</f>
        <v>4. Mature Adulthood (45-54)</v>
      </c>
      <c r="D3099" t="s">
        <v>15</v>
      </c>
      <c r="E3099" t="s">
        <v>16</v>
      </c>
      <c r="F3099" s="4">
        <v>0.51</v>
      </c>
      <c r="G3099" s="5">
        <v>11</v>
      </c>
      <c r="H3099" t="s">
        <v>49</v>
      </c>
      <c r="I3099" t="s">
        <v>57</v>
      </c>
      <c r="J3099" s="6">
        <v>8.99</v>
      </c>
      <c r="K3099">
        <v>1</v>
      </c>
      <c r="L3099" t="s">
        <v>43</v>
      </c>
      <c r="M3099" s="5">
        <v>5</v>
      </c>
      <c r="N3099" s="4">
        <v>0.04</v>
      </c>
      <c r="O3099" t="s">
        <v>52</v>
      </c>
    </row>
    <row r="3100" spans="1:15" x14ac:dyDescent="0.3">
      <c r="A3100" t="s">
        <v>3012</v>
      </c>
      <c r="B3100" s="5">
        <v>53</v>
      </c>
      <c r="C3100" s="5" t="str" cm="1">
        <f t="array" ref="C3100">_xlfn.IFS(worksheet[[#This Row],[age]]&lt;25,"1. Young Adulthood (18-24)",worksheet[[#This Row],[age]]&lt; 35,"2. Early Adulthood (25-34)",worksheet[[#This Row],[age]]&lt; 45,"3. Mid Adulthood (35-44)",worksheet[[#This Row],[age]]&lt; 55,"4. Mature Adulthood (45-54)",TRUE,"5. Late Adulthood/Senior (55+)")</f>
        <v>4. Mature Adulthood (45-54)</v>
      </c>
      <c r="D3100" t="s">
        <v>41</v>
      </c>
      <c r="E3100" t="s">
        <v>16</v>
      </c>
      <c r="F3100" s="4">
        <v>6.45</v>
      </c>
      <c r="G3100" s="5">
        <v>6</v>
      </c>
      <c r="H3100" t="s">
        <v>49</v>
      </c>
      <c r="I3100" t="s">
        <v>24</v>
      </c>
      <c r="J3100" s="6">
        <v>8.99</v>
      </c>
      <c r="K3100">
        <v>0</v>
      </c>
      <c r="L3100" t="s">
        <v>61</v>
      </c>
      <c r="M3100" s="5">
        <v>5</v>
      </c>
      <c r="N3100" s="4">
        <v>0.92</v>
      </c>
      <c r="O3100" t="s">
        <v>52</v>
      </c>
    </row>
    <row r="3101" spans="1:15" x14ac:dyDescent="0.3">
      <c r="A3101" t="s">
        <v>3028</v>
      </c>
      <c r="B3101" s="5">
        <v>50</v>
      </c>
      <c r="C3101" s="5" t="str" cm="1">
        <f t="array" ref="C3101">_xlfn.IFS(worksheet[[#This Row],[age]]&lt;25,"1. Young Adulthood (18-24)",worksheet[[#This Row],[age]]&lt; 35,"2. Early Adulthood (25-34)",worksheet[[#This Row],[age]]&lt; 45,"3. Mid Adulthood (35-44)",worksheet[[#This Row],[age]]&lt; 55,"4. Mature Adulthood (45-54)",TRUE,"5. Late Adulthood/Senior (55+)")</f>
        <v>4. Mature Adulthood (45-54)</v>
      </c>
      <c r="D3101" t="s">
        <v>15</v>
      </c>
      <c r="E3101" t="s">
        <v>32</v>
      </c>
      <c r="F3101" s="4">
        <v>27.56</v>
      </c>
      <c r="G3101" s="5">
        <v>44</v>
      </c>
      <c r="H3101" t="s">
        <v>17</v>
      </c>
      <c r="I3101" t="s">
        <v>18</v>
      </c>
      <c r="J3101" s="6">
        <v>17.989999999999998</v>
      </c>
      <c r="K3101">
        <v>0</v>
      </c>
      <c r="L3101" t="s">
        <v>19</v>
      </c>
      <c r="M3101" s="5">
        <v>4</v>
      </c>
      <c r="N3101" s="4">
        <v>0.61</v>
      </c>
      <c r="O3101" t="s">
        <v>47</v>
      </c>
    </row>
    <row r="3102" spans="1:15" x14ac:dyDescent="0.3">
      <c r="A3102" t="s">
        <v>3032</v>
      </c>
      <c r="B3102" s="5">
        <v>50</v>
      </c>
      <c r="C3102" s="5" t="str" cm="1">
        <f t="array" ref="C3102">_xlfn.IFS(worksheet[[#This Row],[age]]&lt;25,"1. Young Adulthood (18-24)",worksheet[[#This Row],[age]]&lt; 35,"2. Early Adulthood (25-34)",worksheet[[#This Row],[age]]&lt; 45,"3. Mid Adulthood (35-44)",worksheet[[#This Row],[age]]&lt; 55,"4. Mature Adulthood (45-54)",TRUE,"5. Late Adulthood/Senior (55+)")</f>
        <v>4. Mature Adulthood (45-54)</v>
      </c>
      <c r="D3102" t="s">
        <v>15</v>
      </c>
      <c r="E3102" t="s">
        <v>32</v>
      </c>
      <c r="F3102" s="4">
        <v>1.04</v>
      </c>
      <c r="G3102" s="5">
        <v>51</v>
      </c>
      <c r="H3102" t="s">
        <v>17</v>
      </c>
      <c r="I3102" t="s">
        <v>57</v>
      </c>
      <c r="J3102" s="6">
        <v>17.989999999999998</v>
      </c>
      <c r="K3102">
        <v>1</v>
      </c>
      <c r="L3102" t="s">
        <v>61</v>
      </c>
      <c r="M3102" s="5">
        <v>1</v>
      </c>
      <c r="N3102" s="4">
        <v>0.02</v>
      </c>
      <c r="O3102" t="s">
        <v>52</v>
      </c>
    </row>
    <row r="3103" spans="1:15" x14ac:dyDescent="0.3">
      <c r="A3103" t="s">
        <v>3033</v>
      </c>
      <c r="B3103" s="5">
        <v>48</v>
      </c>
      <c r="C3103" s="5" t="str" cm="1">
        <f t="array" ref="C3103">_xlfn.IFS(worksheet[[#This Row],[age]]&lt;25,"1. Young Adulthood (18-24)",worksheet[[#This Row],[age]]&lt; 35,"2. Early Adulthood (25-34)",worksheet[[#This Row],[age]]&lt; 45,"3. Mid Adulthood (35-44)",worksheet[[#This Row],[age]]&lt; 55,"4. Mature Adulthood (45-54)",TRUE,"5. Late Adulthood/Senior (55+)")</f>
        <v>4. Mature Adulthood (45-54)</v>
      </c>
      <c r="D3103" t="s">
        <v>41</v>
      </c>
      <c r="E3103" t="s">
        <v>22</v>
      </c>
      <c r="F3103" s="4">
        <v>6.52</v>
      </c>
      <c r="G3103" s="5">
        <v>25</v>
      </c>
      <c r="H3103" t="s">
        <v>28</v>
      </c>
      <c r="I3103" t="s">
        <v>24</v>
      </c>
      <c r="J3103" s="6">
        <v>13.99</v>
      </c>
      <c r="K3103">
        <v>0</v>
      </c>
      <c r="L3103" t="s">
        <v>19</v>
      </c>
      <c r="M3103" s="5">
        <v>2</v>
      </c>
      <c r="N3103" s="4">
        <v>0.25</v>
      </c>
      <c r="O3103" t="s">
        <v>25</v>
      </c>
    </row>
    <row r="3104" spans="1:15" x14ac:dyDescent="0.3">
      <c r="A3104" t="s">
        <v>3035</v>
      </c>
      <c r="B3104" s="5">
        <v>51</v>
      </c>
      <c r="C3104" s="5" t="str" cm="1">
        <f t="array" ref="C3104">_xlfn.IFS(worksheet[[#This Row],[age]]&lt;25,"1. Young Adulthood (18-24)",worksheet[[#This Row],[age]]&lt; 35,"2. Early Adulthood (25-34)",worksheet[[#This Row],[age]]&lt; 45,"3. Mid Adulthood (35-44)",worksheet[[#This Row],[age]]&lt; 55,"4. Mature Adulthood (45-54)",TRUE,"5. Late Adulthood/Senior (55+)")</f>
        <v>4. Mature Adulthood (45-54)</v>
      </c>
      <c r="D3104" t="s">
        <v>41</v>
      </c>
      <c r="E3104" t="s">
        <v>32</v>
      </c>
      <c r="F3104" s="4">
        <v>9.77</v>
      </c>
      <c r="G3104" s="5">
        <v>29</v>
      </c>
      <c r="H3104" t="s">
        <v>28</v>
      </c>
      <c r="I3104" t="s">
        <v>18</v>
      </c>
      <c r="J3104" s="6">
        <v>17.989999999999998</v>
      </c>
      <c r="K3104">
        <v>0</v>
      </c>
      <c r="L3104" t="s">
        <v>29</v>
      </c>
      <c r="M3104" s="5">
        <v>3</v>
      </c>
      <c r="N3104" s="4">
        <v>0.33</v>
      </c>
      <c r="O3104" t="s">
        <v>30</v>
      </c>
    </row>
    <row r="3105" spans="1:15" x14ac:dyDescent="0.3">
      <c r="A3105" t="s">
        <v>3037</v>
      </c>
      <c r="B3105" s="5">
        <v>48</v>
      </c>
      <c r="C3105" s="5" t="str" cm="1">
        <f t="array" ref="C3105">_xlfn.IFS(worksheet[[#This Row],[age]]&lt;25,"1. Young Adulthood (18-24)",worksheet[[#This Row],[age]]&lt; 35,"2. Early Adulthood (25-34)",worksheet[[#This Row],[age]]&lt; 45,"3. Mid Adulthood (35-44)",worksheet[[#This Row],[age]]&lt; 55,"4. Mature Adulthood (45-54)",TRUE,"5. Late Adulthood/Senior (55+)")</f>
        <v>4. Mature Adulthood (45-54)</v>
      </c>
      <c r="D3105" t="s">
        <v>15</v>
      </c>
      <c r="E3105" t="s">
        <v>16</v>
      </c>
      <c r="F3105" s="4">
        <v>22.19</v>
      </c>
      <c r="G3105" s="5">
        <v>34</v>
      </c>
      <c r="H3105" t="s">
        <v>49</v>
      </c>
      <c r="I3105" t="s">
        <v>24</v>
      </c>
      <c r="J3105" s="6">
        <v>8.99</v>
      </c>
      <c r="K3105">
        <v>0</v>
      </c>
      <c r="L3105" t="s">
        <v>61</v>
      </c>
      <c r="M3105" s="5">
        <v>2</v>
      </c>
      <c r="N3105" s="4">
        <v>0.63</v>
      </c>
      <c r="O3105" t="s">
        <v>39</v>
      </c>
    </row>
    <row r="3106" spans="1:15" x14ac:dyDescent="0.3">
      <c r="A3106" t="s">
        <v>3058</v>
      </c>
      <c r="B3106" s="5">
        <v>52</v>
      </c>
      <c r="C3106" s="5" t="str" cm="1">
        <f t="array" ref="C3106">_xlfn.IFS(worksheet[[#This Row],[age]]&lt;25,"1. Young Adulthood (18-24)",worksheet[[#This Row],[age]]&lt; 35,"2. Early Adulthood (25-34)",worksheet[[#This Row],[age]]&lt; 45,"3. Mid Adulthood (35-44)",worksheet[[#This Row],[age]]&lt; 55,"4. Mature Adulthood (45-54)",TRUE,"5. Late Adulthood/Senior (55+)")</f>
        <v>4. Mature Adulthood (45-54)</v>
      </c>
      <c r="D3106" t="s">
        <v>27</v>
      </c>
      <c r="E3106" t="s">
        <v>22</v>
      </c>
      <c r="F3106" s="4">
        <v>31.15</v>
      </c>
      <c r="G3106" s="5">
        <v>57</v>
      </c>
      <c r="H3106" t="s">
        <v>23</v>
      </c>
      <c r="I3106" t="s">
        <v>18</v>
      </c>
      <c r="J3106" s="6">
        <v>13.99</v>
      </c>
      <c r="K3106">
        <v>0</v>
      </c>
      <c r="L3106" t="s">
        <v>43</v>
      </c>
      <c r="M3106" s="5">
        <v>5</v>
      </c>
      <c r="N3106" s="4">
        <v>0.54</v>
      </c>
      <c r="O3106" t="s">
        <v>34</v>
      </c>
    </row>
    <row r="3107" spans="1:15" x14ac:dyDescent="0.3">
      <c r="A3107" t="s">
        <v>3060</v>
      </c>
      <c r="B3107" s="5">
        <v>47</v>
      </c>
      <c r="C3107" s="5" t="str" cm="1">
        <f t="array" ref="C3107">_xlfn.IFS(worksheet[[#This Row],[age]]&lt;25,"1. Young Adulthood (18-24)",worksheet[[#This Row],[age]]&lt; 35,"2. Early Adulthood (25-34)",worksheet[[#This Row],[age]]&lt; 45,"3. Mid Adulthood (35-44)",worksheet[[#This Row],[age]]&lt; 55,"4. Mature Adulthood (45-54)",TRUE,"5. Late Adulthood/Senior (55+)")</f>
        <v>4. Mature Adulthood (45-54)</v>
      </c>
      <c r="D3107" t="s">
        <v>41</v>
      </c>
      <c r="E3107" t="s">
        <v>32</v>
      </c>
      <c r="F3107" s="4">
        <v>7.02</v>
      </c>
      <c r="G3107" s="5">
        <v>44</v>
      </c>
      <c r="H3107" t="s">
        <v>70</v>
      </c>
      <c r="I3107" t="s">
        <v>55</v>
      </c>
      <c r="J3107" s="6">
        <v>17.989999999999998</v>
      </c>
      <c r="K3107">
        <v>1</v>
      </c>
      <c r="L3107" t="s">
        <v>19</v>
      </c>
      <c r="M3107" s="5">
        <v>5</v>
      </c>
      <c r="N3107" s="4">
        <v>0.16</v>
      </c>
      <c r="O3107" t="s">
        <v>20</v>
      </c>
    </row>
    <row r="3108" spans="1:15" x14ac:dyDescent="0.3">
      <c r="A3108" t="s">
        <v>3069</v>
      </c>
      <c r="B3108" s="5">
        <v>46</v>
      </c>
      <c r="C3108" s="5" t="str" cm="1">
        <f t="array" ref="C3108">_xlfn.IFS(worksheet[[#This Row],[age]]&lt;25,"1. Young Adulthood (18-24)",worksheet[[#This Row],[age]]&lt; 35,"2. Early Adulthood (25-34)",worksheet[[#This Row],[age]]&lt; 45,"3. Mid Adulthood (35-44)",worksheet[[#This Row],[age]]&lt; 55,"4. Mature Adulthood (45-54)",TRUE,"5. Late Adulthood/Senior (55+)")</f>
        <v>4. Mature Adulthood (45-54)</v>
      </c>
      <c r="D3108" t="s">
        <v>15</v>
      </c>
      <c r="E3108" t="s">
        <v>22</v>
      </c>
      <c r="F3108" s="4">
        <v>38.53</v>
      </c>
      <c r="G3108" s="5">
        <v>49</v>
      </c>
      <c r="H3108" t="s">
        <v>23</v>
      </c>
      <c r="I3108" t="s">
        <v>46</v>
      </c>
      <c r="J3108" s="6">
        <v>13.99</v>
      </c>
      <c r="K3108">
        <v>0</v>
      </c>
      <c r="L3108" t="s">
        <v>29</v>
      </c>
      <c r="M3108" s="5">
        <v>2</v>
      </c>
      <c r="N3108" s="4">
        <v>0.77</v>
      </c>
      <c r="O3108" t="s">
        <v>25</v>
      </c>
    </row>
    <row r="3109" spans="1:15" x14ac:dyDescent="0.3">
      <c r="A3109" t="s">
        <v>3070</v>
      </c>
      <c r="B3109" s="5">
        <v>46</v>
      </c>
      <c r="C3109" s="5" t="str" cm="1">
        <f t="array" ref="C3109">_xlfn.IFS(worksheet[[#This Row],[age]]&lt;25,"1. Young Adulthood (18-24)",worksheet[[#This Row],[age]]&lt; 35,"2. Early Adulthood (25-34)",worksheet[[#This Row],[age]]&lt; 45,"3. Mid Adulthood (35-44)",worksheet[[#This Row],[age]]&lt; 55,"4. Mature Adulthood (45-54)",TRUE,"5. Late Adulthood/Senior (55+)")</f>
        <v>4. Mature Adulthood (45-54)</v>
      </c>
      <c r="D3109" t="s">
        <v>15</v>
      </c>
      <c r="E3109" t="s">
        <v>16</v>
      </c>
      <c r="F3109" s="4">
        <v>6.69</v>
      </c>
      <c r="G3109" s="5">
        <v>13</v>
      </c>
      <c r="H3109" t="s">
        <v>33</v>
      </c>
      <c r="I3109" t="s">
        <v>55</v>
      </c>
      <c r="J3109" s="6">
        <v>8.99</v>
      </c>
      <c r="K3109">
        <v>1</v>
      </c>
      <c r="L3109" t="s">
        <v>29</v>
      </c>
      <c r="M3109" s="5">
        <v>1</v>
      </c>
      <c r="N3109" s="4">
        <v>0.48</v>
      </c>
      <c r="O3109" t="s">
        <v>39</v>
      </c>
    </row>
    <row r="3110" spans="1:15" x14ac:dyDescent="0.3">
      <c r="A3110" t="s">
        <v>3079</v>
      </c>
      <c r="B3110" s="5">
        <v>45</v>
      </c>
      <c r="C3110" s="5" t="str" cm="1">
        <f t="array" ref="C3110">_xlfn.IFS(worksheet[[#This Row],[age]]&lt;25,"1. Young Adulthood (18-24)",worksheet[[#This Row],[age]]&lt; 35,"2. Early Adulthood (25-34)",worksheet[[#This Row],[age]]&lt; 45,"3. Mid Adulthood (35-44)",worksheet[[#This Row],[age]]&lt; 55,"4. Mature Adulthood (45-54)",TRUE,"5. Late Adulthood/Senior (55+)")</f>
        <v>4. Mature Adulthood (45-54)</v>
      </c>
      <c r="D3110" t="s">
        <v>15</v>
      </c>
      <c r="E3110" t="s">
        <v>22</v>
      </c>
      <c r="F3110" s="4">
        <v>82.63</v>
      </c>
      <c r="G3110" s="5">
        <v>44</v>
      </c>
      <c r="H3110" t="s">
        <v>33</v>
      </c>
      <c r="I3110" t="s">
        <v>57</v>
      </c>
      <c r="J3110" s="6">
        <v>13.99</v>
      </c>
      <c r="K3110">
        <v>0</v>
      </c>
      <c r="L3110" t="s">
        <v>43</v>
      </c>
      <c r="M3110" s="5">
        <v>4</v>
      </c>
      <c r="N3110" s="4">
        <v>1.84</v>
      </c>
      <c r="O3110" t="s">
        <v>20</v>
      </c>
    </row>
    <row r="3111" spans="1:15" x14ac:dyDescent="0.3">
      <c r="A3111" t="s">
        <v>3082</v>
      </c>
      <c r="B3111" s="5">
        <v>45</v>
      </c>
      <c r="C3111" s="5" t="str" cm="1">
        <f t="array" ref="C3111">_xlfn.IFS(worksheet[[#This Row],[age]]&lt;25,"1. Young Adulthood (18-24)",worksheet[[#This Row],[age]]&lt; 35,"2. Early Adulthood (25-34)",worksheet[[#This Row],[age]]&lt; 45,"3. Mid Adulthood (35-44)",worksheet[[#This Row],[age]]&lt; 55,"4. Mature Adulthood (45-54)",TRUE,"5. Late Adulthood/Senior (55+)")</f>
        <v>4. Mature Adulthood (45-54)</v>
      </c>
      <c r="D3111" t="s">
        <v>27</v>
      </c>
      <c r="E3111" t="s">
        <v>32</v>
      </c>
      <c r="F3111" s="4">
        <v>30.42</v>
      </c>
      <c r="G3111" s="5">
        <v>14</v>
      </c>
      <c r="H3111" t="s">
        <v>28</v>
      </c>
      <c r="I3111" t="s">
        <v>24</v>
      </c>
      <c r="J3111" s="6">
        <v>17.989999999999998</v>
      </c>
      <c r="K3111">
        <v>0</v>
      </c>
      <c r="L3111" t="s">
        <v>37</v>
      </c>
      <c r="M3111" s="5">
        <v>3</v>
      </c>
      <c r="N3111" s="4">
        <v>2.0299999999999998</v>
      </c>
      <c r="O3111" t="s">
        <v>39</v>
      </c>
    </row>
    <row r="3112" spans="1:15" x14ac:dyDescent="0.3">
      <c r="A3112" t="s">
        <v>3090</v>
      </c>
      <c r="B3112" s="5">
        <v>48</v>
      </c>
      <c r="C3112" s="5" t="str" cm="1">
        <f t="array" ref="C3112">_xlfn.IFS(worksheet[[#This Row],[age]]&lt;25,"1. Young Adulthood (18-24)",worksheet[[#This Row],[age]]&lt; 35,"2. Early Adulthood (25-34)",worksheet[[#This Row],[age]]&lt; 45,"3. Mid Adulthood (35-44)",worksheet[[#This Row],[age]]&lt; 55,"4. Mature Adulthood (45-54)",TRUE,"5. Late Adulthood/Senior (55+)")</f>
        <v>4. Mature Adulthood (45-54)</v>
      </c>
      <c r="D3112" t="s">
        <v>41</v>
      </c>
      <c r="E3112" t="s">
        <v>32</v>
      </c>
      <c r="F3112" s="4">
        <v>12.66</v>
      </c>
      <c r="G3112" s="5">
        <v>45</v>
      </c>
      <c r="H3112" t="s">
        <v>33</v>
      </c>
      <c r="I3112" t="s">
        <v>18</v>
      </c>
      <c r="J3112" s="6">
        <v>17.989999999999998</v>
      </c>
      <c r="K3112">
        <v>1</v>
      </c>
      <c r="L3112" t="s">
        <v>43</v>
      </c>
      <c r="M3112" s="5">
        <v>1</v>
      </c>
      <c r="N3112" s="4">
        <v>0.28000000000000003</v>
      </c>
      <c r="O3112" t="s">
        <v>52</v>
      </c>
    </row>
    <row r="3113" spans="1:15" x14ac:dyDescent="0.3">
      <c r="A3113" t="s">
        <v>3099</v>
      </c>
      <c r="B3113" s="5">
        <v>54</v>
      </c>
      <c r="C3113" s="5" t="str" cm="1">
        <f t="array" ref="C3113">_xlfn.IFS(worksheet[[#This Row],[age]]&lt;25,"1. Young Adulthood (18-24)",worksheet[[#This Row],[age]]&lt; 35,"2. Early Adulthood (25-34)",worksheet[[#This Row],[age]]&lt; 45,"3. Mid Adulthood (35-44)",worksheet[[#This Row],[age]]&lt; 55,"4. Mature Adulthood (45-54)",TRUE,"5. Late Adulthood/Senior (55+)")</f>
        <v>4. Mature Adulthood (45-54)</v>
      </c>
      <c r="D3113" t="s">
        <v>41</v>
      </c>
      <c r="E3113" t="s">
        <v>32</v>
      </c>
      <c r="F3113" s="4">
        <v>4.93</v>
      </c>
      <c r="G3113" s="5">
        <v>3</v>
      </c>
      <c r="H3113" t="s">
        <v>28</v>
      </c>
      <c r="I3113" t="s">
        <v>18</v>
      </c>
      <c r="J3113" s="6">
        <v>17.989999999999998</v>
      </c>
      <c r="K3113">
        <v>0</v>
      </c>
      <c r="L3113" t="s">
        <v>29</v>
      </c>
      <c r="M3113" s="5">
        <v>1</v>
      </c>
      <c r="N3113" s="4">
        <v>1.23</v>
      </c>
      <c r="O3113" t="s">
        <v>52</v>
      </c>
    </row>
    <row r="3114" spans="1:15" x14ac:dyDescent="0.3">
      <c r="A3114" t="s">
        <v>3109</v>
      </c>
      <c r="B3114" s="5">
        <v>48</v>
      </c>
      <c r="C3114" s="5" t="str" cm="1">
        <f t="array" ref="C3114">_xlfn.IFS(worksheet[[#This Row],[age]]&lt;25,"1. Young Adulthood (18-24)",worksheet[[#This Row],[age]]&lt; 35,"2. Early Adulthood (25-34)",worksheet[[#This Row],[age]]&lt; 45,"3. Mid Adulthood (35-44)",worksheet[[#This Row],[age]]&lt; 55,"4. Mature Adulthood (45-54)",TRUE,"5. Late Adulthood/Senior (55+)")</f>
        <v>4. Mature Adulthood (45-54)</v>
      </c>
      <c r="D3114" t="s">
        <v>27</v>
      </c>
      <c r="E3114" t="s">
        <v>32</v>
      </c>
      <c r="F3114" s="4">
        <v>17.579999999999998</v>
      </c>
      <c r="G3114" s="5">
        <v>33</v>
      </c>
      <c r="H3114" t="s">
        <v>23</v>
      </c>
      <c r="I3114" t="s">
        <v>46</v>
      </c>
      <c r="J3114" s="6">
        <v>17.989999999999998</v>
      </c>
      <c r="K3114">
        <v>0</v>
      </c>
      <c r="L3114" t="s">
        <v>29</v>
      </c>
      <c r="M3114" s="5">
        <v>2</v>
      </c>
      <c r="N3114" s="4">
        <v>0.52</v>
      </c>
      <c r="O3114" t="s">
        <v>25</v>
      </c>
    </row>
    <row r="3115" spans="1:15" x14ac:dyDescent="0.3">
      <c r="A3115" t="s">
        <v>3110</v>
      </c>
      <c r="B3115" s="5">
        <v>49</v>
      </c>
      <c r="C3115" s="5" t="str" cm="1">
        <f t="array" ref="C3115">_xlfn.IFS(worksheet[[#This Row],[age]]&lt;25,"1. Young Adulthood (18-24)",worksheet[[#This Row],[age]]&lt; 35,"2. Early Adulthood (25-34)",worksheet[[#This Row],[age]]&lt; 45,"3. Mid Adulthood (35-44)",worksheet[[#This Row],[age]]&lt; 55,"4. Mature Adulthood (45-54)",TRUE,"5. Late Adulthood/Senior (55+)")</f>
        <v>4. Mature Adulthood (45-54)</v>
      </c>
      <c r="D3115" t="s">
        <v>27</v>
      </c>
      <c r="E3115" t="s">
        <v>16</v>
      </c>
      <c r="F3115" s="4">
        <v>18.37</v>
      </c>
      <c r="G3115" s="5">
        <v>1</v>
      </c>
      <c r="H3115" t="s">
        <v>70</v>
      </c>
      <c r="I3115" t="s">
        <v>46</v>
      </c>
      <c r="J3115" s="6">
        <v>8.99</v>
      </c>
      <c r="K3115">
        <v>0</v>
      </c>
      <c r="L3115" t="s">
        <v>43</v>
      </c>
      <c r="M3115" s="5">
        <v>2</v>
      </c>
      <c r="N3115" s="4">
        <v>9.19</v>
      </c>
      <c r="O3115" t="s">
        <v>30</v>
      </c>
    </row>
    <row r="3116" spans="1:15" x14ac:dyDescent="0.3">
      <c r="A3116" t="s">
        <v>3111</v>
      </c>
      <c r="B3116" s="5">
        <v>47</v>
      </c>
      <c r="C3116" s="5" t="str" cm="1">
        <f t="array" ref="C3116">_xlfn.IFS(worksheet[[#This Row],[age]]&lt;25,"1. Young Adulthood (18-24)",worksheet[[#This Row],[age]]&lt; 35,"2. Early Adulthood (25-34)",worksheet[[#This Row],[age]]&lt; 45,"3. Mid Adulthood (35-44)",worksheet[[#This Row],[age]]&lt; 55,"4. Mature Adulthood (45-54)",TRUE,"5. Late Adulthood/Senior (55+)")</f>
        <v>4. Mature Adulthood (45-54)</v>
      </c>
      <c r="D3116" t="s">
        <v>15</v>
      </c>
      <c r="E3116" t="s">
        <v>16</v>
      </c>
      <c r="F3116" s="4">
        <v>1.71</v>
      </c>
      <c r="G3116" s="5">
        <v>56</v>
      </c>
      <c r="H3116" t="s">
        <v>33</v>
      </c>
      <c r="I3116" t="s">
        <v>18</v>
      </c>
      <c r="J3116" s="6">
        <v>8.99</v>
      </c>
      <c r="K3116">
        <v>1</v>
      </c>
      <c r="L3116" t="s">
        <v>29</v>
      </c>
      <c r="M3116" s="5">
        <v>3</v>
      </c>
      <c r="N3116" s="4">
        <v>0.03</v>
      </c>
      <c r="O3116" t="s">
        <v>47</v>
      </c>
    </row>
    <row r="3117" spans="1:15" x14ac:dyDescent="0.3">
      <c r="A3117" t="s">
        <v>3113</v>
      </c>
      <c r="B3117" s="5">
        <v>54</v>
      </c>
      <c r="C3117" s="5" t="str" cm="1">
        <f t="array" ref="C3117">_xlfn.IFS(worksheet[[#This Row],[age]]&lt;25,"1. Young Adulthood (18-24)",worksheet[[#This Row],[age]]&lt; 35,"2. Early Adulthood (25-34)",worksheet[[#This Row],[age]]&lt; 45,"3. Mid Adulthood (35-44)",worksheet[[#This Row],[age]]&lt; 55,"4. Mature Adulthood (45-54)",TRUE,"5. Late Adulthood/Senior (55+)")</f>
        <v>4. Mature Adulthood (45-54)</v>
      </c>
      <c r="D3117" t="s">
        <v>27</v>
      </c>
      <c r="E3117" t="s">
        <v>22</v>
      </c>
      <c r="F3117" s="4">
        <v>4.28</v>
      </c>
      <c r="G3117" s="5">
        <v>36</v>
      </c>
      <c r="H3117" t="s">
        <v>23</v>
      </c>
      <c r="I3117" t="s">
        <v>46</v>
      </c>
      <c r="J3117" s="6">
        <v>13.99</v>
      </c>
      <c r="K3117">
        <v>1</v>
      </c>
      <c r="L3117" t="s">
        <v>43</v>
      </c>
      <c r="M3117" s="5">
        <v>4</v>
      </c>
      <c r="N3117" s="4">
        <v>0.12</v>
      </c>
      <c r="O3117" t="s">
        <v>39</v>
      </c>
    </row>
    <row r="3118" spans="1:15" x14ac:dyDescent="0.3">
      <c r="A3118" t="s">
        <v>3116</v>
      </c>
      <c r="B3118" s="5">
        <v>49</v>
      </c>
      <c r="C3118" s="5" t="str" cm="1">
        <f t="array" ref="C3118">_xlfn.IFS(worksheet[[#This Row],[age]]&lt;25,"1. Young Adulthood (18-24)",worksheet[[#This Row],[age]]&lt; 35,"2. Early Adulthood (25-34)",worksheet[[#This Row],[age]]&lt; 45,"3. Mid Adulthood (35-44)",worksheet[[#This Row],[age]]&lt; 55,"4. Mature Adulthood (45-54)",TRUE,"5. Late Adulthood/Senior (55+)")</f>
        <v>4. Mature Adulthood (45-54)</v>
      </c>
      <c r="D3118" t="s">
        <v>15</v>
      </c>
      <c r="E3118" t="s">
        <v>32</v>
      </c>
      <c r="F3118" s="4">
        <v>27.9</v>
      </c>
      <c r="G3118" s="5">
        <v>38</v>
      </c>
      <c r="H3118" t="s">
        <v>17</v>
      </c>
      <c r="I3118" t="s">
        <v>46</v>
      </c>
      <c r="J3118" s="6">
        <v>17.989999999999998</v>
      </c>
      <c r="K3118">
        <v>0</v>
      </c>
      <c r="L3118" t="s">
        <v>37</v>
      </c>
      <c r="M3118" s="5">
        <v>1</v>
      </c>
      <c r="N3118" s="4">
        <v>0.72</v>
      </c>
      <c r="O3118" t="s">
        <v>52</v>
      </c>
    </row>
    <row r="3119" spans="1:15" x14ac:dyDescent="0.3">
      <c r="A3119" t="s">
        <v>3117</v>
      </c>
      <c r="B3119" s="5">
        <v>47</v>
      </c>
      <c r="C3119" s="5" t="str" cm="1">
        <f t="array" ref="C3119">_xlfn.IFS(worksheet[[#This Row],[age]]&lt;25,"1. Young Adulthood (18-24)",worksheet[[#This Row],[age]]&lt; 35,"2. Early Adulthood (25-34)",worksheet[[#This Row],[age]]&lt; 45,"3. Mid Adulthood (35-44)",worksheet[[#This Row],[age]]&lt; 55,"4. Mature Adulthood (45-54)",TRUE,"5. Late Adulthood/Senior (55+)")</f>
        <v>4. Mature Adulthood (45-54)</v>
      </c>
      <c r="D3119" t="s">
        <v>15</v>
      </c>
      <c r="E3119" t="s">
        <v>16</v>
      </c>
      <c r="F3119" s="4">
        <v>5.91</v>
      </c>
      <c r="G3119" s="5">
        <v>53</v>
      </c>
      <c r="H3119" t="s">
        <v>70</v>
      </c>
      <c r="I3119" t="s">
        <v>55</v>
      </c>
      <c r="J3119" s="6">
        <v>8.99</v>
      </c>
      <c r="K3119">
        <v>1</v>
      </c>
      <c r="L3119" t="s">
        <v>61</v>
      </c>
      <c r="M3119" s="5">
        <v>2</v>
      </c>
      <c r="N3119" s="4">
        <v>0.11</v>
      </c>
      <c r="O3119" t="s">
        <v>25</v>
      </c>
    </row>
    <row r="3120" spans="1:15" x14ac:dyDescent="0.3">
      <c r="A3120" t="s">
        <v>3127</v>
      </c>
      <c r="B3120" s="5">
        <v>46</v>
      </c>
      <c r="C3120" s="5" t="str" cm="1">
        <f t="array" ref="C3120">_xlfn.IFS(worksheet[[#This Row],[age]]&lt;25,"1. Young Adulthood (18-24)",worksheet[[#This Row],[age]]&lt; 35,"2. Early Adulthood (25-34)",worksheet[[#This Row],[age]]&lt; 45,"3. Mid Adulthood (35-44)",worksheet[[#This Row],[age]]&lt; 55,"4. Mature Adulthood (45-54)",TRUE,"5. Late Adulthood/Senior (55+)")</f>
        <v>4. Mature Adulthood (45-54)</v>
      </c>
      <c r="D3120" t="s">
        <v>15</v>
      </c>
      <c r="E3120" t="s">
        <v>22</v>
      </c>
      <c r="F3120" s="4">
        <v>0.96</v>
      </c>
      <c r="G3120" s="5">
        <v>46</v>
      </c>
      <c r="H3120" t="s">
        <v>33</v>
      </c>
      <c r="I3120" t="s">
        <v>55</v>
      </c>
      <c r="J3120" s="6">
        <v>13.99</v>
      </c>
      <c r="K3120">
        <v>1</v>
      </c>
      <c r="L3120" t="s">
        <v>43</v>
      </c>
      <c r="M3120" s="5">
        <v>4</v>
      </c>
      <c r="N3120" s="4">
        <v>0.02</v>
      </c>
      <c r="O3120" t="s">
        <v>25</v>
      </c>
    </row>
    <row r="3121" spans="1:15" x14ac:dyDescent="0.3">
      <c r="A3121" t="s">
        <v>3130</v>
      </c>
      <c r="B3121" s="5">
        <v>45</v>
      </c>
      <c r="C3121" s="5" t="str" cm="1">
        <f t="array" ref="C3121">_xlfn.IFS(worksheet[[#This Row],[age]]&lt;25,"1. Young Adulthood (18-24)",worksheet[[#This Row],[age]]&lt; 35,"2. Early Adulthood (25-34)",worksheet[[#This Row],[age]]&lt; 45,"3. Mid Adulthood (35-44)",worksheet[[#This Row],[age]]&lt; 55,"4. Mature Adulthood (45-54)",TRUE,"5. Late Adulthood/Senior (55+)")</f>
        <v>4. Mature Adulthood (45-54)</v>
      </c>
      <c r="D3121" t="s">
        <v>15</v>
      </c>
      <c r="E3121" t="s">
        <v>16</v>
      </c>
      <c r="F3121" s="4">
        <v>0.7</v>
      </c>
      <c r="G3121" s="5">
        <v>25</v>
      </c>
      <c r="H3121" t="s">
        <v>17</v>
      </c>
      <c r="I3121" t="s">
        <v>55</v>
      </c>
      <c r="J3121" s="6">
        <v>8.99</v>
      </c>
      <c r="K3121">
        <v>1</v>
      </c>
      <c r="L3121" t="s">
        <v>29</v>
      </c>
      <c r="M3121" s="5">
        <v>5</v>
      </c>
      <c r="N3121" s="4">
        <v>0.03</v>
      </c>
      <c r="O3121" t="s">
        <v>20</v>
      </c>
    </row>
    <row r="3122" spans="1:15" x14ac:dyDescent="0.3">
      <c r="A3122" t="s">
        <v>3131</v>
      </c>
      <c r="B3122" s="5">
        <v>54</v>
      </c>
      <c r="C3122" s="5" t="str" cm="1">
        <f t="array" ref="C3122">_xlfn.IFS(worksheet[[#This Row],[age]]&lt;25,"1. Young Adulthood (18-24)",worksheet[[#This Row],[age]]&lt; 35,"2. Early Adulthood (25-34)",worksheet[[#This Row],[age]]&lt; 45,"3. Mid Adulthood (35-44)",worksheet[[#This Row],[age]]&lt; 55,"4. Mature Adulthood (45-54)",TRUE,"5. Late Adulthood/Senior (55+)")</f>
        <v>4. Mature Adulthood (45-54)</v>
      </c>
      <c r="D3122" t="s">
        <v>27</v>
      </c>
      <c r="E3122" t="s">
        <v>22</v>
      </c>
      <c r="F3122" s="4">
        <v>12.34</v>
      </c>
      <c r="G3122" s="5">
        <v>32</v>
      </c>
      <c r="H3122" t="s">
        <v>28</v>
      </c>
      <c r="I3122" t="s">
        <v>55</v>
      </c>
      <c r="J3122" s="6">
        <v>13.99</v>
      </c>
      <c r="K3122">
        <v>1</v>
      </c>
      <c r="L3122" t="s">
        <v>19</v>
      </c>
      <c r="M3122" s="5">
        <v>3</v>
      </c>
      <c r="N3122" s="4">
        <v>0.37</v>
      </c>
      <c r="O3122" t="s">
        <v>25</v>
      </c>
    </row>
    <row r="3123" spans="1:15" x14ac:dyDescent="0.3">
      <c r="A3123" t="s">
        <v>3136</v>
      </c>
      <c r="B3123" s="5">
        <v>48</v>
      </c>
      <c r="C3123" s="5" t="str" cm="1">
        <f t="array" ref="C3123">_xlfn.IFS(worksheet[[#This Row],[age]]&lt;25,"1. Young Adulthood (18-24)",worksheet[[#This Row],[age]]&lt; 35,"2. Early Adulthood (25-34)",worksheet[[#This Row],[age]]&lt; 45,"3. Mid Adulthood (35-44)",worksheet[[#This Row],[age]]&lt; 55,"4. Mature Adulthood (45-54)",TRUE,"5. Late Adulthood/Senior (55+)")</f>
        <v>4. Mature Adulthood (45-54)</v>
      </c>
      <c r="D3123" t="s">
        <v>15</v>
      </c>
      <c r="E3123" t="s">
        <v>16</v>
      </c>
      <c r="F3123" s="4">
        <v>39.47</v>
      </c>
      <c r="G3123" s="5">
        <v>32</v>
      </c>
      <c r="H3123" t="s">
        <v>23</v>
      </c>
      <c r="I3123" t="s">
        <v>55</v>
      </c>
      <c r="J3123" s="6">
        <v>8.99</v>
      </c>
      <c r="K3123">
        <v>0</v>
      </c>
      <c r="L3123" t="s">
        <v>29</v>
      </c>
      <c r="M3123" s="5">
        <v>4</v>
      </c>
      <c r="N3123" s="4">
        <v>1.2</v>
      </c>
      <c r="O3123" t="s">
        <v>20</v>
      </c>
    </row>
    <row r="3124" spans="1:15" x14ac:dyDescent="0.3">
      <c r="A3124" t="s">
        <v>3140</v>
      </c>
      <c r="B3124" s="5">
        <v>45</v>
      </c>
      <c r="C3124" s="5" t="str" cm="1">
        <f t="array" ref="C3124">_xlfn.IFS(worksheet[[#This Row],[age]]&lt;25,"1. Young Adulthood (18-24)",worksheet[[#This Row],[age]]&lt; 35,"2. Early Adulthood (25-34)",worksheet[[#This Row],[age]]&lt; 45,"3. Mid Adulthood (35-44)",worksheet[[#This Row],[age]]&lt; 55,"4. Mature Adulthood (45-54)",TRUE,"5. Late Adulthood/Senior (55+)")</f>
        <v>4. Mature Adulthood (45-54)</v>
      </c>
      <c r="D3124" t="s">
        <v>41</v>
      </c>
      <c r="E3124" t="s">
        <v>32</v>
      </c>
      <c r="F3124" s="4">
        <v>17.850000000000001</v>
      </c>
      <c r="G3124" s="5">
        <v>57</v>
      </c>
      <c r="H3124" t="s">
        <v>23</v>
      </c>
      <c r="I3124" t="s">
        <v>55</v>
      </c>
      <c r="J3124" s="6">
        <v>17.989999999999998</v>
      </c>
      <c r="K3124">
        <v>1</v>
      </c>
      <c r="L3124" t="s">
        <v>29</v>
      </c>
      <c r="M3124" s="5">
        <v>3</v>
      </c>
      <c r="N3124" s="4">
        <v>0.31</v>
      </c>
      <c r="O3124" t="s">
        <v>25</v>
      </c>
    </row>
    <row r="3125" spans="1:15" x14ac:dyDescent="0.3">
      <c r="A3125" t="s">
        <v>3142</v>
      </c>
      <c r="B3125" s="5">
        <v>46</v>
      </c>
      <c r="C3125" s="5" t="str" cm="1">
        <f t="array" ref="C3125">_xlfn.IFS(worksheet[[#This Row],[age]]&lt;25,"1. Young Adulthood (18-24)",worksheet[[#This Row],[age]]&lt; 35,"2. Early Adulthood (25-34)",worksheet[[#This Row],[age]]&lt; 45,"3. Mid Adulthood (35-44)",worksheet[[#This Row],[age]]&lt; 55,"4. Mature Adulthood (45-54)",TRUE,"5. Late Adulthood/Senior (55+)")</f>
        <v>4. Mature Adulthood (45-54)</v>
      </c>
      <c r="D3125" t="s">
        <v>41</v>
      </c>
      <c r="E3125" t="s">
        <v>22</v>
      </c>
      <c r="F3125" s="4">
        <v>0.86</v>
      </c>
      <c r="G3125" s="5">
        <v>23</v>
      </c>
      <c r="H3125" t="s">
        <v>28</v>
      </c>
      <c r="I3125" t="s">
        <v>57</v>
      </c>
      <c r="J3125" s="6">
        <v>13.99</v>
      </c>
      <c r="K3125">
        <v>0</v>
      </c>
      <c r="L3125" t="s">
        <v>37</v>
      </c>
      <c r="M3125" s="5">
        <v>4</v>
      </c>
      <c r="N3125" s="4">
        <v>0.04</v>
      </c>
      <c r="O3125" t="s">
        <v>34</v>
      </c>
    </row>
    <row r="3126" spans="1:15" x14ac:dyDescent="0.3">
      <c r="A3126" s="1" t="s">
        <v>3143</v>
      </c>
      <c r="B3126" s="5">
        <v>45</v>
      </c>
      <c r="C3126" s="5" t="str" cm="1">
        <f t="array" ref="C3126">_xlfn.IFS(worksheet[[#This Row],[age]]&lt;25,"1. Young Adulthood (18-24)",worksheet[[#This Row],[age]]&lt; 35,"2. Early Adulthood (25-34)",worksheet[[#This Row],[age]]&lt; 45,"3. Mid Adulthood (35-44)",worksheet[[#This Row],[age]]&lt; 55,"4. Mature Adulthood (45-54)",TRUE,"5. Late Adulthood/Senior (55+)")</f>
        <v>4. Mature Adulthood (45-54)</v>
      </c>
      <c r="D3126" t="s">
        <v>27</v>
      </c>
      <c r="E3126" t="s">
        <v>16</v>
      </c>
      <c r="F3126" s="4">
        <v>15.8</v>
      </c>
      <c r="G3126" s="5">
        <v>57</v>
      </c>
      <c r="H3126" t="s">
        <v>33</v>
      </c>
      <c r="I3126" t="s">
        <v>24</v>
      </c>
      <c r="J3126" s="6">
        <v>8.99</v>
      </c>
      <c r="K3126">
        <v>1</v>
      </c>
      <c r="L3126" t="s">
        <v>61</v>
      </c>
      <c r="M3126" s="5">
        <v>1</v>
      </c>
      <c r="N3126" s="4">
        <v>0.27</v>
      </c>
      <c r="O3126" t="s">
        <v>52</v>
      </c>
    </row>
    <row r="3127" spans="1:15" x14ac:dyDescent="0.3">
      <c r="A3127" t="s">
        <v>3154</v>
      </c>
      <c r="B3127" s="5">
        <v>46</v>
      </c>
      <c r="C3127" s="5" t="str" cm="1">
        <f t="array" ref="C3127">_xlfn.IFS(worksheet[[#This Row],[age]]&lt;25,"1. Young Adulthood (18-24)",worksheet[[#This Row],[age]]&lt; 35,"2. Early Adulthood (25-34)",worksheet[[#This Row],[age]]&lt; 45,"3. Mid Adulthood (35-44)",worksheet[[#This Row],[age]]&lt; 55,"4. Mature Adulthood (45-54)",TRUE,"5. Late Adulthood/Senior (55+)")</f>
        <v>4. Mature Adulthood (45-54)</v>
      </c>
      <c r="D3127" t="s">
        <v>15</v>
      </c>
      <c r="E3127" t="s">
        <v>16</v>
      </c>
      <c r="F3127" s="4">
        <v>0.04</v>
      </c>
      <c r="G3127" s="5">
        <v>2</v>
      </c>
      <c r="H3127" t="s">
        <v>49</v>
      </c>
      <c r="I3127" t="s">
        <v>57</v>
      </c>
      <c r="J3127" s="6">
        <v>8.99</v>
      </c>
      <c r="K3127">
        <v>1</v>
      </c>
      <c r="L3127" t="s">
        <v>61</v>
      </c>
      <c r="M3127" s="5">
        <v>4</v>
      </c>
      <c r="N3127" s="4">
        <v>0.01</v>
      </c>
      <c r="O3127" t="s">
        <v>20</v>
      </c>
    </row>
    <row r="3128" spans="1:15" x14ac:dyDescent="0.3">
      <c r="A3128" t="s">
        <v>3169</v>
      </c>
      <c r="B3128" s="5">
        <v>49</v>
      </c>
      <c r="C3128" s="5" t="str" cm="1">
        <f t="array" ref="C3128">_xlfn.IFS(worksheet[[#This Row],[age]]&lt;25,"1. Young Adulthood (18-24)",worksheet[[#This Row],[age]]&lt; 35,"2. Early Adulthood (25-34)",worksheet[[#This Row],[age]]&lt; 45,"3. Mid Adulthood (35-44)",worksheet[[#This Row],[age]]&lt; 55,"4. Mature Adulthood (45-54)",TRUE,"5. Late Adulthood/Senior (55+)")</f>
        <v>4. Mature Adulthood (45-54)</v>
      </c>
      <c r="D3128" t="s">
        <v>41</v>
      </c>
      <c r="E3128" t="s">
        <v>16</v>
      </c>
      <c r="F3128" s="4">
        <v>11.25</v>
      </c>
      <c r="G3128" s="5">
        <v>9</v>
      </c>
      <c r="H3128" t="s">
        <v>49</v>
      </c>
      <c r="I3128" t="s">
        <v>24</v>
      </c>
      <c r="J3128" s="6">
        <v>8.99</v>
      </c>
      <c r="K3128">
        <v>0</v>
      </c>
      <c r="L3128" t="s">
        <v>37</v>
      </c>
      <c r="M3128" s="5">
        <v>1</v>
      </c>
      <c r="N3128" s="4">
        <v>1.1200000000000001</v>
      </c>
      <c r="O3128" t="s">
        <v>20</v>
      </c>
    </row>
    <row r="3129" spans="1:15" x14ac:dyDescent="0.3">
      <c r="A3129" t="s">
        <v>3173</v>
      </c>
      <c r="B3129" s="5">
        <v>53</v>
      </c>
      <c r="C3129" s="5" t="str" cm="1">
        <f t="array" ref="C3129">_xlfn.IFS(worksheet[[#This Row],[age]]&lt;25,"1. Young Adulthood (18-24)",worksheet[[#This Row],[age]]&lt; 35,"2. Early Adulthood (25-34)",worksheet[[#This Row],[age]]&lt; 45,"3. Mid Adulthood (35-44)",worksheet[[#This Row],[age]]&lt; 55,"4. Mature Adulthood (45-54)",TRUE,"5. Late Adulthood/Senior (55+)")</f>
        <v>4. Mature Adulthood (45-54)</v>
      </c>
      <c r="D3129" t="s">
        <v>15</v>
      </c>
      <c r="E3129" t="s">
        <v>22</v>
      </c>
      <c r="F3129" s="4">
        <v>52.23</v>
      </c>
      <c r="G3129" s="5">
        <v>7</v>
      </c>
      <c r="H3129" t="s">
        <v>33</v>
      </c>
      <c r="I3129" t="s">
        <v>55</v>
      </c>
      <c r="J3129" s="6">
        <v>13.99</v>
      </c>
      <c r="K3129">
        <v>0</v>
      </c>
      <c r="L3129" t="s">
        <v>43</v>
      </c>
      <c r="M3129" s="5">
        <v>3</v>
      </c>
      <c r="N3129" s="4">
        <v>6.53</v>
      </c>
      <c r="O3129" t="s">
        <v>30</v>
      </c>
    </row>
    <row r="3130" spans="1:15" x14ac:dyDescent="0.3">
      <c r="A3130" t="s">
        <v>3180</v>
      </c>
      <c r="B3130" s="5">
        <v>53</v>
      </c>
      <c r="C3130" s="5" t="str" cm="1">
        <f t="array" ref="C3130">_xlfn.IFS(worksheet[[#This Row],[age]]&lt;25,"1. Young Adulthood (18-24)",worksheet[[#This Row],[age]]&lt; 35,"2. Early Adulthood (25-34)",worksheet[[#This Row],[age]]&lt; 45,"3. Mid Adulthood (35-44)",worksheet[[#This Row],[age]]&lt; 55,"4. Mature Adulthood (45-54)",TRUE,"5. Late Adulthood/Senior (55+)")</f>
        <v>4. Mature Adulthood (45-54)</v>
      </c>
      <c r="D3130" t="s">
        <v>27</v>
      </c>
      <c r="E3130" t="s">
        <v>32</v>
      </c>
      <c r="F3130" s="4">
        <v>1.62</v>
      </c>
      <c r="G3130" s="5">
        <v>60</v>
      </c>
      <c r="H3130" t="s">
        <v>17</v>
      </c>
      <c r="I3130" t="s">
        <v>18</v>
      </c>
      <c r="J3130" s="6">
        <v>17.989999999999998</v>
      </c>
      <c r="K3130">
        <v>1</v>
      </c>
      <c r="L3130" t="s">
        <v>37</v>
      </c>
      <c r="M3130" s="5">
        <v>3</v>
      </c>
      <c r="N3130" s="4">
        <v>0.03</v>
      </c>
      <c r="O3130" t="s">
        <v>30</v>
      </c>
    </row>
    <row r="3131" spans="1:15" x14ac:dyDescent="0.3">
      <c r="A3131" t="s">
        <v>3184</v>
      </c>
      <c r="B3131" s="5">
        <v>53</v>
      </c>
      <c r="C3131" s="5" t="str" cm="1">
        <f t="array" ref="C3131">_xlfn.IFS(worksheet[[#This Row],[age]]&lt;25,"1. Young Adulthood (18-24)",worksheet[[#This Row],[age]]&lt; 35,"2. Early Adulthood (25-34)",worksheet[[#This Row],[age]]&lt; 45,"3. Mid Adulthood (35-44)",worksheet[[#This Row],[age]]&lt; 55,"4. Mature Adulthood (45-54)",TRUE,"5. Late Adulthood/Senior (55+)")</f>
        <v>4. Mature Adulthood (45-54)</v>
      </c>
      <c r="D3131" t="s">
        <v>41</v>
      </c>
      <c r="E3131" t="s">
        <v>32</v>
      </c>
      <c r="F3131" s="4">
        <v>6.61</v>
      </c>
      <c r="G3131" s="5">
        <v>54</v>
      </c>
      <c r="H3131" t="s">
        <v>23</v>
      </c>
      <c r="I3131" t="s">
        <v>46</v>
      </c>
      <c r="J3131" s="6">
        <v>17.989999999999998</v>
      </c>
      <c r="K3131">
        <v>1</v>
      </c>
      <c r="L3131" t="s">
        <v>43</v>
      </c>
      <c r="M3131" s="5">
        <v>2</v>
      </c>
      <c r="N3131" s="4">
        <v>0.12</v>
      </c>
      <c r="O3131" t="s">
        <v>47</v>
      </c>
    </row>
    <row r="3132" spans="1:15" x14ac:dyDescent="0.3">
      <c r="A3132" t="s">
        <v>3185</v>
      </c>
      <c r="B3132" s="5">
        <v>51</v>
      </c>
      <c r="C3132" s="5" t="str" cm="1">
        <f t="array" ref="C3132">_xlfn.IFS(worksheet[[#This Row],[age]]&lt;25,"1. Young Adulthood (18-24)",worksheet[[#This Row],[age]]&lt; 35,"2. Early Adulthood (25-34)",worksheet[[#This Row],[age]]&lt; 45,"3. Mid Adulthood (35-44)",worksheet[[#This Row],[age]]&lt; 55,"4. Mature Adulthood (45-54)",TRUE,"5. Late Adulthood/Senior (55+)")</f>
        <v>4. Mature Adulthood (45-54)</v>
      </c>
      <c r="D3132" t="s">
        <v>27</v>
      </c>
      <c r="E3132" t="s">
        <v>32</v>
      </c>
      <c r="F3132" s="4">
        <v>35.22</v>
      </c>
      <c r="G3132" s="5">
        <v>53</v>
      </c>
      <c r="H3132" t="s">
        <v>28</v>
      </c>
      <c r="I3132" t="s">
        <v>46</v>
      </c>
      <c r="J3132" s="6">
        <v>17.989999999999998</v>
      </c>
      <c r="K3132">
        <v>0</v>
      </c>
      <c r="L3132" t="s">
        <v>43</v>
      </c>
      <c r="M3132" s="5">
        <v>5</v>
      </c>
      <c r="N3132" s="4">
        <v>0.65</v>
      </c>
      <c r="O3132" t="s">
        <v>52</v>
      </c>
    </row>
    <row r="3133" spans="1:15" x14ac:dyDescent="0.3">
      <c r="A3133" t="s">
        <v>3202</v>
      </c>
      <c r="B3133" s="5">
        <v>52</v>
      </c>
      <c r="C3133" s="5" t="str" cm="1">
        <f t="array" ref="C3133">_xlfn.IFS(worksheet[[#This Row],[age]]&lt;25,"1. Young Adulthood (18-24)",worksheet[[#This Row],[age]]&lt; 35,"2. Early Adulthood (25-34)",worksheet[[#This Row],[age]]&lt; 45,"3. Mid Adulthood (35-44)",worksheet[[#This Row],[age]]&lt; 55,"4. Mature Adulthood (45-54)",TRUE,"5. Late Adulthood/Senior (55+)")</f>
        <v>4. Mature Adulthood (45-54)</v>
      </c>
      <c r="D3133" t="s">
        <v>27</v>
      </c>
      <c r="E3133" t="s">
        <v>16</v>
      </c>
      <c r="F3133" s="4">
        <v>3.59</v>
      </c>
      <c r="G3133" s="5">
        <v>42</v>
      </c>
      <c r="H3133" t="s">
        <v>17</v>
      </c>
      <c r="I3133" t="s">
        <v>18</v>
      </c>
      <c r="J3133" s="6">
        <v>8.99</v>
      </c>
      <c r="K3133">
        <v>1</v>
      </c>
      <c r="L3133" t="s">
        <v>19</v>
      </c>
      <c r="M3133" s="5">
        <v>4</v>
      </c>
      <c r="N3133" s="4">
        <v>0.08</v>
      </c>
      <c r="O3133" t="s">
        <v>25</v>
      </c>
    </row>
    <row r="3134" spans="1:15" x14ac:dyDescent="0.3">
      <c r="A3134" t="s">
        <v>3210</v>
      </c>
      <c r="B3134" s="5">
        <v>50</v>
      </c>
      <c r="C3134" s="5" t="str" cm="1">
        <f t="array" ref="C3134">_xlfn.IFS(worksheet[[#This Row],[age]]&lt;25,"1. Young Adulthood (18-24)",worksheet[[#This Row],[age]]&lt; 35,"2. Early Adulthood (25-34)",worksheet[[#This Row],[age]]&lt; 45,"3. Mid Adulthood (35-44)",worksheet[[#This Row],[age]]&lt; 55,"4. Mature Adulthood (45-54)",TRUE,"5. Late Adulthood/Senior (55+)")</f>
        <v>4. Mature Adulthood (45-54)</v>
      </c>
      <c r="D3134" t="s">
        <v>15</v>
      </c>
      <c r="E3134" t="s">
        <v>32</v>
      </c>
      <c r="F3134" s="4">
        <v>7.44</v>
      </c>
      <c r="G3134" s="5">
        <v>32</v>
      </c>
      <c r="H3134" t="s">
        <v>49</v>
      </c>
      <c r="I3134" t="s">
        <v>57</v>
      </c>
      <c r="J3134" s="6">
        <v>17.989999999999998</v>
      </c>
      <c r="K3134">
        <v>0</v>
      </c>
      <c r="L3134" t="s">
        <v>61</v>
      </c>
      <c r="M3134" s="5">
        <v>4</v>
      </c>
      <c r="N3134" s="4">
        <v>0.23</v>
      </c>
      <c r="O3134" t="s">
        <v>47</v>
      </c>
    </row>
    <row r="3135" spans="1:15" x14ac:dyDescent="0.3">
      <c r="A3135" t="s">
        <v>3216</v>
      </c>
      <c r="B3135" s="5">
        <v>50</v>
      </c>
      <c r="C3135" s="5" t="str" cm="1">
        <f t="array" ref="C3135">_xlfn.IFS(worksheet[[#This Row],[age]]&lt;25,"1. Young Adulthood (18-24)",worksheet[[#This Row],[age]]&lt; 35,"2. Early Adulthood (25-34)",worksheet[[#This Row],[age]]&lt; 45,"3. Mid Adulthood (35-44)",worksheet[[#This Row],[age]]&lt; 55,"4. Mature Adulthood (45-54)",TRUE,"5. Late Adulthood/Senior (55+)")</f>
        <v>4. Mature Adulthood (45-54)</v>
      </c>
      <c r="D3135" t="s">
        <v>41</v>
      </c>
      <c r="E3135" t="s">
        <v>32</v>
      </c>
      <c r="F3135" s="4">
        <v>5.93</v>
      </c>
      <c r="G3135" s="5">
        <v>51</v>
      </c>
      <c r="H3135" t="s">
        <v>28</v>
      </c>
      <c r="I3135" t="s">
        <v>55</v>
      </c>
      <c r="J3135" s="6">
        <v>17.989999999999998</v>
      </c>
      <c r="K3135">
        <v>1</v>
      </c>
      <c r="L3135" t="s">
        <v>29</v>
      </c>
      <c r="M3135" s="5">
        <v>1</v>
      </c>
      <c r="N3135" s="4">
        <v>0.11</v>
      </c>
      <c r="O3135" t="s">
        <v>34</v>
      </c>
    </row>
    <row r="3136" spans="1:15" x14ac:dyDescent="0.3">
      <c r="A3136" t="s">
        <v>3218</v>
      </c>
      <c r="B3136" s="5">
        <v>49</v>
      </c>
      <c r="C3136" s="5" t="str" cm="1">
        <f t="array" ref="C3136">_xlfn.IFS(worksheet[[#This Row],[age]]&lt;25,"1. Young Adulthood (18-24)",worksheet[[#This Row],[age]]&lt; 35,"2. Early Adulthood (25-34)",worksheet[[#This Row],[age]]&lt; 45,"3. Mid Adulthood (35-44)",worksheet[[#This Row],[age]]&lt; 55,"4. Mature Adulthood (45-54)",TRUE,"5. Late Adulthood/Senior (55+)")</f>
        <v>4. Mature Adulthood (45-54)</v>
      </c>
      <c r="D3136" t="s">
        <v>27</v>
      </c>
      <c r="E3136" t="s">
        <v>22</v>
      </c>
      <c r="F3136" s="4">
        <v>17.61</v>
      </c>
      <c r="G3136" s="5">
        <v>60</v>
      </c>
      <c r="H3136" t="s">
        <v>49</v>
      </c>
      <c r="I3136" t="s">
        <v>46</v>
      </c>
      <c r="J3136" s="6">
        <v>13.99</v>
      </c>
      <c r="K3136">
        <v>1</v>
      </c>
      <c r="L3136" t="s">
        <v>43</v>
      </c>
      <c r="M3136" s="5">
        <v>1</v>
      </c>
      <c r="N3136" s="4">
        <v>0.28999999999999998</v>
      </c>
      <c r="O3136" t="s">
        <v>25</v>
      </c>
    </row>
    <row r="3137" spans="1:15" x14ac:dyDescent="0.3">
      <c r="A3137" t="s">
        <v>3230</v>
      </c>
      <c r="B3137" s="5">
        <v>54</v>
      </c>
      <c r="C3137" s="5" t="str" cm="1">
        <f t="array" ref="C3137">_xlfn.IFS(worksheet[[#This Row],[age]]&lt;25,"1. Young Adulthood (18-24)",worksheet[[#This Row],[age]]&lt; 35,"2. Early Adulthood (25-34)",worksheet[[#This Row],[age]]&lt; 45,"3. Mid Adulthood (35-44)",worksheet[[#This Row],[age]]&lt; 55,"4. Mature Adulthood (45-54)",TRUE,"5. Late Adulthood/Senior (55+)")</f>
        <v>4. Mature Adulthood (45-54)</v>
      </c>
      <c r="D3137" t="s">
        <v>27</v>
      </c>
      <c r="E3137" t="s">
        <v>32</v>
      </c>
      <c r="F3137" s="4">
        <v>14.52</v>
      </c>
      <c r="G3137" s="5">
        <v>24</v>
      </c>
      <c r="H3137" t="s">
        <v>17</v>
      </c>
      <c r="I3137" t="s">
        <v>18</v>
      </c>
      <c r="J3137" s="6">
        <v>17.989999999999998</v>
      </c>
      <c r="K3137">
        <v>0</v>
      </c>
      <c r="L3137" t="s">
        <v>37</v>
      </c>
      <c r="M3137" s="5">
        <v>2</v>
      </c>
      <c r="N3137" s="4">
        <v>0.57999999999999996</v>
      </c>
      <c r="O3137" t="s">
        <v>25</v>
      </c>
    </row>
    <row r="3138" spans="1:15" x14ac:dyDescent="0.3">
      <c r="A3138" t="s">
        <v>3236</v>
      </c>
      <c r="B3138" s="5">
        <v>47</v>
      </c>
      <c r="C3138" s="5" t="str" cm="1">
        <f t="array" ref="C3138">_xlfn.IFS(worksheet[[#This Row],[age]]&lt;25,"1. Young Adulthood (18-24)",worksheet[[#This Row],[age]]&lt; 35,"2. Early Adulthood (25-34)",worksheet[[#This Row],[age]]&lt; 45,"3. Mid Adulthood (35-44)",worksheet[[#This Row],[age]]&lt; 55,"4. Mature Adulthood (45-54)",TRUE,"5. Late Adulthood/Senior (55+)")</f>
        <v>4. Mature Adulthood (45-54)</v>
      </c>
      <c r="D3138" t="s">
        <v>41</v>
      </c>
      <c r="E3138" t="s">
        <v>32</v>
      </c>
      <c r="F3138" s="4">
        <v>1.75</v>
      </c>
      <c r="G3138" s="5">
        <v>12</v>
      </c>
      <c r="H3138" t="s">
        <v>23</v>
      </c>
      <c r="I3138" t="s">
        <v>55</v>
      </c>
      <c r="J3138" s="6">
        <v>17.989999999999998</v>
      </c>
      <c r="K3138">
        <v>0</v>
      </c>
      <c r="L3138" t="s">
        <v>61</v>
      </c>
      <c r="M3138" s="5">
        <v>5</v>
      </c>
      <c r="N3138" s="4">
        <v>0.13</v>
      </c>
      <c r="O3138" t="s">
        <v>30</v>
      </c>
    </row>
    <row r="3139" spans="1:15" x14ac:dyDescent="0.3">
      <c r="A3139" t="s">
        <v>3239</v>
      </c>
      <c r="B3139" s="5">
        <v>48</v>
      </c>
      <c r="C3139" s="5" t="str" cm="1">
        <f t="array" ref="C3139">_xlfn.IFS(worksheet[[#This Row],[age]]&lt;25,"1. Young Adulthood (18-24)",worksheet[[#This Row],[age]]&lt; 35,"2. Early Adulthood (25-34)",worksheet[[#This Row],[age]]&lt; 45,"3. Mid Adulthood (35-44)",worksheet[[#This Row],[age]]&lt; 55,"4. Mature Adulthood (45-54)",TRUE,"5. Late Adulthood/Senior (55+)")</f>
        <v>4. Mature Adulthood (45-54)</v>
      </c>
      <c r="D3139" t="s">
        <v>41</v>
      </c>
      <c r="E3139" t="s">
        <v>16</v>
      </c>
      <c r="F3139" s="4">
        <v>13.29</v>
      </c>
      <c r="G3139" s="5">
        <v>45</v>
      </c>
      <c r="H3139" t="s">
        <v>33</v>
      </c>
      <c r="I3139" t="s">
        <v>57</v>
      </c>
      <c r="J3139" s="6">
        <v>8.99</v>
      </c>
      <c r="K3139">
        <v>1</v>
      </c>
      <c r="L3139" t="s">
        <v>37</v>
      </c>
      <c r="M3139" s="5">
        <v>2</v>
      </c>
      <c r="N3139" s="4">
        <v>0.28999999999999998</v>
      </c>
      <c r="O3139" t="s">
        <v>39</v>
      </c>
    </row>
    <row r="3140" spans="1:15" x14ac:dyDescent="0.3">
      <c r="A3140" t="s">
        <v>3240</v>
      </c>
      <c r="B3140" s="5">
        <v>48</v>
      </c>
      <c r="C3140" s="5" t="str" cm="1">
        <f t="array" ref="C3140">_xlfn.IFS(worksheet[[#This Row],[age]]&lt;25,"1. Young Adulthood (18-24)",worksheet[[#This Row],[age]]&lt; 35,"2. Early Adulthood (25-34)",worksheet[[#This Row],[age]]&lt; 45,"3. Mid Adulthood (35-44)",worksheet[[#This Row],[age]]&lt; 55,"4. Mature Adulthood (45-54)",TRUE,"5. Late Adulthood/Senior (55+)")</f>
        <v>4. Mature Adulthood (45-54)</v>
      </c>
      <c r="D3140" t="s">
        <v>27</v>
      </c>
      <c r="E3140" t="s">
        <v>16</v>
      </c>
      <c r="F3140" s="4">
        <v>19.86</v>
      </c>
      <c r="G3140" s="5">
        <v>26</v>
      </c>
      <c r="H3140" t="s">
        <v>23</v>
      </c>
      <c r="I3140" t="s">
        <v>55</v>
      </c>
      <c r="J3140" s="6">
        <v>8.99</v>
      </c>
      <c r="K3140">
        <v>0</v>
      </c>
      <c r="L3140" t="s">
        <v>37</v>
      </c>
      <c r="M3140" s="5">
        <v>5</v>
      </c>
      <c r="N3140" s="4">
        <v>0.74</v>
      </c>
      <c r="O3140" t="s">
        <v>25</v>
      </c>
    </row>
    <row r="3141" spans="1:15" x14ac:dyDescent="0.3">
      <c r="A3141" t="s">
        <v>3243</v>
      </c>
      <c r="B3141" s="5">
        <v>48</v>
      </c>
      <c r="C3141" s="5" t="str" cm="1">
        <f t="array" ref="C3141">_xlfn.IFS(worksheet[[#This Row],[age]]&lt;25,"1. Young Adulthood (18-24)",worksheet[[#This Row],[age]]&lt; 35,"2. Early Adulthood (25-34)",worksheet[[#This Row],[age]]&lt; 45,"3. Mid Adulthood (35-44)",worksheet[[#This Row],[age]]&lt; 55,"4. Mature Adulthood (45-54)",TRUE,"5. Late Adulthood/Senior (55+)")</f>
        <v>4. Mature Adulthood (45-54)</v>
      </c>
      <c r="D3141" t="s">
        <v>27</v>
      </c>
      <c r="E3141" t="s">
        <v>32</v>
      </c>
      <c r="F3141" s="4">
        <v>1.84</v>
      </c>
      <c r="G3141" s="5">
        <v>9</v>
      </c>
      <c r="H3141" t="s">
        <v>70</v>
      </c>
      <c r="I3141" t="s">
        <v>46</v>
      </c>
      <c r="J3141" s="6">
        <v>17.989999999999998</v>
      </c>
      <c r="K3141">
        <v>1</v>
      </c>
      <c r="L3141" t="s">
        <v>29</v>
      </c>
      <c r="M3141" s="5">
        <v>2</v>
      </c>
      <c r="N3141" s="4">
        <v>0.18</v>
      </c>
      <c r="O3141" t="s">
        <v>47</v>
      </c>
    </row>
    <row r="3142" spans="1:15" x14ac:dyDescent="0.3">
      <c r="A3142" t="s">
        <v>3244</v>
      </c>
      <c r="B3142" s="5">
        <v>50</v>
      </c>
      <c r="C3142" s="5" t="str" cm="1">
        <f t="array" ref="C3142">_xlfn.IFS(worksheet[[#This Row],[age]]&lt;25,"1. Young Adulthood (18-24)",worksheet[[#This Row],[age]]&lt; 35,"2. Early Adulthood (25-34)",worksheet[[#This Row],[age]]&lt; 45,"3. Mid Adulthood (35-44)",worksheet[[#This Row],[age]]&lt; 55,"4. Mature Adulthood (45-54)",TRUE,"5. Late Adulthood/Senior (55+)")</f>
        <v>4. Mature Adulthood (45-54)</v>
      </c>
      <c r="D3142" t="s">
        <v>15</v>
      </c>
      <c r="E3142" t="s">
        <v>22</v>
      </c>
      <c r="F3142" s="4">
        <v>4.3600000000000003</v>
      </c>
      <c r="G3142" s="5">
        <v>9</v>
      </c>
      <c r="H3142" t="s">
        <v>28</v>
      </c>
      <c r="I3142" t="s">
        <v>57</v>
      </c>
      <c r="J3142" s="6">
        <v>13.99</v>
      </c>
      <c r="K3142">
        <v>1</v>
      </c>
      <c r="L3142" t="s">
        <v>43</v>
      </c>
      <c r="M3142" s="5">
        <v>2</v>
      </c>
      <c r="N3142" s="4">
        <v>0.44</v>
      </c>
      <c r="O3142" t="s">
        <v>20</v>
      </c>
    </row>
    <row r="3143" spans="1:15" x14ac:dyDescent="0.3">
      <c r="A3143" t="s">
        <v>3246</v>
      </c>
      <c r="B3143" s="5">
        <v>46</v>
      </c>
      <c r="C3143" s="5" t="str" cm="1">
        <f t="array" ref="C3143">_xlfn.IFS(worksheet[[#This Row],[age]]&lt;25,"1. Young Adulthood (18-24)",worksheet[[#This Row],[age]]&lt; 35,"2. Early Adulthood (25-34)",worksheet[[#This Row],[age]]&lt; 45,"3. Mid Adulthood (35-44)",worksheet[[#This Row],[age]]&lt; 55,"4. Mature Adulthood (45-54)",TRUE,"5. Late Adulthood/Senior (55+)")</f>
        <v>4. Mature Adulthood (45-54)</v>
      </c>
      <c r="D3143" t="s">
        <v>41</v>
      </c>
      <c r="E3143" t="s">
        <v>32</v>
      </c>
      <c r="F3143" s="4">
        <v>10.11</v>
      </c>
      <c r="G3143" s="5">
        <v>52</v>
      </c>
      <c r="H3143" t="s">
        <v>49</v>
      </c>
      <c r="I3143" t="s">
        <v>57</v>
      </c>
      <c r="J3143" s="6">
        <v>17.989999999999998</v>
      </c>
      <c r="K3143">
        <v>1</v>
      </c>
      <c r="L3143" t="s">
        <v>61</v>
      </c>
      <c r="M3143" s="5">
        <v>1</v>
      </c>
      <c r="N3143" s="4">
        <v>0.19</v>
      </c>
      <c r="O3143" t="s">
        <v>52</v>
      </c>
    </row>
    <row r="3144" spans="1:15" x14ac:dyDescent="0.3">
      <c r="A3144" t="s">
        <v>3249</v>
      </c>
      <c r="B3144" s="5">
        <v>48</v>
      </c>
      <c r="C3144" s="5" t="str" cm="1">
        <f t="array" ref="C3144">_xlfn.IFS(worksheet[[#This Row],[age]]&lt;25,"1. Young Adulthood (18-24)",worksheet[[#This Row],[age]]&lt; 35,"2. Early Adulthood (25-34)",worksheet[[#This Row],[age]]&lt; 45,"3. Mid Adulthood (35-44)",worksheet[[#This Row],[age]]&lt; 55,"4. Mature Adulthood (45-54)",TRUE,"5. Late Adulthood/Senior (55+)")</f>
        <v>4. Mature Adulthood (45-54)</v>
      </c>
      <c r="D3144" t="s">
        <v>41</v>
      </c>
      <c r="E3144" t="s">
        <v>32</v>
      </c>
      <c r="F3144" s="4">
        <v>2.84</v>
      </c>
      <c r="G3144" s="5">
        <v>35</v>
      </c>
      <c r="H3144" t="s">
        <v>70</v>
      </c>
      <c r="I3144" t="s">
        <v>55</v>
      </c>
      <c r="J3144" s="6">
        <v>17.989999999999998</v>
      </c>
      <c r="K3144">
        <v>1</v>
      </c>
      <c r="L3144" t="s">
        <v>37</v>
      </c>
      <c r="M3144" s="5">
        <v>2</v>
      </c>
      <c r="N3144" s="4">
        <v>0.08</v>
      </c>
      <c r="O3144" t="s">
        <v>20</v>
      </c>
    </row>
    <row r="3145" spans="1:15" x14ac:dyDescent="0.3">
      <c r="A3145" t="s">
        <v>3253</v>
      </c>
      <c r="B3145" s="5">
        <v>48</v>
      </c>
      <c r="C3145" s="5" t="str" cm="1">
        <f t="array" ref="C3145">_xlfn.IFS(worksheet[[#This Row],[age]]&lt;25,"1. Young Adulthood (18-24)",worksheet[[#This Row],[age]]&lt; 35,"2. Early Adulthood (25-34)",worksheet[[#This Row],[age]]&lt; 45,"3. Mid Adulthood (35-44)",worksheet[[#This Row],[age]]&lt; 55,"4. Mature Adulthood (45-54)",TRUE,"5. Late Adulthood/Senior (55+)")</f>
        <v>4. Mature Adulthood (45-54)</v>
      </c>
      <c r="D3145" t="s">
        <v>27</v>
      </c>
      <c r="E3145" t="s">
        <v>22</v>
      </c>
      <c r="F3145" s="4">
        <v>49.33</v>
      </c>
      <c r="G3145" s="5">
        <v>37</v>
      </c>
      <c r="H3145" t="s">
        <v>23</v>
      </c>
      <c r="I3145" t="s">
        <v>24</v>
      </c>
      <c r="J3145" s="6">
        <v>13.99</v>
      </c>
      <c r="K3145">
        <v>0</v>
      </c>
      <c r="L3145" t="s">
        <v>61</v>
      </c>
      <c r="M3145" s="5">
        <v>3</v>
      </c>
      <c r="N3145" s="4">
        <v>1.3</v>
      </c>
      <c r="O3145" t="s">
        <v>20</v>
      </c>
    </row>
    <row r="3146" spans="1:15" x14ac:dyDescent="0.3">
      <c r="A3146" t="s">
        <v>3260</v>
      </c>
      <c r="B3146" s="5">
        <v>54</v>
      </c>
      <c r="C3146" s="5" t="str" cm="1">
        <f t="array" ref="C3146">_xlfn.IFS(worksheet[[#This Row],[age]]&lt;25,"1. Young Adulthood (18-24)",worksheet[[#This Row],[age]]&lt; 35,"2. Early Adulthood (25-34)",worksheet[[#This Row],[age]]&lt; 45,"3. Mid Adulthood (35-44)",worksheet[[#This Row],[age]]&lt; 55,"4. Mature Adulthood (45-54)",TRUE,"5. Late Adulthood/Senior (55+)")</f>
        <v>4. Mature Adulthood (45-54)</v>
      </c>
      <c r="D3146" t="s">
        <v>27</v>
      </c>
      <c r="E3146" t="s">
        <v>22</v>
      </c>
      <c r="F3146" s="4">
        <v>6.61</v>
      </c>
      <c r="G3146" s="5">
        <v>26</v>
      </c>
      <c r="H3146" t="s">
        <v>33</v>
      </c>
      <c r="I3146" t="s">
        <v>57</v>
      </c>
      <c r="J3146" s="6">
        <v>13.99</v>
      </c>
      <c r="K3146">
        <v>0</v>
      </c>
      <c r="L3146" t="s">
        <v>19</v>
      </c>
      <c r="M3146" s="5">
        <v>3</v>
      </c>
      <c r="N3146" s="4">
        <v>0.24</v>
      </c>
      <c r="O3146" t="s">
        <v>20</v>
      </c>
    </row>
    <row r="3147" spans="1:15" x14ac:dyDescent="0.3">
      <c r="A3147" t="s">
        <v>3264</v>
      </c>
      <c r="B3147" s="5">
        <v>51</v>
      </c>
      <c r="C3147" s="5" t="str" cm="1">
        <f t="array" ref="C3147">_xlfn.IFS(worksheet[[#This Row],[age]]&lt;25,"1. Young Adulthood (18-24)",worksheet[[#This Row],[age]]&lt; 35,"2. Early Adulthood (25-34)",worksheet[[#This Row],[age]]&lt; 45,"3. Mid Adulthood (35-44)",worksheet[[#This Row],[age]]&lt; 55,"4. Mature Adulthood (45-54)",TRUE,"5. Late Adulthood/Senior (55+)")</f>
        <v>4. Mature Adulthood (45-54)</v>
      </c>
      <c r="D3147" t="s">
        <v>27</v>
      </c>
      <c r="E3147" t="s">
        <v>32</v>
      </c>
      <c r="F3147" s="4">
        <v>4.9000000000000004</v>
      </c>
      <c r="G3147" s="5">
        <v>23</v>
      </c>
      <c r="H3147" t="s">
        <v>33</v>
      </c>
      <c r="I3147" t="s">
        <v>55</v>
      </c>
      <c r="J3147" s="6">
        <v>17.989999999999998</v>
      </c>
      <c r="K3147">
        <v>1</v>
      </c>
      <c r="L3147" t="s">
        <v>19</v>
      </c>
      <c r="M3147" s="5">
        <v>5</v>
      </c>
      <c r="N3147" s="4">
        <v>0.2</v>
      </c>
      <c r="O3147" t="s">
        <v>47</v>
      </c>
    </row>
    <row r="3148" spans="1:15" x14ac:dyDescent="0.3">
      <c r="A3148" t="s">
        <v>3268</v>
      </c>
      <c r="B3148" s="5">
        <v>54</v>
      </c>
      <c r="C3148" s="5" t="str" cm="1">
        <f t="array" ref="C3148">_xlfn.IFS(worksheet[[#This Row],[age]]&lt;25,"1. Young Adulthood (18-24)",worksheet[[#This Row],[age]]&lt; 35,"2. Early Adulthood (25-34)",worksheet[[#This Row],[age]]&lt; 45,"3. Mid Adulthood (35-44)",worksheet[[#This Row],[age]]&lt; 55,"4. Mature Adulthood (45-54)",TRUE,"5. Late Adulthood/Senior (55+)")</f>
        <v>4. Mature Adulthood (45-54)</v>
      </c>
      <c r="D3148" t="s">
        <v>41</v>
      </c>
      <c r="E3148" t="s">
        <v>32</v>
      </c>
      <c r="F3148" s="4">
        <v>2.2799999999999998</v>
      </c>
      <c r="G3148" s="5">
        <v>47</v>
      </c>
      <c r="H3148" t="s">
        <v>28</v>
      </c>
      <c r="I3148" t="s">
        <v>57</v>
      </c>
      <c r="J3148" s="6">
        <v>17.989999999999998</v>
      </c>
      <c r="K3148">
        <v>1</v>
      </c>
      <c r="L3148" t="s">
        <v>29</v>
      </c>
      <c r="M3148" s="5">
        <v>3</v>
      </c>
      <c r="N3148" s="4">
        <v>0.05</v>
      </c>
      <c r="O3148" t="s">
        <v>30</v>
      </c>
    </row>
    <row r="3149" spans="1:15" x14ac:dyDescent="0.3">
      <c r="A3149" t="s">
        <v>3272</v>
      </c>
      <c r="B3149" s="5">
        <v>51</v>
      </c>
      <c r="C3149" s="5" t="str" cm="1">
        <f t="array" ref="C3149">_xlfn.IFS(worksheet[[#This Row],[age]]&lt;25,"1. Young Adulthood (18-24)",worksheet[[#This Row],[age]]&lt; 35,"2. Early Adulthood (25-34)",worksheet[[#This Row],[age]]&lt; 45,"3. Mid Adulthood (35-44)",worksheet[[#This Row],[age]]&lt; 55,"4. Mature Adulthood (45-54)",TRUE,"5. Late Adulthood/Senior (55+)")</f>
        <v>4. Mature Adulthood (45-54)</v>
      </c>
      <c r="D3149" t="s">
        <v>27</v>
      </c>
      <c r="E3149" t="s">
        <v>16</v>
      </c>
      <c r="F3149" s="4">
        <v>6.21</v>
      </c>
      <c r="G3149" s="5">
        <v>40</v>
      </c>
      <c r="H3149" t="s">
        <v>49</v>
      </c>
      <c r="I3149" t="s">
        <v>18</v>
      </c>
      <c r="J3149" s="6">
        <v>8.99</v>
      </c>
      <c r="K3149">
        <v>1</v>
      </c>
      <c r="L3149" t="s">
        <v>37</v>
      </c>
      <c r="M3149" s="5">
        <v>5</v>
      </c>
      <c r="N3149" s="4">
        <v>0.15</v>
      </c>
      <c r="O3149" t="s">
        <v>25</v>
      </c>
    </row>
    <row r="3150" spans="1:15" x14ac:dyDescent="0.3">
      <c r="A3150" t="s">
        <v>3280</v>
      </c>
      <c r="B3150" s="5">
        <v>46</v>
      </c>
      <c r="C3150" s="5" t="str" cm="1">
        <f t="array" ref="C3150">_xlfn.IFS(worksheet[[#This Row],[age]]&lt;25,"1. Young Adulthood (18-24)",worksheet[[#This Row],[age]]&lt; 35,"2. Early Adulthood (25-34)",worksheet[[#This Row],[age]]&lt; 45,"3. Mid Adulthood (35-44)",worksheet[[#This Row],[age]]&lt; 55,"4. Mature Adulthood (45-54)",TRUE,"5. Late Adulthood/Senior (55+)")</f>
        <v>4. Mature Adulthood (45-54)</v>
      </c>
      <c r="D3150" t="s">
        <v>27</v>
      </c>
      <c r="E3150" t="s">
        <v>16</v>
      </c>
      <c r="F3150" s="4">
        <v>6.75</v>
      </c>
      <c r="G3150" s="5">
        <v>37</v>
      </c>
      <c r="H3150" t="s">
        <v>49</v>
      </c>
      <c r="I3150" t="s">
        <v>55</v>
      </c>
      <c r="J3150" s="6">
        <v>8.99</v>
      </c>
      <c r="K3150">
        <v>1</v>
      </c>
      <c r="L3150" t="s">
        <v>19</v>
      </c>
      <c r="M3150" s="5">
        <v>2</v>
      </c>
      <c r="N3150" s="4">
        <v>0.18</v>
      </c>
      <c r="O3150" t="s">
        <v>47</v>
      </c>
    </row>
    <row r="3151" spans="1:15" x14ac:dyDescent="0.3">
      <c r="A3151" t="s">
        <v>3288</v>
      </c>
      <c r="B3151" s="5">
        <v>54</v>
      </c>
      <c r="C3151" s="5" t="str" cm="1">
        <f t="array" ref="C3151">_xlfn.IFS(worksheet[[#This Row],[age]]&lt;25,"1. Young Adulthood (18-24)",worksheet[[#This Row],[age]]&lt; 35,"2. Early Adulthood (25-34)",worksheet[[#This Row],[age]]&lt; 45,"3. Mid Adulthood (35-44)",worksheet[[#This Row],[age]]&lt; 55,"4. Mature Adulthood (45-54)",TRUE,"5. Late Adulthood/Senior (55+)")</f>
        <v>4. Mature Adulthood (45-54)</v>
      </c>
      <c r="D3151" t="s">
        <v>41</v>
      </c>
      <c r="E3151" t="s">
        <v>16</v>
      </c>
      <c r="F3151" s="4">
        <v>25.24</v>
      </c>
      <c r="G3151" s="5">
        <v>43</v>
      </c>
      <c r="H3151" t="s">
        <v>49</v>
      </c>
      <c r="I3151" t="s">
        <v>18</v>
      </c>
      <c r="J3151" s="6">
        <v>8.99</v>
      </c>
      <c r="K3151">
        <v>0</v>
      </c>
      <c r="L3151" t="s">
        <v>37</v>
      </c>
      <c r="M3151" s="5">
        <v>5</v>
      </c>
      <c r="N3151" s="4">
        <v>0.56999999999999995</v>
      </c>
      <c r="O3151" t="s">
        <v>47</v>
      </c>
    </row>
    <row r="3152" spans="1:15" x14ac:dyDescent="0.3">
      <c r="A3152" t="s">
        <v>3289</v>
      </c>
      <c r="B3152" s="5">
        <v>46</v>
      </c>
      <c r="C3152" s="5" t="str" cm="1">
        <f t="array" ref="C3152">_xlfn.IFS(worksheet[[#This Row],[age]]&lt;25,"1. Young Adulthood (18-24)",worksheet[[#This Row],[age]]&lt; 35,"2. Early Adulthood (25-34)",worksheet[[#This Row],[age]]&lt; 45,"3. Mid Adulthood (35-44)",worksheet[[#This Row],[age]]&lt; 55,"4. Mature Adulthood (45-54)",TRUE,"5. Late Adulthood/Senior (55+)")</f>
        <v>4. Mature Adulthood (45-54)</v>
      </c>
      <c r="D3152" t="s">
        <v>41</v>
      </c>
      <c r="E3152" t="s">
        <v>32</v>
      </c>
      <c r="F3152" s="4">
        <v>1.48</v>
      </c>
      <c r="G3152" s="5">
        <v>10</v>
      </c>
      <c r="H3152" t="s">
        <v>28</v>
      </c>
      <c r="I3152" t="s">
        <v>57</v>
      </c>
      <c r="J3152" s="6">
        <v>17.989999999999998</v>
      </c>
      <c r="K3152">
        <v>0</v>
      </c>
      <c r="L3152" t="s">
        <v>61</v>
      </c>
      <c r="M3152" s="5">
        <v>4</v>
      </c>
      <c r="N3152" s="4">
        <v>0.13</v>
      </c>
      <c r="O3152" t="s">
        <v>39</v>
      </c>
    </row>
    <row r="3153" spans="1:15" x14ac:dyDescent="0.3">
      <c r="A3153" t="s">
        <v>3295</v>
      </c>
      <c r="B3153" s="5">
        <v>47</v>
      </c>
      <c r="C3153" s="5" t="str" cm="1">
        <f t="array" ref="C3153">_xlfn.IFS(worksheet[[#This Row],[age]]&lt;25,"1. Young Adulthood (18-24)",worksheet[[#This Row],[age]]&lt; 35,"2. Early Adulthood (25-34)",worksheet[[#This Row],[age]]&lt; 45,"3. Mid Adulthood (35-44)",worksheet[[#This Row],[age]]&lt; 55,"4. Mature Adulthood (45-54)",TRUE,"5. Late Adulthood/Senior (55+)")</f>
        <v>4. Mature Adulthood (45-54)</v>
      </c>
      <c r="D3153" t="s">
        <v>27</v>
      </c>
      <c r="E3153" t="s">
        <v>32</v>
      </c>
      <c r="F3153" s="4">
        <v>2.2000000000000002</v>
      </c>
      <c r="G3153" s="5">
        <v>39</v>
      </c>
      <c r="H3153" t="s">
        <v>33</v>
      </c>
      <c r="I3153" t="s">
        <v>18</v>
      </c>
      <c r="J3153" s="6">
        <v>17.989999999999998</v>
      </c>
      <c r="K3153">
        <v>1</v>
      </c>
      <c r="L3153" t="s">
        <v>37</v>
      </c>
      <c r="M3153" s="5">
        <v>2</v>
      </c>
      <c r="N3153" s="4">
        <v>0.06</v>
      </c>
      <c r="O3153" t="s">
        <v>47</v>
      </c>
    </row>
    <row r="3154" spans="1:15" x14ac:dyDescent="0.3">
      <c r="A3154" t="s">
        <v>3304</v>
      </c>
      <c r="B3154" s="5">
        <v>52</v>
      </c>
      <c r="C3154" s="5" t="str" cm="1">
        <f t="array" ref="C3154">_xlfn.IFS(worksheet[[#This Row],[age]]&lt;25,"1. Young Adulthood (18-24)",worksheet[[#This Row],[age]]&lt; 35,"2. Early Adulthood (25-34)",worksheet[[#This Row],[age]]&lt; 45,"3. Mid Adulthood (35-44)",worksheet[[#This Row],[age]]&lt; 55,"4. Mature Adulthood (45-54)",TRUE,"5. Late Adulthood/Senior (55+)")</f>
        <v>4. Mature Adulthood (45-54)</v>
      </c>
      <c r="D3154" t="s">
        <v>15</v>
      </c>
      <c r="E3154" t="s">
        <v>16</v>
      </c>
      <c r="F3154" s="4">
        <v>5.56</v>
      </c>
      <c r="G3154" s="5">
        <v>48</v>
      </c>
      <c r="H3154" t="s">
        <v>17</v>
      </c>
      <c r="I3154" t="s">
        <v>55</v>
      </c>
      <c r="J3154" s="6">
        <v>8.99</v>
      </c>
      <c r="K3154">
        <v>1</v>
      </c>
      <c r="L3154" t="s">
        <v>43</v>
      </c>
      <c r="M3154" s="5">
        <v>1</v>
      </c>
      <c r="N3154" s="4">
        <v>0.11</v>
      </c>
      <c r="O3154" t="s">
        <v>39</v>
      </c>
    </row>
    <row r="3155" spans="1:15" x14ac:dyDescent="0.3">
      <c r="A3155" s="1" t="s">
        <v>3309</v>
      </c>
      <c r="B3155" s="5">
        <v>54</v>
      </c>
      <c r="C3155" s="5" t="str" cm="1">
        <f t="array" ref="C3155">_xlfn.IFS(worksheet[[#This Row],[age]]&lt;25,"1. Young Adulthood (18-24)",worksheet[[#This Row],[age]]&lt; 35,"2. Early Adulthood (25-34)",worksheet[[#This Row],[age]]&lt; 45,"3. Mid Adulthood (35-44)",worksheet[[#This Row],[age]]&lt; 55,"4. Mature Adulthood (45-54)",TRUE,"5. Late Adulthood/Senior (55+)")</f>
        <v>4. Mature Adulthood (45-54)</v>
      </c>
      <c r="D3155" t="s">
        <v>41</v>
      </c>
      <c r="E3155" t="s">
        <v>16</v>
      </c>
      <c r="F3155" s="4">
        <v>20</v>
      </c>
      <c r="G3155" s="5">
        <v>45</v>
      </c>
      <c r="H3155" t="s">
        <v>23</v>
      </c>
      <c r="I3155" t="s">
        <v>55</v>
      </c>
      <c r="J3155" s="6">
        <v>8.99</v>
      </c>
      <c r="K3155">
        <v>1</v>
      </c>
      <c r="L3155" t="s">
        <v>61</v>
      </c>
      <c r="M3155" s="5">
        <v>2</v>
      </c>
      <c r="N3155" s="4">
        <v>0.43</v>
      </c>
      <c r="O3155" t="s">
        <v>39</v>
      </c>
    </row>
    <row r="3156" spans="1:15" x14ac:dyDescent="0.3">
      <c r="A3156" t="s">
        <v>3331</v>
      </c>
      <c r="B3156" s="5">
        <v>47</v>
      </c>
      <c r="C3156" s="5" t="str" cm="1">
        <f t="array" ref="C3156">_xlfn.IFS(worksheet[[#This Row],[age]]&lt;25,"1. Young Adulthood (18-24)",worksheet[[#This Row],[age]]&lt; 35,"2. Early Adulthood (25-34)",worksheet[[#This Row],[age]]&lt; 45,"3. Mid Adulthood (35-44)",worksheet[[#This Row],[age]]&lt; 55,"4. Mature Adulthood (45-54)",TRUE,"5. Late Adulthood/Senior (55+)")</f>
        <v>4. Mature Adulthood (45-54)</v>
      </c>
      <c r="D3156" t="s">
        <v>15</v>
      </c>
      <c r="E3156" t="s">
        <v>22</v>
      </c>
      <c r="F3156" s="4">
        <v>19.899999999999999</v>
      </c>
      <c r="G3156" s="5">
        <v>31</v>
      </c>
      <c r="H3156" t="s">
        <v>49</v>
      </c>
      <c r="I3156" t="s">
        <v>57</v>
      </c>
      <c r="J3156" s="6">
        <v>13.99</v>
      </c>
      <c r="K3156">
        <v>0</v>
      </c>
      <c r="L3156" t="s">
        <v>43</v>
      </c>
      <c r="M3156" s="5">
        <v>2</v>
      </c>
      <c r="N3156" s="4">
        <v>0.62</v>
      </c>
      <c r="O3156" t="s">
        <v>39</v>
      </c>
    </row>
    <row r="3157" spans="1:15" x14ac:dyDescent="0.3">
      <c r="A3157" t="s">
        <v>3334</v>
      </c>
      <c r="B3157" s="5">
        <v>49</v>
      </c>
      <c r="C3157" s="5" t="str" cm="1">
        <f t="array" ref="C3157">_xlfn.IFS(worksheet[[#This Row],[age]]&lt;25,"1. Young Adulthood (18-24)",worksheet[[#This Row],[age]]&lt; 35,"2. Early Adulthood (25-34)",worksheet[[#This Row],[age]]&lt; 45,"3. Mid Adulthood (35-44)",worksheet[[#This Row],[age]]&lt; 55,"4. Mature Adulthood (45-54)",TRUE,"5. Late Adulthood/Senior (55+)")</f>
        <v>4. Mature Adulthood (45-54)</v>
      </c>
      <c r="D3157" t="s">
        <v>41</v>
      </c>
      <c r="E3157" t="s">
        <v>22</v>
      </c>
      <c r="F3157" s="4">
        <v>15.37</v>
      </c>
      <c r="G3157" s="5">
        <v>34</v>
      </c>
      <c r="H3157" t="s">
        <v>23</v>
      </c>
      <c r="I3157" t="s">
        <v>46</v>
      </c>
      <c r="J3157" s="6">
        <v>13.99</v>
      </c>
      <c r="K3157">
        <v>0</v>
      </c>
      <c r="L3157" t="s">
        <v>43</v>
      </c>
      <c r="M3157" s="5">
        <v>5</v>
      </c>
      <c r="N3157" s="4">
        <v>0.44</v>
      </c>
      <c r="O3157" t="s">
        <v>20</v>
      </c>
    </row>
    <row r="3158" spans="1:15" x14ac:dyDescent="0.3">
      <c r="A3158" t="s">
        <v>3338</v>
      </c>
      <c r="B3158" s="5">
        <v>49</v>
      </c>
      <c r="C3158" s="5" t="str" cm="1">
        <f t="array" ref="C3158">_xlfn.IFS(worksheet[[#This Row],[age]]&lt;25,"1. Young Adulthood (18-24)",worksheet[[#This Row],[age]]&lt; 35,"2. Early Adulthood (25-34)",worksheet[[#This Row],[age]]&lt; 45,"3. Mid Adulthood (35-44)",worksheet[[#This Row],[age]]&lt; 55,"4. Mature Adulthood (45-54)",TRUE,"5. Late Adulthood/Senior (55+)")</f>
        <v>4. Mature Adulthood (45-54)</v>
      </c>
      <c r="D3158" t="s">
        <v>27</v>
      </c>
      <c r="E3158" t="s">
        <v>22</v>
      </c>
      <c r="F3158" s="4">
        <v>30.07</v>
      </c>
      <c r="G3158" s="5">
        <v>34</v>
      </c>
      <c r="H3158" t="s">
        <v>28</v>
      </c>
      <c r="I3158" t="s">
        <v>18</v>
      </c>
      <c r="J3158" s="6">
        <v>13.99</v>
      </c>
      <c r="K3158">
        <v>0</v>
      </c>
      <c r="L3158" t="s">
        <v>37</v>
      </c>
      <c r="M3158" s="5">
        <v>4</v>
      </c>
      <c r="N3158" s="4">
        <v>0.86</v>
      </c>
      <c r="O3158" t="s">
        <v>25</v>
      </c>
    </row>
    <row r="3159" spans="1:15" x14ac:dyDescent="0.3">
      <c r="A3159" t="s">
        <v>3343</v>
      </c>
      <c r="B3159" s="5">
        <v>53</v>
      </c>
      <c r="C3159" s="5" t="str" cm="1">
        <f t="array" ref="C3159">_xlfn.IFS(worksheet[[#This Row],[age]]&lt;25,"1. Young Adulthood (18-24)",worksheet[[#This Row],[age]]&lt; 35,"2. Early Adulthood (25-34)",worksheet[[#This Row],[age]]&lt; 45,"3. Mid Adulthood (35-44)",worksheet[[#This Row],[age]]&lt; 55,"4. Mature Adulthood (45-54)",TRUE,"5. Late Adulthood/Senior (55+)")</f>
        <v>4. Mature Adulthood (45-54)</v>
      </c>
      <c r="D3159" t="s">
        <v>15</v>
      </c>
      <c r="E3159" t="s">
        <v>22</v>
      </c>
      <c r="F3159" s="4">
        <v>1.55</v>
      </c>
      <c r="G3159" s="5">
        <v>30</v>
      </c>
      <c r="H3159" t="s">
        <v>28</v>
      </c>
      <c r="I3159" t="s">
        <v>46</v>
      </c>
      <c r="J3159" s="6">
        <v>13.99</v>
      </c>
      <c r="K3159">
        <v>1</v>
      </c>
      <c r="L3159" t="s">
        <v>61</v>
      </c>
      <c r="M3159" s="5">
        <v>3</v>
      </c>
      <c r="N3159" s="4">
        <v>0.05</v>
      </c>
      <c r="O3159" t="s">
        <v>52</v>
      </c>
    </row>
    <row r="3160" spans="1:15" x14ac:dyDescent="0.3">
      <c r="A3160" t="s">
        <v>3349</v>
      </c>
      <c r="B3160" s="5">
        <v>50</v>
      </c>
      <c r="C3160" s="5" t="str" cm="1">
        <f t="array" ref="C3160">_xlfn.IFS(worksheet[[#This Row],[age]]&lt;25,"1. Young Adulthood (18-24)",worksheet[[#This Row],[age]]&lt; 35,"2. Early Adulthood (25-34)",worksheet[[#This Row],[age]]&lt; 45,"3. Mid Adulthood (35-44)",worksheet[[#This Row],[age]]&lt; 55,"4. Mature Adulthood (45-54)",TRUE,"5. Late Adulthood/Senior (55+)")</f>
        <v>4. Mature Adulthood (45-54)</v>
      </c>
      <c r="D3160" t="s">
        <v>27</v>
      </c>
      <c r="E3160" t="s">
        <v>22</v>
      </c>
      <c r="F3160" s="4">
        <v>23.31</v>
      </c>
      <c r="G3160" s="5">
        <v>5</v>
      </c>
      <c r="H3160" t="s">
        <v>49</v>
      </c>
      <c r="I3160" t="s">
        <v>57</v>
      </c>
      <c r="J3160" s="6">
        <v>13.99</v>
      </c>
      <c r="K3160">
        <v>0</v>
      </c>
      <c r="L3160" t="s">
        <v>61</v>
      </c>
      <c r="M3160" s="5">
        <v>1</v>
      </c>
      <c r="N3160" s="4">
        <v>3.88</v>
      </c>
      <c r="O3160" t="s">
        <v>20</v>
      </c>
    </row>
    <row r="3161" spans="1:15" x14ac:dyDescent="0.3">
      <c r="A3161" t="s">
        <v>3351</v>
      </c>
      <c r="B3161" s="5">
        <v>46</v>
      </c>
      <c r="C3161" s="5" t="str" cm="1">
        <f t="array" ref="C3161">_xlfn.IFS(worksheet[[#This Row],[age]]&lt;25,"1. Young Adulthood (18-24)",worksheet[[#This Row],[age]]&lt; 35,"2. Early Adulthood (25-34)",worksheet[[#This Row],[age]]&lt; 45,"3. Mid Adulthood (35-44)",worksheet[[#This Row],[age]]&lt; 55,"4. Mature Adulthood (45-54)",TRUE,"5. Late Adulthood/Senior (55+)")</f>
        <v>4. Mature Adulthood (45-54)</v>
      </c>
      <c r="D3161" t="s">
        <v>41</v>
      </c>
      <c r="E3161" t="s">
        <v>22</v>
      </c>
      <c r="F3161" s="4">
        <v>18.14</v>
      </c>
      <c r="G3161" s="5">
        <v>45</v>
      </c>
      <c r="H3161" t="s">
        <v>23</v>
      </c>
      <c r="I3161" t="s">
        <v>55</v>
      </c>
      <c r="J3161" s="6">
        <v>13.99</v>
      </c>
      <c r="K3161">
        <v>1</v>
      </c>
      <c r="L3161" t="s">
        <v>61</v>
      </c>
      <c r="M3161" s="5">
        <v>2</v>
      </c>
      <c r="N3161" s="4">
        <v>0.39</v>
      </c>
      <c r="O3161" t="s">
        <v>25</v>
      </c>
    </row>
    <row r="3162" spans="1:15" x14ac:dyDescent="0.3">
      <c r="A3162" t="s">
        <v>3356</v>
      </c>
      <c r="B3162" s="5">
        <v>51</v>
      </c>
      <c r="C3162" s="5" t="str" cm="1">
        <f t="array" ref="C3162">_xlfn.IFS(worksheet[[#This Row],[age]]&lt;25,"1. Young Adulthood (18-24)",worksheet[[#This Row],[age]]&lt; 35,"2. Early Adulthood (25-34)",worksheet[[#This Row],[age]]&lt; 45,"3. Mid Adulthood (35-44)",worksheet[[#This Row],[age]]&lt; 55,"4. Mature Adulthood (45-54)",TRUE,"5. Late Adulthood/Senior (55+)")</f>
        <v>4. Mature Adulthood (45-54)</v>
      </c>
      <c r="D3162" t="s">
        <v>27</v>
      </c>
      <c r="E3162" t="s">
        <v>32</v>
      </c>
      <c r="F3162" s="4">
        <v>3.89</v>
      </c>
      <c r="G3162" s="5">
        <v>1</v>
      </c>
      <c r="H3162" t="s">
        <v>23</v>
      </c>
      <c r="I3162" t="s">
        <v>57</v>
      </c>
      <c r="J3162" s="6">
        <v>17.989999999999998</v>
      </c>
      <c r="K3162">
        <v>0</v>
      </c>
      <c r="L3162" t="s">
        <v>61</v>
      </c>
      <c r="M3162" s="5">
        <v>2</v>
      </c>
      <c r="N3162" s="4">
        <v>1.95</v>
      </c>
      <c r="O3162" t="s">
        <v>30</v>
      </c>
    </row>
    <row r="3163" spans="1:15" x14ac:dyDescent="0.3">
      <c r="A3163" t="s">
        <v>3376</v>
      </c>
      <c r="B3163" s="5">
        <v>47</v>
      </c>
      <c r="C3163" s="5" t="str" cm="1">
        <f t="array" ref="C3163">_xlfn.IFS(worksheet[[#This Row],[age]]&lt;25,"1. Young Adulthood (18-24)",worksheet[[#This Row],[age]]&lt; 35,"2. Early Adulthood (25-34)",worksheet[[#This Row],[age]]&lt; 45,"3. Mid Adulthood (35-44)",worksheet[[#This Row],[age]]&lt; 55,"4. Mature Adulthood (45-54)",TRUE,"5. Late Adulthood/Senior (55+)")</f>
        <v>4. Mature Adulthood (45-54)</v>
      </c>
      <c r="D3163" t="s">
        <v>15</v>
      </c>
      <c r="E3163" t="s">
        <v>16</v>
      </c>
      <c r="F3163" s="4">
        <v>13.22</v>
      </c>
      <c r="G3163" s="5">
        <v>8</v>
      </c>
      <c r="H3163" t="s">
        <v>70</v>
      </c>
      <c r="I3163" t="s">
        <v>24</v>
      </c>
      <c r="J3163" s="6">
        <v>8.99</v>
      </c>
      <c r="K3163">
        <v>0</v>
      </c>
      <c r="L3163" t="s">
        <v>29</v>
      </c>
      <c r="M3163" s="5">
        <v>4</v>
      </c>
      <c r="N3163" s="4">
        <v>1.47</v>
      </c>
      <c r="O3163" t="s">
        <v>20</v>
      </c>
    </row>
    <row r="3164" spans="1:15" x14ac:dyDescent="0.3">
      <c r="A3164" t="s">
        <v>3378</v>
      </c>
      <c r="B3164" s="5">
        <v>52</v>
      </c>
      <c r="C3164" s="5" t="str" cm="1">
        <f t="array" ref="C3164">_xlfn.IFS(worksheet[[#This Row],[age]]&lt;25,"1. Young Adulthood (18-24)",worksheet[[#This Row],[age]]&lt; 35,"2. Early Adulthood (25-34)",worksheet[[#This Row],[age]]&lt; 45,"3. Mid Adulthood (35-44)",worksheet[[#This Row],[age]]&lt; 55,"4. Mature Adulthood (45-54)",TRUE,"5. Late Adulthood/Senior (55+)")</f>
        <v>4. Mature Adulthood (45-54)</v>
      </c>
      <c r="D3164" t="s">
        <v>27</v>
      </c>
      <c r="E3164" t="s">
        <v>22</v>
      </c>
      <c r="F3164" s="4">
        <v>8.4499999999999993</v>
      </c>
      <c r="G3164" s="5">
        <v>28</v>
      </c>
      <c r="H3164" t="s">
        <v>70</v>
      </c>
      <c r="I3164" t="s">
        <v>46</v>
      </c>
      <c r="J3164" s="6">
        <v>13.99</v>
      </c>
      <c r="K3164">
        <v>0</v>
      </c>
      <c r="L3164" t="s">
        <v>19</v>
      </c>
      <c r="M3164" s="5">
        <v>2</v>
      </c>
      <c r="N3164" s="4">
        <v>0.28999999999999998</v>
      </c>
      <c r="O3164" t="s">
        <v>20</v>
      </c>
    </row>
    <row r="3165" spans="1:15" x14ac:dyDescent="0.3">
      <c r="A3165" t="s">
        <v>3381</v>
      </c>
      <c r="B3165" s="5">
        <v>46</v>
      </c>
      <c r="C3165" s="5" t="str" cm="1">
        <f t="array" ref="C3165">_xlfn.IFS(worksheet[[#This Row],[age]]&lt;25,"1. Young Adulthood (18-24)",worksheet[[#This Row],[age]]&lt; 35,"2. Early Adulthood (25-34)",worksheet[[#This Row],[age]]&lt; 45,"3. Mid Adulthood (35-44)",worksheet[[#This Row],[age]]&lt; 55,"4. Mature Adulthood (45-54)",TRUE,"5. Late Adulthood/Senior (55+)")</f>
        <v>4. Mature Adulthood (45-54)</v>
      </c>
      <c r="D3165" t="s">
        <v>15</v>
      </c>
      <c r="E3165" t="s">
        <v>22</v>
      </c>
      <c r="F3165" s="4">
        <v>40.93</v>
      </c>
      <c r="G3165" s="5">
        <v>39</v>
      </c>
      <c r="H3165" t="s">
        <v>70</v>
      </c>
      <c r="I3165" t="s">
        <v>57</v>
      </c>
      <c r="J3165" s="6">
        <v>13.99</v>
      </c>
      <c r="K3165">
        <v>0</v>
      </c>
      <c r="L3165" t="s">
        <v>29</v>
      </c>
      <c r="M3165" s="5">
        <v>4</v>
      </c>
      <c r="N3165" s="4">
        <v>1.02</v>
      </c>
      <c r="O3165" t="s">
        <v>34</v>
      </c>
    </row>
    <row r="3166" spans="1:15" x14ac:dyDescent="0.3">
      <c r="A3166" t="s">
        <v>3386</v>
      </c>
      <c r="B3166" s="5">
        <v>53</v>
      </c>
      <c r="C3166" s="5" t="str" cm="1">
        <f t="array" ref="C3166">_xlfn.IFS(worksheet[[#This Row],[age]]&lt;25,"1. Young Adulthood (18-24)",worksheet[[#This Row],[age]]&lt; 35,"2. Early Adulthood (25-34)",worksheet[[#This Row],[age]]&lt; 45,"3. Mid Adulthood (35-44)",worksheet[[#This Row],[age]]&lt; 55,"4. Mature Adulthood (45-54)",TRUE,"5. Late Adulthood/Senior (55+)")</f>
        <v>4. Mature Adulthood (45-54)</v>
      </c>
      <c r="D3166" t="s">
        <v>27</v>
      </c>
      <c r="E3166" t="s">
        <v>22</v>
      </c>
      <c r="F3166" s="4">
        <v>6.2</v>
      </c>
      <c r="G3166" s="5">
        <v>5</v>
      </c>
      <c r="H3166" t="s">
        <v>33</v>
      </c>
      <c r="I3166" t="s">
        <v>55</v>
      </c>
      <c r="J3166" s="6">
        <v>13.99</v>
      </c>
      <c r="K3166">
        <v>0</v>
      </c>
      <c r="L3166" t="s">
        <v>19</v>
      </c>
      <c r="M3166" s="5">
        <v>4</v>
      </c>
      <c r="N3166" s="4">
        <v>1.03</v>
      </c>
      <c r="O3166" t="s">
        <v>52</v>
      </c>
    </row>
    <row r="3167" spans="1:15" x14ac:dyDescent="0.3">
      <c r="A3167" t="s">
        <v>3394</v>
      </c>
      <c r="B3167" s="5">
        <v>51</v>
      </c>
      <c r="C3167" s="5" t="str" cm="1">
        <f t="array" ref="C3167">_xlfn.IFS(worksheet[[#This Row],[age]]&lt;25,"1. Young Adulthood (18-24)",worksheet[[#This Row],[age]]&lt; 35,"2. Early Adulthood (25-34)",worksheet[[#This Row],[age]]&lt; 45,"3. Mid Adulthood (35-44)",worksheet[[#This Row],[age]]&lt; 55,"4. Mature Adulthood (45-54)",TRUE,"5. Late Adulthood/Senior (55+)")</f>
        <v>4. Mature Adulthood (45-54)</v>
      </c>
      <c r="D3167" t="s">
        <v>15</v>
      </c>
      <c r="E3167" t="s">
        <v>22</v>
      </c>
      <c r="F3167" s="4">
        <v>10.19</v>
      </c>
      <c r="G3167" s="5">
        <v>22</v>
      </c>
      <c r="H3167" t="s">
        <v>23</v>
      </c>
      <c r="I3167" t="s">
        <v>18</v>
      </c>
      <c r="J3167" s="6">
        <v>13.99</v>
      </c>
      <c r="K3167">
        <v>0</v>
      </c>
      <c r="L3167" t="s">
        <v>43</v>
      </c>
      <c r="M3167" s="5">
        <v>3</v>
      </c>
      <c r="N3167" s="4">
        <v>0.44</v>
      </c>
      <c r="O3167" t="s">
        <v>34</v>
      </c>
    </row>
    <row r="3168" spans="1:15" x14ac:dyDescent="0.3">
      <c r="A3168" t="s">
        <v>3397</v>
      </c>
      <c r="B3168" s="5">
        <v>52</v>
      </c>
      <c r="C3168" s="5" t="str" cm="1">
        <f t="array" ref="C3168">_xlfn.IFS(worksheet[[#This Row],[age]]&lt;25,"1. Young Adulthood (18-24)",worksheet[[#This Row],[age]]&lt; 35,"2. Early Adulthood (25-34)",worksheet[[#This Row],[age]]&lt; 45,"3. Mid Adulthood (35-44)",worksheet[[#This Row],[age]]&lt; 55,"4. Mature Adulthood (45-54)",TRUE,"5. Late Adulthood/Senior (55+)")</f>
        <v>4. Mature Adulthood (45-54)</v>
      </c>
      <c r="D3168" t="s">
        <v>41</v>
      </c>
      <c r="E3168" t="s">
        <v>32</v>
      </c>
      <c r="F3168" s="4">
        <v>33.130000000000003</v>
      </c>
      <c r="G3168" s="5">
        <v>27</v>
      </c>
      <c r="H3168" t="s">
        <v>70</v>
      </c>
      <c r="I3168" t="s">
        <v>18</v>
      </c>
      <c r="J3168" s="6">
        <v>17.989999999999998</v>
      </c>
      <c r="K3168">
        <v>0</v>
      </c>
      <c r="L3168" t="s">
        <v>29</v>
      </c>
      <c r="M3168" s="5">
        <v>4</v>
      </c>
      <c r="N3168" s="4">
        <v>1.18</v>
      </c>
      <c r="O3168" t="s">
        <v>25</v>
      </c>
    </row>
    <row r="3169" spans="1:15" x14ac:dyDescent="0.3">
      <c r="A3169" t="s">
        <v>3401</v>
      </c>
      <c r="B3169" s="5">
        <v>48</v>
      </c>
      <c r="C3169" s="5" t="str" cm="1">
        <f t="array" ref="C3169">_xlfn.IFS(worksheet[[#This Row],[age]]&lt;25,"1. Young Adulthood (18-24)",worksheet[[#This Row],[age]]&lt; 35,"2. Early Adulthood (25-34)",worksheet[[#This Row],[age]]&lt; 45,"3. Mid Adulthood (35-44)",worksheet[[#This Row],[age]]&lt; 55,"4. Mature Adulthood (45-54)",TRUE,"5. Late Adulthood/Senior (55+)")</f>
        <v>4. Mature Adulthood (45-54)</v>
      </c>
      <c r="D3169" t="s">
        <v>15</v>
      </c>
      <c r="E3169" t="s">
        <v>16</v>
      </c>
      <c r="F3169" s="4">
        <v>21.91</v>
      </c>
      <c r="G3169" s="5">
        <v>52</v>
      </c>
      <c r="H3169" t="s">
        <v>70</v>
      </c>
      <c r="I3169" t="s">
        <v>55</v>
      </c>
      <c r="J3169" s="6">
        <v>8.99</v>
      </c>
      <c r="K3169">
        <v>1</v>
      </c>
      <c r="L3169" t="s">
        <v>19</v>
      </c>
      <c r="M3169" s="5">
        <v>5</v>
      </c>
      <c r="N3169" s="4">
        <v>0.41</v>
      </c>
      <c r="O3169" t="s">
        <v>47</v>
      </c>
    </row>
    <row r="3170" spans="1:15" x14ac:dyDescent="0.3">
      <c r="A3170" t="s">
        <v>3403</v>
      </c>
      <c r="B3170" s="5">
        <v>52</v>
      </c>
      <c r="C3170" s="5" t="str" cm="1">
        <f t="array" ref="C3170">_xlfn.IFS(worksheet[[#This Row],[age]]&lt;25,"1. Young Adulthood (18-24)",worksheet[[#This Row],[age]]&lt; 35,"2. Early Adulthood (25-34)",worksheet[[#This Row],[age]]&lt; 45,"3. Mid Adulthood (35-44)",worksheet[[#This Row],[age]]&lt; 55,"4. Mature Adulthood (45-54)",TRUE,"5. Late Adulthood/Senior (55+)")</f>
        <v>4. Mature Adulthood (45-54)</v>
      </c>
      <c r="D3170" t="s">
        <v>41</v>
      </c>
      <c r="E3170" t="s">
        <v>22</v>
      </c>
      <c r="F3170" s="4">
        <v>0.33</v>
      </c>
      <c r="G3170" s="5">
        <v>14</v>
      </c>
      <c r="H3170" t="s">
        <v>33</v>
      </c>
      <c r="I3170" t="s">
        <v>55</v>
      </c>
      <c r="J3170" s="6">
        <v>13.99</v>
      </c>
      <c r="K3170">
        <v>1</v>
      </c>
      <c r="L3170" t="s">
        <v>19</v>
      </c>
      <c r="M3170" s="5">
        <v>2</v>
      </c>
      <c r="N3170" s="4">
        <v>0.02</v>
      </c>
      <c r="O3170" t="s">
        <v>47</v>
      </c>
    </row>
    <row r="3171" spans="1:15" x14ac:dyDescent="0.3">
      <c r="A3171" t="s">
        <v>3406</v>
      </c>
      <c r="B3171" s="5">
        <v>50</v>
      </c>
      <c r="C3171" s="5" t="str" cm="1">
        <f t="array" ref="C3171">_xlfn.IFS(worksheet[[#This Row],[age]]&lt;25,"1. Young Adulthood (18-24)",worksheet[[#This Row],[age]]&lt; 35,"2. Early Adulthood (25-34)",worksheet[[#This Row],[age]]&lt; 45,"3. Mid Adulthood (35-44)",worksheet[[#This Row],[age]]&lt; 55,"4. Mature Adulthood (45-54)",TRUE,"5. Late Adulthood/Senior (55+)")</f>
        <v>4. Mature Adulthood (45-54)</v>
      </c>
      <c r="D3171" t="s">
        <v>41</v>
      </c>
      <c r="E3171" t="s">
        <v>22</v>
      </c>
      <c r="F3171" s="4">
        <v>15.65</v>
      </c>
      <c r="G3171" s="5">
        <v>27</v>
      </c>
      <c r="H3171" t="s">
        <v>70</v>
      </c>
      <c r="I3171" t="s">
        <v>18</v>
      </c>
      <c r="J3171" s="6">
        <v>13.99</v>
      </c>
      <c r="K3171">
        <v>0</v>
      </c>
      <c r="L3171" t="s">
        <v>19</v>
      </c>
      <c r="M3171" s="5">
        <v>2</v>
      </c>
      <c r="N3171" s="4">
        <v>0.56000000000000005</v>
      </c>
      <c r="O3171" t="s">
        <v>30</v>
      </c>
    </row>
    <row r="3172" spans="1:15" x14ac:dyDescent="0.3">
      <c r="A3172" t="s">
        <v>3407</v>
      </c>
      <c r="B3172" s="5">
        <v>49</v>
      </c>
      <c r="C3172" s="5" t="str" cm="1">
        <f t="array" ref="C3172">_xlfn.IFS(worksheet[[#This Row],[age]]&lt;25,"1. Young Adulthood (18-24)",worksheet[[#This Row],[age]]&lt; 35,"2. Early Adulthood (25-34)",worksheet[[#This Row],[age]]&lt; 45,"3. Mid Adulthood (35-44)",worksheet[[#This Row],[age]]&lt; 55,"4. Mature Adulthood (45-54)",TRUE,"5. Late Adulthood/Senior (55+)")</f>
        <v>4. Mature Adulthood (45-54)</v>
      </c>
      <c r="D3172" t="s">
        <v>27</v>
      </c>
      <c r="E3172" t="s">
        <v>22</v>
      </c>
      <c r="F3172" s="4">
        <v>5.21</v>
      </c>
      <c r="G3172" s="5">
        <v>33</v>
      </c>
      <c r="H3172" t="s">
        <v>28</v>
      </c>
      <c r="I3172" t="s">
        <v>55</v>
      </c>
      <c r="J3172" s="6">
        <v>13.99</v>
      </c>
      <c r="K3172">
        <v>1</v>
      </c>
      <c r="L3172" t="s">
        <v>29</v>
      </c>
      <c r="M3172" s="5">
        <v>4</v>
      </c>
      <c r="N3172" s="4">
        <v>0.15</v>
      </c>
      <c r="O3172" t="s">
        <v>52</v>
      </c>
    </row>
    <row r="3173" spans="1:15" x14ac:dyDescent="0.3">
      <c r="A3173" t="s">
        <v>3417</v>
      </c>
      <c r="B3173" s="5">
        <v>47</v>
      </c>
      <c r="C3173" s="5" t="str" cm="1">
        <f t="array" ref="C3173">_xlfn.IFS(worksheet[[#This Row],[age]]&lt;25,"1. Young Adulthood (18-24)",worksheet[[#This Row],[age]]&lt; 35,"2. Early Adulthood (25-34)",worksheet[[#This Row],[age]]&lt; 45,"3. Mid Adulthood (35-44)",worksheet[[#This Row],[age]]&lt; 55,"4. Mature Adulthood (45-54)",TRUE,"5. Late Adulthood/Senior (55+)")</f>
        <v>4. Mature Adulthood (45-54)</v>
      </c>
      <c r="D3173" t="s">
        <v>41</v>
      </c>
      <c r="E3173" t="s">
        <v>16</v>
      </c>
      <c r="F3173" s="4">
        <v>1.25</v>
      </c>
      <c r="G3173" s="5">
        <v>44</v>
      </c>
      <c r="H3173" t="s">
        <v>49</v>
      </c>
      <c r="I3173" t="s">
        <v>24</v>
      </c>
      <c r="J3173" s="6">
        <v>8.99</v>
      </c>
      <c r="K3173">
        <v>1</v>
      </c>
      <c r="L3173" t="s">
        <v>61</v>
      </c>
      <c r="M3173" s="5">
        <v>1</v>
      </c>
      <c r="N3173" s="4">
        <v>0.03</v>
      </c>
      <c r="O3173" t="s">
        <v>25</v>
      </c>
    </row>
    <row r="3174" spans="1:15" x14ac:dyDescent="0.3">
      <c r="A3174" s="1" t="s">
        <v>3426</v>
      </c>
      <c r="B3174" s="5">
        <v>51</v>
      </c>
      <c r="C3174" s="5" t="str" cm="1">
        <f t="array" ref="C3174">_xlfn.IFS(worksheet[[#This Row],[age]]&lt;25,"1. Young Adulthood (18-24)",worksheet[[#This Row],[age]]&lt; 35,"2. Early Adulthood (25-34)",worksheet[[#This Row],[age]]&lt; 45,"3. Mid Adulthood (35-44)",worksheet[[#This Row],[age]]&lt; 55,"4. Mature Adulthood (45-54)",TRUE,"5. Late Adulthood/Senior (55+)")</f>
        <v>4. Mature Adulthood (45-54)</v>
      </c>
      <c r="D3174" t="s">
        <v>27</v>
      </c>
      <c r="E3174" t="s">
        <v>32</v>
      </c>
      <c r="F3174" s="4">
        <v>3.82</v>
      </c>
      <c r="G3174" s="5">
        <v>34</v>
      </c>
      <c r="H3174" t="s">
        <v>28</v>
      </c>
      <c r="I3174" t="s">
        <v>18</v>
      </c>
      <c r="J3174" s="6">
        <v>17.989999999999998</v>
      </c>
      <c r="K3174">
        <v>1</v>
      </c>
      <c r="L3174" t="s">
        <v>19</v>
      </c>
      <c r="M3174" s="5">
        <v>1</v>
      </c>
      <c r="N3174" s="4">
        <v>0.11</v>
      </c>
      <c r="O3174" t="s">
        <v>34</v>
      </c>
    </row>
    <row r="3175" spans="1:15" x14ac:dyDescent="0.3">
      <c r="A3175" t="s">
        <v>3430</v>
      </c>
      <c r="B3175" s="5">
        <v>51</v>
      </c>
      <c r="C3175" s="5" t="str" cm="1">
        <f t="array" ref="C3175">_xlfn.IFS(worksheet[[#This Row],[age]]&lt;25,"1. Young Adulthood (18-24)",worksheet[[#This Row],[age]]&lt; 35,"2. Early Adulthood (25-34)",worksheet[[#This Row],[age]]&lt; 45,"3. Mid Adulthood (35-44)",worksheet[[#This Row],[age]]&lt; 55,"4. Mature Adulthood (45-54)",TRUE,"5. Late Adulthood/Senior (55+)")</f>
        <v>4. Mature Adulthood (45-54)</v>
      </c>
      <c r="D3175" t="s">
        <v>15</v>
      </c>
      <c r="E3175" t="s">
        <v>22</v>
      </c>
      <c r="F3175" s="4">
        <v>1.23</v>
      </c>
      <c r="G3175" s="5">
        <v>4</v>
      </c>
      <c r="H3175" t="s">
        <v>49</v>
      </c>
      <c r="I3175" t="s">
        <v>46</v>
      </c>
      <c r="J3175" s="6">
        <v>13.99</v>
      </c>
      <c r="K3175">
        <v>0</v>
      </c>
      <c r="L3175" t="s">
        <v>61</v>
      </c>
      <c r="M3175" s="5">
        <v>5</v>
      </c>
      <c r="N3175" s="4">
        <v>0.25</v>
      </c>
      <c r="O3175" t="s">
        <v>39</v>
      </c>
    </row>
    <row r="3176" spans="1:15" x14ac:dyDescent="0.3">
      <c r="A3176" t="s">
        <v>3433</v>
      </c>
      <c r="B3176" s="5">
        <v>50</v>
      </c>
      <c r="C3176" s="5" t="str" cm="1">
        <f t="array" ref="C3176">_xlfn.IFS(worksheet[[#This Row],[age]]&lt;25,"1. Young Adulthood (18-24)",worksheet[[#This Row],[age]]&lt; 35,"2. Early Adulthood (25-34)",worksheet[[#This Row],[age]]&lt; 45,"3. Mid Adulthood (35-44)",worksheet[[#This Row],[age]]&lt; 55,"4. Mature Adulthood (45-54)",TRUE,"5. Late Adulthood/Senior (55+)")</f>
        <v>4. Mature Adulthood (45-54)</v>
      </c>
      <c r="D3176" t="s">
        <v>27</v>
      </c>
      <c r="E3176" t="s">
        <v>16</v>
      </c>
      <c r="F3176" s="4">
        <v>6.01</v>
      </c>
      <c r="G3176" s="5">
        <v>43</v>
      </c>
      <c r="H3176" t="s">
        <v>28</v>
      </c>
      <c r="I3176" t="s">
        <v>55</v>
      </c>
      <c r="J3176" s="6">
        <v>8.99</v>
      </c>
      <c r="K3176">
        <v>1</v>
      </c>
      <c r="L3176" t="s">
        <v>29</v>
      </c>
      <c r="M3176" s="5">
        <v>1</v>
      </c>
      <c r="N3176" s="4">
        <v>0.14000000000000001</v>
      </c>
      <c r="O3176" t="s">
        <v>25</v>
      </c>
    </row>
    <row r="3177" spans="1:15" x14ac:dyDescent="0.3">
      <c r="A3177" t="s">
        <v>3435</v>
      </c>
      <c r="B3177" s="5">
        <v>50</v>
      </c>
      <c r="C3177" s="5" t="str" cm="1">
        <f t="array" ref="C3177">_xlfn.IFS(worksheet[[#This Row],[age]]&lt;25,"1. Young Adulthood (18-24)",worksheet[[#This Row],[age]]&lt; 35,"2. Early Adulthood (25-34)",worksheet[[#This Row],[age]]&lt; 45,"3. Mid Adulthood (35-44)",worksheet[[#This Row],[age]]&lt; 55,"4. Mature Adulthood (45-54)",TRUE,"5. Late Adulthood/Senior (55+)")</f>
        <v>4. Mature Adulthood (45-54)</v>
      </c>
      <c r="D3177" t="s">
        <v>27</v>
      </c>
      <c r="E3177" t="s">
        <v>22</v>
      </c>
      <c r="F3177" s="4">
        <v>8.2100000000000009</v>
      </c>
      <c r="G3177" s="5">
        <v>22</v>
      </c>
      <c r="H3177" t="s">
        <v>33</v>
      </c>
      <c r="I3177" t="s">
        <v>24</v>
      </c>
      <c r="J3177" s="6">
        <v>13.99</v>
      </c>
      <c r="K3177">
        <v>0</v>
      </c>
      <c r="L3177" t="s">
        <v>43</v>
      </c>
      <c r="M3177" s="5">
        <v>5</v>
      </c>
      <c r="N3177" s="4">
        <v>0.36</v>
      </c>
      <c r="O3177" t="s">
        <v>20</v>
      </c>
    </row>
    <row r="3178" spans="1:15" x14ac:dyDescent="0.3">
      <c r="A3178" t="s">
        <v>3436</v>
      </c>
      <c r="B3178" s="5">
        <v>53</v>
      </c>
      <c r="C3178" s="5" t="str" cm="1">
        <f t="array" ref="C3178">_xlfn.IFS(worksheet[[#This Row],[age]]&lt;25,"1. Young Adulthood (18-24)",worksheet[[#This Row],[age]]&lt; 35,"2. Early Adulthood (25-34)",worksheet[[#This Row],[age]]&lt; 45,"3. Mid Adulthood (35-44)",worksheet[[#This Row],[age]]&lt; 55,"4. Mature Adulthood (45-54)",TRUE,"5. Late Adulthood/Senior (55+)")</f>
        <v>4. Mature Adulthood (45-54)</v>
      </c>
      <c r="D3178" t="s">
        <v>15</v>
      </c>
      <c r="E3178" t="s">
        <v>16</v>
      </c>
      <c r="F3178" s="4">
        <v>11.01</v>
      </c>
      <c r="G3178" s="5">
        <v>44</v>
      </c>
      <c r="H3178" t="s">
        <v>23</v>
      </c>
      <c r="I3178" t="s">
        <v>55</v>
      </c>
      <c r="J3178" s="6">
        <v>8.99</v>
      </c>
      <c r="K3178">
        <v>1</v>
      </c>
      <c r="L3178" t="s">
        <v>61</v>
      </c>
      <c r="M3178" s="5">
        <v>1</v>
      </c>
      <c r="N3178" s="4">
        <v>0.24</v>
      </c>
      <c r="O3178" t="s">
        <v>25</v>
      </c>
    </row>
    <row r="3179" spans="1:15" x14ac:dyDescent="0.3">
      <c r="A3179" t="s">
        <v>3439</v>
      </c>
      <c r="B3179" s="5">
        <v>49</v>
      </c>
      <c r="C3179" s="5" t="str" cm="1">
        <f t="array" ref="C3179">_xlfn.IFS(worksheet[[#This Row],[age]]&lt;25,"1. Young Adulthood (18-24)",worksheet[[#This Row],[age]]&lt; 35,"2. Early Adulthood (25-34)",worksheet[[#This Row],[age]]&lt; 45,"3. Mid Adulthood (35-44)",worksheet[[#This Row],[age]]&lt; 55,"4. Mature Adulthood (45-54)",TRUE,"5. Late Adulthood/Senior (55+)")</f>
        <v>4. Mature Adulthood (45-54)</v>
      </c>
      <c r="D3179" t="s">
        <v>27</v>
      </c>
      <c r="E3179" t="s">
        <v>16</v>
      </c>
      <c r="F3179" s="4">
        <v>9.81</v>
      </c>
      <c r="G3179" s="5">
        <v>39</v>
      </c>
      <c r="H3179" t="s">
        <v>33</v>
      </c>
      <c r="I3179" t="s">
        <v>18</v>
      </c>
      <c r="J3179" s="6">
        <v>8.99</v>
      </c>
      <c r="K3179">
        <v>1</v>
      </c>
      <c r="L3179" t="s">
        <v>43</v>
      </c>
      <c r="M3179" s="5">
        <v>5</v>
      </c>
      <c r="N3179" s="4">
        <v>0.25</v>
      </c>
      <c r="O3179" t="s">
        <v>25</v>
      </c>
    </row>
    <row r="3180" spans="1:15" x14ac:dyDescent="0.3">
      <c r="A3180" t="s">
        <v>3458</v>
      </c>
      <c r="B3180" s="5">
        <v>51</v>
      </c>
      <c r="C3180" s="5" t="str" cm="1">
        <f t="array" ref="C3180">_xlfn.IFS(worksheet[[#This Row],[age]]&lt;25,"1. Young Adulthood (18-24)",worksheet[[#This Row],[age]]&lt; 35,"2. Early Adulthood (25-34)",worksheet[[#This Row],[age]]&lt; 45,"3. Mid Adulthood (35-44)",worksheet[[#This Row],[age]]&lt; 55,"4. Mature Adulthood (45-54)",TRUE,"5. Late Adulthood/Senior (55+)")</f>
        <v>4. Mature Adulthood (45-54)</v>
      </c>
      <c r="D3180" t="s">
        <v>41</v>
      </c>
      <c r="E3180" t="s">
        <v>32</v>
      </c>
      <c r="F3180" s="4">
        <v>3.79</v>
      </c>
      <c r="G3180" s="5">
        <v>2</v>
      </c>
      <c r="H3180" t="s">
        <v>28</v>
      </c>
      <c r="I3180" t="s">
        <v>46</v>
      </c>
      <c r="J3180" s="6">
        <v>17.989999999999998</v>
      </c>
      <c r="K3180">
        <v>0</v>
      </c>
      <c r="L3180" t="s">
        <v>61</v>
      </c>
      <c r="M3180" s="5">
        <v>3</v>
      </c>
      <c r="N3180" s="4">
        <v>1.26</v>
      </c>
      <c r="O3180" t="s">
        <v>25</v>
      </c>
    </row>
    <row r="3181" spans="1:15" x14ac:dyDescent="0.3">
      <c r="A3181" t="s">
        <v>3461</v>
      </c>
      <c r="B3181" s="5">
        <v>45</v>
      </c>
      <c r="C3181" s="5" t="str" cm="1">
        <f t="array" ref="C3181">_xlfn.IFS(worksheet[[#This Row],[age]]&lt;25,"1. Young Adulthood (18-24)",worksheet[[#This Row],[age]]&lt; 35,"2. Early Adulthood (25-34)",worksheet[[#This Row],[age]]&lt; 45,"3. Mid Adulthood (35-44)",worksheet[[#This Row],[age]]&lt; 55,"4. Mature Adulthood (45-54)",TRUE,"5. Late Adulthood/Senior (55+)")</f>
        <v>4. Mature Adulthood (45-54)</v>
      </c>
      <c r="D3181" t="s">
        <v>27</v>
      </c>
      <c r="E3181" t="s">
        <v>32</v>
      </c>
      <c r="F3181" s="4">
        <v>3.45</v>
      </c>
      <c r="G3181" s="5">
        <v>3</v>
      </c>
      <c r="H3181" t="s">
        <v>17</v>
      </c>
      <c r="I3181" t="s">
        <v>55</v>
      </c>
      <c r="J3181" s="6">
        <v>17.989999999999998</v>
      </c>
      <c r="K3181">
        <v>0</v>
      </c>
      <c r="L3181" t="s">
        <v>29</v>
      </c>
      <c r="M3181" s="5">
        <v>3</v>
      </c>
      <c r="N3181" s="4">
        <v>0.86</v>
      </c>
      <c r="O3181" t="s">
        <v>34</v>
      </c>
    </row>
    <row r="3182" spans="1:15" x14ac:dyDescent="0.3">
      <c r="A3182" t="s">
        <v>3478</v>
      </c>
      <c r="B3182" s="5">
        <v>49</v>
      </c>
      <c r="C3182" s="5" t="str" cm="1">
        <f t="array" ref="C3182">_xlfn.IFS(worksheet[[#This Row],[age]]&lt;25,"1. Young Adulthood (18-24)",worksheet[[#This Row],[age]]&lt; 35,"2. Early Adulthood (25-34)",worksheet[[#This Row],[age]]&lt; 45,"3. Mid Adulthood (35-44)",worksheet[[#This Row],[age]]&lt; 55,"4. Mature Adulthood (45-54)",TRUE,"5. Late Adulthood/Senior (55+)")</f>
        <v>4. Mature Adulthood (45-54)</v>
      </c>
      <c r="D3182" t="s">
        <v>41</v>
      </c>
      <c r="E3182" t="s">
        <v>22</v>
      </c>
      <c r="F3182" s="4">
        <v>24.88</v>
      </c>
      <c r="G3182" s="5">
        <v>36</v>
      </c>
      <c r="H3182" t="s">
        <v>70</v>
      </c>
      <c r="I3182" t="s">
        <v>24</v>
      </c>
      <c r="J3182" s="6">
        <v>13.99</v>
      </c>
      <c r="K3182">
        <v>0</v>
      </c>
      <c r="L3182" t="s">
        <v>19</v>
      </c>
      <c r="M3182" s="5">
        <v>3</v>
      </c>
      <c r="N3182" s="4">
        <v>0.67</v>
      </c>
      <c r="O3182" t="s">
        <v>47</v>
      </c>
    </row>
    <row r="3183" spans="1:15" x14ac:dyDescent="0.3">
      <c r="A3183" t="s">
        <v>3480</v>
      </c>
      <c r="B3183" s="5">
        <v>46</v>
      </c>
      <c r="C3183" s="5" t="str" cm="1">
        <f t="array" ref="C3183">_xlfn.IFS(worksheet[[#This Row],[age]]&lt;25,"1. Young Adulthood (18-24)",worksheet[[#This Row],[age]]&lt; 35,"2. Early Adulthood (25-34)",worksheet[[#This Row],[age]]&lt; 45,"3. Mid Adulthood (35-44)",worksheet[[#This Row],[age]]&lt; 55,"4. Mature Adulthood (45-54)",TRUE,"5. Late Adulthood/Senior (55+)")</f>
        <v>4. Mature Adulthood (45-54)</v>
      </c>
      <c r="D3183" t="s">
        <v>15</v>
      </c>
      <c r="E3183" t="s">
        <v>32</v>
      </c>
      <c r="F3183" s="4">
        <v>2.98</v>
      </c>
      <c r="G3183" s="5">
        <v>12</v>
      </c>
      <c r="H3183" t="s">
        <v>23</v>
      </c>
      <c r="I3183" t="s">
        <v>46</v>
      </c>
      <c r="J3183" s="6">
        <v>17.989999999999998</v>
      </c>
      <c r="K3183">
        <v>1</v>
      </c>
      <c r="L3183" t="s">
        <v>37</v>
      </c>
      <c r="M3183" s="5">
        <v>2</v>
      </c>
      <c r="N3183" s="4">
        <v>0.23</v>
      </c>
      <c r="O3183" t="s">
        <v>20</v>
      </c>
    </row>
    <row r="3184" spans="1:15" x14ac:dyDescent="0.3">
      <c r="A3184" t="s">
        <v>3482</v>
      </c>
      <c r="B3184" s="5">
        <v>47</v>
      </c>
      <c r="C3184" s="5" t="str" cm="1">
        <f t="array" ref="C3184">_xlfn.IFS(worksheet[[#This Row],[age]]&lt;25,"1. Young Adulthood (18-24)",worksheet[[#This Row],[age]]&lt; 35,"2. Early Adulthood (25-34)",worksheet[[#This Row],[age]]&lt; 45,"3. Mid Adulthood (35-44)",worksheet[[#This Row],[age]]&lt; 55,"4. Mature Adulthood (45-54)",TRUE,"5. Late Adulthood/Senior (55+)")</f>
        <v>4. Mature Adulthood (45-54)</v>
      </c>
      <c r="D3184" t="s">
        <v>41</v>
      </c>
      <c r="E3184" t="s">
        <v>22</v>
      </c>
      <c r="F3184" s="4">
        <v>3.71</v>
      </c>
      <c r="G3184" s="5">
        <v>54</v>
      </c>
      <c r="H3184" t="s">
        <v>49</v>
      </c>
      <c r="I3184" t="s">
        <v>55</v>
      </c>
      <c r="J3184" s="6">
        <v>13.99</v>
      </c>
      <c r="K3184">
        <v>1</v>
      </c>
      <c r="L3184" t="s">
        <v>29</v>
      </c>
      <c r="M3184" s="5">
        <v>5</v>
      </c>
      <c r="N3184" s="4">
        <v>7.0000000000000007E-2</v>
      </c>
      <c r="O3184" t="s">
        <v>20</v>
      </c>
    </row>
    <row r="3185" spans="1:15" x14ac:dyDescent="0.3">
      <c r="A3185" t="s">
        <v>3483</v>
      </c>
      <c r="B3185" s="5">
        <v>51</v>
      </c>
      <c r="C3185" s="5" t="str" cm="1">
        <f t="array" ref="C3185">_xlfn.IFS(worksheet[[#This Row],[age]]&lt;25,"1. Young Adulthood (18-24)",worksheet[[#This Row],[age]]&lt; 35,"2. Early Adulthood (25-34)",worksheet[[#This Row],[age]]&lt; 45,"3. Mid Adulthood (35-44)",worksheet[[#This Row],[age]]&lt; 55,"4. Mature Adulthood (45-54)",TRUE,"5. Late Adulthood/Senior (55+)")</f>
        <v>4. Mature Adulthood (45-54)</v>
      </c>
      <c r="D3185" t="s">
        <v>15</v>
      </c>
      <c r="E3185" t="s">
        <v>16</v>
      </c>
      <c r="F3185" s="4">
        <v>8.34</v>
      </c>
      <c r="G3185" s="5">
        <v>33</v>
      </c>
      <c r="H3185" t="s">
        <v>23</v>
      </c>
      <c r="I3185" t="s">
        <v>18</v>
      </c>
      <c r="J3185" s="6">
        <v>8.99</v>
      </c>
      <c r="K3185">
        <v>1</v>
      </c>
      <c r="L3185" t="s">
        <v>61</v>
      </c>
      <c r="M3185" s="5">
        <v>1</v>
      </c>
      <c r="N3185" s="4">
        <v>0.25</v>
      </c>
      <c r="O3185" t="s">
        <v>52</v>
      </c>
    </row>
    <row r="3186" spans="1:15" x14ac:dyDescent="0.3">
      <c r="A3186" t="s">
        <v>3489</v>
      </c>
      <c r="B3186" s="5">
        <v>49</v>
      </c>
      <c r="C3186" s="5" t="str" cm="1">
        <f t="array" ref="C3186">_xlfn.IFS(worksheet[[#This Row],[age]]&lt;25,"1. Young Adulthood (18-24)",worksheet[[#This Row],[age]]&lt; 35,"2. Early Adulthood (25-34)",worksheet[[#This Row],[age]]&lt; 45,"3. Mid Adulthood (35-44)",worksheet[[#This Row],[age]]&lt; 55,"4. Mature Adulthood (45-54)",TRUE,"5. Late Adulthood/Senior (55+)")</f>
        <v>4. Mature Adulthood (45-54)</v>
      </c>
      <c r="D3186" t="s">
        <v>15</v>
      </c>
      <c r="E3186" t="s">
        <v>16</v>
      </c>
      <c r="F3186" s="4">
        <v>76.16</v>
      </c>
      <c r="G3186" s="5">
        <v>13</v>
      </c>
      <c r="H3186" t="s">
        <v>70</v>
      </c>
      <c r="I3186" t="s">
        <v>18</v>
      </c>
      <c r="J3186" s="6">
        <v>8.99</v>
      </c>
      <c r="K3186">
        <v>0</v>
      </c>
      <c r="L3186" t="s">
        <v>43</v>
      </c>
      <c r="M3186" s="5">
        <v>5</v>
      </c>
      <c r="N3186" s="4">
        <v>5.44</v>
      </c>
      <c r="O3186" t="s">
        <v>47</v>
      </c>
    </row>
    <row r="3187" spans="1:15" x14ac:dyDescent="0.3">
      <c r="A3187" t="s">
        <v>3498</v>
      </c>
      <c r="B3187" s="5">
        <v>48</v>
      </c>
      <c r="C3187" s="5" t="str" cm="1">
        <f t="array" ref="C3187">_xlfn.IFS(worksheet[[#This Row],[age]]&lt;25,"1. Young Adulthood (18-24)",worksheet[[#This Row],[age]]&lt; 35,"2. Early Adulthood (25-34)",worksheet[[#This Row],[age]]&lt; 45,"3. Mid Adulthood (35-44)",worksheet[[#This Row],[age]]&lt; 55,"4. Mature Adulthood (45-54)",TRUE,"5. Late Adulthood/Senior (55+)")</f>
        <v>4. Mature Adulthood (45-54)</v>
      </c>
      <c r="D3187" t="s">
        <v>41</v>
      </c>
      <c r="E3187" t="s">
        <v>32</v>
      </c>
      <c r="F3187" s="4">
        <v>19.559999999999999</v>
      </c>
      <c r="G3187" s="5">
        <v>58</v>
      </c>
      <c r="H3187" t="s">
        <v>23</v>
      </c>
      <c r="I3187" t="s">
        <v>24</v>
      </c>
      <c r="J3187" s="6">
        <v>17.989999999999998</v>
      </c>
      <c r="K3187">
        <v>1</v>
      </c>
      <c r="L3187" t="s">
        <v>61</v>
      </c>
      <c r="M3187" s="5">
        <v>1</v>
      </c>
      <c r="N3187" s="4">
        <v>0.33</v>
      </c>
      <c r="O3187" t="s">
        <v>20</v>
      </c>
    </row>
    <row r="3188" spans="1:15" x14ac:dyDescent="0.3">
      <c r="A3188" t="s">
        <v>3501</v>
      </c>
      <c r="B3188" s="5">
        <v>49</v>
      </c>
      <c r="C3188" s="5" t="str" cm="1">
        <f t="array" ref="C3188">_xlfn.IFS(worksheet[[#This Row],[age]]&lt;25,"1. Young Adulthood (18-24)",worksheet[[#This Row],[age]]&lt; 35,"2. Early Adulthood (25-34)",worksheet[[#This Row],[age]]&lt; 45,"3. Mid Adulthood (35-44)",worksheet[[#This Row],[age]]&lt; 55,"4. Mature Adulthood (45-54)",TRUE,"5. Late Adulthood/Senior (55+)")</f>
        <v>4. Mature Adulthood (45-54)</v>
      </c>
      <c r="D3188" t="s">
        <v>41</v>
      </c>
      <c r="E3188" t="s">
        <v>32</v>
      </c>
      <c r="F3188" s="4">
        <v>8.49</v>
      </c>
      <c r="G3188" s="5">
        <v>7</v>
      </c>
      <c r="H3188" t="s">
        <v>49</v>
      </c>
      <c r="I3188" t="s">
        <v>46</v>
      </c>
      <c r="J3188" s="6">
        <v>17.989999999999998</v>
      </c>
      <c r="K3188">
        <v>0</v>
      </c>
      <c r="L3188" t="s">
        <v>29</v>
      </c>
      <c r="M3188" s="5">
        <v>1</v>
      </c>
      <c r="N3188" s="4">
        <v>1.06</v>
      </c>
      <c r="O3188" t="s">
        <v>25</v>
      </c>
    </row>
    <row r="3189" spans="1:15" x14ac:dyDescent="0.3">
      <c r="A3189" t="s">
        <v>3502</v>
      </c>
      <c r="B3189" s="5">
        <v>46</v>
      </c>
      <c r="C3189" s="5" t="str" cm="1">
        <f t="array" ref="C3189">_xlfn.IFS(worksheet[[#This Row],[age]]&lt;25,"1. Young Adulthood (18-24)",worksheet[[#This Row],[age]]&lt; 35,"2. Early Adulthood (25-34)",worksheet[[#This Row],[age]]&lt; 45,"3. Mid Adulthood (35-44)",worksheet[[#This Row],[age]]&lt; 55,"4. Mature Adulthood (45-54)",TRUE,"5. Late Adulthood/Senior (55+)")</f>
        <v>4. Mature Adulthood (45-54)</v>
      </c>
      <c r="D3189" t="s">
        <v>41</v>
      </c>
      <c r="E3189" t="s">
        <v>22</v>
      </c>
      <c r="F3189" s="4">
        <v>14.29</v>
      </c>
      <c r="G3189" s="5">
        <v>35</v>
      </c>
      <c r="H3189" t="s">
        <v>49</v>
      </c>
      <c r="I3189" t="s">
        <v>55</v>
      </c>
      <c r="J3189" s="6">
        <v>13.99</v>
      </c>
      <c r="K3189">
        <v>0</v>
      </c>
      <c r="L3189" t="s">
        <v>37</v>
      </c>
      <c r="M3189" s="5">
        <v>5</v>
      </c>
      <c r="N3189" s="4">
        <v>0.4</v>
      </c>
      <c r="O3189" t="s">
        <v>25</v>
      </c>
    </row>
    <row r="3190" spans="1:15" x14ac:dyDescent="0.3">
      <c r="A3190" t="s">
        <v>3507</v>
      </c>
      <c r="B3190" s="5">
        <v>45</v>
      </c>
      <c r="C3190" s="5" t="str" cm="1">
        <f t="array" ref="C3190">_xlfn.IFS(worksheet[[#This Row],[age]]&lt;25,"1. Young Adulthood (18-24)",worksheet[[#This Row],[age]]&lt; 35,"2. Early Adulthood (25-34)",worksheet[[#This Row],[age]]&lt; 45,"3. Mid Adulthood (35-44)",worksheet[[#This Row],[age]]&lt; 55,"4. Mature Adulthood (45-54)",TRUE,"5. Late Adulthood/Senior (55+)")</f>
        <v>4. Mature Adulthood (45-54)</v>
      </c>
      <c r="D3190" t="s">
        <v>27</v>
      </c>
      <c r="E3190" t="s">
        <v>32</v>
      </c>
      <c r="F3190" s="4">
        <v>17.829999999999998</v>
      </c>
      <c r="G3190" s="5">
        <v>45</v>
      </c>
      <c r="H3190" t="s">
        <v>23</v>
      </c>
      <c r="I3190" t="s">
        <v>18</v>
      </c>
      <c r="J3190" s="6">
        <v>17.989999999999998</v>
      </c>
      <c r="K3190">
        <v>1</v>
      </c>
      <c r="L3190" t="s">
        <v>37</v>
      </c>
      <c r="M3190" s="5">
        <v>1</v>
      </c>
      <c r="N3190" s="4">
        <v>0.39</v>
      </c>
      <c r="O3190" t="s">
        <v>30</v>
      </c>
    </row>
    <row r="3191" spans="1:15" x14ac:dyDescent="0.3">
      <c r="A3191" t="s">
        <v>3512</v>
      </c>
      <c r="B3191" s="5">
        <v>53</v>
      </c>
      <c r="C3191" s="5" t="str" cm="1">
        <f t="array" ref="C3191">_xlfn.IFS(worksheet[[#This Row],[age]]&lt;25,"1. Young Adulthood (18-24)",worksheet[[#This Row],[age]]&lt; 35,"2. Early Adulthood (25-34)",worksheet[[#This Row],[age]]&lt; 45,"3. Mid Adulthood (35-44)",worksheet[[#This Row],[age]]&lt; 55,"4. Mature Adulthood (45-54)",TRUE,"5. Late Adulthood/Senior (55+)")</f>
        <v>4. Mature Adulthood (45-54)</v>
      </c>
      <c r="D3191" t="s">
        <v>27</v>
      </c>
      <c r="E3191" t="s">
        <v>16</v>
      </c>
      <c r="F3191" s="4">
        <v>0.33</v>
      </c>
      <c r="G3191" s="5">
        <v>35</v>
      </c>
      <c r="H3191" t="s">
        <v>33</v>
      </c>
      <c r="I3191" t="s">
        <v>24</v>
      </c>
      <c r="J3191" s="6">
        <v>8.99</v>
      </c>
      <c r="K3191">
        <v>1</v>
      </c>
      <c r="L3191" t="s">
        <v>61</v>
      </c>
      <c r="M3191" s="5">
        <v>1</v>
      </c>
      <c r="N3191" s="4">
        <v>0.01</v>
      </c>
      <c r="O3191" t="s">
        <v>20</v>
      </c>
    </row>
    <row r="3192" spans="1:15" x14ac:dyDescent="0.3">
      <c r="A3192" s="1" t="s">
        <v>3517</v>
      </c>
      <c r="B3192" s="5">
        <v>54</v>
      </c>
      <c r="C3192" s="5" t="str" cm="1">
        <f t="array" ref="C3192">_xlfn.IFS(worksheet[[#This Row],[age]]&lt;25,"1. Young Adulthood (18-24)",worksheet[[#This Row],[age]]&lt; 35,"2. Early Adulthood (25-34)",worksheet[[#This Row],[age]]&lt; 45,"3. Mid Adulthood (35-44)",worksheet[[#This Row],[age]]&lt; 55,"4. Mature Adulthood (45-54)",TRUE,"5. Late Adulthood/Senior (55+)")</f>
        <v>4. Mature Adulthood (45-54)</v>
      </c>
      <c r="D3192" t="s">
        <v>15</v>
      </c>
      <c r="E3192" t="s">
        <v>32</v>
      </c>
      <c r="F3192" s="4">
        <v>4.79</v>
      </c>
      <c r="G3192" s="5">
        <v>49</v>
      </c>
      <c r="H3192" t="s">
        <v>17</v>
      </c>
      <c r="I3192" t="s">
        <v>18</v>
      </c>
      <c r="J3192" s="6">
        <v>17.989999999999998</v>
      </c>
      <c r="K3192">
        <v>1</v>
      </c>
      <c r="L3192" t="s">
        <v>19</v>
      </c>
      <c r="M3192" s="5">
        <v>4</v>
      </c>
      <c r="N3192" s="4">
        <v>0.1</v>
      </c>
      <c r="O3192" t="s">
        <v>20</v>
      </c>
    </row>
    <row r="3193" spans="1:15" x14ac:dyDescent="0.3">
      <c r="A3193" t="s">
        <v>3524</v>
      </c>
      <c r="B3193" s="5">
        <v>45</v>
      </c>
      <c r="C3193" s="5" t="str" cm="1">
        <f t="array" ref="C3193">_xlfn.IFS(worksheet[[#This Row],[age]]&lt;25,"1. Young Adulthood (18-24)",worksheet[[#This Row],[age]]&lt; 35,"2. Early Adulthood (25-34)",worksheet[[#This Row],[age]]&lt; 45,"3. Mid Adulthood (35-44)",worksheet[[#This Row],[age]]&lt; 55,"4. Mature Adulthood (45-54)",TRUE,"5. Late Adulthood/Senior (55+)")</f>
        <v>4. Mature Adulthood (45-54)</v>
      </c>
      <c r="D3193" t="s">
        <v>41</v>
      </c>
      <c r="E3193" t="s">
        <v>16</v>
      </c>
      <c r="F3193" s="4">
        <v>1.98</v>
      </c>
      <c r="G3193" s="5">
        <v>53</v>
      </c>
      <c r="H3193" t="s">
        <v>23</v>
      </c>
      <c r="I3193" t="s">
        <v>46</v>
      </c>
      <c r="J3193" s="6">
        <v>8.99</v>
      </c>
      <c r="K3193">
        <v>1</v>
      </c>
      <c r="L3193" t="s">
        <v>29</v>
      </c>
      <c r="M3193" s="5">
        <v>5</v>
      </c>
      <c r="N3193" s="4">
        <v>0.04</v>
      </c>
      <c r="O3193" t="s">
        <v>52</v>
      </c>
    </row>
    <row r="3194" spans="1:15" x14ac:dyDescent="0.3">
      <c r="A3194" t="s">
        <v>3532</v>
      </c>
      <c r="B3194" s="5">
        <v>47</v>
      </c>
      <c r="C3194" s="5" t="str" cm="1">
        <f t="array" ref="C3194">_xlfn.IFS(worksheet[[#This Row],[age]]&lt;25,"1. Young Adulthood (18-24)",worksheet[[#This Row],[age]]&lt; 35,"2. Early Adulthood (25-34)",worksheet[[#This Row],[age]]&lt; 45,"3. Mid Adulthood (35-44)",worksheet[[#This Row],[age]]&lt; 55,"4. Mature Adulthood (45-54)",TRUE,"5. Late Adulthood/Senior (55+)")</f>
        <v>4. Mature Adulthood (45-54)</v>
      </c>
      <c r="D3194" t="s">
        <v>15</v>
      </c>
      <c r="E3194" t="s">
        <v>22</v>
      </c>
      <c r="F3194" s="4">
        <v>2.11</v>
      </c>
      <c r="G3194" s="5">
        <v>24</v>
      </c>
      <c r="H3194" t="s">
        <v>17</v>
      </c>
      <c r="I3194" t="s">
        <v>24</v>
      </c>
      <c r="J3194" s="6">
        <v>13.99</v>
      </c>
      <c r="K3194">
        <v>1</v>
      </c>
      <c r="L3194" t="s">
        <v>29</v>
      </c>
      <c r="M3194" s="5">
        <v>4</v>
      </c>
      <c r="N3194" s="4">
        <v>0.08</v>
      </c>
      <c r="O3194" t="s">
        <v>47</v>
      </c>
    </row>
    <row r="3195" spans="1:15" x14ac:dyDescent="0.3">
      <c r="A3195" t="s">
        <v>3553</v>
      </c>
      <c r="B3195" s="5">
        <v>49</v>
      </c>
      <c r="C3195" s="5" t="str" cm="1">
        <f t="array" ref="C3195">_xlfn.IFS(worksheet[[#This Row],[age]]&lt;25,"1. Young Adulthood (18-24)",worksheet[[#This Row],[age]]&lt; 35,"2. Early Adulthood (25-34)",worksheet[[#This Row],[age]]&lt; 45,"3. Mid Adulthood (35-44)",worksheet[[#This Row],[age]]&lt; 55,"4. Mature Adulthood (45-54)",TRUE,"5. Late Adulthood/Senior (55+)")</f>
        <v>4. Mature Adulthood (45-54)</v>
      </c>
      <c r="D3195" t="s">
        <v>41</v>
      </c>
      <c r="E3195" t="s">
        <v>16</v>
      </c>
      <c r="F3195" s="4">
        <v>1.64</v>
      </c>
      <c r="G3195" s="5">
        <v>32</v>
      </c>
      <c r="H3195" t="s">
        <v>23</v>
      </c>
      <c r="I3195" t="s">
        <v>46</v>
      </c>
      <c r="J3195" s="6">
        <v>8.99</v>
      </c>
      <c r="K3195">
        <v>1</v>
      </c>
      <c r="L3195" t="s">
        <v>43</v>
      </c>
      <c r="M3195" s="5">
        <v>5</v>
      </c>
      <c r="N3195" s="4">
        <v>0.05</v>
      </c>
      <c r="O3195" t="s">
        <v>30</v>
      </c>
    </row>
    <row r="3196" spans="1:15" x14ac:dyDescent="0.3">
      <c r="A3196" t="s">
        <v>3567</v>
      </c>
      <c r="B3196" s="5">
        <v>49</v>
      </c>
      <c r="C3196" s="5" t="str" cm="1">
        <f t="array" ref="C3196">_xlfn.IFS(worksheet[[#This Row],[age]]&lt;25,"1. Young Adulthood (18-24)",worksheet[[#This Row],[age]]&lt; 35,"2. Early Adulthood (25-34)",worksheet[[#This Row],[age]]&lt; 45,"3. Mid Adulthood (35-44)",worksheet[[#This Row],[age]]&lt; 55,"4. Mature Adulthood (45-54)",TRUE,"5. Late Adulthood/Senior (55+)")</f>
        <v>4. Mature Adulthood (45-54)</v>
      </c>
      <c r="D3196" t="s">
        <v>15</v>
      </c>
      <c r="E3196" t="s">
        <v>22</v>
      </c>
      <c r="F3196" s="4">
        <v>9.91</v>
      </c>
      <c r="G3196" s="5">
        <v>14</v>
      </c>
      <c r="H3196" t="s">
        <v>23</v>
      </c>
      <c r="I3196" t="s">
        <v>46</v>
      </c>
      <c r="J3196" s="6">
        <v>13.99</v>
      </c>
      <c r="K3196">
        <v>0</v>
      </c>
      <c r="L3196" t="s">
        <v>61</v>
      </c>
      <c r="M3196" s="5">
        <v>3</v>
      </c>
      <c r="N3196" s="4">
        <v>0.66</v>
      </c>
      <c r="O3196" t="s">
        <v>52</v>
      </c>
    </row>
    <row r="3197" spans="1:15" x14ac:dyDescent="0.3">
      <c r="A3197" t="s">
        <v>3583</v>
      </c>
      <c r="B3197" s="5">
        <v>47</v>
      </c>
      <c r="C3197" s="5" t="str" cm="1">
        <f t="array" ref="C3197">_xlfn.IFS(worksheet[[#This Row],[age]]&lt;25,"1. Young Adulthood (18-24)",worksheet[[#This Row],[age]]&lt; 35,"2. Early Adulthood (25-34)",worksheet[[#This Row],[age]]&lt; 45,"3. Mid Adulthood (35-44)",worksheet[[#This Row],[age]]&lt; 55,"4. Mature Adulthood (45-54)",TRUE,"5. Late Adulthood/Senior (55+)")</f>
        <v>4. Mature Adulthood (45-54)</v>
      </c>
      <c r="D3197" t="s">
        <v>41</v>
      </c>
      <c r="E3197" t="s">
        <v>22</v>
      </c>
      <c r="F3197" s="4">
        <v>0.18</v>
      </c>
      <c r="G3197" s="5">
        <v>50</v>
      </c>
      <c r="H3197" t="s">
        <v>17</v>
      </c>
      <c r="I3197" t="s">
        <v>55</v>
      </c>
      <c r="J3197" s="6">
        <v>13.99</v>
      </c>
      <c r="K3197">
        <v>1</v>
      </c>
      <c r="L3197" t="s">
        <v>43</v>
      </c>
      <c r="M3197" s="5">
        <v>4</v>
      </c>
      <c r="N3197" s="4">
        <v>0</v>
      </c>
      <c r="O3197" t="s">
        <v>34</v>
      </c>
    </row>
    <row r="3198" spans="1:15" x14ac:dyDescent="0.3">
      <c r="A3198" t="s">
        <v>3587</v>
      </c>
      <c r="B3198" s="5">
        <v>46</v>
      </c>
      <c r="C3198" s="5" t="str" cm="1">
        <f t="array" ref="C3198">_xlfn.IFS(worksheet[[#This Row],[age]]&lt;25,"1. Young Adulthood (18-24)",worksheet[[#This Row],[age]]&lt; 35,"2. Early Adulthood (25-34)",worksheet[[#This Row],[age]]&lt; 45,"3. Mid Adulthood (35-44)",worksheet[[#This Row],[age]]&lt; 55,"4. Mature Adulthood (45-54)",TRUE,"5. Late Adulthood/Senior (55+)")</f>
        <v>4. Mature Adulthood (45-54)</v>
      </c>
      <c r="D3198" t="s">
        <v>27</v>
      </c>
      <c r="E3198" t="s">
        <v>16</v>
      </c>
      <c r="F3198" s="4">
        <v>35.85</v>
      </c>
      <c r="G3198" s="5">
        <v>39</v>
      </c>
      <c r="H3198" t="s">
        <v>28</v>
      </c>
      <c r="I3198" t="s">
        <v>57</v>
      </c>
      <c r="J3198" s="6">
        <v>8.99</v>
      </c>
      <c r="K3198">
        <v>0</v>
      </c>
      <c r="L3198" t="s">
        <v>61</v>
      </c>
      <c r="M3198" s="5">
        <v>1</v>
      </c>
      <c r="N3198" s="4">
        <v>0.9</v>
      </c>
      <c r="O3198" t="s">
        <v>25</v>
      </c>
    </row>
    <row r="3199" spans="1:15" x14ac:dyDescent="0.3">
      <c r="A3199" t="s">
        <v>3590</v>
      </c>
      <c r="B3199" s="5">
        <v>47</v>
      </c>
      <c r="C3199" s="5" t="str" cm="1">
        <f t="array" ref="C3199">_xlfn.IFS(worksheet[[#This Row],[age]]&lt;25,"1. Young Adulthood (18-24)",worksheet[[#This Row],[age]]&lt; 35,"2. Early Adulthood (25-34)",worksheet[[#This Row],[age]]&lt; 45,"3. Mid Adulthood (35-44)",worksheet[[#This Row],[age]]&lt; 55,"4. Mature Adulthood (45-54)",TRUE,"5. Late Adulthood/Senior (55+)")</f>
        <v>4. Mature Adulthood (45-54)</v>
      </c>
      <c r="D3199" t="s">
        <v>27</v>
      </c>
      <c r="E3199" t="s">
        <v>32</v>
      </c>
      <c r="F3199" s="4">
        <v>2.25</v>
      </c>
      <c r="G3199" s="5">
        <v>53</v>
      </c>
      <c r="H3199" t="s">
        <v>23</v>
      </c>
      <c r="I3199" t="s">
        <v>24</v>
      </c>
      <c r="J3199" s="6">
        <v>17.989999999999998</v>
      </c>
      <c r="K3199">
        <v>1</v>
      </c>
      <c r="L3199" t="s">
        <v>19</v>
      </c>
      <c r="M3199" s="5">
        <v>2</v>
      </c>
      <c r="N3199" s="4">
        <v>0.04</v>
      </c>
      <c r="O3199" t="s">
        <v>39</v>
      </c>
    </row>
    <row r="3200" spans="1:15" x14ac:dyDescent="0.3">
      <c r="A3200" t="s">
        <v>3593</v>
      </c>
      <c r="B3200" s="5">
        <v>54</v>
      </c>
      <c r="C3200" s="5" t="str" cm="1">
        <f t="array" ref="C3200">_xlfn.IFS(worksheet[[#This Row],[age]]&lt;25,"1. Young Adulthood (18-24)",worksheet[[#This Row],[age]]&lt; 35,"2. Early Adulthood (25-34)",worksheet[[#This Row],[age]]&lt; 45,"3. Mid Adulthood (35-44)",worksheet[[#This Row],[age]]&lt; 55,"4. Mature Adulthood (45-54)",TRUE,"5. Late Adulthood/Senior (55+)")</f>
        <v>4. Mature Adulthood (45-54)</v>
      </c>
      <c r="D3200" t="s">
        <v>15</v>
      </c>
      <c r="E3200" t="s">
        <v>22</v>
      </c>
      <c r="F3200" s="4">
        <v>13.19</v>
      </c>
      <c r="G3200" s="5">
        <v>10</v>
      </c>
      <c r="H3200" t="s">
        <v>70</v>
      </c>
      <c r="I3200" t="s">
        <v>57</v>
      </c>
      <c r="J3200" s="6">
        <v>13.99</v>
      </c>
      <c r="K3200">
        <v>0</v>
      </c>
      <c r="L3200" t="s">
        <v>19</v>
      </c>
      <c r="M3200" s="5">
        <v>2</v>
      </c>
      <c r="N3200" s="4">
        <v>1.2</v>
      </c>
      <c r="O3200" t="s">
        <v>20</v>
      </c>
    </row>
    <row r="3201" spans="1:15" x14ac:dyDescent="0.3">
      <c r="A3201" t="s">
        <v>3597</v>
      </c>
      <c r="B3201" s="5">
        <v>46</v>
      </c>
      <c r="C3201" s="5" t="str" cm="1">
        <f t="array" ref="C3201">_xlfn.IFS(worksheet[[#This Row],[age]]&lt;25,"1. Young Adulthood (18-24)",worksheet[[#This Row],[age]]&lt; 35,"2. Early Adulthood (25-34)",worksheet[[#This Row],[age]]&lt; 45,"3. Mid Adulthood (35-44)",worksheet[[#This Row],[age]]&lt; 55,"4. Mature Adulthood (45-54)",TRUE,"5. Late Adulthood/Senior (55+)")</f>
        <v>4. Mature Adulthood (45-54)</v>
      </c>
      <c r="D3201" t="s">
        <v>41</v>
      </c>
      <c r="E3201" t="s">
        <v>32</v>
      </c>
      <c r="F3201" s="4">
        <v>3.84</v>
      </c>
      <c r="G3201" s="5">
        <v>15</v>
      </c>
      <c r="H3201" t="s">
        <v>17</v>
      </c>
      <c r="I3201" t="s">
        <v>24</v>
      </c>
      <c r="J3201" s="6">
        <v>17.989999999999998</v>
      </c>
      <c r="K3201">
        <v>0</v>
      </c>
      <c r="L3201" t="s">
        <v>43</v>
      </c>
      <c r="M3201" s="5">
        <v>4</v>
      </c>
      <c r="N3201" s="4">
        <v>0.24</v>
      </c>
      <c r="O3201" t="s">
        <v>52</v>
      </c>
    </row>
    <row r="3202" spans="1:15" x14ac:dyDescent="0.3">
      <c r="A3202" t="s">
        <v>3601</v>
      </c>
      <c r="B3202" s="5">
        <v>50</v>
      </c>
      <c r="C3202" s="5" t="str" cm="1">
        <f t="array" ref="C3202">_xlfn.IFS(worksheet[[#This Row],[age]]&lt;25,"1. Young Adulthood (18-24)",worksheet[[#This Row],[age]]&lt; 35,"2. Early Adulthood (25-34)",worksheet[[#This Row],[age]]&lt; 45,"3. Mid Adulthood (35-44)",worksheet[[#This Row],[age]]&lt; 55,"4. Mature Adulthood (45-54)",TRUE,"5. Late Adulthood/Senior (55+)")</f>
        <v>4. Mature Adulthood (45-54)</v>
      </c>
      <c r="D3202" t="s">
        <v>41</v>
      </c>
      <c r="E3202" t="s">
        <v>16</v>
      </c>
      <c r="F3202" s="4">
        <v>2.0499999999999998</v>
      </c>
      <c r="G3202" s="5">
        <v>59</v>
      </c>
      <c r="H3202" t="s">
        <v>70</v>
      </c>
      <c r="I3202" t="s">
        <v>18</v>
      </c>
      <c r="J3202" s="6">
        <v>8.99</v>
      </c>
      <c r="K3202">
        <v>1</v>
      </c>
      <c r="L3202" t="s">
        <v>37</v>
      </c>
      <c r="M3202" s="5">
        <v>5</v>
      </c>
      <c r="N3202" s="4">
        <v>0.03</v>
      </c>
      <c r="O3202" t="s">
        <v>20</v>
      </c>
    </row>
    <row r="3203" spans="1:15" x14ac:dyDescent="0.3">
      <c r="A3203" t="s">
        <v>3605</v>
      </c>
      <c r="B3203" s="5">
        <v>54</v>
      </c>
      <c r="C3203" s="5" t="str" cm="1">
        <f t="array" ref="C3203">_xlfn.IFS(worksheet[[#This Row],[age]]&lt;25,"1. Young Adulthood (18-24)",worksheet[[#This Row],[age]]&lt; 35,"2. Early Adulthood (25-34)",worksheet[[#This Row],[age]]&lt; 45,"3. Mid Adulthood (35-44)",worksheet[[#This Row],[age]]&lt; 55,"4. Mature Adulthood (45-54)",TRUE,"5. Late Adulthood/Senior (55+)")</f>
        <v>4. Mature Adulthood (45-54)</v>
      </c>
      <c r="D3203" t="s">
        <v>15</v>
      </c>
      <c r="E3203" t="s">
        <v>22</v>
      </c>
      <c r="F3203" s="4">
        <v>5.07</v>
      </c>
      <c r="G3203" s="5">
        <v>20</v>
      </c>
      <c r="H3203" t="s">
        <v>28</v>
      </c>
      <c r="I3203" t="s">
        <v>57</v>
      </c>
      <c r="J3203" s="6">
        <v>13.99</v>
      </c>
      <c r="K3203">
        <v>0</v>
      </c>
      <c r="L3203" t="s">
        <v>61</v>
      </c>
      <c r="M3203" s="5">
        <v>5</v>
      </c>
      <c r="N3203" s="4">
        <v>0.24</v>
      </c>
      <c r="O3203" t="s">
        <v>52</v>
      </c>
    </row>
    <row r="3204" spans="1:15" x14ac:dyDescent="0.3">
      <c r="A3204" t="s">
        <v>3627</v>
      </c>
      <c r="B3204" s="5">
        <v>49</v>
      </c>
      <c r="C3204" s="5" t="str" cm="1">
        <f t="array" ref="C3204">_xlfn.IFS(worksheet[[#This Row],[age]]&lt;25,"1. Young Adulthood (18-24)",worksheet[[#This Row],[age]]&lt; 35,"2. Early Adulthood (25-34)",worksheet[[#This Row],[age]]&lt; 45,"3. Mid Adulthood (35-44)",worksheet[[#This Row],[age]]&lt; 55,"4. Mature Adulthood (45-54)",TRUE,"5. Late Adulthood/Senior (55+)")</f>
        <v>4. Mature Adulthood (45-54)</v>
      </c>
      <c r="D3204" t="s">
        <v>15</v>
      </c>
      <c r="E3204" t="s">
        <v>32</v>
      </c>
      <c r="F3204" s="4">
        <v>18.55</v>
      </c>
      <c r="G3204" s="5">
        <v>50</v>
      </c>
      <c r="H3204" t="s">
        <v>70</v>
      </c>
      <c r="I3204" t="s">
        <v>18</v>
      </c>
      <c r="J3204" s="6">
        <v>17.989999999999998</v>
      </c>
      <c r="K3204">
        <v>1</v>
      </c>
      <c r="L3204" t="s">
        <v>29</v>
      </c>
      <c r="M3204" s="5">
        <v>3</v>
      </c>
      <c r="N3204" s="4">
        <v>0.36</v>
      </c>
      <c r="O3204" t="s">
        <v>25</v>
      </c>
    </row>
    <row r="3205" spans="1:15" x14ac:dyDescent="0.3">
      <c r="A3205" t="s">
        <v>3628</v>
      </c>
      <c r="B3205" s="5">
        <v>47</v>
      </c>
      <c r="C3205" s="5" t="str" cm="1">
        <f t="array" ref="C3205">_xlfn.IFS(worksheet[[#This Row],[age]]&lt;25,"1. Young Adulthood (18-24)",worksheet[[#This Row],[age]]&lt; 35,"2. Early Adulthood (25-34)",worksheet[[#This Row],[age]]&lt; 45,"3. Mid Adulthood (35-44)",worksheet[[#This Row],[age]]&lt; 55,"4. Mature Adulthood (45-54)",TRUE,"5. Late Adulthood/Senior (55+)")</f>
        <v>4. Mature Adulthood (45-54)</v>
      </c>
      <c r="D3205" t="s">
        <v>27</v>
      </c>
      <c r="E3205" t="s">
        <v>22</v>
      </c>
      <c r="F3205" s="4">
        <v>13.27</v>
      </c>
      <c r="G3205" s="5">
        <v>26</v>
      </c>
      <c r="H3205" t="s">
        <v>33</v>
      </c>
      <c r="I3205" t="s">
        <v>46</v>
      </c>
      <c r="J3205" s="6">
        <v>13.99</v>
      </c>
      <c r="K3205">
        <v>0</v>
      </c>
      <c r="L3205" t="s">
        <v>61</v>
      </c>
      <c r="M3205" s="5">
        <v>3</v>
      </c>
      <c r="N3205" s="4">
        <v>0.49</v>
      </c>
      <c r="O3205" t="s">
        <v>52</v>
      </c>
    </row>
    <row r="3206" spans="1:15" x14ac:dyDescent="0.3">
      <c r="A3206" t="s">
        <v>3637</v>
      </c>
      <c r="B3206" s="5">
        <v>47</v>
      </c>
      <c r="C3206" s="5" t="str" cm="1">
        <f t="array" ref="C3206">_xlfn.IFS(worksheet[[#This Row],[age]]&lt;25,"1. Young Adulthood (18-24)",worksheet[[#This Row],[age]]&lt; 35,"2. Early Adulthood (25-34)",worksheet[[#This Row],[age]]&lt; 45,"3. Mid Adulthood (35-44)",worksheet[[#This Row],[age]]&lt; 55,"4. Mature Adulthood (45-54)",TRUE,"5. Late Adulthood/Senior (55+)")</f>
        <v>4. Mature Adulthood (45-54)</v>
      </c>
      <c r="D3206" t="s">
        <v>41</v>
      </c>
      <c r="E3206" t="s">
        <v>32</v>
      </c>
      <c r="F3206" s="4">
        <v>37.49</v>
      </c>
      <c r="G3206" s="5">
        <v>56</v>
      </c>
      <c r="H3206" t="s">
        <v>49</v>
      </c>
      <c r="I3206" t="s">
        <v>57</v>
      </c>
      <c r="J3206" s="6">
        <v>17.989999999999998</v>
      </c>
      <c r="K3206">
        <v>0</v>
      </c>
      <c r="L3206" t="s">
        <v>29</v>
      </c>
      <c r="M3206" s="5">
        <v>5</v>
      </c>
      <c r="N3206" s="4">
        <v>0.66</v>
      </c>
      <c r="O3206" t="s">
        <v>25</v>
      </c>
    </row>
    <row r="3207" spans="1:15" x14ac:dyDescent="0.3">
      <c r="A3207" t="s">
        <v>3646</v>
      </c>
      <c r="B3207" s="5">
        <v>50</v>
      </c>
      <c r="C3207" s="5" t="str" cm="1">
        <f t="array" ref="C3207">_xlfn.IFS(worksheet[[#This Row],[age]]&lt;25,"1. Young Adulthood (18-24)",worksheet[[#This Row],[age]]&lt; 35,"2. Early Adulthood (25-34)",worksheet[[#This Row],[age]]&lt; 45,"3. Mid Adulthood (35-44)",worksheet[[#This Row],[age]]&lt; 55,"4. Mature Adulthood (45-54)",TRUE,"5. Late Adulthood/Senior (55+)")</f>
        <v>4. Mature Adulthood (45-54)</v>
      </c>
      <c r="D3207" t="s">
        <v>15</v>
      </c>
      <c r="E3207" t="s">
        <v>22</v>
      </c>
      <c r="F3207" s="4">
        <v>26.57</v>
      </c>
      <c r="G3207" s="5">
        <v>34</v>
      </c>
      <c r="H3207" t="s">
        <v>17</v>
      </c>
      <c r="I3207" t="s">
        <v>24</v>
      </c>
      <c r="J3207" s="6">
        <v>13.99</v>
      </c>
      <c r="K3207">
        <v>0</v>
      </c>
      <c r="L3207" t="s">
        <v>61</v>
      </c>
      <c r="M3207" s="5">
        <v>5</v>
      </c>
      <c r="N3207" s="4">
        <v>0.76</v>
      </c>
      <c r="O3207" t="s">
        <v>52</v>
      </c>
    </row>
    <row r="3208" spans="1:15" x14ac:dyDescent="0.3">
      <c r="A3208" t="s">
        <v>3650</v>
      </c>
      <c r="B3208" s="5">
        <v>50</v>
      </c>
      <c r="C3208" s="5" t="str" cm="1">
        <f t="array" ref="C3208">_xlfn.IFS(worksheet[[#This Row],[age]]&lt;25,"1. Young Adulthood (18-24)",worksheet[[#This Row],[age]]&lt; 35,"2. Early Adulthood (25-34)",worksheet[[#This Row],[age]]&lt; 45,"3. Mid Adulthood (35-44)",worksheet[[#This Row],[age]]&lt; 55,"4. Mature Adulthood (45-54)",TRUE,"5. Late Adulthood/Senior (55+)")</f>
        <v>4. Mature Adulthood (45-54)</v>
      </c>
      <c r="D3208" t="s">
        <v>41</v>
      </c>
      <c r="E3208" t="s">
        <v>22</v>
      </c>
      <c r="F3208" s="4">
        <v>8.9</v>
      </c>
      <c r="G3208" s="5">
        <v>42</v>
      </c>
      <c r="H3208" t="s">
        <v>33</v>
      </c>
      <c r="I3208" t="s">
        <v>55</v>
      </c>
      <c r="J3208" s="6">
        <v>13.99</v>
      </c>
      <c r="K3208">
        <v>1</v>
      </c>
      <c r="L3208" t="s">
        <v>19</v>
      </c>
      <c r="M3208" s="5">
        <v>3</v>
      </c>
      <c r="N3208" s="4">
        <v>0.21</v>
      </c>
      <c r="O3208" t="s">
        <v>34</v>
      </c>
    </row>
    <row r="3209" spans="1:15" x14ac:dyDescent="0.3">
      <c r="A3209" t="s">
        <v>3652</v>
      </c>
      <c r="B3209" s="5">
        <v>46</v>
      </c>
      <c r="C3209" s="5" t="str" cm="1">
        <f t="array" ref="C3209">_xlfn.IFS(worksheet[[#This Row],[age]]&lt;25,"1. Young Adulthood (18-24)",worksheet[[#This Row],[age]]&lt; 35,"2. Early Adulthood (25-34)",worksheet[[#This Row],[age]]&lt; 45,"3. Mid Adulthood (35-44)",worksheet[[#This Row],[age]]&lt; 55,"4. Mature Adulthood (45-54)",TRUE,"5. Late Adulthood/Senior (55+)")</f>
        <v>4. Mature Adulthood (45-54)</v>
      </c>
      <c r="D3209" t="s">
        <v>27</v>
      </c>
      <c r="E3209" t="s">
        <v>22</v>
      </c>
      <c r="F3209" s="4">
        <v>4.38</v>
      </c>
      <c r="G3209" s="5">
        <v>37</v>
      </c>
      <c r="H3209" t="s">
        <v>70</v>
      </c>
      <c r="I3209" t="s">
        <v>57</v>
      </c>
      <c r="J3209" s="6">
        <v>13.99</v>
      </c>
      <c r="K3209">
        <v>1</v>
      </c>
      <c r="L3209" t="s">
        <v>29</v>
      </c>
      <c r="M3209" s="5">
        <v>4</v>
      </c>
      <c r="N3209" s="4">
        <v>0.12</v>
      </c>
      <c r="O3209" t="s">
        <v>39</v>
      </c>
    </row>
    <row r="3210" spans="1:15" x14ac:dyDescent="0.3">
      <c r="A3210" t="s">
        <v>3653</v>
      </c>
      <c r="B3210" s="5">
        <v>51</v>
      </c>
      <c r="C3210" s="5" t="str" cm="1">
        <f t="array" ref="C3210">_xlfn.IFS(worksheet[[#This Row],[age]]&lt;25,"1. Young Adulthood (18-24)",worksheet[[#This Row],[age]]&lt; 35,"2. Early Adulthood (25-34)",worksheet[[#This Row],[age]]&lt; 45,"3. Mid Adulthood (35-44)",worksheet[[#This Row],[age]]&lt; 55,"4. Mature Adulthood (45-54)",TRUE,"5. Late Adulthood/Senior (55+)")</f>
        <v>4. Mature Adulthood (45-54)</v>
      </c>
      <c r="D3210" t="s">
        <v>27</v>
      </c>
      <c r="E3210" t="s">
        <v>16</v>
      </c>
      <c r="F3210" s="4">
        <v>12.08</v>
      </c>
      <c r="G3210" s="5">
        <v>41</v>
      </c>
      <c r="H3210" t="s">
        <v>70</v>
      </c>
      <c r="I3210" t="s">
        <v>24</v>
      </c>
      <c r="J3210" s="6">
        <v>8.99</v>
      </c>
      <c r="K3210">
        <v>1</v>
      </c>
      <c r="L3210" t="s">
        <v>37</v>
      </c>
      <c r="M3210" s="5">
        <v>5</v>
      </c>
      <c r="N3210" s="4">
        <v>0.28999999999999998</v>
      </c>
      <c r="O3210" t="s">
        <v>34</v>
      </c>
    </row>
    <row r="3211" spans="1:15" x14ac:dyDescent="0.3">
      <c r="A3211" t="s">
        <v>3670</v>
      </c>
      <c r="B3211" s="5">
        <v>47</v>
      </c>
      <c r="C3211" s="5" t="str" cm="1">
        <f t="array" ref="C3211">_xlfn.IFS(worksheet[[#This Row],[age]]&lt;25,"1. Young Adulthood (18-24)",worksheet[[#This Row],[age]]&lt; 35,"2. Early Adulthood (25-34)",worksheet[[#This Row],[age]]&lt; 45,"3. Mid Adulthood (35-44)",worksheet[[#This Row],[age]]&lt; 55,"4. Mature Adulthood (45-54)",TRUE,"5. Late Adulthood/Senior (55+)")</f>
        <v>4. Mature Adulthood (45-54)</v>
      </c>
      <c r="D3211" t="s">
        <v>15</v>
      </c>
      <c r="E3211" t="s">
        <v>22</v>
      </c>
      <c r="F3211" s="4">
        <v>8.01</v>
      </c>
      <c r="G3211" s="5">
        <v>11</v>
      </c>
      <c r="H3211" t="s">
        <v>23</v>
      </c>
      <c r="I3211" t="s">
        <v>24</v>
      </c>
      <c r="J3211" s="6">
        <v>13.99</v>
      </c>
      <c r="K3211">
        <v>0</v>
      </c>
      <c r="L3211" t="s">
        <v>19</v>
      </c>
      <c r="M3211" s="5">
        <v>4</v>
      </c>
      <c r="N3211" s="4">
        <v>0.67</v>
      </c>
      <c r="O3211" t="s">
        <v>34</v>
      </c>
    </row>
    <row r="3212" spans="1:15" x14ac:dyDescent="0.3">
      <c r="A3212" t="s">
        <v>3671</v>
      </c>
      <c r="B3212" s="5">
        <v>48</v>
      </c>
      <c r="C3212" s="5" t="str" cm="1">
        <f t="array" ref="C3212">_xlfn.IFS(worksheet[[#This Row],[age]]&lt;25,"1. Young Adulthood (18-24)",worksheet[[#This Row],[age]]&lt; 35,"2. Early Adulthood (25-34)",worksheet[[#This Row],[age]]&lt; 45,"3. Mid Adulthood (35-44)",worksheet[[#This Row],[age]]&lt; 55,"4. Mature Adulthood (45-54)",TRUE,"5. Late Adulthood/Senior (55+)")</f>
        <v>4. Mature Adulthood (45-54)</v>
      </c>
      <c r="D3212" t="s">
        <v>15</v>
      </c>
      <c r="E3212" t="s">
        <v>32</v>
      </c>
      <c r="F3212" s="4">
        <v>6.53</v>
      </c>
      <c r="G3212" s="5">
        <v>55</v>
      </c>
      <c r="H3212" t="s">
        <v>28</v>
      </c>
      <c r="I3212" t="s">
        <v>24</v>
      </c>
      <c r="J3212" s="6">
        <v>17.989999999999998</v>
      </c>
      <c r="K3212">
        <v>1</v>
      </c>
      <c r="L3212" t="s">
        <v>19</v>
      </c>
      <c r="M3212" s="5">
        <v>2</v>
      </c>
      <c r="N3212" s="4">
        <v>0.12</v>
      </c>
      <c r="O3212" t="s">
        <v>52</v>
      </c>
    </row>
    <row r="3213" spans="1:15" x14ac:dyDescent="0.3">
      <c r="A3213" t="s">
        <v>3677</v>
      </c>
      <c r="B3213" s="5">
        <v>54</v>
      </c>
      <c r="C3213" s="5" t="str" cm="1">
        <f t="array" ref="C3213">_xlfn.IFS(worksheet[[#This Row],[age]]&lt;25,"1. Young Adulthood (18-24)",worksheet[[#This Row],[age]]&lt; 35,"2. Early Adulthood (25-34)",worksheet[[#This Row],[age]]&lt; 45,"3. Mid Adulthood (35-44)",worksheet[[#This Row],[age]]&lt; 55,"4. Mature Adulthood (45-54)",TRUE,"5. Late Adulthood/Senior (55+)")</f>
        <v>4. Mature Adulthood (45-54)</v>
      </c>
      <c r="D3213" t="s">
        <v>41</v>
      </c>
      <c r="E3213" t="s">
        <v>22</v>
      </c>
      <c r="F3213" s="4">
        <v>3.6</v>
      </c>
      <c r="G3213" s="5">
        <v>39</v>
      </c>
      <c r="H3213" t="s">
        <v>70</v>
      </c>
      <c r="I3213" t="s">
        <v>24</v>
      </c>
      <c r="J3213" s="6">
        <v>13.99</v>
      </c>
      <c r="K3213">
        <v>1</v>
      </c>
      <c r="L3213" t="s">
        <v>61</v>
      </c>
      <c r="M3213" s="5">
        <v>3</v>
      </c>
      <c r="N3213" s="4">
        <v>0.09</v>
      </c>
      <c r="O3213" t="s">
        <v>30</v>
      </c>
    </row>
    <row r="3214" spans="1:15" x14ac:dyDescent="0.3">
      <c r="A3214" t="s">
        <v>3681</v>
      </c>
      <c r="B3214" s="5">
        <v>45</v>
      </c>
      <c r="C3214" s="5" t="str" cm="1">
        <f t="array" ref="C3214">_xlfn.IFS(worksheet[[#This Row],[age]]&lt;25,"1. Young Adulthood (18-24)",worksheet[[#This Row],[age]]&lt; 35,"2. Early Adulthood (25-34)",worksheet[[#This Row],[age]]&lt; 45,"3. Mid Adulthood (35-44)",worksheet[[#This Row],[age]]&lt; 55,"4. Mature Adulthood (45-54)",TRUE,"5. Late Adulthood/Senior (55+)")</f>
        <v>4. Mature Adulthood (45-54)</v>
      </c>
      <c r="D3214" t="s">
        <v>27</v>
      </c>
      <c r="E3214" t="s">
        <v>16</v>
      </c>
      <c r="F3214" s="4">
        <v>42.32</v>
      </c>
      <c r="G3214" s="5">
        <v>30</v>
      </c>
      <c r="H3214" t="s">
        <v>28</v>
      </c>
      <c r="I3214" t="s">
        <v>18</v>
      </c>
      <c r="J3214" s="6">
        <v>8.99</v>
      </c>
      <c r="K3214">
        <v>0</v>
      </c>
      <c r="L3214" t="s">
        <v>29</v>
      </c>
      <c r="M3214" s="5">
        <v>4</v>
      </c>
      <c r="N3214" s="4">
        <v>1.37</v>
      </c>
      <c r="O3214" t="s">
        <v>52</v>
      </c>
    </row>
    <row r="3215" spans="1:15" x14ac:dyDescent="0.3">
      <c r="A3215" t="s">
        <v>3688</v>
      </c>
      <c r="B3215" s="5">
        <v>51</v>
      </c>
      <c r="C3215" s="5" t="str" cm="1">
        <f t="array" ref="C3215">_xlfn.IFS(worksheet[[#This Row],[age]]&lt;25,"1. Young Adulthood (18-24)",worksheet[[#This Row],[age]]&lt; 35,"2. Early Adulthood (25-34)",worksheet[[#This Row],[age]]&lt; 45,"3. Mid Adulthood (35-44)",worksheet[[#This Row],[age]]&lt; 55,"4. Mature Adulthood (45-54)",TRUE,"5. Late Adulthood/Senior (55+)")</f>
        <v>4. Mature Adulthood (45-54)</v>
      </c>
      <c r="D3215" t="s">
        <v>15</v>
      </c>
      <c r="E3215" t="s">
        <v>32</v>
      </c>
      <c r="F3215" s="4">
        <v>9.5299999999999994</v>
      </c>
      <c r="G3215" s="5">
        <v>23</v>
      </c>
      <c r="H3215" t="s">
        <v>33</v>
      </c>
      <c r="I3215" t="s">
        <v>46</v>
      </c>
      <c r="J3215" s="6">
        <v>17.989999999999998</v>
      </c>
      <c r="K3215">
        <v>0</v>
      </c>
      <c r="L3215" t="s">
        <v>61</v>
      </c>
      <c r="M3215" s="5">
        <v>2</v>
      </c>
      <c r="N3215" s="4">
        <v>0.4</v>
      </c>
      <c r="O3215" t="s">
        <v>47</v>
      </c>
    </row>
    <row r="3216" spans="1:15" x14ac:dyDescent="0.3">
      <c r="A3216" t="s">
        <v>3692</v>
      </c>
      <c r="B3216" s="5">
        <v>54</v>
      </c>
      <c r="C3216" s="5" t="str" cm="1">
        <f t="array" ref="C3216">_xlfn.IFS(worksheet[[#This Row],[age]]&lt;25,"1. Young Adulthood (18-24)",worksheet[[#This Row],[age]]&lt; 35,"2. Early Adulthood (25-34)",worksheet[[#This Row],[age]]&lt; 45,"3. Mid Adulthood (35-44)",worksheet[[#This Row],[age]]&lt; 55,"4. Mature Adulthood (45-54)",TRUE,"5. Late Adulthood/Senior (55+)")</f>
        <v>4. Mature Adulthood (45-54)</v>
      </c>
      <c r="D3216" t="s">
        <v>27</v>
      </c>
      <c r="E3216" t="s">
        <v>32</v>
      </c>
      <c r="F3216" s="4">
        <v>22.73</v>
      </c>
      <c r="G3216" s="5">
        <v>39</v>
      </c>
      <c r="H3216" t="s">
        <v>23</v>
      </c>
      <c r="I3216" t="s">
        <v>18</v>
      </c>
      <c r="J3216" s="6">
        <v>17.989999999999998</v>
      </c>
      <c r="K3216">
        <v>0</v>
      </c>
      <c r="L3216" t="s">
        <v>43</v>
      </c>
      <c r="M3216" s="5">
        <v>5</v>
      </c>
      <c r="N3216" s="4">
        <v>0.56999999999999995</v>
      </c>
      <c r="O3216" t="s">
        <v>25</v>
      </c>
    </row>
    <row r="3217" spans="1:15" x14ac:dyDescent="0.3">
      <c r="A3217" t="s">
        <v>3699</v>
      </c>
      <c r="B3217" s="5">
        <v>51</v>
      </c>
      <c r="C3217" s="5" t="str" cm="1">
        <f t="array" ref="C3217">_xlfn.IFS(worksheet[[#This Row],[age]]&lt;25,"1. Young Adulthood (18-24)",worksheet[[#This Row],[age]]&lt; 35,"2. Early Adulthood (25-34)",worksheet[[#This Row],[age]]&lt; 45,"3. Mid Adulthood (35-44)",worksheet[[#This Row],[age]]&lt; 55,"4. Mature Adulthood (45-54)",TRUE,"5. Late Adulthood/Senior (55+)")</f>
        <v>4. Mature Adulthood (45-54)</v>
      </c>
      <c r="D3217" t="s">
        <v>41</v>
      </c>
      <c r="E3217" t="s">
        <v>16</v>
      </c>
      <c r="F3217" s="4">
        <v>89.83</v>
      </c>
      <c r="G3217" s="5">
        <v>53</v>
      </c>
      <c r="H3217" t="s">
        <v>49</v>
      </c>
      <c r="I3217" t="s">
        <v>46</v>
      </c>
      <c r="J3217" s="6">
        <v>8.99</v>
      </c>
      <c r="K3217">
        <v>0</v>
      </c>
      <c r="L3217" t="s">
        <v>19</v>
      </c>
      <c r="M3217" s="5">
        <v>5</v>
      </c>
      <c r="N3217" s="4">
        <v>1.66</v>
      </c>
      <c r="O3217" t="s">
        <v>30</v>
      </c>
    </row>
    <row r="3218" spans="1:15" x14ac:dyDescent="0.3">
      <c r="A3218" t="s">
        <v>3705</v>
      </c>
      <c r="B3218" s="5">
        <v>47</v>
      </c>
      <c r="C3218" s="5" t="str" cm="1">
        <f t="array" ref="C3218">_xlfn.IFS(worksheet[[#This Row],[age]]&lt;25,"1. Young Adulthood (18-24)",worksheet[[#This Row],[age]]&lt; 35,"2. Early Adulthood (25-34)",worksheet[[#This Row],[age]]&lt; 45,"3. Mid Adulthood (35-44)",worksheet[[#This Row],[age]]&lt; 55,"4. Mature Adulthood (45-54)",TRUE,"5. Late Adulthood/Senior (55+)")</f>
        <v>4. Mature Adulthood (45-54)</v>
      </c>
      <c r="D3218" t="s">
        <v>27</v>
      </c>
      <c r="E3218" t="s">
        <v>16</v>
      </c>
      <c r="F3218" s="4">
        <v>2.57</v>
      </c>
      <c r="G3218" s="5">
        <v>10</v>
      </c>
      <c r="H3218" t="s">
        <v>49</v>
      </c>
      <c r="I3218" t="s">
        <v>57</v>
      </c>
      <c r="J3218" s="6">
        <v>8.99</v>
      </c>
      <c r="K3218">
        <v>1</v>
      </c>
      <c r="L3218" t="s">
        <v>19</v>
      </c>
      <c r="M3218" s="5">
        <v>5</v>
      </c>
      <c r="N3218" s="4">
        <v>0.23</v>
      </c>
      <c r="O3218" t="s">
        <v>25</v>
      </c>
    </row>
    <row r="3219" spans="1:15" x14ac:dyDescent="0.3">
      <c r="A3219" t="s">
        <v>3711</v>
      </c>
      <c r="B3219" s="5">
        <v>54</v>
      </c>
      <c r="C3219" s="5" t="str" cm="1">
        <f t="array" ref="C3219">_xlfn.IFS(worksheet[[#This Row],[age]]&lt;25,"1. Young Adulthood (18-24)",worksheet[[#This Row],[age]]&lt; 35,"2. Early Adulthood (25-34)",worksheet[[#This Row],[age]]&lt; 45,"3. Mid Adulthood (35-44)",worksheet[[#This Row],[age]]&lt; 55,"4. Mature Adulthood (45-54)",TRUE,"5. Late Adulthood/Senior (55+)")</f>
        <v>4. Mature Adulthood (45-54)</v>
      </c>
      <c r="D3219" t="s">
        <v>15</v>
      </c>
      <c r="E3219" t="s">
        <v>22</v>
      </c>
      <c r="F3219" s="4">
        <v>2.91</v>
      </c>
      <c r="G3219" s="5">
        <v>26</v>
      </c>
      <c r="H3219" t="s">
        <v>23</v>
      </c>
      <c r="I3219" t="s">
        <v>46</v>
      </c>
      <c r="J3219" s="6">
        <v>13.99</v>
      </c>
      <c r="K3219">
        <v>1</v>
      </c>
      <c r="L3219" t="s">
        <v>19</v>
      </c>
      <c r="M3219" s="5">
        <v>5</v>
      </c>
      <c r="N3219" s="4">
        <v>0.11</v>
      </c>
      <c r="O3219" t="s">
        <v>52</v>
      </c>
    </row>
    <row r="3220" spans="1:15" x14ac:dyDescent="0.3">
      <c r="A3220" t="s">
        <v>3714</v>
      </c>
      <c r="B3220" s="5">
        <v>45</v>
      </c>
      <c r="C3220" s="5" t="str" cm="1">
        <f t="array" ref="C3220">_xlfn.IFS(worksheet[[#This Row],[age]]&lt;25,"1. Young Adulthood (18-24)",worksheet[[#This Row],[age]]&lt; 35,"2. Early Adulthood (25-34)",worksheet[[#This Row],[age]]&lt; 45,"3. Mid Adulthood (35-44)",worksheet[[#This Row],[age]]&lt; 55,"4. Mature Adulthood (45-54)",TRUE,"5. Late Adulthood/Senior (55+)")</f>
        <v>4. Mature Adulthood (45-54)</v>
      </c>
      <c r="D3220" t="s">
        <v>27</v>
      </c>
      <c r="E3220" t="s">
        <v>16</v>
      </c>
      <c r="F3220" s="4">
        <v>9.77</v>
      </c>
      <c r="G3220" s="5">
        <v>16</v>
      </c>
      <c r="H3220" t="s">
        <v>28</v>
      </c>
      <c r="I3220" t="s">
        <v>46</v>
      </c>
      <c r="J3220" s="6">
        <v>8.99</v>
      </c>
      <c r="K3220">
        <v>0</v>
      </c>
      <c r="L3220" t="s">
        <v>19</v>
      </c>
      <c r="M3220" s="5">
        <v>2</v>
      </c>
      <c r="N3220" s="4">
        <v>0.56999999999999995</v>
      </c>
      <c r="O3220" t="s">
        <v>39</v>
      </c>
    </row>
    <row r="3221" spans="1:15" x14ac:dyDescent="0.3">
      <c r="A3221" t="s">
        <v>3726</v>
      </c>
      <c r="B3221" s="5">
        <v>51</v>
      </c>
      <c r="C3221" s="5" t="str" cm="1">
        <f t="array" ref="C3221">_xlfn.IFS(worksheet[[#This Row],[age]]&lt;25,"1. Young Adulthood (18-24)",worksheet[[#This Row],[age]]&lt; 35,"2. Early Adulthood (25-34)",worksheet[[#This Row],[age]]&lt; 45,"3. Mid Adulthood (35-44)",worksheet[[#This Row],[age]]&lt; 55,"4. Mature Adulthood (45-54)",TRUE,"5. Late Adulthood/Senior (55+)")</f>
        <v>4. Mature Adulthood (45-54)</v>
      </c>
      <c r="D3221" t="s">
        <v>15</v>
      </c>
      <c r="E3221" t="s">
        <v>32</v>
      </c>
      <c r="F3221" s="4">
        <v>4.43</v>
      </c>
      <c r="G3221" s="5">
        <v>9</v>
      </c>
      <c r="H3221" t="s">
        <v>49</v>
      </c>
      <c r="I3221" t="s">
        <v>46</v>
      </c>
      <c r="J3221" s="6">
        <v>17.989999999999998</v>
      </c>
      <c r="K3221">
        <v>1</v>
      </c>
      <c r="L3221" t="s">
        <v>19</v>
      </c>
      <c r="M3221" s="5">
        <v>3</v>
      </c>
      <c r="N3221" s="4">
        <v>0.44</v>
      </c>
      <c r="O3221" t="s">
        <v>34</v>
      </c>
    </row>
    <row r="3222" spans="1:15" x14ac:dyDescent="0.3">
      <c r="A3222" t="s">
        <v>3728</v>
      </c>
      <c r="B3222" s="5">
        <v>48</v>
      </c>
      <c r="C3222" s="5" t="str" cm="1">
        <f t="array" ref="C3222">_xlfn.IFS(worksheet[[#This Row],[age]]&lt;25,"1. Young Adulthood (18-24)",worksheet[[#This Row],[age]]&lt; 35,"2. Early Adulthood (25-34)",worksheet[[#This Row],[age]]&lt; 45,"3. Mid Adulthood (35-44)",worksheet[[#This Row],[age]]&lt; 55,"4. Mature Adulthood (45-54)",TRUE,"5. Late Adulthood/Senior (55+)")</f>
        <v>4. Mature Adulthood (45-54)</v>
      </c>
      <c r="D3222" t="s">
        <v>15</v>
      </c>
      <c r="E3222" t="s">
        <v>16</v>
      </c>
      <c r="F3222" s="4">
        <v>3.04</v>
      </c>
      <c r="G3222" s="5">
        <v>20</v>
      </c>
      <c r="H3222" t="s">
        <v>23</v>
      </c>
      <c r="I3222" t="s">
        <v>24</v>
      </c>
      <c r="J3222" s="6">
        <v>8.99</v>
      </c>
      <c r="K3222">
        <v>1</v>
      </c>
      <c r="L3222" t="s">
        <v>37</v>
      </c>
      <c r="M3222" s="5">
        <v>2</v>
      </c>
      <c r="N3222" s="4">
        <v>0.14000000000000001</v>
      </c>
      <c r="O3222" t="s">
        <v>20</v>
      </c>
    </row>
    <row r="3223" spans="1:15" x14ac:dyDescent="0.3">
      <c r="A3223" t="s">
        <v>3732</v>
      </c>
      <c r="B3223" s="5">
        <v>51</v>
      </c>
      <c r="C3223" s="5" t="str" cm="1">
        <f t="array" ref="C3223">_xlfn.IFS(worksheet[[#This Row],[age]]&lt;25,"1. Young Adulthood (18-24)",worksheet[[#This Row],[age]]&lt; 35,"2. Early Adulthood (25-34)",worksheet[[#This Row],[age]]&lt; 45,"3. Mid Adulthood (35-44)",worksheet[[#This Row],[age]]&lt; 55,"4. Mature Adulthood (45-54)",TRUE,"5. Late Adulthood/Senior (55+)")</f>
        <v>4. Mature Adulthood (45-54)</v>
      </c>
      <c r="D3223" t="s">
        <v>41</v>
      </c>
      <c r="E3223" t="s">
        <v>16</v>
      </c>
      <c r="F3223" s="4">
        <v>6.65</v>
      </c>
      <c r="G3223" s="5">
        <v>2</v>
      </c>
      <c r="H3223" t="s">
        <v>70</v>
      </c>
      <c r="I3223" t="s">
        <v>18</v>
      </c>
      <c r="J3223" s="6">
        <v>8.99</v>
      </c>
      <c r="K3223">
        <v>0</v>
      </c>
      <c r="L3223" t="s">
        <v>43</v>
      </c>
      <c r="M3223" s="5">
        <v>4</v>
      </c>
      <c r="N3223" s="4">
        <v>2.2200000000000002</v>
      </c>
      <c r="O3223" t="s">
        <v>34</v>
      </c>
    </row>
    <row r="3224" spans="1:15" x14ac:dyDescent="0.3">
      <c r="A3224" t="s">
        <v>3741</v>
      </c>
      <c r="B3224" s="5">
        <v>47</v>
      </c>
      <c r="C3224" s="5" t="str" cm="1">
        <f t="array" ref="C3224">_xlfn.IFS(worksheet[[#This Row],[age]]&lt;25,"1. Young Adulthood (18-24)",worksheet[[#This Row],[age]]&lt; 35,"2. Early Adulthood (25-34)",worksheet[[#This Row],[age]]&lt; 45,"3. Mid Adulthood (35-44)",worksheet[[#This Row],[age]]&lt; 55,"4. Mature Adulthood (45-54)",TRUE,"5. Late Adulthood/Senior (55+)")</f>
        <v>4. Mature Adulthood (45-54)</v>
      </c>
      <c r="D3224" t="s">
        <v>15</v>
      </c>
      <c r="E3224" t="s">
        <v>32</v>
      </c>
      <c r="F3224" s="4">
        <v>7.74</v>
      </c>
      <c r="G3224" s="5">
        <v>25</v>
      </c>
      <c r="H3224" t="s">
        <v>17</v>
      </c>
      <c r="I3224" t="s">
        <v>55</v>
      </c>
      <c r="J3224" s="6">
        <v>17.989999999999998</v>
      </c>
      <c r="K3224">
        <v>0</v>
      </c>
      <c r="L3224" t="s">
        <v>37</v>
      </c>
      <c r="M3224" s="5">
        <v>1</v>
      </c>
      <c r="N3224" s="4">
        <v>0.3</v>
      </c>
      <c r="O3224" t="s">
        <v>52</v>
      </c>
    </row>
    <row r="3225" spans="1:15" x14ac:dyDescent="0.3">
      <c r="A3225" t="s">
        <v>3751</v>
      </c>
      <c r="B3225" s="5">
        <v>48</v>
      </c>
      <c r="C3225" s="5" t="str" cm="1">
        <f t="array" ref="C3225">_xlfn.IFS(worksheet[[#This Row],[age]]&lt;25,"1. Young Adulthood (18-24)",worksheet[[#This Row],[age]]&lt; 35,"2. Early Adulthood (25-34)",worksheet[[#This Row],[age]]&lt; 45,"3. Mid Adulthood (35-44)",worksheet[[#This Row],[age]]&lt; 55,"4. Mature Adulthood (45-54)",TRUE,"5. Late Adulthood/Senior (55+)")</f>
        <v>4. Mature Adulthood (45-54)</v>
      </c>
      <c r="D3225" t="s">
        <v>27</v>
      </c>
      <c r="E3225" t="s">
        <v>22</v>
      </c>
      <c r="F3225" s="4">
        <v>3.84</v>
      </c>
      <c r="G3225" s="5">
        <v>23</v>
      </c>
      <c r="H3225" t="s">
        <v>49</v>
      </c>
      <c r="I3225" t="s">
        <v>57</v>
      </c>
      <c r="J3225" s="6">
        <v>13.99</v>
      </c>
      <c r="K3225">
        <v>1</v>
      </c>
      <c r="L3225" t="s">
        <v>29</v>
      </c>
      <c r="M3225" s="5">
        <v>1</v>
      </c>
      <c r="N3225" s="4">
        <v>0.16</v>
      </c>
      <c r="O3225" t="s">
        <v>39</v>
      </c>
    </row>
    <row r="3226" spans="1:15" x14ac:dyDescent="0.3">
      <c r="A3226" t="s">
        <v>3754</v>
      </c>
      <c r="B3226" s="5">
        <v>47</v>
      </c>
      <c r="C3226" s="5" t="str" cm="1">
        <f t="array" ref="C3226">_xlfn.IFS(worksheet[[#This Row],[age]]&lt;25,"1. Young Adulthood (18-24)",worksheet[[#This Row],[age]]&lt; 35,"2. Early Adulthood (25-34)",worksheet[[#This Row],[age]]&lt; 45,"3. Mid Adulthood (35-44)",worksheet[[#This Row],[age]]&lt; 55,"4. Mature Adulthood (45-54)",TRUE,"5. Late Adulthood/Senior (55+)")</f>
        <v>4. Mature Adulthood (45-54)</v>
      </c>
      <c r="D3226" t="s">
        <v>27</v>
      </c>
      <c r="E3226" t="s">
        <v>16</v>
      </c>
      <c r="F3226" s="4">
        <v>10.89</v>
      </c>
      <c r="G3226" s="5">
        <v>48</v>
      </c>
      <c r="H3226" t="s">
        <v>33</v>
      </c>
      <c r="I3226" t="s">
        <v>24</v>
      </c>
      <c r="J3226" s="6">
        <v>8.99</v>
      </c>
      <c r="K3226">
        <v>1</v>
      </c>
      <c r="L3226" t="s">
        <v>37</v>
      </c>
      <c r="M3226" s="5">
        <v>5</v>
      </c>
      <c r="N3226" s="4">
        <v>0.22</v>
      </c>
      <c r="O3226" t="s">
        <v>47</v>
      </c>
    </row>
    <row r="3227" spans="1:15" x14ac:dyDescent="0.3">
      <c r="A3227" t="s">
        <v>3755</v>
      </c>
      <c r="B3227" s="5">
        <v>48</v>
      </c>
      <c r="C3227" s="5" t="str" cm="1">
        <f t="array" ref="C3227">_xlfn.IFS(worksheet[[#This Row],[age]]&lt;25,"1. Young Adulthood (18-24)",worksheet[[#This Row],[age]]&lt; 35,"2. Early Adulthood (25-34)",worksheet[[#This Row],[age]]&lt; 45,"3. Mid Adulthood (35-44)",worksheet[[#This Row],[age]]&lt; 55,"4. Mature Adulthood (45-54)",TRUE,"5. Late Adulthood/Senior (55+)")</f>
        <v>4. Mature Adulthood (45-54)</v>
      </c>
      <c r="D3227" t="s">
        <v>27</v>
      </c>
      <c r="E3227" t="s">
        <v>22</v>
      </c>
      <c r="F3227" s="4">
        <v>21.16</v>
      </c>
      <c r="G3227" s="5">
        <v>28</v>
      </c>
      <c r="H3227" t="s">
        <v>49</v>
      </c>
      <c r="I3227" t="s">
        <v>24</v>
      </c>
      <c r="J3227" s="6">
        <v>13.99</v>
      </c>
      <c r="K3227">
        <v>0</v>
      </c>
      <c r="L3227" t="s">
        <v>43</v>
      </c>
      <c r="M3227" s="5">
        <v>5</v>
      </c>
      <c r="N3227" s="4">
        <v>0.73</v>
      </c>
      <c r="O3227" t="s">
        <v>47</v>
      </c>
    </row>
    <row r="3228" spans="1:15" x14ac:dyDescent="0.3">
      <c r="A3228" t="s">
        <v>3758</v>
      </c>
      <c r="B3228" s="5">
        <v>49</v>
      </c>
      <c r="C3228" s="5" t="str" cm="1">
        <f t="array" ref="C3228">_xlfn.IFS(worksheet[[#This Row],[age]]&lt;25,"1. Young Adulthood (18-24)",worksheet[[#This Row],[age]]&lt; 35,"2. Early Adulthood (25-34)",worksheet[[#This Row],[age]]&lt; 45,"3. Mid Adulthood (35-44)",worksheet[[#This Row],[age]]&lt; 55,"4. Mature Adulthood (45-54)",TRUE,"5. Late Adulthood/Senior (55+)")</f>
        <v>4. Mature Adulthood (45-54)</v>
      </c>
      <c r="D3228" t="s">
        <v>27</v>
      </c>
      <c r="E3228" t="s">
        <v>16</v>
      </c>
      <c r="F3228" s="4">
        <v>7.69</v>
      </c>
      <c r="G3228" s="5">
        <v>2</v>
      </c>
      <c r="H3228" t="s">
        <v>17</v>
      </c>
      <c r="I3228" t="s">
        <v>24</v>
      </c>
      <c r="J3228" s="6">
        <v>8.99</v>
      </c>
      <c r="K3228">
        <v>0</v>
      </c>
      <c r="L3228" t="s">
        <v>19</v>
      </c>
      <c r="M3228" s="5">
        <v>1</v>
      </c>
      <c r="N3228" s="4">
        <v>2.56</v>
      </c>
      <c r="O3228" t="s">
        <v>47</v>
      </c>
    </row>
    <row r="3229" spans="1:15" x14ac:dyDescent="0.3">
      <c r="A3229" t="s">
        <v>3763</v>
      </c>
      <c r="B3229" s="5">
        <v>54</v>
      </c>
      <c r="C3229" s="5" t="str" cm="1">
        <f t="array" ref="C3229">_xlfn.IFS(worksheet[[#This Row],[age]]&lt;25,"1. Young Adulthood (18-24)",worksheet[[#This Row],[age]]&lt; 35,"2. Early Adulthood (25-34)",worksheet[[#This Row],[age]]&lt; 45,"3. Mid Adulthood (35-44)",worksheet[[#This Row],[age]]&lt; 55,"4. Mature Adulthood (45-54)",TRUE,"5. Late Adulthood/Senior (55+)")</f>
        <v>4. Mature Adulthood (45-54)</v>
      </c>
      <c r="D3229" t="s">
        <v>41</v>
      </c>
      <c r="E3229" t="s">
        <v>32</v>
      </c>
      <c r="F3229" s="4">
        <v>10.36</v>
      </c>
      <c r="G3229" s="5">
        <v>50</v>
      </c>
      <c r="H3229" t="s">
        <v>23</v>
      </c>
      <c r="I3229" t="s">
        <v>18</v>
      </c>
      <c r="J3229" s="6">
        <v>17.989999999999998</v>
      </c>
      <c r="K3229">
        <v>0</v>
      </c>
      <c r="L3229" t="s">
        <v>61</v>
      </c>
      <c r="M3229" s="5">
        <v>5</v>
      </c>
      <c r="N3229" s="4">
        <v>0.2</v>
      </c>
      <c r="O3229" t="s">
        <v>25</v>
      </c>
    </row>
    <row r="3230" spans="1:15" x14ac:dyDescent="0.3">
      <c r="A3230" t="s">
        <v>3770</v>
      </c>
      <c r="B3230" s="5">
        <v>47</v>
      </c>
      <c r="C3230" s="5" t="str" cm="1">
        <f t="array" ref="C3230">_xlfn.IFS(worksheet[[#This Row],[age]]&lt;25,"1. Young Adulthood (18-24)",worksheet[[#This Row],[age]]&lt; 35,"2. Early Adulthood (25-34)",worksheet[[#This Row],[age]]&lt; 45,"3. Mid Adulthood (35-44)",worksheet[[#This Row],[age]]&lt; 55,"4. Mature Adulthood (45-54)",TRUE,"5. Late Adulthood/Senior (55+)")</f>
        <v>4. Mature Adulthood (45-54)</v>
      </c>
      <c r="D3230" t="s">
        <v>41</v>
      </c>
      <c r="E3230" t="s">
        <v>22</v>
      </c>
      <c r="F3230" s="4">
        <v>4.22</v>
      </c>
      <c r="G3230" s="5">
        <v>12</v>
      </c>
      <c r="H3230" t="s">
        <v>49</v>
      </c>
      <c r="I3230" t="s">
        <v>24</v>
      </c>
      <c r="J3230" s="6">
        <v>13.99</v>
      </c>
      <c r="K3230">
        <v>1</v>
      </c>
      <c r="L3230" t="s">
        <v>37</v>
      </c>
      <c r="M3230" s="5">
        <v>3</v>
      </c>
      <c r="N3230" s="4">
        <v>0.32</v>
      </c>
      <c r="O3230" t="s">
        <v>30</v>
      </c>
    </row>
    <row r="3231" spans="1:15" x14ac:dyDescent="0.3">
      <c r="A3231" t="s">
        <v>3776</v>
      </c>
      <c r="B3231" s="5">
        <v>54</v>
      </c>
      <c r="C3231" s="5" t="str" cm="1">
        <f t="array" ref="C3231">_xlfn.IFS(worksheet[[#This Row],[age]]&lt;25,"1. Young Adulthood (18-24)",worksheet[[#This Row],[age]]&lt; 35,"2. Early Adulthood (25-34)",worksheet[[#This Row],[age]]&lt; 45,"3. Mid Adulthood (35-44)",worksheet[[#This Row],[age]]&lt; 55,"4. Mature Adulthood (45-54)",TRUE,"5. Late Adulthood/Senior (55+)")</f>
        <v>4. Mature Adulthood (45-54)</v>
      </c>
      <c r="D3231" t="s">
        <v>15</v>
      </c>
      <c r="E3231" t="s">
        <v>22</v>
      </c>
      <c r="F3231" s="4">
        <v>3.47</v>
      </c>
      <c r="G3231" s="5">
        <v>31</v>
      </c>
      <c r="H3231" t="s">
        <v>17</v>
      </c>
      <c r="I3231" t="s">
        <v>46</v>
      </c>
      <c r="J3231" s="6">
        <v>13.99</v>
      </c>
      <c r="K3231">
        <v>1</v>
      </c>
      <c r="L3231" t="s">
        <v>43</v>
      </c>
      <c r="M3231" s="5">
        <v>5</v>
      </c>
      <c r="N3231" s="4">
        <v>0.11</v>
      </c>
      <c r="O3231" t="s">
        <v>52</v>
      </c>
    </row>
    <row r="3232" spans="1:15" x14ac:dyDescent="0.3">
      <c r="A3232" t="s">
        <v>3780</v>
      </c>
      <c r="B3232" s="5">
        <v>53</v>
      </c>
      <c r="C3232" s="5" t="str" cm="1">
        <f t="array" ref="C3232">_xlfn.IFS(worksheet[[#This Row],[age]]&lt;25,"1. Young Adulthood (18-24)",worksheet[[#This Row],[age]]&lt; 35,"2. Early Adulthood (25-34)",worksheet[[#This Row],[age]]&lt; 45,"3. Mid Adulthood (35-44)",worksheet[[#This Row],[age]]&lt; 55,"4. Mature Adulthood (45-54)",TRUE,"5. Late Adulthood/Senior (55+)")</f>
        <v>4. Mature Adulthood (45-54)</v>
      </c>
      <c r="D3232" t="s">
        <v>41</v>
      </c>
      <c r="E3232" t="s">
        <v>22</v>
      </c>
      <c r="F3232" s="4">
        <v>3.74</v>
      </c>
      <c r="G3232" s="5">
        <v>21</v>
      </c>
      <c r="H3232" t="s">
        <v>17</v>
      </c>
      <c r="I3232" t="s">
        <v>46</v>
      </c>
      <c r="J3232" s="6">
        <v>13.99</v>
      </c>
      <c r="K3232">
        <v>1</v>
      </c>
      <c r="L3232" t="s">
        <v>37</v>
      </c>
      <c r="M3232" s="5">
        <v>3</v>
      </c>
      <c r="N3232" s="4">
        <v>0.17</v>
      </c>
      <c r="O3232" t="s">
        <v>39</v>
      </c>
    </row>
    <row r="3233" spans="1:15" x14ac:dyDescent="0.3">
      <c r="A3233" t="s">
        <v>3781</v>
      </c>
      <c r="B3233" s="5">
        <v>51</v>
      </c>
      <c r="C3233" s="5" t="str" cm="1">
        <f t="array" ref="C3233">_xlfn.IFS(worksheet[[#This Row],[age]]&lt;25,"1. Young Adulthood (18-24)",worksheet[[#This Row],[age]]&lt; 35,"2. Early Adulthood (25-34)",worksheet[[#This Row],[age]]&lt; 45,"3. Mid Adulthood (35-44)",worksheet[[#This Row],[age]]&lt; 55,"4. Mature Adulthood (45-54)",TRUE,"5. Late Adulthood/Senior (55+)")</f>
        <v>4. Mature Adulthood (45-54)</v>
      </c>
      <c r="D3233" t="s">
        <v>27</v>
      </c>
      <c r="E3233" t="s">
        <v>32</v>
      </c>
      <c r="F3233" s="4">
        <v>0.46</v>
      </c>
      <c r="G3233" s="5">
        <v>7</v>
      </c>
      <c r="H3233" t="s">
        <v>17</v>
      </c>
      <c r="I3233" t="s">
        <v>18</v>
      </c>
      <c r="J3233" s="6">
        <v>17.989999999999998</v>
      </c>
      <c r="K3233">
        <v>1</v>
      </c>
      <c r="L3233" t="s">
        <v>43</v>
      </c>
      <c r="M3233" s="5">
        <v>2</v>
      </c>
      <c r="N3233" s="4">
        <v>0.06</v>
      </c>
      <c r="O3233" t="s">
        <v>30</v>
      </c>
    </row>
    <row r="3234" spans="1:15" x14ac:dyDescent="0.3">
      <c r="A3234" t="s">
        <v>3787</v>
      </c>
      <c r="B3234" s="5">
        <v>45</v>
      </c>
      <c r="C3234" s="5" t="str" cm="1">
        <f t="array" ref="C3234">_xlfn.IFS(worksheet[[#This Row],[age]]&lt;25,"1. Young Adulthood (18-24)",worksheet[[#This Row],[age]]&lt; 35,"2. Early Adulthood (25-34)",worksheet[[#This Row],[age]]&lt; 45,"3. Mid Adulthood (35-44)",worksheet[[#This Row],[age]]&lt; 55,"4. Mature Adulthood (45-54)",TRUE,"5. Late Adulthood/Senior (55+)")</f>
        <v>4. Mature Adulthood (45-54)</v>
      </c>
      <c r="D3234" t="s">
        <v>27</v>
      </c>
      <c r="E3234" t="s">
        <v>32</v>
      </c>
      <c r="F3234" s="4">
        <v>9.2799999999999994</v>
      </c>
      <c r="G3234" s="5">
        <v>34</v>
      </c>
      <c r="H3234" t="s">
        <v>23</v>
      </c>
      <c r="I3234" t="s">
        <v>46</v>
      </c>
      <c r="J3234" s="6">
        <v>17.989999999999998</v>
      </c>
      <c r="K3234">
        <v>1</v>
      </c>
      <c r="L3234" t="s">
        <v>61</v>
      </c>
      <c r="M3234" s="5">
        <v>2</v>
      </c>
      <c r="N3234" s="4">
        <v>0.27</v>
      </c>
      <c r="O3234" t="s">
        <v>34</v>
      </c>
    </row>
    <row r="3235" spans="1:15" x14ac:dyDescent="0.3">
      <c r="A3235" t="s">
        <v>3800</v>
      </c>
      <c r="B3235" s="5">
        <v>47</v>
      </c>
      <c r="C3235" s="5" t="str" cm="1">
        <f t="array" ref="C3235">_xlfn.IFS(worksheet[[#This Row],[age]]&lt;25,"1. Young Adulthood (18-24)",worksheet[[#This Row],[age]]&lt; 35,"2. Early Adulthood (25-34)",worksheet[[#This Row],[age]]&lt; 45,"3. Mid Adulthood (35-44)",worksheet[[#This Row],[age]]&lt; 55,"4. Mature Adulthood (45-54)",TRUE,"5. Late Adulthood/Senior (55+)")</f>
        <v>4. Mature Adulthood (45-54)</v>
      </c>
      <c r="D3235" t="s">
        <v>15</v>
      </c>
      <c r="E3235" t="s">
        <v>32</v>
      </c>
      <c r="F3235" s="4">
        <v>12.6</v>
      </c>
      <c r="G3235" s="5">
        <v>52</v>
      </c>
      <c r="H3235" t="s">
        <v>17</v>
      </c>
      <c r="I3235" t="s">
        <v>18</v>
      </c>
      <c r="J3235" s="6">
        <v>17.989999999999998</v>
      </c>
      <c r="K3235">
        <v>1</v>
      </c>
      <c r="L3235" t="s">
        <v>29</v>
      </c>
      <c r="M3235" s="5">
        <v>5</v>
      </c>
      <c r="N3235" s="4">
        <v>0.24</v>
      </c>
      <c r="O3235" t="s">
        <v>25</v>
      </c>
    </row>
    <row r="3236" spans="1:15" x14ac:dyDescent="0.3">
      <c r="A3236" t="s">
        <v>3805</v>
      </c>
      <c r="B3236" s="5">
        <v>48</v>
      </c>
      <c r="C3236" s="5" t="str" cm="1">
        <f t="array" ref="C3236">_xlfn.IFS(worksheet[[#This Row],[age]]&lt;25,"1. Young Adulthood (18-24)",worksheet[[#This Row],[age]]&lt; 35,"2. Early Adulthood (25-34)",worksheet[[#This Row],[age]]&lt; 45,"3. Mid Adulthood (35-44)",worksheet[[#This Row],[age]]&lt; 55,"4. Mature Adulthood (45-54)",TRUE,"5. Late Adulthood/Senior (55+)")</f>
        <v>4. Mature Adulthood (45-54)</v>
      </c>
      <c r="D3236" t="s">
        <v>27</v>
      </c>
      <c r="E3236" t="s">
        <v>16</v>
      </c>
      <c r="F3236" s="4">
        <v>4.59</v>
      </c>
      <c r="G3236" s="5">
        <v>55</v>
      </c>
      <c r="H3236" t="s">
        <v>49</v>
      </c>
      <c r="I3236" t="s">
        <v>57</v>
      </c>
      <c r="J3236" s="6">
        <v>8.99</v>
      </c>
      <c r="K3236">
        <v>1</v>
      </c>
      <c r="L3236" t="s">
        <v>37</v>
      </c>
      <c r="M3236" s="5">
        <v>1</v>
      </c>
      <c r="N3236" s="4">
        <v>0.08</v>
      </c>
      <c r="O3236" t="s">
        <v>30</v>
      </c>
    </row>
    <row r="3237" spans="1:15" x14ac:dyDescent="0.3">
      <c r="A3237" t="s">
        <v>3815</v>
      </c>
      <c r="B3237" s="5">
        <v>50</v>
      </c>
      <c r="C3237" s="5" t="str" cm="1">
        <f t="array" ref="C3237">_xlfn.IFS(worksheet[[#This Row],[age]]&lt;25,"1. Young Adulthood (18-24)",worksheet[[#This Row],[age]]&lt; 35,"2. Early Adulthood (25-34)",worksheet[[#This Row],[age]]&lt; 45,"3. Mid Adulthood (35-44)",worksheet[[#This Row],[age]]&lt; 55,"4. Mature Adulthood (45-54)",TRUE,"5. Late Adulthood/Senior (55+)")</f>
        <v>4. Mature Adulthood (45-54)</v>
      </c>
      <c r="D3237" t="s">
        <v>41</v>
      </c>
      <c r="E3237" t="s">
        <v>32</v>
      </c>
      <c r="F3237" s="4">
        <v>7.96</v>
      </c>
      <c r="G3237" s="5">
        <v>51</v>
      </c>
      <c r="H3237" t="s">
        <v>33</v>
      </c>
      <c r="I3237" t="s">
        <v>57</v>
      </c>
      <c r="J3237" s="6">
        <v>17.989999999999998</v>
      </c>
      <c r="K3237">
        <v>1</v>
      </c>
      <c r="L3237" t="s">
        <v>19</v>
      </c>
      <c r="M3237" s="5">
        <v>5</v>
      </c>
      <c r="N3237" s="4">
        <v>0.15</v>
      </c>
      <c r="O3237" t="s">
        <v>34</v>
      </c>
    </row>
    <row r="3238" spans="1:15" x14ac:dyDescent="0.3">
      <c r="A3238" t="s">
        <v>3834</v>
      </c>
      <c r="B3238" s="5">
        <v>48</v>
      </c>
      <c r="C3238" s="5" t="str" cm="1">
        <f t="array" ref="C3238">_xlfn.IFS(worksheet[[#This Row],[age]]&lt;25,"1. Young Adulthood (18-24)",worksheet[[#This Row],[age]]&lt; 35,"2. Early Adulthood (25-34)",worksheet[[#This Row],[age]]&lt; 45,"3. Mid Adulthood (35-44)",worksheet[[#This Row],[age]]&lt; 55,"4. Mature Adulthood (45-54)",TRUE,"5. Late Adulthood/Senior (55+)")</f>
        <v>4. Mature Adulthood (45-54)</v>
      </c>
      <c r="D3238" t="s">
        <v>41</v>
      </c>
      <c r="E3238" t="s">
        <v>16</v>
      </c>
      <c r="F3238" s="4">
        <v>6.44</v>
      </c>
      <c r="G3238" s="5">
        <v>40</v>
      </c>
      <c r="H3238" t="s">
        <v>28</v>
      </c>
      <c r="I3238" t="s">
        <v>55</v>
      </c>
      <c r="J3238" s="6">
        <v>8.99</v>
      </c>
      <c r="K3238">
        <v>1</v>
      </c>
      <c r="L3238" t="s">
        <v>29</v>
      </c>
      <c r="M3238" s="5">
        <v>5</v>
      </c>
      <c r="N3238" s="4">
        <v>0.16</v>
      </c>
      <c r="O3238" t="s">
        <v>52</v>
      </c>
    </row>
    <row r="3239" spans="1:15" x14ac:dyDescent="0.3">
      <c r="A3239" t="s">
        <v>3836</v>
      </c>
      <c r="B3239" s="5">
        <v>50</v>
      </c>
      <c r="C3239" s="5" t="str" cm="1">
        <f t="array" ref="C3239">_xlfn.IFS(worksheet[[#This Row],[age]]&lt;25,"1. Young Adulthood (18-24)",worksheet[[#This Row],[age]]&lt; 35,"2. Early Adulthood (25-34)",worksheet[[#This Row],[age]]&lt; 45,"3. Mid Adulthood (35-44)",worksheet[[#This Row],[age]]&lt; 55,"4. Mature Adulthood (45-54)",TRUE,"5. Late Adulthood/Senior (55+)")</f>
        <v>4. Mature Adulthood (45-54)</v>
      </c>
      <c r="D3239" t="s">
        <v>15</v>
      </c>
      <c r="E3239" t="s">
        <v>16</v>
      </c>
      <c r="F3239" s="4">
        <v>3.37</v>
      </c>
      <c r="G3239" s="5">
        <v>3</v>
      </c>
      <c r="H3239" t="s">
        <v>49</v>
      </c>
      <c r="I3239" t="s">
        <v>24</v>
      </c>
      <c r="J3239" s="6">
        <v>8.99</v>
      </c>
      <c r="K3239">
        <v>0</v>
      </c>
      <c r="L3239" t="s">
        <v>61</v>
      </c>
      <c r="M3239" s="5">
        <v>3</v>
      </c>
      <c r="N3239" s="4">
        <v>0.84</v>
      </c>
      <c r="O3239" t="s">
        <v>52</v>
      </c>
    </row>
    <row r="3240" spans="1:15" x14ac:dyDescent="0.3">
      <c r="A3240" t="s">
        <v>3842</v>
      </c>
      <c r="B3240" s="5">
        <v>47</v>
      </c>
      <c r="C3240" s="5" t="str" cm="1">
        <f t="array" ref="C3240">_xlfn.IFS(worksheet[[#This Row],[age]]&lt;25,"1. Young Adulthood (18-24)",worksheet[[#This Row],[age]]&lt; 35,"2. Early Adulthood (25-34)",worksheet[[#This Row],[age]]&lt; 45,"3. Mid Adulthood (35-44)",worksheet[[#This Row],[age]]&lt; 55,"4. Mature Adulthood (45-54)",TRUE,"5. Late Adulthood/Senior (55+)")</f>
        <v>4. Mature Adulthood (45-54)</v>
      </c>
      <c r="D3240" t="s">
        <v>15</v>
      </c>
      <c r="E3240" t="s">
        <v>32</v>
      </c>
      <c r="F3240" s="4">
        <v>33.79</v>
      </c>
      <c r="G3240" s="5">
        <v>52</v>
      </c>
      <c r="H3240" t="s">
        <v>28</v>
      </c>
      <c r="I3240" t="s">
        <v>57</v>
      </c>
      <c r="J3240" s="6">
        <v>17.989999999999998</v>
      </c>
      <c r="K3240">
        <v>0</v>
      </c>
      <c r="L3240" t="s">
        <v>37</v>
      </c>
      <c r="M3240" s="5">
        <v>3</v>
      </c>
      <c r="N3240" s="4">
        <v>0.64</v>
      </c>
      <c r="O3240" t="s">
        <v>30</v>
      </c>
    </row>
    <row r="3241" spans="1:15" x14ac:dyDescent="0.3">
      <c r="A3241" t="s">
        <v>3845</v>
      </c>
      <c r="B3241" s="5">
        <v>47</v>
      </c>
      <c r="C3241" s="5" t="str" cm="1">
        <f t="array" ref="C3241">_xlfn.IFS(worksheet[[#This Row],[age]]&lt;25,"1. Young Adulthood (18-24)",worksheet[[#This Row],[age]]&lt; 35,"2. Early Adulthood (25-34)",worksheet[[#This Row],[age]]&lt; 45,"3. Mid Adulthood (35-44)",worksheet[[#This Row],[age]]&lt; 55,"4. Mature Adulthood (45-54)",TRUE,"5. Late Adulthood/Senior (55+)")</f>
        <v>4. Mature Adulthood (45-54)</v>
      </c>
      <c r="D3241" t="s">
        <v>41</v>
      </c>
      <c r="E3241" t="s">
        <v>32</v>
      </c>
      <c r="F3241" s="4">
        <v>22.31</v>
      </c>
      <c r="G3241" s="5">
        <v>6</v>
      </c>
      <c r="H3241" t="s">
        <v>17</v>
      </c>
      <c r="I3241" t="s">
        <v>18</v>
      </c>
      <c r="J3241" s="6">
        <v>17.989999999999998</v>
      </c>
      <c r="K3241">
        <v>0</v>
      </c>
      <c r="L3241" t="s">
        <v>19</v>
      </c>
      <c r="M3241" s="5">
        <v>3</v>
      </c>
      <c r="N3241" s="4">
        <v>3.19</v>
      </c>
      <c r="O3241" t="s">
        <v>47</v>
      </c>
    </row>
    <row r="3242" spans="1:15" x14ac:dyDescent="0.3">
      <c r="A3242" t="s">
        <v>3846</v>
      </c>
      <c r="B3242" s="5">
        <v>50</v>
      </c>
      <c r="C3242" s="5" t="str" cm="1">
        <f t="array" ref="C3242">_xlfn.IFS(worksheet[[#This Row],[age]]&lt;25,"1. Young Adulthood (18-24)",worksheet[[#This Row],[age]]&lt; 35,"2. Early Adulthood (25-34)",worksheet[[#This Row],[age]]&lt; 45,"3. Mid Adulthood (35-44)",worksheet[[#This Row],[age]]&lt; 55,"4. Mature Adulthood (45-54)",TRUE,"5. Late Adulthood/Senior (55+)")</f>
        <v>4. Mature Adulthood (45-54)</v>
      </c>
      <c r="D3242" t="s">
        <v>27</v>
      </c>
      <c r="E3242" t="s">
        <v>16</v>
      </c>
      <c r="F3242" s="4">
        <v>7.45</v>
      </c>
      <c r="G3242" s="5">
        <v>2</v>
      </c>
      <c r="H3242" t="s">
        <v>23</v>
      </c>
      <c r="I3242" t="s">
        <v>46</v>
      </c>
      <c r="J3242" s="6">
        <v>8.99</v>
      </c>
      <c r="K3242">
        <v>0</v>
      </c>
      <c r="L3242" t="s">
        <v>19</v>
      </c>
      <c r="M3242" s="5">
        <v>3</v>
      </c>
      <c r="N3242" s="4">
        <v>2.48</v>
      </c>
      <c r="O3242" t="s">
        <v>25</v>
      </c>
    </row>
    <row r="3243" spans="1:15" x14ac:dyDescent="0.3">
      <c r="A3243" t="s">
        <v>3850</v>
      </c>
      <c r="B3243" s="5">
        <v>51</v>
      </c>
      <c r="C3243" s="5" t="str" cm="1">
        <f t="array" ref="C3243">_xlfn.IFS(worksheet[[#This Row],[age]]&lt;25,"1. Young Adulthood (18-24)",worksheet[[#This Row],[age]]&lt; 35,"2. Early Adulthood (25-34)",worksheet[[#This Row],[age]]&lt; 45,"3. Mid Adulthood (35-44)",worksheet[[#This Row],[age]]&lt; 55,"4. Mature Adulthood (45-54)",TRUE,"5. Late Adulthood/Senior (55+)")</f>
        <v>4. Mature Adulthood (45-54)</v>
      </c>
      <c r="D3243" t="s">
        <v>41</v>
      </c>
      <c r="E3243" t="s">
        <v>32</v>
      </c>
      <c r="F3243" s="4">
        <v>0.19</v>
      </c>
      <c r="G3243" s="5">
        <v>20</v>
      </c>
      <c r="H3243" t="s">
        <v>17</v>
      </c>
      <c r="I3243" t="s">
        <v>18</v>
      </c>
      <c r="J3243" s="6">
        <v>17.989999999999998</v>
      </c>
      <c r="K3243">
        <v>0</v>
      </c>
      <c r="L3243" t="s">
        <v>37</v>
      </c>
      <c r="M3243" s="5">
        <v>4</v>
      </c>
      <c r="N3243" s="4">
        <v>0.01</v>
      </c>
      <c r="O3243" t="s">
        <v>39</v>
      </c>
    </row>
    <row r="3244" spans="1:15" x14ac:dyDescent="0.3">
      <c r="A3244" t="s">
        <v>3851</v>
      </c>
      <c r="B3244" s="5">
        <v>50</v>
      </c>
      <c r="C3244" s="5" t="str" cm="1">
        <f t="array" ref="C3244">_xlfn.IFS(worksheet[[#This Row],[age]]&lt;25,"1. Young Adulthood (18-24)",worksheet[[#This Row],[age]]&lt; 35,"2. Early Adulthood (25-34)",worksheet[[#This Row],[age]]&lt; 45,"3. Mid Adulthood (35-44)",worksheet[[#This Row],[age]]&lt; 55,"4. Mature Adulthood (45-54)",TRUE,"5. Late Adulthood/Senior (55+)")</f>
        <v>4. Mature Adulthood (45-54)</v>
      </c>
      <c r="D3244" t="s">
        <v>41</v>
      </c>
      <c r="E3244" t="s">
        <v>32</v>
      </c>
      <c r="F3244" s="4">
        <v>13.05</v>
      </c>
      <c r="G3244" s="5">
        <v>31</v>
      </c>
      <c r="H3244" t="s">
        <v>28</v>
      </c>
      <c r="I3244" t="s">
        <v>57</v>
      </c>
      <c r="J3244" s="6">
        <v>17.989999999999998</v>
      </c>
      <c r="K3244">
        <v>0</v>
      </c>
      <c r="L3244" t="s">
        <v>37</v>
      </c>
      <c r="M3244" s="5">
        <v>4</v>
      </c>
      <c r="N3244" s="4">
        <v>0.41</v>
      </c>
      <c r="O3244" t="s">
        <v>34</v>
      </c>
    </row>
    <row r="3245" spans="1:15" x14ac:dyDescent="0.3">
      <c r="A3245" t="s">
        <v>3853</v>
      </c>
      <c r="B3245" s="5">
        <v>53</v>
      </c>
      <c r="C3245" s="5" t="str" cm="1">
        <f t="array" ref="C3245">_xlfn.IFS(worksheet[[#This Row],[age]]&lt;25,"1. Young Adulthood (18-24)",worksheet[[#This Row],[age]]&lt; 35,"2. Early Adulthood (25-34)",worksheet[[#This Row],[age]]&lt; 45,"3. Mid Adulthood (35-44)",worksheet[[#This Row],[age]]&lt; 55,"4. Mature Adulthood (45-54)",TRUE,"5. Late Adulthood/Senior (55+)")</f>
        <v>4. Mature Adulthood (45-54)</v>
      </c>
      <c r="D3245" t="s">
        <v>41</v>
      </c>
      <c r="E3245" t="s">
        <v>32</v>
      </c>
      <c r="F3245" s="4">
        <v>1.83</v>
      </c>
      <c r="G3245" s="5">
        <v>15</v>
      </c>
      <c r="H3245" t="s">
        <v>70</v>
      </c>
      <c r="I3245" t="s">
        <v>57</v>
      </c>
      <c r="J3245" s="6">
        <v>17.989999999999998</v>
      </c>
      <c r="K3245">
        <v>1</v>
      </c>
      <c r="L3245" t="s">
        <v>43</v>
      </c>
      <c r="M3245" s="5">
        <v>3</v>
      </c>
      <c r="N3245" s="4">
        <v>0.11</v>
      </c>
      <c r="O3245" t="s">
        <v>30</v>
      </c>
    </row>
    <row r="3246" spans="1:15" x14ac:dyDescent="0.3">
      <c r="A3246" t="s">
        <v>3871</v>
      </c>
      <c r="B3246" s="5">
        <v>46</v>
      </c>
      <c r="C3246" s="5" t="str" cm="1">
        <f t="array" ref="C3246">_xlfn.IFS(worksheet[[#This Row],[age]]&lt;25,"1. Young Adulthood (18-24)",worksheet[[#This Row],[age]]&lt; 35,"2. Early Adulthood (25-34)",worksheet[[#This Row],[age]]&lt; 45,"3. Mid Adulthood (35-44)",worksheet[[#This Row],[age]]&lt; 55,"4. Mature Adulthood (45-54)",TRUE,"5. Late Adulthood/Senior (55+)")</f>
        <v>4. Mature Adulthood (45-54)</v>
      </c>
      <c r="D3246" t="s">
        <v>15</v>
      </c>
      <c r="E3246" t="s">
        <v>16</v>
      </c>
      <c r="F3246" s="4">
        <v>8.48</v>
      </c>
      <c r="G3246" s="5">
        <v>34</v>
      </c>
      <c r="H3246" t="s">
        <v>49</v>
      </c>
      <c r="I3246" t="s">
        <v>18</v>
      </c>
      <c r="J3246" s="6">
        <v>8.99</v>
      </c>
      <c r="K3246">
        <v>1</v>
      </c>
      <c r="L3246" t="s">
        <v>37</v>
      </c>
      <c r="M3246" s="5">
        <v>5</v>
      </c>
      <c r="N3246" s="4">
        <v>0.24</v>
      </c>
      <c r="O3246" t="s">
        <v>47</v>
      </c>
    </row>
    <row r="3247" spans="1:15" x14ac:dyDescent="0.3">
      <c r="A3247" t="s">
        <v>3875</v>
      </c>
      <c r="B3247" s="5">
        <v>52</v>
      </c>
      <c r="C3247" s="5" t="str" cm="1">
        <f t="array" ref="C3247">_xlfn.IFS(worksheet[[#This Row],[age]]&lt;25,"1. Young Adulthood (18-24)",worksheet[[#This Row],[age]]&lt; 35,"2. Early Adulthood (25-34)",worksheet[[#This Row],[age]]&lt; 45,"3. Mid Adulthood (35-44)",worksheet[[#This Row],[age]]&lt; 55,"4. Mature Adulthood (45-54)",TRUE,"5. Late Adulthood/Senior (55+)")</f>
        <v>4. Mature Adulthood (45-54)</v>
      </c>
      <c r="D3247" t="s">
        <v>27</v>
      </c>
      <c r="E3247" t="s">
        <v>16</v>
      </c>
      <c r="F3247" s="4">
        <v>41.33</v>
      </c>
      <c r="G3247" s="5">
        <v>41</v>
      </c>
      <c r="H3247" t="s">
        <v>70</v>
      </c>
      <c r="I3247" t="s">
        <v>46</v>
      </c>
      <c r="J3247" s="6">
        <v>8.99</v>
      </c>
      <c r="K3247">
        <v>1</v>
      </c>
      <c r="L3247" t="s">
        <v>19</v>
      </c>
      <c r="M3247" s="5">
        <v>1</v>
      </c>
      <c r="N3247" s="4">
        <v>0.98</v>
      </c>
      <c r="O3247" t="s">
        <v>25</v>
      </c>
    </row>
    <row r="3248" spans="1:15" x14ac:dyDescent="0.3">
      <c r="A3248" t="s">
        <v>3876</v>
      </c>
      <c r="B3248" s="5">
        <v>50</v>
      </c>
      <c r="C3248" s="5" t="str" cm="1">
        <f t="array" ref="C3248">_xlfn.IFS(worksheet[[#This Row],[age]]&lt;25,"1. Young Adulthood (18-24)",worksheet[[#This Row],[age]]&lt; 35,"2. Early Adulthood (25-34)",worksheet[[#This Row],[age]]&lt; 45,"3. Mid Adulthood (35-44)",worksheet[[#This Row],[age]]&lt; 55,"4. Mature Adulthood (45-54)",TRUE,"5. Late Adulthood/Senior (55+)")</f>
        <v>4. Mature Adulthood (45-54)</v>
      </c>
      <c r="D3248" t="s">
        <v>41</v>
      </c>
      <c r="E3248" t="s">
        <v>32</v>
      </c>
      <c r="F3248" s="4">
        <v>25.98</v>
      </c>
      <c r="G3248" s="5">
        <v>37</v>
      </c>
      <c r="H3248" t="s">
        <v>33</v>
      </c>
      <c r="I3248" t="s">
        <v>57</v>
      </c>
      <c r="J3248" s="6">
        <v>17.989999999999998</v>
      </c>
      <c r="K3248">
        <v>0</v>
      </c>
      <c r="L3248" t="s">
        <v>43</v>
      </c>
      <c r="M3248" s="5">
        <v>5</v>
      </c>
      <c r="N3248" s="4">
        <v>0.68</v>
      </c>
      <c r="O3248" t="s">
        <v>30</v>
      </c>
    </row>
    <row r="3249" spans="1:15" x14ac:dyDescent="0.3">
      <c r="A3249" t="s">
        <v>3878</v>
      </c>
      <c r="B3249" s="5">
        <v>50</v>
      </c>
      <c r="C3249" s="5" t="str" cm="1">
        <f t="array" ref="C3249">_xlfn.IFS(worksheet[[#This Row],[age]]&lt;25,"1. Young Adulthood (18-24)",worksheet[[#This Row],[age]]&lt; 35,"2. Early Adulthood (25-34)",worksheet[[#This Row],[age]]&lt; 45,"3. Mid Adulthood (35-44)",worksheet[[#This Row],[age]]&lt; 55,"4. Mature Adulthood (45-54)",TRUE,"5. Late Adulthood/Senior (55+)")</f>
        <v>4. Mature Adulthood (45-54)</v>
      </c>
      <c r="D3249" t="s">
        <v>15</v>
      </c>
      <c r="E3249" t="s">
        <v>16</v>
      </c>
      <c r="F3249" s="4">
        <v>2.85</v>
      </c>
      <c r="G3249" s="5">
        <v>22</v>
      </c>
      <c r="H3249" t="s">
        <v>23</v>
      </c>
      <c r="I3249" t="s">
        <v>55</v>
      </c>
      <c r="J3249" s="6">
        <v>8.99</v>
      </c>
      <c r="K3249">
        <v>1</v>
      </c>
      <c r="L3249" t="s">
        <v>37</v>
      </c>
      <c r="M3249" s="5">
        <v>1</v>
      </c>
      <c r="N3249" s="4">
        <v>0.12</v>
      </c>
      <c r="O3249" t="s">
        <v>30</v>
      </c>
    </row>
    <row r="3250" spans="1:15" x14ac:dyDescent="0.3">
      <c r="A3250" t="s">
        <v>3896</v>
      </c>
      <c r="B3250" s="5">
        <v>49</v>
      </c>
      <c r="C3250" s="5" t="str" cm="1">
        <f t="array" ref="C3250">_xlfn.IFS(worksheet[[#This Row],[age]]&lt;25,"1. Young Adulthood (18-24)",worksheet[[#This Row],[age]]&lt; 35,"2. Early Adulthood (25-34)",worksheet[[#This Row],[age]]&lt; 45,"3. Mid Adulthood (35-44)",worksheet[[#This Row],[age]]&lt; 55,"4. Mature Adulthood (45-54)",TRUE,"5. Late Adulthood/Senior (55+)")</f>
        <v>4. Mature Adulthood (45-54)</v>
      </c>
      <c r="D3250" t="s">
        <v>27</v>
      </c>
      <c r="E3250" t="s">
        <v>16</v>
      </c>
      <c r="F3250" s="4">
        <v>1.58</v>
      </c>
      <c r="G3250" s="5">
        <v>29</v>
      </c>
      <c r="H3250" t="s">
        <v>70</v>
      </c>
      <c r="I3250" t="s">
        <v>57</v>
      </c>
      <c r="J3250" s="6">
        <v>8.99</v>
      </c>
      <c r="K3250">
        <v>1</v>
      </c>
      <c r="L3250" t="s">
        <v>61</v>
      </c>
      <c r="M3250" s="5">
        <v>4</v>
      </c>
      <c r="N3250" s="4">
        <v>0.05</v>
      </c>
      <c r="O3250" t="s">
        <v>47</v>
      </c>
    </row>
    <row r="3251" spans="1:15" x14ac:dyDescent="0.3">
      <c r="A3251" t="s">
        <v>3897</v>
      </c>
      <c r="B3251" s="5">
        <v>49</v>
      </c>
      <c r="C3251" s="5" t="str" cm="1">
        <f t="array" ref="C3251">_xlfn.IFS(worksheet[[#This Row],[age]]&lt;25,"1. Young Adulthood (18-24)",worksheet[[#This Row],[age]]&lt; 35,"2. Early Adulthood (25-34)",worksheet[[#This Row],[age]]&lt; 45,"3. Mid Adulthood (35-44)",worksheet[[#This Row],[age]]&lt; 55,"4. Mature Adulthood (45-54)",TRUE,"5. Late Adulthood/Senior (55+)")</f>
        <v>4. Mature Adulthood (45-54)</v>
      </c>
      <c r="D3251" t="s">
        <v>15</v>
      </c>
      <c r="E3251" t="s">
        <v>22</v>
      </c>
      <c r="F3251" s="4">
        <v>2.76</v>
      </c>
      <c r="G3251" s="5">
        <v>20</v>
      </c>
      <c r="H3251" t="s">
        <v>23</v>
      </c>
      <c r="I3251" t="s">
        <v>24</v>
      </c>
      <c r="J3251" s="6">
        <v>13.99</v>
      </c>
      <c r="K3251">
        <v>0</v>
      </c>
      <c r="L3251" t="s">
        <v>37</v>
      </c>
      <c r="M3251" s="5">
        <v>4</v>
      </c>
      <c r="N3251" s="4">
        <v>0.13</v>
      </c>
      <c r="O3251" t="s">
        <v>20</v>
      </c>
    </row>
    <row r="3252" spans="1:15" x14ac:dyDescent="0.3">
      <c r="A3252" t="s">
        <v>3902</v>
      </c>
      <c r="B3252" s="5">
        <v>53</v>
      </c>
      <c r="C3252" s="5" t="str" cm="1">
        <f t="array" ref="C3252">_xlfn.IFS(worksheet[[#This Row],[age]]&lt;25,"1. Young Adulthood (18-24)",worksheet[[#This Row],[age]]&lt; 35,"2. Early Adulthood (25-34)",worksheet[[#This Row],[age]]&lt; 45,"3. Mid Adulthood (35-44)",worksheet[[#This Row],[age]]&lt; 55,"4. Mature Adulthood (45-54)",TRUE,"5. Late Adulthood/Senior (55+)")</f>
        <v>4. Mature Adulthood (45-54)</v>
      </c>
      <c r="D3252" t="s">
        <v>27</v>
      </c>
      <c r="E3252" t="s">
        <v>22</v>
      </c>
      <c r="F3252" s="4">
        <v>3.47</v>
      </c>
      <c r="G3252" s="5">
        <v>38</v>
      </c>
      <c r="H3252" t="s">
        <v>28</v>
      </c>
      <c r="I3252" t="s">
        <v>24</v>
      </c>
      <c r="J3252" s="6">
        <v>13.99</v>
      </c>
      <c r="K3252">
        <v>1</v>
      </c>
      <c r="L3252" t="s">
        <v>29</v>
      </c>
      <c r="M3252" s="5">
        <v>1</v>
      </c>
      <c r="N3252" s="4">
        <v>0.09</v>
      </c>
      <c r="O3252" t="s">
        <v>34</v>
      </c>
    </row>
    <row r="3253" spans="1:15" x14ac:dyDescent="0.3">
      <c r="A3253" t="s">
        <v>3904</v>
      </c>
      <c r="B3253" s="5">
        <v>46</v>
      </c>
      <c r="C3253" s="5" t="str" cm="1">
        <f t="array" ref="C3253">_xlfn.IFS(worksheet[[#This Row],[age]]&lt;25,"1. Young Adulthood (18-24)",worksheet[[#This Row],[age]]&lt; 35,"2. Early Adulthood (25-34)",worksheet[[#This Row],[age]]&lt; 45,"3. Mid Adulthood (35-44)",worksheet[[#This Row],[age]]&lt; 55,"4. Mature Adulthood (45-54)",TRUE,"5. Late Adulthood/Senior (55+)")</f>
        <v>4. Mature Adulthood (45-54)</v>
      </c>
      <c r="D3253" t="s">
        <v>15</v>
      </c>
      <c r="E3253" t="s">
        <v>16</v>
      </c>
      <c r="F3253" s="4">
        <v>19.72</v>
      </c>
      <c r="G3253" s="5">
        <v>47</v>
      </c>
      <c r="H3253" t="s">
        <v>33</v>
      </c>
      <c r="I3253" t="s">
        <v>55</v>
      </c>
      <c r="J3253" s="6">
        <v>8.99</v>
      </c>
      <c r="K3253">
        <v>1</v>
      </c>
      <c r="L3253" t="s">
        <v>61</v>
      </c>
      <c r="M3253" s="5">
        <v>1</v>
      </c>
      <c r="N3253" s="4">
        <v>0.41</v>
      </c>
      <c r="O3253" t="s">
        <v>34</v>
      </c>
    </row>
    <row r="3254" spans="1:15" x14ac:dyDescent="0.3">
      <c r="A3254" t="s">
        <v>3913</v>
      </c>
      <c r="B3254" s="5">
        <v>52</v>
      </c>
      <c r="C3254" s="5" t="str" cm="1">
        <f t="array" ref="C3254">_xlfn.IFS(worksheet[[#This Row],[age]]&lt;25,"1. Young Adulthood (18-24)",worksheet[[#This Row],[age]]&lt; 35,"2. Early Adulthood (25-34)",worksheet[[#This Row],[age]]&lt; 45,"3. Mid Adulthood (35-44)",worksheet[[#This Row],[age]]&lt; 55,"4. Mature Adulthood (45-54)",TRUE,"5. Late Adulthood/Senior (55+)")</f>
        <v>4. Mature Adulthood (45-54)</v>
      </c>
      <c r="D3254" t="s">
        <v>15</v>
      </c>
      <c r="E3254" t="s">
        <v>16</v>
      </c>
      <c r="F3254" s="4">
        <v>2.11</v>
      </c>
      <c r="G3254" s="5">
        <v>46</v>
      </c>
      <c r="H3254" t="s">
        <v>28</v>
      </c>
      <c r="I3254" t="s">
        <v>24</v>
      </c>
      <c r="J3254" s="6">
        <v>8.99</v>
      </c>
      <c r="K3254">
        <v>1</v>
      </c>
      <c r="L3254" t="s">
        <v>43</v>
      </c>
      <c r="M3254" s="5">
        <v>5</v>
      </c>
      <c r="N3254" s="4">
        <v>0.04</v>
      </c>
      <c r="O3254" t="s">
        <v>20</v>
      </c>
    </row>
    <row r="3255" spans="1:15" x14ac:dyDescent="0.3">
      <c r="A3255" t="s">
        <v>3914</v>
      </c>
      <c r="B3255" s="5">
        <v>46</v>
      </c>
      <c r="C3255" s="5" t="str" cm="1">
        <f t="array" ref="C3255">_xlfn.IFS(worksheet[[#This Row],[age]]&lt;25,"1. Young Adulthood (18-24)",worksheet[[#This Row],[age]]&lt; 35,"2. Early Adulthood (25-34)",worksheet[[#This Row],[age]]&lt; 45,"3. Mid Adulthood (35-44)",worksheet[[#This Row],[age]]&lt; 55,"4. Mature Adulthood (45-54)",TRUE,"5. Late Adulthood/Senior (55+)")</f>
        <v>4. Mature Adulthood (45-54)</v>
      </c>
      <c r="D3255" t="s">
        <v>41</v>
      </c>
      <c r="E3255" t="s">
        <v>32</v>
      </c>
      <c r="F3255" s="4">
        <v>21.11</v>
      </c>
      <c r="G3255" s="5">
        <v>48</v>
      </c>
      <c r="H3255" t="s">
        <v>17</v>
      </c>
      <c r="I3255" t="s">
        <v>57</v>
      </c>
      <c r="J3255" s="6">
        <v>17.989999999999998</v>
      </c>
      <c r="K3255">
        <v>0</v>
      </c>
      <c r="L3255" t="s">
        <v>19</v>
      </c>
      <c r="M3255" s="5">
        <v>4</v>
      </c>
      <c r="N3255" s="4">
        <v>0.43</v>
      </c>
      <c r="O3255" t="s">
        <v>34</v>
      </c>
    </row>
    <row r="3256" spans="1:15" x14ac:dyDescent="0.3">
      <c r="A3256" t="s">
        <v>3921</v>
      </c>
      <c r="B3256" s="5">
        <v>53</v>
      </c>
      <c r="C3256" s="5" t="str" cm="1">
        <f t="array" ref="C3256">_xlfn.IFS(worksheet[[#This Row],[age]]&lt;25,"1. Young Adulthood (18-24)",worksheet[[#This Row],[age]]&lt; 35,"2. Early Adulthood (25-34)",worksheet[[#This Row],[age]]&lt; 45,"3. Mid Adulthood (35-44)",worksheet[[#This Row],[age]]&lt; 55,"4. Mature Adulthood (45-54)",TRUE,"5. Late Adulthood/Senior (55+)")</f>
        <v>4. Mature Adulthood (45-54)</v>
      </c>
      <c r="D3256" t="s">
        <v>41</v>
      </c>
      <c r="E3256" t="s">
        <v>32</v>
      </c>
      <c r="F3256" s="4">
        <v>2.27</v>
      </c>
      <c r="G3256" s="5">
        <v>38</v>
      </c>
      <c r="H3256" t="s">
        <v>70</v>
      </c>
      <c r="I3256" t="s">
        <v>57</v>
      </c>
      <c r="J3256" s="6">
        <v>17.989999999999998</v>
      </c>
      <c r="K3256">
        <v>1</v>
      </c>
      <c r="L3256" t="s">
        <v>29</v>
      </c>
      <c r="M3256" s="5">
        <v>4</v>
      </c>
      <c r="N3256" s="4">
        <v>0.06</v>
      </c>
      <c r="O3256" t="s">
        <v>30</v>
      </c>
    </row>
    <row r="3257" spans="1:15" x14ac:dyDescent="0.3">
      <c r="A3257" t="s">
        <v>3938</v>
      </c>
      <c r="B3257" s="5">
        <v>51</v>
      </c>
      <c r="C3257" s="5" t="str" cm="1">
        <f t="array" ref="C3257">_xlfn.IFS(worksheet[[#This Row],[age]]&lt;25,"1. Young Adulthood (18-24)",worksheet[[#This Row],[age]]&lt; 35,"2. Early Adulthood (25-34)",worksheet[[#This Row],[age]]&lt; 45,"3. Mid Adulthood (35-44)",worksheet[[#This Row],[age]]&lt; 55,"4. Mature Adulthood (45-54)",TRUE,"5. Late Adulthood/Senior (55+)")</f>
        <v>4. Mature Adulthood (45-54)</v>
      </c>
      <c r="D3257" t="s">
        <v>41</v>
      </c>
      <c r="E3257" t="s">
        <v>22</v>
      </c>
      <c r="F3257" s="4">
        <v>11.48</v>
      </c>
      <c r="G3257" s="5">
        <v>15</v>
      </c>
      <c r="H3257" t="s">
        <v>28</v>
      </c>
      <c r="I3257" t="s">
        <v>46</v>
      </c>
      <c r="J3257" s="6">
        <v>13.99</v>
      </c>
      <c r="K3257">
        <v>0</v>
      </c>
      <c r="L3257" t="s">
        <v>29</v>
      </c>
      <c r="M3257" s="5">
        <v>2</v>
      </c>
      <c r="N3257" s="4">
        <v>0.72</v>
      </c>
      <c r="O3257" t="s">
        <v>39</v>
      </c>
    </row>
    <row r="3258" spans="1:15" x14ac:dyDescent="0.3">
      <c r="A3258" t="s">
        <v>3942</v>
      </c>
      <c r="B3258" s="5">
        <v>47</v>
      </c>
      <c r="C3258" s="5" t="str" cm="1">
        <f t="array" ref="C3258">_xlfn.IFS(worksheet[[#This Row],[age]]&lt;25,"1. Young Adulthood (18-24)",worksheet[[#This Row],[age]]&lt; 35,"2. Early Adulthood (25-34)",worksheet[[#This Row],[age]]&lt; 45,"3. Mid Adulthood (35-44)",worksheet[[#This Row],[age]]&lt; 55,"4. Mature Adulthood (45-54)",TRUE,"5. Late Adulthood/Senior (55+)")</f>
        <v>4. Mature Adulthood (45-54)</v>
      </c>
      <c r="D3258" t="s">
        <v>27</v>
      </c>
      <c r="E3258" t="s">
        <v>22</v>
      </c>
      <c r="F3258" s="4">
        <v>20.83</v>
      </c>
      <c r="G3258" s="5">
        <v>58</v>
      </c>
      <c r="H3258" t="s">
        <v>28</v>
      </c>
      <c r="I3258" t="s">
        <v>18</v>
      </c>
      <c r="J3258" s="6">
        <v>13.99</v>
      </c>
      <c r="K3258">
        <v>0</v>
      </c>
      <c r="L3258" t="s">
        <v>37</v>
      </c>
      <c r="M3258" s="5">
        <v>3</v>
      </c>
      <c r="N3258" s="4">
        <v>0.35</v>
      </c>
      <c r="O3258" t="s">
        <v>34</v>
      </c>
    </row>
    <row r="3259" spans="1:15" x14ac:dyDescent="0.3">
      <c r="A3259" t="s">
        <v>3944</v>
      </c>
      <c r="B3259" s="5">
        <v>45</v>
      </c>
      <c r="C3259" s="5" t="str" cm="1">
        <f t="array" ref="C3259">_xlfn.IFS(worksheet[[#This Row],[age]]&lt;25,"1. Young Adulthood (18-24)",worksheet[[#This Row],[age]]&lt; 35,"2. Early Adulthood (25-34)",worksheet[[#This Row],[age]]&lt; 45,"3. Mid Adulthood (35-44)",worksheet[[#This Row],[age]]&lt; 55,"4. Mature Adulthood (45-54)",TRUE,"5. Late Adulthood/Senior (55+)")</f>
        <v>4. Mature Adulthood (45-54)</v>
      </c>
      <c r="D3259" t="s">
        <v>27</v>
      </c>
      <c r="E3259" t="s">
        <v>16</v>
      </c>
      <c r="F3259" s="4">
        <v>31.15</v>
      </c>
      <c r="G3259" s="5">
        <v>22</v>
      </c>
      <c r="H3259" t="s">
        <v>28</v>
      </c>
      <c r="I3259" t="s">
        <v>57</v>
      </c>
      <c r="J3259" s="6">
        <v>8.99</v>
      </c>
      <c r="K3259">
        <v>0</v>
      </c>
      <c r="L3259" t="s">
        <v>61</v>
      </c>
      <c r="M3259" s="5">
        <v>5</v>
      </c>
      <c r="N3259" s="4">
        <v>1.35</v>
      </c>
      <c r="O3259" t="s">
        <v>30</v>
      </c>
    </row>
    <row r="3260" spans="1:15" x14ac:dyDescent="0.3">
      <c r="A3260" t="s">
        <v>3954</v>
      </c>
      <c r="B3260" s="5">
        <v>46</v>
      </c>
      <c r="C3260" s="5" t="str" cm="1">
        <f t="array" ref="C3260">_xlfn.IFS(worksheet[[#This Row],[age]]&lt;25,"1. Young Adulthood (18-24)",worksheet[[#This Row],[age]]&lt; 35,"2. Early Adulthood (25-34)",worksheet[[#This Row],[age]]&lt; 45,"3. Mid Adulthood (35-44)",worksheet[[#This Row],[age]]&lt; 55,"4. Mature Adulthood (45-54)",TRUE,"5. Late Adulthood/Senior (55+)")</f>
        <v>4. Mature Adulthood (45-54)</v>
      </c>
      <c r="D3260" t="s">
        <v>41</v>
      </c>
      <c r="E3260" t="s">
        <v>16</v>
      </c>
      <c r="F3260" s="4">
        <v>5.07</v>
      </c>
      <c r="G3260" s="5">
        <v>0</v>
      </c>
      <c r="H3260" t="s">
        <v>17</v>
      </c>
      <c r="I3260" t="s">
        <v>55</v>
      </c>
      <c r="J3260" s="6">
        <v>8.99</v>
      </c>
      <c r="K3260">
        <v>0</v>
      </c>
      <c r="L3260" t="s">
        <v>37</v>
      </c>
      <c r="M3260" s="5">
        <v>1</v>
      </c>
      <c r="N3260" s="4">
        <v>5.07</v>
      </c>
      <c r="O3260" t="s">
        <v>47</v>
      </c>
    </row>
    <row r="3261" spans="1:15" x14ac:dyDescent="0.3">
      <c r="A3261" t="s">
        <v>3959</v>
      </c>
      <c r="B3261" s="5">
        <v>51</v>
      </c>
      <c r="C3261" s="5" t="str" cm="1">
        <f t="array" ref="C3261">_xlfn.IFS(worksheet[[#This Row],[age]]&lt;25,"1. Young Adulthood (18-24)",worksheet[[#This Row],[age]]&lt; 35,"2. Early Adulthood (25-34)",worksheet[[#This Row],[age]]&lt; 45,"3. Mid Adulthood (35-44)",worksheet[[#This Row],[age]]&lt; 55,"4. Mature Adulthood (45-54)",TRUE,"5. Late Adulthood/Senior (55+)")</f>
        <v>4. Mature Adulthood (45-54)</v>
      </c>
      <c r="D3261" t="s">
        <v>41</v>
      </c>
      <c r="E3261" t="s">
        <v>32</v>
      </c>
      <c r="F3261" s="4">
        <v>3.41</v>
      </c>
      <c r="G3261" s="5">
        <v>46</v>
      </c>
      <c r="H3261" t="s">
        <v>28</v>
      </c>
      <c r="I3261" t="s">
        <v>55</v>
      </c>
      <c r="J3261" s="6">
        <v>17.989999999999998</v>
      </c>
      <c r="K3261">
        <v>1</v>
      </c>
      <c r="L3261" t="s">
        <v>19</v>
      </c>
      <c r="M3261" s="5">
        <v>2</v>
      </c>
      <c r="N3261" s="4">
        <v>7.0000000000000007E-2</v>
      </c>
      <c r="O3261" t="s">
        <v>47</v>
      </c>
    </row>
    <row r="3262" spans="1:15" x14ac:dyDescent="0.3">
      <c r="A3262" t="s">
        <v>3960</v>
      </c>
      <c r="B3262" s="5">
        <v>47</v>
      </c>
      <c r="C3262" s="5" t="str" cm="1">
        <f t="array" ref="C3262">_xlfn.IFS(worksheet[[#This Row],[age]]&lt;25,"1. Young Adulthood (18-24)",worksheet[[#This Row],[age]]&lt; 35,"2. Early Adulthood (25-34)",worksheet[[#This Row],[age]]&lt; 45,"3. Mid Adulthood (35-44)",worksheet[[#This Row],[age]]&lt; 55,"4. Mature Adulthood (45-54)",TRUE,"5. Late Adulthood/Senior (55+)")</f>
        <v>4. Mature Adulthood (45-54)</v>
      </c>
      <c r="D3262" t="s">
        <v>41</v>
      </c>
      <c r="E3262" t="s">
        <v>32</v>
      </c>
      <c r="F3262" s="4">
        <v>7.42</v>
      </c>
      <c r="G3262" s="5">
        <v>47</v>
      </c>
      <c r="H3262" t="s">
        <v>17</v>
      </c>
      <c r="I3262" t="s">
        <v>57</v>
      </c>
      <c r="J3262" s="6">
        <v>17.989999999999998</v>
      </c>
      <c r="K3262">
        <v>1</v>
      </c>
      <c r="L3262" t="s">
        <v>29</v>
      </c>
      <c r="M3262" s="5">
        <v>4</v>
      </c>
      <c r="N3262" s="4">
        <v>0.15</v>
      </c>
      <c r="O3262" t="s">
        <v>34</v>
      </c>
    </row>
    <row r="3263" spans="1:15" x14ac:dyDescent="0.3">
      <c r="A3263" t="s">
        <v>3964</v>
      </c>
      <c r="B3263" s="5">
        <v>46</v>
      </c>
      <c r="C3263" s="5" t="str" cm="1">
        <f t="array" ref="C3263">_xlfn.IFS(worksheet[[#This Row],[age]]&lt;25,"1. Young Adulthood (18-24)",worksheet[[#This Row],[age]]&lt; 35,"2. Early Adulthood (25-34)",worksheet[[#This Row],[age]]&lt; 45,"3. Mid Adulthood (35-44)",worksheet[[#This Row],[age]]&lt; 55,"4. Mature Adulthood (45-54)",TRUE,"5. Late Adulthood/Senior (55+)")</f>
        <v>4. Mature Adulthood (45-54)</v>
      </c>
      <c r="D3263" t="s">
        <v>15</v>
      </c>
      <c r="E3263" t="s">
        <v>16</v>
      </c>
      <c r="F3263" s="4">
        <v>6.46</v>
      </c>
      <c r="G3263" s="5">
        <v>35</v>
      </c>
      <c r="H3263" t="s">
        <v>23</v>
      </c>
      <c r="I3263" t="s">
        <v>55</v>
      </c>
      <c r="J3263" s="6">
        <v>8.99</v>
      </c>
      <c r="K3263">
        <v>1</v>
      </c>
      <c r="L3263" t="s">
        <v>19</v>
      </c>
      <c r="M3263" s="5">
        <v>4</v>
      </c>
      <c r="N3263" s="4">
        <v>0.18</v>
      </c>
      <c r="O3263" t="s">
        <v>25</v>
      </c>
    </row>
    <row r="3264" spans="1:15" x14ac:dyDescent="0.3">
      <c r="A3264" t="s">
        <v>3970</v>
      </c>
      <c r="B3264" s="5">
        <v>49</v>
      </c>
      <c r="C3264" s="5" t="str" cm="1">
        <f t="array" ref="C3264">_xlfn.IFS(worksheet[[#This Row],[age]]&lt;25,"1. Young Adulthood (18-24)",worksheet[[#This Row],[age]]&lt; 35,"2. Early Adulthood (25-34)",worksheet[[#This Row],[age]]&lt; 45,"3. Mid Adulthood (35-44)",worksheet[[#This Row],[age]]&lt; 55,"4. Mature Adulthood (45-54)",TRUE,"5. Late Adulthood/Senior (55+)")</f>
        <v>4. Mature Adulthood (45-54)</v>
      </c>
      <c r="D3264" t="s">
        <v>41</v>
      </c>
      <c r="E3264" t="s">
        <v>16</v>
      </c>
      <c r="F3264" s="4">
        <v>9.67</v>
      </c>
      <c r="G3264" s="5">
        <v>57</v>
      </c>
      <c r="H3264" t="s">
        <v>23</v>
      </c>
      <c r="I3264" t="s">
        <v>24</v>
      </c>
      <c r="J3264" s="6">
        <v>8.99</v>
      </c>
      <c r="K3264">
        <v>1</v>
      </c>
      <c r="L3264" t="s">
        <v>61</v>
      </c>
      <c r="M3264" s="5">
        <v>1</v>
      </c>
      <c r="N3264" s="4">
        <v>0.17</v>
      </c>
      <c r="O3264" t="s">
        <v>34</v>
      </c>
    </row>
    <row r="3265" spans="1:15" x14ac:dyDescent="0.3">
      <c r="A3265" t="s">
        <v>3988</v>
      </c>
      <c r="B3265" s="5">
        <v>46</v>
      </c>
      <c r="C3265" s="5" t="str" cm="1">
        <f t="array" ref="C3265">_xlfn.IFS(worksheet[[#This Row],[age]]&lt;25,"1. Young Adulthood (18-24)",worksheet[[#This Row],[age]]&lt; 35,"2. Early Adulthood (25-34)",worksheet[[#This Row],[age]]&lt; 45,"3. Mid Adulthood (35-44)",worksheet[[#This Row],[age]]&lt; 55,"4. Mature Adulthood (45-54)",TRUE,"5. Late Adulthood/Senior (55+)")</f>
        <v>4. Mature Adulthood (45-54)</v>
      </c>
      <c r="D3265" t="s">
        <v>15</v>
      </c>
      <c r="E3265" t="s">
        <v>22</v>
      </c>
      <c r="F3265" s="4">
        <v>28.66</v>
      </c>
      <c r="G3265" s="5">
        <v>37</v>
      </c>
      <c r="H3265" t="s">
        <v>17</v>
      </c>
      <c r="I3265" t="s">
        <v>46</v>
      </c>
      <c r="J3265" s="6">
        <v>13.99</v>
      </c>
      <c r="K3265">
        <v>0</v>
      </c>
      <c r="L3265" t="s">
        <v>43</v>
      </c>
      <c r="M3265" s="5">
        <v>1</v>
      </c>
      <c r="N3265" s="4">
        <v>0.75</v>
      </c>
      <c r="O3265" t="s">
        <v>47</v>
      </c>
    </row>
    <row r="3266" spans="1:15" x14ac:dyDescent="0.3">
      <c r="A3266" t="s">
        <v>3989</v>
      </c>
      <c r="B3266" s="5">
        <v>45</v>
      </c>
      <c r="C3266" s="5" t="str" cm="1">
        <f t="array" ref="C3266">_xlfn.IFS(worksheet[[#This Row],[age]]&lt;25,"1. Young Adulthood (18-24)",worksheet[[#This Row],[age]]&lt; 35,"2. Early Adulthood (25-34)",worksheet[[#This Row],[age]]&lt; 45,"3. Mid Adulthood (35-44)",worksheet[[#This Row],[age]]&lt; 55,"4. Mature Adulthood (45-54)",TRUE,"5. Late Adulthood/Senior (55+)")</f>
        <v>4. Mature Adulthood (45-54)</v>
      </c>
      <c r="D3266" t="s">
        <v>41</v>
      </c>
      <c r="E3266" t="s">
        <v>32</v>
      </c>
      <c r="F3266" s="4">
        <v>18.07</v>
      </c>
      <c r="G3266" s="5">
        <v>4</v>
      </c>
      <c r="H3266" t="s">
        <v>28</v>
      </c>
      <c r="I3266" t="s">
        <v>57</v>
      </c>
      <c r="J3266" s="6">
        <v>17.989999999999998</v>
      </c>
      <c r="K3266">
        <v>0</v>
      </c>
      <c r="L3266" t="s">
        <v>19</v>
      </c>
      <c r="M3266" s="5">
        <v>1</v>
      </c>
      <c r="N3266" s="4">
        <v>3.61</v>
      </c>
      <c r="O3266" t="s">
        <v>39</v>
      </c>
    </row>
    <row r="3267" spans="1:15" x14ac:dyDescent="0.3">
      <c r="A3267" t="s">
        <v>3992</v>
      </c>
      <c r="B3267" s="5">
        <v>45</v>
      </c>
      <c r="C3267" s="5" t="str" cm="1">
        <f t="array" ref="C3267">_xlfn.IFS(worksheet[[#This Row],[age]]&lt;25,"1. Young Adulthood (18-24)",worksheet[[#This Row],[age]]&lt; 35,"2. Early Adulthood (25-34)",worksheet[[#This Row],[age]]&lt; 45,"3. Mid Adulthood (35-44)",worksheet[[#This Row],[age]]&lt; 55,"4. Mature Adulthood (45-54)",TRUE,"5. Late Adulthood/Senior (55+)")</f>
        <v>4. Mature Adulthood (45-54)</v>
      </c>
      <c r="D3267" t="s">
        <v>15</v>
      </c>
      <c r="E3267" t="s">
        <v>32</v>
      </c>
      <c r="F3267" s="4">
        <v>8.9499999999999993</v>
      </c>
      <c r="G3267" s="5">
        <v>16</v>
      </c>
      <c r="H3267" t="s">
        <v>23</v>
      </c>
      <c r="I3267" t="s">
        <v>46</v>
      </c>
      <c r="J3267" s="6">
        <v>17.989999999999998</v>
      </c>
      <c r="K3267">
        <v>0</v>
      </c>
      <c r="L3267" t="s">
        <v>61</v>
      </c>
      <c r="M3267" s="5">
        <v>3</v>
      </c>
      <c r="N3267" s="4">
        <v>0.53</v>
      </c>
      <c r="O3267" t="s">
        <v>25</v>
      </c>
    </row>
    <row r="3268" spans="1:15" x14ac:dyDescent="0.3">
      <c r="A3268" t="s">
        <v>4001</v>
      </c>
      <c r="B3268" s="5">
        <v>45</v>
      </c>
      <c r="C3268" s="5" t="str" cm="1">
        <f t="array" ref="C3268">_xlfn.IFS(worksheet[[#This Row],[age]]&lt;25,"1. Young Adulthood (18-24)",worksheet[[#This Row],[age]]&lt; 35,"2. Early Adulthood (25-34)",worksheet[[#This Row],[age]]&lt; 45,"3. Mid Adulthood (35-44)",worksheet[[#This Row],[age]]&lt; 55,"4. Mature Adulthood (45-54)",TRUE,"5. Late Adulthood/Senior (55+)")</f>
        <v>4. Mature Adulthood (45-54)</v>
      </c>
      <c r="D3268" t="s">
        <v>41</v>
      </c>
      <c r="E3268" t="s">
        <v>16</v>
      </c>
      <c r="F3268" s="4">
        <v>0.28999999999999998</v>
      </c>
      <c r="G3268" s="5">
        <v>45</v>
      </c>
      <c r="H3268" t="s">
        <v>33</v>
      </c>
      <c r="I3268" t="s">
        <v>57</v>
      </c>
      <c r="J3268" s="6">
        <v>8.99</v>
      </c>
      <c r="K3268">
        <v>1</v>
      </c>
      <c r="L3268" t="s">
        <v>37</v>
      </c>
      <c r="M3268" s="5">
        <v>2</v>
      </c>
      <c r="N3268" s="4">
        <v>0.01</v>
      </c>
      <c r="O3268" t="s">
        <v>52</v>
      </c>
    </row>
    <row r="3269" spans="1:15" x14ac:dyDescent="0.3">
      <c r="A3269" t="s">
        <v>4017</v>
      </c>
      <c r="B3269" s="5">
        <v>49</v>
      </c>
      <c r="C3269" s="5" t="str" cm="1">
        <f t="array" ref="C3269">_xlfn.IFS(worksheet[[#This Row],[age]]&lt;25,"1. Young Adulthood (18-24)",worksheet[[#This Row],[age]]&lt; 35,"2. Early Adulthood (25-34)",worksheet[[#This Row],[age]]&lt; 45,"3. Mid Adulthood (35-44)",worksheet[[#This Row],[age]]&lt; 55,"4. Mature Adulthood (45-54)",TRUE,"5. Late Adulthood/Senior (55+)")</f>
        <v>4. Mature Adulthood (45-54)</v>
      </c>
      <c r="D3269" t="s">
        <v>15</v>
      </c>
      <c r="E3269" t="s">
        <v>16</v>
      </c>
      <c r="F3269" s="4">
        <v>1.17</v>
      </c>
      <c r="G3269" s="5">
        <v>46</v>
      </c>
      <c r="H3269" t="s">
        <v>49</v>
      </c>
      <c r="I3269" t="s">
        <v>46</v>
      </c>
      <c r="J3269" s="6">
        <v>8.99</v>
      </c>
      <c r="K3269">
        <v>1</v>
      </c>
      <c r="L3269" t="s">
        <v>37</v>
      </c>
      <c r="M3269" s="5">
        <v>1</v>
      </c>
      <c r="N3269" s="4">
        <v>0.02</v>
      </c>
      <c r="O3269" t="s">
        <v>39</v>
      </c>
    </row>
    <row r="3270" spans="1:15" x14ac:dyDescent="0.3">
      <c r="A3270" t="s">
        <v>4021</v>
      </c>
      <c r="B3270" s="5">
        <v>53</v>
      </c>
      <c r="C3270" s="5" t="str" cm="1">
        <f t="array" ref="C3270">_xlfn.IFS(worksheet[[#This Row],[age]]&lt;25,"1. Young Adulthood (18-24)",worksheet[[#This Row],[age]]&lt; 35,"2. Early Adulthood (25-34)",worksheet[[#This Row],[age]]&lt; 45,"3. Mid Adulthood (35-44)",worksheet[[#This Row],[age]]&lt; 55,"4. Mature Adulthood (45-54)",TRUE,"5. Late Adulthood/Senior (55+)")</f>
        <v>4. Mature Adulthood (45-54)</v>
      </c>
      <c r="D3270" t="s">
        <v>41</v>
      </c>
      <c r="E3270" t="s">
        <v>32</v>
      </c>
      <c r="F3270" s="4">
        <v>11.18</v>
      </c>
      <c r="G3270" s="5">
        <v>19</v>
      </c>
      <c r="H3270" t="s">
        <v>49</v>
      </c>
      <c r="I3270" t="s">
        <v>57</v>
      </c>
      <c r="J3270" s="6">
        <v>17.989999999999998</v>
      </c>
      <c r="K3270">
        <v>0</v>
      </c>
      <c r="L3270" t="s">
        <v>43</v>
      </c>
      <c r="M3270" s="5">
        <v>4</v>
      </c>
      <c r="N3270" s="4">
        <v>0.56000000000000005</v>
      </c>
      <c r="O3270" t="s">
        <v>47</v>
      </c>
    </row>
    <row r="3271" spans="1:15" x14ac:dyDescent="0.3">
      <c r="A3271" t="s">
        <v>4026</v>
      </c>
      <c r="B3271" s="5">
        <v>48</v>
      </c>
      <c r="C3271" s="5" t="str" cm="1">
        <f t="array" ref="C3271">_xlfn.IFS(worksheet[[#This Row],[age]]&lt;25,"1. Young Adulthood (18-24)",worksheet[[#This Row],[age]]&lt; 35,"2. Early Adulthood (25-34)",worksheet[[#This Row],[age]]&lt; 45,"3. Mid Adulthood (35-44)",worksheet[[#This Row],[age]]&lt; 55,"4. Mature Adulthood (45-54)",TRUE,"5. Late Adulthood/Senior (55+)")</f>
        <v>4. Mature Adulthood (45-54)</v>
      </c>
      <c r="D3271" t="s">
        <v>15</v>
      </c>
      <c r="E3271" t="s">
        <v>16</v>
      </c>
      <c r="F3271" s="4">
        <v>10.9</v>
      </c>
      <c r="G3271" s="5">
        <v>26</v>
      </c>
      <c r="H3271" t="s">
        <v>33</v>
      </c>
      <c r="I3271" t="s">
        <v>24</v>
      </c>
      <c r="J3271" s="6">
        <v>8.99</v>
      </c>
      <c r="K3271">
        <v>1</v>
      </c>
      <c r="L3271" t="s">
        <v>29</v>
      </c>
      <c r="M3271" s="5">
        <v>2</v>
      </c>
      <c r="N3271" s="4">
        <v>0.4</v>
      </c>
      <c r="O3271" t="s">
        <v>34</v>
      </c>
    </row>
    <row r="3272" spans="1:15" x14ac:dyDescent="0.3">
      <c r="A3272" t="s">
        <v>4028</v>
      </c>
      <c r="B3272" s="5">
        <v>48</v>
      </c>
      <c r="C3272" s="5" t="str" cm="1">
        <f t="array" ref="C3272">_xlfn.IFS(worksheet[[#This Row],[age]]&lt;25,"1. Young Adulthood (18-24)",worksheet[[#This Row],[age]]&lt; 35,"2. Early Adulthood (25-34)",worksheet[[#This Row],[age]]&lt; 45,"3. Mid Adulthood (35-44)",worksheet[[#This Row],[age]]&lt; 55,"4. Mature Adulthood (45-54)",TRUE,"5. Late Adulthood/Senior (55+)")</f>
        <v>4. Mature Adulthood (45-54)</v>
      </c>
      <c r="D3272" t="s">
        <v>27</v>
      </c>
      <c r="E3272" t="s">
        <v>22</v>
      </c>
      <c r="F3272" s="4">
        <v>17.03</v>
      </c>
      <c r="G3272" s="5">
        <v>57</v>
      </c>
      <c r="H3272" t="s">
        <v>23</v>
      </c>
      <c r="I3272" t="s">
        <v>18</v>
      </c>
      <c r="J3272" s="6">
        <v>13.99</v>
      </c>
      <c r="K3272">
        <v>0</v>
      </c>
      <c r="L3272" t="s">
        <v>37</v>
      </c>
      <c r="M3272" s="5">
        <v>5</v>
      </c>
      <c r="N3272" s="4">
        <v>0.28999999999999998</v>
      </c>
      <c r="O3272" t="s">
        <v>20</v>
      </c>
    </row>
    <row r="3273" spans="1:15" x14ac:dyDescent="0.3">
      <c r="A3273" t="s">
        <v>4034</v>
      </c>
      <c r="B3273" s="5">
        <v>47</v>
      </c>
      <c r="C3273" s="5" t="str" cm="1">
        <f t="array" ref="C3273">_xlfn.IFS(worksheet[[#This Row],[age]]&lt;25,"1. Young Adulthood (18-24)",worksheet[[#This Row],[age]]&lt; 35,"2. Early Adulthood (25-34)",worksheet[[#This Row],[age]]&lt; 45,"3. Mid Adulthood (35-44)",worksheet[[#This Row],[age]]&lt; 55,"4. Mature Adulthood (45-54)",TRUE,"5. Late Adulthood/Senior (55+)")</f>
        <v>4. Mature Adulthood (45-54)</v>
      </c>
      <c r="D3273" t="s">
        <v>15</v>
      </c>
      <c r="E3273" t="s">
        <v>22</v>
      </c>
      <c r="F3273" s="4">
        <v>1.59</v>
      </c>
      <c r="G3273" s="5">
        <v>34</v>
      </c>
      <c r="H3273" t="s">
        <v>33</v>
      </c>
      <c r="I3273" t="s">
        <v>24</v>
      </c>
      <c r="J3273" s="6">
        <v>13.99</v>
      </c>
      <c r="K3273">
        <v>1</v>
      </c>
      <c r="L3273" t="s">
        <v>19</v>
      </c>
      <c r="M3273" s="5">
        <v>1</v>
      </c>
      <c r="N3273" s="4">
        <v>0.05</v>
      </c>
      <c r="O3273" t="s">
        <v>47</v>
      </c>
    </row>
    <row r="3274" spans="1:15" x14ac:dyDescent="0.3">
      <c r="A3274" t="s">
        <v>4036</v>
      </c>
      <c r="B3274" s="5">
        <v>52</v>
      </c>
      <c r="C3274" s="5" t="str" cm="1">
        <f t="array" ref="C3274">_xlfn.IFS(worksheet[[#This Row],[age]]&lt;25,"1. Young Adulthood (18-24)",worksheet[[#This Row],[age]]&lt; 35,"2. Early Adulthood (25-34)",worksheet[[#This Row],[age]]&lt; 45,"3. Mid Adulthood (35-44)",worksheet[[#This Row],[age]]&lt; 55,"4. Mature Adulthood (45-54)",TRUE,"5. Late Adulthood/Senior (55+)")</f>
        <v>4. Mature Adulthood (45-54)</v>
      </c>
      <c r="D3274" t="s">
        <v>15</v>
      </c>
      <c r="E3274" t="s">
        <v>32</v>
      </c>
      <c r="F3274" s="4">
        <v>1.42</v>
      </c>
      <c r="G3274" s="5">
        <v>45</v>
      </c>
      <c r="H3274" t="s">
        <v>70</v>
      </c>
      <c r="I3274" t="s">
        <v>57</v>
      </c>
      <c r="J3274" s="6">
        <v>17.989999999999998</v>
      </c>
      <c r="K3274">
        <v>1</v>
      </c>
      <c r="L3274" t="s">
        <v>43</v>
      </c>
      <c r="M3274" s="5">
        <v>5</v>
      </c>
      <c r="N3274" s="4">
        <v>0.03</v>
      </c>
      <c r="O3274" t="s">
        <v>34</v>
      </c>
    </row>
    <row r="3275" spans="1:15" x14ac:dyDescent="0.3">
      <c r="A3275" t="s">
        <v>4037</v>
      </c>
      <c r="B3275" s="5">
        <v>53</v>
      </c>
      <c r="C3275" s="5" t="str" cm="1">
        <f t="array" ref="C3275">_xlfn.IFS(worksheet[[#This Row],[age]]&lt;25,"1. Young Adulthood (18-24)",worksheet[[#This Row],[age]]&lt; 35,"2. Early Adulthood (25-34)",worksheet[[#This Row],[age]]&lt; 45,"3. Mid Adulthood (35-44)",worksheet[[#This Row],[age]]&lt; 55,"4. Mature Adulthood (45-54)",TRUE,"5. Late Adulthood/Senior (55+)")</f>
        <v>4. Mature Adulthood (45-54)</v>
      </c>
      <c r="D3275" t="s">
        <v>15</v>
      </c>
      <c r="E3275" t="s">
        <v>22</v>
      </c>
      <c r="F3275" s="4">
        <v>3.68</v>
      </c>
      <c r="G3275" s="5">
        <v>55</v>
      </c>
      <c r="H3275" t="s">
        <v>33</v>
      </c>
      <c r="I3275" t="s">
        <v>57</v>
      </c>
      <c r="J3275" s="6">
        <v>13.99</v>
      </c>
      <c r="K3275">
        <v>1</v>
      </c>
      <c r="L3275" t="s">
        <v>43</v>
      </c>
      <c r="M3275" s="5">
        <v>1</v>
      </c>
      <c r="N3275" s="4">
        <v>7.0000000000000007E-2</v>
      </c>
      <c r="O3275" t="s">
        <v>52</v>
      </c>
    </row>
    <row r="3276" spans="1:15" x14ac:dyDescent="0.3">
      <c r="A3276" t="s">
        <v>4039</v>
      </c>
      <c r="B3276" s="5">
        <v>46</v>
      </c>
      <c r="C3276" s="5" t="str" cm="1">
        <f t="array" ref="C3276">_xlfn.IFS(worksheet[[#This Row],[age]]&lt;25,"1. Young Adulthood (18-24)",worksheet[[#This Row],[age]]&lt; 35,"2. Early Adulthood (25-34)",worksheet[[#This Row],[age]]&lt; 45,"3. Mid Adulthood (35-44)",worksheet[[#This Row],[age]]&lt; 55,"4. Mature Adulthood (45-54)",TRUE,"5. Late Adulthood/Senior (55+)")</f>
        <v>4. Mature Adulthood (45-54)</v>
      </c>
      <c r="D3276" t="s">
        <v>41</v>
      </c>
      <c r="E3276" t="s">
        <v>16</v>
      </c>
      <c r="F3276" s="4">
        <v>1.6</v>
      </c>
      <c r="G3276" s="5">
        <v>31</v>
      </c>
      <c r="H3276" t="s">
        <v>70</v>
      </c>
      <c r="I3276" t="s">
        <v>55</v>
      </c>
      <c r="J3276" s="6">
        <v>8.99</v>
      </c>
      <c r="K3276">
        <v>1</v>
      </c>
      <c r="L3276" t="s">
        <v>29</v>
      </c>
      <c r="M3276" s="5">
        <v>3</v>
      </c>
      <c r="N3276" s="4">
        <v>0.05</v>
      </c>
      <c r="O3276" t="s">
        <v>30</v>
      </c>
    </row>
    <row r="3277" spans="1:15" x14ac:dyDescent="0.3">
      <c r="A3277" t="s">
        <v>4042</v>
      </c>
      <c r="B3277" s="5">
        <v>51</v>
      </c>
      <c r="C3277" s="5" t="str" cm="1">
        <f t="array" ref="C3277">_xlfn.IFS(worksheet[[#This Row],[age]]&lt;25,"1. Young Adulthood (18-24)",worksheet[[#This Row],[age]]&lt; 35,"2. Early Adulthood (25-34)",worksheet[[#This Row],[age]]&lt; 45,"3. Mid Adulthood (35-44)",worksheet[[#This Row],[age]]&lt; 55,"4. Mature Adulthood (45-54)",TRUE,"5. Late Adulthood/Senior (55+)")</f>
        <v>4. Mature Adulthood (45-54)</v>
      </c>
      <c r="D3277" t="s">
        <v>15</v>
      </c>
      <c r="E3277" t="s">
        <v>22</v>
      </c>
      <c r="F3277" s="4">
        <v>1.23</v>
      </c>
      <c r="G3277" s="5">
        <v>4</v>
      </c>
      <c r="H3277" t="s">
        <v>23</v>
      </c>
      <c r="I3277" t="s">
        <v>57</v>
      </c>
      <c r="J3277" s="6">
        <v>13.99</v>
      </c>
      <c r="K3277">
        <v>0</v>
      </c>
      <c r="L3277" t="s">
        <v>61</v>
      </c>
      <c r="M3277" s="5">
        <v>4</v>
      </c>
      <c r="N3277" s="4">
        <v>0.25</v>
      </c>
      <c r="O3277" t="s">
        <v>47</v>
      </c>
    </row>
    <row r="3278" spans="1:15" x14ac:dyDescent="0.3">
      <c r="A3278" t="s">
        <v>4048</v>
      </c>
      <c r="B3278" s="5">
        <v>54</v>
      </c>
      <c r="C3278" s="5" t="str" cm="1">
        <f t="array" ref="C3278">_xlfn.IFS(worksheet[[#This Row],[age]]&lt;25,"1. Young Adulthood (18-24)",worksheet[[#This Row],[age]]&lt; 35,"2. Early Adulthood (25-34)",worksheet[[#This Row],[age]]&lt; 45,"3. Mid Adulthood (35-44)",worksheet[[#This Row],[age]]&lt; 55,"4. Mature Adulthood (45-54)",TRUE,"5. Late Adulthood/Senior (55+)")</f>
        <v>4. Mature Adulthood (45-54)</v>
      </c>
      <c r="D3278" t="s">
        <v>41</v>
      </c>
      <c r="E3278" t="s">
        <v>16</v>
      </c>
      <c r="F3278" s="4">
        <v>30</v>
      </c>
      <c r="G3278" s="5">
        <v>9</v>
      </c>
      <c r="H3278" t="s">
        <v>28</v>
      </c>
      <c r="I3278" t="s">
        <v>57</v>
      </c>
      <c r="J3278" s="6">
        <v>8.99</v>
      </c>
      <c r="K3278">
        <v>0</v>
      </c>
      <c r="L3278" t="s">
        <v>61</v>
      </c>
      <c r="M3278" s="5">
        <v>4</v>
      </c>
      <c r="N3278" s="4">
        <v>3</v>
      </c>
      <c r="O3278" t="s">
        <v>30</v>
      </c>
    </row>
    <row r="3279" spans="1:15" x14ac:dyDescent="0.3">
      <c r="A3279" t="s">
        <v>4049</v>
      </c>
      <c r="B3279" s="5">
        <v>45</v>
      </c>
      <c r="C3279" s="5" t="str" cm="1">
        <f t="array" ref="C3279">_xlfn.IFS(worksheet[[#This Row],[age]]&lt;25,"1. Young Adulthood (18-24)",worksheet[[#This Row],[age]]&lt; 35,"2. Early Adulthood (25-34)",worksheet[[#This Row],[age]]&lt; 45,"3. Mid Adulthood (35-44)",worksheet[[#This Row],[age]]&lt; 55,"4. Mature Adulthood (45-54)",TRUE,"5. Late Adulthood/Senior (55+)")</f>
        <v>4. Mature Adulthood (45-54)</v>
      </c>
      <c r="D3279" t="s">
        <v>41</v>
      </c>
      <c r="E3279" t="s">
        <v>32</v>
      </c>
      <c r="F3279" s="4">
        <v>17.57</v>
      </c>
      <c r="G3279" s="5">
        <v>37</v>
      </c>
      <c r="H3279" t="s">
        <v>17</v>
      </c>
      <c r="I3279" t="s">
        <v>18</v>
      </c>
      <c r="J3279" s="6">
        <v>17.989999999999998</v>
      </c>
      <c r="K3279">
        <v>0</v>
      </c>
      <c r="L3279" t="s">
        <v>43</v>
      </c>
      <c r="M3279" s="5">
        <v>4</v>
      </c>
      <c r="N3279" s="4">
        <v>0.46</v>
      </c>
      <c r="O3279" t="s">
        <v>34</v>
      </c>
    </row>
    <row r="3280" spans="1:15" x14ac:dyDescent="0.3">
      <c r="A3280" t="s">
        <v>4067</v>
      </c>
      <c r="B3280" s="5">
        <v>48</v>
      </c>
      <c r="C3280" s="5" t="str" cm="1">
        <f t="array" ref="C3280">_xlfn.IFS(worksheet[[#This Row],[age]]&lt;25,"1. Young Adulthood (18-24)",worksheet[[#This Row],[age]]&lt; 35,"2. Early Adulthood (25-34)",worksheet[[#This Row],[age]]&lt; 45,"3. Mid Adulthood (35-44)",worksheet[[#This Row],[age]]&lt; 55,"4. Mature Adulthood (45-54)",TRUE,"5. Late Adulthood/Senior (55+)")</f>
        <v>4. Mature Adulthood (45-54)</v>
      </c>
      <c r="D3280" t="s">
        <v>27</v>
      </c>
      <c r="E3280" t="s">
        <v>32</v>
      </c>
      <c r="F3280" s="4">
        <v>10.54</v>
      </c>
      <c r="G3280" s="5">
        <v>19</v>
      </c>
      <c r="H3280" t="s">
        <v>23</v>
      </c>
      <c r="I3280" t="s">
        <v>24</v>
      </c>
      <c r="J3280" s="6">
        <v>17.989999999999998</v>
      </c>
      <c r="K3280">
        <v>0</v>
      </c>
      <c r="L3280" t="s">
        <v>61</v>
      </c>
      <c r="M3280" s="5">
        <v>1</v>
      </c>
      <c r="N3280" s="4">
        <v>0.53</v>
      </c>
      <c r="O3280" t="s">
        <v>25</v>
      </c>
    </row>
    <row r="3281" spans="1:15" x14ac:dyDescent="0.3">
      <c r="A3281" t="s">
        <v>4070</v>
      </c>
      <c r="B3281" s="5">
        <v>49</v>
      </c>
      <c r="C3281" s="5" t="str" cm="1">
        <f t="array" ref="C3281">_xlfn.IFS(worksheet[[#This Row],[age]]&lt;25,"1. Young Adulthood (18-24)",worksheet[[#This Row],[age]]&lt; 35,"2. Early Adulthood (25-34)",worksheet[[#This Row],[age]]&lt; 45,"3. Mid Adulthood (35-44)",worksheet[[#This Row],[age]]&lt; 55,"4. Mature Adulthood (45-54)",TRUE,"5. Late Adulthood/Senior (55+)")</f>
        <v>4. Mature Adulthood (45-54)</v>
      </c>
      <c r="D3281" t="s">
        <v>15</v>
      </c>
      <c r="E3281" t="s">
        <v>16</v>
      </c>
      <c r="F3281" s="4">
        <v>10.47</v>
      </c>
      <c r="G3281" s="5">
        <v>43</v>
      </c>
      <c r="H3281" t="s">
        <v>17</v>
      </c>
      <c r="I3281" t="s">
        <v>46</v>
      </c>
      <c r="J3281" s="6">
        <v>8.99</v>
      </c>
      <c r="K3281">
        <v>1</v>
      </c>
      <c r="L3281" t="s">
        <v>37</v>
      </c>
      <c r="M3281" s="5">
        <v>5</v>
      </c>
      <c r="N3281" s="4">
        <v>0.24</v>
      </c>
      <c r="O3281" t="s">
        <v>52</v>
      </c>
    </row>
    <row r="3282" spans="1:15" x14ac:dyDescent="0.3">
      <c r="A3282" s="1" t="s">
        <v>4075</v>
      </c>
      <c r="B3282" s="5">
        <v>54</v>
      </c>
      <c r="C3282" s="5" t="str" cm="1">
        <f t="array" ref="C3282">_xlfn.IFS(worksheet[[#This Row],[age]]&lt;25,"1. Young Adulthood (18-24)",worksheet[[#This Row],[age]]&lt; 35,"2. Early Adulthood (25-34)",worksheet[[#This Row],[age]]&lt; 45,"3. Mid Adulthood (35-44)",worksheet[[#This Row],[age]]&lt; 55,"4. Mature Adulthood (45-54)",TRUE,"5. Late Adulthood/Senior (55+)")</f>
        <v>4. Mature Adulthood (45-54)</v>
      </c>
      <c r="D3282" t="s">
        <v>27</v>
      </c>
      <c r="E3282" t="s">
        <v>16</v>
      </c>
      <c r="F3282" s="4">
        <v>6.76</v>
      </c>
      <c r="G3282" s="5">
        <v>52</v>
      </c>
      <c r="H3282" t="s">
        <v>28</v>
      </c>
      <c r="I3282" t="s">
        <v>57</v>
      </c>
      <c r="J3282" s="6">
        <v>8.99</v>
      </c>
      <c r="K3282">
        <v>1</v>
      </c>
      <c r="L3282" t="s">
        <v>43</v>
      </c>
      <c r="M3282" s="5">
        <v>5</v>
      </c>
      <c r="N3282" s="4">
        <v>0.13</v>
      </c>
      <c r="O3282" t="s">
        <v>30</v>
      </c>
    </row>
    <row r="3283" spans="1:15" x14ac:dyDescent="0.3">
      <c r="A3283" t="s">
        <v>4076</v>
      </c>
      <c r="B3283" s="5">
        <v>45</v>
      </c>
      <c r="C3283" s="5" t="str" cm="1">
        <f t="array" ref="C3283">_xlfn.IFS(worksheet[[#This Row],[age]]&lt;25,"1. Young Adulthood (18-24)",worksheet[[#This Row],[age]]&lt; 35,"2. Early Adulthood (25-34)",worksheet[[#This Row],[age]]&lt; 45,"3. Mid Adulthood (35-44)",worksheet[[#This Row],[age]]&lt; 55,"4. Mature Adulthood (45-54)",TRUE,"5. Late Adulthood/Senior (55+)")</f>
        <v>4. Mature Adulthood (45-54)</v>
      </c>
      <c r="D3283" t="s">
        <v>27</v>
      </c>
      <c r="E3283" t="s">
        <v>32</v>
      </c>
      <c r="F3283" s="4">
        <v>1.85</v>
      </c>
      <c r="G3283" s="5">
        <v>23</v>
      </c>
      <c r="H3283" t="s">
        <v>28</v>
      </c>
      <c r="I3283" t="s">
        <v>18</v>
      </c>
      <c r="J3283" s="6">
        <v>17.989999999999998</v>
      </c>
      <c r="K3283">
        <v>1</v>
      </c>
      <c r="L3283" t="s">
        <v>29</v>
      </c>
      <c r="M3283" s="5">
        <v>5</v>
      </c>
      <c r="N3283" s="4">
        <v>0.08</v>
      </c>
      <c r="O3283" t="s">
        <v>25</v>
      </c>
    </row>
    <row r="3284" spans="1:15" x14ac:dyDescent="0.3">
      <c r="A3284" t="s">
        <v>4086</v>
      </c>
      <c r="B3284" s="5">
        <v>52</v>
      </c>
      <c r="C3284" s="5" t="str" cm="1">
        <f t="array" ref="C3284">_xlfn.IFS(worksheet[[#This Row],[age]]&lt;25,"1. Young Adulthood (18-24)",worksheet[[#This Row],[age]]&lt; 35,"2. Early Adulthood (25-34)",worksheet[[#This Row],[age]]&lt; 45,"3. Mid Adulthood (35-44)",worksheet[[#This Row],[age]]&lt; 55,"4. Mature Adulthood (45-54)",TRUE,"5. Late Adulthood/Senior (55+)")</f>
        <v>4. Mature Adulthood (45-54)</v>
      </c>
      <c r="D3284" t="s">
        <v>15</v>
      </c>
      <c r="E3284" t="s">
        <v>32</v>
      </c>
      <c r="F3284" s="4">
        <v>3.1</v>
      </c>
      <c r="G3284" s="5">
        <v>6</v>
      </c>
      <c r="H3284" t="s">
        <v>23</v>
      </c>
      <c r="I3284" t="s">
        <v>57</v>
      </c>
      <c r="J3284" s="6">
        <v>17.989999999999998</v>
      </c>
      <c r="K3284">
        <v>0</v>
      </c>
      <c r="L3284" t="s">
        <v>61</v>
      </c>
      <c r="M3284" s="5">
        <v>3</v>
      </c>
      <c r="N3284" s="4">
        <v>0.44</v>
      </c>
      <c r="O3284" t="s">
        <v>52</v>
      </c>
    </row>
    <row r="3285" spans="1:15" x14ac:dyDescent="0.3">
      <c r="A3285" t="s">
        <v>4088</v>
      </c>
      <c r="B3285" s="5">
        <v>53</v>
      </c>
      <c r="C3285" s="5" t="str" cm="1">
        <f t="array" ref="C3285">_xlfn.IFS(worksheet[[#This Row],[age]]&lt;25,"1. Young Adulthood (18-24)",worksheet[[#This Row],[age]]&lt; 35,"2. Early Adulthood (25-34)",worksheet[[#This Row],[age]]&lt; 45,"3. Mid Adulthood (35-44)",worksheet[[#This Row],[age]]&lt; 55,"4. Mature Adulthood (45-54)",TRUE,"5. Late Adulthood/Senior (55+)")</f>
        <v>4. Mature Adulthood (45-54)</v>
      </c>
      <c r="D3285" t="s">
        <v>41</v>
      </c>
      <c r="E3285" t="s">
        <v>22</v>
      </c>
      <c r="F3285" s="4">
        <v>16.059999999999999</v>
      </c>
      <c r="G3285" s="5">
        <v>57</v>
      </c>
      <c r="H3285" t="s">
        <v>70</v>
      </c>
      <c r="I3285" t="s">
        <v>57</v>
      </c>
      <c r="J3285" s="6">
        <v>13.99</v>
      </c>
      <c r="K3285">
        <v>1</v>
      </c>
      <c r="L3285" t="s">
        <v>19</v>
      </c>
      <c r="M3285" s="5">
        <v>4</v>
      </c>
      <c r="N3285" s="4">
        <v>0.28000000000000003</v>
      </c>
      <c r="O3285" t="s">
        <v>20</v>
      </c>
    </row>
    <row r="3286" spans="1:15" x14ac:dyDescent="0.3">
      <c r="A3286" t="s">
        <v>4090</v>
      </c>
      <c r="B3286" s="5">
        <v>46</v>
      </c>
      <c r="C3286" s="5" t="str" cm="1">
        <f t="array" ref="C3286">_xlfn.IFS(worksheet[[#This Row],[age]]&lt;25,"1. Young Adulthood (18-24)",worksheet[[#This Row],[age]]&lt; 35,"2. Early Adulthood (25-34)",worksheet[[#This Row],[age]]&lt; 45,"3. Mid Adulthood (35-44)",worksheet[[#This Row],[age]]&lt; 55,"4. Mature Adulthood (45-54)",TRUE,"5. Late Adulthood/Senior (55+)")</f>
        <v>4. Mature Adulthood (45-54)</v>
      </c>
      <c r="D3286" t="s">
        <v>27</v>
      </c>
      <c r="E3286" t="s">
        <v>22</v>
      </c>
      <c r="F3286" s="4">
        <v>4.76</v>
      </c>
      <c r="G3286" s="5">
        <v>43</v>
      </c>
      <c r="H3286" t="s">
        <v>23</v>
      </c>
      <c r="I3286" t="s">
        <v>55</v>
      </c>
      <c r="J3286" s="6">
        <v>13.99</v>
      </c>
      <c r="K3286">
        <v>1</v>
      </c>
      <c r="L3286" t="s">
        <v>43</v>
      </c>
      <c r="M3286" s="5">
        <v>5</v>
      </c>
      <c r="N3286" s="4">
        <v>0.11</v>
      </c>
      <c r="O3286" t="s">
        <v>39</v>
      </c>
    </row>
    <row r="3287" spans="1:15" x14ac:dyDescent="0.3">
      <c r="A3287" t="s">
        <v>4098</v>
      </c>
      <c r="B3287" s="5">
        <v>53</v>
      </c>
      <c r="C3287" s="5" t="str" cm="1">
        <f t="array" ref="C3287">_xlfn.IFS(worksheet[[#This Row],[age]]&lt;25,"1. Young Adulthood (18-24)",worksheet[[#This Row],[age]]&lt; 35,"2. Early Adulthood (25-34)",worksheet[[#This Row],[age]]&lt; 45,"3. Mid Adulthood (35-44)",worksheet[[#This Row],[age]]&lt; 55,"4. Mature Adulthood (45-54)",TRUE,"5. Late Adulthood/Senior (55+)")</f>
        <v>4. Mature Adulthood (45-54)</v>
      </c>
      <c r="D3287" t="s">
        <v>27</v>
      </c>
      <c r="E3287" t="s">
        <v>22</v>
      </c>
      <c r="F3287" s="4">
        <v>2.34</v>
      </c>
      <c r="G3287" s="5">
        <v>46</v>
      </c>
      <c r="H3287" t="s">
        <v>28</v>
      </c>
      <c r="I3287" t="s">
        <v>55</v>
      </c>
      <c r="J3287" s="6">
        <v>13.99</v>
      </c>
      <c r="K3287">
        <v>1</v>
      </c>
      <c r="L3287" t="s">
        <v>43</v>
      </c>
      <c r="M3287" s="5">
        <v>1</v>
      </c>
      <c r="N3287" s="4">
        <v>0.05</v>
      </c>
      <c r="O3287" t="s">
        <v>39</v>
      </c>
    </row>
    <row r="3288" spans="1:15" x14ac:dyDescent="0.3">
      <c r="A3288" t="s">
        <v>4101</v>
      </c>
      <c r="B3288" s="5">
        <v>49</v>
      </c>
      <c r="C3288" s="5" t="str" cm="1">
        <f t="array" ref="C3288">_xlfn.IFS(worksheet[[#This Row],[age]]&lt;25,"1. Young Adulthood (18-24)",worksheet[[#This Row],[age]]&lt; 35,"2. Early Adulthood (25-34)",worksheet[[#This Row],[age]]&lt; 45,"3. Mid Adulthood (35-44)",worksheet[[#This Row],[age]]&lt; 55,"4. Mature Adulthood (45-54)",TRUE,"5. Late Adulthood/Senior (55+)")</f>
        <v>4. Mature Adulthood (45-54)</v>
      </c>
      <c r="D3288" t="s">
        <v>27</v>
      </c>
      <c r="E3288" t="s">
        <v>32</v>
      </c>
      <c r="F3288" s="4">
        <v>15.64</v>
      </c>
      <c r="G3288" s="5">
        <v>1</v>
      </c>
      <c r="H3288" t="s">
        <v>17</v>
      </c>
      <c r="I3288" t="s">
        <v>57</v>
      </c>
      <c r="J3288" s="6">
        <v>17.989999999999998</v>
      </c>
      <c r="K3288">
        <v>0</v>
      </c>
      <c r="L3288" t="s">
        <v>43</v>
      </c>
      <c r="M3288" s="5">
        <v>4</v>
      </c>
      <c r="N3288" s="4">
        <v>7.82</v>
      </c>
      <c r="O3288" t="s">
        <v>34</v>
      </c>
    </row>
    <row r="3289" spans="1:15" x14ac:dyDescent="0.3">
      <c r="A3289" t="s">
        <v>4102</v>
      </c>
      <c r="B3289" s="5">
        <v>46</v>
      </c>
      <c r="C3289" s="5" t="str" cm="1">
        <f t="array" ref="C3289">_xlfn.IFS(worksheet[[#This Row],[age]]&lt;25,"1. Young Adulthood (18-24)",worksheet[[#This Row],[age]]&lt; 35,"2. Early Adulthood (25-34)",worksheet[[#This Row],[age]]&lt; 45,"3. Mid Adulthood (35-44)",worksheet[[#This Row],[age]]&lt; 55,"4. Mature Adulthood (45-54)",TRUE,"5. Late Adulthood/Senior (55+)")</f>
        <v>4. Mature Adulthood (45-54)</v>
      </c>
      <c r="D3289" t="s">
        <v>41</v>
      </c>
      <c r="E3289" t="s">
        <v>22</v>
      </c>
      <c r="F3289" s="4">
        <v>8.7200000000000006</v>
      </c>
      <c r="G3289" s="5">
        <v>8</v>
      </c>
      <c r="H3289" t="s">
        <v>23</v>
      </c>
      <c r="I3289" t="s">
        <v>55</v>
      </c>
      <c r="J3289" s="6">
        <v>13.99</v>
      </c>
      <c r="K3289">
        <v>0</v>
      </c>
      <c r="L3289" t="s">
        <v>37</v>
      </c>
      <c r="M3289" s="5">
        <v>5</v>
      </c>
      <c r="N3289" s="4">
        <v>0.97</v>
      </c>
      <c r="O3289" t="s">
        <v>52</v>
      </c>
    </row>
    <row r="3290" spans="1:15" x14ac:dyDescent="0.3">
      <c r="A3290" t="s">
        <v>4105</v>
      </c>
      <c r="B3290" s="5">
        <v>54</v>
      </c>
      <c r="C3290" s="5" t="str" cm="1">
        <f t="array" ref="C3290">_xlfn.IFS(worksheet[[#This Row],[age]]&lt;25,"1. Young Adulthood (18-24)",worksheet[[#This Row],[age]]&lt; 35,"2. Early Adulthood (25-34)",worksheet[[#This Row],[age]]&lt; 45,"3. Mid Adulthood (35-44)",worksheet[[#This Row],[age]]&lt; 55,"4. Mature Adulthood (45-54)",TRUE,"5. Late Adulthood/Senior (55+)")</f>
        <v>4. Mature Adulthood (45-54)</v>
      </c>
      <c r="D3290" t="s">
        <v>41</v>
      </c>
      <c r="E3290" t="s">
        <v>16</v>
      </c>
      <c r="F3290" s="4">
        <v>1.29</v>
      </c>
      <c r="G3290" s="5">
        <v>49</v>
      </c>
      <c r="H3290" t="s">
        <v>23</v>
      </c>
      <c r="I3290" t="s">
        <v>46</v>
      </c>
      <c r="J3290" s="6">
        <v>8.99</v>
      </c>
      <c r="K3290">
        <v>1</v>
      </c>
      <c r="L3290" t="s">
        <v>61</v>
      </c>
      <c r="M3290" s="5">
        <v>4</v>
      </c>
      <c r="N3290" s="4">
        <v>0.03</v>
      </c>
      <c r="O3290" t="s">
        <v>25</v>
      </c>
    </row>
    <row r="3291" spans="1:15" x14ac:dyDescent="0.3">
      <c r="A3291" t="s">
        <v>4109</v>
      </c>
      <c r="B3291" s="5">
        <v>47</v>
      </c>
      <c r="C3291" s="5" t="str" cm="1">
        <f t="array" ref="C3291">_xlfn.IFS(worksheet[[#This Row],[age]]&lt;25,"1. Young Adulthood (18-24)",worksheet[[#This Row],[age]]&lt; 35,"2. Early Adulthood (25-34)",worksheet[[#This Row],[age]]&lt; 45,"3. Mid Adulthood (35-44)",worksheet[[#This Row],[age]]&lt; 55,"4. Mature Adulthood (45-54)",TRUE,"5. Late Adulthood/Senior (55+)")</f>
        <v>4. Mature Adulthood (45-54)</v>
      </c>
      <c r="D3291" t="s">
        <v>15</v>
      </c>
      <c r="E3291" t="s">
        <v>22</v>
      </c>
      <c r="F3291" s="4">
        <v>2.92</v>
      </c>
      <c r="G3291" s="5">
        <v>56</v>
      </c>
      <c r="H3291" t="s">
        <v>49</v>
      </c>
      <c r="I3291" t="s">
        <v>24</v>
      </c>
      <c r="J3291" s="6">
        <v>13.99</v>
      </c>
      <c r="K3291">
        <v>1</v>
      </c>
      <c r="L3291" t="s">
        <v>37</v>
      </c>
      <c r="M3291" s="5">
        <v>5</v>
      </c>
      <c r="N3291" s="4">
        <v>0.05</v>
      </c>
      <c r="O3291" t="s">
        <v>30</v>
      </c>
    </row>
    <row r="3292" spans="1:15" x14ac:dyDescent="0.3">
      <c r="A3292" t="s">
        <v>4111</v>
      </c>
      <c r="B3292" s="5">
        <v>51</v>
      </c>
      <c r="C3292" s="5" t="str" cm="1">
        <f t="array" ref="C3292">_xlfn.IFS(worksheet[[#This Row],[age]]&lt;25,"1. Young Adulthood (18-24)",worksheet[[#This Row],[age]]&lt; 35,"2. Early Adulthood (25-34)",worksheet[[#This Row],[age]]&lt; 45,"3. Mid Adulthood (35-44)",worksheet[[#This Row],[age]]&lt; 55,"4. Mature Adulthood (45-54)",TRUE,"5. Late Adulthood/Senior (55+)")</f>
        <v>4. Mature Adulthood (45-54)</v>
      </c>
      <c r="D3292" t="s">
        <v>41</v>
      </c>
      <c r="E3292" t="s">
        <v>22</v>
      </c>
      <c r="F3292" s="4">
        <v>18</v>
      </c>
      <c r="G3292" s="5">
        <v>60</v>
      </c>
      <c r="H3292" t="s">
        <v>49</v>
      </c>
      <c r="I3292" t="s">
        <v>55</v>
      </c>
      <c r="J3292" s="6">
        <v>13.99</v>
      </c>
      <c r="K3292">
        <v>0</v>
      </c>
      <c r="L3292" t="s">
        <v>37</v>
      </c>
      <c r="M3292" s="5">
        <v>4</v>
      </c>
      <c r="N3292" s="4">
        <v>0.3</v>
      </c>
      <c r="O3292" t="s">
        <v>39</v>
      </c>
    </row>
    <row r="3293" spans="1:15" x14ac:dyDescent="0.3">
      <c r="A3293" t="s">
        <v>4115</v>
      </c>
      <c r="B3293" s="5">
        <v>49</v>
      </c>
      <c r="C3293" s="5" t="str" cm="1">
        <f t="array" ref="C3293">_xlfn.IFS(worksheet[[#This Row],[age]]&lt;25,"1. Young Adulthood (18-24)",worksheet[[#This Row],[age]]&lt; 35,"2. Early Adulthood (25-34)",worksheet[[#This Row],[age]]&lt; 45,"3. Mid Adulthood (35-44)",worksheet[[#This Row],[age]]&lt; 55,"4. Mature Adulthood (45-54)",TRUE,"5. Late Adulthood/Senior (55+)")</f>
        <v>4. Mature Adulthood (45-54)</v>
      </c>
      <c r="D3293" t="s">
        <v>27</v>
      </c>
      <c r="E3293" t="s">
        <v>16</v>
      </c>
      <c r="F3293" s="4">
        <v>9.65</v>
      </c>
      <c r="G3293" s="5">
        <v>8</v>
      </c>
      <c r="H3293" t="s">
        <v>28</v>
      </c>
      <c r="I3293" t="s">
        <v>46</v>
      </c>
      <c r="J3293" s="6">
        <v>8.99</v>
      </c>
      <c r="K3293">
        <v>0</v>
      </c>
      <c r="L3293" t="s">
        <v>29</v>
      </c>
      <c r="M3293" s="5">
        <v>3</v>
      </c>
      <c r="N3293" s="4">
        <v>1.07</v>
      </c>
      <c r="O3293" t="s">
        <v>39</v>
      </c>
    </row>
    <row r="3294" spans="1:15" x14ac:dyDescent="0.3">
      <c r="A3294" t="s">
        <v>4126</v>
      </c>
      <c r="B3294" s="5">
        <v>47</v>
      </c>
      <c r="C3294" s="5" t="str" cm="1">
        <f t="array" ref="C3294">_xlfn.IFS(worksheet[[#This Row],[age]]&lt;25,"1. Young Adulthood (18-24)",worksheet[[#This Row],[age]]&lt; 35,"2. Early Adulthood (25-34)",worksheet[[#This Row],[age]]&lt; 45,"3. Mid Adulthood (35-44)",worksheet[[#This Row],[age]]&lt; 55,"4. Mature Adulthood (45-54)",TRUE,"5. Late Adulthood/Senior (55+)")</f>
        <v>4. Mature Adulthood (45-54)</v>
      </c>
      <c r="D3294" t="s">
        <v>15</v>
      </c>
      <c r="E3294" t="s">
        <v>32</v>
      </c>
      <c r="F3294" s="4">
        <v>12.5</v>
      </c>
      <c r="G3294" s="5">
        <v>18</v>
      </c>
      <c r="H3294" t="s">
        <v>17</v>
      </c>
      <c r="I3294" t="s">
        <v>24</v>
      </c>
      <c r="J3294" s="6">
        <v>17.989999999999998</v>
      </c>
      <c r="K3294">
        <v>0</v>
      </c>
      <c r="L3294" t="s">
        <v>61</v>
      </c>
      <c r="M3294" s="5">
        <v>1</v>
      </c>
      <c r="N3294" s="4">
        <v>0.66</v>
      </c>
      <c r="O3294" t="s">
        <v>30</v>
      </c>
    </row>
    <row r="3295" spans="1:15" x14ac:dyDescent="0.3">
      <c r="A3295" t="s">
        <v>4127</v>
      </c>
      <c r="B3295" s="5">
        <v>54</v>
      </c>
      <c r="C3295" s="5" t="str" cm="1">
        <f t="array" ref="C3295">_xlfn.IFS(worksheet[[#This Row],[age]]&lt;25,"1. Young Adulthood (18-24)",worksheet[[#This Row],[age]]&lt; 35,"2. Early Adulthood (25-34)",worksheet[[#This Row],[age]]&lt; 45,"3. Mid Adulthood (35-44)",worksheet[[#This Row],[age]]&lt; 55,"4. Mature Adulthood (45-54)",TRUE,"5. Late Adulthood/Senior (55+)")</f>
        <v>4. Mature Adulthood (45-54)</v>
      </c>
      <c r="D3295" t="s">
        <v>15</v>
      </c>
      <c r="E3295" t="s">
        <v>32</v>
      </c>
      <c r="F3295" s="4">
        <v>5.37</v>
      </c>
      <c r="G3295" s="5">
        <v>35</v>
      </c>
      <c r="H3295" t="s">
        <v>33</v>
      </c>
      <c r="I3295" t="s">
        <v>55</v>
      </c>
      <c r="J3295" s="6">
        <v>17.989999999999998</v>
      </c>
      <c r="K3295">
        <v>1</v>
      </c>
      <c r="L3295" t="s">
        <v>29</v>
      </c>
      <c r="M3295" s="5">
        <v>4</v>
      </c>
      <c r="N3295" s="4">
        <v>0.15</v>
      </c>
      <c r="O3295" t="s">
        <v>39</v>
      </c>
    </row>
    <row r="3296" spans="1:15" x14ac:dyDescent="0.3">
      <c r="A3296" t="s">
        <v>4129</v>
      </c>
      <c r="B3296" s="5">
        <v>50</v>
      </c>
      <c r="C3296" s="5" t="str" cm="1">
        <f t="array" ref="C3296">_xlfn.IFS(worksheet[[#This Row],[age]]&lt;25,"1. Young Adulthood (18-24)",worksheet[[#This Row],[age]]&lt; 35,"2. Early Adulthood (25-34)",worksheet[[#This Row],[age]]&lt; 45,"3. Mid Adulthood (35-44)",worksheet[[#This Row],[age]]&lt; 55,"4. Mature Adulthood (45-54)",TRUE,"5. Late Adulthood/Senior (55+)")</f>
        <v>4. Mature Adulthood (45-54)</v>
      </c>
      <c r="D3296" t="s">
        <v>15</v>
      </c>
      <c r="E3296" t="s">
        <v>32</v>
      </c>
      <c r="F3296" s="4">
        <v>12.5</v>
      </c>
      <c r="G3296" s="5">
        <v>56</v>
      </c>
      <c r="H3296" t="s">
        <v>28</v>
      </c>
      <c r="I3296" t="s">
        <v>57</v>
      </c>
      <c r="J3296" s="6">
        <v>17.989999999999998</v>
      </c>
      <c r="K3296">
        <v>0</v>
      </c>
      <c r="L3296" t="s">
        <v>61</v>
      </c>
      <c r="M3296" s="5">
        <v>5</v>
      </c>
      <c r="N3296" s="4">
        <v>0.22</v>
      </c>
      <c r="O3296" t="s">
        <v>20</v>
      </c>
    </row>
    <row r="3297" spans="1:15" x14ac:dyDescent="0.3">
      <c r="A3297" t="s">
        <v>4132</v>
      </c>
      <c r="B3297" s="5">
        <v>51</v>
      </c>
      <c r="C3297" s="5" t="str" cm="1">
        <f t="array" ref="C3297">_xlfn.IFS(worksheet[[#This Row],[age]]&lt;25,"1. Young Adulthood (18-24)",worksheet[[#This Row],[age]]&lt; 35,"2. Early Adulthood (25-34)",worksheet[[#This Row],[age]]&lt; 45,"3. Mid Adulthood (35-44)",worksheet[[#This Row],[age]]&lt; 55,"4. Mature Adulthood (45-54)",TRUE,"5. Late Adulthood/Senior (55+)")</f>
        <v>4. Mature Adulthood (45-54)</v>
      </c>
      <c r="D3297" t="s">
        <v>27</v>
      </c>
      <c r="E3297" t="s">
        <v>16</v>
      </c>
      <c r="F3297" s="4">
        <v>17.62</v>
      </c>
      <c r="G3297" s="5">
        <v>55</v>
      </c>
      <c r="H3297" t="s">
        <v>28</v>
      </c>
      <c r="I3297" t="s">
        <v>46</v>
      </c>
      <c r="J3297" s="6">
        <v>8.99</v>
      </c>
      <c r="K3297">
        <v>1</v>
      </c>
      <c r="L3297" t="s">
        <v>37</v>
      </c>
      <c r="M3297" s="5">
        <v>4</v>
      </c>
      <c r="N3297" s="4">
        <v>0.31</v>
      </c>
      <c r="O3297" t="s">
        <v>47</v>
      </c>
    </row>
    <row r="3298" spans="1:15" x14ac:dyDescent="0.3">
      <c r="A3298" t="s">
        <v>4136</v>
      </c>
      <c r="B3298" s="5">
        <v>51</v>
      </c>
      <c r="C3298" s="5" t="str" cm="1">
        <f t="array" ref="C3298">_xlfn.IFS(worksheet[[#This Row],[age]]&lt;25,"1. Young Adulthood (18-24)",worksheet[[#This Row],[age]]&lt; 35,"2. Early Adulthood (25-34)",worksheet[[#This Row],[age]]&lt; 45,"3. Mid Adulthood (35-44)",worksheet[[#This Row],[age]]&lt; 55,"4. Mature Adulthood (45-54)",TRUE,"5. Late Adulthood/Senior (55+)")</f>
        <v>4. Mature Adulthood (45-54)</v>
      </c>
      <c r="D3298" t="s">
        <v>15</v>
      </c>
      <c r="E3298" t="s">
        <v>32</v>
      </c>
      <c r="F3298" s="4">
        <v>12.41</v>
      </c>
      <c r="G3298" s="5">
        <v>53</v>
      </c>
      <c r="H3298" t="s">
        <v>28</v>
      </c>
      <c r="I3298" t="s">
        <v>46</v>
      </c>
      <c r="J3298" s="6">
        <v>17.989999999999998</v>
      </c>
      <c r="K3298">
        <v>1</v>
      </c>
      <c r="L3298" t="s">
        <v>19</v>
      </c>
      <c r="M3298" s="5">
        <v>3</v>
      </c>
      <c r="N3298" s="4">
        <v>0.23</v>
      </c>
      <c r="O3298" t="s">
        <v>39</v>
      </c>
    </row>
    <row r="3299" spans="1:15" x14ac:dyDescent="0.3">
      <c r="A3299" t="s">
        <v>4137</v>
      </c>
      <c r="B3299" s="5">
        <v>52</v>
      </c>
      <c r="C3299" s="5" t="str" cm="1">
        <f t="array" ref="C3299">_xlfn.IFS(worksheet[[#This Row],[age]]&lt;25,"1. Young Adulthood (18-24)",worksheet[[#This Row],[age]]&lt; 35,"2. Early Adulthood (25-34)",worksheet[[#This Row],[age]]&lt; 45,"3. Mid Adulthood (35-44)",worksheet[[#This Row],[age]]&lt; 55,"4. Mature Adulthood (45-54)",TRUE,"5. Late Adulthood/Senior (55+)")</f>
        <v>4. Mature Adulthood (45-54)</v>
      </c>
      <c r="D3299" t="s">
        <v>15</v>
      </c>
      <c r="E3299" t="s">
        <v>16</v>
      </c>
      <c r="F3299" s="4">
        <v>28.04</v>
      </c>
      <c r="G3299" s="5">
        <v>11</v>
      </c>
      <c r="H3299" t="s">
        <v>23</v>
      </c>
      <c r="I3299" t="s">
        <v>46</v>
      </c>
      <c r="J3299" s="6">
        <v>8.99</v>
      </c>
      <c r="K3299">
        <v>0</v>
      </c>
      <c r="L3299" t="s">
        <v>37</v>
      </c>
      <c r="M3299" s="5">
        <v>2</v>
      </c>
      <c r="N3299" s="4">
        <v>2.34</v>
      </c>
      <c r="O3299" t="s">
        <v>20</v>
      </c>
    </row>
    <row r="3300" spans="1:15" x14ac:dyDescent="0.3">
      <c r="A3300" t="s">
        <v>4138</v>
      </c>
      <c r="B3300" s="5">
        <v>51</v>
      </c>
      <c r="C3300" s="5" t="str" cm="1">
        <f t="array" ref="C3300">_xlfn.IFS(worksheet[[#This Row],[age]]&lt;25,"1. Young Adulthood (18-24)",worksheet[[#This Row],[age]]&lt; 35,"2. Early Adulthood (25-34)",worksheet[[#This Row],[age]]&lt; 45,"3. Mid Adulthood (35-44)",worksheet[[#This Row],[age]]&lt; 55,"4. Mature Adulthood (45-54)",TRUE,"5. Late Adulthood/Senior (55+)")</f>
        <v>4. Mature Adulthood (45-54)</v>
      </c>
      <c r="D3300" t="s">
        <v>41</v>
      </c>
      <c r="E3300" t="s">
        <v>22</v>
      </c>
      <c r="F3300" s="4">
        <v>5.05</v>
      </c>
      <c r="G3300" s="5">
        <v>24</v>
      </c>
      <c r="H3300" t="s">
        <v>70</v>
      </c>
      <c r="I3300" t="s">
        <v>57</v>
      </c>
      <c r="J3300" s="6">
        <v>13.99</v>
      </c>
      <c r="K3300">
        <v>0</v>
      </c>
      <c r="L3300" t="s">
        <v>19</v>
      </c>
      <c r="M3300" s="5">
        <v>3</v>
      </c>
      <c r="N3300" s="4">
        <v>0.2</v>
      </c>
      <c r="O3300" t="s">
        <v>20</v>
      </c>
    </row>
    <row r="3301" spans="1:15" x14ac:dyDescent="0.3">
      <c r="A3301" t="s">
        <v>4140</v>
      </c>
      <c r="B3301" s="5">
        <v>46</v>
      </c>
      <c r="C3301" s="5" t="str" cm="1">
        <f t="array" ref="C3301">_xlfn.IFS(worksheet[[#This Row],[age]]&lt;25,"1. Young Adulthood (18-24)",worksheet[[#This Row],[age]]&lt; 35,"2. Early Adulthood (25-34)",worksheet[[#This Row],[age]]&lt; 45,"3. Mid Adulthood (35-44)",worksheet[[#This Row],[age]]&lt; 55,"4. Mature Adulthood (45-54)",TRUE,"5. Late Adulthood/Senior (55+)")</f>
        <v>4. Mature Adulthood (45-54)</v>
      </c>
      <c r="D3301" t="s">
        <v>15</v>
      </c>
      <c r="E3301" t="s">
        <v>16</v>
      </c>
      <c r="F3301" s="4">
        <v>2.04</v>
      </c>
      <c r="G3301" s="5">
        <v>26</v>
      </c>
      <c r="H3301" t="s">
        <v>70</v>
      </c>
      <c r="I3301" t="s">
        <v>24</v>
      </c>
      <c r="J3301" s="6">
        <v>8.99</v>
      </c>
      <c r="K3301">
        <v>1</v>
      </c>
      <c r="L3301" t="s">
        <v>19</v>
      </c>
      <c r="M3301" s="5">
        <v>4</v>
      </c>
      <c r="N3301" s="4">
        <v>0.08</v>
      </c>
      <c r="O3301" t="s">
        <v>20</v>
      </c>
    </row>
    <row r="3302" spans="1:15" x14ac:dyDescent="0.3">
      <c r="A3302" t="s">
        <v>4156</v>
      </c>
      <c r="B3302" s="5">
        <v>54</v>
      </c>
      <c r="C3302" s="5" t="str" cm="1">
        <f t="array" ref="C3302">_xlfn.IFS(worksheet[[#This Row],[age]]&lt;25,"1. Young Adulthood (18-24)",worksheet[[#This Row],[age]]&lt; 35,"2. Early Adulthood (25-34)",worksheet[[#This Row],[age]]&lt; 45,"3. Mid Adulthood (35-44)",worksheet[[#This Row],[age]]&lt; 55,"4. Mature Adulthood (45-54)",TRUE,"5. Late Adulthood/Senior (55+)")</f>
        <v>4. Mature Adulthood (45-54)</v>
      </c>
      <c r="D3302" t="s">
        <v>15</v>
      </c>
      <c r="E3302" t="s">
        <v>16</v>
      </c>
      <c r="F3302" s="4">
        <v>29.19</v>
      </c>
      <c r="G3302" s="5">
        <v>28</v>
      </c>
      <c r="H3302" t="s">
        <v>28</v>
      </c>
      <c r="I3302" t="s">
        <v>57</v>
      </c>
      <c r="J3302" s="6">
        <v>8.99</v>
      </c>
      <c r="K3302">
        <v>0</v>
      </c>
      <c r="L3302" t="s">
        <v>19</v>
      </c>
      <c r="M3302" s="5">
        <v>2</v>
      </c>
      <c r="N3302" s="4">
        <v>1.01</v>
      </c>
      <c r="O3302" t="s">
        <v>39</v>
      </c>
    </row>
    <row r="3303" spans="1:15" x14ac:dyDescent="0.3">
      <c r="A3303" t="s">
        <v>4159</v>
      </c>
      <c r="B3303" s="5">
        <v>47</v>
      </c>
      <c r="C3303" s="5" t="str" cm="1">
        <f t="array" ref="C3303">_xlfn.IFS(worksheet[[#This Row],[age]]&lt;25,"1. Young Adulthood (18-24)",worksheet[[#This Row],[age]]&lt; 35,"2. Early Adulthood (25-34)",worksheet[[#This Row],[age]]&lt; 45,"3. Mid Adulthood (35-44)",worksheet[[#This Row],[age]]&lt; 55,"4. Mature Adulthood (45-54)",TRUE,"5. Late Adulthood/Senior (55+)")</f>
        <v>4. Mature Adulthood (45-54)</v>
      </c>
      <c r="D3303" t="s">
        <v>15</v>
      </c>
      <c r="E3303" t="s">
        <v>32</v>
      </c>
      <c r="F3303" s="4">
        <v>5.41</v>
      </c>
      <c r="G3303" s="5">
        <v>10</v>
      </c>
      <c r="H3303" t="s">
        <v>33</v>
      </c>
      <c r="I3303" t="s">
        <v>57</v>
      </c>
      <c r="J3303" s="6">
        <v>17.989999999999998</v>
      </c>
      <c r="K3303">
        <v>0</v>
      </c>
      <c r="L3303" t="s">
        <v>37</v>
      </c>
      <c r="M3303" s="5">
        <v>3</v>
      </c>
      <c r="N3303" s="4">
        <v>0.49</v>
      </c>
      <c r="O3303" t="s">
        <v>34</v>
      </c>
    </row>
    <row r="3304" spans="1:15" x14ac:dyDescent="0.3">
      <c r="A3304" t="s">
        <v>4160</v>
      </c>
      <c r="B3304" s="5">
        <v>45</v>
      </c>
      <c r="C3304" s="5" t="str" cm="1">
        <f t="array" ref="C3304">_xlfn.IFS(worksheet[[#This Row],[age]]&lt;25,"1. Young Adulthood (18-24)",worksheet[[#This Row],[age]]&lt; 35,"2. Early Adulthood (25-34)",worksheet[[#This Row],[age]]&lt; 45,"3. Mid Adulthood (35-44)",worksheet[[#This Row],[age]]&lt; 55,"4. Mature Adulthood (45-54)",TRUE,"5. Late Adulthood/Senior (55+)")</f>
        <v>4. Mature Adulthood (45-54)</v>
      </c>
      <c r="D3304" t="s">
        <v>15</v>
      </c>
      <c r="E3304" t="s">
        <v>22</v>
      </c>
      <c r="F3304" s="4">
        <v>4.13</v>
      </c>
      <c r="G3304" s="5">
        <v>4</v>
      </c>
      <c r="H3304" t="s">
        <v>49</v>
      </c>
      <c r="I3304" t="s">
        <v>57</v>
      </c>
      <c r="J3304" s="6">
        <v>13.99</v>
      </c>
      <c r="K3304">
        <v>0</v>
      </c>
      <c r="L3304" t="s">
        <v>37</v>
      </c>
      <c r="M3304" s="5">
        <v>2</v>
      </c>
      <c r="N3304" s="4">
        <v>0.83</v>
      </c>
      <c r="O3304" t="s">
        <v>47</v>
      </c>
    </row>
    <row r="3305" spans="1:15" x14ac:dyDescent="0.3">
      <c r="A3305" t="s">
        <v>4166</v>
      </c>
      <c r="B3305" s="5">
        <v>47</v>
      </c>
      <c r="C3305" s="5" t="str" cm="1">
        <f t="array" ref="C3305">_xlfn.IFS(worksheet[[#This Row],[age]]&lt;25,"1. Young Adulthood (18-24)",worksheet[[#This Row],[age]]&lt; 35,"2. Early Adulthood (25-34)",worksheet[[#This Row],[age]]&lt; 45,"3. Mid Adulthood (35-44)",worksheet[[#This Row],[age]]&lt; 55,"4. Mature Adulthood (45-54)",TRUE,"5. Late Adulthood/Senior (55+)")</f>
        <v>4. Mature Adulthood (45-54)</v>
      </c>
      <c r="D3305" t="s">
        <v>15</v>
      </c>
      <c r="E3305" t="s">
        <v>22</v>
      </c>
      <c r="F3305" s="4">
        <v>3.3</v>
      </c>
      <c r="G3305" s="5">
        <v>51</v>
      </c>
      <c r="H3305" t="s">
        <v>23</v>
      </c>
      <c r="I3305" t="s">
        <v>57</v>
      </c>
      <c r="J3305" s="6">
        <v>13.99</v>
      </c>
      <c r="K3305">
        <v>1</v>
      </c>
      <c r="L3305" t="s">
        <v>37</v>
      </c>
      <c r="M3305" s="5">
        <v>5</v>
      </c>
      <c r="N3305" s="4">
        <v>0.06</v>
      </c>
      <c r="O3305" t="s">
        <v>34</v>
      </c>
    </row>
    <row r="3306" spans="1:15" x14ac:dyDescent="0.3">
      <c r="A3306" t="s">
        <v>4168</v>
      </c>
      <c r="B3306" s="5">
        <v>52</v>
      </c>
      <c r="C3306" s="5" t="str" cm="1">
        <f t="array" ref="C3306">_xlfn.IFS(worksheet[[#This Row],[age]]&lt;25,"1. Young Adulthood (18-24)",worksheet[[#This Row],[age]]&lt; 35,"2. Early Adulthood (25-34)",worksheet[[#This Row],[age]]&lt; 45,"3. Mid Adulthood (35-44)",worksheet[[#This Row],[age]]&lt; 55,"4. Mature Adulthood (45-54)",TRUE,"5. Late Adulthood/Senior (55+)")</f>
        <v>4. Mature Adulthood (45-54)</v>
      </c>
      <c r="D3306" t="s">
        <v>15</v>
      </c>
      <c r="E3306" t="s">
        <v>22</v>
      </c>
      <c r="F3306" s="4">
        <v>12.96</v>
      </c>
      <c r="G3306" s="5">
        <v>40</v>
      </c>
      <c r="H3306" t="s">
        <v>49</v>
      </c>
      <c r="I3306" t="s">
        <v>24</v>
      </c>
      <c r="J3306" s="6">
        <v>13.99</v>
      </c>
      <c r="K3306">
        <v>1</v>
      </c>
      <c r="L3306" t="s">
        <v>19</v>
      </c>
      <c r="M3306" s="5">
        <v>4</v>
      </c>
      <c r="N3306" s="4">
        <v>0.32</v>
      </c>
      <c r="O3306" t="s">
        <v>47</v>
      </c>
    </row>
    <row r="3307" spans="1:15" x14ac:dyDescent="0.3">
      <c r="A3307" t="s">
        <v>4174</v>
      </c>
      <c r="B3307" s="5">
        <v>51</v>
      </c>
      <c r="C3307" s="5" t="str" cm="1">
        <f t="array" ref="C3307">_xlfn.IFS(worksheet[[#This Row],[age]]&lt;25,"1. Young Adulthood (18-24)",worksheet[[#This Row],[age]]&lt; 35,"2. Early Adulthood (25-34)",worksheet[[#This Row],[age]]&lt; 45,"3. Mid Adulthood (35-44)",worksheet[[#This Row],[age]]&lt; 55,"4. Mature Adulthood (45-54)",TRUE,"5. Late Adulthood/Senior (55+)")</f>
        <v>4. Mature Adulthood (45-54)</v>
      </c>
      <c r="D3307" t="s">
        <v>41</v>
      </c>
      <c r="E3307" t="s">
        <v>22</v>
      </c>
      <c r="F3307" s="4">
        <v>20.53</v>
      </c>
      <c r="G3307" s="5">
        <v>1</v>
      </c>
      <c r="H3307" t="s">
        <v>23</v>
      </c>
      <c r="I3307" t="s">
        <v>46</v>
      </c>
      <c r="J3307" s="6">
        <v>13.99</v>
      </c>
      <c r="K3307">
        <v>0</v>
      </c>
      <c r="L3307" t="s">
        <v>37</v>
      </c>
      <c r="M3307" s="5">
        <v>4</v>
      </c>
      <c r="N3307" s="4">
        <v>10.27</v>
      </c>
      <c r="O3307" t="s">
        <v>47</v>
      </c>
    </row>
    <row r="3308" spans="1:15" x14ac:dyDescent="0.3">
      <c r="A3308" t="s">
        <v>4176</v>
      </c>
      <c r="B3308" s="5">
        <v>47</v>
      </c>
      <c r="C3308" s="5" t="str" cm="1">
        <f t="array" ref="C3308">_xlfn.IFS(worksheet[[#This Row],[age]]&lt;25,"1. Young Adulthood (18-24)",worksheet[[#This Row],[age]]&lt; 35,"2. Early Adulthood (25-34)",worksheet[[#This Row],[age]]&lt; 45,"3. Mid Adulthood (35-44)",worksheet[[#This Row],[age]]&lt; 55,"4. Mature Adulthood (45-54)",TRUE,"5. Late Adulthood/Senior (55+)")</f>
        <v>4. Mature Adulthood (45-54)</v>
      </c>
      <c r="D3308" t="s">
        <v>15</v>
      </c>
      <c r="E3308" t="s">
        <v>32</v>
      </c>
      <c r="F3308" s="4">
        <v>3.3</v>
      </c>
      <c r="G3308" s="5">
        <v>24</v>
      </c>
      <c r="H3308" t="s">
        <v>70</v>
      </c>
      <c r="I3308" t="s">
        <v>55</v>
      </c>
      <c r="J3308" s="6">
        <v>17.989999999999998</v>
      </c>
      <c r="K3308">
        <v>1</v>
      </c>
      <c r="L3308" t="s">
        <v>29</v>
      </c>
      <c r="M3308" s="5">
        <v>4</v>
      </c>
      <c r="N3308" s="4">
        <v>0.13</v>
      </c>
      <c r="O3308" t="s">
        <v>20</v>
      </c>
    </row>
    <row r="3309" spans="1:15" x14ac:dyDescent="0.3">
      <c r="A3309" t="s">
        <v>4180</v>
      </c>
      <c r="B3309" s="5">
        <v>45</v>
      </c>
      <c r="C3309" s="5" t="str" cm="1">
        <f t="array" ref="C3309">_xlfn.IFS(worksheet[[#This Row],[age]]&lt;25,"1. Young Adulthood (18-24)",worksheet[[#This Row],[age]]&lt; 35,"2. Early Adulthood (25-34)",worksheet[[#This Row],[age]]&lt; 45,"3. Mid Adulthood (35-44)",worksheet[[#This Row],[age]]&lt; 55,"4. Mature Adulthood (45-54)",TRUE,"5. Late Adulthood/Senior (55+)")</f>
        <v>4. Mature Adulthood (45-54)</v>
      </c>
      <c r="D3309" t="s">
        <v>41</v>
      </c>
      <c r="E3309" t="s">
        <v>22</v>
      </c>
      <c r="F3309" s="4">
        <v>43.5</v>
      </c>
      <c r="G3309" s="5">
        <v>7</v>
      </c>
      <c r="H3309" t="s">
        <v>70</v>
      </c>
      <c r="I3309" t="s">
        <v>55</v>
      </c>
      <c r="J3309" s="6">
        <v>13.99</v>
      </c>
      <c r="K3309">
        <v>0</v>
      </c>
      <c r="L3309" t="s">
        <v>19</v>
      </c>
      <c r="M3309" s="5">
        <v>5</v>
      </c>
      <c r="N3309" s="4">
        <v>5.44</v>
      </c>
      <c r="O3309" t="s">
        <v>30</v>
      </c>
    </row>
    <row r="3310" spans="1:15" x14ac:dyDescent="0.3">
      <c r="A3310" t="s">
        <v>4182</v>
      </c>
      <c r="B3310" s="5">
        <v>50</v>
      </c>
      <c r="C3310" s="5" t="str" cm="1">
        <f t="array" ref="C3310">_xlfn.IFS(worksheet[[#This Row],[age]]&lt;25,"1. Young Adulthood (18-24)",worksheet[[#This Row],[age]]&lt; 35,"2. Early Adulthood (25-34)",worksheet[[#This Row],[age]]&lt; 45,"3. Mid Adulthood (35-44)",worksheet[[#This Row],[age]]&lt; 55,"4. Mature Adulthood (45-54)",TRUE,"5. Late Adulthood/Senior (55+)")</f>
        <v>4. Mature Adulthood (45-54)</v>
      </c>
      <c r="D3310" t="s">
        <v>15</v>
      </c>
      <c r="E3310" t="s">
        <v>32</v>
      </c>
      <c r="F3310" s="4">
        <v>13.02</v>
      </c>
      <c r="G3310" s="5">
        <v>51</v>
      </c>
      <c r="H3310" t="s">
        <v>49</v>
      </c>
      <c r="I3310" t="s">
        <v>55</v>
      </c>
      <c r="J3310" s="6">
        <v>17.989999999999998</v>
      </c>
      <c r="K3310">
        <v>1</v>
      </c>
      <c r="L3310" t="s">
        <v>29</v>
      </c>
      <c r="M3310" s="5">
        <v>2</v>
      </c>
      <c r="N3310" s="4">
        <v>0.25</v>
      </c>
      <c r="O3310" t="s">
        <v>39</v>
      </c>
    </row>
    <row r="3311" spans="1:15" x14ac:dyDescent="0.3">
      <c r="A3311" t="s">
        <v>4185</v>
      </c>
      <c r="B3311" s="5">
        <v>45</v>
      </c>
      <c r="C3311" s="5" t="str" cm="1">
        <f t="array" ref="C3311">_xlfn.IFS(worksheet[[#This Row],[age]]&lt;25,"1. Young Adulthood (18-24)",worksheet[[#This Row],[age]]&lt; 35,"2. Early Adulthood (25-34)",worksheet[[#This Row],[age]]&lt; 45,"3. Mid Adulthood (35-44)",worksheet[[#This Row],[age]]&lt; 55,"4. Mature Adulthood (45-54)",TRUE,"5. Late Adulthood/Senior (55+)")</f>
        <v>4. Mature Adulthood (45-54)</v>
      </c>
      <c r="D3311" t="s">
        <v>15</v>
      </c>
      <c r="E3311" t="s">
        <v>16</v>
      </c>
      <c r="F3311" s="4">
        <v>11.67</v>
      </c>
      <c r="G3311" s="5">
        <v>16</v>
      </c>
      <c r="H3311" t="s">
        <v>70</v>
      </c>
      <c r="I3311" t="s">
        <v>57</v>
      </c>
      <c r="J3311" s="6">
        <v>8.99</v>
      </c>
      <c r="K3311">
        <v>0</v>
      </c>
      <c r="L3311" t="s">
        <v>43</v>
      </c>
      <c r="M3311" s="5">
        <v>1</v>
      </c>
      <c r="N3311" s="4">
        <v>0.69</v>
      </c>
      <c r="O3311" t="s">
        <v>25</v>
      </c>
    </row>
    <row r="3312" spans="1:15" x14ac:dyDescent="0.3">
      <c r="A3312" t="s">
        <v>4188</v>
      </c>
      <c r="B3312" s="5">
        <v>54</v>
      </c>
      <c r="C3312" s="5" t="str" cm="1">
        <f t="array" ref="C3312">_xlfn.IFS(worksheet[[#This Row],[age]]&lt;25,"1. Young Adulthood (18-24)",worksheet[[#This Row],[age]]&lt; 35,"2. Early Adulthood (25-34)",worksheet[[#This Row],[age]]&lt; 45,"3. Mid Adulthood (35-44)",worksheet[[#This Row],[age]]&lt; 55,"4. Mature Adulthood (45-54)",TRUE,"5. Late Adulthood/Senior (55+)")</f>
        <v>4. Mature Adulthood (45-54)</v>
      </c>
      <c r="D3312" t="s">
        <v>41</v>
      </c>
      <c r="E3312" t="s">
        <v>16</v>
      </c>
      <c r="F3312" s="4">
        <v>14.95</v>
      </c>
      <c r="G3312" s="5">
        <v>44</v>
      </c>
      <c r="H3312" t="s">
        <v>23</v>
      </c>
      <c r="I3312" t="s">
        <v>55</v>
      </c>
      <c r="J3312" s="6">
        <v>8.99</v>
      </c>
      <c r="K3312">
        <v>1</v>
      </c>
      <c r="L3312" t="s">
        <v>37</v>
      </c>
      <c r="M3312" s="5">
        <v>1</v>
      </c>
      <c r="N3312" s="4">
        <v>0.33</v>
      </c>
      <c r="O3312" t="s">
        <v>34</v>
      </c>
    </row>
    <row r="3313" spans="1:15" x14ac:dyDescent="0.3">
      <c r="A3313" t="s">
        <v>4189</v>
      </c>
      <c r="B3313" s="5">
        <v>47</v>
      </c>
      <c r="C3313" s="5" t="str" cm="1">
        <f t="array" ref="C3313">_xlfn.IFS(worksheet[[#This Row],[age]]&lt;25,"1. Young Adulthood (18-24)",worksheet[[#This Row],[age]]&lt; 35,"2. Early Adulthood (25-34)",worksheet[[#This Row],[age]]&lt; 45,"3. Mid Adulthood (35-44)",worksheet[[#This Row],[age]]&lt; 55,"4. Mature Adulthood (45-54)",TRUE,"5. Late Adulthood/Senior (55+)")</f>
        <v>4. Mature Adulthood (45-54)</v>
      </c>
      <c r="D3313" t="s">
        <v>27</v>
      </c>
      <c r="E3313" t="s">
        <v>22</v>
      </c>
      <c r="F3313" s="4">
        <v>1.23</v>
      </c>
      <c r="G3313" s="5">
        <v>54</v>
      </c>
      <c r="H3313" t="s">
        <v>28</v>
      </c>
      <c r="I3313" t="s">
        <v>18</v>
      </c>
      <c r="J3313" s="6">
        <v>13.99</v>
      </c>
      <c r="K3313">
        <v>1</v>
      </c>
      <c r="L3313" t="s">
        <v>29</v>
      </c>
      <c r="M3313" s="5">
        <v>1</v>
      </c>
      <c r="N3313" s="4">
        <v>0.02</v>
      </c>
      <c r="O3313" t="s">
        <v>52</v>
      </c>
    </row>
    <row r="3314" spans="1:15" x14ac:dyDescent="0.3">
      <c r="A3314" t="s">
        <v>4193</v>
      </c>
      <c r="B3314" s="5">
        <v>54</v>
      </c>
      <c r="C3314" s="5" t="str" cm="1">
        <f t="array" ref="C3314">_xlfn.IFS(worksheet[[#This Row],[age]]&lt;25,"1. Young Adulthood (18-24)",worksheet[[#This Row],[age]]&lt; 35,"2. Early Adulthood (25-34)",worksheet[[#This Row],[age]]&lt; 45,"3. Mid Adulthood (35-44)",worksheet[[#This Row],[age]]&lt; 55,"4. Mature Adulthood (45-54)",TRUE,"5. Late Adulthood/Senior (55+)")</f>
        <v>4. Mature Adulthood (45-54)</v>
      </c>
      <c r="D3314" t="s">
        <v>15</v>
      </c>
      <c r="E3314" t="s">
        <v>22</v>
      </c>
      <c r="F3314" s="4">
        <v>25.32</v>
      </c>
      <c r="G3314" s="5">
        <v>57</v>
      </c>
      <c r="H3314" t="s">
        <v>28</v>
      </c>
      <c r="I3314" t="s">
        <v>24</v>
      </c>
      <c r="J3314" s="6">
        <v>13.99</v>
      </c>
      <c r="K3314">
        <v>0</v>
      </c>
      <c r="L3314" t="s">
        <v>61</v>
      </c>
      <c r="M3314" s="5">
        <v>3</v>
      </c>
      <c r="N3314" s="4">
        <v>0.44</v>
      </c>
      <c r="O3314" t="s">
        <v>30</v>
      </c>
    </row>
    <row r="3315" spans="1:15" x14ac:dyDescent="0.3">
      <c r="A3315" t="s">
        <v>4201</v>
      </c>
      <c r="B3315" s="5">
        <v>52</v>
      </c>
      <c r="C3315" s="5" t="str" cm="1">
        <f t="array" ref="C3315">_xlfn.IFS(worksheet[[#This Row],[age]]&lt;25,"1. Young Adulthood (18-24)",worksheet[[#This Row],[age]]&lt; 35,"2. Early Adulthood (25-34)",worksheet[[#This Row],[age]]&lt; 45,"3. Mid Adulthood (35-44)",worksheet[[#This Row],[age]]&lt; 55,"4. Mature Adulthood (45-54)",TRUE,"5. Late Adulthood/Senior (55+)")</f>
        <v>4. Mature Adulthood (45-54)</v>
      </c>
      <c r="D3315" t="s">
        <v>15</v>
      </c>
      <c r="E3315" t="s">
        <v>32</v>
      </c>
      <c r="F3315" s="4">
        <v>34.96</v>
      </c>
      <c r="G3315" s="5">
        <v>50</v>
      </c>
      <c r="H3315" t="s">
        <v>70</v>
      </c>
      <c r="I3315" t="s">
        <v>55</v>
      </c>
      <c r="J3315" s="6">
        <v>17.989999999999998</v>
      </c>
      <c r="K3315">
        <v>0</v>
      </c>
      <c r="L3315" t="s">
        <v>61</v>
      </c>
      <c r="M3315" s="5">
        <v>3</v>
      </c>
      <c r="N3315" s="4">
        <v>0.69</v>
      </c>
      <c r="O3315" t="s">
        <v>34</v>
      </c>
    </row>
    <row r="3316" spans="1:15" x14ac:dyDescent="0.3">
      <c r="A3316" t="s">
        <v>4204</v>
      </c>
      <c r="B3316" s="5">
        <v>53</v>
      </c>
      <c r="C3316" s="5" t="str" cm="1">
        <f t="array" ref="C3316">_xlfn.IFS(worksheet[[#This Row],[age]]&lt;25,"1. Young Adulthood (18-24)",worksheet[[#This Row],[age]]&lt; 35,"2. Early Adulthood (25-34)",worksheet[[#This Row],[age]]&lt; 45,"3. Mid Adulthood (35-44)",worksheet[[#This Row],[age]]&lt; 55,"4. Mature Adulthood (45-54)",TRUE,"5. Late Adulthood/Senior (55+)")</f>
        <v>4. Mature Adulthood (45-54)</v>
      </c>
      <c r="D3316" t="s">
        <v>15</v>
      </c>
      <c r="E3316" t="s">
        <v>22</v>
      </c>
      <c r="F3316" s="4">
        <v>0.51</v>
      </c>
      <c r="G3316" s="5">
        <v>30</v>
      </c>
      <c r="H3316" t="s">
        <v>49</v>
      </c>
      <c r="I3316" t="s">
        <v>24</v>
      </c>
      <c r="J3316" s="6">
        <v>13.99</v>
      </c>
      <c r="K3316">
        <v>0</v>
      </c>
      <c r="L3316" t="s">
        <v>37</v>
      </c>
      <c r="M3316" s="5">
        <v>5</v>
      </c>
      <c r="N3316" s="4">
        <v>0.02</v>
      </c>
      <c r="O3316" t="s">
        <v>34</v>
      </c>
    </row>
    <row r="3317" spans="1:15" x14ac:dyDescent="0.3">
      <c r="A3317" t="s">
        <v>4223</v>
      </c>
      <c r="B3317" s="5">
        <v>46</v>
      </c>
      <c r="C3317" s="5" t="str" cm="1">
        <f t="array" ref="C3317">_xlfn.IFS(worksheet[[#This Row],[age]]&lt;25,"1. Young Adulthood (18-24)",worksheet[[#This Row],[age]]&lt; 35,"2. Early Adulthood (25-34)",worksheet[[#This Row],[age]]&lt; 45,"3. Mid Adulthood (35-44)",worksheet[[#This Row],[age]]&lt; 55,"4. Mature Adulthood (45-54)",TRUE,"5. Late Adulthood/Senior (55+)")</f>
        <v>4. Mature Adulthood (45-54)</v>
      </c>
      <c r="D3317" t="s">
        <v>41</v>
      </c>
      <c r="E3317" t="s">
        <v>32</v>
      </c>
      <c r="F3317" s="4">
        <v>36.229999999999997</v>
      </c>
      <c r="G3317" s="5">
        <v>16</v>
      </c>
      <c r="H3317" t="s">
        <v>49</v>
      </c>
      <c r="I3317" t="s">
        <v>55</v>
      </c>
      <c r="J3317" s="6">
        <v>17.989999999999998</v>
      </c>
      <c r="K3317">
        <v>0</v>
      </c>
      <c r="L3317" t="s">
        <v>61</v>
      </c>
      <c r="M3317" s="5">
        <v>4</v>
      </c>
      <c r="N3317" s="4">
        <v>2.13</v>
      </c>
      <c r="O3317" t="s">
        <v>25</v>
      </c>
    </row>
    <row r="3318" spans="1:15" x14ac:dyDescent="0.3">
      <c r="A3318" t="s">
        <v>4227</v>
      </c>
      <c r="B3318" s="5">
        <v>53</v>
      </c>
      <c r="C3318" s="5" t="str" cm="1">
        <f t="array" ref="C3318">_xlfn.IFS(worksheet[[#This Row],[age]]&lt;25,"1. Young Adulthood (18-24)",worksheet[[#This Row],[age]]&lt; 35,"2. Early Adulthood (25-34)",worksheet[[#This Row],[age]]&lt; 45,"3. Mid Adulthood (35-44)",worksheet[[#This Row],[age]]&lt; 55,"4. Mature Adulthood (45-54)",TRUE,"5. Late Adulthood/Senior (55+)")</f>
        <v>4. Mature Adulthood (45-54)</v>
      </c>
      <c r="D3318" t="s">
        <v>27</v>
      </c>
      <c r="E3318" t="s">
        <v>22</v>
      </c>
      <c r="F3318" s="4">
        <v>21.38</v>
      </c>
      <c r="G3318" s="5">
        <v>53</v>
      </c>
      <c r="H3318" t="s">
        <v>33</v>
      </c>
      <c r="I3318" t="s">
        <v>57</v>
      </c>
      <c r="J3318" s="6">
        <v>13.99</v>
      </c>
      <c r="K3318">
        <v>0</v>
      </c>
      <c r="L3318" t="s">
        <v>61</v>
      </c>
      <c r="M3318" s="5">
        <v>5</v>
      </c>
      <c r="N3318" s="4">
        <v>0.4</v>
      </c>
      <c r="O3318" t="s">
        <v>52</v>
      </c>
    </row>
    <row r="3319" spans="1:15" x14ac:dyDescent="0.3">
      <c r="A3319" t="s">
        <v>4242</v>
      </c>
      <c r="B3319" s="5">
        <v>50</v>
      </c>
      <c r="C3319" s="5" t="str" cm="1">
        <f t="array" ref="C3319">_xlfn.IFS(worksheet[[#This Row],[age]]&lt;25,"1. Young Adulthood (18-24)",worksheet[[#This Row],[age]]&lt; 35,"2. Early Adulthood (25-34)",worksheet[[#This Row],[age]]&lt; 45,"3. Mid Adulthood (35-44)",worksheet[[#This Row],[age]]&lt; 55,"4. Mature Adulthood (45-54)",TRUE,"5. Late Adulthood/Senior (55+)")</f>
        <v>4. Mature Adulthood (45-54)</v>
      </c>
      <c r="D3319" t="s">
        <v>27</v>
      </c>
      <c r="E3319" t="s">
        <v>32</v>
      </c>
      <c r="F3319" s="4">
        <v>18.62</v>
      </c>
      <c r="G3319" s="5">
        <v>25</v>
      </c>
      <c r="H3319" t="s">
        <v>17</v>
      </c>
      <c r="I3319" t="s">
        <v>57</v>
      </c>
      <c r="J3319" s="6">
        <v>17.989999999999998</v>
      </c>
      <c r="K3319">
        <v>0</v>
      </c>
      <c r="L3319" t="s">
        <v>19</v>
      </c>
      <c r="M3319" s="5">
        <v>5</v>
      </c>
      <c r="N3319" s="4">
        <v>0.72</v>
      </c>
      <c r="O3319" t="s">
        <v>52</v>
      </c>
    </row>
    <row r="3320" spans="1:15" x14ac:dyDescent="0.3">
      <c r="A3320" t="s">
        <v>4248</v>
      </c>
      <c r="B3320" s="5">
        <v>53</v>
      </c>
      <c r="C3320" s="5" t="str" cm="1">
        <f t="array" ref="C3320">_xlfn.IFS(worksheet[[#This Row],[age]]&lt;25,"1. Young Adulthood (18-24)",worksheet[[#This Row],[age]]&lt; 35,"2. Early Adulthood (25-34)",worksheet[[#This Row],[age]]&lt; 45,"3. Mid Adulthood (35-44)",worksheet[[#This Row],[age]]&lt; 55,"4. Mature Adulthood (45-54)",TRUE,"5. Late Adulthood/Senior (55+)")</f>
        <v>4. Mature Adulthood (45-54)</v>
      </c>
      <c r="D3320" t="s">
        <v>15</v>
      </c>
      <c r="E3320" t="s">
        <v>16</v>
      </c>
      <c r="F3320" s="4">
        <v>5.96</v>
      </c>
      <c r="G3320" s="5">
        <v>46</v>
      </c>
      <c r="H3320" t="s">
        <v>49</v>
      </c>
      <c r="I3320" t="s">
        <v>57</v>
      </c>
      <c r="J3320" s="6">
        <v>8.99</v>
      </c>
      <c r="K3320">
        <v>1</v>
      </c>
      <c r="L3320" t="s">
        <v>61</v>
      </c>
      <c r="M3320" s="5">
        <v>1</v>
      </c>
      <c r="N3320" s="4">
        <v>0.13</v>
      </c>
      <c r="O3320" t="s">
        <v>30</v>
      </c>
    </row>
    <row r="3321" spans="1:15" x14ac:dyDescent="0.3">
      <c r="A3321" t="s">
        <v>4259</v>
      </c>
      <c r="B3321" s="5">
        <v>47</v>
      </c>
      <c r="C3321" s="5" t="str" cm="1">
        <f t="array" ref="C3321">_xlfn.IFS(worksheet[[#This Row],[age]]&lt;25,"1. Young Adulthood (18-24)",worksheet[[#This Row],[age]]&lt; 35,"2. Early Adulthood (25-34)",worksheet[[#This Row],[age]]&lt; 45,"3. Mid Adulthood (35-44)",worksheet[[#This Row],[age]]&lt; 55,"4. Mature Adulthood (45-54)",TRUE,"5. Late Adulthood/Senior (55+)")</f>
        <v>4. Mature Adulthood (45-54)</v>
      </c>
      <c r="D3321" t="s">
        <v>41</v>
      </c>
      <c r="E3321" t="s">
        <v>16</v>
      </c>
      <c r="F3321" s="4">
        <v>3.92</v>
      </c>
      <c r="G3321" s="5">
        <v>40</v>
      </c>
      <c r="H3321" t="s">
        <v>33</v>
      </c>
      <c r="I3321" t="s">
        <v>57</v>
      </c>
      <c r="J3321" s="6">
        <v>8.99</v>
      </c>
      <c r="K3321">
        <v>1</v>
      </c>
      <c r="L3321" t="s">
        <v>43</v>
      </c>
      <c r="M3321" s="5">
        <v>5</v>
      </c>
      <c r="N3321" s="4">
        <v>0.1</v>
      </c>
      <c r="O3321" t="s">
        <v>30</v>
      </c>
    </row>
    <row r="3322" spans="1:15" x14ac:dyDescent="0.3">
      <c r="A3322" t="s">
        <v>4270</v>
      </c>
      <c r="B3322" s="5">
        <v>54</v>
      </c>
      <c r="C3322" s="5" t="str" cm="1">
        <f t="array" ref="C3322">_xlfn.IFS(worksheet[[#This Row],[age]]&lt;25,"1. Young Adulthood (18-24)",worksheet[[#This Row],[age]]&lt; 35,"2. Early Adulthood (25-34)",worksheet[[#This Row],[age]]&lt; 45,"3. Mid Adulthood (35-44)",worksheet[[#This Row],[age]]&lt; 55,"4. Mature Adulthood (45-54)",TRUE,"5. Late Adulthood/Senior (55+)")</f>
        <v>4. Mature Adulthood (45-54)</v>
      </c>
      <c r="D3322" t="s">
        <v>15</v>
      </c>
      <c r="E3322" t="s">
        <v>32</v>
      </c>
      <c r="F3322" s="4">
        <v>9.8000000000000007</v>
      </c>
      <c r="G3322" s="5">
        <v>56</v>
      </c>
      <c r="H3322" t="s">
        <v>70</v>
      </c>
      <c r="I3322" t="s">
        <v>57</v>
      </c>
      <c r="J3322" s="6">
        <v>17.989999999999998</v>
      </c>
      <c r="K3322">
        <v>1</v>
      </c>
      <c r="L3322" t="s">
        <v>29</v>
      </c>
      <c r="M3322" s="5">
        <v>4</v>
      </c>
      <c r="N3322" s="4">
        <v>0.17</v>
      </c>
      <c r="O3322" t="s">
        <v>39</v>
      </c>
    </row>
    <row r="3323" spans="1:15" x14ac:dyDescent="0.3">
      <c r="A3323" t="s">
        <v>4274</v>
      </c>
      <c r="B3323" s="5">
        <v>52</v>
      </c>
      <c r="C3323" s="5" t="str" cm="1">
        <f t="array" ref="C3323">_xlfn.IFS(worksheet[[#This Row],[age]]&lt;25,"1. Young Adulthood (18-24)",worksheet[[#This Row],[age]]&lt; 35,"2. Early Adulthood (25-34)",worksheet[[#This Row],[age]]&lt; 45,"3. Mid Adulthood (35-44)",worksheet[[#This Row],[age]]&lt; 55,"4. Mature Adulthood (45-54)",TRUE,"5. Late Adulthood/Senior (55+)")</f>
        <v>4. Mature Adulthood (45-54)</v>
      </c>
      <c r="D3323" t="s">
        <v>41</v>
      </c>
      <c r="E3323" t="s">
        <v>32</v>
      </c>
      <c r="F3323" s="4">
        <v>3.12</v>
      </c>
      <c r="G3323" s="5">
        <v>9</v>
      </c>
      <c r="H3323" t="s">
        <v>49</v>
      </c>
      <c r="I3323" t="s">
        <v>18</v>
      </c>
      <c r="J3323" s="6">
        <v>17.989999999999998</v>
      </c>
      <c r="K3323">
        <v>1</v>
      </c>
      <c r="L3323" t="s">
        <v>43</v>
      </c>
      <c r="M3323" s="5">
        <v>1</v>
      </c>
      <c r="N3323" s="4">
        <v>0.31</v>
      </c>
      <c r="O3323" t="s">
        <v>47</v>
      </c>
    </row>
    <row r="3324" spans="1:15" x14ac:dyDescent="0.3">
      <c r="A3324" t="s">
        <v>4276</v>
      </c>
      <c r="B3324" s="5">
        <v>49</v>
      </c>
      <c r="C3324" s="5" t="str" cm="1">
        <f t="array" ref="C3324">_xlfn.IFS(worksheet[[#This Row],[age]]&lt;25,"1. Young Adulthood (18-24)",worksheet[[#This Row],[age]]&lt; 35,"2. Early Adulthood (25-34)",worksheet[[#This Row],[age]]&lt; 45,"3. Mid Adulthood (35-44)",worksheet[[#This Row],[age]]&lt; 55,"4. Mature Adulthood (45-54)",TRUE,"5. Late Adulthood/Senior (55+)")</f>
        <v>4. Mature Adulthood (45-54)</v>
      </c>
      <c r="D3324" t="s">
        <v>27</v>
      </c>
      <c r="E3324" t="s">
        <v>22</v>
      </c>
      <c r="F3324" s="4">
        <v>8.43</v>
      </c>
      <c r="G3324" s="5">
        <v>2</v>
      </c>
      <c r="H3324" t="s">
        <v>33</v>
      </c>
      <c r="I3324" t="s">
        <v>18</v>
      </c>
      <c r="J3324" s="6">
        <v>13.99</v>
      </c>
      <c r="K3324">
        <v>0</v>
      </c>
      <c r="L3324" t="s">
        <v>19</v>
      </c>
      <c r="M3324" s="5">
        <v>1</v>
      </c>
      <c r="N3324" s="4">
        <v>2.81</v>
      </c>
      <c r="O3324" t="s">
        <v>47</v>
      </c>
    </row>
    <row r="3325" spans="1:15" x14ac:dyDescent="0.3">
      <c r="A3325" t="s">
        <v>4277</v>
      </c>
      <c r="B3325" s="5">
        <v>49</v>
      </c>
      <c r="C3325" s="5" t="str" cm="1">
        <f t="array" ref="C3325">_xlfn.IFS(worksheet[[#This Row],[age]]&lt;25,"1. Young Adulthood (18-24)",worksheet[[#This Row],[age]]&lt; 35,"2. Early Adulthood (25-34)",worksheet[[#This Row],[age]]&lt; 45,"3. Mid Adulthood (35-44)",worksheet[[#This Row],[age]]&lt; 55,"4. Mature Adulthood (45-54)",TRUE,"5. Late Adulthood/Senior (55+)")</f>
        <v>4. Mature Adulthood (45-54)</v>
      </c>
      <c r="D3325" t="s">
        <v>27</v>
      </c>
      <c r="E3325" t="s">
        <v>16</v>
      </c>
      <c r="F3325" s="4">
        <v>7.02</v>
      </c>
      <c r="G3325" s="5">
        <v>55</v>
      </c>
      <c r="H3325" t="s">
        <v>49</v>
      </c>
      <c r="I3325" t="s">
        <v>24</v>
      </c>
      <c r="J3325" s="6">
        <v>8.99</v>
      </c>
      <c r="K3325">
        <v>1</v>
      </c>
      <c r="L3325" t="s">
        <v>19</v>
      </c>
      <c r="M3325" s="5">
        <v>3</v>
      </c>
      <c r="N3325" s="4">
        <v>0.13</v>
      </c>
      <c r="O3325" t="s">
        <v>30</v>
      </c>
    </row>
    <row r="3326" spans="1:15" x14ac:dyDescent="0.3">
      <c r="A3326" t="s">
        <v>4290</v>
      </c>
      <c r="B3326" s="5">
        <v>45</v>
      </c>
      <c r="C3326" s="5" t="str" cm="1">
        <f t="array" ref="C3326">_xlfn.IFS(worksheet[[#This Row],[age]]&lt;25,"1. Young Adulthood (18-24)",worksheet[[#This Row],[age]]&lt; 35,"2. Early Adulthood (25-34)",worksheet[[#This Row],[age]]&lt; 45,"3. Mid Adulthood (35-44)",worksheet[[#This Row],[age]]&lt; 55,"4. Mature Adulthood (45-54)",TRUE,"5. Late Adulthood/Senior (55+)")</f>
        <v>4. Mature Adulthood (45-54)</v>
      </c>
      <c r="D3326" t="s">
        <v>27</v>
      </c>
      <c r="E3326" t="s">
        <v>32</v>
      </c>
      <c r="F3326" s="4">
        <v>0.12</v>
      </c>
      <c r="G3326" s="5">
        <v>14</v>
      </c>
      <c r="H3326" t="s">
        <v>23</v>
      </c>
      <c r="I3326" t="s">
        <v>18</v>
      </c>
      <c r="J3326" s="6">
        <v>17.989999999999998</v>
      </c>
      <c r="K3326">
        <v>0</v>
      </c>
      <c r="L3326" t="s">
        <v>37</v>
      </c>
      <c r="M3326" s="5">
        <v>5</v>
      </c>
      <c r="N3326" s="4">
        <v>0.01</v>
      </c>
      <c r="O3326" t="s">
        <v>52</v>
      </c>
    </row>
    <row r="3327" spans="1:15" x14ac:dyDescent="0.3">
      <c r="A3327" t="s">
        <v>4291</v>
      </c>
      <c r="B3327" s="5">
        <v>47</v>
      </c>
      <c r="C3327" s="5" t="str" cm="1">
        <f t="array" ref="C3327">_xlfn.IFS(worksheet[[#This Row],[age]]&lt;25,"1. Young Adulthood (18-24)",worksheet[[#This Row],[age]]&lt; 35,"2. Early Adulthood (25-34)",worksheet[[#This Row],[age]]&lt; 45,"3. Mid Adulthood (35-44)",worksheet[[#This Row],[age]]&lt; 55,"4. Mature Adulthood (45-54)",TRUE,"5. Late Adulthood/Senior (55+)")</f>
        <v>4. Mature Adulthood (45-54)</v>
      </c>
      <c r="D3327" t="s">
        <v>41</v>
      </c>
      <c r="E3327" t="s">
        <v>32</v>
      </c>
      <c r="F3327" s="4">
        <v>0.64</v>
      </c>
      <c r="G3327" s="5">
        <v>43</v>
      </c>
      <c r="H3327" t="s">
        <v>17</v>
      </c>
      <c r="I3327" t="s">
        <v>55</v>
      </c>
      <c r="J3327" s="6">
        <v>17.989999999999998</v>
      </c>
      <c r="K3327">
        <v>1</v>
      </c>
      <c r="L3327" t="s">
        <v>29</v>
      </c>
      <c r="M3327" s="5">
        <v>2</v>
      </c>
      <c r="N3327" s="4">
        <v>0.01</v>
      </c>
      <c r="O3327" t="s">
        <v>39</v>
      </c>
    </row>
    <row r="3328" spans="1:15" x14ac:dyDescent="0.3">
      <c r="A3328" t="s">
        <v>4303</v>
      </c>
      <c r="B3328" s="5">
        <v>52</v>
      </c>
      <c r="C3328" s="5" t="str" cm="1">
        <f t="array" ref="C3328">_xlfn.IFS(worksheet[[#This Row],[age]]&lt;25,"1. Young Adulthood (18-24)",worksheet[[#This Row],[age]]&lt; 35,"2. Early Adulthood (25-34)",worksheet[[#This Row],[age]]&lt; 45,"3. Mid Adulthood (35-44)",worksheet[[#This Row],[age]]&lt; 55,"4. Mature Adulthood (45-54)",TRUE,"5. Late Adulthood/Senior (55+)")</f>
        <v>4. Mature Adulthood (45-54)</v>
      </c>
      <c r="D3328" t="s">
        <v>27</v>
      </c>
      <c r="E3328" t="s">
        <v>22</v>
      </c>
      <c r="F3328" s="4">
        <v>8.93</v>
      </c>
      <c r="G3328" s="5">
        <v>38</v>
      </c>
      <c r="H3328" t="s">
        <v>17</v>
      </c>
      <c r="I3328" t="s">
        <v>55</v>
      </c>
      <c r="J3328" s="6">
        <v>13.99</v>
      </c>
      <c r="K3328">
        <v>1</v>
      </c>
      <c r="L3328" t="s">
        <v>29</v>
      </c>
      <c r="M3328" s="5">
        <v>1</v>
      </c>
      <c r="N3328" s="4">
        <v>0.23</v>
      </c>
      <c r="O3328" t="s">
        <v>34</v>
      </c>
    </row>
    <row r="3329" spans="1:15" x14ac:dyDescent="0.3">
      <c r="A3329" t="s">
        <v>4305</v>
      </c>
      <c r="B3329" s="5">
        <v>52</v>
      </c>
      <c r="C3329" s="5" t="str" cm="1">
        <f t="array" ref="C3329">_xlfn.IFS(worksheet[[#This Row],[age]]&lt;25,"1. Young Adulthood (18-24)",worksheet[[#This Row],[age]]&lt; 35,"2. Early Adulthood (25-34)",worksheet[[#This Row],[age]]&lt; 45,"3. Mid Adulthood (35-44)",worksheet[[#This Row],[age]]&lt; 55,"4. Mature Adulthood (45-54)",TRUE,"5. Late Adulthood/Senior (55+)")</f>
        <v>4. Mature Adulthood (45-54)</v>
      </c>
      <c r="D3329" t="s">
        <v>15</v>
      </c>
      <c r="E3329" t="s">
        <v>16</v>
      </c>
      <c r="F3329" s="4">
        <v>0.4</v>
      </c>
      <c r="G3329" s="5">
        <v>54</v>
      </c>
      <c r="H3329" t="s">
        <v>23</v>
      </c>
      <c r="I3329" t="s">
        <v>55</v>
      </c>
      <c r="J3329" s="6">
        <v>8.99</v>
      </c>
      <c r="K3329">
        <v>1</v>
      </c>
      <c r="L3329" t="s">
        <v>37</v>
      </c>
      <c r="M3329" s="5">
        <v>1</v>
      </c>
      <c r="N3329" s="4">
        <v>0.01</v>
      </c>
      <c r="O3329" t="s">
        <v>39</v>
      </c>
    </row>
    <row r="3330" spans="1:15" x14ac:dyDescent="0.3">
      <c r="A3330" t="s">
        <v>4309</v>
      </c>
      <c r="B3330" s="5">
        <v>45</v>
      </c>
      <c r="C3330" s="5" t="str" cm="1">
        <f t="array" ref="C3330">_xlfn.IFS(worksheet[[#This Row],[age]]&lt;25,"1. Young Adulthood (18-24)",worksheet[[#This Row],[age]]&lt; 35,"2. Early Adulthood (25-34)",worksheet[[#This Row],[age]]&lt; 45,"3. Mid Adulthood (35-44)",worksheet[[#This Row],[age]]&lt; 55,"4. Mature Adulthood (45-54)",TRUE,"5. Late Adulthood/Senior (55+)")</f>
        <v>4. Mature Adulthood (45-54)</v>
      </c>
      <c r="D3330" t="s">
        <v>27</v>
      </c>
      <c r="E3330" t="s">
        <v>16</v>
      </c>
      <c r="F3330" s="4">
        <v>25.86</v>
      </c>
      <c r="G3330" s="5">
        <v>36</v>
      </c>
      <c r="H3330" t="s">
        <v>70</v>
      </c>
      <c r="I3330" t="s">
        <v>57</v>
      </c>
      <c r="J3330" s="6">
        <v>8.99</v>
      </c>
      <c r="K3330">
        <v>0</v>
      </c>
      <c r="L3330" t="s">
        <v>43</v>
      </c>
      <c r="M3330" s="5">
        <v>3</v>
      </c>
      <c r="N3330" s="4">
        <v>0.7</v>
      </c>
      <c r="O3330" t="s">
        <v>47</v>
      </c>
    </row>
    <row r="3331" spans="1:15" x14ac:dyDescent="0.3">
      <c r="A3331" t="s">
        <v>4318</v>
      </c>
      <c r="B3331" s="5">
        <v>49</v>
      </c>
      <c r="C3331" s="5" t="str" cm="1">
        <f t="array" ref="C3331">_xlfn.IFS(worksheet[[#This Row],[age]]&lt;25,"1. Young Adulthood (18-24)",worksheet[[#This Row],[age]]&lt; 35,"2. Early Adulthood (25-34)",worksheet[[#This Row],[age]]&lt; 45,"3. Mid Adulthood (35-44)",worksheet[[#This Row],[age]]&lt; 55,"4. Mature Adulthood (45-54)",TRUE,"5. Late Adulthood/Senior (55+)")</f>
        <v>4. Mature Adulthood (45-54)</v>
      </c>
      <c r="D3331" t="s">
        <v>15</v>
      </c>
      <c r="E3331" t="s">
        <v>16</v>
      </c>
      <c r="F3331" s="4">
        <v>15.49</v>
      </c>
      <c r="G3331" s="5">
        <v>18</v>
      </c>
      <c r="H3331" t="s">
        <v>70</v>
      </c>
      <c r="I3331" t="s">
        <v>57</v>
      </c>
      <c r="J3331" s="6">
        <v>8.99</v>
      </c>
      <c r="K3331">
        <v>0</v>
      </c>
      <c r="L3331" t="s">
        <v>61</v>
      </c>
      <c r="M3331" s="5">
        <v>3</v>
      </c>
      <c r="N3331" s="4">
        <v>0.82</v>
      </c>
      <c r="O3331" t="s">
        <v>52</v>
      </c>
    </row>
    <row r="3332" spans="1:15" x14ac:dyDescent="0.3">
      <c r="A3332" t="s">
        <v>4322</v>
      </c>
      <c r="B3332" s="5">
        <v>46</v>
      </c>
      <c r="C3332" s="5" t="str" cm="1">
        <f t="array" ref="C3332">_xlfn.IFS(worksheet[[#This Row],[age]]&lt;25,"1. Young Adulthood (18-24)",worksheet[[#This Row],[age]]&lt; 35,"2. Early Adulthood (25-34)",worksheet[[#This Row],[age]]&lt; 45,"3. Mid Adulthood (35-44)",worksheet[[#This Row],[age]]&lt; 55,"4. Mature Adulthood (45-54)",TRUE,"5. Late Adulthood/Senior (55+)")</f>
        <v>4. Mature Adulthood (45-54)</v>
      </c>
      <c r="D3332" t="s">
        <v>41</v>
      </c>
      <c r="E3332" t="s">
        <v>22</v>
      </c>
      <c r="F3332" s="4">
        <v>12.26</v>
      </c>
      <c r="G3332" s="5">
        <v>45</v>
      </c>
      <c r="H3332" t="s">
        <v>17</v>
      </c>
      <c r="I3332" t="s">
        <v>57</v>
      </c>
      <c r="J3332" s="6">
        <v>13.99</v>
      </c>
      <c r="K3332">
        <v>1</v>
      </c>
      <c r="L3332" t="s">
        <v>43</v>
      </c>
      <c r="M3332" s="5">
        <v>3</v>
      </c>
      <c r="N3332" s="4">
        <v>0.27</v>
      </c>
      <c r="O3332" t="s">
        <v>52</v>
      </c>
    </row>
    <row r="3333" spans="1:15" x14ac:dyDescent="0.3">
      <c r="A3333" t="s">
        <v>4327</v>
      </c>
      <c r="B3333" s="5">
        <v>45</v>
      </c>
      <c r="C3333" s="5" t="str" cm="1">
        <f t="array" ref="C3333">_xlfn.IFS(worksheet[[#This Row],[age]]&lt;25,"1. Young Adulthood (18-24)",worksheet[[#This Row],[age]]&lt; 35,"2. Early Adulthood (25-34)",worksheet[[#This Row],[age]]&lt; 45,"3. Mid Adulthood (35-44)",worksheet[[#This Row],[age]]&lt; 55,"4. Mature Adulthood (45-54)",TRUE,"5. Late Adulthood/Senior (55+)")</f>
        <v>4. Mature Adulthood (45-54)</v>
      </c>
      <c r="D3333" t="s">
        <v>15</v>
      </c>
      <c r="E3333" t="s">
        <v>16</v>
      </c>
      <c r="F3333" s="4">
        <v>39.96</v>
      </c>
      <c r="G3333" s="5">
        <v>41</v>
      </c>
      <c r="H3333" t="s">
        <v>33</v>
      </c>
      <c r="I3333" t="s">
        <v>46</v>
      </c>
      <c r="J3333" s="6">
        <v>8.99</v>
      </c>
      <c r="K3333">
        <v>0</v>
      </c>
      <c r="L3333" t="s">
        <v>43</v>
      </c>
      <c r="M3333" s="5">
        <v>5</v>
      </c>
      <c r="N3333" s="4">
        <v>0.95</v>
      </c>
      <c r="O3333" t="s">
        <v>39</v>
      </c>
    </row>
    <row r="3334" spans="1:15" x14ac:dyDescent="0.3">
      <c r="A3334" t="s">
        <v>4332</v>
      </c>
      <c r="B3334" s="5">
        <v>51</v>
      </c>
      <c r="C3334" s="5" t="str" cm="1">
        <f t="array" ref="C3334">_xlfn.IFS(worksheet[[#This Row],[age]]&lt;25,"1. Young Adulthood (18-24)",worksheet[[#This Row],[age]]&lt; 35,"2. Early Adulthood (25-34)",worksheet[[#This Row],[age]]&lt; 45,"3. Mid Adulthood (35-44)",worksheet[[#This Row],[age]]&lt; 55,"4. Mature Adulthood (45-54)",TRUE,"5. Late Adulthood/Senior (55+)")</f>
        <v>4. Mature Adulthood (45-54)</v>
      </c>
      <c r="D3334" t="s">
        <v>27</v>
      </c>
      <c r="E3334" t="s">
        <v>32</v>
      </c>
      <c r="F3334" s="4">
        <v>8.68</v>
      </c>
      <c r="G3334" s="5">
        <v>8</v>
      </c>
      <c r="H3334" t="s">
        <v>17</v>
      </c>
      <c r="I3334" t="s">
        <v>18</v>
      </c>
      <c r="J3334" s="6">
        <v>17.989999999999998</v>
      </c>
      <c r="K3334">
        <v>0</v>
      </c>
      <c r="L3334" t="s">
        <v>43</v>
      </c>
      <c r="M3334" s="5">
        <v>4</v>
      </c>
      <c r="N3334" s="4">
        <v>0.96</v>
      </c>
      <c r="O3334" t="s">
        <v>52</v>
      </c>
    </row>
    <row r="3335" spans="1:15" x14ac:dyDescent="0.3">
      <c r="A3335" t="s">
        <v>4337</v>
      </c>
      <c r="B3335" s="5">
        <v>49</v>
      </c>
      <c r="C3335" s="5" t="str" cm="1">
        <f t="array" ref="C3335">_xlfn.IFS(worksheet[[#This Row],[age]]&lt;25,"1. Young Adulthood (18-24)",worksheet[[#This Row],[age]]&lt; 35,"2. Early Adulthood (25-34)",worksheet[[#This Row],[age]]&lt; 45,"3. Mid Adulthood (35-44)",worksheet[[#This Row],[age]]&lt; 55,"4. Mature Adulthood (45-54)",TRUE,"5. Late Adulthood/Senior (55+)")</f>
        <v>4. Mature Adulthood (45-54)</v>
      </c>
      <c r="D3335" t="s">
        <v>41</v>
      </c>
      <c r="E3335" t="s">
        <v>22</v>
      </c>
      <c r="F3335" s="4">
        <v>10.66</v>
      </c>
      <c r="G3335" s="5">
        <v>38</v>
      </c>
      <c r="H3335" t="s">
        <v>28</v>
      </c>
      <c r="I3335" t="s">
        <v>18</v>
      </c>
      <c r="J3335" s="6">
        <v>13.99</v>
      </c>
      <c r="K3335">
        <v>1</v>
      </c>
      <c r="L3335" t="s">
        <v>43</v>
      </c>
      <c r="M3335" s="5">
        <v>3</v>
      </c>
      <c r="N3335" s="4">
        <v>0.27</v>
      </c>
      <c r="O3335" t="s">
        <v>30</v>
      </c>
    </row>
    <row r="3336" spans="1:15" x14ac:dyDescent="0.3">
      <c r="A3336" t="s">
        <v>4338</v>
      </c>
      <c r="B3336" s="5">
        <v>47</v>
      </c>
      <c r="C3336" s="5" t="str" cm="1">
        <f t="array" ref="C3336">_xlfn.IFS(worksheet[[#This Row],[age]]&lt;25,"1. Young Adulthood (18-24)",worksheet[[#This Row],[age]]&lt; 35,"2. Early Adulthood (25-34)",worksheet[[#This Row],[age]]&lt; 45,"3. Mid Adulthood (35-44)",worksheet[[#This Row],[age]]&lt; 55,"4. Mature Adulthood (45-54)",TRUE,"5. Late Adulthood/Senior (55+)")</f>
        <v>4. Mature Adulthood (45-54)</v>
      </c>
      <c r="D3336" t="s">
        <v>41</v>
      </c>
      <c r="E3336" t="s">
        <v>32</v>
      </c>
      <c r="F3336" s="4">
        <v>20.61</v>
      </c>
      <c r="G3336" s="5">
        <v>56</v>
      </c>
      <c r="H3336" t="s">
        <v>33</v>
      </c>
      <c r="I3336" t="s">
        <v>55</v>
      </c>
      <c r="J3336" s="6">
        <v>17.989999999999998</v>
      </c>
      <c r="K3336">
        <v>0</v>
      </c>
      <c r="L3336" t="s">
        <v>61</v>
      </c>
      <c r="M3336" s="5">
        <v>1</v>
      </c>
      <c r="N3336" s="4">
        <v>0.36</v>
      </c>
      <c r="O3336" t="s">
        <v>39</v>
      </c>
    </row>
    <row r="3337" spans="1:15" x14ac:dyDescent="0.3">
      <c r="A3337" t="s">
        <v>4347</v>
      </c>
      <c r="B3337" s="5">
        <v>51</v>
      </c>
      <c r="C3337" s="5" t="str" cm="1">
        <f t="array" ref="C3337">_xlfn.IFS(worksheet[[#This Row],[age]]&lt;25,"1. Young Adulthood (18-24)",worksheet[[#This Row],[age]]&lt; 35,"2. Early Adulthood (25-34)",worksheet[[#This Row],[age]]&lt; 45,"3. Mid Adulthood (35-44)",worksheet[[#This Row],[age]]&lt; 55,"4. Mature Adulthood (45-54)",TRUE,"5. Late Adulthood/Senior (55+)")</f>
        <v>4. Mature Adulthood (45-54)</v>
      </c>
      <c r="D3337" t="s">
        <v>41</v>
      </c>
      <c r="E3337" t="s">
        <v>22</v>
      </c>
      <c r="F3337" s="4">
        <v>24.3</v>
      </c>
      <c r="G3337" s="5">
        <v>38</v>
      </c>
      <c r="H3337" t="s">
        <v>49</v>
      </c>
      <c r="I3337" t="s">
        <v>55</v>
      </c>
      <c r="J3337" s="6">
        <v>13.99</v>
      </c>
      <c r="K3337">
        <v>0</v>
      </c>
      <c r="L3337" t="s">
        <v>37</v>
      </c>
      <c r="M3337" s="5">
        <v>2</v>
      </c>
      <c r="N3337" s="4">
        <v>0.62</v>
      </c>
      <c r="O3337" t="s">
        <v>34</v>
      </c>
    </row>
    <row r="3338" spans="1:15" x14ac:dyDescent="0.3">
      <c r="A3338" t="s">
        <v>4348</v>
      </c>
      <c r="B3338" s="5">
        <v>54</v>
      </c>
      <c r="C3338" s="5" t="str" cm="1">
        <f t="array" ref="C3338">_xlfn.IFS(worksheet[[#This Row],[age]]&lt;25,"1. Young Adulthood (18-24)",worksheet[[#This Row],[age]]&lt; 35,"2. Early Adulthood (25-34)",worksheet[[#This Row],[age]]&lt; 45,"3. Mid Adulthood (35-44)",worksheet[[#This Row],[age]]&lt; 55,"4. Mature Adulthood (45-54)",TRUE,"5. Late Adulthood/Senior (55+)")</f>
        <v>4. Mature Adulthood (45-54)</v>
      </c>
      <c r="D3338" t="s">
        <v>41</v>
      </c>
      <c r="E3338" t="s">
        <v>32</v>
      </c>
      <c r="F3338" s="4">
        <v>2.1</v>
      </c>
      <c r="G3338" s="5">
        <v>50</v>
      </c>
      <c r="H3338" t="s">
        <v>33</v>
      </c>
      <c r="I3338" t="s">
        <v>57</v>
      </c>
      <c r="J3338" s="6">
        <v>17.989999999999998</v>
      </c>
      <c r="K3338">
        <v>1</v>
      </c>
      <c r="L3338" t="s">
        <v>19</v>
      </c>
      <c r="M3338" s="5">
        <v>1</v>
      </c>
      <c r="N3338" s="4">
        <v>0.04</v>
      </c>
      <c r="O3338" t="s">
        <v>34</v>
      </c>
    </row>
    <row r="3339" spans="1:15" x14ac:dyDescent="0.3">
      <c r="A3339" t="s">
        <v>4352</v>
      </c>
      <c r="B3339" s="5">
        <v>49</v>
      </c>
      <c r="C3339" s="5" t="str" cm="1">
        <f t="array" ref="C3339">_xlfn.IFS(worksheet[[#This Row],[age]]&lt;25,"1. Young Adulthood (18-24)",worksheet[[#This Row],[age]]&lt; 35,"2. Early Adulthood (25-34)",worksheet[[#This Row],[age]]&lt; 45,"3. Mid Adulthood (35-44)",worksheet[[#This Row],[age]]&lt; 55,"4. Mature Adulthood (45-54)",TRUE,"5. Late Adulthood/Senior (55+)")</f>
        <v>4. Mature Adulthood (45-54)</v>
      </c>
      <c r="D3339" t="s">
        <v>27</v>
      </c>
      <c r="E3339" t="s">
        <v>22</v>
      </c>
      <c r="F3339" s="4">
        <v>10.34</v>
      </c>
      <c r="G3339" s="5">
        <v>20</v>
      </c>
      <c r="H3339" t="s">
        <v>23</v>
      </c>
      <c r="I3339" t="s">
        <v>24</v>
      </c>
      <c r="J3339" s="6">
        <v>13.99</v>
      </c>
      <c r="K3339">
        <v>0</v>
      </c>
      <c r="L3339" t="s">
        <v>19</v>
      </c>
      <c r="M3339" s="5">
        <v>3</v>
      </c>
      <c r="N3339" s="4">
        <v>0.49</v>
      </c>
      <c r="O3339" t="s">
        <v>25</v>
      </c>
    </row>
    <row r="3340" spans="1:15" x14ac:dyDescent="0.3">
      <c r="A3340" t="s">
        <v>4353</v>
      </c>
      <c r="B3340" s="5">
        <v>53</v>
      </c>
      <c r="C3340" s="5" t="str" cm="1">
        <f t="array" ref="C3340">_xlfn.IFS(worksheet[[#This Row],[age]]&lt;25,"1. Young Adulthood (18-24)",worksheet[[#This Row],[age]]&lt; 35,"2. Early Adulthood (25-34)",worksheet[[#This Row],[age]]&lt; 45,"3. Mid Adulthood (35-44)",worksheet[[#This Row],[age]]&lt; 55,"4. Mature Adulthood (45-54)",TRUE,"5. Late Adulthood/Senior (55+)")</f>
        <v>4. Mature Adulthood (45-54)</v>
      </c>
      <c r="D3340" t="s">
        <v>27</v>
      </c>
      <c r="E3340" t="s">
        <v>32</v>
      </c>
      <c r="F3340" s="4">
        <v>4.37</v>
      </c>
      <c r="G3340" s="5">
        <v>48</v>
      </c>
      <c r="H3340" t="s">
        <v>23</v>
      </c>
      <c r="I3340" t="s">
        <v>57</v>
      </c>
      <c r="J3340" s="6">
        <v>17.989999999999998</v>
      </c>
      <c r="K3340">
        <v>1</v>
      </c>
      <c r="L3340" t="s">
        <v>43</v>
      </c>
      <c r="M3340" s="5">
        <v>3</v>
      </c>
      <c r="N3340" s="4">
        <v>0.09</v>
      </c>
      <c r="O3340" t="s">
        <v>47</v>
      </c>
    </row>
    <row r="3341" spans="1:15" x14ac:dyDescent="0.3">
      <c r="A3341" t="s">
        <v>4357</v>
      </c>
      <c r="B3341" s="5">
        <v>52</v>
      </c>
      <c r="C3341" s="5" t="str" cm="1">
        <f t="array" ref="C3341">_xlfn.IFS(worksheet[[#This Row],[age]]&lt;25,"1. Young Adulthood (18-24)",worksheet[[#This Row],[age]]&lt; 35,"2. Early Adulthood (25-34)",worksheet[[#This Row],[age]]&lt; 45,"3. Mid Adulthood (35-44)",worksheet[[#This Row],[age]]&lt; 55,"4. Mature Adulthood (45-54)",TRUE,"5. Late Adulthood/Senior (55+)")</f>
        <v>4. Mature Adulthood (45-54)</v>
      </c>
      <c r="D3341" t="s">
        <v>27</v>
      </c>
      <c r="E3341" t="s">
        <v>16</v>
      </c>
      <c r="F3341" s="4">
        <v>5.2</v>
      </c>
      <c r="G3341" s="5">
        <v>20</v>
      </c>
      <c r="H3341" t="s">
        <v>49</v>
      </c>
      <c r="I3341" t="s">
        <v>18</v>
      </c>
      <c r="J3341" s="6">
        <v>8.99</v>
      </c>
      <c r="K3341">
        <v>0</v>
      </c>
      <c r="L3341" t="s">
        <v>43</v>
      </c>
      <c r="M3341" s="5">
        <v>3</v>
      </c>
      <c r="N3341" s="4">
        <v>0.25</v>
      </c>
      <c r="O3341" t="s">
        <v>34</v>
      </c>
    </row>
    <row r="3342" spans="1:15" x14ac:dyDescent="0.3">
      <c r="A3342" t="s">
        <v>4361</v>
      </c>
      <c r="B3342" s="5">
        <v>52</v>
      </c>
      <c r="C3342" s="5" t="str" cm="1">
        <f t="array" ref="C3342">_xlfn.IFS(worksheet[[#This Row],[age]]&lt;25,"1. Young Adulthood (18-24)",worksheet[[#This Row],[age]]&lt; 35,"2. Early Adulthood (25-34)",worksheet[[#This Row],[age]]&lt; 45,"3. Mid Adulthood (35-44)",worksheet[[#This Row],[age]]&lt; 55,"4. Mature Adulthood (45-54)",TRUE,"5. Late Adulthood/Senior (55+)")</f>
        <v>4. Mature Adulthood (45-54)</v>
      </c>
      <c r="D3342" t="s">
        <v>27</v>
      </c>
      <c r="E3342" t="s">
        <v>16</v>
      </c>
      <c r="F3342" s="4">
        <v>4.47</v>
      </c>
      <c r="G3342" s="5">
        <v>7</v>
      </c>
      <c r="H3342" t="s">
        <v>70</v>
      </c>
      <c r="I3342" t="s">
        <v>57</v>
      </c>
      <c r="J3342" s="6">
        <v>8.99</v>
      </c>
      <c r="K3342">
        <v>1</v>
      </c>
      <c r="L3342" t="s">
        <v>37</v>
      </c>
      <c r="M3342" s="5">
        <v>3</v>
      </c>
      <c r="N3342" s="4">
        <v>0.56000000000000005</v>
      </c>
      <c r="O3342" t="s">
        <v>20</v>
      </c>
    </row>
    <row r="3343" spans="1:15" x14ac:dyDescent="0.3">
      <c r="A3343" t="s">
        <v>4362</v>
      </c>
      <c r="B3343" s="5">
        <v>49</v>
      </c>
      <c r="C3343" s="5" t="str" cm="1">
        <f t="array" ref="C3343">_xlfn.IFS(worksheet[[#This Row],[age]]&lt;25,"1. Young Adulthood (18-24)",worksheet[[#This Row],[age]]&lt; 35,"2. Early Adulthood (25-34)",worksheet[[#This Row],[age]]&lt; 45,"3. Mid Adulthood (35-44)",worksheet[[#This Row],[age]]&lt; 55,"4. Mature Adulthood (45-54)",TRUE,"5. Late Adulthood/Senior (55+)")</f>
        <v>4. Mature Adulthood (45-54)</v>
      </c>
      <c r="D3343" t="s">
        <v>15</v>
      </c>
      <c r="E3343" t="s">
        <v>22</v>
      </c>
      <c r="F3343" s="4">
        <v>9.01</v>
      </c>
      <c r="G3343" s="5">
        <v>31</v>
      </c>
      <c r="H3343" t="s">
        <v>23</v>
      </c>
      <c r="I3343" t="s">
        <v>46</v>
      </c>
      <c r="J3343" s="6">
        <v>13.99</v>
      </c>
      <c r="K3343">
        <v>1</v>
      </c>
      <c r="L3343" t="s">
        <v>43</v>
      </c>
      <c r="M3343" s="5">
        <v>3</v>
      </c>
      <c r="N3343" s="4">
        <v>0.28000000000000003</v>
      </c>
      <c r="O3343" t="s">
        <v>20</v>
      </c>
    </row>
    <row r="3344" spans="1:15" x14ac:dyDescent="0.3">
      <c r="A3344" t="s">
        <v>4364</v>
      </c>
      <c r="B3344" s="5">
        <v>54</v>
      </c>
      <c r="C3344" s="5" t="str" cm="1">
        <f t="array" ref="C3344">_xlfn.IFS(worksheet[[#This Row],[age]]&lt;25,"1. Young Adulthood (18-24)",worksheet[[#This Row],[age]]&lt; 35,"2. Early Adulthood (25-34)",worksheet[[#This Row],[age]]&lt; 45,"3. Mid Adulthood (35-44)",worksheet[[#This Row],[age]]&lt; 55,"4. Mature Adulthood (45-54)",TRUE,"5. Late Adulthood/Senior (55+)")</f>
        <v>4. Mature Adulthood (45-54)</v>
      </c>
      <c r="D3344" t="s">
        <v>41</v>
      </c>
      <c r="E3344" t="s">
        <v>16</v>
      </c>
      <c r="F3344" s="4">
        <v>8.4600000000000009</v>
      </c>
      <c r="G3344" s="5">
        <v>41</v>
      </c>
      <c r="H3344" t="s">
        <v>33</v>
      </c>
      <c r="I3344" t="s">
        <v>46</v>
      </c>
      <c r="J3344" s="6">
        <v>8.99</v>
      </c>
      <c r="K3344">
        <v>1</v>
      </c>
      <c r="L3344" t="s">
        <v>43</v>
      </c>
      <c r="M3344" s="5">
        <v>2</v>
      </c>
      <c r="N3344" s="4">
        <v>0.2</v>
      </c>
      <c r="O3344" t="s">
        <v>39</v>
      </c>
    </row>
    <row r="3345" spans="1:15" x14ac:dyDescent="0.3">
      <c r="A3345" t="s">
        <v>4366</v>
      </c>
      <c r="B3345" s="5">
        <v>47</v>
      </c>
      <c r="C3345" s="5" t="str" cm="1">
        <f t="array" ref="C3345">_xlfn.IFS(worksheet[[#This Row],[age]]&lt;25,"1. Young Adulthood (18-24)",worksheet[[#This Row],[age]]&lt; 35,"2. Early Adulthood (25-34)",worksheet[[#This Row],[age]]&lt; 45,"3. Mid Adulthood (35-44)",worksheet[[#This Row],[age]]&lt; 55,"4. Mature Adulthood (45-54)",TRUE,"5. Late Adulthood/Senior (55+)")</f>
        <v>4. Mature Adulthood (45-54)</v>
      </c>
      <c r="D3345" t="s">
        <v>15</v>
      </c>
      <c r="E3345" t="s">
        <v>16</v>
      </c>
      <c r="F3345" s="4">
        <v>0.28999999999999998</v>
      </c>
      <c r="G3345" s="5">
        <v>10</v>
      </c>
      <c r="H3345" t="s">
        <v>17</v>
      </c>
      <c r="I3345" t="s">
        <v>24</v>
      </c>
      <c r="J3345" s="6">
        <v>8.99</v>
      </c>
      <c r="K3345">
        <v>1</v>
      </c>
      <c r="L3345" t="s">
        <v>37</v>
      </c>
      <c r="M3345" s="5">
        <v>4</v>
      </c>
      <c r="N3345" s="4">
        <v>0.03</v>
      </c>
      <c r="O3345" t="s">
        <v>34</v>
      </c>
    </row>
    <row r="3346" spans="1:15" x14ac:dyDescent="0.3">
      <c r="A3346" t="s">
        <v>4368</v>
      </c>
      <c r="B3346" s="5">
        <v>50</v>
      </c>
      <c r="C3346" s="5" t="str" cm="1">
        <f t="array" ref="C3346">_xlfn.IFS(worksheet[[#This Row],[age]]&lt;25,"1. Young Adulthood (18-24)",worksheet[[#This Row],[age]]&lt; 35,"2. Early Adulthood (25-34)",worksheet[[#This Row],[age]]&lt; 45,"3. Mid Adulthood (35-44)",worksheet[[#This Row],[age]]&lt; 55,"4. Mature Adulthood (45-54)",TRUE,"5. Late Adulthood/Senior (55+)")</f>
        <v>4. Mature Adulthood (45-54)</v>
      </c>
      <c r="D3346" t="s">
        <v>27</v>
      </c>
      <c r="E3346" t="s">
        <v>16</v>
      </c>
      <c r="F3346" s="4">
        <v>18.3</v>
      </c>
      <c r="G3346" s="5">
        <v>25</v>
      </c>
      <c r="H3346" t="s">
        <v>70</v>
      </c>
      <c r="I3346" t="s">
        <v>24</v>
      </c>
      <c r="J3346" s="6">
        <v>8.99</v>
      </c>
      <c r="K3346">
        <v>0</v>
      </c>
      <c r="L3346" t="s">
        <v>19</v>
      </c>
      <c r="M3346" s="5">
        <v>1</v>
      </c>
      <c r="N3346" s="4">
        <v>0.7</v>
      </c>
      <c r="O3346" t="s">
        <v>25</v>
      </c>
    </row>
    <row r="3347" spans="1:15" x14ac:dyDescent="0.3">
      <c r="A3347" t="s">
        <v>4378</v>
      </c>
      <c r="B3347" s="5">
        <v>52</v>
      </c>
      <c r="C3347" s="5" t="str" cm="1">
        <f t="array" ref="C3347">_xlfn.IFS(worksheet[[#This Row],[age]]&lt;25,"1. Young Adulthood (18-24)",worksheet[[#This Row],[age]]&lt; 35,"2. Early Adulthood (25-34)",worksheet[[#This Row],[age]]&lt; 45,"3. Mid Adulthood (35-44)",worksheet[[#This Row],[age]]&lt; 55,"4. Mature Adulthood (45-54)",TRUE,"5. Late Adulthood/Senior (55+)")</f>
        <v>4. Mature Adulthood (45-54)</v>
      </c>
      <c r="D3347" t="s">
        <v>41</v>
      </c>
      <c r="E3347" t="s">
        <v>16</v>
      </c>
      <c r="F3347" s="4">
        <v>2.61</v>
      </c>
      <c r="G3347" s="5">
        <v>51</v>
      </c>
      <c r="H3347" t="s">
        <v>70</v>
      </c>
      <c r="I3347" t="s">
        <v>55</v>
      </c>
      <c r="J3347" s="6">
        <v>8.99</v>
      </c>
      <c r="K3347">
        <v>1</v>
      </c>
      <c r="L3347" t="s">
        <v>29</v>
      </c>
      <c r="M3347" s="5">
        <v>5</v>
      </c>
      <c r="N3347" s="4">
        <v>0.05</v>
      </c>
      <c r="O3347" t="s">
        <v>34</v>
      </c>
    </row>
    <row r="3348" spans="1:15" x14ac:dyDescent="0.3">
      <c r="A3348" t="s">
        <v>4384</v>
      </c>
      <c r="B3348" s="5">
        <v>54</v>
      </c>
      <c r="C3348" s="5" t="str" cm="1">
        <f t="array" ref="C3348">_xlfn.IFS(worksheet[[#This Row],[age]]&lt;25,"1. Young Adulthood (18-24)",worksheet[[#This Row],[age]]&lt; 35,"2. Early Adulthood (25-34)",worksheet[[#This Row],[age]]&lt; 45,"3. Mid Adulthood (35-44)",worksheet[[#This Row],[age]]&lt; 55,"4. Mature Adulthood (45-54)",TRUE,"5. Late Adulthood/Senior (55+)")</f>
        <v>4. Mature Adulthood (45-54)</v>
      </c>
      <c r="D3348" t="s">
        <v>15</v>
      </c>
      <c r="E3348" t="s">
        <v>16</v>
      </c>
      <c r="F3348" s="4">
        <v>11.19</v>
      </c>
      <c r="G3348" s="5">
        <v>27</v>
      </c>
      <c r="H3348" t="s">
        <v>49</v>
      </c>
      <c r="I3348" t="s">
        <v>18</v>
      </c>
      <c r="J3348" s="6">
        <v>8.99</v>
      </c>
      <c r="K3348">
        <v>1</v>
      </c>
      <c r="L3348" t="s">
        <v>19</v>
      </c>
      <c r="M3348" s="5">
        <v>1</v>
      </c>
      <c r="N3348" s="4">
        <v>0.4</v>
      </c>
      <c r="O3348" t="s">
        <v>47</v>
      </c>
    </row>
    <row r="3349" spans="1:15" x14ac:dyDescent="0.3">
      <c r="A3349" t="s">
        <v>4393</v>
      </c>
      <c r="B3349" s="5">
        <v>53</v>
      </c>
      <c r="C3349" s="5" t="str" cm="1">
        <f t="array" ref="C3349">_xlfn.IFS(worksheet[[#This Row],[age]]&lt;25,"1. Young Adulthood (18-24)",worksheet[[#This Row],[age]]&lt; 35,"2. Early Adulthood (25-34)",worksheet[[#This Row],[age]]&lt; 45,"3. Mid Adulthood (35-44)",worksheet[[#This Row],[age]]&lt; 55,"4. Mature Adulthood (45-54)",TRUE,"5. Late Adulthood/Senior (55+)")</f>
        <v>4. Mature Adulthood (45-54)</v>
      </c>
      <c r="D3349" t="s">
        <v>41</v>
      </c>
      <c r="E3349" t="s">
        <v>32</v>
      </c>
      <c r="F3349" s="4">
        <v>27.97</v>
      </c>
      <c r="G3349" s="5">
        <v>35</v>
      </c>
      <c r="H3349" t="s">
        <v>17</v>
      </c>
      <c r="I3349" t="s">
        <v>55</v>
      </c>
      <c r="J3349" s="6">
        <v>17.989999999999998</v>
      </c>
      <c r="K3349">
        <v>0</v>
      </c>
      <c r="L3349" t="s">
        <v>29</v>
      </c>
      <c r="M3349" s="5">
        <v>1</v>
      </c>
      <c r="N3349" s="4">
        <v>0.78</v>
      </c>
      <c r="O3349" t="s">
        <v>52</v>
      </c>
    </row>
    <row r="3350" spans="1:15" x14ac:dyDescent="0.3">
      <c r="A3350" t="s">
        <v>4408</v>
      </c>
      <c r="B3350" s="5">
        <v>45</v>
      </c>
      <c r="C3350" s="5" t="str" cm="1">
        <f t="array" ref="C3350">_xlfn.IFS(worksheet[[#This Row],[age]]&lt;25,"1. Young Adulthood (18-24)",worksheet[[#This Row],[age]]&lt; 35,"2. Early Adulthood (25-34)",worksheet[[#This Row],[age]]&lt; 45,"3. Mid Adulthood (35-44)",worksheet[[#This Row],[age]]&lt; 55,"4. Mature Adulthood (45-54)",TRUE,"5. Late Adulthood/Senior (55+)")</f>
        <v>4. Mature Adulthood (45-54)</v>
      </c>
      <c r="D3350" t="s">
        <v>41</v>
      </c>
      <c r="E3350" t="s">
        <v>32</v>
      </c>
      <c r="F3350" s="4">
        <v>0.45</v>
      </c>
      <c r="G3350" s="5">
        <v>44</v>
      </c>
      <c r="H3350" t="s">
        <v>28</v>
      </c>
      <c r="I3350" t="s">
        <v>24</v>
      </c>
      <c r="J3350" s="6">
        <v>17.989999999999998</v>
      </c>
      <c r="K3350">
        <v>1</v>
      </c>
      <c r="L3350" t="s">
        <v>37</v>
      </c>
      <c r="M3350" s="5">
        <v>3</v>
      </c>
      <c r="N3350" s="4">
        <v>0.01</v>
      </c>
      <c r="O3350" t="s">
        <v>47</v>
      </c>
    </row>
    <row r="3351" spans="1:15" x14ac:dyDescent="0.3">
      <c r="A3351" t="s">
        <v>4409</v>
      </c>
      <c r="B3351" s="5">
        <v>54</v>
      </c>
      <c r="C3351" s="5" t="str" cm="1">
        <f t="array" ref="C3351">_xlfn.IFS(worksheet[[#This Row],[age]]&lt;25,"1. Young Adulthood (18-24)",worksheet[[#This Row],[age]]&lt; 35,"2. Early Adulthood (25-34)",worksheet[[#This Row],[age]]&lt; 45,"3. Mid Adulthood (35-44)",worksheet[[#This Row],[age]]&lt; 55,"4. Mature Adulthood (45-54)",TRUE,"5. Late Adulthood/Senior (55+)")</f>
        <v>4. Mature Adulthood (45-54)</v>
      </c>
      <c r="D3351" t="s">
        <v>27</v>
      </c>
      <c r="E3351" t="s">
        <v>16</v>
      </c>
      <c r="F3351" s="4">
        <v>11.9</v>
      </c>
      <c r="G3351" s="5">
        <v>49</v>
      </c>
      <c r="H3351" t="s">
        <v>49</v>
      </c>
      <c r="I3351" t="s">
        <v>55</v>
      </c>
      <c r="J3351" s="6">
        <v>8.99</v>
      </c>
      <c r="K3351">
        <v>1</v>
      </c>
      <c r="L3351" t="s">
        <v>43</v>
      </c>
      <c r="M3351" s="5">
        <v>5</v>
      </c>
      <c r="N3351" s="4">
        <v>0.24</v>
      </c>
      <c r="O3351" t="s">
        <v>34</v>
      </c>
    </row>
    <row r="3352" spans="1:15" x14ac:dyDescent="0.3">
      <c r="A3352" t="s">
        <v>4414</v>
      </c>
      <c r="B3352" s="5">
        <v>53</v>
      </c>
      <c r="C3352" s="5" t="str" cm="1">
        <f t="array" ref="C3352">_xlfn.IFS(worksheet[[#This Row],[age]]&lt;25,"1. Young Adulthood (18-24)",worksheet[[#This Row],[age]]&lt; 35,"2. Early Adulthood (25-34)",worksheet[[#This Row],[age]]&lt; 45,"3. Mid Adulthood (35-44)",worksheet[[#This Row],[age]]&lt; 55,"4. Mature Adulthood (45-54)",TRUE,"5. Late Adulthood/Senior (55+)")</f>
        <v>4. Mature Adulthood (45-54)</v>
      </c>
      <c r="D3352" t="s">
        <v>27</v>
      </c>
      <c r="E3352" t="s">
        <v>32</v>
      </c>
      <c r="F3352" s="4">
        <v>3.41</v>
      </c>
      <c r="G3352" s="5">
        <v>50</v>
      </c>
      <c r="H3352" t="s">
        <v>33</v>
      </c>
      <c r="I3352" t="s">
        <v>46</v>
      </c>
      <c r="J3352" s="6">
        <v>17.989999999999998</v>
      </c>
      <c r="K3352">
        <v>1</v>
      </c>
      <c r="L3352" t="s">
        <v>37</v>
      </c>
      <c r="M3352" s="5">
        <v>1</v>
      </c>
      <c r="N3352" s="4">
        <v>7.0000000000000007E-2</v>
      </c>
      <c r="O3352" t="s">
        <v>39</v>
      </c>
    </row>
    <row r="3353" spans="1:15" x14ac:dyDescent="0.3">
      <c r="A3353" t="s">
        <v>4420</v>
      </c>
      <c r="B3353" s="5">
        <v>51</v>
      </c>
      <c r="C3353" s="5" t="str" cm="1">
        <f t="array" ref="C3353">_xlfn.IFS(worksheet[[#This Row],[age]]&lt;25,"1. Young Adulthood (18-24)",worksheet[[#This Row],[age]]&lt; 35,"2. Early Adulthood (25-34)",worksheet[[#This Row],[age]]&lt; 45,"3. Mid Adulthood (35-44)",worksheet[[#This Row],[age]]&lt; 55,"4. Mature Adulthood (45-54)",TRUE,"5. Late Adulthood/Senior (55+)")</f>
        <v>4. Mature Adulthood (45-54)</v>
      </c>
      <c r="D3353" t="s">
        <v>15</v>
      </c>
      <c r="E3353" t="s">
        <v>22</v>
      </c>
      <c r="F3353" s="4">
        <v>0.73</v>
      </c>
      <c r="G3353" s="5">
        <v>46</v>
      </c>
      <c r="H3353" t="s">
        <v>70</v>
      </c>
      <c r="I3353" t="s">
        <v>46</v>
      </c>
      <c r="J3353" s="6">
        <v>13.99</v>
      </c>
      <c r="K3353">
        <v>1</v>
      </c>
      <c r="L3353" t="s">
        <v>29</v>
      </c>
      <c r="M3353" s="5">
        <v>5</v>
      </c>
      <c r="N3353" s="4">
        <v>0.02</v>
      </c>
      <c r="O3353" t="s">
        <v>52</v>
      </c>
    </row>
    <row r="3354" spans="1:15" x14ac:dyDescent="0.3">
      <c r="A3354" t="s">
        <v>4426</v>
      </c>
      <c r="B3354" s="5">
        <v>54</v>
      </c>
      <c r="C3354" s="5" t="str" cm="1">
        <f t="array" ref="C3354">_xlfn.IFS(worksheet[[#This Row],[age]]&lt;25,"1. Young Adulthood (18-24)",worksheet[[#This Row],[age]]&lt; 35,"2. Early Adulthood (25-34)",worksheet[[#This Row],[age]]&lt; 45,"3. Mid Adulthood (35-44)",worksheet[[#This Row],[age]]&lt; 55,"4. Mature Adulthood (45-54)",TRUE,"5. Late Adulthood/Senior (55+)")</f>
        <v>4. Mature Adulthood (45-54)</v>
      </c>
      <c r="D3354" t="s">
        <v>27</v>
      </c>
      <c r="E3354" t="s">
        <v>22</v>
      </c>
      <c r="F3354" s="4">
        <v>4.41</v>
      </c>
      <c r="G3354" s="5">
        <v>9</v>
      </c>
      <c r="H3354" t="s">
        <v>70</v>
      </c>
      <c r="I3354" t="s">
        <v>46</v>
      </c>
      <c r="J3354" s="6">
        <v>13.99</v>
      </c>
      <c r="K3354">
        <v>1</v>
      </c>
      <c r="L3354" t="s">
        <v>19</v>
      </c>
      <c r="M3354" s="5">
        <v>2</v>
      </c>
      <c r="N3354" s="4">
        <v>0.44</v>
      </c>
      <c r="O3354" t="s">
        <v>25</v>
      </c>
    </row>
    <row r="3355" spans="1:15" x14ac:dyDescent="0.3">
      <c r="A3355" t="s">
        <v>4427</v>
      </c>
      <c r="B3355" s="5">
        <v>46</v>
      </c>
      <c r="C3355" s="5" t="str" cm="1">
        <f t="array" ref="C3355">_xlfn.IFS(worksheet[[#This Row],[age]]&lt;25,"1. Young Adulthood (18-24)",worksheet[[#This Row],[age]]&lt; 35,"2. Early Adulthood (25-34)",worksheet[[#This Row],[age]]&lt; 45,"3. Mid Adulthood (35-44)",worksheet[[#This Row],[age]]&lt; 55,"4. Mature Adulthood (45-54)",TRUE,"5. Late Adulthood/Senior (55+)")</f>
        <v>4. Mature Adulthood (45-54)</v>
      </c>
      <c r="D3355" t="s">
        <v>41</v>
      </c>
      <c r="E3355" t="s">
        <v>16</v>
      </c>
      <c r="F3355" s="4">
        <v>14.86</v>
      </c>
      <c r="G3355" s="5">
        <v>47</v>
      </c>
      <c r="H3355" t="s">
        <v>49</v>
      </c>
      <c r="I3355" t="s">
        <v>18</v>
      </c>
      <c r="J3355" s="6">
        <v>8.99</v>
      </c>
      <c r="K3355">
        <v>1</v>
      </c>
      <c r="L3355" t="s">
        <v>43</v>
      </c>
      <c r="M3355" s="5">
        <v>4</v>
      </c>
      <c r="N3355" s="4">
        <v>0.31</v>
      </c>
      <c r="O3355" t="s">
        <v>39</v>
      </c>
    </row>
    <row r="3356" spans="1:15" x14ac:dyDescent="0.3">
      <c r="A3356" t="s">
        <v>4430</v>
      </c>
      <c r="B3356" s="5">
        <v>50</v>
      </c>
      <c r="C3356" s="5" t="str" cm="1">
        <f t="array" ref="C3356">_xlfn.IFS(worksheet[[#This Row],[age]]&lt;25,"1. Young Adulthood (18-24)",worksheet[[#This Row],[age]]&lt; 35,"2. Early Adulthood (25-34)",worksheet[[#This Row],[age]]&lt; 45,"3. Mid Adulthood (35-44)",worksheet[[#This Row],[age]]&lt; 55,"4. Mature Adulthood (45-54)",TRUE,"5. Late Adulthood/Senior (55+)")</f>
        <v>4. Mature Adulthood (45-54)</v>
      </c>
      <c r="D3356" t="s">
        <v>15</v>
      </c>
      <c r="E3356" t="s">
        <v>16</v>
      </c>
      <c r="F3356" s="4">
        <v>9.5399999999999991</v>
      </c>
      <c r="G3356" s="5">
        <v>38</v>
      </c>
      <c r="H3356" t="s">
        <v>23</v>
      </c>
      <c r="I3356" t="s">
        <v>46</v>
      </c>
      <c r="J3356" s="6">
        <v>8.99</v>
      </c>
      <c r="K3356">
        <v>1</v>
      </c>
      <c r="L3356" t="s">
        <v>43</v>
      </c>
      <c r="M3356" s="5">
        <v>3</v>
      </c>
      <c r="N3356" s="4">
        <v>0.24</v>
      </c>
      <c r="O3356" t="s">
        <v>20</v>
      </c>
    </row>
    <row r="3357" spans="1:15" x14ac:dyDescent="0.3">
      <c r="A3357" t="s">
        <v>4431</v>
      </c>
      <c r="B3357" s="5">
        <v>54</v>
      </c>
      <c r="C3357" s="5" t="str" cm="1">
        <f t="array" ref="C3357">_xlfn.IFS(worksheet[[#This Row],[age]]&lt;25,"1. Young Adulthood (18-24)",worksheet[[#This Row],[age]]&lt; 35,"2. Early Adulthood (25-34)",worksheet[[#This Row],[age]]&lt; 45,"3. Mid Adulthood (35-44)",worksheet[[#This Row],[age]]&lt; 55,"4. Mature Adulthood (45-54)",TRUE,"5. Late Adulthood/Senior (55+)")</f>
        <v>4. Mature Adulthood (45-54)</v>
      </c>
      <c r="D3357" t="s">
        <v>41</v>
      </c>
      <c r="E3357" t="s">
        <v>16</v>
      </c>
      <c r="F3357" s="4">
        <v>14.18</v>
      </c>
      <c r="G3357" s="5">
        <v>45</v>
      </c>
      <c r="H3357" t="s">
        <v>17</v>
      </c>
      <c r="I3357" t="s">
        <v>24</v>
      </c>
      <c r="J3357" s="6">
        <v>8.99</v>
      </c>
      <c r="K3357">
        <v>1</v>
      </c>
      <c r="L3357" t="s">
        <v>43</v>
      </c>
      <c r="M3357" s="5">
        <v>5</v>
      </c>
      <c r="N3357" s="4">
        <v>0.31</v>
      </c>
      <c r="O3357" t="s">
        <v>52</v>
      </c>
    </row>
    <row r="3358" spans="1:15" x14ac:dyDescent="0.3">
      <c r="A3358" t="s">
        <v>4445</v>
      </c>
      <c r="B3358" s="5">
        <v>51</v>
      </c>
      <c r="C3358" s="5" t="str" cm="1">
        <f t="array" ref="C3358">_xlfn.IFS(worksheet[[#This Row],[age]]&lt;25,"1. Young Adulthood (18-24)",worksheet[[#This Row],[age]]&lt; 35,"2. Early Adulthood (25-34)",worksheet[[#This Row],[age]]&lt; 45,"3. Mid Adulthood (35-44)",worksheet[[#This Row],[age]]&lt; 55,"4. Mature Adulthood (45-54)",TRUE,"5. Late Adulthood/Senior (55+)")</f>
        <v>4. Mature Adulthood (45-54)</v>
      </c>
      <c r="D3358" t="s">
        <v>15</v>
      </c>
      <c r="E3358" t="s">
        <v>16</v>
      </c>
      <c r="F3358" s="4">
        <v>2.29</v>
      </c>
      <c r="G3358" s="5">
        <v>51</v>
      </c>
      <c r="H3358" t="s">
        <v>70</v>
      </c>
      <c r="I3358" t="s">
        <v>46</v>
      </c>
      <c r="J3358" s="6">
        <v>8.99</v>
      </c>
      <c r="K3358">
        <v>1</v>
      </c>
      <c r="L3358" t="s">
        <v>61</v>
      </c>
      <c r="M3358" s="5">
        <v>3</v>
      </c>
      <c r="N3358" s="4">
        <v>0.04</v>
      </c>
      <c r="O3358" t="s">
        <v>25</v>
      </c>
    </row>
    <row r="3359" spans="1:15" x14ac:dyDescent="0.3">
      <c r="A3359" t="s">
        <v>4446</v>
      </c>
      <c r="B3359" s="5">
        <v>54</v>
      </c>
      <c r="C3359" s="5" t="str" cm="1">
        <f t="array" ref="C3359">_xlfn.IFS(worksheet[[#This Row],[age]]&lt;25,"1. Young Adulthood (18-24)",worksheet[[#This Row],[age]]&lt; 35,"2. Early Adulthood (25-34)",worksheet[[#This Row],[age]]&lt; 45,"3. Mid Adulthood (35-44)",worksheet[[#This Row],[age]]&lt; 55,"4. Mature Adulthood (45-54)",TRUE,"5. Late Adulthood/Senior (55+)")</f>
        <v>4. Mature Adulthood (45-54)</v>
      </c>
      <c r="D3359" t="s">
        <v>27</v>
      </c>
      <c r="E3359" t="s">
        <v>16</v>
      </c>
      <c r="F3359" s="4">
        <v>6.72</v>
      </c>
      <c r="G3359" s="5">
        <v>47</v>
      </c>
      <c r="H3359" t="s">
        <v>23</v>
      </c>
      <c r="I3359" t="s">
        <v>46</v>
      </c>
      <c r="J3359" s="6">
        <v>8.99</v>
      </c>
      <c r="K3359">
        <v>1</v>
      </c>
      <c r="L3359" t="s">
        <v>37</v>
      </c>
      <c r="M3359" s="5">
        <v>4</v>
      </c>
      <c r="N3359" s="4">
        <v>0.14000000000000001</v>
      </c>
      <c r="O3359" t="s">
        <v>30</v>
      </c>
    </row>
    <row r="3360" spans="1:15" x14ac:dyDescent="0.3">
      <c r="A3360" t="s">
        <v>4450</v>
      </c>
      <c r="B3360" s="5">
        <v>51</v>
      </c>
      <c r="C3360" s="5" t="str" cm="1">
        <f t="array" ref="C3360">_xlfn.IFS(worksheet[[#This Row],[age]]&lt;25,"1. Young Adulthood (18-24)",worksheet[[#This Row],[age]]&lt; 35,"2. Early Adulthood (25-34)",worksheet[[#This Row],[age]]&lt; 45,"3. Mid Adulthood (35-44)",worksheet[[#This Row],[age]]&lt; 55,"4. Mature Adulthood (45-54)",TRUE,"5. Late Adulthood/Senior (55+)")</f>
        <v>4. Mature Adulthood (45-54)</v>
      </c>
      <c r="D3360" t="s">
        <v>15</v>
      </c>
      <c r="E3360" t="s">
        <v>22</v>
      </c>
      <c r="F3360" s="4">
        <v>3.38</v>
      </c>
      <c r="G3360" s="5">
        <v>40</v>
      </c>
      <c r="H3360" t="s">
        <v>28</v>
      </c>
      <c r="I3360" t="s">
        <v>55</v>
      </c>
      <c r="J3360" s="6">
        <v>13.99</v>
      </c>
      <c r="K3360">
        <v>1</v>
      </c>
      <c r="L3360" t="s">
        <v>19</v>
      </c>
      <c r="M3360" s="5">
        <v>3</v>
      </c>
      <c r="N3360" s="4">
        <v>0.08</v>
      </c>
      <c r="O3360" t="s">
        <v>25</v>
      </c>
    </row>
    <row r="3361" spans="1:15" x14ac:dyDescent="0.3">
      <c r="A3361" t="s">
        <v>4452</v>
      </c>
      <c r="B3361" s="5">
        <v>52</v>
      </c>
      <c r="C3361" s="5" t="str" cm="1">
        <f t="array" ref="C3361">_xlfn.IFS(worksheet[[#This Row],[age]]&lt;25,"1. Young Adulthood (18-24)",worksheet[[#This Row],[age]]&lt; 35,"2. Early Adulthood (25-34)",worksheet[[#This Row],[age]]&lt; 45,"3. Mid Adulthood (35-44)",worksheet[[#This Row],[age]]&lt; 55,"4. Mature Adulthood (45-54)",TRUE,"5. Late Adulthood/Senior (55+)")</f>
        <v>4. Mature Adulthood (45-54)</v>
      </c>
      <c r="D3361" t="s">
        <v>27</v>
      </c>
      <c r="E3361" t="s">
        <v>32</v>
      </c>
      <c r="F3361" s="4">
        <v>4.12</v>
      </c>
      <c r="G3361" s="5">
        <v>1</v>
      </c>
      <c r="H3361" t="s">
        <v>49</v>
      </c>
      <c r="I3361" t="s">
        <v>46</v>
      </c>
      <c r="J3361" s="6">
        <v>17.989999999999998</v>
      </c>
      <c r="K3361">
        <v>0</v>
      </c>
      <c r="L3361" t="s">
        <v>29</v>
      </c>
      <c r="M3361" s="5">
        <v>4</v>
      </c>
      <c r="N3361" s="4">
        <v>2.06</v>
      </c>
      <c r="O3361" t="s">
        <v>25</v>
      </c>
    </row>
    <row r="3362" spans="1:15" x14ac:dyDescent="0.3">
      <c r="A3362" t="s">
        <v>4455</v>
      </c>
      <c r="B3362" s="5">
        <v>47</v>
      </c>
      <c r="C3362" s="5" t="str" cm="1">
        <f t="array" ref="C3362">_xlfn.IFS(worksheet[[#This Row],[age]]&lt;25,"1. Young Adulthood (18-24)",worksheet[[#This Row],[age]]&lt; 35,"2. Early Adulthood (25-34)",worksheet[[#This Row],[age]]&lt; 45,"3. Mid Adulthood (35-44)",worksheet[[#This Row],[age]]&lt; 55,"4. Mature Adulthood (45-54)",TRUE,"5. Late Adulthood/Senior (55+)")</f>
        <v>4. Mature Adulthood (45-54)</v>
      </c>
      <c r="D3362" t="s">
        <v>41</v>
      </c>
      <c r="E3362" t="s">
        <v>32</v>
      </c>
      <c r="F3362" s="4">
        <v>3.78</v>
      </c>
      <c r="G3362" s="5">
        <v>56</v>
      </c>
      <c r="H3362" t="s">
        <v>33</v>
      </c>
      <c r="I3362" t="s">
        <v>46</v>
      </c>
      <c r="J3362" s="6">
        <v>17.989999999999998</v>
      </c>
      <c r="K3362">
        <v>1</v>
      </c>
      <c r="L3362" t="s">
        <v>37</v>
      </c>
      <c r="M3362" s="5">
        <v>3</v>
      </c>
      <c r="N3362" s="4">
        <v>7.0000000000000007E-2</v>
      </c>
      <c r="O3362" t="s">
        <v>52</v>
      </c>
    </row>
    <row r="3363" spans="1:15" x14ac:dyDescent="0.3">
      <c r="A3363" t="s">
        <v>4465</v>
      </c>
      <c r="B3363" s="5">
        <v>48</v>
      </c>
      <c r="C3363" s="5" t="str" cm="1">
        <f t="array" ref="C3363">_xlfn.IFS(worksheet[[#This Row],[age]]&lt;25,"1. Young Adulthood (18-24)",worksheet[[#This Row],[age]]&lt; 35,"2. Early Adulthood (25-34)",worksheet[[#This Row],[age]]&lt; 45,"3. Mid Adulthood (35-44)",worksheet[[#This Row],[age]]&lt; 55,"4. Mature Adulthood (45-54)",TRUE,"5. Late Adulthood/Senior (55+)")</f>
        <v>4. Mature Adulthood (45-54)</v>
      </c>
      <c r="D3363" t="s">
        <v>41</v>
      </c>
      <c r="E3363" t="s">
        <v>16</v>
      </c>
      <c r="F3363" s="4">
        <v>0.91</v>
      </c>
      <c r="G3363" s="5">
        <v>38</v>
      </c>
      <c r="H3363" t="s">
        <v>49</v>
      </c>
      <c r="I3363" t="s">
        <v>57</v>
      </c>
      <c r="J3363" s="6">
        <v>8.99</v>
      </c>
      <c r="K3363">
        <v>1</v>
      </c>
      <c r="L3363" t="s">
        <v>37</v>
      </c>
      <c r="M3363" s="5">
        <v>4</v>
      </c>
      <c r="N3363" s="4">
        <v>0.02</v>
      </c>
      <c r="O3363" t="s">
        <v>39</v>
      </c>
    </row>
    <row r="3364" spans="1:15" x14ac:dyDescent="0.3">
      <c r="A3364" t="s">
        <v>4466</v>
      </c>
      <c r="B3364" s="5">
        <v>46</v>
      </c>
      <c r="C3364" s="5" t="str" cm="1">
        <f t="array" ref="C3364">_xlfn.IFS(worksheet[[#This Row],[age]]&lt;25,"1. Young Adulthood (18-24)",worksheet[[#This Row],[age]]&lt; 35,"2. Early Adulthood (25-34)",worksheet[[#This Row],[age]]&lt; 45,"3. Mid Adulthood (35-44)",worksheet[[#This Row],[age]]&lt; 55,"4. Mature Adulthood (45-54)",TRUE,"5. Late Adulthood/Senior (55+)")</f>
        <v>4. Mature Adulthood (45-54)</v>
      </c>
      <c r="D3364" t="s">
        <v>27</v>
      </c>
      <c r="E3364" t="s">
        <v>22</v>
      </c>
      <c r="F3364" s="4">
        <v>7.78</v>
      </c>
      <c r="G3364" s="5">
        <v>37</v>
      </c>
      <c r="H3364" t="s">
        <v>17</v>
      </c>
      <c r="I3364" t="s">
        <v>18</v>
      </c>
      <c r="J3364" s="6">
        <v>13.99</v>
      </c>
      <c r="K3364">
        <v>1</v>
      </c>
      <c r="L3364" t="s">
        <v>19</v>
      </c>
      <c r="M3364" s="5">
        <v>4</v>
      </c>
      <c r="N3364" s="4">
        <v>0.2</v>
      </c>
      <c r="O3364" t="s">
        <v>52</v>
      </c>
    </row>
    <row r="3365" spans="1:15" x14ac:dyDescent="0.3">
      <c r="A3365" t="s">
        <v>4480</v>
      </c>
      <c r="B3365" s="5">
        <v>48</v>
      </c>
      <c r="C3365" s="5" t="str" cm="1">
        <f t="array" ref="C3365">_xlfn.IFS(worksheet[[#This Row],[age]]&lt;25,"1. Young Adulthood (18-24)",worksheet[[#This Row],[age]]&lt; 35,"2. Early Adulthood (25-34)",worksheet[[#This Row],[age]]&lt; 45,"3. Mid Adulthood (35-44)",worksheet[[#This Row],[age]]&lt; 55,"4. Mature Adulthood (45-54)",TRUE,"5. Late Adulthood/Senior (55+)")</f>
        <v>4. Mature Adulthood (45-54)</v>
      </c>
      <c r="D3365" t="s">
        <v>41</v>
      </c>
      <c r="E3365" t="s">
        <v>32</v>
      </c>
      <c r="F3365" s="4">
        <v>23.03</v>
      </c>
      <c r="G3365" s="5">
        <v>54</v>
      </c>
      <c r="H3365" t="s">
        <v>70</v>
      </c>
      <c r="I3365" t="s">
        <v>55</v>
      </c>
      <c r="J3365" s="6">
        <v>17.989999999999998</v>
      </c>
      <c r="K3365">
        <v>0</v>
      </c>
      <c r="L3365" t="s">
        <v>61</v>
      </c>
      <c r="M3365" s="5">
        <v>4</v>
      </c>
      <c r="N3365" s="4">
        <v>0.42</v>
      </c>
      <c r="O3365" t="s">
        <v>52</v>
      </c>
    </row>
    <row r="3366" spans="1:15" x14ac:dyDescent="0.3">
      <c r="A3366" t="s">
        <v>4481</v>
      </c>
      <c r="B3366" s="5">
        <v>50</v>
      </c>
      <c r="C3366" s="5" t="str" cm="1">
        <f t="array" ref="C3366">_xlfn.IFS(worksheet[[#This Row],[age]]&lt;25,"1. Young Adulthood (18-24)",worksheet[[#This Row],[age]]&lt; 35,"2. Early Adulthood (25-34)",worksheet[[#This Row],[age]]&lt; 45,"3. Mid Adulthood (35-44)",worksheet[[#This Row],[age]]&lt; 55,"4. Mature Adulthood (45-54)",TRUE,"5. Late Adulthood/Senior (55+)")</f>
        <v>4. Mature Adulthood (45-54)</v>
      </c>
      <c r="D3366" t="s">
        <v>15</v>
      </c>
      <c r="E3366" t="s">
        <v>16</v>
      </c>
      <c r="F3366" s="4">
        <v>6.59</v>
      </c>
      <c r="G3366" s="5">
        <v>6</v>
      </c>
      <c r="H3366" t="s">
        <v>28</v>
      </c>
      <c r="I3366" t="s">
        <v>57</v>
      </c>
      <c r="J3366" s="6">
        <v>8.99</v>
      </c>
      <c r="K3366">
        <v>0</v>
      </c>
      <c r="L3366" t="s">
        <v>61</v>
      </c>
      <c r="M3366" s="5">
        <v>2</v>
      </c>
      <c r="N3366" s="4">
        <v>0.94</v>
      </c>
      <c r="O3366" t="s">
        <v>34</v>
      </c>
    </row>
    <row r="3367" spans="1:15" x14ac:dyDescent="0.3">
      <c r="A3367" t="s">
        <v>4482</v>
      </c>
      <c r="B3367" s="5">
        <v>51</v>
      </c>
      <c r="C3367" s="5" t="str" cm="1">
        <f t="array" ref="C3367">_xlfn.IFS(worksheet[[#This Row],[age]]&lt;25,"1. Young Adulthood (18-24)",worksheet[[#This Row],[age]]&lt; 35,"2. Early Adulthood (25-34)",worksheet[[#This Row],[age]]&lt; 45,"3. Mid Adulthood (35-44)",worksheet[[#This Row],[age]]&lt; 55,"4. Mature Adulthood (45-54)",TRUE,"5. Late Adulthood/Senior (55+)")</f>
        <v>4. Mature Adulthood (45-54)</v>
      </c>
      <c r="D3367" t="s">
        <v>41</v>
      </c>
      <c r="E3367" t="s">
        <v>16</v>
      </c>
      <c r="F3367" s="4">
        <v>1.56</v>
      </c>
      <c r="G3367" s="5">
        <v>55</v>
      </c>
      <c r="H3367" t="s">
        <v>70</v>
      </c>
      <c r="I3367" t="s">
        <v>24</v>
      </c>
      <c r="J3367" s="6">
        <v>8.99</v>
      </c>
      <c r="K3367">
        <v>1</v>
      </c>
      <c r="L3367" t="s">
        <v>29</v>
      </c>
      <c r="M3367" s="5">
        <v>3</v>
      </c>
      <c r="N3367" s="4">
        <v>0.03</v>
      </c>
      <c r="O3367" t="s">
        <v>20</v>
      </c>
    </row>
    <row r="3368" spans="1:15" x14ac:dyDescent="0.3">
      <c r="A3368" t="s">
        <v>4494</v>
      </c>
      <c r="B3368" s="5">
        <v>50</v>
      </c>
      <c r="C3368" s="5" t="str" cm="1">
        <f t="array" ref="C3368">_xlfn.IFS(worksheet[[#This Row],[age]]&lt;25,"1. Young Adulthood (18-24)",worksheet[[#This Row],[age]]&lt; 35,"2. Early Adulthood (25-34)",worksheet[[#This Row],[age]]&lt; 45,"3. Mid Adulthood (35-44)",worksheet[[#This Row],[age]]&lt; 55,"4. Mature Adulthood (45-54)",TRUE,"5. Late Adulthood/Senior (55+)")</f>
        <v>4. Mature Adulthood (45-54)</v>
      </c>
      <c r="D3368" t="s">
        <v>41</v>
      </c>
      <c r="E3368" t="s">
        <v>22</v>
      </c>
      <c r="F3368" s="4">
        <v>20.95</v>
      </c>
      <c r="G3368" s="5">
        <v>18</v>
      </c>
      <c r="H3368" t="s">
        <v>28</v>
      </c>
      <c r="I3368" t="s">
        <v>57</v>
      </c>
      <c r="J3368" s="6">
        <v>13.99</v>
      </c>
      <c r="K3368">
        <v>0</v>
      </c>
      <c r="L3368" t="s">
        <v>19</v>
      </c>
      <c r="M3368" s="5">
        <v>4</v>
      </c>
      <c r="N3368" s="4">
        <v>1.1000000000000001</v>
      </c>
      <c r="O3368" t="s">
        <v>30</v>
      </c>
    </row>
    <row r="3369" spans="1:15" x14ac:dyDescent="0.3">
      <c r="A3369" t="s">
        <v>4496</v>
      </c>
      <c r="B3369" s="5">
        <v>46</v>
      </c>
      <c r="C3369" s="5" t="str" cm="1">
        <f t="array" ref="C3369">_xlfn.IFS(worksheet[[#This Row],[age]]&lt;25,"1. Young Adulthood (18-24)",worksheet[[#This Row],[age]]&lt; 35,"2. Early Adulthood (25-34)",worksheet[[#This Row],[age]]&lt; 45,"3. Mid Adulthood (35-44)",worksheet[[#This Row],[age]]&lt; 55,"4. Mature Adulthood (45-54)",TRUE,"5. Late Adulthood/Senior (55+)")</f>
        <v>4. Mature Adulthood (45-54)</v>
      </c>
      <c r="D3369" t="s">
        <v>27</v>
      </c>
      <c r="E3369" t="s">
        <v>22</v>
      </c>
      <c r="F3369" s="4">
        <v>4.5599999999999996</v>
      </c>
      <c r="G3369" s="5">
        <v>14</v>
      </c>
      <c r="H3369" t="s">
        <v>49</v>
      </c>
      <c r="I3369" t="s">
        <v>46</v>
      </c>
      <c r="J3369" s="6">
        <v>13.99</v>
      </c>
      <c r="K3369">
        <v>1</v>
      </c>
      <c r="L3369" t="s">
        <v>19</v>
      </c>
      <c r="M3369" s="5">
        <v>2</v>
      </c>
      <c r="N3369" s="4">
        <v>0.3</v>
      </c>
      <c r="O3369" t="s">
        <v>34</v>
      </c>
    </row>
    <row r="3370" spans="1:15" x14ac:dyDescent="0.3">
      <c r="A3370" t="s">
        <v>4498</v>
      </c>
      <c r="B3370" s="5">
        <v>54</v>
      </c>
      <c r="C3370" s="5" t="str" cm="1">
        <f t="array" ref="C3370">_xlfn.IFS(worksheet[[#This Row],[age]]&lt;25,"1. Young Adulthood (18-24)",worksheet[[#This Row],[age]]&lt; 35,"2. Early Adulthood (25-34)",worksheet[[#This Row],[age]]&lt; 45,"3. Mid Adulthood (35-44)",worksheet[[#This Row],[age]]&lt; 55,"4. Mature Adulthood (45-54)",TRUE,"5. Late Adulthood/Senior (55+)")</f>
        <v>4. Mature Adulthood (45-54)</v>
      </c>
      <c r="D3370" t="s">
        <v>15</v>
      </c>
      <c r="E3370" t="s">
        <v>32</v>
      </c>
      <c r="F3370" s="4">
        <v>0.48</v>
      </c>
      <c r="G3370" s="5">
        <v>59</v>
      </c>
      <c r="H3370" t="s">
        <v>28</v>
      </c>
      <c r="I3370" t="s">
        <v>55</v>
      </c>
      <c r="J3370" s="6">
        <v>17.989999999999998</v>
      </c>
      <c r="K3370">
        <v>1</v>
      </c>
      <c r="L3370" t="s">
        <v>29</v>
      </c>
      <c r="M3370" s="5">
        <v>4</v>
      </c>
      <c r="N3370" s="4">
        <v>0.01</v>
      </c>
      <c r="O3370" t="s">
        <v>39</v>
      </c>
    </row>
    <row r="3371" spans="1:15" x14ac:dyDescent="0.3">
      <c r="A3371" t="s">
        <v>4519</v>
      </c>
      <c r="B3371" s="5">
        <v>53</v>
      </c>
      <c r="C3371" s="5" t="str" cm="1">
        <f t="array" ref="C3371">_xlfn.IFS(worksheet[[#This Row],[age]]&lt;25,"1. Young Adulthood (18-24)",worksheet[[#This Row],[age]]&lt; 35,"2. Early Adulthood (25-34)",worksheet[[#This Row],[age]]&lt; 45,"3. Mid Adulthood (35-44)",worksheet[[#This Row],[age]]&lt; 55,"4. Mature Adulthood (45-54)",TRUE,"5. Late Adulthood/Senior (55+)")</f>
        <v>4. Mature Adulthood (45-54)</v>
      </c>
      <c r="D3371" t="s">
        <v>27</v>
      </c>
      <c r="E3371" t="s">
        <v>16</v>
      </c>
      <c r="F3371" s="4">
        <v>40.81</v>
      </c>
      <c r="G3371" s="5">
        <v>17</v>
      </c>
      <c r="H3371" t="s">
        <v>17</v>
      </c>
      <c r="I3371" t="s">
        <v>24</v>
      </c>
      <c r="J3371" s="6">
        <v>8.99</v>
      </c>
      <c r="K3371">
        <v>0</v>
      </c>
      <c r="L3371" t="s">
        <v>19</v>
      </c>
      <c r="M3371" s="5">
        <v>1</v>
      </c>
      <c r="N3371" s="4">
        <v>2.27</v>
      </c>
      <c r="O3371" t="s">
        <v>47</v>
      </c>
    </row>
    <row r="3372" spans="1:15" x14ac:dyDescent="0.3">
      <c r="A3372" t="s">
        <v>4526</v>
      </c>
      <c r="B3372" s="5">
        <v>50</v>
      </c>
      <c r="C3372" s="5" t="str" cm="1">
        <f t="array" ref="C3372">_xlfn.IFS(worksheet[[#This Row],[age]]&lt;25,"1. Young Adulthood (18-24)",worksheet[[#This Row],[age]]&lt; 35,"2. Early Adulthood (25-34)",worksheet[[#This Row],[age]]&lt; 45,"3. Mid Adulthood (35-44)",worksheet[[#This Row],[age]]&lt; 55,"4. Mature Adulthood (45-54)",TRUE,"5. Late Adulthood/Senior (55+)")</f>
        <v>4. Mature Adulthood (45-54)</v>
      </c>
      <c r="D3372" t="s">
        <v>15</v>
      </c>
      <c r="E3372" t="s">
        <v>22</v>
      </c>
      <c r="F3372" s="4">
        <v>9.9</v>
      </c>
      <c r="G3372" s="5">
        <v>10</v>
      </c>
      <c r="H3372" t="s">
        <v>70</v>
      </c>
      <c r="I3372" t="s">
        <v>55</v>
      </c>
      <c r="J3372" s="6">
        <v>13.99</v>
      </c>
      <c r="K3372">
        <v>0</v>
      </c>
      <c r="L3372" t="s">
        <v>37</v>
      </c>
      <c r="M3372" s="5">
        <v>2</v>
      </c>
      <c r="N3372" s="4">
        <v>0.9</v>
      </c>
      <c r="O3372" t="s">
        <v>30</v>
      </c>
    </row>
    <row r="3373" spans="1:15" x14ac:dyDescent="0.3">
      <c r="A3373" t="s">
        <v>4528</v>
      </c>
      <c r="B3373" s="5">
        <v>51</v>
      </c>
      <c r="C3373" s="5" t="str" cm="1">
        <f t="array" ref="C3373">_xlfn.IFS(worksheet[[#This Row],[age]]&lt;25,"1. Young Adulthood (18-24)",worksheet[[#This Row],[age]]&lt; 35,"2. Early Adulthood (25-34)",worksheet[[#This Row],[age]]&lt; 45,"3. Mid Adulthood (35-44)",worksheet[[#This Row],[age]]&lt; 55,"4. Mature Adulthood (45-54)",TRUE,"5. Late Adulthood/Senior (55+)")</f>
        <v>4. Mature Adulthood (45-54)</v>
      </c>
      <c r="D3373" t="s">
        <v>15</v>
      </c>
      <c r="E3373" t="s">
        <v>32</v>
      </c>
      <c r="F3373" s="4">
        <v>1.67</v>
      </c>
      <c r="G3373" s="5">
        <v>28</v>
      </c>
      <c r="H3373" t="s">
        <v>17</v>
      </c>
      <c r="I3373" t="s">
        <v>57</v>
      </c>
      <c r="J3373" s="6">
        <v>17.989999999999998</v>
      </c>
      <c r="K3373">
        <v>1</v>
      </c>
      <c r="L3373" t="s">
        <v>29</v>
      </c>
      <c r="M3373" s="5">
        <v>4</v>
      </c>
      <c r="N3373" s="4">
        <v>0.06</v>
      </c>
      <c r="O3373" t="s">
        <v>20</v>
      </c>
    </row>
    <row r="3374" spans="1:15" x14ac:dyDescent="0.3">
      <c r="A3374" t="s">
        <v>4535</v>
      </c>
      <c r="B3374" s="5">
        <v>50</v>
      </c>
      <c r="C3374" s="5" t="str" cm="1">
        <f t="array" ref="C3374">_xlfn.IFS(worksheet[[#This Row],[age]]&lt;25,"1. Young Adulthood (18-24)",worksheet[[#This Row],[age]]&lt; 35,"2. Early Adulthood (25-34)",worksheet[[#This Row],[age]]&lt; 45,"3. Mid Adulthood (35-44)",worksheet[[#This Row],[age]]&lt; 55,"4. Mature Adulthood (45-54)",TRUE,"5. Late Adulthood/Senior (55+)")</f>
        <v>4. Mature Adulthood (45-54)</v>
      </c>
      <c r="D3374" t="s">
        <v>15</v>
      </c>
      <c r="E3374" t="s">
        <v>32</v>
      </c>
      <c r="F3374" s="4">
        <v>0.73</v>
      </c>
      <c r="G3374" s="5">
        <v>24</v>
      </c>
      <c r="H3374" t="s">
        <v>70</v>
      </c>
      <c r="I3374" t="s">
        <v>57</v>
      </c>
      <c r="J3374" s="6">
        <v>17.989999999999998</v>
      </c>
      <c r="K3374">
        <v>1</v>
      </c>
      <c r="L3374" t="s">
        <v>29</v>
      </c>
      <c r="M3374" s="5">
        <v>2</v>
      </c>
      <c r="N3374" s="4">
        <v>0.03</v>
      </c>
      <c r="O3374" t="s">
        <v>20</v>
      </c>
    </row>
    <row r="3375" spans="1:15" x14ac:dyDescent="0.3">
      <c r="A3375" t="s">
        <v>4537</v>
      </c>
      <c r="B3375" s="5">
        <v>47</v>
      </c>
      <c r="C3375" s="5" t="str" cm="1">
        <f t="array" ref="C3375">_xlfn.IFS(worksheet[[#This Row],[age]]&lt;25,"1. Young Adulthood (18-24)",worksheet[[#This Row],[age]]&lt; 35,"2. Early Adulthood (25-34)",worksheet[[#This Row],[age]]&lt; 45,"3. Mid Adulthood (35-44)",worksheet[[#This Row],[age]]&lt; 55,"4. Mature Adulthood (45-54)",TRUE,"5. Late Adulthood/Senior (55+)")</f>
        <v>4. Mature Adulthood (45-54)</v>
      </c>
      <c r="D3375" t="s">
        <v>15</v>
      </c>
      <c r="E3375" t="s">
        <v>22</v>
      </c>
      <c r="F3375" s="4">
        <v>13.83</v>
      </c>
      <c r="G3375" s="5">
        <v>54</v>
      </c>
      <c r="H3375" t="s">
        <v>17</v>
      </c>
      <c r="I3375" t="s">
        <v>24</v>
      </c>
      <c r="J3375" s="6">
        <v>13.99</v>
      </c>
      <c r="K3375">
        <v>1</v>
      </c>
      <c r="L3375" t="s">
        <v>19</v>
      </c>
      <c r="M3375" s="5">
        <v>3</v>
      </c>
      <c r="N3375" s="4">
        <v>0.25</v>
      </c>
      <c r="O3375" t="s">
        <v>52</v>
      </c>
    </row>
    <row r="3376" spans="1:15" x14ac:dyDescent="0.3">
      <c r="A3376" t="s">
        <v>4540</v>
      </c>
      <c r="B3376" s="5">
        <v>52</v>
      </c>
      <c r="C3376" s="5" t="str" cm="1">
        <f t="array" ref="C3376">_xlfn.IFS(worksheet[[#This Row],[age]]&lt;25,"1. Young Adulthood (18-24)",worksheet[[#This Row],[age]]&lt; 35,"2. Early Adulthood (25-34)",worksheet[[#This Row],[age]]&lt; 45,"3. Mid Adulthood (35-44)",worksheet[[#This Row],[age]]&lt; 55,"4. Mature Adulthood (45-54)",TRUE,"5. Late Adulthood/Senior (55+)")</f>
        <v>4. Mature Adulthood (45-54)</v>
      </c>
      <c r="D3376" t="s">
        <v>15</v>
      </c>
      <c r="E3376" t="s">
        <v>32</v>
      </c>
      <c r="F3376" s="4">
        <v>6.62</v>
      </c>
      <c r="G3376" s="5">
        <v>56</v>
      </c>
      <c r="H3376" t="s">
        <v>28</v>
      </c>
      <c r="I3376" t="s">
        <v>55</v>
      </c>
      <c r="J3376" s="6">
        <v>17.989999999999998</v>
      </c>
      <c r="K3376">
        <v>1</v>
      </c>
      <c r="L3376" t="s">
        <v>19</v>
      </c>
      <c r="M3376" s="5">
        <v>1</v>
      </c>
      <c r="N3376" s="4">
        <v>0.12</v>
      </c>
      <c r="O3376" t="s">
        <v>47</v>
      </c>
    </row>
    <row r="3377" spans="1:15" x14ac:dyDescent="0.3">
      <c r="A3377" t="s">
        <v>4557</v>
      </c>
      <c r="B3377" s="5">
        <v>52</v>
      </c>
      <c r="C3377" s="5" t="str" cm="1">
        <f t="array" ref="C3377">_xlfn.IFS(worksheet[[#This Row],[age]]&lt;25,"1. Young Adulthood (18-24)",worksheet[[#This Row],[age]]&lt; 35,"2. Early Adulthood (25-34)",worksheet[[#This Row],[age]]&lt; 45,"3. Mid Adulthood (35-44)",worksheet[[#This Row],[age]]&lt; 55,"4. Mature Adulthood (45-54)",TRUE,"5. Late Adulthood/Senior (55+)")</f>
        <v>4. Mature Adulthood (45-54)</v>
      </c>
      <c r="D3377" t="s">
        <v>27</v>
      </c>
      <c r="E3377" t="s">
        <v>16</v>
      </c>
      <c r="F3377" s="4">
        <v>17.09</v>
      </c>
      <c r="G3377" s="5">
        <v>42</v>
      </c>
      <c r="H3377" t="s">
        <v>49</v>
      </c>
      <c r="I3377" t="s">
        <v>18</v>
      </c>
      <c r="J3377" s="6">
        <v>8.99</v>
      </c>
      <c r="K3377">
        <v>1</v>
      </c>
      <c r="L3377" t="s">
        <v>29</v>
      </c>
      <c r="M3377" s="5">
        <v>2</v>
      </c>
      <c r="N3377" s="4">
        <v>0.4</v>
      </c>
      <c r="O3377" t="s">
        <v>20</v>
      </c>
    </row>
    <row r="3378" spans="1:15" x14ac:dyDescent="0.3">
      <c r="A3378" t="s">
        <v>4558</v>
      </c>
      <c r="B3378" s="5">
        <v>50</v>
      </c>
      <c r="C3378" s="5" t="str" cm="1">
        <f t="array" ref="C3378">_xlfn.IFS(worksheet[[#This Row],[age]]&lt;25,"1. Young Adulthood (18-24)",worksheet[[#This Row],[age]]&lt; 35,"2. Early Adulthood (25-34)",worksheet[[#This Row],[age]]&lt; 45,"3. Mid Adulthood (35-44)",worksheet[[#This Row],[age]]&lt; 55,"4. Mature Adulthood (45-54)",TRUE,"5. Late Adulthood/Senior (55+)")</f>
        <v>4. Mature Adulthood (45-54)</v>
      </c>
      <c r="D3378" t="s">
        <v>41</v>
      </c>
      <c r="E3378" t="s">
        <v>32</v>
      </c>
      <c r="F3378" s="4">
        <v>12.33</v>
      </c>
      <c r="G3378" s="5">
        <v>16</v>
      </c>
      <c r="H3378" t="s">
        <v>49</v>
      </c>
      <c r="I3378" t="s">
        <v>24</v>
      </c>
      <c r="J3378" s="6">
        <v>17.989999999999998</v>
      </c>
      <c r="K3378">
        <v>0</v>
      </c>
      <c r="L3378" t="s">
        <v>43</v>
      </c>
      <c r="M3378" s="5">
        <v>5</v>
      </c>
      <c r="N3378" s="4">
        <v>0.73</v>
      </c>
      <c r="O3378" t="s">
        <v>47</v>
      </c>
    </row>
    <row r="3379" spans="1:15" x14ac:dyDescent="0.3">
      <c r="A3379" t="s">
        <v>4561</v>
      </c>
      <c r="B3379" s="5">
        <v>51</v>
      </c>
      <c r="C3379" s="5" t="str" cm="1">
        <f t="array" ref="C3379">_xlfn.IFS(worksheet[[#This Row],[age]]&lt;25,"1. Young Adulthood (18-24)",worksheet[[#This Row],[age]]&lt; 35,"2. Early Adulthood (25-34)",worksheet[[#This Row],[age]]&lt; 45,"3. Mid Adulthood (35-44)",worksheet[[#This Row],[age]]&lt; 55,"4. Mature Adulthood (45-54)",TRUE,"5. Late Adulthood/Senior (55+)")</f>
        <v>4. Mature Adulthood (45-54)</v>
      </c>
      <c r="D3379" t="s">
        <v>15</v>
      </c>
      <c r="E3379" t="s">
        <v>22</v>
      </c>
      <c r="F3379" s="4">
        <v>1.1000000000000001</v>
      </c>
      <c r="G3379" s="5">
        <v>29</v>
      </c>
      <c r="H3379" t="s">
        <v>49</v>
      </c>
      <c r="I3379" t="s">
        <v>57</v>
      </c>
      <c r="J3379" s="6">
        <v>13.99</v>
      </c>
      <c r="K3379">
        <v>1</v>
      </c>
      <c r="L3379" t="s">
        <v>19</v>
      </c>
      <c r="M3379" s="5">
        <v>3</v>
      </c>
      <c r="N3379" s="4">
        <v>0.04</v>
      </c>
      <c r="O3379" t="s">
        <v>52</v>
      </c>
    </row>
    <row r="3380" spans="1:15" x14ac:dyDescent="0.3">
      <c r="A3380" t="s">
        <v>4562</v>
      </c>
      <c r="B3380" s="5">
        <v>49</v>
      </c>
      <c r="C3380" s="5" t="str" cm="1">
        <f t="array" ref="C3380">_xlfn.IFS(worksheet[[#This Row],[age]]&lt;25,"1. Young Adulthood (18-24)",worksheet[[#This Row],[age]]&lt; 35,"2. Early Adulthood (25-34)",worksheet[[#This Row],[age]]&lt; 45,"3. Mid Adulthood (35-44)",worksheet[[#This Row],[age]]&lt; 55,"4. Mature Adulthood (45-54)",TRUE,"5. Late Adulthood/Senior (55+)")</f>
        <v>4. Mature Adulthood (45-54)</v>
      </c>
      <c r="D3380" t="s">
        <v>27</v>
      </c>
      <c r="E3380" t="s">
        <v>32</v>
      </c>
      <c r="F3380" s="4">
        <v>3.03</v>
      </c>
      <c r="G3380" s="5">
        <v>39</v>
      </c>
      <c r="H3380" t="s">
        <v>17</v>
      </c>
      <c r="I3380" t="s">
        <v>18</v>
      </c>
      <c r="J3380" s="6">
        <v>17.989999999999998</v>
      </c>
      <c r="K3380">
        <v>1</v>
      </c>
      <c r="L3380" t="s">
        <v>37</v>
      </c>
      <c r="M3380" s="5">
        <v>2</v>
      </c>
      <c r="N3380" s="4">
        <v>0.08</v>
      </c>
      <c r="O3380" t="s">
        <v>34</v>
      </c>
    </row>
    <row r="3381" spans="1:15" x14ac:dyDescent="0.3">
      <c r="A3381" s="1" t="s">
        <v>4578</v>
      </c>
      <c r="B3381" s="5">
        <v>49</v>
      </c>
      <c r="C3381" s="5" t="str" cm="1">
        <f t="array" ref="C3381">_xlfn.IFS(worksheet[[#This Row],[age]]&lt;25,"1. Young Adulthood (18-24)",worksheet[[#This Row],[age]]&lt; 35,"2. Early Adulthood (25-34)",worksheet[[#This Row],[age]]&lt; 45,"3. Mid Adulthood (35-44)",worksheet[[#This Row],[age]]&lt; 55,"4. Mature Adulthood (45-54)",TRUE,"5. Late Adulthood/Senior (55+)")</f>
        <v>4. Mature Adulthood (45-54)</v>
      </c>
      <c r="D3381" t="s">
        <v>41</v>
      </c>
      <c r="E3381" t="s">
        <v>16</v>
      </c>
      <c r="F3381" s="4">
        <v>9.68</v>
      </c>
      <c r="G3381" s="5">
        <v>10</v>
      </c>
      <c r="H3381" t="s">
        <v>70</v>
      </c>
      <c r="I3381" t="s">
        <v>24</v>
      </c>
      <c r="J3381" s="6">
        <v>8.99</v>
      </c>
      <c r="K3381">
        <v>0</v>
      </c>
      <c r="L3381" t="s">
        <v>43</v>
      </c>
      <c r="M3381" s="5">
        <v>2</v>
      </c>
      <c r="N3381" s="4">
        <v>0.88</v>
      </c>
      <c r="O3381" t="s">
        <v>34</v>
      </c>
    </row>
    <row r="3382" spans="1:15" x14ac:dyDescent="0.3">
      <c r="A3382" t="s">
        <v>4581</v>
      </c>
      <c r="B3382" s="5">
        <v>50</v>
      </c>
      <c r="C3382" s="5" t="str" cm="1">
        <f t="array" ref="C3382">_xlfn.IFS(worksheet[[#This Row],[age]]&lt;25,"1. Young Adulthood (18-24)",worksheet[[#This Row],[age]]&lt; 35,"2. Early Adulthood (25-34)",worksheet[[#This Row],[age]]&lt; 45,"3. Mid Adulthood (35-44)",worksheet[[#This Row],[age]]&lt; 55,"4. Mature Adulthood (45-54)",TRUE,"5. Late Adulthood/Senior (55+)")</f>
        <v>4. Mature Adulthood (45-54)</v>
      </c>
      <c r="D3382" t="s">
        <v>41</v>
      </c>
      <c r="E3382" t="s">
        <v>16</v>
      </c>
      <c r="F3382" s="4">
        <v>0.3</v>
      </c>
      <c r="G3382" s="5">
        <v>43</v>
      </c>
      <c r="H3382" t="s">
        <v>17</v>
      </c>
      <c r="I3382" t="s">
        <v>46</v>
      </c>
      <c r="J3382" s="6">
        <v>8.99</v>
      </c>
      <c r="K3382">
        <v>1</v>
      </c>
      <c r="L3382" t="s">
        <v>19</v>
      </c>
      <c r="M3382" s="5">
        <v>3</v>
      </c>
      <c r="N3382" s="4">
        <v>0.01</v>
      </c>
      <c r="O3382" t="s">
        <v>25</v>
      </c>
    </row>
    <row r="3383" spans="1:15" x14ac:dyDescent="0.3">
      <c r="A3383" t="s">
        <v>4603</v>
      </c>
      <c r="B3383" s="5">
        <v>53</v>
      </c>
      <c r="C3383" s="5" t="str" cm="1">
        <f t="array" ref="C3383">_xlfn.IFS(worksheet[[#This Row],[age]]&lt;25,"1. Young Adulthood (18-24)",worksheet[[#This Row],[age]]&lt; 35,"2. Early Adulthood (25-34)",worksheet[[#This Row],[age]]&lt; 45,"3. Mid Adulthood (35-44)",worksheet[[#This Row],[age]]&lt; 55,"4. Mature Adulthood (45-54)",TRUE,"5. Late Adulthood/Senior (55+)")</f>
        <v>4. Mature Adulthood (45-54)</v>
      </c>
      <c r="D3383" t="s">
        <v>27</v>
      </c>
      <c r="E3383" t="s">
        <v>32</v>
      </c>
      <c r="F3383" s="4">
        <v>19.37</v>
      </c>
      <c r="G3383" s="5">
        <v>40</v>
      </c>
      <c r="H3383" t="s">
        <v>23</v>
      </c>
      <c r="I3383" t="s">
        <v>57</v>
      </c>
      <c r="J3383" s="6">
        <v>17.989999999999998</v>
      </c>
      <c r="K3383">
        <v>1</v>
      </c>
      <c r="L3383" t="s">
        <v>29</v>
      </c>
      <c r="M3383" s="5">
        <v>4</v>
      </c>
      <c r="N3383" s="4">
        <v>0.47</v>
      </c>
      <c r="O3383" t="s">
        <v>25</v>
      </c>
    </row>
    <row r="3384" spans="1:15" x14ac:dyDescent="0.3">
      <c r="A3384" t="s">
        <v>4610</v>
      </c>
      <c r="B3384" s="5">
        <v>53</v>
      </c>
      <c r="C3384" s="5" t="str" cm="1">
        <f t="array" ref="C3384">_xlfn.IFS(worksheet[[#This Row],[age]]&lt;25,"1. Young Adulthood (18-24)",worksheet[[#This Row],[age]]&lt; 35,"2. Early Adulthood (25-34)",worksheet[[#This Row],[age]]&lt; 45,"3. Mid Adulthood (35-44)",worksheet[[#This Row],[age]]&lt; 55,"4. Mature Adulthood (45-54)",TRUE,"5. Late Adulthood/Senior (55+)")</f>
        <v>4. Mature Adulthood (45-54)</v>
      </c>
      <c r="D3384" t="s">
        <v>41</v>
      </c>
      <c r="E3384" t="s">
        <v>22</v>
      </c>
      <c r="F3384" s="4">
        <v>28.91</v>
      </c>
      <c r="G3384" s="5">
        <v>27</v>
      </c>
      <c r="H3384" t="s">
        <v>17</v>
      </c>
      <c r="I3384" t="s">
        <v>24</v>
      </c>
      <c r="J3384" s="6">
        <v>13.99</v>
      </c>
      <c r="K3384">
        <v>0</v>
      </c>
      <c r="L3384" t="s">
        <v>37</v>
      </c>
      <c r="M3384" s="5">
        <v>3</v>
      </c>
      <c r="N3384" s="4">
        <v>1.03</v>
      </c>
      <c r="O3384" t="s">
        <v>39</v>
      </c>
    </row>
    <row r="3385" spans="1:15" x14ac:dyDescent="0.3">
      <c r="A3385" t="s">
        <v>4622</v>
      </c>
      <c r="B3385" s="5">
        <v>50</v>
      </c>
      <c r="C3385" s="5" t="str" cm="1">
        <f t="array" ref="C3385">_xlfn.IFS(worksheet[[#This Row],[age]]&lt;25,"1. Young Adulthood (18-24)",worksheet[[#This Row],[age]]&lt; 35,"2. Early Adulthood (25-34)",worksheet[[#This Row],[age]]&lt; 45,"3. Mid Adulthood (35-44)",worksheet[[#This Row],[age]]&lt; 55,"4. Mature Adulthood (45-54)",TRUE,"5. Late Adulthood/Senior (55+)")</f>
        <v>4. Mature Adulthood (45-54)</v>
      </c>
      <c r="D3385" t="s">
        <v>15</v>
      </c>
      <c r="E3385" t="s">
        <v>16</v>
      </c>
      <c r="F3385" s="4">
        <v>25.08</v>
      </c>
      <c r="G3385" s="5">
        <v>53</v>
      </c>
      <c r="H3385" t="s">
        <v>49</v>
      </c>
      <c r="I3385" t="s">
        <v>55</v>
      </c>
      <c r="J3385" s="6">
        <v>8.99</v>
      </c>
      <c r="K3385">
        <v>0</v>
      </c>
      <c r="L3385" t="s">
        <v>61</v>
      </c>
      <c r="M3385" s="5">
        <v>5</v>
      </c>
      <c r="N3385" s="4">
        <v>0.46</v>
      </c>
      <c r="O3385" t="s">
        <v>30</v>
      </c>
    </row>
    <row r="3386" spans="1:15" x14ac:dyDescent="0.3">
      <c r="A3386" t="s">
        <v>4633</v>
      </c>
      <c r="B3386" s="5">
        <v>54</v>
      </c>
      <c r="C3386" s="5" t="str" cm="1">
        <f t="array" ref="C3386">_xlfn.IFS(worksheet[[#This Row],[age]]&lt;25,"1. Young Adulthood (18-24)",worksheet[[#This Row],[age]]&lt; 35,"2. Early Adulthood (25-34)",worksheet[[#This Row],[age]]&lt; 45,"3. Mid Adulthood (35-44)",worksheet[[#This Row],[age]]&lt; 55,"4. Mature Adulthood (45-54)",TRUE,"5. Late Adulthood/Senior (55+)")</f>
        <v>4. Mature Adulthood (45-54)</v>
      </c>
      <c r="D3386" t="s">
        <v>15</v>
      </c>
      <c r="E3386" t="s">
        <v>32</v>
      </c>
      <c r="F3386" s="4">
        <v>19.95</v>
      </c>
      <c r="G3386" s="5">
        <v>59</v>
      </c>
      <c r="H3386" t="s">
        <v>28</v>
      </c>
      <c r="I3386" t="s">
        <v>24</v>
      </c>
      <c r="J3386" s="6">
        <v>17.989999999999998</v>
      </c>
      <c r="K3386">
        <v>1</v>
      </c>
      <c r="L3386" t="s">
        <v>43</v>
      </c>
      <c r="M3386" s="5">
        <v>1</v>
      </c>
      <c r="N3386" s="4">
        <v>0.33</v>
      </c>
      <c r="O3386" t="s">
        <v>34</v>
      </c>
    </row>
    <row r="3387" spans="1:15" x14ac:dyDescent="0.3">
      <c r="A3387" t="s">
        <v>4658</v>
      </c>
      <c r="B3387" s="5">
        <v>45</v>
      </c>
      <c r="C3387" s="5" t="str" cm="1">
        <f t="array" ref="C3387">_xlfn.IFS(worksheet[[#This Row],[age]]&lt;25,"1. Young Adulthood (18-24)",worksheet[[#This Row],[age]]&lt; 35,"2. Early Adulthood (25-34)",worksheet[[#This Row],[age]]&lt; 45,"3. Mid Adulthood (35-44)",worksheet[[#This Row],[age]]&lt; 55,"4. Mature Adulthood (45-54)",TRUE,"5. Late Adulthood/Senior (55+)")</f>
        <v>4. Mature Adulthood (45-54)</v>
      </c>
      <c r="D3387" t="s">
        <v>27</v>
      </c>
      <c r="E3387" t="s">
        <v>32</v>
      </c>
      <c r="F3387" s="4">
        <v>15.41</v>
      </c>
      <c r="G3387" s="5">
        <v>6</v>
      </c>
      <c r="H3387" t="s">
        <v>17</v>
      </c>
      <c r="I3387" t="s">
        <v>46</v>
      </c>
      <c r="J3387" s="6">
        <v>17.989999999999998</v>
      </c>
      <c r="K3387">
        <v>0</v>
      </c>
      <c r="L3387" t="s">
        <v>61</v>
      </c>
      <c r="M3387" s="5">
        <v>3</v>
      </c>
      <c r="N3387" s="4">
        <v>2.2000000000000002</v>
      </c>
      <c r="O3387" t="s">
        <v>25</v>
      </c>
    </row>
    <row r="3388" spans="1:15" x14ac:dyDescent="0.3">
      <c r="A3388" t="s">
        <v>4664</v>
      </c>
      <c r="B3388" s="5">
        <v>53</v>
      </c>
      <c r="C3388" s="5" t="str" cm="1">
        <f t="array" ref="C3388">_xlfn.IFS(worksheet[[#This Row],[age]]&lt;25,"1. Young Adulthood (18-24)",worksheet[[#This Row],[age]]&lt; 35,"2. Early Adulthood (25-34)",worksheet[[#This Row],[age]]&lt; 45,"3. Mid Adulthood (35-44)",worksheet[[#This Row],[age]]&lt; 55,"4. Mature Adulthood (45-54)",TRUE,"5. Late Adulthood/Senior (55+)")</f>
        <v>4. Mature Adulthood (45-54)</v>
      </c>
      <c r="D3388" t="s">
        <v>27</v>
      </c>
      <c r="E3388" t="s">
        <v>32</v>
      </c>
      <c r="F3388" s="4">
        <v>17.989999999999998</v>
      </c>
      <c r="G3388" s="5">
        <v>0</v>
      </c>
      <c r="H3388" t="s">
        <v>23</v>
      </c>
      <c r="I3388" t="s">
        <v>24</v>
      </c>
      <c r="J3388" s="6">
        <v>17.989999999999998</v>
      </c>
      <c r="K3388">
        <v>0</v>
      </c>
      <c r="L3388" t="s">
        <v>29</v>
      </c>
      <c r="M3388" s="5">
        <v>3</v>
      </c>
      <c r="N3388" s="4">
        <v>17.989999999999998</v>
      </c>
      <c r="O3388" t="s">
        <v>34</v>
      </c>
    </row>
    <row r="3389" spans="1:15" x14ac:dyDescent="0.3">
      <c r="A3389" t="s">
        <v>4672</v>
      </c>
      <c r="B3389" s="5">
        <v>48</v>
      </c>
      <c r="C3389" s="5" t="str" cm="1">
        <f t="array" ref="C3389">_xlfn.IFS(worksheet[[#This Row],[age]]&lt;25,"1. Young Adulthood (18-24)",worksheet[[#This Row],[age]]&lt; 35,"2. Early Adulthood (25-34)",worksheet[[#This Row],[age]]&lt; 45,"3. Mid Adulthood (35-44)",worksheet[[#This Row],[age]]&lt; 55,"4. Mature Adulthood (45-54)",TRUE,"5. Late Adulthood/Senior (55+)")</f>
        <v>4. Mature Adulthood (45-54)</v>
      </c>
      <c r="D3389" t="s">
        <v>15</v>
      </c>
      <c r="E3389" t="s">
        <v>32</v>
      </c>
      <c r="F3389" s="4">
        <v>1.54</v>
      </c>
      <c r="G3389" s="5">
        <v>22</v>
      </c>
      <c r="H3389" t="s">
        <v>28</v>
      </c>
      <c r="I3389" t="s">
        <v>46</v>
      </c>
      <c r="J3389" s="6">
        <v>17.989999999999998</v>
      </c>
      <c r="K3389">
        <v>1</v>
      </c>
      <c r="L3389" t="s">
        <v>29</v>
      </c>
      <c r="M3389" s="5">
        <v>5</v>
      </c>
      <c r="N3389" s="4">
        <v>7.0000000000000007E-2</v>
      </c>
      <c r="O3389" t="s">
        <v>25</v>
      </c>
    </row>
    <row r="3390" spans="1:15" x14ac:dyDescent="0.3">
      <c r="A3390" t="s">
        <v>4674</v>
      </c>
      <c r="B3390" s="5">
        <v>46</v>
      </c>
      <c r="C3390" s="5" t="str" cm="1">
        <f t="array" ref="C3390">_xlfn.IFS(worksheet[[#This Row],[age]]&lt;25,"1. Young Adulthood (18-24)",worksheet[[#This Row],[age]]&lt; 35,"2. Early Adulthood (25-34)",worksheet[[#This Row],[age]]&lt; 45,"3. Mid Adulthood (35-44)",worksheet[[#This Row],[age]]&lt; 55,"4. Mature Adulthood (45-54)",TRUE,"5. Late Adulthood/Senior (55+)")</f>
        <v>4. Mature Adulthood (45-54)</v>
      </c>
      <c r="D3390" t="s">
        <v>15</v>
      </c>
      <c r="E3390" t="s">
        <v>16</v>
      </c>
      <c r="F3390" s="4">
        <v>4.1100000000000003</v>
      </c>
      <c r="G3390" s="5">
        <v>16</v>
      </c>
      <c r="H3390" t="s">
        <v>49</v>
      </c>
      <c r="I3390" t="s">
        <v>57</v>
      </c>
      <c r="J3390" s="6">
        <v>8.99</v>
      </c>
      <c r="K3390">
        <v>1</v>
      </c>
      <c r="L3390" t="s">
        <v>61</v>
      </c>
      <c r="M3390" s="5">
        <v>4</v>
      </c>
      <c r="N3390" s="4">
        <v>0.24</v>
      </c>
      <c r="O3390" t="s">
        <v>20</v>
      </c>
    </row>
    <row r="3391" spans="1:15" x14ac:dyDescent="0.3">
      <c r="A3391" t="s">
        <v>4678</v>
      </c>
      <c r="B3391" s="5">
        <v>49</v>
      </c>
      <c r="C3391" s="5" t="str" cm="1">
        <f t="array" ref="C3391">_xlfn.IFS(worksheet[[#This Row],[age]]&lt;25,"1. Young Adulthood (18-24)",worksheet[[#This Row],[age]]&lt; 35,"2. Early Adulthood (25-34)",worksheet[[#This Row],[age]]&lt; 45,"3. Mid Adulthood (35-44)",worksheet[[#This Row],[age]]&lt; 55,"4. Mature Adulthood (45-54)",TRUE,"5. Late Adulthood/Senior (55+)")</f>
        <v>4. Mature Adulthood (45-54)</v>
      </c>
      <c r="D3391" t="s">
        <v>41</v>
      </c>
      <c r="E3391" t="s">
        <v>22</v>
      </c>
      <c r="F3391" s="4">
        <v>19.77</v>
      </c>
      <c r="G3391" s="5">
        <v>54</v>
      </c>
      <c r="H3391" t="s">
        <v>70</v>
      </c>
      <c r="I3391" t="s">
        <v>18</v>
      </c>
      <c r="J3391" s="6">
        <v>13.99</v>
      </c>
      <c r="K3391">
        <v>0</v>
      </c>
      <c r="L3391" t="s">
        <v>37</v>
      </c>
      <c r="M3391" s="5">
        <v>4</v>
      </c>
      <c r="N3391" s="4">
        <v>0.36</v>
      </c>
      <c r="O3391" t="s">
        <v>20</v>
      </c>
    </row>
    <row r="3392" spans="1:15" x14ac:dyDescent="0.3">
      <c r="A3392" t="s">
        <v>4679</v>
      </c>
      <c r="B3392" s="5">
        <v>48</v>
      </c>
      <c r="C3392" s="5" t="str" cm="1">
        <f t="array" ref="C3392">_xlfn.IFS(worksheet[[#This Row],[age]]&lt;25,"1. Young Adulthood (18-24)",worksheet[[#This Row],[age]]&lt; 35,"2. Early Adulthood (25-34)",worksheet[[#This Row],[age]]&lt; 45,"3. Mid Adulthood (35-44)",worksheet[[#This Row],[age]]&lt; 55,"4. Mature Adulthood (45-54)",TRUE,"5. Late Adulthood/Senior (55+)")</f>
        <v>4. Mature Adulthood (45-54)</v>
      </c>
      <c r="D3392" t="s">
        <v>41</v>
      </c>
      <c r="E3392" t="s">
        <v>32</v>
      </c>
      <c r="F3392" s="4">
        <v>2.98</v>
      </c>
      <c r="G3392" s="5">
        <v>6</v>
      </c>
      <c r="H3392" t="s">
        <v>49</v>
      </c>
      <c r="I3392" t="s">
        <v>18</v>
      </c>
      <c r="J3392" s="6">
        <v>17.989999999999998</v>
      </c>
      <c r="K3392">
        <v>0</v>
      </c>
      <c r="L3392" t="s">
        <v>37</v>
      </c>
      <c r="M3392" s="5">
        <v>2</v>
      </c>
      <c r="N3392" s="4">
        <v>0.43</v>
      </c>
      <c r="O3392" t="s">
        <v>47</v>
      </c>
    </row>
    <row r="3393" spans="1:15" x14ac:dyDescent="0.3">
      <c r="A3393" t="s">
        <v>4682</v>
      </c>
      <c r="B3393" s="5">
        <v>49</v>
      </c>
      <c r="C3393" s="5" t="str" cm="1">
        <f t="array" ref="C3393">_xlfn.IFS(worksheet[[#This Row],[age]]&lt;25,"1. Young Adulthood (18-24)",worksheet[[#This Row],[age]]&lt; 35,"2. Early Adulthood (25-34)",worksheet[[#This Row],[age]]&lt; 45,"3. Mid Adulthood (35-44)",worksheet[[#This Row],[age]]&lt; 55,"4. Mature Adulthood (45-54)",TRUE,"5. Late Adulthood/Senior (55+)")</f>
        <v>4. Mature Adulthood (45-54)</v>
      </c>
      <c r="D3393" t="s">
        <v>41</v>
      </c>
      <c r="E3393" t="s">
        <v>16</v>
      </c>
      <c r="F3393" s="4">
        <v>10.85</v>
      </c>
      <c r="G3393" s="5">
        <v>27</v>
      </c>
      <c r="H3393" t="s">
        <v>28</v>
      </c>
      <c r="I3393" t="s">
        <v>46</v>
      </c>
      <c r="J3393" s="6">
        <v>8.99</v>
      </c>
      <c r="K3393">
        <v>0</v>
      </c>
      <c r="L3393" t="s">
        <v>43</v>
      </c>
      <c r="M3393" s="5">
        <v>4</v>
      </c>
      <c r="N3393" s="4">
        <v>0.39</v>
      </c>
      <c r="O3393" t="s">
        <v>39</v>
      </c>
    </row>
    <row r="3394" spans="1:15" x14ac:dyDescent="0.3">
      <c r="A3394" t="s">
        <v>4685</v>
      </c>
      <c r="B3394" s="5">
        <v>48</v>
      </c>
      <c r="C3394" s="5" t="str" cm="1">
        <f t="array" ref="C3394">_xlfn.IFS(worksheet[[#This Row],[age]]&lt;25,"1. Young Adulthood (18-24)",worksheet[[#This Row],[age]]&lt; 35,"2. Early Adulthood (25-34)",worksheet[[#This Row],[age]]&lt; 45,"3. Mid Adulthood (35-44)",worksheet[[#This Row],[age]]&lt; 55,"4. Mature Adulthood (45-54)",TRUE,"5. Late Adulthood/Senior (55+)")</f>
        <v>4. Mature Adulthood (45-54)</v>
      </c>
      <c r="D3394" t="s">
        <v>27</v>
      </c>
      <c r="E3394" t="s">
        <v>16</v>
      </c>
      <c r="F3394" s="4">
        <v>6.94</v>
      </c>
      <c r="G3394" s="5">
        <v>52</v>
      </c>
      <c r="H3394" t="s">
        <v>28</v>
      </c>
      <c r="I3394" t="s">
        <v>55</v>
      </c>
      <c r="J3394" s="6">
        <v>8.99</v>
      </c>
      <c r="K3394">
        <v>1</v>
      </c>
      <c r="L3394" t="s">
        <v>37</v>
      </c>
      <c r="M3394" s="5">
        <v>1</v>
      </c>
      <c r="N3394" s="4">
        <v>0.13</v>
      </c>
      <c r="O3394" t="s">
        <v>20</v>
      </c>
    </row>
    <row r="3395" spans="1:15" x14ac:dyDescent="0.3">
      <c r="A3395" t="s">
        <v>4689</v>
      </c>
      <c r="B3395" s="5">
        <v>51</v>
      </c>
      <c r="C3395" s="5" t="str" cm="1">
        <f t="array" ref="C3395">_xlfn.IFS(worksheet[[#This Row],[age]]&lt;25,"1. Young Adulthood (18-24)",worksheet[[#This Row],[age]]&lt; 35,"2. Early Adulthood (25-34)",worksheet[[#This Row],[age]]&lt; 45,"3. Mid Adulthood (35-44)",worksheet[[#This Row],[age]]&lt; 55,"4. Mature Adulthood (45-54)",TRUE,"5. Late Adulthood/Senior (55+)")</f>
        <v>4. Mature Adulthood (45-54)</v>
      </c>
      <c r="D3395" t="s">
        <v>41</v>
      </c>
      <c r="E3395" t="s">
        <v>22</v>
      </c>
      <c r="F3395" s="4">
        <v>38.31</v>
      </c>
      <c r="G3395" s="5">
        <v>4</v>
      </c>
      <c r="H3395" t="s">
        <v>17</v>
      </c>
      <c r="I3395" t="s">
        <v>18</v>
      </c>
      <c r="J3395" s="6">
        <v>13.99</v>
      </c>
      <c r="K3395">
        <v>0</v>
      </c>
      <c r="L3395" t="s">
        <v>29</v>
      </c>
      <c r="M3395" s="5">
        <v>5</v>
      </c>
      <c r="N3395" s="4">
        <v>7.66</v>
      </c>
      <c r="O3395" t="s">
        <v>20</v>
      </c>
    </row>
    <row r="3396" spans="1:15" x14ac:dyDescent="0.3">
      <c r="A3396" t="s">
        <v>4695</v>
      </c>
      <c r="B3396" s="5">
        <v>49</v>
      </c>
      <c r="C3396" s="5" t="str" cm="1">
        <f t="array" ref="C3396">_xlfn.IFS(worksheet[[#This Row],[age]]&lt;25,"1. Young Adulthood (18-24)",worksheet[[#This Row],[age]]&lt; 35,"2. Early Adulthood (25-34)",worksheet[[#This Row],[age]]&lt; 45,"3. Mid Adulthood (35-44)",worksheet[[#This Row],[age]]&lt; 55,"4. Mature Adulthood (45-54)",TRUE,"5. Late Adulthood/Senior (55+)")</f>
        <v>4. Mature Adulthood (45-54)</v>
      </c>
      <c r="D3396" t="s">
        <v>41</v>
      </c>
      <c r="E3396" t="s">
        <v>32</v>
      </c>
      <c r="F3396" s="4">
        <v>29.41</v>
      </c>
      <c r="G3396" s="5">
        <v>14</v>
      </c>
      <c r="H3396" t="s">
        <v>33</v>
      </c>
      <c r="I3396" t="s">
        <v>55</v>
      </c>
      <c r="J3396" s="6">
        <v>17.989999999999998</v>
      </c>
      <c r="K3396">
        <v>0</v>
      </c>
      <c r="L3396" t="s">
        <v>19</v>
      </c>
      <c r="M3396" s="5">
        <v>1</v>
      </c>
      <c r="N3396" s="4">
        <v>1.96</v>
      </c>
      <c r="O3396" t="s">
        <v>47</v>
      </c>
    </row>
    <row r="3397" spans="1:15" x14ac:dyDescent="0.3">
      <c r="A3397" t="s">
        <v>4701</v>
      </c>
      <c r="B3397" s="5">
        <v>47</v>
      </c>
      <c r="C3397" s="5" t="str" cm="1">
        <f t="array" ref="C3397">_xlfn.IFS(worksheet[[#This Row],[age]]&lt;25,"1. Young Adulthood (18-24)",worksheet[[#This Row],[age]]&lt; 35,"2. Early Adulthood (25-34)",worksheet[[#This Row],[age]]&lt; 45,"3. Mid Adulthood (35-44)",worksheet[[#This Row],[age]]&lt; 55,"4. Mature Adulthood (45-54)",TRUE,"5. Late Adulthood/Senior (55+)")</f>
        <v>4. Mature Adulthood (45-54)</v>
      </c>
      <c r="D3397" t="s">
        <v>27</v>
      </c>
      <c r="E3397" t="s">
        <v>16</v>
      </c>
      <c r="F3397" s="4">
        <v>6.39</v>
      </c>
      <c r="G3397" s="5">
        <v>54</v>
      </c>
      <c r="H3397" t="s">
        <v>28</v>
      </c>
      <c r="I3397" t="s">
        <v>18</v>
      </c>
      <c r="J3397" s="6">
        <v>8.99</v>
      </c>
      <c r="K3397">
        <v>1</v>
      </c>
      <c r="L3397" t="s">
        <v>29</v>
      </c>
      <c r="M3397" s="5">
        <v>4</v>
      </c>
      <c r="N3397" s="4">
        <v>0.12</v>
      </c>
      <c r="O3397" t="s">
        <v>52</v>
      </c>
    </row>
    <row r="3398" spans="1:15" x14ac:dyDescent="0.3">
      <c r="A3398" t="s">
        <v>4707</v>
      </c>
      <c r="B3398" s="5">
        <v>54</v>
      </c>
      <c r="C3398" s="5" t="str" cm="1">
        <f t="array" ref="C3398">_xlfn.IFS(worksheet[[#This Row],[age]]&lt;25,"1. Young Adulthood (18-24)",worksheet[[#This Row],[age]]&lt; 35,"2. Early Adulthood (25-34)",worksheet[[#This Row],[age]]&lt; 45,"3. Mid Adulthood (35-44)",worksheet[[#This Row],[age]]&lt; 55,"4. Mature Adulthood (45-54)",TRUE,"5. Late Adulthood/Senior (55+)")</f>
        <v>4. Mature Adulthood (45-54)</v>
      </c>
      <c r="D3398" t="s">
        <v>27</v>
      </c>
      <c r="E3398" t="s">
        <v>16</v>
      </c>
      <c r="F3398" s="4">
        <v>13.25</v>
      </c>
      <c r="G3398" s="5">
        <v>49</v>
      </c>
      <c r="H3398" t="s">
        <v>23</v>
      </c>
      <c r="I3398" t="s">
        <v>24</v>
      </c>
      <c r="J3398" s="6">
        <v>8.99</v>
      </c>
      <c r="K3398">
        <v>1</v>
      </c>
      <c r="L3398" t="s">
        <v>37</v>
      </c>
      <c r="M3398" s="5">
        <v>3</v>
      </c>
      <c r="N3398" s="4">
        <v>0.27</v>
      </c>
      <c r="O3398" t="s">
        <v>20</v>
      </c>
    </row>
    <row r="3399" spans="1:15" x14ac:dyDescent="0.3">
      <c r="A3399" t="s">
        <v>4717</v>
      </c>
      <c r="B3399" s="5">
        <v>45</v>
      </c>
      <c r="C3399" s="5" t="str" cm="1">
        <f t="array" ref="C3399">_xlfn.IFS(worksheet[[#This Row],[age]]&lt;25,"1. Young Adulthood (18-24)",worksheet[[#This Row],[age]]&lt; 35,"2. Early Adulthood (25-34)",worksheet[[#This Row],[age]]&lt; 45,"3. Mid Adulthood (35-44)",worksheet[[#This Row],[age]]&lt; 55,"4. Mature Adulthood (45-54)",TRUE,"5. Late Adulthood/Senior (55+)")</f>
        <v>4. Mature Adulthood (45-54)</v>
      </c>
      <c r="D3399" t="s">
        <v>15</v>
      </c>
      <c r="E3399" t="s">
        <v>32</v>
      </c>
      <c r="F3399" s="4">
        <v>2.59</v>
      </c>
      <c r="G3399" s="5">
        <v>56</v>
      </c>
      <c r="H3399" t="s">
        <v>23</v>
      </c>
      <c r="I3399" t="s">
        <v>57</v>
      </c>
      <c r="J3399" s="6">
        <v>17.989999999999998</v>
      </c>
      <c r="K3399">
        <v>1</v>
      </c>
      <c r="L3399" t="s">
        <v>43</v>
      </c>
      <c r="M3399" s="5">
        <v>3</v>
      </c>
      <c r="N3399" s="4">
        <v>0.05</v>
      </c>
      <c r="O3399" t="s">
        <v>30</v>
      </c>
    </row>
    <row r="3400" spans="1:15" x14ac:dyDescent="0.3">
      <c r="A3400" t="s">
        <v>4718</v>
      </c>
      <c r="B3400" s="5">
        <v>46</v>
      </c>
      <c r="C3400" s="5" t="str" cm="1">
        <f t="array" ref="C3400">_xlfn.IFS(worksheet[[#This Row],[age]]&lt;25,"1. Young Adulthood (18-24)",worksheet[[#This Row],[age]]&lt; 35,"2. Early Adulthood (25-34)",worksheet[[#This Row],[age]]&lt; 45,"3. Mid Adulthood (35-44)",worksheet[[#This Row],[age]]&lt; 55,"4. Mature Adulthood (45-54)",TRUE,"5. Late Adulthood/Senior (55+)")</f>
        <v>4. Mature Adulthood (45-54)</v>
      </c>
      <c r="D3400" t="s">
        <v>15</v>
      </c>
      <c r="E3400" t="s">
        <v>22</v>
      </c>
      <c r="F3400" s="4">
        <v>1.22</v>
      </c>
      <c r="G3400" s="5">
        <v>59</v>
      </c>
      <c r="H3400" t="s">
        <v>70</v>
      </c>
      <c r="I3400" t="s">
        <v>55</v>
      </c>
      <c r="J3400" s="6">
        <v>13.99</v>
      </c>
      <c r="K3400">
        <v>1</v>
      </c>
      <c r="L3400" t="s">
        <v>37</v>
      </c>
      <c r="M3400" s="5">
        <v>3</v>
      </c>
      <c r="N3400" s="4">
        <v>0.02</v>
      </c>
      <c r="O3400" t="s">
        <v>34</v>
      </c>
    </row>
    <row r="3401" spans="1:15" x14ac:dyDescent="0.3">
      <c r="A3401" t="s">
        <v>4723</v>
      </c>
      <c r="B3401" s="5">
        <v>50</v>
      </c>
      <c r="C3401" s="5" t="str" cm="1">
        <f t="array" ref="C3401">_xlfn.IFS(worksheet[[#This Row],[age]]&lt;25,"1. Young Adulthood (18-24)",worksheet[[#This Row],[age]]&lt; 35,"2. Early Adulthood (25-34)",worksheet[[#This Row],[age]]&lt; 45,"3. Mid Adulthood (35-44)",worksheet[[#This Row],[age]]&lt; 55,"4. Mature Adulthood (45-54)",TRUE,"5. Late Adulthood/Senior (55+)")</f>
        <v>4. Mature Adulthood (45-54)</v>
      </c>
      <c r="D3401" t="s">
        <v>41</v>
      </c>
      <c r="E3401" t="s">
        <v>16</v>
      </c>
      <c r="F3401" s="4">
        <v>4.3</v>
      </c>
      <c r="G3401" s="5">
        <v>54</v>
      </c>
      <c r="H3401" t="s">
        <v>70</v>
      </c>
      <c r="I3401" t="s">
        <v>57</v>
      </c>
      <c r="J3401" s="6">
        <v>8.99</v>
      </c>
      <c r="K3401">
        <v>1</v>
      </c>
      <c r="L3401" t="s">
        <v>43</v>
      </c>
      <c r="M3401" s="5">
        <v>5</v>
      </c>
      <c r="N3401" s="4">
        <v>0.08</v>
      </c>
      <c r="O3401" t="s">
        <v>20</v>
      </c>
    </row>
    <row r="3402" spans="1:15" x14ac:dyDescent="0.3">
      <c r="A3402" t="s">
        <v>4727</v>
      </c>
      <c r="B3402" s="5">
        <v>45</v>
      </c>
      <c r="C3402" s="5" t="str" cm="1">
        <f t="array" ref="C3402">_xlfn.IFS(worksheet[[#This Row],[age]]&lt;25,"1. Young Adulthood (18-24)",worksheet[[#This Row],[age]]&lt; 35,"2. Early Adulthood (25-34)",worksheet[[#This Row],[age]]&lt; 45,"3. Mid Adulthood (35-44)",worksheet[[#This Row],[age]]&lt; 55,"4. Mature Adulthood (45-54)",TRUE,"5. Late Adulthood/Senior (55+)")</f>
        <v>4. Mature Adulthood (45-54)</v>
      </c>
      <c r="D3402" t="s">
        <v>41</v>
      </c>
      <c r="E3402" t="s">
        <v>32</v>
      </c>
      <c r="F3402" s="4">
        <v>27.2</v>
      </c>
      <c r="G3402" s="5">
        <v>8</v>
      </c>
      <c r="H3402" t="s">
        <v>23</v>
      </c>
      <c r="I3402" t="s">
        <v>46</v>
      </c>
      <c r="J3402" s="6">
        <v>17.989999999999998</v>
      </c>
      <c r="K3402">
        <v>0</v>
      </c>
      <c r="L3402" t="s">
        <v>37</v>
      </c>
      <c r="M3402" s="5">
        <v>5</v>
      </c>
      <c r="N3402" s="4">
        <v>3.02</v>
      </c>
      <c r="O3402" t="s">
        <v>25</v>
      </c>
    </row>
    <row r="3403" spans="1:15" x14ac:dyDescent="0.3">
      <c r="A3403" t="s">
        <v>4736</v>
      </c>
      <c r="B3403" s="5">
        <v>46</v>
      </c>
      <c r="C3403" s="5" t="str" cm="1">
        <f t="array" ref="C3403">_xlfn.IFS(worksheet[[#This Row],[age]]&lt;25,"1. Young Adulthood (18-24)",worksheet[[#This Row],[age]]&lt; 35,"2. Early Adulthood (25-34)",worksheet[[#This Row],[age]]&lt; 45,"3. Mid Adulthood (35-44)",worksheet[[#This Row],[age]]&lt; 55,"4. Mature Adulthood (45-54)",TRUE,"5. Late Adulthood/Senior (55+)")</f>
        <v>4. Mature Adulthood (45-54)</v>
      </c>
      <c r="D3403" t="s">
        <v>27</v>
      </c>
      <c r="E3403" t="s">
        <v>16</v>
      </c>
      <c r="F3403" s="4">
        <v>4.84</v>
      </c>
      <c r="G3403" s="5">
        <v>27</v>
      </c>
      <c r="H3403" t="s">
        <v>17</v>
      </c>
      <c r="I3403" t="s">
        <v>55</v>
      </c>
      <c r="J3403" s="6">
        <v>8.99</v>
      </c>
      <c r="K3403">
        <v>1</v>
      </c>
      <c r="L3403" t="s">
        <v>43</v>
      </c>
      <c r="M3403" s="5">
        <v>2</v>
      </c>
      <c r="N3403" s="4">
        <v>0.17</v>
      </c>
      <c r="O3403" t="s">
        <v>39</v>
      </c>
    </row>
    <row r="3404" spans="1:15" x14ac:dyDescent="0.3">
      <c r="A3404" t="s">
        <v>4737</v>
      </c>
      <c r="B3404" s="5">
        <v>54</v>
      </c>
      <c r="C3404" s="5" t="str" cm="1">
        <f t="array" ref="C3404">_xlfn.IFS(worksheet[[#This Row],[age]]&lt;25,"1. Young Adulthood (18-24)",worksheet[[#This Row],[age]]&lt; 35,"2. Early Adulthood (25-34)",worksheet[[#This Row],[age]]&lt; 45,"3. Mid Adulthood (35-44)",worksheet[[#This Row],[age]]&lt; 55,"4. Mature Adulthood (45-54)",TRUE,"5. Late Adulthood/Senior (55+)")</f>
        <v>4. Mature Adulthood (45-54)</v>
      </c>
      <c r="D3404" t="s">
        <v>41</v>
      </c>
      <c r="E3404" t="s">
        <v>32</v>
      </c>
      <c r="F3404" s="4">
        <v>6.65</v>
      </c>
      <c r="G3404" s="5">
        <v>23</v>
      </c>
      <c r="H3404" t="s">
        <v>28</v>
      </c>
      <c r="I3404" t="s">
        <v>24</v>
      </c>
      <c r="J3404" s="6">
        <v>17.989999999999998</v>
      </c>
      <c r="K3404">
        <v>0</v>
      </c>
      <c r="L3404" t="s">
        <v>43</v>
      </c>
      <c r="M3404" s="5">
        <v>4</v>
      </c>
      <c r="N3404" s="4">
        <v>0.28000000000000003</v>
      </c>
      <c r="O3404" t="s">
        <v>47</v>
      </c>
    </row>
    <row r="3405" spans="1:15" x14ac:dyDescent="0.3">
      <c r="A3405" t="s">
        <v>4741</v>
      </c>
      <c r="B3405" s="5">
        <v>46</v>
      </c>
      <c r="C3405" s="5" t="str" cm="1">
        <f t="array" ref="C3405">_xlfn.IFS(worksheet[[#This Row],[age]]&lt;25,"1. Young Adulthood (18-24)",worksheet[[#This Row],[age]]&lt; 35,"2. Early Adulthood (25-34)",worksheet[[#This Row],[age]]&lt; 45,"3. Mid Adulthood (35-44)",worksheet[[#This Row],[age]]&lt; 55,"4. Mature Adulthood (45-54)",TRUE,"5. Late Adulthood/Senior (55+)")</f>
        <v>4. Mature Adulthood (45-54)</v>
      </c>
      <c r="D3405" t="s">
        <v>41</v>
      </c>
      <c r="E3405" t="s">
        <v>22</v>
      </c>
      <c r="F3405" s="4">
        <v>2.98</v>
      </c>
      <c r="G3405" s="5">
        <v>51</v>
      </c>
      <c r="H3405" t="s">
        <v>49</v>
      </c>
      <c r="I3405" t="s">
        <v>46</v>
      </c>
      <c r="J3405" s="6">
        <v>13.99</v>
      </c>
      <c r="K3405">
        <v>1</v>
      </c>
      <c r="L3405" t="s">
        <v>61</v>
      </c>
      <c r="M3405" s="5">
        <v>1</v>
      </c>
      <c r="N3405" s="4">
        <v>0.06</v>
      </c>
      <c r="O3405" t="s">
        <v>20</v>
      </c>
    </row>
    <row r="3406" spans="1:15" x14ac:dyDescent="0.3">
      <c r="A3406" t="s">
        <v>4757</v>
      </c>
      <c r="B3406" s="5">
        <v>53</v>
      </c>
      <c r="C3406" s="5" t="str" cm="1">
        <f t="array" ref="C3406">_xlfn.IFS(worksheet[[#This Row],[age]]&lt;25,"1. Young Adulthood (18-24)",worksheet[[#This Row],[age]]&lt; 35,"2. Early Adulthood (25-34)",worksheet[[#This Row],[age]]&lt; 45,"3. Mid Adulthood (35-44)",worksheet[[#This Row],[age]]&lt; 55,"4. Mature Adulthood (45-54)",TRUE,"5. Late Adulthood/Senior (55+)")</f>
        <v>4. Mature Adulthood (45-54)</v>
      </c>
      <c r="D3406" t="s">
        <v>41</v>
      </c>
      <c r="E3406" t="s">
        <v>16</v>
      </c>
      <c r="F3406" s="4">
        <v>2.42</v>
      </c>
      <c r="G3406" s="5">
        <v>11</v>
      </c>
      <c r="H3406" t="s">
        <v>17</v>
      </c>
      <c r="I3406" t="s">
        <v>55</v>
      </c>
      <c r="J3406" s="6">
        <v>8.99</v>
      </c>
      <c r="K3406">
        <v>1</v>
      </c>
      <c r="L3406" t="s">
        <v>19</v>
      </c>
      <c r="M3406" s="5">
        <v>5</v>
      </c>
      <c r="N3406" s="4">
        <v>0.2</v>
      </c>
      <c r="O3406" t="s">
        <v>20</v>
      </c>
    </row>
    <row r="3407" spans="1:15" x14ac:dyDescent="0.3">
      <c r="A3407" t="s">
        <v>4760</v>
      </c>
      <c r="B3407" s="5">
        <v>50</v>
      </c>
      <c r="C3407" s="5" t="str" cm="1">
        <f t="array" ref="C3407">_xlfn.IFS(worksheet[[#This Row],[age]]&lt;25,"1. Young Adulthood (18-24)",worksheet[[#This Row],[age]]&lt; 35,"2. Early Adulthood (25-34)",worksheet[[#This Row],[age]]&lt; 45,"3. Mid Adulthood (35-44)",worksheet[[#This Row],[age]]&lt; 55,"4. Mature Adulthood (45-54)",TRUE,"5. Late Adulthood/Senior (55+)")</f>
        <v>4. Mature Adulthood (45-54)</v>
      </c>
      <c r="D3407" t="s">
        <v>27</v>
      </c>
      <c r="E3407" t="s">
        <v>16</v>
      </c>
      <c r="F3407" s="4">
        <v>2.84</v>
      </c>
      <c r="G3407" s="5">
        <v>36</v>
      </c>
      <c r="H3407" t="s">
        <v>28</v>
      </c>
      <c r="I3407" t="s">
        <v>55</v>
      </c>
      <c r="J3407" s="6">
        <v>8.99</v>
      </c>
      <c r="K3407">
        <v>1</v>
      </c>
      <c r="L3407" t="s">
        <v>19</v>
      </c>
      <c r="M3407" s="5">
        <v>3</v>
      </c>
      <c r="N3407" s="4">
        <v>0.08</v>
      </c>
      <c r="O3407" t="s">
        <v>47</v>
      </c>
    </row>
    <row r="3408" spans="1:15" x14ac:dyDescent="0.3">
      <c r="A3408" t="s">
        <v>4770</v>
      </c>
      <c r="B3408" s="5">
        <v>51</v>
      </c>
      <c r="C3408" s="5" t="str" cm="1">
        <f t="array" ref="C3408">_xlfn.IFS(worksheet[[#This Row],[age]]&lt;25,"1. Young Adulthood (18-24)",worksheet[[#This Row],[age]]&lt; 35,"2. Early Adulthood (25-34)",worksheet[[#This Row],[age]]&lt; 45,"3. Mid Adulthood (35-44)",worksheet[[#This Row],[age]]&lt; 55,"4. Mature Adulthood (45-54)",TRUE,"5. Late Adulthood/Senior (55+)")</f>
        <v>4. Mature Adulthood (45-54)</v>
      </c>
      <c r="D3408" t="s">
        <v>41</v>
      </c>
      <c r="E3408" t="s">
        <v>32</v>
      </c>
      <c r="F3408" s="4">
        <v>14.64</v>
      </c>
      <c r="G3408" s="5">
        <v>23</v>
      </c>
      <c r="H3408" t="s">
        <v>17</v>
      </c>
      <c r="I3408" t="s">
        <v>57</v>
      </c>
      <c r="J3408" s="6">
        <v>17.989999999999998</v>
      </c>
      <c r="K3408">
        <v>0</v>
      </c>
      <c r="L3408" t="s">
        <v>61</v>
      </c>
      <c r="M3408" s="5">
        <v>4</v>
      </c>
      <c r="N3408" s="4">
        <v>0.61</v>
      </c>
      <c r="O3408" t="s">
        <v>52</v>
      </c>
    </row>
    <row r="3409" spans="1:15" x14ac:dyDescent="0.3">
      <c r="A3409" t="s">
        <v>4772</v>
      </c>
      <c r="B3409" s="5">
        <v>47</v>
      </c>
      <c r="C3409" s="5" t="str" cm="1">
        <f t="array" ref="C3409">_xlfn.IFS(worksheet[[#This Row],[age]]&lt;25,"1. Young Adulthood (18-24)",worksheet[[#This Row],[age]]&lt; 35,"2. Early Adulthood (25-34)",worksheet[[#This Row],[age]]&lt; 45,"3. Mid Adulthood (35-44)",worksheet[[#This Row],[age]]&lt; 55,"4. Mature Adulthood (45-54)",TRUE,"5. Late Adulthood/Senior (55+)")</f>
        <v>4. Mature Adulthood (45-54)</v>
      </c>
      <c r="D3409" t="s">
        <v>27</v>
      </c>
      <c r="E3409" t="s">
        <v>32</v>
      </c>
      <c r="F3409" s="4">
        <v>34.18</v>
      </c>
      <c r="G3409" s="5">
        <v>50</v>
      </c>
      <c r="H3409" t="s">
        <v>23</v>
      </c>
      <c r="I3409" t="s">
        <v>55</v>
      </c>
      <c r="J3409" s="6">
        <v>17.989999999999998</v>
      </c>
      <c r="K3409">
        <v>0</v>
      </c>
      <c r="L3409" t="s">
        <v>29</v>
      </c>
      <c r="M3409" s="5">
        <v>4</v>
      </c>
      <c r="N3409" s="4">
        <v>0.67</v>
      </c>
      <c r="O3409" t="s">
        <v>30</v>
      </c>
    </row>
    <row r="3410" spans="1:15" x14ac:dyDescent="0.3">
      <c r="A3410" t="s">
        <v>4780</v>
      </c>
      <c r="B3410" s="5">
        <v>46</v>
      </c>
      <c r="C3410" s="5" t="str" cm="1">
        <f t="array" ref="C3410">_xlfn.IFS(worksheet[[#This Row],[age]]&lt;25,"1. Young Adulthood (18-24)",worksheet[[#This Row],[age]]&lt; 35,"2. Early Adulthood (25-34)",worksheet[[#This Row],[age]]&lt; 45,"3. Mid Adulthood (35-44)",worksheet[[#This Row],[age]]&lt; 55,"4. Mature Adulthood (45-54)",TRUE,"5. Late Adulthood/Senior (55+)")</f>
        <v>4. Mature Adulthood (45-54)</v>
      </c>
      <c r="D3410" t="s">
        <v>41</v>
      </c>
      <c r="E3410" t="s">
        <v>22</v>
      </c>
      <c r="F3410" s="4">
        <v>0.89</v>
      </c>
      <c r="G3410" s="5">
        <v>35</v>
      </c>
      <c r="H3410" t="s">
        <v>33</v>
      </c>
      <c r="I3410" t="s">
        <v>57</v>
      </c>
      <c r="J3410" s="6">
        <v>13.99</v>
      </c>
      <c r="K3410">
        <v>1</v>
      </c>
      <c r="L3410" t="s">
        <v>19</v>
      </c>
      <c r="M3410" s="5">
        <v>1</v>
      </c>
      <c r="N3410" s="4">
        <v>0.02</v>
      </c>
      <c r="O3410" t="s">
        <v>30</v>
      </c>
    </row>
    <row r="3411" spans="1:15" x14ac:dyDescent="0.3">
      <c r="A3411" t="s">
        <v>4783</v>
      </c>
      <c r="B3411" s="5">
        <v>54</v>
      </c>
      <c r="C3411" s="5" t="str" cm="1">
        <f t="array" ref="C3411">_xlfn.IFS(worksheet[[#This Row],[age]]&lt;25,"1. Young Adulthood (18-24)",worksheet[[#This Row],[age]]&lt; 35,"2. Early Adulthood (25-34)",worksheet[[#This Row],[age]]&lt; 45,"3. Mid Adulthood (35-44)",worksheet[[#This Row],[age]]&lt; 55,"4. Mature Adulthood (45-54)",TRUE,"5. Late Adulthood/Senior (55+)")</f>
        <v>4. Mature Adulthood (45-54)</v>
      </c>
      <c r="D3411" t="s">
        <v>41</v>
      </c>
      <c r="E3411" t="s">
        <v>32</v>
      </c>
      <c r="F3411" s="4">
        <v>18.07</v>
      </c>
      <c r="G3411" s="5">
        <v>14</v>
      </c>
      <c r="H3411" t="s">
        <v>28</v>
      </c>
      <c r="I3411" t="s">
        <v>18</v>
      </c>
      <c r="J3411" s="6">
        <v>17.989999999999998</v>
      </c>
      <c r="K3411">
        <v>0</v>
      </c>
      <c r="L3411" t="s">
        <v>37</v>
      </c>
      <c r="M3411" s="5">
        <v>2</v>
      </c>
      <c r="N3411" s="4">
        <v>1.2</v>
      </c>
      <c r="O3411" t="s">
        <v>25</v>
      </c>
    </row>
    <row r="3412" spans="1:15" x14ac:dyDescent="0.3">
      <c r="A3412" t="s">
        <v>4786</v>
      </c>
      <c r="B3412" s="5">
        <v>51</v>
      </c>
      <c r="C3412" s="5" t="str" cm="1">
        <f t="array" ref="C3412">_xlfn.IFS(worksheet[[#This Row],[age]]&lt;25,"1. Young Adulthood (18-24)",worksheet[[#This Row],[age]]&lt; 35,"2. Early Adulthood (25-34)",worksheet[[#This Row],[age]]&lt; 45,"3. Mid Adulthood (35-44)",worksheet[[#This Row],[age]]&lt; 55,"4. Mature Adulthood (45-54)",TRUE,"5. Late Adulthood/Senior (55+)")</f>
        <v>4. Mature Adulthood (45-54)</v>
      </c>
      <c r="D3412" t="s">
        <v>27</v>
      </c>
      <c r="E3412" t="s">
        <v>16</v>
      </c>
      <c r="F3412" s="4">
        <v>7.4</v>
      </c>
      <c r="G3412" s="5">
        <v>49</v>
      </c>
      <c r="H3412" t="s">
        <v>33</v>
      </c>
      <c r="I3412" t="s">
        <v>24</v>
      </c>
      <c r="J3412" s="6">
        <v>8.99</v>
      </c>
      <c r="K3412">
        <v>1</v>
      </c>
      <c r="L3412" t="s">
        <v>43</v>
      </c>
      <c r="M3412" s="5">
        <v>4</v>
      </c>
      <c r="N3412" s="4">
        <v>0.15</v>
      </c>
      <c r="O3412" t="s">
        <v>52</v>
      </c>
    </row>
    <row r="3413" spans="1:15" x14ac:dyDescent="0.3">
      <c r="A3413" t="s">
        <v>4788</v>
      </c>
      <c r="B3413" s="5">
        <v>50</v>
      </c>
      <c r="C3413" s="5" t="str" cm="1">
        <f t="array" ref="C3413">_xlfn.IFS(worksheet[[#This Row],[age]]&lt;25,"1. Young Adulthood (18-24)",worksheet[[#This Row],[age]]&lt; 35,"2. Early Adulthood (25-34)",worksheet[[#This Row],[age]]&lt; 45,"3. Mid Adulthood (35-44)",worksheet[[#This Row],[age]]&lt; 55,"4. Mature Adulthood (45-54)",TRUE,"5. Late Adulthood/Senior (55+)")</f>
        <v>4. Mature Adulthood (45-54)</v>
      </c>
      <c r="D3413" t="s">
        <v>41</v>
      </c>
      <c r="E3413" t="s">
        <v>16</v>
      </c>
      <c r="F3413" s="4">
        <v>34.909999999999997</v>
      </c>
      <c r="G3413" s="5">
        <v>55</v>
      </c>
      <c r="H3413" t="s">
        <v>49</v>
      </c>
      <c r="I3413" t="s">
        <v>57</v>
      </c>
      <c r="J3413" s="6">
        <v>8.99</v>
      </c>
      <c r="K3413">
        <v>0</v>
      </c>
      <c r="L3413" t="s">
        <v>43</v>
      </c>
      <c r="M3413" s="5">
        <v>1</v>
      </c>
      <c r="N3413" s="4">
        <v>0.62</v>
      </c>
      <c r="O3413" t="s">
        <v>30</v>
      </c>
    </row>
    <row r="3414" spans="1:15" x14ac:dyDescent="0.3">
      <c r="A3414" t="s">
        <v>4789</v>
      </c>
      <c r="B3414" s="5">
        <v>52</v>
      </c>
      <c r="C3414" s="5" t="str" cm="1">
        <f t="array" ref="C3414">_xlfn.IFS(worksheet[[#This Row],[age]]&lt;25,"1. Young Adulthood (18-24)",worksheet[[#This Row],[age]]&lt; 35,"2. Early Adulthood (25-34)",worksheet[[#This Row],[age]]&lt; 45,"3. Mid Adulthood (35-44)",worksheet[[#This Row],[age]]&lt; 55,"4. Mature Adulthood (45-54)",TRUE,"5. Late Adulthood/Senior (55+)")</f>
        <v>4. Mature Adulthood (45-54)</v>
      </c>
      <c r="D3414" t="s">
        <v>27</v>
      </c>
      <c r="E3414" t="s">
        <v>32</v>
      </c>
      <c r="F3414" s="4">
        <v>19.84</v>
      </c>
      <c r="G3414" s="5">
        <v>51</v>
      </c>
      <c r="H3414" t="s">
        <v>49</v>
      </c>
      <c r="I3414" t="s">
        <v>57</v>
      </c>
      <c r="J3414" s="6">
        <v>17.989999999999998</v>
      </c>
      <c r="K3414">
        <v>0</v>
      </c>
      <c r="L3414" t="s">
        <v>43</v>
      </c>
      <c r="M3414" s="5">
        <v>4</v>
      </c>
      <c r="N3414" s="4">
        <v>0.38</v>
      </c>
      <c r="O3414" t="s">
        <v>30</v>
      </c>
    </row>
    <row r="3415" spans="1:15" x14ac:dyDescent="0.3">
      <c r="A3415" t="s">
        <v>4795</v>
      </c>
      <c r="B3415" s="5">
        <v>45</v>
      </c>
      <c r="C3415" s="5" t="str" cm="1">
        <f t="array" ref="C3415">_xlfn.IFS(worksheet[[#This Row],[age]]&lt;25,"1. Young Adulthood (18-24)",worksheet[[#This Row],[age]]&lt; 35,"2. Early Adulthood (25-34)",worksheet[[#This Row],[age]]&lt; 45,"3. Mid Adulthood (35-44)",worksheet[[#This Row],[age]]&lt; 55,"4. Mature Adulthood (45-54)",TRUE,"5. Late Adulthood/Senior (55+)")</f>
        <v>4. Mature Adulthood (45-54)</v>
      </c>
      <c r="D3415" t="s">
        <v>27</v>
      </c>
      <c r="E3415" t="s">
        <v>22</v>
      </c>
      <c r="F3415" s="4">
        <v>16.100000000000001</v>
      </c>
      <c r="G3415" s="5">
        <v>13</v>
      </c>
      <c r="H3415" t="s">
        <v>49</v>
      </c>
      <c r="I3415" t="s">
        <v>57</v>
      </c>
      <c r="J3415" s="6">
        <v>13.99</v>
      </c>
      <c r="K3415">
        <v>0</v>
      </c>
      <c r="L3415" t="s">
        <v>37</v>
      </c>
      <c r="M3415" s="5">
        <v>3</v>
      </c>
      <c r="N3415" s="4">
        <v>1.1499999999999999</v>
      </c>
      <c r="O3415" t="s">
        <v>25</v>
      </c>
    </row>
    <row r="3416" spans="1:15" x14ac:dyDescent="0.3">
      <c r="A3416" t="s">
        <v>4802</v>
      </c>
      <c r="B3416" s="5">
        <v>49</v>
      </c>
      <c r="C3416" s="5" t="str" cm="1">
        <f t="array" ref="C3416">_xlfn.IFS(worksheet[[#This Row],[age]]&lt;25,"1. Young Adulthood (18-24)",worksheet[[#This Row],[age]]&lt; 35,"2. Early Adulthood (25-34)",worksheet[[#This Row],[age]]&lt; 45,"3. Mid Adulthood (35-44)",worksheet[[#This Row],[age]]&lt; 55,"4. Mature Adulthood (45-54)",TRUE,"5. Late Adulthood/Senior (55+)")</f>
        <v>4. Mature Adulthood (45-54)</v>
      </c>
      <c r="D3416" t="s">
        <v>15</v>
      </c>
      <c r="E3416" t="s">
        <v>16</v>
      </c>
      <c r="F3416" s="4">
        <v>3.16</v>
      </c>
      <c r="G3416" s="5">
        <v>31</v>
      </c>
      <c r="H3416" t="s">
        <v>28</v>
      </c>
      <c r="I3416" t="s">
        <v>55</v>
      </c>
      <c r="J3416" s="6">
        <v>8.99</v>
      </c>
      <c r="K3416">
        <v>1</v>
      </c>
      <c r="L3416" t="s">
        <v>19</v>
      </c>
      <c r="M3416" s="5">
        <v>5</v>
      </c>
      <c r="N3416" s="4">
        <v>0.1</v>
      </c>
      <c r="O3416" t="s">
        <v>20</v>
      </c>
    </row>
    <row r="3417" spans="1:15" x14ac:dyDescent="0.3">
      <c r="A3417" t="s">
        <v>4808</v>
      </c>
      <c r="B3417" s="5">
        <v>49</v>
      </c>
      <c r="C3417" s="5" t="str" cm="1">
        <f t="array" ref="C3417">_xlfn.IFS(worksheet[[#This Row],[age]]&lt;25,"1. Young Adulthood (18-24)",worksheet[[#This Row],[age]]&lt; 35,"2. Early Adulthood (25-34)",worksheet[[#This Row],[age]]&lt; 45,"3. Mid Adulthood (35-44)",worksheet[[#This Row],[age]]&lt; 55,"4. Mature Adulthood (45-54)",TRUE,"5. Late Adulthood/Senior (55+)")</f>
        <v>4. Mature Adulthood (45-54)</v>
      </c>
      <c r="D3417" t="s">
        <v>15</v>
      </c>
      <c r="E3417" t="s">
        <v>32</v>
      </c>
      <c r="F3417" s="4">
        <v>0.21</v>
      </c>
      <c r="G3417" s="5">
        <v>26</v>
      </c>
      <c r="H3417" t="s">
        <v>33</v>
      </c>
      <c r="I3417" t="s">
        <v>18</v>
      </c>
      <c r="J3417" s="6">
        <v>17.989999999999998</v>
      </c>
      <c r="K3417">
        <v>1</v>
      </c>
      <c r="L3417" t="s">
        <v>37</v>
      </c>
      <c r="M3417" s="5">
        <v>3</v>
      </c>
      <c r="N3417" s="4">
        <v>0.01</v>
      </c>
      <c r="O3417" t="s">
        <v>52</v>
      </c>
    </row>
    <row r="3418" spans="1:15" x14ac:dyDescent="0.3">
      <c r="A3418" t="s">
        <v>4815</v>
      </c>
      <c r="B3418" s="5">
        <v>46</v>
      </c>
      <c r="C3418" s="5" t="str" cm="1">
        <f t="array" ref="C3418">_xlfn.IFS(worksheet[[#This Row],[age]]&lt;25,"1. Young Adulthood (18-24)",worksheet[[#This Row],[age]]&lt; 35,"2. Early Adulthood (25-34)",worksheet[[#This Row],[age]]&lt; 45,"3. Mid Adulthood (35-44)",worksheet[[#This Row],[age]]&lt; 55,"4. Mature Adulthood (45-54)",TRUE,"5. Late Adulthood/Senior (55+)")</f>
        <v>4. Mature Adulthood (45-54)</v>
      </c>
      <c r="D3418" t="s">
        <v>41</v>
      </c>
      <c r="E3418" t="s">
        <v>16</v>
      </c>
      <c r="F3418" s="4">
        <v>13.5</v>
      </c>
      <c r="G3418" s="5">
        <v>44</v>
      </c>
      <c r="H3418" t="s">
        <v>70</v>
      </c>
      <c r="I3418" t="s">
        <v>46</v>
      </c>
      <c r="J3418" s="6">
        <v>8.99</v>
      </c>
      <c r="K3418">
        <v>1</v>
      </c>
      <c r="L3418" t="s">
        <v>37</v>
      </c>
      <c r="M3418" s="5">
        <v>1</v>
      </c>
      <c r="N3418" s="4">
        <v>0.3</v>
      </c>
      <c r="O3418" t="s">
        <v>30</v>
      </c>
    </row>
    <row r="3419" spans="1:15" x14ac:dyDescent="0.3">
      <c r="A3419" t="s">
        <v>4820</v>
      </c>
      <c r="B3419" s="5">
        <v>51</v>
      </c>
      <c r="C3419" s="5" t="str" cm="1">
        <f t="array" ref="C3419">_xlfn.IFS(worksheet[[#This Row],[age]]&lt;25,"1. Young Adulthood (18-24)",worksheet[[#This Row],[age]]&lt; 35,"2. Early Adulthood (25-34)",worksheet[[#This Row],[age]]&lt; 45,"3. Mid Adulthood (35-44)",worksheet[[#This Row],[age]]&lt; 55,"4. Mature Adulthood (45-54)",TRUE,"5. Late Adulthood/Senior (55+)")</f>
        <v>4. Mature Adulthood (45-54)</v>
      </c>
      <c r="D3419" t="s">
        <v>27</v>
      </c>
      <c r="E3419" t="s">
        <v>22</v>
      </c>
      <c r="F3419" s="4">
        <v>4.3499999999999996</v>
      </c>
      <c r="G3419" s="5">
        <v>44</v>
      </c>
      <c r="H3419" t="s">
        <v>33</v>
      </c>
      <c r="I3419" t="s">
        <v>46</v>
      </c>
      <c r="J3419" s="6">
        <v>13.99</v>
      </c>
      <c r="K3419">
        <v>1</v>
      </c>
      <c r="L3419" t="s">
        <v>19</v>
      </c>
      <c r="M3419" s="5">
        <v>1</v>
      </c>
      <c r="N3419" s="4">
        <v>0.1</v>
      </c>
      <c r="O3419" t="s">
        <v>25</v>
      </c>
    </row>
    <row r="3420" spans="1:15" x14ac:dyDescent="0.3">
      <c r="A3420" t="s">
        <v>4840</v>
      </c>
      <c r="B3420" s="5">
        <v>49</v>
      </c>
      <c r="C3420" s="5" t="str" cm="1">
        <f t="array" ref="C3420">_xlfn.IFS(worksheet[[#This Row],[age]]&lt;25,"1. Young Adulthood (18-24)",worksheet[[#This Row],[age]]&lt; 35,"2. Early Adulthood (25-34)",worksheet[[#This Row],[age]]&lt; 45,"3. Mid Adulthood (35-44)",worksheet[[#This Row],[age]]&lt; 55,"4. Mature Adulthood (45-54)",TRUE,"5. Late Adulthood/Senior (55+)")</f>
        <v>4. Mature Adulthood (45-54)</v>
      </c>
      <c r="D3420" t="s">
        <v>15</v>
      </c>
      <c r="E3420" t="s">
        <v>16</v>
      </c>
      <c r="F3420" s="4">
        <v>0.59</v>
      </c>
      <c r="G3420" s="5">
        <v>45</v>
      </c>
      <c r="H3420" t="s">
        <v>23</v>
      </c>
      <c r="I3420" t="s">
        <v>18</v>
      </c>
      <c r="J3420" s="6">
        <v>8.99</v>
      </c>
      <c r="K3420">
        <v>1</v>
      </c>
      <c r="L3420" t="s">
        <v>19</v>
      </c>
      <c r="M3420" s="5">
        <v>2</v>
      </c>
      <c r="N3420" s="4">
        <v>0.01</v>
      </c>
      <c r="O3420" t="s">
        <v>25</v>
      </c>
    </row>
    <row r="3421" spans="1:15" x14ac:dyDescent="0.3">
      <c r="A3421" t="s">
        <v>4841</v>
      </c>
      <c r="B3421" s="5">
        <v>47</v>
      </c>
      <c r="C3421" s="5" t="str" cm="1">
        <f t="array" ref="C3421">_xlfn.IFS(worksheet[[#This Row],[age]]&lt;25,"1. Young Adulthood (18-24)",worksheet[[#This Row],[age]]&lt; 35,"2. Early Adulthood (25-34)",worksheet[[#This Row],[age]]&lt; 45,"3. Mid Adulthood (35-44)",worksheet[[#This Row],[age]]&lt; 55,"4. Mature Adulthood (45-54)",TRUE,"5. Late Adulthood/Senior (55+)")</f>
        <v>4. Mature Adulthood (45-54)</v>
      </c>
      <c r="D3421" t="s">
        <v>27</v>
      </c>
      <c r="E3421" t="s">
        <v>22</v>
      </c>
      <c r="F3421" s="4">
        <v>7.04</v>
      </c>
      <c r="G3421" s="5">
        <v>34</v>
      </c>
      <c r="H3421" t="s">
        <v>33</v>
      </c>
      <c r="I3421" t="s">
        <v>46</v>
      </c>
      <c r="J3421" s="6">
        <v>13.99</v>
      </c>
      <c r="K3421">
        <v>1</v>
      </c>
      <c r="L3421" t="s">
        <v>43</v>
      </c>
      <c r="M3421" s="5">
        <v>2</v>
      </c>
      <c r="N3421" s="4">
        <v>0.2</v>
      </c>
      <c r="O3421" t="s">
        <v>20</v>
      </c>
    </row>
    <row r="3422" spans="1:15" x14ac:dyDescent="0.3">
      <c r="A3422" t="s">
        <v>4844</v>
      </c>
      <c r="B3422" s="5">
        <v>46</v>
      </c>
      <c r="C3422" s="5" t="str" cm="1">
        <f t="array" ref="C3422">_xlfn.IFS(worksheet[[#This Row],[age]]&lt;25,"1. Young Adulthood (18-24)",worksheet[[#This Row],[age]]&lt; 35,"2. Early Adulthood (25-34)",worksheet[[#This Row],[age]]&lt; 45,"3. Mid Adulthood (35-44)",worksheet[[#This Row],[age]]&lt; 55,"4. Mature Adulthood (45-54)",TRUE,"5. Late Adulthood/Senior (55+)")</f>
        <v>4. Mature Adulthood (45-54)</v>
      </c>
      <c r="D3422" t="s">
        <v>27</v>
      </c>
      <c r="E3422" t="s">
        <v>32</v>
      </c>
      <c r="F3422" s="4">
        <v>34.32</v>
      </c>
      <c r="G3422" s="5">
        <v>34</v>
      </c>
      <c r="H3422" t="s">
        <v>49</v>
      </c>
      <c r="I3422" t="s">
        <v>55</v>
      </c>
      <c r="J3422" s="6">
        <v>17.989999999999998</v>
      </c>
      <c r="K3422">
        <v>0</v>
      </c>
      <c r="L3422" t="s">
        <v>61</v>
      </c>
      <c r="M3422" s="5">
        <v>5</v>
      </c>
      <c r="N3422" s="4">
        <v>0.98</v>
      </c>
      <c r="O3422" t="s">
        <v>20</v>
      </c>
    </row>
    <row r="3423" spans="1:15" x14ac:dyDescent="0.3">
      <c r="A3423" t="s">
        <v>4845</v>
      </c>
      <c r="B3423" s="5">
        <v>47</v>
      </c>
      <c r="C3423" s="5" t="str" cm="1">
        <f t="array" ref="C3423">_xlfn.IFS(worksheet[[#This Row],[age]]&lt;25,"1. Young Adulthood (18-24)",worksheet[[#This Row],[age]]&lt; 35,"2. Early Adulthood (25-34)",worksheet[[#This Row],[age]]&lt; 45,"3. Mid Adulthood (35-44)",worksheet[[#This Row],[age]]&lt; 55,"4. Mature Adulthood (45-54)",TRUE,"5. Late Adulthood/Senior (55+)")</f>
        <v>4. Mature Adulthood (45-54)</v>
      </c>
      <c r="D3423" t="s">
        <v>15</v>
      </c>
      <c r="E3423" t="s">
        <v>22</v>
      </c>
      <c r="F3423" s="4">
        <v>42.79</v>
      </c>
      <c r="G3423" s="5">
        <v>2</v>
      </c>
      <c r="H3423" t="s">
        <v>23</v>
      </c>
      <c r="I3423" t="s">
        <v>18</v>
      </c>
      <c r="J3423" s="6">
        <v>13.99</v>
      </c>
      <c r="K3423">
        <v>0</v>
      </c>
      <c r="L3423" t="s">
        <v>37</v>
      </c>
      <c r="M3423" s="5">
        <v>1</v>
      </c>
      <c r="N3423" s="4">
        <v>14.26</v>
      </c>
      <c r="O3423" t="s">
        <v>30</v>
      </c>
    </row>
    <row r="3424" spans="1:15" x14ac:dyDescent="0.3">
      <c r="A3424" t="s">
        <v>4852</v>
      </c>
      <c r="B3424" s="5">
        <v>48</v>
      </c>
      <c r="C3424" s="5" t="str" cm="1">
        <f t="array" ref="C3424">_xlfn.IFS(worksheet[[#This Row],[age]]&lt;25,"1. Young Adulthood (18-24)",worksheet[[#This Row],[age]]&lt; 35,"2. Early Adulthood (25-34)",worksheet[[#This Row],[age]]&lt; 45,"3. Mid Adulthood (35-44)",worksheet[[#This Row],[age]]&lt; 55,"4. Mature Adulthood (45-54)",TRUE,"5. Late Adulthood/Senior (55+)")</f>
        <v>4. Mature Adulthood (45-54)</v>
      </c>
      <c r="D3424" t="s">
        <v>41</v>
      </c>
      <c r="E3424" t="s">
        <v>22</v>
      </c>
      <c r="F3424" s="4">
        <v>6.71</v>
      </c>
      <c r="G3424" s="5">
        <v>46</v>
      </c>
      <c r="H3424" t="s">
        <v>70</v>
      </c>
      <c r="I3424" t="s">
        <v>57</v>
      </c>
      <c r="J3424" s="6">
        <v>13.99</v>
      </c>
      <c r="K3424">
        <v>1</v>
      </c>
      <c r="L3424" t="s">
        <v>43</v>
      </c>
      <c r="M3424" s="5">
        <v>2</v>
      </c>
      <c r="N3424" s="4">
        <v>0.14000000000000001</v>
      </c>
      <c r="O3424" t="s">
        <v>30</v>
      </c>
    </row>
    <row r="3425" spans="1:15" x14ac:dyDescent="0.3">
      <c r="A3425" t="s">
        <v>4856</v>
      </c>
      <c r="B3425" s="5">
        <v>50</v>
      </c>
      <c r="C3425" s="5" t="str" cm="1">
        <f t="array" ref="C3425">_xlfn.IFS(worksheet[[#This Row],[age]]&lt;25,"1. Young Adulthood (18-24)",worksheet[[#This Row],[age]]&lt; 35,"2. Early Adulthood (25-34)",worksheet[[#This Row],[age]]&lt; 45,"3. Mid Adulthood (35-44)",worksheet[[#This Row],[age]]&lt; 55,"4. Mature Adulthood (45-54)",TRUE,"5. Late Adulthood/Senior (55+)")</f>
        <v>4. Mature Adulthood (45-54)</v>
      </c>
      <c r="D3425" t="s">
        <v>41</v>
      </c>
      <c r="E3425" t="s">
        <v>16</v>
      </c>
      <c r="F3425" s="4">
        <v>20.96</v>
      </c>
      <c r="G3425" s="5">
        <v>40</v>
      </c>
      <c r="H3425" t="s">
        <v>49</v>
      </c>
      <c r="I3425" t="s">
        <v>18</v>
      </c>
      <c r="J3425" s="6">
        <v>8.99</v>
      </c>
      <c r="K3425">
        <v>0</v>
      </c>
      <c r="L3425" t="s">
        <v>29</v>
      </c>
      <c r="M3425" s="5">
        <v>2</v>
      </c>
      <c r="N3425" s="4">
        <v>0.51</v>
      </c>
      <c r="O3425" t="s">
        <v>25</v>
      </c>
    </row>
    <row r="3426" spans="1:15" x14ac:dyDescent="0.3">
      <c r="A3426" t="s">
        <v>4860</v>
      </c>
      <c r="B3426" s="5">
        <v>46</v>
      </c>
      <c r="C3426" s="5" t="str" cm="1">
        <f t="array" ref="C3426">_xlfn.IFS(worksheet[[#This Row],[age]]&lt;25,"1. Young Adulthood (18-24)",worksheet[[#This Row],[age]]&lt; 35,"2. Early Adulthood (25-34)",worksheet[[#This Row],[age]]&lt; 45,"3. Mid Adulthood (35-44)",worksheet[[#This Row],[age]]&lt; 55,"4. Mature Adulthood (45-54)",TRUE,"5. Late Adulthood/Senior (55+)")</f>
        <v>4. Mature Adulthood (45-54)</v>
      </c>
      <c r="D3426" t="s">
        <v>15</v>
      </c>
      <c r="E3426" t="s">
        <v>32</v>
      </c>
      <c r="F3426" s="4">
        <v>10.37</v>
      </c>
      <c r="G3426" s="5">
        <v>34</v>
      </c>
      <c r="H3426" t="s">
        <v>23</v>
      </c>
      <c r="I3426" t="s">
        <v>18</v>
      </c>
      <c r="J3426" s="6">
        <v>17.989999999999998</v>
      </c>
      <c r="K3426">
        <v>1</v>
      </c>
      <c r="L3426" t="s">
        <v>37</v>
      </c>
      <c r="M3426" s="5">
        <v>1</v>
      </c>
      <c r="N3426" s="4">
        <v>0.3</v>
      </c>
      <c r="O3426" t="s">
        <v>30</v>
      </c>
    </row>
    <row r="3427" spans="1:15" x14ac:dyDescent="0.3">
      <c r="A3427" t="s">
        <v>4863</v>
      </c>
      <c r="B3427" s="5">
        <v>54</v>
      </c>
      <c r="C3427" s="5" t="str" cm="1">
        <f t="array" ref="C3427">_xlfn.IFS(worksheet[[#This Row],[age]]&lt;25,"1. Young Adulthood (18-24)",worksheet[[#This Row],[age]]&lt; 35,"2. Early Adulthood (25-34)",worksheet[[#This Row],[age]]&lt; 45,"3. Mid Adulthood (35-44)",worksheet[[#This Row],[age]]&lt; 55,"4. Mature Adulthood (45-54)",TRUE,"5. Late Adulthood/Senior (55+)")</f>
        <v>4. Mature Adulthood (45-54)</v>
      </c>
      <c r="D3427" t="s">
        <v>41</v>
      </c>
      <c r="E3427" t="s">
        <v>16</v>
      </c>
      <c r="F3427" s="4">
        <v>2.41</v>
      </c>
      <c r="G3427" s="5">
        <v>18</v>
      </c>
      <c r="H3427" t="s">
        <v>28</v>
      </c>
      <c r="I3427" t="s">
        <v>55</v>
      </c>
      <c r="J3427" s="6">
        <v>8.99</v>
      </c>
      <c r="K3427">
        <v>1</v>
      </c>
      <c r="L3427" t="s">
        <v>61</v>
      </c>
      <c r="M3427" s="5">
        <v>2</v>
      </c>
      <c r="N3427" s="4">
        <v>0.13</v>
      </c>
      <c r="O3427" t="s">
        <v>20</v>
      </c>
    </row>
    <row r="3428" spans="1:15" x14ac:dyDescent="0.3">
      <c r="A3428" t="s">
        <v>4864</v>
      </c>
      <c r="B3428" s="5">
        <v>50</v>
      </c>
      <c r="C3428" s="5" t="str" cm="1">
        <f t="array" ref="C3428">_xlfn.IFS(worksheet[[#This Row],[age]]&lt;25,"1. Young Adulthood (18-24)",worksheet[[#This Row],[age]]&lt; 35,"2. Early Adulthood (25-34)",worksheet[[#This Row],[age]]&lt; 45,"3. Mid Adulthood (35-44)",worksheet[[#This Row],[age]]&lt; 55,"4. Mature Adulthood (45-54)",TRUE,"5. Late Adulthood/Senior (55+)")</f>
        <v>4. Mature Adulthood (45-54)</v>
      </c>
      <c r="D3428" t="s">
        <v>15</v>
      </c>
      <c r="E3428" t="s">
        <v>22</v>
      </c>
      <c r="F3428" s="4">
        <v>4.03</v>
      </c>
      <c r="G3428" s="5">
        <v>1</v>
      </c>
      <c r="H3428" t="s">
        <v>49</v>
      </c>
      <c r="I3428" t="s">
        <v>46</v>
      </c>
      <c r="J3428" s="6">
        <v>13.99</v>
      </c>
      <c r="K3428">
        <v>0</v>
      </c>
      <c r="L3428" t="s">
        <v>19</v>
      </c>
      <c r="M3428" s="5">
        <v>1</v>
      </c>
      <c r="N3428" s="4">
        <v>2.02</v>
      </c>
      <c r="O3428" t="s">
        <v>34</v>
      </c>
    </row>
    <row r="3429" spans="1:15" x14ac:dyDescent="0.3">
      <c r="A3429" t="s">
        <v>4865</v>
      </c>
      <c r="B3429" s="5">
        <v>50</v>
      </c>
      <c r="C3429" s="5" t="str" cm="1">
        <f t="array" ref="C3429">_xlfn.IFS(worksheet[[#This Row],[age]]&lt;25,"1. Young Adulthood (18-24)",worksheet[[#This Row],[age]]&lt; 35,"2. Early Adulthood (25-34)",worksheet[[#This Row],[age]]&lt; 45,"3. Mid Adulthood (35-44)",worksheet[[#This Row],[age]]&lt; 55,"4. Mature Adulthood (45-54)",TRUE,"5. Late Adulthood/Senior (55+)")</f>
        <v>4. Mature Adulthood (45-54)</v>
      </c>
      <c r="D3429" t="s">
        <v>27</v>
      </c>
      <c r="E3429" t="s">
        <v>32</v>
      </c>
      <c r="F3429" s="4">
        <v>19.010000000000002</v>
      </c>
      <c r="G3429" s="5">
        <v>6</v>
      </c>
      <c r="H3429" t="s">
        <v>28</v>
      </c>
      <c r="I3429" t="s">
        <v>18</v>
      </c>
      <c r="J3429" s="6">
        <v>17.989999999999998</v>
      </c>
      <c r="K3429">
        <v>0</v>
      </c>
      <c r="L3429" t="s">
        <v>43</v>
      </c>
      <c r="M3429" s="5">
        <v>1</v>
      </c>
      <c r="N3429" s="4">
        <v>2.72</v>
      </c>
      <c r="O3429" t="s">
        <v>20</v>
      </c>
    </row>
    <row r="3430" spans="1:15" x14ac:dyDescent="0.3">
      <c r="A3430" t="s">
        <v>4866</v>
      </c>
      <c r="B3430" s="5">
        <v>49</v>
      </c>
      <c r="C3430" s="5" t="str" cm="1">
        <f t="array" ref="C3430">_xlfn.IFS(worksheet[[#This Row],[age]]&lt;25,"1. Young Adulthood (18-24)",worksheet[[#This Row],[age]]&lt; 35,"2. Early Adulthood (25-34)",worksheet[[#This Row],[age]]&lt; 45,"3. Mid Adulthood (35-44)",worksheet[[#This Row],[age]]&lt; 55,"4. Mature Adulthood (45-54)",TRUE,"5. Late Adulthood/Senior (55+)")</f>
        <v>4. Mature Adulthood (45-54)</v>
      </c>
      <c r="D3430" t="s">
        <v>15</v>
      </c>
      <c r="E3430" t="s">
        <v>22</v>
      </c>
      <c r="F3430" s="4">
        <v>2.33</v>
      </c>
      <c r="G3430" s="5">
        <v>41</v>
      </c>
      <c r="H3430" t="s">
        <v>33</v>
      </c>
      <c r="I3430" t="s">
        <v>55</v>
      </c>
      <c r="J3430" s="6">
        <v>13.99</v>
      </c>
      <c r="K3430">
        <v>1</v>
      </c>
      <c r="L3430" t="s">
        <v>29</v>
      </c>
      <c r="M3430" s="5">
        <v>4</v>
      </c>
      <c r="N3430" s="4">
        <v>0.06</v>
      </c>
      <c r="O3430" t="s">
        <v>20</v>
      </c>
    </row>
    <row r="3431" spans="1:15" x14ac:dyDescent="0.3">
      <c r="A3431" t="s">
        <v>4873</v>
      </c>
      <c r="B3431" s="5">
        <v>51</v>
      </c>
      <c r="C3431" s="5" t="str" cm="1">
        <f t="array" ref="C3431">_xlfn.IFS(worksheet[[#This Row],[age]]&lt;25,"1. Young Adulthood (18-24)",worksheet[[#This Row],[age]]&lt; 35,"2. Early Adulthood (25-34)",worksheet[[#This Row],[age]]&lt; 45,"3. Mid Adulthood (35-44)",worksheet[[#This Row],[age]]&lt; 55,"4. Mature Adulthood (45-54)",TRUE,"5. Late Adulthood/Senior (55+)")</f>
        <v>4. Mature Adulthood (45-54)</v>
      </c>
      <c r="D3431" t="s">
        <v>15</v>
      </c>
      <c r="E3431" t="s">
        <v>16</v>
      </c>
      <c r="F3431" s="4">
        <v>0.3</v>
      </c>
      <c r="G3431" s="5">
        <v>58</v>
      </c>
      <c r="H3431" t="s">
        <v>28</v>
      </c>
      <c r="I3431" t="s">
        <v>18</v>
      </c>
      <c r="J3431" s="6">
        <v>8.99</v>
      </c>
      <c r="K3431">
        <v>1</v>
      </c>
      <c r="L3431" t="s">
        <v>29</v>
      </c>
      <c r="M3431" s="5">
        <v>2</v>
      </c>
      <c r="N3431" s="4">
        <v>0.01</v>
      </c>
      <c r="O3431" t="s">
        <v>34</v>
      </c>
    </row>
    <row r="3432" spans="1:15" x14ac:dyDescent="0.3">
      <c r="A3432" t="s">
        <v>4890</v>
      </c>
      <c r="B3432" s="5">
        <v>53</v>
      </c>
      <c r="C3432" s="5" t="str" cm="1">
        <f t="array" ref="C3432">_xlfn.IFS(worksheet[[#This Row],[age]]&lt;25,"1. Young Adulthood (18-24)",worksheet[[#This Row],[age]]&lt; 35,"2. Early Adulthood (25-34)",worksheet[[#This Row],[age]]&lt; 45,"3. Mid Adulthood (35-44)",worksheet[[#This Row],[age]]&lt; 55,"4. Mature Adulthood (45-54)",TRUE,"5. Late Adulthood/Senior (55+)")</f>
        <v>4. Mature Adulthood (45-54)</v>
      </c>
      <c r="D3432" t="s">
        <v>15</v>
      </c>
      <c r="E3432" t="s">
        <v>32</v>
      </c>
      <c r="F3432" s="4">
        <v>7.79</v>
      </c>
      <c r="G3432" s="5">
        <v>1</v>
      </c>
      <c r="H3432" t="s">
        <v>17</v>
      </c>
      <c r="I3432" t="s">
        <v>18</v>
      </c>
      <c r="J3432" s="6">
        <v>17.989999999999998</v>
      </c>
      <c r="K3432">
        <v>0</v>
      </c>
      <c r="L3432" t="s">
        <v>19</v>
      </c>
      <c r="M3432" s="5">
        <v>1</v>
      </c>
      <c r="N3432" s="4">
        <v>3.9</v>
      </c>
      <c r="O3432" t="s">
        <v>25</v>
      </c>
    </row>
    <row r="3433" spans="1:15" x14ac:dyDescent="0.3">
      <c r="A3433" t="s">
        <v>4896</v>
      </c>
      <c r="B3433" s="5">
        <v>47</v>
      </c>
      <c r="C3433" s="5" t="str" cm="1">
        <f t="array" ref="C3433">_xlfn.IFS(worksheet[[#This Row],[age]]&lt;25,"1. Young Adulthood (18-24)",worksheet[[#This Row],[age]]&lt; 35,"2. Early Adulthood (25-34)",worksheet[[#This Row],[age]]&lt; 45,"3. Mid Adulthood (35-44)",worksheet[[#This Row],[age]]&lt; 55,"4. Mature Adulthood (45-54)",TRUE,"5. Late Adulthood/Senior (55+)")</f>
        <v>4. Mature Adulthood (45-54)</v>
      </c>
      <c r="D3433" t="s">
        <v>15</v>
      </c>
      <c r="E3433" t="s">
        <v>16</v>
      </c>
      <c r="F3433" s="4">
        <v>39.78</v>
      </c>
      <c r="G3433" s="5">
        <v>16</v>
      </c>
      <c r="H3433" t="s">
        <v>49</v>
      </c>
      <c r="I3433" t="s">
        <v>24</v>
      </c>
      <c r="J3433" s="6">
        <v>8.99</v>
      </c>
      <c r="K3433">
        <v>0</v>
      </c>
      <c r="L3433" t="s">
        <v>43</v>
      </c>
      <c r="M3433" s="5">
        <v>2</v>
      </c>
      <c r="N3433" s="4">
        <v>2.34</v>
      </c>
      <c r="O3433" t="s">
        <v>47</v>
      </c>
    </row>
    <row r="3434" spans="1:15" x14ac:dyDescent="0.3">
      <c r="A3434" t="s">
        <v>4908</v>
      </c>
      <c r="B3434" s="5">
        <v>50</v>
      </c>
      <c r="C3434" s="5" t="str" cm="1">
        <f t="array" ref="C3434">_xlfn.IFS(worksheet[[#This Row],[age]]&lt;25,"1. Young Adulthood (18-24)",worksheet[[#This Row],[age]]&lt; 35,"2. Early Adulthood (25-34)",worksheet[[#This Row],[age]]&lt; 45,"3. Mid Adulthood (35-44)",worksheet[[#This Row],[age]]&lt; 55,"4. Mature Adulthood (45-54)",TRUE,"5. Late Adulthood/Senior (55+)")</f>
        <v>4. Mature Adulthood (45-54)</v>
      </c>
      <c r="D3434" t="s">
        <v>41</v>
      </c>
      <c r="E3434" t="s">
        <v>16</v>
      </c>
      <c r="F3434" s="4">
        <v>4.46</v>
      </c>
      <c r="G3434" s="5">
        <v>31</v>
      </c>
      <c r="H3434" t="s">
        <v>49</v>
      </c>
      <c r="I3434" t="s">
        <v>46</v>
      </c>
      <c r="J3434" s="6">
        <v>8.99</v>
      </c>
      <c r="K3434">
        <v>1</v>
      </c>
      <c r="L3434" t="s">
        <v>29</v>
      </c>
      <c r="M3434" s="5">
        <v>5</v>
      </c>
      <c r="N3434" s="4">
        <v>0.14000000000000001</v>
      </c>
      <c r="O3434" t="s">
        <v>52</v>
      </c>
    </row>
    <row r="3435" spans="1:15" x14ac:dyDescent="0.3">
      <c r="A3435" t="s">
        <v>4915</v>
      </c>
      <c r="B3435" s="5">
        <v>52</v>
      </c>
      <c r="C3435" s="5" t="str" cm="1">
        <f t="array" ref="C3435">_xlfn.IFS(worksheet[[#This Row],[age]]&lt;25,"1. Young Adulthood (18-24)",worksheet[[#This Row],[age]]&lt; 35,"2. Early Adulthood (25-34)",worksheet[[#This Row],[age]]&lt; 45,"3. Mid Adulthood (35-44)",worksheet[[#This Row],[age]]&lt; 55,"4. Mature Adulthood (45-54)",TRUE,"5. Late Adulthood/Senior (55+)")</f>
        <v>4. Mature Adulthood (45-54)</v>
      </c>
      <c r="D3435" t="s">
        <v>27</v>
      </c>
      <c r="E3435" t="s">
        <v>22</v>
      </c>
      <c r="F3435" s="4">
        <v>13.19</v>
      </c>
      <c r="G3435" s="5">
        <v>18</v>
      </c>
      <c r="H3435" t="s">
        <v>28</v>
      </c>
      <c r="I3435" t="s">
        <v>55</v>
      </c>
      <c r="J3435" s="6">
        <v>13.99</v>
      </c>
      <c r="K3435">
        <v>0</v>
      </c>
      <c r="L3435" t="s">
        <v>61</v>
      </c>
      <c r="M3435" s="5">
        <v>5</v>
      </c>
      <c r="N3435" s="4">
        <v>0.69</v>
      </c>
      <c r="O3435" t="s">
        <v>47</v>
      </c>
    </row>
    <row r="3436" spans="1:15" x14ac:dyDescent="0.3">
      <c r="A3436" t="s">
        <v>4918</v>
      </c>
      <c r="B3436" s="5">
        <v>51</v>
      </c>
      <c r="C3436" s="5" t="str" cm="1">
        <f t="array" ref="C3436">_xlfn.IFS(worksheet[[#This Row],[age]]&lt;25,"1. Young Adulthood (18-24)",worksheet[[#This Row],[age]]&lt; 35,"2. Early Adulthood (25-34)",worksheet[[#This Row],[age]]&lt; 45,"3. Mid Adulthood (35-44)",worksheet[[#This Row],[age]]&lt; 55,"4. Mature Adulthood (45-54)",TRUE,"5. Late Adulthood/Senior (55+)")</f>
        <v>4. Mature Adulthood (45-54)</v>
      </c>
      <c r="D3436" t="s">
        <v>15</v>
      </c>
      <c r="E3436" t="s">
        <v>16</v>
      </c>
      <c r="F3436" s="4">
        <v>10.44</v>
      </c>
      <c r="G3436" s="5">
        <v>40</v>
      </c>
      <c r="H3436" t="s">
        <v>28</v>
      </c>
      <c r="I3436" t="s">
        <v>18</v>
      </c>
      <c r="J3436" s="6">
        <v>8.99</v>
      </c>
      <c r="K3436">
        <v>1</v>
      </c>
      <c r="L3436" t="s">
        <v>61</v>
      </c>
      <c r="M3436" s="5">
        <v>2</v>
      </c>
      <c r="N3436" s="4">
        <v>0.25</v>
      </c>
      <c r="O3436" t="s">
        <v>30</v>
      </c>
    </row>
    <row r="3437" spans="1:15" x14ac:dyDescent="0.3">
      <c r="A3437" t="s">
        <v>4919</v>
      </c>
      <c r="B3437" s="5">
        <v>51</v>
      </c>
      <c r="C3437" s="5" t="str" cm="1">
        <f t="array" ref="C3437">_xlfn.IFS(worksheet[[#This Row],[age]]&lt;25,"1. Young Adulthood (18-24)",worksheet[[#This Row],[age]]&lt; 35,"2. Early Adulthood (25-34)",worksheet[[#This Row],[age]]&lt; 45,"3. Mid Adulthood (35-44)",worksheet[[#This Row],[age]]&lt; 55,"4. Mature Adulthood (45-54)",TRUE,"5. Late Adulthood/Senior (55+)")</f>
        <v>4. Mature Adulthood (45-54)</v>
      </c>
      <c r="D3437" t="s">
        <v>27</v>
      </c>
      <c r="E3437" t="s">
        <v>32</v>
      </c>
      <c r="F3437" s="4">
        <v>2.62</v>
      </c>
      <c r="G3437" s="5">
        <v>37</v>
      </c>
      <c r="H3437" t="s">
        <v>70</v>
      </c>
      <c r="I3437" t="s">
        <v>18</v>
      </c>
      <c r="J3437" s="6">
        <v>17.989999999999998</v>
      </c>
      <c r="K3437">
        <v>1</v>
      </c>
      <c r="L3437" t="s">
        <v>29</v>
      </c>
      <c r="M3437" s="5">
        <v>2</v>
      </c>
      <c r="N3437" s="4">
        <v>7.0000000000000007E-2</v>
      </c>
      <c r="O3437" t="s">
        <v>34</v>
      </c>
    </row>
    <row r="3438" spans="1:15" x14ac:dyDescent="0.3">
      <c r="A3438" t="s">
        <v>4922</v>
      </c>
      <c r="B3438" s="5">
        <v>48</v>
      </c>
      <c r="C3438" s="5" t="str" cm="1">
        <f t="array" ref="C3438">_xlfn.IFS(worksheet[[#This Row],[age]]&lt;25,"1. Young Adulthood (18-24)",worksheet[[#This Row],[age]]&lt; 35,"2. Early Adulthood (25-34)",worksheet[[#This Row],[age]]&lt; 45,"3. Mid Adulthood (35-44)",worksheet[[#This Row],[age]]&lt; 55,"4. Mature Adulthood (45-54)",TRUE,"5. Late Adulthood/Senior (55+)")</f>
        <v>4. Mature Adulthood (45-54)</v>
      </c>
      <c r="D3438" t="s">
        <v>41</v>
      </c>
      <c r="E3438" t="s">
        <v>22</v>
      </c>
      <c r="F3438" s="4">
        <v>1.1399999999999999</v>
      </c>
      <c r="G3438" s="5">
        <v>11</v>
      </c>
      <c r="H3438" t="s">
        <v>23</v>
      </c>
      <c r="I3438" t="s">
        <v>57</v>
      </c>
      <c r="J3438" s="6">
        <v>13.99</v>
      </c>
      <c r="K3438">
        <v>0</v>
      </c>
      <c r="L3438" t="s">
        <v>43</v>
      </c>
      <c r="M3438" s="5">
        <v>4</v>
      </c>
      <c r="N3438" s="4">
        <v>0.09</v>
      </c>
      <c r="O3438" t="s">
        <v>39</v>
      </c>
    </row>
    <row r="3439" spans="1:15" x14ac:dyDescent="0.3">
      <c r="A3439" t="s">
        <v>4923</v>
      </c>
      <c r="B3439" s="5">
        <v>50</v>
      </c>
      <c r="C3439" s="5" t="str" cm="1">
        <f t="array" ref="C3439">_xlfn.IFS(worksheet[[#This Row],[age]]&lt;25,"1. Young Adulthood (18-24)",worksheet[[#This Row],[age]]&lt; 35,"2. Early Adulthood (25-34)",worksheet[[#This Row],[age]]&lt; 45,"3. Mid Adulthood (35-44)",worksheet[[#This Row],[age]]&lt; 55,"4. Mature Adulthood (45-54)",TRUE,"5. Late Adulthood/Senior (55+)")</f>
        <v>4. Mature Adulthood (45-54)</v>
      </c>
      <c r="D3439" t="s">
        <v>41</v>
      </c>
      <c r="E3439" t="s">
        <v>32</v>
      </c>
      <c r="F3439" s="4">
        <v>20.04</v>
      </c>
      <c r="G3439" s="5">
        <v>37</v>
      </c>
      <c r="H3439" t="s">
        <v>70</v>
      </c>
      <c r="I3439" t="s">
        <v>55</v>
      </c>
      <c r="J3439" s="6">
        <v>17.989999999999998</v>
      </c>
      <c r="K3439">
        <v>0</v>
      </c>
      <c r="L3439" t="s">
        <v>61</v>
      </c>
      <c r="M3439" s="5">
        <v>2</v>
      </c>
      <c r="N3439" s="4">
        <v>0.53</v>
      </c>
      <c r="O3439" t="s">
        <v>52</v>
      </c>
    </row>
    <row r="3440" spans="1:15" x14ac:dyDescent="0.3">
      <c r="A3440" t="s">
        <v>4924</v>
      </c>
      <c r="B3440" s="5">
        <v>48</v>
      </c>
      <c r="C3440" s="5" t="str" cm="1">
        <f t="array" ref="C3440">_xlfn.IFS(worksheet[[#This Row],[age]]&lt;25,"1. Young Adulthood (18-24)",worksheet[[#This Row],[age]]&lt; 35,"2. Early Adulthood (25-34)",worksheet[[#This Row],[age]]&lt; 45,"3. Mid Adulthood (35-44)",worksheet[[#This Row],[age]]&lt; 55,"4. Mature Adulthood (45-54)",TRUE,"5. Late Adulthood/Senior (55+)")</f>
        <v>4. Mature Adulthood (45-54)</v>
      </c>
      <c r="D3440" t="s">
        <v>41</v>
      </c>
      <c r="E3440" t="s">
        <v>16</v>
      </c>
      <c r="F3440" s="4">
        <v>34.770000000000003</v>
      </c>
      <c r="G3440" s="5">
        <v>23</v>
      </c>
      <c r="H3440" t="s">
        <v>49</v>
      </c>
      <c r="I3440" t="s">
        <v>46</v>
      </c>
      <c r="J3440" s="6">
        <v>8.99</v>
      </c>
      <c r="K3440">
        <v>0</v>
      </c>
      <c r="L3440" t="s">
        <v>19</v>
      </c>
      <c r="M3440" s="5">
        <v>5</v>
      </c>
      <c r="N3440" s="4">
        <v>1.45</v>
      </c>
      <c r="O3440" t="s">
        <v>25</v>
      </c>
    </row>
    <row r="3441" spans="1:15" x14ac:dyDescent="0.3">
      <c r="A3441" t="s">
        <v>4925</v>
      </c>
      <c r="B3441" s="5">
        <v>45</v>
      </c>
      <c r="C3441" s="5" t="str" cm="1">
        <f t="array" ref="C3441">_xlfn.IFS(worksheet[[#This Row],[age]]&lt;25,"1. Young Adulthood (18-24)",worksheet[[#This Row],[age]]&lt; 35,"2. Early Adulthood (25-34)",worksheet[[#This Row],[age]]&lt; 45,"3. Mid Adulthood (35-44)",worksheet[[#This Row],[age]]&lt; 55,"4. Mature Adulthood (45-54)",TRUE,"5. Late Adulthood/Senior (55+)")</f>
        <v>4. Mature Adulthood (45-54)</v>
      </c>
      <c r="D3441" t="s">
        <v>15</v>
      </c>
      <c r="E3441" t="s">
        <v>16</v>
      </c>
      <c r="F3441" s="4">
        <v>8.8699999999999992</v>
      </c>
      <c r="G3441" s="5">
        <v>5</v>
      </c>
      <c r="H3441" t="s">
        <v>17</v>
      </c>
      <c r="I3441" t="s">
        <v>46</v>
      </c>
      <c r="J3441" s="6">
        <v>8.99</v>
      </c>
      <c r="K3441">
        <v>0</v>
      </c>
      <c r="L3441" t="s">
        <v>43</v>
      </c>
      <c r="M3441" s="5">
        <v>1</v>
      </c>
      <c r="N3441" s="4">
        <v>1.48</v>
      </c>
      <c r="O3441" t="s">
        <v>47</v>
      </c>
    </row>
    <row r="3442" spans="1:15" x14ac:dyDescent="0.3">
      <c r="A3442" t="s">
        <v>4926</v>
      </c>
      <c r="B3442" s="5">
        <v>49</v>
      </c>
      <c r="C3442" s="5" t="str" cm="1">
        <f t="array" ref="C3442">_xlfn.IFS(worksheet[[#This Row],[age]]&lt;25,"1. Young Adulthood (18-24)",worksheet[[#This Row],[age]]&lt; 35,"2. Early Adulthood (25-34)",worksheet[[#This Row],[age]]&lt; 45,"3. Mid Adulthood (35-44)",worksheet[[#This Row],[age]]&lt; 55,"4. Mature Adulthood (45-54)",TRUE,"5. Late Adulthood/Senior (55+)")</f>
        <v>4. Mature Adulthood (45-54)</v>
      </c>
      <c r="D3442" t="s">
        <v>27</v>
      </c>
      <c r="E3442" t="s">
        <v>22</v>
      </c>
      <c r="F3442" s="4">
        <v>18.79</v>
      </c>
      <c r="G3442" s="5">
        <v>11</v>
      </c>
      <c r="H3442" t="s">
        <v>33</v>
      </c>
      <c r="I3442" t="s">
        <v>18</v>
      </c>
      <c r="J3442" s="6">
        <v>13.99</v>
      </c>
      <c r="K3442">
        <v>0</v>
      </c>
      <c r="L3442" t="s">
        <v>19</v>
      </c>
      <c r="M3442" s="5">
        <v>1</v>
      </c>
      <c r="N3442" s="4">
        <v>1.57</v>
      </c>
      <c r="O3442" t="s">
        <v>34</v>
      </c>
    </row>
    <row r="3443" spans="1:15" x14ac:dyDescent="0.3">
      <c r="A3443" t="s">
        <v>4927</v>
      </c>
      <c r="B3443" s="5">
        <v>54</v>
      </c>
      <c r="C3443" s="5" t="str" cm="1">
        <f t="array" ref="C3443">_xlfn.IFS(worksheet[[#This Row],[age]]&lt;25,"1. Young Adulthood (18-24)",worksheet[[#This Row],[age]]&lt; 35,"2. Early Adulthood (25-34)",worksheet[[#This Row],[age]]&lt; 45,"3. Mid Adulthood (35-44)",worksheet[[#This Row],[age]]&lt; 55,"4. Mature Adulthood (45-54)",TRUE,"5. Late Adulthood/Senior (55+)")</f>
        <v>4. Mature Adulthood (45-54)</v>
      </c>
      <c r="D3443" t="s">
        <v>15</v>
      </c>
      <c r="E3443" t="s">
        <v>22</v>
      </c>
      <c r="F3443" s="4">
        <v>0.72</v>
      </c>
      <c r="G3443" s="5">
        <v>0</v>
      </c>
      <c r="H3443" t="s">
        <v>23</v>
      </c>
      <c r="I3443" t="s">
        <v>46</v>
      </c>
      <c r="J3443" s="6">
        <v>13.99</v>
      </c>
      <c r="K3443">
        <v>0</v>
      </c>
      <c r="L3443" t="s">
        <v>19</v>
      </c>
      <c r="M3443" s="5">
        <v>5</v>
      </c>
      <c r="N3443" s="4">
        <v>0.72</v>
      </c>
      <c r="O3443" t="s">
        <v>34</v>
      </c>
    </row>
    <row r="3444" spans="1:15" x14ac:dyDescent="0.3">
      <c r="A3444" t="s">
        <v>4938</v>
      </c>
      <c r="B3444" s="5">
        <v>48</v>
      </c>
      <c r="C3444" s="5" t="str" cm="1">
        <f t="array" ref="C3444">_xlfn.IFS(worksheet[[#This Row],[age]]&lt;25,"1. Young Adulthood (18-24)",worksheet[[#This Row],[age]]&lt; 35,"2. Early Adulthood (25-34)",worksheet[[#This Row],[age]]&lt; 45,"3. Mid Adulthood (35-44)",worksheet[[#This Row],[age]]&lt; 55,"4. Mature Adulthood (45-54)",TRUE,"5. Late Adulthood/Senior (55+)")</f>
        <v>4. Mature Adulthood (45-54)</v>
      </c>
      <c r="D3444" t="s">
        <v>27</v>
      </c>
      <c r="E3444" t="s">
        <v>22</v>
      </c>
      <c r="F3444" s="4">
        <v>5.49</v>
      </c>
      <c r="G3444" s="5">
        <v>33</v>
      </c>
      <c r="H3444" t="s">
        <v>49</v>
      </c>
      <c r="I3444" t="s">
        <v>57</v>
      </c>
      <c r="J3444" s="6">
        <v>13.99</v>
      </c>
      <c r="K3444">
        <v>1</v>
      </c>
      <c r="L3444" t="s">
        <v>61</v>
      </c>
      <c r="M3444" s="5">
        <v>1</v>
      </c>
      <c r="N3444" s="4">
        <v>0.16</v>
      </c>
      <c r="O3444" t="s">
        <v>20</v>
      </c>
    </row>
    <row r="3445" spans="1:15" x14ac:dyDescent="0.3">
      <c r="A3445" t="s">
        <v>4939</v>
      </c>
      <c r="B3445" s="5">
        <v>45</v>
      </c>
      <c r="C3445" s="5" t="str" cm="1">
        <f t="array" ref="C3445">_xlfn.IFS(worksheet[[#This Row],[age]]&lt;25,"1. Young Adulthood (18-24)",worksheet[[#This Row],[age]]&lt; 35,"2. Early Adulthood (25-34)",worksheet[[#This Row],[age]]&lt; 45,"3. Mid Adulthood (35-44)",worksheet[[#This Row],[age]]&lt; 55,"4. Mature Adulthood (45-54)",TRUE,"5. Late Adulthood/Senior (55+)")</f>
        <v>4. Mature Adulthood (45-54)</v>
      </c>
      <c r="D3445" t="s">
        <v>27</v>
      </c>
      <c r="E3445" t="s">
        <v>22</v>
      </c>
      <c r="F3445" s="4">
        <v>0.26</v>
      </c>
      <c r="G3445" s="5">
        <v>5</v>
      </c>
      <c r="H3445" t="s">
        <v>33</v>
      </c>
      <c r="I3445" t="s">
        <v>55</v>
      </c>
      <c r="J3445" s="6">
        <v>13.99</v>
      </c>
      <c r="K3445">
        <v>1</v>
      </c>
      <c r="L3445" t="s">
        <v>29</v>
      </c>
      <c r="M3445" s="5">
        <v>1</v>
      </c>
      <c r="N3445" s="4">
        <v>0.04</v>
      </c>
      <c r="O3445" t="s">
        <v>47</v>
      </c>
    </row>
    <row r="3446" spans="1:15" x14ac:dyDescent="0.3">
      <c r="A3446" t="s">
        <v>4941</v>
      </c>
      <c r="B3446" s="5">
        <v>54</v>
      </c>
      <c r="C3446" s="5" t="str" cm="1">
        <f t="array" ref="C3446">_xlfn.IFS(worksheet[[#This Row],[age]]&lt;25,"1. Young Adulthood (18-24)",worksheet[[#This Row],[age]]&lt; 35,"2. Early Adulthood (25-34)",worksheet[[#This Row],[age]]&lt; 45,"3. Mid Adulthood (35-44)",worksheet[[#This Row],[age]]&lt; 55,"4. Mature Adulthood (45-54)",TRUE,"5. Late Adulthood/Senior (55+)")</f>
        <v>4. Mature Adulthood (45-54)</v>
      </c>
      <c r="D3446" t="s">
        <v>41</v>
      </c>
      <c r="E3446" t="s">
        <v>32</v>
      </c>
      <c r="F3446" s="4">
        <v>5.47</v>
      </c>
      <c r="G3446" s="5">
        <v>19</v>
      </c>
      <c r="H3446" t="s">
        <v>17</v>
      </c>
      <c r="I3446" t="s">
        <v>57</v>
      </c>
      <c r="J3446" s="6">
        <v>17.989999999999998</v>
      </c>
      <c r="K3446">
        <v>0</v>
      </c>
      <c r="L3446" t="s">
        <v>29</v>
      </c>
      <c r="M3446" s="5">
        <v>3</v>
      </c>
      <c r="N3446" s="4">
        <v>0.27</v>
      </c>
      <c r="O3446" t="s">
        <v>20</v>
      </c>
    </row>
    <row r="3447" spans="1:15" x14ac:dyDescent="0.3">
      <c r="A3447" t="s">
        <v>4946</v>
      </c>
      <c r="B3447" s="5">
        <v>48</v>
      </c>
      <c r="C3447" s="5" t="str" cm="1">
        <f t="array" ref="C3447">_xlfn.IFS(worksheet[[#This Row],[age]]&lt;25,"1. Young Adulthood (18-24)",worksheet[[#This Row],[age]]&lt; 35,"2. Early Adulthood (25-34)",worksheet[[#This Row],[age]]&lt; 45,"3. Mid Adulthood (35-44)",worksheet[[#This Row],[age]]&lt; 55,"4. Mature Adulthood (45-54)",TRUE,"5. Late Adulthood/Senior (55+)")</f>
        <v>4. Mature Adulthood (45-54)</v>
      </c>
      <c r="D3447" t="s">
        <v>27</v>
      </c>
      <c r="E3447" t="s">
        <v>32</v>
      </c>
      <c r="F3447" s="4">
        <v>55.75</v>
      </c>
      <c r="G3447" s="5">
        <v>22</v>
      </c>
      <c r="H3447" t="s">
        <v>33</v>
      </c>
      <c r="I3447" t="s">
        <v>55</v>
      </c>
      <c r="J3447" s="6">
        <v>17.989999999999998</v>
      </c>
      <c r="K3447">
        <v>0</v>
      </c>
      <c r="L3447" t="s">
        <v>37</v>
      </c>
      <c r="M3447" s="5">
        <v>1</v>
      </c>
      <c r="N3447" s="4">
        <v>2.42</v>
      </c>
      <c r="O3447" t="s">
        <v>47</v>
      </c>
    </row>
    <row r="3448" spans="1:15" x14ac:dyDescent="0.3">
      <c r="A3448" t="s">
        <v>4949</v>
      </c>
      <c r="B3448" s="5">
        <v>50</v>
      </c>
      <c r="C3448" s="5" t="str" cm="1">
        <f t="array" ref="C3448">_xlfn.IFS(worksheet[[#This Row],[age]]&lt;25,"1. Young Adulthood (18-24)",worksheet[[#This Row],[age]]&lt; 35,"2. Early Adulthood (25-34)",worksheet[[#This Row],[age]]&lt; 45,"3. Mid Adulthood (35-44)",worksheet[[#This Row],[age]]&lt; 55,"4. Mature Adulthood (45-54)",TRUE,"5. Late Adulthood/Senior (55+)")</f>
        <v>4. Mature Adulthood (45-54)</v>
      </c>
      <c r="D3448" t="s">
        <v>15</v>
      </c>
      <c r="E3448" t="s">
        <v>32</v>
      </c>
      <c r="F3448" s="4">
        <v>10.01</v>
      </c>
      <c r="G3448" s="5">
        <v>48</v>
      </c>
      <c r="H3448" t="s">
        <v>28</v>
      </c>
      <c r="I3448" t="s">
        <v>55</v>
      </c>
      <c r="J3448" s="6">
        <v>17.989999999999998</v>
      </c>
      <c r="K3448">
        <v>1</v>
      </c>
      <c r="L3448" t="s">
        <v>37</v>
      </c>
      <c r="M3448" s="5">
        <v>1</v>
      </c>
      <c r="N3448" s="4">
        <v>0.2</v>
      </c>
      <c r="O3448" t="s">
        <v>34</v>
      </c>
    </row>
    <row r="3449" spans="1:15" x14ac:dyDescent="0.3">
      <c r="A3449" t="s">
        <v>4965</v>
      </c>
      <c r="B3449" s="5">
        <v>52</v>
      </c>
      <c r="C3449" s="5" t="str" cm="1">
        <f t="array" ref="C3449">_xlfn.IFS(worksheet[[#This Row],[age]]&lt;25,"1. Young Adulthood (18-24)",worksheet[[#This Row],[age]]&lt; 35,"2. Early Adulthood (25-34)",worksheet[[#This Row],[age]]&lt; 45,"3. Mid Adulthood (35-44)",worksheet[[#This Row],[age]]&lt; 55,"4. Mature Adulthood (45-54)",TRUE,"5. Late Adulthood/Senior (55+)")</f>
        <v>4. Mature Adulthood (45-54)</v>
      </c>
      <c r="D3449" t="s">
        <v>15</v>
      </c>
      <c r="E3449" t="s">
        <v>16</v>
      </c>
      <c r="F3449" s="4">
        <v>19.21</v>
      </c>
      <c r="G3449" s="5">
        <v>30</v>
      </c>
      <c r="H3449" t="s">
        <v>33</v>
      </c>
      <c r="I3449" t="s">
        <v>55</v>
      </c>
      <c r="J3449" s="6">
        <v>8.99</v>
      </c>
      <c r="K3449">
        <v>0</v>
      </c>
      <c r="L3449" t="s">
        <v>19</v>
      </c>
      <c r="M3449" s="5">
        <v>5</v>
      </c>
      <c r="N3449" s="4">
        <v>0.62</v>
      </c>
      <c r="O3449" t="s">
        <v>25</v>
      </c>
    </row>
    <row r="3450" spans="1:15" x14ac:dyDescent="0.3">
      <c r="A3450" t="s">
        <v>4966</v>
      </c>
      <c r="B3450" s="5">
        <v>46</v>
      </c>
      <c r="C3450" s="5" t="str" cm="1">
        <f t="array" ref="C3450">_xlfn.IFS(worksheet[[#This Row],[age]]&lt;25,"1. Young Adulthood (18-24)",worksheet[[#This Row],[age]]&lt; 35,"2. Early Adulthood (25-34)",worksheet[[#This Row],[age]]&lt; 45,"3. Mid Adulthood (35-44)",worksheet[[#This Row],[age]]&lt; 55,"4. Mature Adulthood (45-54)",TRUE,"5. Late Adulthood/Senior (55+)")</f>
        <v>4. Mature Adulthood (45-54)</v>
      </c>
      <c r="D3450" t="s">
        <v>41</v>
      </c>
      <c r="E3450" t="s">
        <v>32</v>
      </c>
      <c r="F3450" s="4">
        <v>27.63</v>
      </c>
      <c r="G3450" s="5">
        <v>28</v>
      </c>
      <c r="H3450" t="s">
        <v>49</v>
      </c>
      <c r="I3450" t="s">
        <v>57</v>
      </c>
      <c r="J3450" s="6">
        <v>17.989999999999998</v>
      </c>
      <c r="K3450">
        <v>0</v>
      </c>
      <c r="L3450" t="s">
        <v>29</v>
      </c>
      <c r="M3450" s="5">
        <v>5</v>
      </c>
      <c r="N3450" s="4">
        <v>0.95</v>
      </c>
      <c r="O3450" t="s">
        <v>34</v>
      </c>
    </row>
    <row r="3451" spans="1:15" x14ac:dyDescent="0.3">
      <c r="A3451" t="s">
        <v>4973</v>
      </c>
      <c r="B3451" s="5">
        <v>46</v>
      </c>
      <c r="C3451" s="5" t="str" cm="1">
        <f t="array" ref="C3451">_xlfn.IFS(worksheet[[#This Row],[age]]&lt;25,"1. Young Adulthood (18-24)",worksheet[[#This Row],[age]]&lt; 35,"2. Early Adulthood (25-34)",worksheet[[#This Row],[age]]&lt; 45,"3. Mid Adulthood (35-44)",worksheet[[#This Row],[age]]&lt; 55,"4. Mature Adulthood (45-54)",TRUE,"5. Late Adulthood/Senior (55+)")</f>
        <v>4. Mature Adulthood (45-54)</v>
      </c>
      <c r="D3451" t="s">
        <v>27</v>
      </c>
      <c r="E3451" t="s">
        <v>32</v>
      </c>
      <c r="F3451" s="4">
        <v>4.6500000000000004</v>
      </c>
      <c r="G3451" s="5">
        <v>11</v>
      </c>
      <c r="H3451" t="s">
        <v>17</v>
      </c>
      <c r="I3451" t="s">
        <v>46</v>
      </c>
      <c r="J3451" s="6">
        <v>17.989999999999998</v>
      </c>
      <c r="K3451">
        <v>1</v>
      </c>
      <c r="L3451" t="s">
        <v>37</v>
      </c>
      <c r="M3451" s="5">
        <v>2</v>
      </c>
      <c r="N3451" s="4">
        <v>0.39</v>
      </c>
      <c r="O3451" t="s">
        <v>34</v>
      </c>
    </row>
    <row r="3452" spans="1:15" x14ac:dyDescent="0.3">
      <c r="A3452" t="s">
        <v>4978</v>
      </c>
      <c r="B3452" s="5">
        <v>53</v>
      </c>
      <c r="C3452" s="5" t="str" cm="1">
        <f t="array" ref="C3452">_xlfn.IFS(worksheet[[#This Row],[age]]&lt;25,"1. Young Adulthood (18-24)",worksheet[[#This Row],[age]]&lt; 35,"2. Early Adulthood (25-34)",worksheet[[#This Row],[age]]&lt; 45,"3. Mid Adulthood (35-44)",worksheet[[#This Row],[age]]&lt; 55,"4. Mature Adulthood (45-54)",TRUE,"5. Late Adulthood/Senior (55+)")</f>
        <v>4. Mature Adulthood (45-54)</v>
      </c>
      <c r="D3452" t="s">
        <v>27</v>
      </c>
      <c r="E3452" t="s">
        <v>16</v>
      </c>
      <c r="F3452" s="4">
        <v>33.71</v>
      </c>
      <c r="G3452" s="5">
        <v>42</v>
      </c>
      <c r="H3452" t="s">
        <v>17</v>
      </c>
      <c r="I3452" t="s">
        <v>57</v>
      </c>
      <c r="J3452" s="6">
        <v>8.99</v>
      </c>
      <c r="K3452">
        <v>0</v>
      </c>
      <c r="L3452" t="s">
        <v>37</v>
      </c>
      <c r="M3452" s="5">
        <v>4</v>
      </c>
      <c r="N3452" s="4">
        <v>0.78</v>
      </c>
      <c r="O3452" t="s">
        <v>52</v>
      </c>
    </row>
    <row r="3453" spans="1:15" x14ac:dyDescent="0.3">
      <c r="A3453" t="s">
        <v>4980</v>
      </c>
      <c r="B3453" s="5">
        <v>54</v>
      </c>
      <c r="C3453" s="5" t="str" cm="1">
        <f t="array" ref="C3453">_xlfn.IFS(worksheet[[#This Row],[age]]&lt;25,"1. Young Adulthood (18-24)",worksheet[[#This Row],[age]]&lt; 35,"2. Early Adulthood (25-34)",worksheet[[#This Row],[age]]&lt; 45,"3. Mid Adulthood (35-44)",worksheet[[#This Row],[age]]&lt; 55,"4. Mature Adulthood (45-54)",TRUE,"5. Late Adulthood/Senior (55+)")</f>
        <v>4. Mature Adulthood (45-54)</v>
      </c>
      <c r="D3453" t="s">
        <v>41</v>
      </c>
      <c r="E3453" t="s">
        <v>16</v>
      </c>
      <c r="F3453" s="4">
        <v>8.09</v>
      </c>
      <c r="G3453" s="5">
        <v>19</v>
      </c>
      <c r="H3453" t="s">
        <v>23</v>
      </c>
      <c r="I3453" t="s">
        <v>24</v>
      </c>
      <c r="J3453" s="6">
        <v>8.99</v>
      </c>
      <c r="K3453">
        <v>0</v>
      </c>
      <c r="L3453" t="s">
        <v>61</v>
      </c>
      <c r="M3453" s="5">
        <v>2</v>
      </c>
      <c r="N3453" s="4">
        <v>0.4</v>
      </c>
      <c r="O3453" t="s">
        <v>20</v>
      </c>
    </row>
    <row r="3454" spans="1:15" x14ac:dyDescent="0.3">
      <c r="A3454" t="s">
        <v>4981</v>
      </c>
      <c r="B3454" s="5">
        <v>54</v>
      </c>
      <c r="C3454" s="5" t="str" cm="1">
        <f t="array" ref="C3454">_xlfn.IFS(worksheet[[#This Row],[age]]&lt;25,"1. Young Adulthood (18-24)",worksheet[[#This Row],[age]]&lt; 35,"2. Early Adulthood (25-34)",worksheet[[#This Row],[age]]&lt; 45,"3. Mid Adulthood (35-44)",worksheet[[#This Row],[age]]&lt; 55,"4. Mature Adulthood (45-54)",TRUE,"5. Late Adulthood/Senior (55+)")</f>
        <v>4. Mature Adulthood (45-54)</v>
      </c>
      <c r="D3454" t="s">
        <v>15</v>
      </c>
      <c r="E3454" t="s">
        <v>32</v>
      </c>
      <c r="F3454" s="4">
        <v>7.4</v>
      </c>
      <c r="G3454" s="5">
        <v>52</v>
      </c>
      <c r="H3454" t="s">
        <v>49</v>
      </c>
      <c r="I3454" t="s">
        <v>57</v>
      </c>
      <c r="J3454" s="6">
        <v>17.989999999999998</v>
      </c>
      <c r="K3454">
        <v>1</v>
      </c>
      <c r="L3454" t="s">
        <v>37</v>
      </c>
      <c r="M3454" s="5">
        <v>1</v>
      </c>
      <c r="N3454" s="4">
        <v>0.14000000000000001</v>
      </c>
      <c r="O3454" t="s">
        <v>52</v>
      </c>
    </row>
    <row r="3455" spans="1:15" x14ac:dyDescent="0.3">
      <c r="A3455" t="s">
        <v>4984</v>
      </c>
      <c r="B3455" s="5">
        <v>49</v>
      </c>
      <c r="C3455" s="5" t="str" cm="1">
        <f t="array" ref="C3455">_xlfn.IFS(worksheet[[#This Row],[age]]&lt;25,"1. Young Adulthood (18-24)",worksheet[[#This Row],[age]]&lt; 35,"2. Early Adulthood (25-34)",worksheet[[#This Row],[age]]&lt; 45,"3. Mid Adulthood (35-44)",worksheet[[#This Row],[age]]&lt; 55,"4. Mature Adulthood (45-54)",TRUE,"5. Late Adulthood/Senior (55+)")</f>
        <v>4. Mature Adulthood (45-54)</v>
      </c>
      <c r="D3455" t="s">
        <v>15</v>
      </c>
      <c r="E3455" t="s">
        <v>16</v>
      </c>
      <c r="F3455" s="4">
        <v>53.75</v>
      </c>
      <c r="G3455" s="5">
        <v>55</v>
      </c>
      <c r="H3455" t="s">
        <v>70</v>
      </c>
      <c r="I3455" t="s">
        <v>24</v>
      </c>
      <c r="J3455" s="6">
        <v>8.99</v>
      </c>
      <c r="K3455">
        <v>0</v>
      </c>
      <c r="L3455" t="s">
        <v>61</v>
      </c>
      <c r="M3455" s="5">
        <v>3</v>
      </c>
      <c r="N3455" s="4">
        <v>0.96</v>
      </c>
      <c r="O3455" t="s">
        <v>25</v>
      </c>
    </row>
    <row r="3456" spans="1:15" x14ac:dyDescent="0.3">
      <c r="A3456" t="s">
        <v>4985</v>
      </c>
      <c r="B3456" s="5">
        <v>53</v>
      </c>
      <c r="C3456" s="5" t="str" cm="1">
        <f t="array" ref="C3456">_xlfn.IFS(worksheet[[#This Row],[age]]&lt;25,"1. Young Adulthood (18-24)",worksheet[[#This Row],[age]]&lt; 35,"2. Early Adulthood (25-34)",worksheet[[#This Row],[age]]&lt; 45,"3. Mid Adulthood (35-44)",worksheet[[#This Row],[age]]&lt; 55,"4. Mature Adulthood (45-54)",TRUE,"5. Late Adulthood/Senior (55+)")</f>
        <v>4. Mature Adulthood (45-54)</v>
      </c>
      <c r="D3456" t="s">
        <v>41</v>
      </c>
      <c r="E3456" t="s">
        <v>32</v>
      </c>
      <c r="F3456" s="4">
        <v>4.6900000000000004</v>
      </c>
      <c r="G3456" s="5">
        <v>8</v>
      </c>
      <c r="H3456" t="s">
        <v>28</v>
      </c>
      <c r="I3456" t="s">
        <v>24</v>
      </c>
      <c r="J3456" s="6">
        <v>17.989999999999998</v>
      </c>
      <c r="K3456">
        <v>0</v>
      </c>
      <c r="L3456" t="s">
        <v>29</v>
      </c>
      <c r="M3456" s="5">
        <v>5</v>
      </c>
      <c r="N3456" s="4">
        <v>0.52</v>
      </c>
      <c r="O3456" t="s">
        <v>34</v>
      </c>
    </row>
    <row r="3457" spans="1:15" x14ac:dyDescent="0.3">
      <c r="A3457" t="s">
        <v>4996</v>
      </c>
      <c r="B3457" s="5">
        <v>49</v>
      </c>
      <c r="C3457" s="5" t="str" cm="1">
        <f t="array" ref="C3457">_xlfn.IFS(worksheet[[#This Row],[age]]&lt;25,"1. Young Adulthood (18-24)",worksheet[[#This Row],[age]]&lt; 35,"2. Early Adulthood (25-34)",worksheet[[#This Row],[age]]&lt; 45,"3. Mid Adulthood (35-44)",worksheet[[#This Row],[age]]&lt; 55,"4. Mature Adulthood (45-54)",TRUE,"5. Late Adulthood/Senior (55+)")</f>
        <v>4. Mature Adulthood (45-54)</v>
      </c>
      <c r="D3457" t="s">
        <v>27</v>
      </c>
      <c r="E3457" t="s">
        <v>16</v>
      </c>
      <c r="F3457" s="4">
        <v>1.73</v>
      </c>
      <c r="G3457" s="5">
        <v>28</v>
      </c>
      <c r="H3457" t="s">
        <v>70</v>
      </c>
      <c r="I3457" t="s">
        <v>24</v>
      </c>
      <c r="J3457" s="6">
        <v>8.99</v>
      </c>
      <c r="K3457">
        <v>1</v>
      </c>
      <c r="L3457" t="s">
        <v>61</v>
      </c>
      <c r="M3457" s="5">
        <v>4</v>
      </c>
      <c r="N3457" s="4">
        <v>0.06</v>
      </c>
      <c r="O3457" t="s">
        <v>30</v>
      </c>
    </row>
    <row r="3458" spans="1:15" x14ac:dyDescent="0.3">
      <c r="A3458" t="s">
        <v>5007</v>
      </c>
      <c r="B3458" s="5">
        <v>46</v>
      </c>
      <c r="C3458" s="5" t="str" cm="1">
        <f t="array" ref="C3458">_xlfn.IFS(worksheet[[#This Row],[age]]&lt;25,"1. Young Adulthood (18-24)",worksheet[[#This Row],[age]]&lt; 35,"2. Early Adulthood (25-34)",worksheet[[#This Row],[age]]&lt; 45,"3. Mid Adulthood (35-44)",worksheet[[#This Row],[age]]&lt; 55,"4. Mature Adulthood (45-54)",TRUE,"5. Late Adulthood/Senior (55+)")</f>
        <v>4. Mature Adulthood (45-54)</v>
      </c>
      <c r="D3458" t="s">
        <v>15</v>
      </c>
      <c r="E3458" t="s">
        <v>32</v>
      </c>
      <c r="F3458" s="4">
        <v>4.1399999999999997</v>
      </c>
      <c r="G3458" s="5">
        <v>42</v>
      </c>
      <c r="H3458" t="s">
        <v>49</v>
      </c>
      <c r="I3458" t="s">
        <v>55</v>
      </c>
      <c r="J3458" s="6">
        <v>17.989999999999998</v>
      </c>
      <c r="K3458">
        <v>1</v>
      </c>
      <c r="L3458" t="s">
        <v>61</v>
      </c>
      <c r="M3458" s="5">
        <v>5</v>
      </c>
      <c r="N3458" s="4">
        <v>0.1</v>
      </c>
      <c r="O3458" t="s">
        <v>30</v>
      </c>
    </row>
    <row r="3459" spans="1:15" x14ac:dyDescent="0.3">
      <c r="A3459" t="s">
        <v>5010</v>
      </c>
      <c r="B3459" s="5">
        <v>46</v>
      </c>
      <c r="C3459" s="5" t="str" cm="1">
        <f t="array" ref="C3459">_xlfn.IFS(worksheet[[#This Row],[age]]&lt;25,"1. Young Adulthood (18-24)",worksheet[[#This Row],[age]]&lt; 35,"2. Early Adulthood (25-34)",worksheet[[#This Row],[age]]&lt; 45,"3. Mid Adulthood (35-44)",worksheet[[#This Row],[age]]&lt; 55,"4. Mature Adulthood (45-54)",TRUE,"5. Late Adulthood/Senior (55+)")</f>
        <v>4. Mature Adulthood (45-54)</v>
      </c>
      <c r="D3459" t="s">
        <v>41</v>
      </c>
      <c r="E3459" t="s">
        <v>22</v>
      </c>
      <c r="F3459" s="4">
        <v>8.7899999999999991</v>
      </c>
      <c r="G3459" s="5">
        <v>54</v>
      </c>
      <c r="H3459" t="s">
        <v>49</v>
      </c>
      <c r="I3459" t="s">
        <v>24</v>
      </c>
      <c r="J3459" s="6">
        <v>13.99</v>
      </c>
      <c r="K3459">
        <v>1</v>
      </c>
      <c r="L3459" t="s">
        <v>43</v>
      </c>
      <c r="M3459" s="5">
        <v>1</v>
      </c>
      <c r="N3459" s="4">
        <v>0.16</v>
      </c>
      <c r="O3459" t="s">
        <v>39</v>
      </c>
    </row>
    <row r="3460" spans="1:15" x14ac:dyDescent="0.3">
      <c r="A3460" t="s">
        <v>5025</v>
      </c>
      <c r="B3460" s="5">
        <v>53</v>
      </c>
      <c r="C3460" s="5" t="str" cm="1">
        <f t="array" ref="C3460">_xlfn.IFS(worksheet[[#This Row],[age]]&lt;25,"1. Young Adulthood (18-24)",worksheet[[#This Row],[age]]&lt; 35,"2. Early Adulthood (25-34)",worksheet[[#This Row],[age]]&lt; 45,"3. Mid Adulthood (35-44)",worksheet[[#This Row],[age]]&lt; 55,"4. Mature Adulthood (45-54)",TRUE,"5. Late Adulthood/Senior (55+)")</f>
        <v>4. Mature Adulthood (45-54)</v>
      </c>
      <c r="D3460" t="s">
        <v>41</v>
      </c>
      <c r="E3460" t="s">
        <v>22</v>
      </c>
      <c r="F3460" s="4">
        <v>7.31</v>
      </c>
      <c r="G3460" s="5">
        <v>17</v>
      </c>
      <c r="H3460" t="s">
        <v>33</v>
      </c>
      <c r="I3460" t="s">
        <v>46</v>
      </c>
      <c r="J3460" s="6">
        <v>13.99</v>
      </c>
      <c r="K3460">
        <v>0</v>
      </c>
      <c r="L3460" t="s">
        <v>37</v>
      </c>
      <c r="M3460" s="5">
        <v>4</v>
      </c>
      <c r="N3460" s="4">
        <v>0.41</v>
      </c>
      <c r="O3460" t="s">
        <v>20</v>
      </c>
    </row>
    <row r="3461" spans="1:15" x14ac:dyDescent="0.3">
      <c r="A3461" t="s">
        <v>5026</v>
      </c>
      <c r="B3461" s="5">
        <v>49</v>
      </c>
      <c r="C3461" s="5" t="str" cm="1">
        <f t="array" ref="C3461">_xlfn.IFS(worksheet[[#This Row],[age]]&lt;25,"1. Young Adulthood (18-24)",worksheet[[#This Row],[age]]&lt; 35,"2. Early Adulthood (25-34)",worksheet[[#This Row],[age]]&lt; 45,"3. Mid Adulthood (35-44)",worksheet[[#This Row],[age]]&lt; 55,"4. Mature Adulthood (45-54)",TRUE,"5. Late Adulthood/Senior (55+)")</f>
        <v>4. Mature Adulthood (45-54)</v>
      </c>
      <c r="D3461" t="s">
        <v>15</v>
      </c>
      <c r="E3461" t="s">
        <v>32</v>
      </c>
      <c r="F3461" s="4">
        <v>7.69</v>
      </c>
      <c r="G3461" s="5">
        <v>4</v>
      </c>
      <c r="H3461" t="s">
        <v>28</v>
      </c>
      <c r="I3461" t="s">
        <v>57</v>
      </c>
      <c r="J3461" s="6">
        <v>17.989999999999998</v>
      </c>
      <c r="K3461">
        <v>0</v>
      </c>
      <c r="L3461" t="s">
        <v>19</v>
      </c>
      <c r="M3461" s="5">
        <v>4</v>
      </c>
      <c r="N3461" s="4">
        <v>1.54</v>
      </c>
      <c r="O3461" t="s">
        <v>25</v>
      </c>
    </row>
    <row r="3462" spans="1:15" x14ac:dyDescent="0.3">
      <c r="A3462" t="s">
        <v>35</v>
      </c>
      <c r="B3462" s="5">
        <v>56</v>
      </c>
      <c r="C3462" s="5" t="str" cm="1">
        <f t="array" ref="C3462">_xlfn.IFS(worksheet[[#This Row],[age]]&lt;25,"1. Young Adulthood (18-24)",worksheet[[#This Row],[age]]&lt; 35,"2. Early Adulthood (25-34)",worksheet[[#This Row],[age]]&lt; 45,"3. Mid Adulthood (35-44)",worksheet[[#This Row],[age]]&lt; 55,"4. Mature Adulthood (45-54)",TRUE,"5. Late Adulthood/Senior (55+)")</f>
        <v>5. Late Adulthood/Senior (55+)</v>
      </c>
      <c r="D3462" t="s">
        <v>15</v>
      </c>
      <c r="E3462" t="s">
        <v>22</v>
      </c>
      <c r="F3462" s="4">
        <v>1.89</v>
      </c>
      <c r="G3462" s="5">
        <v>13</v>
      </c>
      <c r="H3462" t="s">
        <v>17</v>
      </c>
      <c r="I3462" t="s">
        <v>24</v>
      </c>
      <c r="J3462" s="6">
        <v>13.99</v>
      </c>
      <c r="K3462">
        <v>1</v>
      </c>
      <c r="L3462" t="s">
        <v>29</v>
      </c>
      <c r="M3462" s="5">
        <v>2</v>
      </c>
      <c r="N3462" s="4">
        <v>0.13</v>
      </c>
      <c r="O3462" t="s">
        <v>20</v>
      </c>
    </row>
    <row r="3463" spans="1:15" x14ac:dyDescent="0.3">
      <c r="A3463" t="s">
        <v>36</v>
      </c>
      <c r="B3463" s="5">
        <v>58</v>
      </c>
      <c r="C3463" s="5" t="str" cm="1">
        <f t="array" ref="C3463">_xlfn.IFS(worksheet[[#This Row],[age]]&lt;25,"1. Young Adulthood (18-24)",worksheet[[#This Row],[age]]&lt; 35,"2. Early Adulthood (25-34)",worksheet[[#This Row],[age]]&lt; 45,"3. Mid Adulthood (35-44)",worksheet[[#This Row],[age]]&lt; 55,"4. Mature Adulthood (45-54)",TRUE,"5. Late Adulthood/Senior (55+)")</f>
        <v>5. Late Adulthood/Senior (55+)</v>
      </c>
      <c r="D3463" t="s">
        <v>27</v>
      </c>
      <c r="E3463" t="s">
        <v>22</v>
      </c>
      <c r="F3463" s="4">
        <v>13.8</v>
      </c>
      <c r="G3463" s="5">
        <v>26</v>
      </c>
      <c r="H3463" t="s">
        <v>33</v>
      </c>
      <c r="I3463" t="s">
        <v>24</v>
      </c>
      <c r="J3463" s="6">
        <v>13.99</v>
      </c>
      <c r="K3463">
        <v>0</v>
      </c>
      <c r="L3463" t="s">
        <v>37</v>
      </c>
      <c r="M3463" s="5">
        <v>3</v>
      </c>
      <c r="N3463" s="4">
        <v>0.51</v>
      </c>
      <c r="O3463" t="s">
        <v>20</v>
      </c>
    </row>
    <row r="3464" spans="1:15" x14ac:dyDescent="0.3">
      <c r="A3464" t="s">
        <v>59</v>
      </c>
      <c r="B3464" s="5">
        <v>68</v>
      </c>
      <c r="C3464" s="5" t="str" cm="1">
        <f t="array" ref="C3464">_xlfn.IFS(worksheet[[#This Row],[age]]&lt;25,"1. Young Adulthood (18-24)",worksheet[[#This Row],[age]]&lt; 35,"2. Early Adulthood (25-34)",worksheet[[#This Row],[age]]&lt; 45,"3. Mid Adulthood (35-44)",worksheet[[#This Row],[age]]&lt; 55,"4. Mature Adulthood (45-54)",TRUE,"5. Late Adulthood/Senior (55+)")</f>
        <v>5. Late Adulthood/Senior (55+)</v>
      </c>
      <c r="D3464" t="s">
        <v>27</v>
      </c>
      <c r="E3464" t="s">
        <v>32</v>
      </c>
      <c r="F3464" s="4">
        <v>7.67</v>
      </c>
      <c r="G3464" s="5">
        <v>40</v>
      </c>
      <c r="H3464" t="s">
        <v>33</v>
      </c>
      <c r="I3464" t="s">
        <v>57</v>
      </c>
      <c r="J3464" s="6">
        <v>17.989999999999998</v>
      </c>
      <c r="K3464">
        <v>0</v>
      </c>
      <c r="L3464" t="s">
        <v>43</v>
      </c>
      <c r="M3464" s="5">
        <v>4</v>
      </c>
      <c r="N3464" s="4">
        <v>0.19</v>
      </c>
      <c r="O3464" t="s">
        <v>39</v>
      </c>
    </row>
    <row r="3465" spans="1:15" x14ac:dyDescent="0.3">
      <c r="A3465" t="s">
        <v>62</v>
      </c>
      <c r="B3465" s="5">
        <v>60</v>
      </c>
      <c r="C3465" s="5" t="str" cm="1">
        <f t="array" ref="C3465">_xlfn.IFS(worksheet[[#This Row],[age]]&lt;25,"1. Young Adulthood (18-24)",worksheet[[#This Row],[age]]&lt; 35,"2. Early Adulthood (25-34)",worksheet[[#This Row],[age]]&lt; 45,"3. Mid Adulthood (35-44)",worksheet[[#This Row],[age]]&lt; 55,"4. Mature Adulthood (45-54)",TRUE,"5. Late Adulthood/Senior (55+)")</f>
        <v>5. Late Adulthood/Senior (55+)</v>
      </c>
      <c r="D3465" t="s">
        <v>41</v>
      </c>
      <c r="E3465" t="s">
        <v>16</v>
      </c>
      <c r="F3465" s="4">
        <v>31.9</v>
      </c>
      <c r="G3465" s="5">
        <v>4</v>
      </c>
      <c r="H3465" t="s">
        <v>33</v>
      </c>
      <c r="I3465" t="s">
        <v>57</v>
      </c>
      <c r="J3465" s="6">
        <v>8.99</v>
      </c>
      <c r="K3465">
        <v>0</v>
      </c>
      <c r="L3465" t="s">
        <v>29</v>
      </c>
      <c r="M3465" s="5">
        <v>2</v>
      </c>
      <c r="N3465" s="4">
        <v>6.38</v>
      </c>
      <c r="O3465" t="s">
        <v>47</v>
      </c>
    </row>
    <row r="3466" spans="1:15" x14ac:dyDescent="0.3">
      <c r="A3466" t="s">
        <v>63</v>
      </c>
      <c r="B3466" s="5">
        <v>70</v>
      </c>
      <c r="C3466" s="5" t="str" cm="1">
        <f t="array" ref="C3466">_xlfn.IFS(worksheet[[#This Row],[age]]&lt;25,"1. Young Adulthood (18-24)",worksheet[[#This Row],[age]]&lt; 35,"2. Early Adulthood (25-34)",worksheet[[#This Row],[age]]&lt; 45,"3. Mid Adulthood (35-44)",worksheet[[#This Row],[age]]&lt; 55,"4. Mature Adulthood (45-54)",TRUE,"5. Late Adulthood/Senior (55+)")</f>
        <v>5. Late Adulthood/Senior (55+)</v>
      </c>
      <c r="D3466" t="s">
        <v>15</v>
      </c>
      <c r="E3466" t="s">
        <v>32</v>
      </c>
      <c r="F3466" s="4">
        <v>7.97</v>
      </c>
      <c r="G3466" s="5">
        <v>57</v>
      </c>
      <c r="H3466" t="s">
        <v>23</v>
      </c>
      <c r="I3466" t="s">
        <v>46</v>
      </c>
      <c r="J3466" s="6">
        <v>17.989999999999998</v>
      </c>
      <c r="K3466">
        <v>1</v>
      </c>
      <c r="L3466" t="s">
        <v>19</v>
      </c>
      <c r="M3466" s="5">
        <v>5</v>
      </c>
      <c r="N3466" s="4">
        <v>0.14000000000000001</v>
      </c>
      <c r="O3466" t="s">
        <v>30</v>
      </c>
    </row>
    <row r="3467" spans="1:15" x14ac:dyDescent="0.3">
      <c r="A3467" t="s">
        <v>66</v>
      </c>
      <c r="B3467" s="5">
        <v>55</v>
      </c>
      <c r="C3467" s="5" t="str" cm="1">
        <f t="array" ref="C3467">_xlfn.IFS(worksheet[[#This Row],[age]]&lt;25,"1. Young Adulthood (18-24)",worksheet[[#This Row],[age]]&lt; 35,"2. Early Adulthood (25-34)",worksheet[[#This Row],[age]]&lt; 45,"3. Mid Adulthood (35-44)",worksheet[[#This Row],[age]]&lt; 55,"4. Mature Adulthood (45-54)",TRUE,"5. Late Adulthood/Senior (55+)")</f>
        <v>5. Late Adulthood/Senior (55+)</v>
      </c>
      <c r="D3467" t="s">
        <v>15</v>
      </c>
      <c r="E3467" t="s">
        <v>16</v>
      </c>
      <c r="F3467" s="4">
        <v>24.58</v>
      </c>
      <c r="G3467" s="5">
        <v>18</v>
      </c>
      <c r="H3467" t="s">
        <v>28</v>
      </c>
      <c r="I3467" t="s">
        <v>55</v>
      </c>
      <c r="J3467" s="6">
        <v>8.99</v>
      </c>
      <c r="K3467">
        <v>0</v>
      </c>
      <c r="L3467" t="s">
        <v>37</v>
      </c>
      <c r="M3467" s="5">
        <v>1</v>
      </c>
      <c r="N3467" s="4">
        <v>1.29</v>
      </c>
      <c r="O3467" t="s">
        <v>52</v>
      </c>
    </row>
    <row r="3468" spans="1:15" x14ac:dyDescent="0.3">
      <c r="A3468" t="s">
        <v>71</v>
      </c>
      <c r="B3468" s="5">
        <v>69</v>
      </c>
      <c r="C3468" s="5" t="str" cm="1">
        <f t="array" ref="C3468">_xlfn.IFS(worksheet[[#This Row],[age]]&lt;25,"1. Young Adulthood (18-24)",worksheet[[#This Row],[age]]&lt; 35,"2. Early Adulthood (25-34)",worksheet[[#This Row],[age]]&lt; 45,"3. Mid Adulthood (35-44)",worksheet[[#This Row],[age]]&lt; 55,"4. Mature Adulthood (45-54)",TRUE,"5. Late Adulthood/Senior (55+)")</f>
        <v>5. Late Adulthood/Senior (55+)</v>
      </c>
      <c r="D3468" t="s">
        <v>27</v>
      </c>
      <c r="E3468" t="s">
        <v>16</v>
      </c>
      <c r="F3468" s="4">
        <v>24.56</v>
      </c>
      <c r="G3468" s="5">
        <v>53</v>
      </c>
      <c r="H3468" t="s">
        <v>33</v>
      </c>
      <c r="I3468" t="s">
        <v>46</v>
      </c>
      <c r="J3468" s="6">
        <v>8.99</v>
      </c>
      <c r="K3468">
        <v>1</v>
      </c>
      <c r="L3468" t="s">
        <v>19</v>
      </c>
      <c r="M3468" s="5">
        <v>1</v>
      </c>
      <c r="N3468" s="4">
        <v>0.45</v>
      </c>
      <c r="O3468" t="s">
        <v>20</v>
      </c>
    </row>
    <row r="3469" spans="1:15" x14ac:dyDescent="0.3">
      <c r="A3469" t="s">
        <v>74</v>
      </c>
      <c r="B3469" s="5">
        <v>67</v>
      </c>
      <c r="C3469" s="5" t="str" cm="1">
        <f t="array" ref="C3469">_xlfn.IFS(worksheet[[#This Row],[age]]&lt;25,"1. Young Adulthood (18-24)",worksheet[[#This Row],[age]]&lt; 35,"2. Early Adulthood (25-34)",worksheet[[#This Row],[age]]&lt; 45,"3. Mid Adulthood (35-44)",worksheet[[#This Row],[age]]&lt; 55,"4. Mature Adulthood (45-54)",TRUE,"5. Late Adulthood/Senior (55+)")</f>
        <v>5. Late Adulthood/Senior (55+)</v>
      </c>
      <c r="D3469" t="s">
        <v>41</v>
      </c>
      <c r="E3469" t="s">
        <v>22</v>
      </c>
      <c r="F3469" s="4">
        <v>3.05</v>
      </c>
      <c r="G3469" s="5">
        <v>29</v>
      </c>
      <c r="H3469" t="s">
        <v>33</v>
      </c>
      <c r="I3469" t="s">
        <v>57</v>
      </c>
      <c r="J3469" s="6">
        <v>13.99</v>
      </c>
      <c r="K3469">
        <v>1</v>
      </c>
      <c r="L3469" t="s">
        <v>43</v>
      </c>
      <c r="M3469" s="5">
        <v>1</v>
      </c>
      <c r="N3469" s="4">
        <v>0.1</v>
      </c>
      <c r="O3469" t="s">
        <v>30</v>
      </c>
    </row>
    <row r="3470" spans="1:15" x14ac:dyDescent="0.3">
      <c r="A3470" t="s">
        <v>76</v>
      </c>
      <c r="B3470" s="5">
        <v>67</v>
      </c>
      <c r="C3470" s="5" t="str" cm="1">
        <f t="array" ref="C3470">_xlfn.IFS(worksheet[[#This Row],[age]]&lt;25,"1. Young Adulthood (18-24)",worksheet[[#This Row],[age]]&lt; 35,"2. Early Adulthood (25-34)",worksheet[[#This Row],[age]]&lt; 45,"3. Mid Adulthood (35-44)",worksheet[[#This Row],[age]]&lt; 55,"4. Mature Adulthood (45-54)",TRUE,"5. Late Adulthood/Senior (55+)")</f>
        <v>5. Late Adulthood/Senior (55+)</v>
      </c>
      <c r="D3470" t="s">
        <v>41</v>
      </c>
      <c r="E3470" t="s">
        <v>16</v>
      </c>
      <c r="F3470" s="4">
        <v>1.56</v>
      </c>
      <c r="G3470" s="5">
        <v>0</v>
      </c>
      <c r="H3470" t="s">
        <v>33</v>
      </c>
      <c r="I3470" t="s">
        <v>55</v>
      </c>
      <c r="J3470" s="6">
        <v>8.99</v>
      </c>
      <c r="K3470">
        <v>0</v>
      </c>
      <c r="L3470" t="s">
        <v>29</v>
      </c>
      <c r="M3470" s="5">
        <v>5</v>
      </c>
      <c r="N3470" s="4">
        <v>1.56</v>
      </c>
      <c r="O3470" t="s">
        <v>52</v>
      </c>
    </row>
    <row r="3471" spans="1:15" x14ac:dyDescent="0.3">
      <c r="A3471" t="s">
        <v>77</v>
      </c>
      <c r="B3471" s="5">
        <v>57</v>
      </c>
      <c r="C3471" s="5" t="str" cm="1">
        <f t="array" ref="C3471">_xlfn.IFS(worksheet[[#This Row],[age]]&lt;25,"1. Young Adulthood (18-24)",worksheet[[#This Row],[age]]&lt; 35,"2. Early Adulthood (25-34)",worksheet[[#This Row],[age]]&lt; 45,"3. Mid Adulthood (35-44)",worksheet[[#This Row],[age]]&lt; 55,"4. Mature Adulthood (45-54)",TRUE,"5. Late Adulthood/Senior (55+)")</f>
        <v>5. Late Adulthood/Senior (55+)</v>
      </c>
      <c r="D3471" t="s">
        <v>41</v>
      </c>
      <c r="E3471" t="s">
        <v>32</v>
      </c>
      <c r="F3471" s="4">
        <v>0.97</v>
      </c>
      <c r="G3471" s="5">
        <v>32</v>
      </c>
      <c r="H3471" t="s">
        <v>49</v>
      </c>
      <c r="I3471" t="s">
        <v>24</v>
      </c>
      <c r="J3471" s="6">
        <v>17.989999999999998</v>
      </c>
      <c r="K3471">
        <v>1</v>
      </c>
      <c r="L3471" t="s">
        <v>19</v>
      </c>
      <c r="M3471" s="5">
        <v>2</v>
      </c>
      <c r="N3471" s="4">
        <v>0.03</v>
      </c>
      <c r="O3471" t="s">
        <v>47</v>
      </c>
    </row>
    <row r="3472" spans="1:15" x14ac:dyDescent="0.3">
      <c r="A3472" t="s">
        <v>78</v>
      </c>
      <c r="B3472" s="5">
        <v>55</v>
      </c>
      <c r="C3472" s="5" t="str" cm="1">
        <f t="array" ref="C3472">_xlfn.IFS(worksheet[[#This Row],[age]]&lt;25,"1. Young Adulthood (18-24)",worksheet[[#This Row],[age]]&lt; 35,"2. Early Adulthood (25-34)",worksheet[[#This Row],[age]]&lt; 45,"3. Mid Adulthood (35-44)",worksheet[[#This Row],[age]]&lt; 55,"4. Mature Adulthood (45-54)",TRUE,"5. Late Adulthood/Senior (55+)")</f>
        <v>5. Late Adulthood/Senior (55+)</v>
      </c>
      <c r="D3472" t="s">
        <v>15</v>
      </c>
      <c r="E3472" t="s">
        <v>22</v>
      </c>
      <c r="F3472" s="4">
        <v>21.58</v>
      </c>
      <c r="G3472" s="5">
        <v>48</v>
      </c>
      <c r="H3472" t="s">
        <v>70</v>
      </c>
      <c r="I3472" t="s">
        <v>24</v>
      </c>
      <c r="J3472" s="6">
        <v>13.99</v>
      </c>
      <c r="K3472">
        <v>0</v>
      </c>
      <c r="L3472" t="s">
        <v>61</v>
      </c>
      <c r="M3472" s="5">
        <v>5</v>
      </c>
      <c r="N3472" s="4">
        <v>0.44</v>
      </c>
      <c r="O3472" t="s">
        <v>39</v>
      </c>
    </row>
    <row r="3473" spans="1:15" x14ac:dyDescent="0.3">
      <c r="A3473" t="s">
        <v>85</v>
      </c>
      <c r="B3473" s="5">
        <v>55</v>
      </c>
      <c r="C3473" s="5" t="str" cm="1">
        <f t="array" ref="C3473">_xlfn.IFS(worksheet[[#This Row],[age]]&lt;25,"1. Young Adulthood (18-24)",worksheet[[#This Row],[age]]&lt; 35,"2. Early Adulthood (25-34)",worksheet[[#This Row],[age]]&lt; 45,"3. Mid Adulthood (35-44)",worksheet[[#This Row],[age]]&lt; 55,"4. Mature Adulthood (45-54)",TRUE,"5. Late Adulthood/Senior (55+)")</f>
        <v>5. Late Adulthood/Senior (55+)</v>
      </c>
      <c r="D3473" t="s">
        <v>15</v>
      </c>
      <c r="E3473" t="s">
        <v>32</v>
      </c>
      <c r="F3473" s="4">
        <v>3.86</v>
      </c>
      <c r="G3473" s="5">
        <v>25</v>
      </c>
      <c r="H3473" t="s">
        <v>23</v>
      </c>
      <c r="I3473" t="s">
        <v>57</v>
      </c>
      <c r="J3473" s="6">
        <v>17.989999999999998</v>
      </c>
      <c r="K3473">
        <v>1</v>
      </c>
      <c r="L3473" t="s">
        <v>43</v>
      </c>
      <c r="M3473" s="5">
        <v>3</v>
      </c>
      <c r="N3473" s="4">
        <v>0.15</v>
      </c>
      <c r="O3473" t="s">
        <v>20</v>
      </c>
    </row>
    <row r="3474" spans="1:15" x14ac:dyDescent="0.3">
      <c r="A3474" t="s">
        <v>94</v>
      </c>
      <c r="B3474" s="5">
        <v>58</v>
      </c>
      <c r="C3474" s="5" t="str" cm="1">
        <f t="array" ref="C3474">_xlfn.IFS(worksheet[[#This Row],[age]]&lt;25,"1. Young Adulthood (18-24)",worksheet[[#This Row],[age]]&lt; 35,"2. Early Adulthood (25-34)",worksheet[[#This Row],[age]]&lt; 45,"3. Mid Adulthood (35-44)",worksheet[[#This Row],[age]]&lt; 55,"4. Mature Adulthood (45-54)",TRUE,"5. Late Adulthood/Senior (55+)")</f>
        <v>5. Late Adulthood/Senior (55+)</v>
      </c>
      <c r="D3474" t="s">
        <v>41</v>
      </c>
      <c r="E3474" t="s">
        <v>22</v>
      </c>
      <c r="F3474" s="4">
        <v>14.57</v>
      </c>
      <c r="G3474" s="5">
        <v>22</v>
      </c>
      <c r="H3474" t="s">
        <v>70</v>
      </c>
      <c r="I3474" t="s">
        <v>24</v>
      </c>
      <c r="J3474" s="6">
        <v>13.99</v>
      </c>
      <c r="K3474">
        <v>0</v>
      </c>
      <c r="L3474" t="s">
        <v>37</v>
      </c>
      <c r="M3474" s="5">
        <v>2</v>
      </c>
      <c r="N3474" s="4">
        <v>0.63</v>
      </c>
      <c r="O3474" t="s">
        <v>39</v>
      </c>
    </row>
    <row r="3475" spans="1:15" x14ac:dyDescent="0.3">
      <c r="A3475" t="s">
        <v>95</v>
      </c>
      <c r="B3475" s="5">
        <v>63</v>
      </c>
      <c r="C3475" s="5" t="str" cm="1">
        <f t="array" ref="C3475">_xlfn.IFS(worksheet[[#This Row],[age]]&lt;25,"1. Young Adulthood (18-24)",worksheet[[#This Row],[age]]&lt; 35,"2. Early Adulthood (25-34)",worksheet[[#This Row],[age]]&lt; 45,"3. Mid Adulthood (35-44)",worksheet[[#This Row],[age]]&lt; 55,"4. Mature Adulthood (45-54)",TRUE,"5. Late Adulthood/Senior (55+)")</f>
        <v>5. Late Adulthood/Senior (55+)</v>
      </c>
      <c r="D3475" t="s">
        <v>15</v>
      </c>
      <c r="E3475" t="s">
        <v>22</v>
      </c>
      <c r="F3475" s="4">
        <v>25.73</v>
      </c>
      <c r="G3475" s="5">
        <v>11</v>
      </c>
      <c r="H3475" t="s">
        <v>17</v>
      </c>
      <c r="I3475" t="s">
        <v>18</v>
      </c>
      <c r="J3475" s="6">
        <v>13.99</v>
      </c>
      <c r="K3475">
        <v>0</v>
      </c>
      <c r="L3475" t="s">
        <v>43</v>
      </c>
      <c r="M3475" s="5">
        <v>1</v>
      </c>
      <c r="N3475" s="4">
        <v>2.14</v>
      </c>
      <c r="O3475" t="s">
        <v>47</v>
      </c>
    </row>
    <row r="3476" spans="1:15" x14ac:dyDescent="0.3">
      <c r="A3476" t="s">
        <v>96</v>
      </c>
      <c r="B3476" s="5">
        <v>60</v>
      </c>
      <c r="C3476" s="5" t="str" cm="1">
        <f t="array" ref="C3476">_xlfn.IFS(worksheet[[#This Row],[age]]&lt;25,"1. Young Adulthood (18-24)",worksheet[[#This Row],[age]]&lt; 35,"2. Early Adulthood (25-34)",worksheet[[#This Row],[age]]&lt; 45,"3. Mid Adulthood (35-44)",worksheet[[#This Row],[age]]&lt; 55,"4. Mature Adulthood (45-54)",TRUE,"5. Late Adulthood/Senior (55+)")</f>
        <v>5. Late Adulthood/Senior (55+)</v>
      </c>
      <c r="D3476" t="s">
        <v>41</v>
      </c>
      <c r="E3476" t="s">
        <v>22</v>
      </c>
      <c r="F3476" s="4">
        <v>3.01</v>
      </c>
      <c r="G3476" s="5">
        <v>30</v>
      </c>
      <c r="H3476" t="s">
        <v>28</v>
      </c>
      <c r="I3476" t="s">
        <v>55</v>
      </c>
      <c r="J3476" s="6">
        <v>13.99</v>
      </c>
      <c r="K3476">
        <v>1</v>
      </c>
      <c r="L3476" t="s">
        <v>19</v>
      </c>
      <c r="M3476" s="5">
        <v>3</v>
      </c>
      <c r="N3476" s="4">
        <v>0.1</v>
      </c>
      <c r="O3476" t="s">
        <v>52</v>
      </c>
    </row>
    <row r="3477" spans="1:15" x14ac:dyDescent="0.3">
      <c r="A3477" t="s">
        <v>97</v>
      </c>
      <c r="B3477" s="5">
        <v>66</v>
      </c>
      <c r="C3477" s="5" t="str" cm="1">
        <f t="array" ref="C3477">_xlfn.IFS(worksheet[[#This Row],[age]]&lt;25,"1. Young Adulthood (18-24)",worksheet[[#This Row],[age]]&lt; 35,"2. Early Adulthood (25-34)",worksheet[[#This Row],[age]]&lt; 45,"3. Mid Adulthood (35-44)",worksheet[[#This Row],[age]]&lt; 55,"4. Mature Adulthood (45-54)",TRUE,"5. Late Adulthood/Senior (55+)")</f>
        <v>5. Late Adulthood/Senior (55+)</v>
      </c>
      <c r="D3477" t="s">
        <v>41</v>
      </c>
      <c r="E3477" t="s">
        <v>16</v>
      </c>
      <c r="F3477" s="4">
        <v>12.05</v>
      </c>
      <c r="G3477" s="5">
        <v>33</v>
      </c>
      <c r="H3477" t="s">
        <v>49</v>
      </c>
      <c r="I3477" t="s">
        <v>57</v>
      </c>
      <c r="J3477" s="6">
        <v>8.99</v>
      </c>
      <c r="K3477">
        <v>1</v>
      </c>
      <c r="L3477" t="s">
        <v>43</v>
      </c>
      <c r="M3477" s="5">
        <v>3</v>
      </c>
      <c r="N3477" s="4">
        <v>0.35</v>
      </c>
      <c r="O3477" t="s">
        <v>30</v>
      </c>
    </row>
    <row r="3478" spans="1:15" x14ac:dyDescent="0.3">
      <c r="A3478" t="s">
        <v>99</v>
      </c>
      <c r="B3478" s="5">
        <v>63</v>
      </c>
      <c r="C3478" s="5" t="str" cm="1">
        <f t="array" ref="C3478">_xlfn.IFS(worksheet[[#This Row],[age]]&lt;25,"1. Young Adulthood (18-24)",worksheet[[#This Row],[age]]&lt; 35,"2. Early Adulthood (25-34)",worksheet[[#This Row],[age]]&lt; 45,"3. Mid Adulthood (35-44)",worksheet[[#This Row],[age]]&lt; 55,"4. Mature Adulthood (45-54)",TRUE,"5. Late Adulthood/Senior (55+)")</f>
        <v>5. Late Adulthood/Senior (55+)</v>
      </c>
      <c r="D3478" t="s">
        <v>41</v>
      </c>
      <c r="E3478" t="s">
        <v>32</v>
      </c>
      <c r="F3478" s="4">
        <v>5.84</v>
      </c>
      <c r="G3478" s="5">
        <v>20</v>
      </c>
      <c r="H3478" t="s">
        <v>33</v>
      </c>
      <c r="I3478" t="s">
        <v>24</v>
      </c>
      <c r="J3478" s="6">
        <v>17.989999999999998</v>
      </c>
      <c r="K3478">
        <v>0</v>
      </c>
      <c r="L3478" t="s">
        <v>61</v>
      </c>
      <c r="M3478" s="5">
        <v>1</v>
      </c>
      <c r="N3478" s="4">
        <v>0.28000000000000003</v>
      </c>
      <c r="O3478" t="s">
        <v>52</v>
      </c>
    </row>
    <row r="3479" spans="1:15" x14ac:dyDescent="0.3">
      <c r="A3479" t="s">
        <v>101</v>
      </c>
      <c r="B3479" s="5">
        <v>55</v>
      </c>
      <c r="C3479" s="5" t="str" cm="1">
        <f t="array" ref="C3479">_xlfn.IFS(worksheet[[#This Row],[age]]&lt;25,"1. Young Adulthood (18-24)",worksheet[[#This Row],[age]]&lt; 35,"2. Early Adulthood (25-34)",worksheet[[#This Row],[age]]&lt; 45,"3. Mid Adulthood (35-44)",worksheet[[#This Row],[age]]&lt; 55,"4. Mature Adulthood (45-54)",TRUE,"5. Late Adulthood/Senior (55+)")</f>
        <v>5. Late Adulthood/Senior (55+)</v>
      </c>
      <c r="D3479" t="s">
        <v>15</v>
      </c>
      <c r="E3479" t="s">
        <v>22</v>
      </c>
      <c r="F3479" s="4">
        <v>2.89</v>
      </c>
      <c r="G3479" s="5">
        <v>37</v>
      </c>
      <c r="H3479" t="s">
        <v>70</v>
      </c>
      <c r="I3479" t="s">
        <v>55</v>
      </c>
      <c r="J3479" s="6">
        <v>13.99</v>
      </c>
      <c r="K3479">
        <v>1</v>
      </c>
      <c r="L3479" t="s">
        <v>37</v>
      </c>
      <c r="M3479" s="5">
        <v>4</v>
      </c>
      <c r="N3479" s="4">
        <v>0.08</v>
      </c>
      <c r="O3479" t="s">
        <v>20</v>
      </c>
    </row>
    <row r="3480" spans="1:15" x14ac:dyDescent="0.3">
      <c r="A3480" t="s">
        <v>103</v>
      </c>
      <c r="B3480" s="5">
        <v>65</v>
      </c>
      <c r="C3480" s="5" t="str" cm="1">
        <f t="array" ref="C3480">_xlfn.IFS(worksheet[[#This Row],[age]]&lt;25,"1. Young Adulthood (18-24)",worksheet[[#This Row],[age]]&lt; 35,"2. Early Adulthood (25-34)",worksheet[[#This Row],[age]]&lt; 45,"3. Mid Adulthood (35-44)",worksheet[[#This Row],[age]]&lt; 55,"4. Mature Adulthood (45-54)",TRUE,"5. Late Adulthood/Senior (55+)")</f>
        <v>5. Late Adulthood/Senior (55+)</v>
      </c>
      <c r="D3480" t="s">
        <v>15</v>
      </c>
      <c r="E3480" t="s">
        <v>22</v>
      </c>
      <c r="F3480" s="4">
        <v>19.329999999999998</v>
      </c>
      <c r="G3480" s="5">
        <v>31</v>
      </c>
      <c r="H3480" t="s">
        <v>70</v>
      </c>
      <c r="I3480" t="s">
        <v>55</v>
      </c>
      <c r="J3480" s="6">
        <v>13.99</v>
      </c>
      <c r="K3480">
        <v>0</v>
      </c>
      <c r="L3480" t="s">
        <v>61</v>
      </c>
      <c r="M3480" s="5">
        <v>1</v>
      </c>
      <c r="N3480" s="4">
        <v>0.6</v>
      </c>
      <c r="O3480" t="s">
        <v>47</v>
      </c>
    </row>
    <row r="3481" spans="1:15" x14ac:dyDescent="0.3">
      <c r="A3481" t="s">
        <v>105</v>
      </c>
      <c r="B3481" s="5">
        <v>63</v>
      </c>
      <c r="C3481" s="5" t="str" cm="1">
        <f t="array" ref="C3481">_xlfn.IFS(worksheet[[#This Row],[age]]&lt;25,"1. Young Adulthood (18-24)",worksheet[[#This Row],[age]]&lt; 35,"2. Early Adulthood (25-34)",worksheet[[#This Row],[age]]&lt; 45,"3. Mid Adulthood (35-44)",worksheet[[#This Row],[age]]&lt; 55,"4. Mature Adulthood (45-54)",TRUE,"5. Late Adulthood/Senior (55+)")</f>
        <v>5. Late Adulthood/Senior (55+)</v>
      </c>
      <c r="D3481" t="s">
        <v>41</v>
      </c>
      <c r="E3481" t="s">
        <v>32</v>
      </c>
      <c r="F3481" s="4">
        <v>6.97</v>
      </c>
      <c r="G3481" s="5">
        <v>31</v>
      </c>
      <c r="H3481" t="s">
        <v>70</v>
      </c>
      <c r="I3481" t="s">
        <v>57</v>
      </c>
      <c r="J3481" s="6">
        <v>17.989999999999998</v>
      </c>
      <c r="K3481">
        <v>1</v>
      </c>
      <c r="L3481" t="s">
        <v>29</v>
      </c>
      <c r="M3481" s="5">
        <v>1</v>
      </c>
      <c r="N3481" s="4">
        <v>0.22</v>
      </c>
      <c r="O3481" t="s">
        <v>39</v>
      </c>
    </row>
    <row r="3482" spans="1:15" x14ac:dyDescent="0.3">
      <c r="A3482" t="s">
        <v>106</v>
      </c>
      <c r="B3482" s="5">
        <v>64</v>
      </c>
      <c r="C3482" s="5" t="str" cm="1">
        <f t="array" ref="C3482">_xlfn.IFS(worksheet[[#This Row],[age]]&lt;25,"1. Young Adulthood (18-24)",worksheet[[#This Row],[age]]&lt; 35,"2. Early Adulthood (25-34)",worksheet[[#This Row],[age]]&lt; 45,"3. Mid Adulthood (35-44)",worksheet[[#This Row],[age]]&lt; 55,"4. Mature Adulthood (45-54)",TRUE,"5. Late Adulthood/Senior (55+)")</f>
        <v>5. Late Adulthood/Senior (55+)</v>
      </c>
      <c r="D3482" t="s">
        <v>27</v>
      </c>
      <c r="E3482" t="s">
        <v>22</v>
      </c>
      <c r="F3482" s="4">
        <v>3.66</v>
      </c>
      <c r="G3482" s="5">
        <v>6</v>
      </c>
      <c r="H3482" t="s">
        <v>17</v>
      </c>
      <c r="I3482" t="s">
        <v>24</v>
      </c>
      <c r="J3482" s="6">
        <v>13.99</v>
      </c>
      <c r="K3482">
        <v>0</v>
      </c>
      <c r="L3482" t="s">
        <v>43</v>
      </c>
      <c r="M3482" s="5">
        <v>1</v>
      </c>
      <c r="N3482" s="4">
        <v>0.52</v>
      </c>
      <c r="O3482" t="s">
        <v>39</v>
      </c>
    </row>
    <row r="3483" spans="1:15" x14ac:dyDescent="0.3">
      <c r="A3483" t="s">
        <v>107</v>
      </c>
      <c r="B3483" s="5">
        <v>58</v>
      </c>
      <c r="C3483" s="5" t="str" cm="1">
        <f t="array" ref="C3483">_xlfn.IFS(worksheet[[#This Row],[age]]&lt;25,"1. Young Adulthood (18-24)",worksheet[[#This Row],[age]]&lt; 35,"2. Early Adulthood (25-34)",worksheet[[#This Row],[age]]&lt; 45,"3. Mid Adulthood (35-44)",worksheet[[#This Row],[age]]&lt; 55,"4. Mature Adulthood (45-54)",TRUE,"5. Late Adulthood/Senior (55+)")</f>
        <v>5. Late Adulthood/Senior (55+)</v>
      </c>
      <c r="D3483" t="s">
        <v>27</v>
      </c>
      <c r="E3483" t="s">
        <v>16</v>
      </c>
      <c r="F3483" s="4">
        <v>30.85</v>
      </c>
      <c r="G3483" s="5">
        <v>46</v>
      </c>
      <c r="H3483" t="s">
        <v>70</v>
      </c>
      <c r="I3483" t="s">
        <v>24</v>
      </c>
      <c r="J3483" s="6">
        <v>8.99</v>
      </c>
      <c r="K3483">
        <v>0</v>
      </c>
      <c r="L3483" t="s">
        <v>37</v>
      </c>
      <c r="M3483" s="5">
        <v>5</v>
      </c>
      <c r="N3483" s="4">
        <v>0.66</v>
      </c>
      <c r="O3483" t="s">
        <v>20</v>
      </c>
    </row>
    <row r="3484" spans="1:15" x14ac:dyDescent="0.3">
      <c r="A3484" t="s">
        <v>109</v>
      </c>
      <c r="B3484" s="5">
        <v>62</v>
      </c>
      <c r="C3484" s="5" t="str" cm="1">
        <f t="array" ref="C3484">_xlfn.IFS(worksheet[[#This Row],[age]]&lt;25,"1. Young Adulthood (18-24)",worksheet[[#This Row],[age]]&lt; 35,"2. Early Adulthood (25-34)",worksheet[[#This Row],[age]]&lt; 45,"3. Mid Adulthood (35-44)",worksheet[[#This Row],[age]]&lt; 55,"4. Mature Adulthood (45-54)",TRUE,"5. Late Adulthood/Senior (55+)")</f>
        <v>5. Late Adulthood/Senior (55+)</v>
      </c>
      <c r="D3484" t="s">
        <v>15</v>
      </c>
      <c r="E3484" t="s">
        <v>22</v>
      </c>
      <c r="F3484" s="4">
        <v>16.649999999999999</v>
      </c>
      <c r="G3484" s="5">
        <v>41</v>
      </c>
      <c r="H3484" t="s">
        <v>70</v>
      </c>
      <c r="I3484" t="s">
        <v>57</v>
      </c>
      <c r="J3484" s="6">
        <v>13.99</v>
      </c>
      <c r="K3484">
        <v>1</v>
      </c>
      <c r="L3484" t="s">
        <v>37</v>
      </c>
      <c r="M3484" s="5">
        <v>3</v>
      </c>
      <c r="N3484" s="4">
        <v>0.4</v>
      </c>
      <c r="O3484" t="s">
        <v>39</v>
      </c>
    </row>
    <row r="3485" spans="1:15" x14ac:dyDescent="0.3">
      <c r="A3485" t="s">
        <v>112</v>
      </c>
      <c r="B3485" s="5">
        <v>65</v>
      </c>
      <c r="C3485" s="5" t="str" cm="1">
        <f t="array" ref="C3485">_xlfn.IFS(worksheet[[#This Row],[age]]&lt;25,"1. Young Adulthood (18-24)",worksheet[[#This Row],[age]]&lt; 35,"2. Early Adulthood (25-34)",worksheet[[#This Row],[age]]&lt; 45,"3. Mid Adulthood (35-44)",worksheet[[#This Row],[age]]&lt; 55,"4. Mature Adulthood (45-54)",TRUE,"5. Late Adulthood/Senior (55+)")</f>
        <v>5. Late Adulthood/Senior (55+)</v>
      </c>
      <c r="D3485" t="s">
        <v>15</v>
      </c>
      <c r="E3485" t="s">
        <v>32</v>
      </c>
      <c r="F3485" s="4">
        <v>37.82</v>
      </c>
      <c r="G3485" s="5">
        <v>31</v>
      </c>
      <c r="H3485" t="s">
        <v>33</v>
      </c>
      <c r="I3485" t="s">
        <v>57</v>
      </c>
      <c r="J3485" s="6">
        <v>17.989999999999998</v>
      </c>
      <c r="K3485">
        <v>0</v>
      </c>
      <c r="L3485" t="s">
        <v>19</v>
      </c>
      <c r="M3485" s="5">
        <v>3</v>
      </c>
      <c r="N3485" s="4">
        <v>1.18</v>
      </c>
      <c r="O3485" t="s">
        <v>25</v>
      </c>
    </row>
    <row r="3486" spans="1:15" x14ac:dyDescent="0.3">
      <c r="A3486" t="s">
        <v>113</v>
      </c>
      <c r="B3486" s="5">
        <v>68</v>
      </c>
      <c r="C3486" s="5" t="str" cm="1">
        <f t="array" ref="C3486">_xlfn.IFS(worksheet[[#This Row],[age]]&lt;25,"1. Young Adulthood (18-24)",worksheet[[#This Row],[age]]&lt; 35,"2. Early Adulthood (25-34)",worksheet[[#This Row],[age]]&lt; 45,"3. Mid Adulthood (35-44)",worksheet[[#This Row],[age]]&lt; 55,"4. Mature Adulthood (45-54)",TRUE,"5. Late Adulthood/Senior (55+)")</f>
        <v>5. Late Adulthood/Senior (55+)</v>
      </c>
      <c r="D3486" t="s">
        <v>41</v>
      </c>
      <c r="E3486" t="s">
        <v>22</v>
      </c>
      <c r="F3486" s="4">
        <v>28.44</v>
      </c>
      <c r="G3486" s="5">
        <v>55</v>
      </c>
      <c r="H3486" t="s">
        <v>23</v>
      </c>
      <c r="I3486" t="s">
        <v>46</v>
      </c>
      <c r="J3486" s="6">
        <v>13.99</v>
      </c>
      <c r="K3486">
        <v>0</v>
      </c>
      <c r="L3486" t="s">
        <v>29</v>
      </c>
      <c r="M3486" s="5">
        <v>3</v>
      </c>
      <c r="N3486" s="4">
        <v>0.51</v>
      </c>
      <c r="O3486" t="s">
        <v>39</v>
      </c>
    </row>
    <row r="3487" spans="1:15" x14ac:dyDescent="0.3">
      <c r="A3487" t="s">
        <v>115</v>
      </c>
      <c r="B3487" s="5">
        <v>62</v>
      </c>
      <c r="C3487" s="5" t="str" cm="1">
        <f t="array" ref="C3487">_xlfn.IFS(worksheet[[#This Row],[age]]&lt;25,"1. Young Adulthood (18-24)",worksheet[[#This Row],[age]]&lt; 35,"2. Early Adulthood (25-34)",worksheet[[#This Row],[age]]&lt; 45,"3. Mid Adulthood (35-44)",worksheet[[#This Row],[age]]&lt; 55,"4. Mature Adulthood (45-54)",TRUE,"5. Late Adulthood/Senior (55+)")</f>
        <v>5. Late Adulthood/Senior (55+)</v>
      </c>
      <c r="D3487" t="s">
        <v>27</v>
      </c>
      <c r="E3487" t="s">
        <v>22</v>
      </c>
      <c r="F3487" s="4">
        <v>14.8</v>
      </c>
      <c r="G3487" s="5">
        <v>40</v>
      </c>
      <c r="H3487" t="s">
        <v>49</v>
      </c>
      <c r="I3487" t="s">
        <v>24</v>
      </c>
      <c r="J3487" s="6">
        <v>13.99</v>
      </c>
      <c r="K3487">
        <v>1</v>
      </c>
      <c r="L3487" t="s">
        <v>29</v>
      </c>
      <c r="M3487" s="5">
        <v>5</v>
      </c>
      <c r="N3487" s="4">
        <v>0.36</v>
      </c>
      <c r="O3487" t="s">
        <v>30</v>
      </c>
    </row>
    <row r="3488" spans="1:15" x14ac:dyDescent="0.3">
      <c r="A3488" t="s">
        <v>116</v>
      </c>
      <c r="B3488" s="5">
        <v>63</v>
      </c>
      <c r="C3488" s="5" t="str" cm="1">
        <f t="array" ref="C3488">_xlfn.IFS(worksheet[[#This Row],[age]]&lt;25,"1. Young Adulthood (18-24)",worksheet[[#This Row],[age]]&lt; 35,"2. Early Adulthood (25-34)",worksheet[[#This Row],[age]]&lt; 45,"3. Mid Adulthood (35-44)",worksheet[[#This Row],[age]]&lt; 55,"4. Mature Adulthood (45-54)",TRUE,"5. Late Adulthood/Senior (55+)")</f>
        <v>5. Late Adulthood/Senior (55+)</v>
      </c>
      <c r="D3488" t="s">
        <v>15</v>
      </c>
      <c r="E3488" t="s">
        <v>32</v>
      </c>
      <c r="F3488" s="4">
        <v>3.39</v>
      </c>
      <c r="G3488" s="5">
        <v>57</v>
      </c>
      <c r="H3488" t="s">
        <v>49</v>
      </c>
      <c r="I3488" t="s">
        <v>24</v>
      </c>
      <c r="J3488" s="6">
        <v>17.989999999999998</v>
      </c>
      <c r="K3488">
        <v>1</v>
      </c>
      <c r="L3488" t="s">
        <v>43</v>
      </c>
      <c r="M3488" s="5">
        <v>4</v>
      </c>
      <c r="N3488" s="4">
        <v>0.06</v>
      </c>
      <c r="O3488" t="s">
        <v>25</v>
      </c>
    </row>
    <row r="3489" spans="1:15" x14ac:dyDescent="0.3">
      <c r="A3489" t="s">
        <v>117</v>
      </c>
      <c r="B3489" s="5">
        <v>62</v>
      </c>
      <c r="C3489" s="5" t="str" cm="1">
        <f t="array" ref="C3489">_xlfn.IFS(worksheet[[#This Row],[age]]&lt;25,"1. Young Adulthood (18-24)",worksheet[[#This Row],[age]]&lt; 35,"2. Early Adulthood (25-34)",worksheet[[#This Row],[age]]&lt; 45,"3. Mid Adulthood (35-44)",worksheet[[#This Row],[age]]&lt; 55,"4. Mature Adulthood (45-54)",TRUE,"5. Late Adulthood/Senior (55+)")</f>
        <v>5. Late Adulthood/Senior (55+)</v>
      </c>
      <c r="D3489" t="s">
        <v>27</v>
      </c>
      <c r="E3489" t="s">
        <v>32</v>
      </c>
      <c r="F3489" s="4">
        <v>13.15</v>
      </c>
      <c r="G3489" s="5">
        <v>11</v>
      </c>
      <c r="H3489" t="s">
        <v>33</v>
      </c>
      <c r="I3489" t="s">
        <v>55</v>
      </c>
      <c r="J3489" s="6">
        <v>17.989999999999998</v>
      </c>
      <c r="K3489">
        <v>0</v>
      </c>
      <c r="L3489" t="s">
        <v>37</v>
      </c>
      <c r="M3489" s="5">
        <v>1</v>
      </c>
      <c r="N3489" s="4">
        <v>1.1000000000000001</v>
      </c>
      <c r="O3489" t="s">
        <v>47</v>
      </c>
    </row>
    <row r="3490" spans="1:15" x14ac:dyDescent="0.3">
      <c r="A3490" t="s">
        <v>120</v>
      </c>
      <c r="B3490" s="5">
        <v>60</v>
      </c>
      <c r="C3490" s="5" t="str" cm="1">
        <f t="array" ref="C3490">_xlfn.IFS(worksheet[[#This Row],[age]]&lt;25,"1. Young Adulthood (18-24)",worksheet[[#This Row],[age]]&lt; 35,"2. Early Adulthood (25-34)",worksheet[[#This Row],[age]]&lt; 45,"3. Mid Adulthood (35-44)",worksheet[[#This Row],[age]]&lt; 55,"4. Mature Adulthood (45-54)",TRUE,"5. Late Adulthood/Senior (55+)")</f>
        <v>5. Late Adulthood/Senior (55+)</v>
      </c>
      <c r="D3490" t="s">
        <v>27</v>
      </c>
      <c r="E3490" t="s">
        <v>16</v>
      </c>
      <c r="F3490" s="4">
        <v>9.1300000000000008</v>
      </c>
      <c r="G3490" s="5">
        <v>43</v>
      </c>
      <c r="H3490" t="s">
        <v>70</v>
      </c>
      <c r="I3490" t="s">
        <v>46</v>
      </c>
      <c r="J3490" s="6">
        <v>8.99</v>
      </c>
      <c r="K3490">
        <v>1</v>
      </c>
      <c r="L3490" t="s">
        <v>37</v>
      </c>
      <c r="M3490" s="5">
        <v>1</v>
      </c>
      <c r="N3490" s="4">
        <v>0.21</v>
      </c>
      <c r="O3490" t="s">
        <v>52</v>
      </c>
    </row>
    <row r="3491" spans="1:15" x14ac:dyDescent="0.3">
      <c r="A3491" t="s">
        <v>121</v>
      </c>
      <c r="B3491" s="5">
        <v>60</v>
      </c>
      <c r="C3491" s="5" t="str" cm="1">
        <f t="array" ref="C3491">_xlfn.IFS(worksheet[[#This Row],[age]]&lt;25,"1. Young Adulthood (18-24)",worksheet[[#This Row],[age]]&lt; 35,"2. Early Adulthood (25-34)",worksheet[[#This Row],[age]]&lt; 45,"3. Mid Adulthood (35-44)",worksheet[[#This Row],[age]]&lt; 55,"4. Mature Adulthood (45-54)",TRUE,"5. Late Adulthood/Senior (55+)")</f>
        <v>5. Late Adulthood/Senior (55+)</v>
      </c>
      <c r="D3491" t="s">
        <v>41</v>
      </c>
      <c r="E3491" t="s">
        <v>32</v>
      </c>
      <c r="F3491" s="4">
        <v>3.29</v>
      </c>
      <c r="G3491" s="5">
        <v>20</v>
      </c>
      <c r="H3491" t="s">
        <v>28</v>
      </c>
      <c r="I3491" t="s">
        <v>24</v>
      </c>
      <c r="J3491" s="6">
        <v>17.989999999999998</v>
      </c>
      <c r="K3491">
        <v>1</v>
      </c>
      <c r="L3491" t="s">
        <v>37</v>
      </c>
      <c r="M3491" s="5">
        <v>2</v>
      </c>
      <c r="N3491" s="4">
        <v>0.16</v>
      </c>
      <c r="O3491" t="s">
        <v>30</v>
      </c>
    </row>
    <row r="3492" spans="1:15" x14ac:dyDescent="0.3">
      <c r="A3492" t="s">
        <v>122</v>
      </c>
      <c r="B3492" s="5">
        <v>58</v>
      </c>
      <c r="C3492" s="5" t="str" cm="1">
        <f t="array" ref="C3492">_xlfn.IFS(worksheet[[#This Row],[age]]&lt;25,"1. Young Adulthood (18-24)",worksheet[[#This Row],[age]]&lt; 35,"2. Early Adulthood (25-34)",worksheet[[#This Row],[age]]&lt; 45,"3. Mid Adulthood (35-44)",worksheet[[#This Row],[age]]&lt; 55,"4. Mature Adulthood (45-54)",TRUE,"5. Late Adulthood/Senior (55+)")</f>
        <v>5. Late Adulthood/Senior (55+)</v>
      </c>
      <c r="D3492" t="s">
        <v>27</v>
      </c>
      <c r="E3492" t="s">
        <v>22</v>
      </c>
      <c r="F3492" s="4">
        <v>9.52</v>
      </c>
      <c r="G3492" s="5">
        <v>51</v>
      </c>
      <c r="H3492" t="s">
        <v>23</v>
      </c>
      <c r="I3492" t="s">
        <v>46</v>
      </c>
      <c r="J3492" s="6">
        <v>13.99</v>
      </c>
      <c r="K3492">
        <v>1</v>
      </c>
      <c r="L3492" t="s">
        <v>43</v>
      </c>
      <c r="M3492" s="5">
        <v>1</v>
      </c>
      <c r="N3492" s="4">
        <v>0.18</v>
      </c>
      <c r="O3492" t="s">
        <v>25</v>
      </c>
    </row>
    <row r="3493" spans="1:15" x14ac:dyDescent="0.3">
      <c r="A3493" t="s">
        <v>128</v>
      </c>
      <c r="B3493" s="5">
        <v>62</v>
      </c>
      <c r="C3493" s="5" t="str" cm="1">
        <f t="array" ref="C3493">_xlfn.IFS(worksheet[[#This Row],[age]]&lt;25,"1. Young Adulthood (18-24)",worksheet[[#This Row],[age]]&lt; 35,"2. Early Adulthood (25-34)",worksheet[[#This Row],[age]]&lt; 45,"3. Mid Adulthood (35-44)",worksheet[[#This Row],[age]]&lt; 55,"4. Mature Adulthood (45-54)",TRUE,"5. Late Adulthood/Senior (55+)")</f>
        <v>5. Late Adulthood/Senior (55+)</v>
      </c>
      <c r="D3493" t="s">
        <v>27</v>
      </c>
      <c r="E3493" t="s">
        <v>32</v>
      </c>
      <c r="F3493" s="4">
        <v>0.45</v>
      </c>
      <c r="G3493" s="5">
        <v>20</v>
      </c>
      <c r="H3493" t="s">
        <v>23</v>
      </c>
      <c r="I3493" t="s">
        <v>57</v>
      </c>
      <c r="J3493" s="6">
        <v>17.989999999999998</v>
      </c>
      <c r="K3493">
        <v>0</v>
      </c>
      <c r="L3493" t="s">
        <v>37</v>
      </c>
      <c r="M3493" s="5">
        <v>5</v>
      </c>
      <c r="N3493" s="4">
        <v>0.02</v>
      </c>
      <c r="O3493" t="s">
        <v>25</v>
      </c>
    </row>
    <row r="3494" spans="1:15" x14ac:dyDescent="0.3">
      <c r="A3494" t="s">
        <v>130</v>
      </c>
      <c r="B3494" s="5">
        <v>61</v>
      </c>
      <c r="C3494" s="5" t="str" cm="1">
        <f t="array" ref="C3494">_xlfn.IFS(worksheet[[#This Row],[age]]&lt;25,"1. Young Adulthood (18-24)",worksheet[[#This Row],[age]]&lt; 35,"2. Early Adulthood (25-34)",worksheet[[#This Row],[age]]&lt; 45,"3. Mid Adulthood (35-44)",worksheet[[#This Row],[age]]&lt; 55,"4. Mature Adulthood (45-54)",TRUE,"5. Late Adulthood/Senior (55+)")</f>
        <v>5. Late Adulthood/Senior (55+)</v>
      </c>
      <c r="D3494" t="s">
        <v>27</v>
      </c>
      <c r="E3494" t="s">
        <v>22</v>
      </c>
      <c r="F3494" s="4">
        <v>4.5199999999999996</v>
      </c>
      <c r="G3494" s="5">
        <v>21</v>
      </c>
      <c r="H3494" t="s">
        <v>23</v>
      </c>
      <c r="I3494" t="s">
        <v>57</v>
      </c>
      <c r="J3494" s="6">
        <v>13.99</v>
      </c>
      <c r="K3494">
        <v>1</v>
      </c>
      <c r="L3494" t="s">
        <v>29</v>
      </c>
      <c r="M3494" s="5">
        <v>2</v>
      </c>
      <c r="N3494" s="4">
        <v>0.21</v>
      </c>
      <c r="O3494" t="s">
        <v>30</v>
      </c>
    </row>
    <row r="3495" spans="1:15" x14ac:dyDescent="0.3">
      <c r="A3495" t="s">
        <v>135</v>
      </c>
      <c r="B3495" s="5">
        <v>55</v>
      </c>
      <c r="C3495" s="5" t="str" cm="1">
        <f t="array" ref="C3495">_xlfn.IFS(worksheet[[#This Row],[age]]&lt;25,"1. Young Adulthood (18-24)",worksheet[[#This Row],[age]]&lt; 35,"2. Early Adulthood (25-34)",worksheet[[#This Row],[age]]&lt; 45,"3. Mid Adulthood (35-44)",worksheet[[#This Row],[age]]&lt; 55,"4. Mature Adulthood (45-54)",TRUE,"5. Late Adulthood/Senior (55+)")</f>
        <v>5. Late Adulthood/Senior (55+)</v>
      </c>
      <c r="D3495" t="s">
        <v>27</v>
      </c>
      <c r="E3495" t="s">
        <v>32</v>
      </c>
      <c r="F3495" s="4">
        <v>1.66</v>
      </c>
      <c r="G3495" s="5">
        <v>54</v>
      </c>
      <c r="H3495" t="s">
        <v>33</v>
      </c>
      <c r="I3495" t="s">
        <v>18</v>
      </c>
      <c r="J3495" s="6">
        <v>17.989999999999998</v>
      </c>
      <c r="K3495">
        <v>1</v>
      </c>
      <c r="L3495" t="s">
        <v>43</v>
      </c>
      <c r="M3495" s="5">
        <v>4</v>
      </c>
      <c r="N3495" s="4">
        <v>0.03</v>
      </c>
      <c r="O3495" t="s">
        <v>30</v>
      </c>
    </row>
    <row r="3496" spans="1:15" x14ac:dyDescent="0.3">
      <c r="A3496" t="s">
        <v>136</v>
      </c>
      <c r="B3496" s="5">
        <v>64</v>
      </c>
      <c r="C3496" s="5" t="str" cm="1">
        <f t="array" ref="C3496">_xlfn.IFS(worksheet[[#This Row],[age]]&lt;25,"1. Young Adulthood (18-24)",worksheet[[#This Row],[age]]&lt; 35,"2. Early Adulthood (25-34)",worksheet[[#This Row],[age]]&lt; 45,"3. Mid Adulthood (35-44)",worksheet[[#This Row],[age]]&lt; 55,"4. Mature Adulthood (45-54)",TRUE,"5. Late Adulthood/Senior (55+)")</f>
        <v>5. Late Adulthood/Senior (55+)</v>
      </c>
      <c r="D3496" t="s">
        <v>27</v>
      </c>
      <c r="E3496" t="s">
        <v>32</v>
      </c>
      <c r="F3496" s="4">
        <v>4.42</v>
      </c>
      <c r="G3496" s="5">
        <v>17</v>
      </c>
      <c r="H3496" t="s">
        <v>49</v>
      </c>
      <c r="I3496" t="s">
        <v>46</v>
      </c>
      <c r="J3496" s="6">
        <v>17.989999999999998</v>
      </c>
      <c r="K3496">
        <v>1</v>
      </c>
      <c r="L3496" t="s">
        <v>29</v>
      </c>
      <c r="M3496" s="5">
        <v>3</v>
      </c>
      <c r="N3496" s="4">
        <v>0.25</v>
      </c>
      <c r="O3496" t="s">
        <v>34</v>
      </c>
    </row>
    <row r="3497" spans="1:15" x14ac:dyDescent="0.3">
      <c r="A3497" t="s">
        <v>138</v>
      </c>
      <c r="B3497" s="5">
        <v>67</v>
      </c>
      <c r="C3497" s="5" t="str" cm="1">
        <f t="array" ref="C3497">_xlfn.IFS(worksheet[[#This Row],[age]]&lt;25,"1. Young Adulthood (18-24)",worksheet[[#This Row],[age]]&lt; 35,"2. Early Adulthood (25-34)",worksheet[[#This Row],[age]]&lt; 45,"3. Mid Adulthood (35-44)",worksheet[[#This Row],[age]]&lt; 55,"4. Mature Adulthood (45-54)",TRUE,"5. Late Adulthood/Senior (55+)")</f>
        <v>5. Late Adulthood/Senior (55+)</v>
      </c>
      <c r="D3497" t="s">
        <v>27</v>
      </c>
      <c r="E3497" t="s">
        <v>32</v>
      </c>
      <c r="F3497" s="4">
        <v>9.8699999999999992</v>
      </c>
      <c r="G3497" s="5">
        <v>6</v>
      </c>
      <c r="H3497" t="s">
        <v>23</v>
      </c>
      <c r="I3497" t="s">
        <v>18</v>
      </c>
      <c r="J3497" s="6">
        <v>17.989999999999998</v>
      </c>
      <c r="K3497">
        <v>0</v>
      </c>
      <c r="L3497" t="s">
        <v>43</v>
      </c>
      <c r="M3497" s="5">
        <v>3</v>
      </c>
      <c r="N3497" s="4">
        <v>1.41</v>
      </c>
      <c r="O3497" t="s">
        <v>20</v>
      </c>
    </row>
    <row r="3498" spans="1:15" x14ac:dyDescent="0.3">
      <c r="A3498" t="s">
        <v>152</v>
      </c>
      <c r="B3498" s="5">
        <v>61</v>
      </c>
      <c r="C3498" s="5" t="str" cm="1">
        <f t="array" ref="C3498">_xlfn.IFS(worksheet[[#This Row],[age]]&lt;25,"1. Young Adulthood (18-24)",worksheet[[#This Row],[age]]&lt; 35,"2. Early Adulthood (25-34)",worksheet[[#This Row],[age]]&lt; 45,"3. Mid Adulthood (35-44)",worksheet[[#This Row],[age]]&lt; 55,"4. Mature Adulthood (45-54)",TRUE,"5. Late Adulthood/Senior (55+)")</f>
        <v>5. Late Adulthood/Senior (55+)</v>
      </c>
      <c r="D3498" t="s">
        <v>15</v>
      </c>
      <c r="E3498" t="s">
        <v>22</v>
      </c>
      <c r="F3498" s="4">
        <v>5.98</v>
      </c>
      <c r="G3498" s="5">
        <v>1</v>
      </c>
      <c r="H3498" t="s">
        <v>70</v>
      </c>
      <c r="I3498" t="s">
        <v>57</v>
      </c>
      <c r="J3498" s="6">
        <v>13.99</v>
      </c>
      <c r="K3498">
        <v>0</v>
      </c>
      <c r="L3498" t="s">
        <v>19</v>
      </c>
      <c r="M3498" s="5">
        <v>5</v>
      </c>
      <c r="N3498" s="4">
        <v>2.99</v>
      </c>
      <c r="O3498" t="s">
        <v>39</v>
      </c>
    </row>
    <row r="3499" spans="1:15" x14ac:dyDescent="0.3">
      <c r="A3499" t="s">
        <v>153</v>
      </c>
      <c r="B3499" s="5">
        <v>59</v>
      </c>
      <c r="C3499" s="5" t="str" cm="1">
        <f t="array" ref="C3499">_xlfn.IFS(worksheet[[#This Row],[age]]&lt;25,"1. Young Adulthood (18-24)",worksheet[[#This Row],[age]]&lt; 35,"2. Early Adulthood (25-34)",worksheet[[#This Row],[age]]&lt; 45,"3. Mid Adulthood (35-44)",worksheet[[#This Row],[age]]&lt; 55,"4. Mature Adulthood (45-54)",TRUE,"5. Late Adulthood/Senior (55+)")</f>
        <v>5. Late Adulthood/Senior (55+)</v>
      </c>
      <c r="D3499" t="s">
        <v>15</v>
      </c>
      <c r="E3499" t="s">
        <v>32</v>
      </c>
      <c r="F3499" s="4">
        <v>24.59</v>
      </c>
      <c r="G3499" s="5">
        <v>49</v>
      </c>
      <c r="H3499" t="s">
        <v>70</v>
      </c>
      <c r="I3499" t="s">
        <v>55</v>
      </c>
      <c r="J3499" s="6">
        <v>17.989999999999998</v>
      </c>
      <c r="K3499">
        <v>0</v>
      </c>
      <c r="L3499" t="s">
        <v>29</v>
      </c>
      <c r="M3499" s="5">
        <v>3</v>
      </c>
      <c r="N3499" s="4">
        <v>0.49</v>
      </c>
      <c r="O3499" t="s">
        <v>39</v>
      </c>
    </row>
    <row r="3500" spans="1:15" x14ac:dyDescent="0.3">
      <c r="A3500" t="s">
        <v>158</v>
      </c>
      <c r="B3500" s="5">
        <v>65</v>
      </c>
      <c r="C3500" s="5" t="str" cm="1">
        <f t="array" ref="C3500">_xlfn.IFS(worksheet[[#This Row],[age]]&lt;25,"1. Young Adulthood (18-24)",worksheet[[#This Row],[age]]&lt; 35,"2. Early Adulthood (25-34)",worksheet[[#This Row],[age]]&lt; 45,"3. Mid Adulthood (35-44)",worksheet[[#This Row],[age]]&lt; 55,"4. Mature Adulthood (45-54)",TRUE,"5. Late Adulthood/Senior (55+)")</f>
        <v>5. Late Adulthood/Senior (55+)</v>
      </c>
      <c r="D3500" t="s">
        <v>27</v>
      </c>
      <c r="E3500" t="s">
        <v>32</v>
      </c>
      <c r="F3500" s="4">
        <v>4.8899999999999997</v>
      </c>
      <c r="G3500" s="5">
        <v>6</v>
      </c>
      <c r="H3500" t="s">
        <v>28</v>
      </c>
      <c r="I3500" t="s">
        <v>18</v>
      </c>
      <c r="J3500" s="6">
        <v>17.989999999999998</v>
      </c>
      <c r="K3500">
        <v>0</v>
      </c>
      <c r="L3500" t="s">
        <v>19</v>
      </c>
      <c r="M3500" s="5">
        <v>1</v>
      </c>
      <c r="N3500" s="4">
        <v>0.7</v>
      </c>
      <c r="O3500" t="s">
        <v>52</v>
      </c>
    </row>
    <row r="3501" spans="1:15" x14ac:dyDescent="0.3">
      <c r="A3501" t="s">
        <v>159</v>
      </c>
      <c r="B3501" s="5">
        <v>59</v>
      </c>
      <c r="C3501" s="5" t="str" cm="1">
        <f t="array" ref="C3501">_xlfn.IFS(worksheet[[#This Row],[age]]&lt;25,"1. Young Adulthood (18-24)",worksheet[[#This Row],[age]]&lt; 35,"2. Early Adulthood (25-34)",worksheet[[#This Row],[age]]&lt; 45,"3. Mid Adulthood (35-44)",worksheet[[#This Row],[age]]&lt; 55,"4. Mature Adulthood (45-54)",TRUE,"5. Late Adulthood/Senior (55+)")</f>
        <v>5. Late Adulthood/Senior (55+)</v>
      </c>
      <c r="D3501" t="s">
        <v>15</v>
      </c>
      <c r="E3501" t="s">
        <v>22</v>
      </c>
      <c r="F3501" s="4">
        <v>6.77</v>
      </c>
      <c r="G3501" s="5">
        <v>22</v>
      </c>
      <c r="H3501" t="s">
        <v>33</v>
      </c>
      <c r="I3501" t="s">
        <v>57</v>
      </c>
      <c r="J3501" s="6">
        <v>13.99</v>
      </c>
      <c r="K3501">
        <v>0</v>
      </c>
      <c r="L3501" t="s">
        <v>37</v>
      </c>
      <c r="M3501" s="5">
        <v>1</v>
      </c>
      <c r="N3501" s="4">
        <v>0.28999999999999998</v>
      </c>
      <c r="O3501" t="s">
        <v>25</v>
      </c>
    </row>
    <row r="3502" spans="1:15" x14ac:dyDescent="0.3">
      <c r="A3502" t="s">
        <v>160</v>
      </c>
      <c r="B3502" s="5">
        <v>70</v>
      </c>
      <c r="C3502" s="5" t="str" cm="1">
        <f t="array" ref="C3502">_xlfn.IFS(worksheet[[#This Row],[age]]&lt;25,"1. Young Adulthood (18-24)",worksheet[[#This Row],[age]]&lt; 35,"2. Early Adulthood (25-34)",worksheet[[#This Row],[age]]&lt; 45,"3. Mid Adulthood (35-44)",worksheet[[#This Row],[age]]&lt; 55,"4. Mature Adulthood (45-54)",TRUE,"5. Late Adulthood/Senior (55+)")</f>
        <v>5. Late Adulthood/Senior (55+)</v>
      </c>
      <c r="D3502" t="s">
        <v>15</v>
      </c>
      <c r="E3502" t="s">
        <v>16</v>
      </c>
      <c r="F3502" s="4">
        <v>1.28</v>
      </c>
      <c r="G3502" s="5">
        <v>52</v>
      </c>
      <c r="H3502" t="s">
        <v>28</v>
      </c>
      <c r="I3502" t="s">
        <v>24</v>
      </c>
      <c r="J3502" s="6">
        <v>8.99</v>
      </c>
      <c r="K3502">
        <v>1</v>
      </c>
      <c r="L3502" t="s">
        <v>61</v>
      </c>
      <c r="M3502" s="5">
        <v>5</v>
      </c>
      <c r="N3502" s="4">
        <v>0.02</v>
      </c>
      <c r="O3502" t="s">
        <v>20</v>
      </c>
    </row>
    <row r="3503" spans="1:15" x14ac:dyDescent="0.3">
      <c r="A3503" t="s">
        <v>161</v>
      </c>
      <c r="B3503" s="5">
        <v>63</v>
      </c>
      <c r="C3503" s="5" t="str" cm="1">
        <f t="array" ref="C3503">_xlfn.IFS(worksheet[[#This Row],[age]]&lt;25,"1. Young Adulthood (18-24)",worksheet[[#This Row],[age]]&lt; 35,"2. Early Adulthood (25-34)",worksheet[[#This Row],[age]]&lt; 45,"3. Mid Adulthood (35-44)",worksheet[[#This Row],[age]]&lt; 55,"4. Mature Adulthood (45-54)",TRUE,"5. Late Adulthood/Senior (55+)")</f>
        <v>5. Late Adulthood/Senior (55+)</v>
      </c>
      <c r="D3503" t="s">
        <v>41</v>
      </c>
      <c r="E3503" t="s">
        <v>32</v>
      </c>
      <c r="F3503" s="4">
        <v>8.5399999999999991</v>
      </c>
      <c r="G3503" s="5">
        <v>51</v>
      </c>
      <c r="H3503" t="s">
        <v>70</v>
      </c>
      <c r="I3503" t="s">
        <v>57</v>
      </c>
      <c r="J3503" s="6">
        <v>17.989999999999998</v>
      </c>
      <c r="K3503">
        <v>0</v>
      </c>
      <c r="L3503" t="s">
        <v>61</v>
      </c>
      <c r="M3503" s="5">
        <v>5</v>
      </c>
      <c r="N3503" s="4">
        <v>0.16</v>
      </c>
      <c r="O3503" t="s">
        <v>52</v>
      </c>
    </row>
    <row r="3504" spans="1:15" x14ac:dyDescent="0.3">
      <c r="A3504" t="s">
        <v>169</v>
      </c>
      <c r="B3504" s="5">
        <v>67</v>
      </c>
      <c r="C3504" s="5" t="str" cm="1">
        <f t="array" ref="C3504">_xlfn.IFS(worksheet[[#This Row],[age]]&lt;25,"1. Young Adulthood (18-24)",worksheet[[#This Row],[age]]&lt; 35,"2. Early Adulthood (25-34)",worksheet[[#This Row],[age]]&lt; 45,"3. Mid Adulthood (35-44)",worksheet[[#This Row],[age]]&lt; 55,"4. Mature Adulthood (45-54)",TRUE,"5. Late Adulthood/Senior (55+)")</f>
        <v>5. Late Adulthood/Senior (55+)</v>
      </c>
      <c r="D3504" t="s">
        <v>27</v>
      </c>
      <c r="E3504" t="s">
        <v>22</v>
      </c>
      <c r="F3504" s="4">
        <v>1.02</v>
      </c>
      <c r="G3504" s="5">
        <v>20</v>
      </c>
      <c r="H3504" t="s">
        <v>23</v>
      </c>
      <c r="I3504" t="s">
        <v>46</v>
      </c>
      <c r="J3504" s="6">
        <v>13.99</v>
      </c>
      <c r="K3504">
        <v>1</v>
      </c>
      <c r="L3504" t="s">
        <v>19</v>
      </c>
      <c r="M3504" s="5">
        <v>1</v>
      </c>
      <c r="N3504" s="4">
        <v>0.05</v>
      </c>
      <c r="O3504" t="s">
        <v>25</v>
      </c>
    </row>
    <row r="3505" spans="1:15" x14ac:dyDescent="0.3">
      <c r="A3505" t="s">
        <v>172</v>
      </c>
      <c r="B3505" s="5">
        <v>56</v>
      </c>
      <c r="C3505" s="5" t="str" cm="1">
        <f t="array" ref="C3505">_xlfn.IFS(worksheet[[#This Row],[age]]&lt;25,"1. Young Adulthood (18-24)",worksheet[[#This Row],[age]]&lt; 35,"2. Early Adulthood (25-34)",worksheet[[#This Row],[age]]&lt; 45,"3. Mid Adulthood (35-44)",worksheet[[#This Row],[age]]&lt; 55,"4. Mature Adulthood (45-54)",TRUE,"5. Late Adulthood/Senior (55+)")</f>
        <v>5. Late Adulthood/Senior (55+)</v>
      </c>
      <c r="D3505" t="s">
        <v>15</v>
      </c>
      <c r="E3505" t="s">
        <v>32</v>
      </c>
      <c r="F3505" s="4">
        <v>1.43</v>
      </c>
      <c r="G3505" s="5">
        <v>16</v>
      </c>
      <c r="H3505" t="s">
        <v>23</v>
      </c>
      <c r="I3505" t="s">
        <v>46</v>
      </c>
      <c r="J3505" s="6">
        <v>17.989999999999998</v>
      </c>
      <c r="K3505">
        <v>1</v>
      </c>
      <c r="L3505" t="s">
        <v>37</v>
      </c>
      <c r="M3505" s="5">
        <v>2</v>
      </c>
      <c r="N3505" s="4">
        <v>0.08</v>
      </c>
      <c r="O3505" t="s">
        <v>20</v>
      </c>
    </row>
    <row r="3506" spans="1:15" x14ac:dyDescent="0.3">
      <c r="A3506" t="s">
        <v>186</v>
      </c>
      <c r="B3506" s="5">
        <v>67</v>
      </c>
      <c r="C3506" s="5" t="str" cm="1">
        <f t="array" ref="C3506">_xlfn.IFS(worksheet[[#This Row],[age]]&lt;25,"1. Young Adulthood (18-24)",worksheet[[#This Row],[age]]&lt; 35,"2. Early Adulthood (25-34)",worksheet[[#This Row],[age]]&lt; 45,"3. Mid Adulthood (35-44)",worksheet[[#This Row],[age]]&lt; 55,"4. Mature Adulthood (45-54)",TRUE,"5. Late Adulthood/Senior (55+)")</f>
        <v>5. Late Adulthood/Senior (55+)</v>
      </c>
      <c r="D3506" t="s">
        <v>15</v>
      </c>
      <c r="E3506" t="s">
        <v>22</v>
      </c>
      <c r="F3506" s="4">
        <v>3.29</v>
      </c>
      <c r="G3506" s="5">
        <v>25</v>
      </c>
      <c r="H3506" t="s">
        <v>70</v>
      </c>
      <c r="I3506" t="s">
        <v>57</v>
      </c>
      <c r="J3506" s="6">
        <v>13.99</v>
      </c>
      <c r="K3506">
        <v>1</v>
      </c>
      <c r="L3506" t="s">
        <v>29</v>
      </c>
      <c r="M3506" s="5">
        <v>1</v>
      </c>
      <c r="N3506" s="4">
        <v>0.13</v>
      </c>
      <c r="O3506" t="s">
        <v>52</v>
      </c>
    </row>
    <row r="3507" spans="1:15" x14ac:dyDescent="0.3">
      <c r="A3507" t="s">
        <v>187</v>
      </c>
      <c r="B3507" s="5">
        <v>59</v>
      </c>
      <c r="C3507" s="5" t="str" cm="1">
        <f t="array" ref="C3507">_xlfn.IFS(worksheet[[#This Row],[age]]&lt;25,"1. Young Adulthood (18-24)",worksheet[[#This Row],[age]]&lt; 35,"2. Early Adulthood (25-34)",worksheet[[#This Row],[age]]&lt; 45,"3. Mid Adulthood (35-44)",worksheet[[#This Row],[age]]&lt; 55,"4. Mature Adulthood (45-54)",TRUE,"5. Late Adulthood/Senior (55+)")</f>
        <v>5. Late Adulthood/Senior (55+)</v>
      </c>
      <c r="D3507" t="s">
        <v>27</v>
      </c>
      <c r="E3507" t="s">
        <v>16</v>
      </c>
      <c r="F3507" s="4">
        <v>20.11</v>
      </c>
      <c r="G3507" s="5">
        <v>40</v>
      </c>
      <c r="H3507" t="s">
        <v>49</v>
      </c>
      <c r="I3507" t="s">
        <v>55</v>
      </c>
      <c r="J3507" s="6">
        <v>8.99</v>
      </c>
      <c r="K3507">
        <v>1</v>
      </c>
      <c r="L3507" t="s">
        <v>43</v>
      </c>
      <c r="M3507" s="5">
        <v>2</v>
      </c>
      <c r="N3507" s="4">
        <v>0.49</v>
      </c>
      <c r="O3507" t="s">
        <v>25</v>
      </c>
    </row>
    <row r="3508" spans="1:15" x14ac:dyDescent="0.3">
      <c r="A3508" t="s">
        <v>188</v>
      </c>
      <c r="B3508" s="5">
        <v>60</v>
      </c>
      <c r="C3508" s="5" t="str" cm="1">
        <f t="array" ref="C3508">_xlfn.IFS(worksheet[[#This Row],[age]]&lt;25,"1. Young Adulthood (18-24)",worksheet[[#This Row],[age]]&lt; 35,"2. Early Adulthood (25-34)",worksheet[[#This Row],[age]]&lt; 45,"3. Mid Adulthood (35-44)",worksheet[[#This Row],[age]]&lt; 55,"4. Mature Adulthood (45-54)",TRUE,"5. Late Adulthood/Senior (55+)")</f>
        <v>5. Late Adulthood/Senior (55+)</v>
      </c>
      <c r="D3508" t="s">
        <v>27</v>
      </c>
      <c r="E3508" t="s">
        <v>22</v>
      </c>
      <c r="F3508" s="4">
        <v>19.36</v>
      </c>
      <c r="G3508" s="5">
        <v>45</v>
      </c>
      <c r="H3508" t="s">
        <v>49</v>
      </c>
      <c r="I3508" t="s">
        <v>55</v>
      </c>
      <c r="J3508" s="6">
        <v>13.99</v>
      </c>
      <c r="K3508">
        <v>1</v>
      </c>
      <c r="L3508" t="s">
        <v>37</v>
      </c>
      <c r="M3508" s="5">
        <v>2</v>
      </c>
      <c r="N3508" s="4">
        <v>0.42</v>
      </c>
      <c r="O3508" t="s">
        <v>30</v>
      </c>
    </row>
    <row r="3509" spans="1:15" x14ac:dyDescent="0.3">
      <c r="A3509" t="s">
        <v>194</v>
      </c>
      <c r="B3509" s="5">
        <v>69</v>
      </c>
      <c r="C3509" s="5" t="str" cm="1">
        <f t="array" ref="C3509">_xlfn.IFS(worksheet[[#This Row],[age]]&lt;25,"1. Young Adulthood (18-24)",worksheet[[#This Row],[age]]&lt; 35,"2. Early Adulthood (25-34)",worksheet[[#This Row],[age]]&lt; 45,"3. Mid Adulthood (35-44)",worksheet[[#This Row],[age]]&lt; 55,"4. Mature Adulthood (45-54)",TRUE,"5. Late Adulthood/Senior (55+)")</f>
        <v>5. Late Adulthood/Senior (55+)</v>
      </c>
      <c r="D3509" t="s">
        <v>41</v>
      </c>
      <c r="E3509" t="s">
        <v>22</v>
      </c>
      <c r="F3509" s="4">
        <v>7.85</v>
      </c>
      <c r="G3509" s="5">
        <v>43</v>
      </c>
      <c r="H3509" t="s">
        <v>23</v>
      </c>
      <c r="I3509" t="s">
        <v>18</v>
      </c>
      <c r="J3509" s="6">
        <v>13.99</v>
      </c>
      <c r="K3509">
        <v>1</v>
      </c>
      <c r="L3509" t="s">
        <v>19</v>
      </c>
      <c r="M3509" s="5">
        <v>5</v>
      </c>
      <c r="N3509" s="4">
        <v>0.18</v>
      </c>
      <c r="O3509" t="s">
        <v>20</v>
      </c>
    </row>
    <row r="3510" spans="1:15" x14ac:dyDescent="0.3">
      <c r="A3510" t="s">
        <v>195</v>
      </c>
      <c r="B3510" s="5">
        <v>70</v>
      </c>
      <c r="C3510" s="5" t="str" cm="1">
        <f t="array" ref="C3510">_xlfn.IFS(worksheet[[#This Row],[age]]&lt;25,"1. Young Adulthood (18-24)",worksheet[[#This Row],[age]]&lt; 35,"2. Early Adulthood (25-34)",worksheet[[#This Row],[age]]&lt; 45,"3. Mid Adulthood (35-44)",worksheet[[#This Row],[age]]&lt; 55,"4. Mature Adulthood (45-54)",TRUE,"5. Late Adulthood/Senior (55+)")</f>
        <v>5. Late Adulthood/Senior (55+)</v>
      </c>
      <c r="D3510" t="s">
        <v>27</v>
      </c>
      <c r="E3510" t="s">
        <v>16</v>
      </c>
      <c r="F3510" s="4">
        <v>6.8</v>
      </c>
      <c r="G3510" s="5">
        <v>6</v>
      </c>
      <c r="H3510" t="s">
        <v>70</v>
      </c>
      <c r="I3510" t="s">
        <v>24</v>
      </c>
      <c r="J3510" s="6">
        <v>8.99</v>
      </c>
      <c r="K3510">
        <v>0</v>
      </c>
      <c r="L3510" t="s">
        <v>37</v>
      </c>
      <c r="M3510" s="5">
        <v>4</v>
      </c>
      <c r="N3510" s="4">
        <v>0.97</v>
      </c>
      <c r="O3510" t="s">
        <v>20</v>
      </c>
    </row>
    <row r="3511" spans="1:15" x14ac:dyDescent="0.3">
      <c r="A3511" t="s">
        <v>206</v>
      </c>
      <c r="B3511" s="5">
        <v>68</v>
      </c>
      <c r="C3511" s="5" t="str" cm="1">
        <f t="array" ref="C3511">_xlfn.IFS(worksheet[[#This Row],[age]]&lt;25,"1. Young Adulthood (18-24)",worksheet[[#This Row],[age]]&lt; 35,"2. Early Adulthood (25-34)",worksheet[[#This Row],[age]]&lt; 45,"3. Mid Adulthood (35-44)",worksheet[[#This Row],[age]]&lt; 55,"4. Mature Adulthood (45-54)",TRUE,"5. Late Adulthood/Senior (55+)")</f>
        <v>5. Late Adulthood/Senior (55+)</v>
      </c>
      <c r="D3511" t="s">
        <v>27</v>
      </c>
      <c r="E3511" t="s">
        <v>16</v>
      </c>
      <c r="F3511" s="4">
        <v>9.07</v>
      </c>
      <c r="G3511" s="5">
        <v>32</v>
      </c>
      <c r="H3511" t="s">
        <v>17</v>
      </c>
      <c r="I3511" t="s">
        <v>18</v>
      </c>
      <c r="J3511" s="6">
        <v>8.99</v>
      </c>
      <c r="K3511">
        <v>1</v>
      </c>
      <c r="L3511" t="s">
        <v>29</v>
      </c>
      <c r="M3511" s="5">
        <v>3</v>
      </c>
      <c r="N3511" s="4">
        <v>0.27</v>
      </c>
      <c r="O3511" t="s">
        <v>39</v>
      </c>
    </row>
    <row r="3512" spans="1:15" x14ac:dyDescent="0.3">
      <c r="A3512" t="s">
        <v>207</v>
      </c>
      <c r="B3512" s="5">
        <v>70</v>
      </c>
      <c r="C3512" s="5" t="str" cm="1">
        <f t="array" ref="C3512">_xlfn.IFS(worksheet[[#This Row],[age]]&lt;25,"1. Young Adulthood (18-24)",worksheet[[#This Row],[age]]&lt; 35,"2. Early Adulthood (25-34)",worksheet[[#This Row],[age]]&lt; 45,"3. Mid Adulthood (35-44)",worksheet[[#This Row],[age]]&lt; 55,"4. Mature Adulthood (45-54)",TRUE,"5. Late Adulthood/Senior (55+)")</f>
        <v>5. Late Adulthood/Senior (55+)</v>
      </c>
      <c r="D3512" t="s">
        <v>15</v>
      </c>
      <c r="E3512" t="s">
        <v>16</v>
      </c>
      <c r="F3512" s="4">
        <v>2.2400000000000002</v>
      </c>
      <c r="G3512" s="5">
        <v>50</v>
      </c>
      <c r="H3512" t="s">
        <v>23</v>
      </c>
      <c r="I3512" t="s">
        <v>46</v>
      </c>
      <c r="J3512" s="6">
        <v>8.99</v>
      </c>
      <c r="K3512">
        <v>1</v>
      </c>
      <c r="L3512" t="s">
        <v>43</v>
      </c>
      <c r="M3512" s="5">
        <v>5</v>
      </c>
      <c r="N3512" s="4">
        <v>0.04</v>
      </c>
      <c r="O3512" t="s">
        <v>52</v>
      </c>
    </row>
    <row r="3513" spans="1:15" x14ac:dyDescent="0.3">
      <c r="A3513" t="s">
        <v>218</v>
      </c>
      <c r="B3513" s="5">
        <v>68</v>
      </c>
      <c r="C3513" s="5" t="str" cm="1">
        <f t="array" ref="C3513">_xlfn.IFS(worksheet[[#This Row],[age]]&lt;25,"1. Young Adulthood (18-24)",worksheet[[#This Row],[age]]&lt; 35,"2. Early Adulthood (25-34)",worksheet[[#This Row],[age]]&lt; 45,"3. Mid Adulthood (35-44)",worksheet[[#This Row],[age]]&lt; 55,"4. Mature Adulthood (45-54)",TRUE,"5. Late Adulthood/Senior (55+)")</f>
        <v>5. Late Adulthood/Senior (55+)</v>
      </c>
      <c r="D3513" t="s">
        <v>41</v>
      </c>
      <c r="E3513" t="s">
        <v>16</v>
      </c>
      <c r="F3513" s="4">
        <v>1.83</v>
      </c>
      <c r="G3513" s="5">
        <v>0</v>
      </c>
      <c r="H3513" t="s">
        <v>17</v>
      </c>
      <c r="I3513" t="s">
        <v>24</v>
      </c>
      <c r="J3513" s="6">
        <v>8.99</v>
      </c>
      <c r="K3513">
        <v>0</v>
      </c>
      <c r="L3513" t="s">
        <v>37</v>
      </c>
      <c r="M3513" s="5">
        <v>5</v>
      </c>
      <c r="N3513" s="4">
        <v>1.83</v>
      </c>
      <c r="O3513" t="s">
        <v>34</v>
      </c>
    </row>
    <row r="3514" spans="1:15" x14ac:dyDescent="0.3">
      <c r="A3514" t="s">
        <v>221</v>
      </c>
      <c r="B3514" s="5">
        <v>62</v>
      </c>
      <c r="C3514" s="5" t="str" cm="1">
        <f t="array" ref="C3514">_xlfn.IFS(worksheet[[#This Row],[age]]&lt;25,"1. Young Adulthood (18-24)",worksheet[[#This Row],[age]]&lt; 35,"2. Early Adulthood (25-34)",worksheet[[#This Row],[age]]&lt; 45,"3. Mid Adulthood (35-44)",worksheet[[#This Row],[age]]&lt; 55,"4. Mature Adulthood (45-54)",TRUE,"5. Late Adulthood/Senior (55+)")</f>
        <v>5. Late Adulthood/Senior (55+)</v>
      </c>
      <c r="D3514" t="s">
        <v>27</v>
      </c>
      <c r="E3514" t="s">
        <v>16</v>
      </c>
      <c r="F3514" s="4">
        <v>1.55</v>
      </c>
      <c r="G3514" s="5">
        <v>17</v>
      </c>
      <c r="H3514" t="s">
        <v>49</v>
      </c>
      <c r="I3514" t="s">
        <v>57</v>
      </c>
      <c r="J3514" s="6">
        <v>8.99</v>
      </c>
      <c r="K3514">
        <v>1</v>
      </c>
      <c r="L3514" t="s">
        <v>37</v>
      </c>
      <c r="M3514" s="5">
        <v>2</v>
      </c>
      <c r="N3514" s="4">
        <v>0.09</v>
      </c>
      <c r="O3514" t="s">
        <v>20</v>
      </c>
    </row>
    <row r="3515" spans="1:15" x14ac:dyDescent="0.3">
      <c r="A3515" t="s">
        <v>223</v>
      </c>
      <c r="B3515" s="5">
        <v>62</v>
      </c>
      <c r="C3515" s="5" t="str" cm="1">
        <f t="array" ref="C3515">_xlfn.IFS(worksheet[[#This Row],[age]]&lt;25,"1. Young Adulthood (18-24)",worksheet[[#This Row],[age]]&lt; 35,"2. Early Adulthood (25-34)",worksheet[[#This Row],[age]]&lt; 45,"3. Mid Adulthood (35-44)",worksheet[[#This Row],[age]]&lt; 55,"4. Mature Adulthood (45-54)",TRUE,"5. Late Adulthood/Senior (55+)")</f>
        <v>5. Late Adulthood/Senior (55+)</v>
      </c>
      <c r="D3515" t="s">
        <v>27</v>
      </c>
      <c r="E3515" t="s">
        <v>16</v>
      </c>
      <c r="F3515" s="4">
        <v>6.67</v>
      </c>
      <c r="G3515" s="5">
        <v>47</v>
      </c>
      <c r="H3515" t="s">
        <v>70</v>
      </c>
      <c r="I3515" t="s">
        <v>18</v>
      </c>
      <c r="J3515" s="6">
        <v>8.99</v>
      </c>
      <c r="K3515">
        <v>1</v>
      </c>
      <c r="L3515" t="s">
        <v>19</v>
      </c>
      <c r="M3515" s="5">
        <v>2</v>
      </c>
      <c r="N3515" s="4">
        <v>0.14000000000000001</v>
      </c>
      <c r="O3515" t="s">
        <v>52</v>
      </c>
    </row>
    <row r="3516" spans="1:15" x14ac:dyDescent="0.3">
      <c r="A3516" t="s">
        <v>225</v>
      </c>
      <c r="B3516" s="5">
        <v>60</v>
      </c>
      <c r="C3516" s="5" t="str" cm="1">
        <f t="array" ref="C3516">_xlfn.IFS(worksheet[[#This Row],[age]]&lt;25,"1. Young Adulthood (18-24)",worksheet[[#This Row],[age]]&lt; 35,"2. Early Adulthood (25-34)",worksheet[[#This Row],[age]]&lt; 45,"3. Mid Adulthood (35-44)",worksheet[[#This Row],[age]]&lt; 55,"4. Mature Adulthood (45-54)",TRUE,"5. Late Adulthood/Senior (55+)")</f>
        <v>5. Late Adulthood/Senior (55+)</v>
      </c>
      <c r="D3516" t="s">
        <v>27</v>
      </c>
      <c r="E3516" t="s">
        <v>22</v>
      </c>
      <c r="F3516" s="4">
        <v>1.03</v>
      </c>
      <c r="G3516" s="5">
        <v>2</v>
      </c>
      <c r="H3516" t="s">
        <v>28</v>
      </c>
      <c r="I3516" t="s">
        <v>57</v>
      </c>
      <c r="J3516" s="6">
        <v>13.99</v>
      </c>
      <c r="K3516">
        <v>0</v>
      </c>
      <c r="L3516" t="s">
        <v>43</v>
      </c>
      <c r="M3516" s="5">
        <v>5</v>
      </c>
      <c r="N3516" s="4">
        <v>0.34</v>
      </c>
      <c r="O3516" t="s">
        <v>52</v>
      </c>
    </row>
    <row r="3517" spans="1:15" x14ac:dyDescent="0.3">
      <c r="A3517" t="s">
        <v>227</v>
      </c>
      <c r="B3517" s="5">
        <v>57</v>
      </c>
      <c r="C3517" s="5" t="str" cm="1">
        <f t="array" ref="C3517">_xlfn.IFS(worksheet[[#This Row],[age]]&lt;25,"1. Young Adulthood (18-24)",worksheet[[#This Row],[age]]&lt; 35,"2. Early Adulthood (25-34)",worksheet[[#This Row],[age]]&lt; 45,"3. Mid Adulthood (35-44)",worksheet[[#This Row],[age]]&lt; 55,"4. Mature Adulthood (45-54)",TRUE,"5. Late Adulthood/Senior (55+)")</f>
        <v>5. Late Adulthood/Senior (55+)</v>
      </c>
      <c r="D3517" t="s">
        <v>41</v>
      </c>
      <c r="E3517" t="s">
        <v>22</v>
      </c>
      <c r="F3517" s="4">
        <v>12.95</v>
      </c>
      <c r="G3517" s="5">
        <v>27</v>
      </c>
      <c r="H3517" t="s">
        <v>70</v>
      </c>
      <c r="I3517" t="s">
        <v>18</v>
      </c>
      <c r="J3517" s="6">
        <v>13.99</v>
      </c>
      <c r="K3517">
        <v>0</v>
      </c>
      <c r="L3517" t="s">
        <v>19</v>
      </c>
      <c r="M3517" s="5">
        <v>4</v>
      </c>
      <c r="N3517" s="4">
        <v>0.46</v>
      </c>
      <c r="O3517" t="s">
        <v>34</v>
      </c>
    </row>
    <row r="3518" spans="1:15" x14ac:dyDescent="0.3">
      <c r="A3518" t="s">
        <v>233</v>
      </c>
      <c r="B3518" s="5">
        <v>68</v>
      </c>
      <c r="C3518" s="5" t="str" cm="1">
        <f t="array" ref="C3518">_xlfn.IFS(worksheet[[#This Row],[age]]&lt;25,"1. Young Adulthood (18-24)",worksheet[[#This Row],[age]]&lt; 35,"2. Early Adulthood (25-34)",worksheet[[#This Row],[age]]&lt; 45,"3. Mid Adulthood (35-44)",worksheet[[#This Row],[age]]&lt; 55,"4. Mature Adulthood (45-54)",TRUE,"5. Late Adulthood/Senior (55+)")</f>
        <v>5. Late Adulthood/Senior (55+)</v>
      </c>
      <c r="D3518" t="s">
        <v>27</v>
      </c>
      <c r="E3518" t="s">
        <v>32</v>
      </c>
      <c r="F3518" s="4">
        <v>10.27</v>
      </c>
      <c r="G3518" s="5">
        <v>55</v>
      </c>
      <c r="H3518" t="s">
        <v>70</v>
      </c>
      <c r="I3518" t="s">
        <v>57</v>
      </c>
      <c r="J3518" s="6">
        <v>17.989999999999998</v>
      </c>
      <c r="K3518">
        <v>0</v>
      </c>
      <c r="L3518" t="s">
        <v>43</v>
      </c>
      <c r="M3518" s="5">
        <v>4</v>
      </c>
      <c r="N3518" s="4">
        <v>0.18</v>
      </c>
      <c r="O3518" t="s">
        <v>34</v>
      </c>
    </row>
    <row r="3519" spans="1:15" x14ac:dyDescent="0.3">
      <c r="A3519" t="s">
        <v>234</v>
      </c>
      <c r="B3519" s="5">
        <v>68</v>
      </c>
      <c r="C3519" s="5" t="str" cm="1">
        <f t="array" ref="C3519">_xlfn.IFS(worksheet[[#This Row],[age]]&lt;25,"1. Young Adulthood (18-24)",worksheet[[#This Row],[age]]&lt; 35,"2. Early Adulthood (25-34)",worksheet[[#This Row],[age]]&lt; 45,"3. Mid Adulthood (35-44)",worksheet[[#This Row],[age]]&lt; 55,"4. Mature Adulthood (45-54)",TRUE,"5. Late Adulthood/Senior (55+)")</f>
        <v>5. Late Adulthood/Senior (55+)</v>
      </c>
      <c r="D3519" t="s">
        <v>41</v>
      </c>
      <c r="E3519" t="s">
        <v>32</v>
      </c>
      <c r="F3519" s="4">
        <v>52.22</v>
      </c>
      <c r="G3519" s="5">
        <v>4</v>
      </c>
      <c r="H3519" t="s">
        <v>70</v>
      </c>
      <c r="I3519" t="s">
        <v>46</v>
      </c>
      <c r="J3519" s="6">
        <v>17.989999999999998</v>
      </c>
      <c r="K3519">
        <v>0</v>
      </c>
      <c r="L3519" t="s">
        <v>19</v>
      </c>
      <c r="M3519" s="5">
        <v>1</v>
      </c>
      <c r="N3519" s="4">
        <v>10.44</v>
      </c>
      <c r="O3519" t="s">
        <v>39</v>
      </c>
    </row>
    <row r="3520" spans="1:15" x14ac:dyDescent="0.3">
      <c r="A3520" t="s">
        <v>235</v>
      </c>
      <c r="B3520" s="5">
        <v>55</v>
      </c>
      <c r="C3520" s="5" t="str" cm="1">
        <f t="array" ref="C3520">_xlfn.IFS(worksheet[[#This Row],[age]]&lt;25,"1. Young Adulthood (18-24)",worksheet[[#This Row],[age]]&lt; 35,"2. Early Adulthood (25-34)",worksheet[[#This Row],[age]]&lt; 45,"3. Mid Adulthood (35-44)",worksheet[[#This Row],[age]]&lt; 55,"4. Mature Adulthood (45-54)",TRUE,"5. Late Adulthood/Senior (55+)")</f>
        <v>5. Late Adulthood/Senior (55+)</v>
      </c>
      <c r="D3520" t="s">
        <v>15</v>
      </c>
      <c r="E3520" t="s">
        <v>22</v>
      </c>
      <c r="F3520" s="4">
        <v>7.61</v>
      </c>
      <c r="G3520" s="5">
        <v>37</v>
      </c>
      <c r="H3520" t="s">
        <v>70</v>
      </c>
      <c r="I3520" t="s">
        <v>24</v>
      </c>
      <c r="J3520" s="6">
        <v>13.99</v>
      </c>
      <c r="K3520">
        <v>1</v>
      </c>
      <c r="L3520" t="s">
        <v>43</v>
      </c>
      <c r="M3520" s="5">
        <v>1</v>
      </c>
      <c r="N3520" s="4">
        <v>0.2</v>
      </c>
      <c r="O3520" t="s">
        <v>47</v>
      </c>
    </row>
    <row r="3521" spans="1:15" x14ac:dyDescent="0.3">
      <c r="A3521" t="s">
        <v>238</v>
      </c>
      <c r="B3521" s="5">
        <v>56</v>
      </c>
      <c r="C3521" s="5" t="str" cm="1">
        <f t="array" ref="C3521">_xlfn.IFS(worksheet[[#This Row],[age]]&lt;25,"1. Young Adulthood (18-24)",worksheet[[#This Row],[age]]&lt; 35,"2. Early Adulthood (25-34)",worksheet[[#This Row],[age]]&lt; 45,"3. Mid Adulthood (35-44)",worksheet[[#This Row],[age]]&lt; 55,"4. Mature Adulthood (45-54)",TRUE,"5. Late Adulthood/Senior (55+)")</f>
        <v>5. Late Adulthood/Senior (55+)</v>
      </c>
      <c r="D3521" t="s">
        <v>27</v>
      </c>
      <c r="E3521" t="s">
        <v>32</v>
      </c>
      <c r="F3521" s="4">
        <v>2.39</v>
      </c>
      <c r="G3521" s="5">
        <v>21</v>
      </c>
      <c r="H3521" t="s">
        <v>49</v>
      </c>
      <c r="I3521" t="s">
        <v>57</v>
      </c>
      <c r="J3521" s="6">
        <v>17.989999999999998</v>
      </c>
      <c r="K3521">
        <v>1</v>
      </c>
      <c r="L3521" t="s">
        <v>37</v>
      </c>
      <c r="M3521" s="5">
        <v>2</v>
      </c>
      <c r="N3521" s="4">
        <v>0.11</v>
      </c>
      <c r="O3521" t="s">
        <v>47</v>
      </c>
    </row>
    <row r="3522" spans="1:15" x14ac:dyDescent="0.3">
      <c r="A3522" t="s">
        <v>240</v>
      </c>
      <c r="B3522" s="5">
        <v>64</v>
      </c>
      <c r="C3522" s="5" t="str" cm="1">
        <f t="array" ref="C3522">_xlfn.IFS(worksheet[[#This Row],[age]]&lt;25,"1. Young Adulthood (18-24)",worksheet[[#This Row],[age]]&lt; 35,"2. Early Adulthood (25-34)",worksheet[[#This Row],[age]]&lt; 45,"3. Mid Adulthood (35-44)",worksheet[[#This Row],[age]]&lt; 55,"4. Mature Adulthood (45-54)",TRUE,"5. Late Adulthood/Senior (55+)")</f>
        <v>5. Late Adulthood/Senior (55+)</v>
      </c>
      <c r="D3522" t="s">
        <v>41</v>
      </c>
      <c r="E3522" t="s">
        <v>22</v>
      </c>
      <c r="F3522" s="4">
        <v>13.86</v>
      </c>
      <c r="G3522" s="5">
        <v>7</v>
      </c>
      <c r="H3522" t="s">
        <v>17</v>
      </c>
      <c r="I3522" t="s">
        <v>46</v>
      </c>
      <c r="J3522" s="6">
        <v>13.99</v>
      </c>
      <c r="K3522">
        <v>0</v>
      </c>
      <c r="L3522" t="s">
        <v>61</v>
      </c>
      <c r="M3522" s="5">
        <v>3</v>
      </c>
      <c r="N3522" s="4">
        <v>1.73</v>
      </c>
      <c r="O3522" t="s">
        <v>47</v>
      </c>
    </row>
    <row r="3523" spans="1:15" x14ac:dyDescent="0.3">
      <c r="A3523" t="s">
        <v>243</v>
      </c>
      <c r="B3523" s="5">
        <v>56</v>
      </c>
      <c r="C3523" s="5" t="str" cm="1">
        <f t="array" ref="C3523">_xlfn.IFS(worksheet[[#This Row],[age]]&lt;25,"1. Young Adulthood (18-24)",worksheet[[#This Row],[age]]&lt; 35,"2. Early Adulthood (25-34)",worksheet[[#This Row],[age]]&lt; 45,"3. Mid Adulthood (35-44)",worksheet[[#This Row],[age]]&lt; 55,"4. Mature Adulthood (45-54)",TRUE,"5. Late Adulthood/Senior (55+)")</f>
        <v>5. Late Adulthood/Senior (55+)</v>
      </c>
      <c r="D3523" t="s">
        <v>41</v>
      </c>
      <c r="E3523" t="s">
        <v>16</v>
      </c>
      <c r="F3523" s="4">
        <v>8.7100000000000009</v>
      </c>
      <c r="G3523" s="5">
        <v>2</v>
      </c>
      <c r="H3523" t="s">
        <v>28</v>
      </c>
      <c r="I3523" t="s">
        <v>46</v>
      </c>
      <c r="J3523" s="6">
        <v>8.99</v>
      </c>
      <c r="K3523">
        <v>0</v>
      </c>
      <c r="L3523" t="s">
        <v>37</v>
      </c>
      <c r="M3523" s="5">
        <v>3</v>
      </c>
      <c r="N3523" s="4">
        <v>2.9</v>
      </c>
      <c r="O3523" t="s">
        <v>30</v>
      </c>
    </row>
    <row r="3524" spans="1:15" x14ac:dyDescent="0.3">
      <c r="A3524" t="s">
        <v>246</v>
      </c>
      <c r="B3524" s="5">
        <v>65</v>
      </c>
      <c r="C3524" s="5" t="str" cm="1">
        <f t="array" ref="C3524">_xlfn.IFS(worksheet[[#This Row],[age]]&lt;25,"1. Young Adulthood (18-24)",worksheet[[#This Row],[age]]&lt; 35,"2. Early Adulthood (25-34)",worksheet[[#This Row],[age]]&lt; 45,"3. Mid Adulthood (35-44)",worksheet[[#This Row],[age]]&lt; 55,"4. Mature Adulthood (45-54)",TRUE,"5. Late Adulthood/Senior (55+)")</f>
        <v>5. Late Adulthood/Senior (55+)</v>
      </c>
      <c r="D3524" t="s">
        <v>15</v>
      </c>
      <c r="E3524" t="s">
        <v>32</v>
      </c>
      <c r="F3524" s="4">
        <v>20.05</v>
      </c>
      <c r="G3524" s="5">
        <v>21</v>
      </c>
      <c r="H3524" t="s">
        <v>28</v>
      </c>
      <c r="I3524" t="s">
        <v>57</v>
      </c>
      <c r="J3524" s="6">
        <v>17.989999999999998</v>
      </c>
      <c r="K3524">
        <v>0</v>
      </c>
      <c r="L3524" t="s">
        <v>29</v>
      </c>
      <c r="M3524" s="5">
        <v>5</v>
      </c>
      <c r="N3524" s="4">
        <v>0.91</v>
      </c>
      <c r="O3524" t="s">
        <v>52</v>
      </c>
    </row>
    <row r="3525" spans="1:15" x14ac:dyDescent="0.3">
      <c r="A3525" t="s">
        <v>250</v>
      </c>
      <c r="B3525" s="5">
        <v>56</v>
      </c>
      <c r="C3525" s="5" t="str" cm="1">
        <f t="array" ref="C3525">_xlfn.IFS(worksheet[[#This Row],[age]]&lt;25,"1. Young Adulthood (18-24)",worksheet[[#This Row],[age]]&lt; 35,"2. Early Adulthood (25-34)",worksheet[[#This Row],[age]]&lt; 45,"3. Mid Adulthood (35-44)",worksheet[[#This Row],[age]]&lt; 55,"4. Mature Adulthood (45-54)",TRUE,"5. Late Adulthood/Senior (55+)")</f>
        <v>5. Late Adulthood/Senior (55+)</v>
      </c>
      <c r="D3525" t="s">
        <v>15</v>
      </c>
      <c r="E3525" t="s">
        <v>22</v>
      </c>
      <c r="F3525" s="4">
        <v>1.95</v>
      </c>
      <c r="G3525" s="5">
        <v>28</v>
      </c>
      <c r="H3525" t="s">
        <v>70</v>
      </c>
      <c r="I3525" t="s">
        <v>24</v>
      </c>
      <c r="J3525" s="6">
        <v>13.99</v>
      </c>
      <c r="K3525">
        <v>1</v>
      </c>
      <c r="L3525" t="s">
        <v>29</v>
      </c>
      <c r="M3525" s="5">
        <v>4</v>
      </c>
      <c r="N3525" s="4">
        <v>7.0000000000000007E-2</v>
      </c>
      <c r="O3525" t="s">
        <v>39</v>
      </c>
    </row>
    <row r="3526" spans="1:15" x14ac:dyDescent="0.3">
      <c r="A3526" t="s">
        <v>252</v>
      </c>
      <c r="B3526" s="5">
        <v>70</v>
      </c>
      <c r="C3526" s="5" t="str" cm="1">
        <f t="array" ref="C3526">_xlfn.IFS(worksheet[[#This Row],[age]]&lt;25,"1. Young Adulthood (18-24)",worksheet[[#This Row],[age]]&lt; 35,"2. Early Adulthood (25-34)",worksheet[[#This Row],[age]]&lt; 45,"3. Mid Adulthood (35-44)",worksheet[[#This Row],[age]]&lt; 55,"4. Mature Adulthood (45-54)",TRUE,"5. Late Adulthood/Senior (55+)")</f>
        <v>5. Late Adulthood/Senior (55+)</v>
      </c>
      <c r="D3526" t="s">
        <v>15</v>
      </c>
      <c r="E3526" t="s">
        <v>22</v>
      </c>
      <c r="F3526" s="4">
        <v>8.6999999999999993</v>
      </c>
      <c r="G3526" s="5">
        <v>46</v>
      </c>
      <c r="H3526" t="s">
        <v>28</v>
      </c>
      <c r="I3526" t="s">
        <v>24</v>
      </c>
      <c r="J3526" s="6">
        <v>13.99</v>
      </c>
      <c r="K3526">
        <v>1</v>
      </c>
      <c r="L3526" t="s">
        <v>61</v>
      </c>
      <c r="M3526" s="5">
        <v>3</v>
      </c>
      <c r="N3526" s="4">
        <v>0.19</v>
      </c>
      <c r="O3526" t="s">
        <v>20</v>
      </c>
    </row>
    <row r="3527" spans="1:15" x14ac:dyDescent="0.3">
      <c r="A3527" t="s">
        <v>254</v>
      </c>
      <c r="B3527" s="5">
        <v>57</v>
      </c>
      <c r="C3527" s="5" t="str" cm="1">
        <f t="array" ref="C3527">_xlfn.IFS(worksheet[[#This Row],[age]]&lt;25,"1. Young Adulthood (18-24)",worksheet[[#This Row],[age]]&lt; 35,"2. Early Adulthood (25-34)",worksheet[[#This Row],[age]]&lt; 45,"3. Mid Adulthood (35-44)",worksheet[[#This Row],[age]]&lt; 55,"4. Mature Adulthood (45-54)",TRUE,"5. Late Adulthood/Senior (55+)")</f>
        <v>5. Late Adulthood/Senior (55+)</v>
      </c>
      <c r="D3527" t="s">
        <v>27</v>
      </c>
      <c r="E3527" t="s">
        <v>16</v>
      </c>
      <c r="F3527" s="4">
        <v>15.75</v>
      </c>
      <c r="G3527" s="5">
        <v>1</v>
      </c>
      <c r="H3527" t="s">
        <v>23</v>
      </c>
      <c r="I3527" t="s">
        <v>55</v>
      </c>
      <c r="J3527" s="6">
        <v>8.99</v>
      </c>
      <c r="K3527">
        <v>0</v>
      </c>
      <c r="L3527" t="s">
        <v>29</v>
      </c>
      <c r="M3527" s="5">
        <v>3</v>
      </c>
      <c r="N3527" s="4">
        <v>7.88</v>
      </c>
      <c r="O3527" t="s">
        <v>34</v>
      </c>
    </row>
    <row r="3528" spans="1:15" x14ac:dyDescent="0.3">
      <c r="A3528" t="s">
        <v>256</v>
      </c>
      <c r="B3528" s="5">
        <v>67</v>
      </c>
      <c r="C3528" s="5" t="str" cm="1">
        <f t="array" ref="C3528">_xlfn.IFS(worksheet[[#This Row],[age]]&lt;25,"1. Young Adulthood (18-24)",worksheet[[#This Row],[age]]&lt; 35,"2. Early Adulthood (25-34)",worksheet[[#This Row],[age]]&lt; 45,"3. Mid Adulthood (35-44)",worksheet[[#This Row],[age]]&lt; 55,"4. Mature Adulthood (45-54)",TRUE,"5. Late Adulthood/Senior (55+)")</f>
        <v>5. Late Adulthood/Senior (55+)</v>
      </c>
      <c r="D3528" t="s">
        <v>15</v>
      </c>
      <c r="E3528" t="s">
        <v>22</v>
      </c>
      <c r="F3528" s="4">
        <v>14.58</v>
      </c>
      <c r="G3528" s="5">
        <v>18</v>
      </c>
      <c r="H3528" t="s">
        <v>23</v>
      </c>
      <c r="I3528" t="s">
        <v>55</v>
      </c>
      <c r="J3528" s="6">
        <v>13.99</v>
      </c>
      <c r="K3528">
        <v>0</v>
      </c>
      <c r="L3528" t="s">
        <v>61</v>
      </c>
      <c r="M3528" s="5">
        <v>2</v>
      </c>
      <c r="N3528" s="4">
        <v>0.77</v>
      </c>
      <c r="O3528" t="s">
        <v>25</v>
      </c>
    </row>
    <row r="3529" spans="1:15" x14ac:dyDescent="0.3">
      <c r="A3529" t="s">
        <v>257</v>
      </c>
      <c r="B3529" s="5">
        <v>66</v>
      </c>
      <c r="C3529" s="5" t="str" cm="1">
        <f t="array" ref="C3529">_xlfn.IFS(worksheet[[#This Row],[age]]&lt;25,"1. Young Adulthood (18-24)",worksheet[[#This Row],[age]]&lt; 35,"2. Early Adulthood (25-34)",worksheet[[#This Row],[age]]&lt; 45,"3. Mid Adulthood (35-44)",worksheet[[#This Row],[age]]&lt; 55,"4. Mature Adulthood (45-54)",TRUE,"5. Late Adulthood/Senior (55+)")</f>
        <v>5. Late Adulthood/Senior (55+)</v>
      </c>
      <c r="D3529" t="s">
        <v>15</v>
      </c>
      <c r="E3529" t="s">
        <v>22</v>
      </c>
      <c r="F3529" s="4">
        <v>1.42</v>
      </c>
      <c r="G3529" s="5">
        <v>57</v>
      </c>
      <c r="H3529" t="s">
        <v>23</v>
      </c>
      <c r="I3529" t="s">
        <v>46</v>
      </c>
      <c r="J3529" s="6">
        <v>13.99</v>
      </c>
      <c r="K3529">
        <v>1</v>
      </c>
      <c r="L3529" t="s">
        <v>19</v>
      </c>
      <c r="M3529" s="5">
        <v>3</v>
      </c>
      <c r="N3529" s="4">
        <v>0.02</v>
      </c>
      <c r="O3529" t="s">
        <v>30</v>
      </c>
    </row>
    <row r="3530" spans="1:15" x14ac:dyDescent="0.3">
      <c r="A3530" t="s">
        <v>261</v>
      </c>
      <c r="B3530" s="5">
        <v>66</v>
      </c>
      <c r="C3530" s="5" t="str" cm="1">
        <f t="array" ref="C3530">_xlfn.IFS(worksheet[[#This Row],[age]]&lt;25,"1. Young Adulthood (18-24)",worksheet[[#This Row],[age]]&lt; 35,"2. Early Adulthood (25-34)",worksheet[[#This Row],[age]]&lt; 45,"3. Mid Adulthood (35-44)",worksheet[[#This Row],[age]]&lt; 55,"4. Mature Adulthood (45-54)",TRUE,"5. Late Adulthood/Senior (55+)")</f>
        <v>5. Late Adulthood/Senior (55+)</v>
      </c>
      <c r="D3530" t="s">
        <v>27</v>
      </c>
      <c r="E3530" t="s">
        <v>16</v>
      </c>
      <c r="F3530" s="4">
        <v>6.93</v>
      </c>
      <c r="G3530" s="5">
        <v>47</v>
      </c>
      <c r="H3530" t="s">
        <v>49</v>
      </c>
      <c r="I3530" t="s">
        <v>57</v>
      </c>
      <c r="J3530" s="6">
        <v>8.99</v>
      </c>
      <c r="K3530">
        <v>1</v>
      </c>
      <c r="L3530" t="s">
        <v>43</v>
      </c>
      <c r="M3530" s="5">
        <v>3</v>
      </c>
      <c r="N3530" s="4">
        <v>0.14000000000000001</v>
      </c>
      <c r="O3530" t="s">
        <v>25</v>
      </c>
    </row>
    <row r="3531" spans="1:15" x14ac:dyDescent="0.3">
      <c r="A3531" t="s">
        <v>264</v>
      </c>
      <c r="B3531" s="5">
        <v>65</v>
      </c>
      <c r="C3531" s="5" t="str" cm="1">
        <f t="array" ref="C3531">_xlfn.IFS(worksheet[[#This Row],[age]]&lt;25,"1. Young Adulthood (18-24)",worksheet[[#This Row],[age]]&lt; 35,"2. Early Adulthood (25-34)",worksheet[[#This Row],[age]]&lt; 45,"3. Mid Adulthood (35-44)",worksheet[[#This Row],[age]]&lt; 55,"4. Mature Adulthood (45-54)",TRUE,"5. Late Adulthood/Senior (55+)")</f>
        <v>5. Late Adulthood/Senior (55+)</v>
      </c>
      <c r="D3531" t="s">
        <v>15</v>
      </c>
      <c r="E3531" t="s">
        <v>22</v>
      </c>
      <c r="F3531" s="4">
        <v>1.83</v>
      </c>
      <c r="G3531" s="5">
        <v>37</v>
      </c>
      <c r="H3531" t="s">
        <v>17</v>
      </c>
      <c r="I3531" t="s">
        <v>55</v>
      </c>
      <c r="J3531" s="6">
        <v>13.99</v>
      </c>
      <c r="K3531">
        <v>1</v>
      </c>
      <c r="L3531" t="s">
        <v>61</v>
      </c>
      <c r="M3531" s="5">
        <v>1</v>
      </c>
      <c r="N3531" s="4">
        <v>0.05</v>
      </c>
      <c r="O3531" t="s">
        <v>47</v>
      </c>
    </row>
    <row r="3532" spans="1:15" x14ac:dyDescent="0.3">
      <c r="A3532" t="s">
        <v>266</v>
      </c>
      <c r="B3532" s="5">
        <v>61</v>
      </c>
      <c r="C3532" s="5" t="str" cm="1">
        <f t="array" ref="C3532">_xlfn.IFS(worksheet[[#This Row],[age]]&lt;25,"1. Young Adulthood (18-24)",worksheet[[#This Row],[age]]&lt; 35,"2. Early Adulthood (25-34)",worksheet[[#This Row],[age]]&lt; 45,"3. Mid Adulthood (35-44)",worksheet[[#This Row],[age]]&lt; 55,"4. Mature Adulthood (45-54)",TRUE,"5. Late Adulthood/Senior (55+)")</f>
        <v>5. Late Adulthood/Senior (55+)</v>
      </c>
      <c r="D3532" t="s">
        <v>15</v>
      </c>
      <c r="E3532" t="s">
        <v>32</v>
      </c>
      <c r="F3532" s="4">
        <v>0.85</v>
      </c>
      <c r="G3532" s="5">
        <v>6</v>
      </c>
      <c r="H3532" t="s">
        <v>23</v>
      </c>
      <c r="I3532" t="s">
        <v>18</v>
      </c>
      <c r="J3532" s="6">
        <v>17.989999999999998</v>
      </c>
      <c r="K3532">
        <v>1</v>
      </c>
      <c r="L3532" t="s">
        <v>29</v>
      </c>
      <c r="M3532" s="5">
        <v>1</v>
      </c>
      <c r="N3532" s="4">
        <v>0.12</v>
      </c>
      <c r="O3532" t="s">
        <v>34</v>
      </c>
    </row>
    <row r="3533" spans="1:15" x14ac:dyDescent="0.3">
      <c r="A3533" t="s">
        <v>268</v>
      </c>
      <c r="B3533" s="5">
        <v>56</v>
      </c>
      <c r="C3533" s="5" t="str" cm="1">
        <f t="array" ref="C3533">_xlfn.IFS(worksheet[[#This Row],[age]]&lt;25,"1. Young Adulthood (18-24)",worksheet[[#This Row],[age]]&lt; 35,"2. Early Adulthood (25-34)",worksheet[[#This Row],[age]]&lt; 45,"3. Mid Adulthood (35-44)",worksheet[[#This Row],[age]]&lt; 55,"4. Mature Adulthood (45-54)",TRUE,"5. Late Adulthood/Senior (55+)")</f>
        <v>5. Late Adulthood/Senior (55+)</v>
      </c>
      <c r="D3533" t="s">
        <v>15</v>
      </c>
      <c r="E3533" t="s">
        <v>32</v>
      </c>
      <c r="F3533" s="4">
        <v>19.809999999999999</v>
      </c>
      <c r="G3533" s="5">
        <v>25</v>
      </c>
      <c r="H3533" t="s">
        <v>28</v>
      </c>
      <c r="I3533" t="s">
        <v>57</v>
      </c>
      <c r="J3533" s="6">
        <v>17.989999999999998</v>
      </c>
      <c r="K3533">
        <v>0</v>
      </c>
      <c r="L3533" t="s">
        <v>61</v>
      </c>
      <c r="M3533" s="5">
        <v>4</v>
      </c>
      <c r="N3533" s="4">
        <v>0.76</v>
      </c>
      <c r="O3533" t="s">
        <v>25</v>
      </c>
    </row>
    <row r="3534" spans="1:15" x14ac:dyDescent="0.3">
      <c r="A3534" t="s">
        <v>273</v>
      </c>
      <c r="B3534" s="5">
        <v>68</v>
      </c>
      <c r="C3534" s="5" t="str" cm="1">
        <f t="array" ref="C3534">_xlfn.IFS(worksheet[[#This Row],[age]]&lt;25,"1. Young Adulthood (18-24)",worksheet[[#This Row],[age]]&lt; 35,"2. Early Adulthood (25-34)",worksheet[[#This Row],[age]]&lt; 45,"3. Mid Adulthood (35-44)",worksheet[[#This Row],[age]]&lt; 55,"4. Mature Adulthood (45-54)",TRUE,"5. Late Adulthood/Senior (55+)")</f>
        <v>5. Late Adulthood/Senior (55+)</v>
      </c>
      <c r="D3534" t="s">
        <v>27</v>
      </c>
      <c r="E3534" t="s">
        <v>22</v>
      </c>
      <c r="F3534" s="4">
        <v>2.7</v>
      </c>
      <c r="G3534" s="5">
        <v>35</v>
      </c>
      <c r="H3534" t="s">
        <v>28</v>
      </c>
      <c r="I3534" t="s">
        <v>18</v>
      </c>
      <c r="J3534" s="6">
        <v>13.99</v>
      </c>
      <c r="K3534">
        <v>1</v>
      </c>
      <c r="L3534" t="s">
        <v>37</v>
      </c>
      <c r="M3534" s="5">
        <v>1</v>
      </c>
      <c r="N3534" s="4">
        <v>0.08</v>
      </c>
      <c r="O3534" t="s">
        <v>52</v>
      </c>
    </row>
    <row r="3535" spans="1:15" x14ac:dyDescent="0.3">
      <c r="A3535" t="s">
        <v>280</v>
      </c>
      <c r="B3535" s="5">
        <v>61</v>
      </c>
      <c r="C3535" s="5" t="str" cm="1">
        <f t="array" ref="C3535">_xlfn.IFS(worksheet[[#This Row],[age]]&lt;25,"1. Young Adulthood (18-24)",worksheet[[#This Row],[age]]&lt; 35,"2. Early Adulthood (25-34)",worksheet[[#This Row],[age]]&lt; 45,"3. Mid Adulthood (35-44)",worksheet[[#This Row],[age]]&lt; 55,"4. Mature Adulthood (45-54)",TRUE,"5. Late Adulthood/Senior (55+)")</f>
        <v>5. Late Adulthood/Senior (55+)</v>
      </c>
      <c r="D3535" t="s">
        <v>41</v>
      </c>
      <c r="E3535" t="s">
        <v>32</v>
      </c>
      <c r="F3535" s="4">
        <v>19.190000000000001</v>
      </c>
      <c r="G3535" s="5">
        <v>27</v>
      </c>
      <c r="H3535" t="s">
        <v>49</v>
      </c>
      <c r="I3535" t="s">
        <v>24</v>
      </c>
      <c r="J3535" s="6">
        <v>17.989999999999998</v>
      </c>
      <c r="K3535">
        <v>0</v>
      </c>
      <c r="L3535" t="s">
        <v>43</v>
      </c>
      <c r="M3535" s="5">
        <v>2</v>
      </c>
      <c r="N3535" s="4">
        <v>0.69</v>
      </c>
      <c r="O3535" t="s">
        <v>34</v>
      </c>
    </row>
    <row r="3536" spans="1:15" x14ac:dyDescent="0.3">
      <c r="A3536" t="s">
        <v>282</v>
      </c>
      <c r="B3536" s="5">
        <v>62</v>
      </c>
      <c r="C3536" s="5" t="str" cm="1">
        <f t="array" ref="C3536">_xlfn.IFS(worksheet[[#This Row],[age]]&lt;25,"1. Young Adulthood (18-24)",worksheet[[#This Row],[age]]&lt; 35,"2. Early Adulthood (25-34)",worksheet[[#This Row],[age]]&lt; 45,"3. Mid Adulthood (35-44)",worksheet[[#This Row],[age]]&lt; 55,"4. Mature Adulthood (45-54)",TRUE,"5. Late Adulthood/Senior (55+)")</f>
        <v>5. Late Adulthood/Senior (55+)</v>
      </c>
      <c r="D3536" t="s">
        <v>41</v>
      </c>
      <c r="E3536" t="s">
        <v>16</v>
      </c>
      <c r="F3536" s="4">
        <v>7.85</v>
      </c>
      <c r="G3536" s="5">
        <v>53</v>
      </c>
      <c r="H3536" t="s">
        <v>23</v>
      </c>
      <c r="I3536" t="s">
        <v>24</v>
      </c>
      <c r="J3536" s="6">
        <v>8.99</v>
      </c>
      <c r="K3536">
        <v>1</v>
      </c>
      <c r="L3536" t="s">
        <v>43</v>
      </c>
      <c r="M3536" s="5">
        <v>2</v>
      </c>
      <c r="N3536" s="4">
        <v>0.15</v>
      </c>
      <c r="O3536" t="s">
        <v>39</v>
      </c>
    </row>
    <row r="3537" spans="1:15" x14ac:dyDescent="0.3">
      <c r="A3537" t="s">
        <v>283</v>
      </c>
      <c r="B3537" s="5">
        <v>70</v>
      </c>
      <c r="C3537" s="5" t="str" cm="1">
        <f t="array" ref="C3537">_xlfn.IFS(worksheet[[#This Row],[age]]&lt;25,"1. Young Adulthood (18-24)",worksheet[[#This Row],[age]]&lt; 35,"2. Early Adulthood (25-34)",worksheet[[#This Row],[age]]&lt; 45,"3. Mid Adulthood (35-44)",worksheet[[#This Row],[age]]&lt; 55,"4. Mature Adulthood (45-54)",TRUE,"5. Late Adulthood/Senior (55+)")</f>
        <v>5. Late Adulthood/Senior (55+)</v>
      </c>
      <c r="D3537" t="s">
        <v>15</v>
      </c>
      <c r="E3537" t="s">
        <v>32</v>
      </c>
      <c r="F3537" s="4">
        <v>42.5</v>
      </c>
      <c r="G3537" s="5">
        <v>46</v>
      </c>
      <c r="H3537" t="s">
        <v>23</v>
      </c>
      <c r="I3537" t="s">
        <v>46</v>
      </c>
      <c r="J3537" s="6">
        <v>17.989999999999998</v>
      </c>
      <c r="K3537">
        <v>0</v>
      </c>
      <c r="L3537" t="s">
        <v>61</v>
      </c>
      <c r="M3537" s="5">
        <v>2</v>
      </c>
      <c r="N3537" s="4">
        <v>0.9</v>
      </c>
      <c r="O3537" t="s">
        <v>30</v>
      </c>
    </row>
    <row r="3538" spans="1:15" x14ac:dyDescent="0.3">
      <c r="A3538" t="s">
        <v>286</v>
      </c>
      <c r="B3538" s="5">
        <v>67</v>
      </c>
      <c r="C3538" s="5" t="str" cm="1">
        <f t="array" ref="C3538">_xlfn.IFS(worksheet[[#This Row],[age]]&lt;25,"1. Young Adulthood (18-24)",worksheet[[#This Row],[age]]&lt; 35,"2. Early Adulthood (25-34)",worksheet[[#This Row],[age]]&lt; 45,"3. Mid Adulthood (35-44)",worksheet[[#This Row],[age]]&lt; 55,"4. Mature Adulthood (45-54)",TRUE,"5. Late Adulthood/Senior (55+)")</f>
        <v>5. Late Adulthood/Senior (55+)</v>
      </c>
      <c r="D3538" t="s">
        <v>27</v>
      </c>
      <c r="E3538" t="s">
        <v>16</v>
      </c>
      <c r="F3538" s="4">
        <v>2.5499999999999998</v>
      </c>
      <c r="G3538" s="5">
        <v>48</v>
      </c>
      <c r="H3538" t="s">
        <v>33</v>
      </c>
      <c r="I3538" t="s">
        <v>46</v>
      </c>
      <c r="J3538" s="6">
        <v>8.99</v>
      </c>
      <c r="K3538">
        <v>1</v>
      </c>
      <c r="L3538" t="s">
        <v>19</v>
      </c>
      <c r="M3538" s="5">
        <v>2</v>
      </c>
      <c r="N3538" s="4">
        <v>0.05</v>
      </c>
      <c r="O3538" t="s">
        <v>25</v>
      </c>
    </row>
    <row r="3539" spans="1:15" x14ac:dyDescent="0.3">
      <c r="A3539" t="s">
        <v>289</v>
      </c>
      <c r="B3539" s="5">
        <v>67</v>
      </c>
      <c r="C3539" s="5" t="str" cm="1">
        <f t="array" ref="C3539">_xlfn.IFS(worksheet[[#This Row],[age]]&lt;25,"1. Young Adulthood (18-24)",worksheet[[#This Row],[age]]&lt; 35,"2. Early Adulthood (25-34)",worksheet[[#This Row],[age]]&lt; 45,"3. Mid Adulthood (35-44)",worksheet[[#This Row],[age]]&lt; 55,"4. Mature Adulthood (45-54)",TRUE,"5. Late Adulthood/Senior (55+)")</f>
        <v>5. Late Adulthood/Senior (55+)</v>
      </c>
      <c r="D3539" t="s">
        <v>41</v>
      </c>
      <c r="E3539" t="s">
        <v>32</v>
      </c>
      <c r="F3539" s="4">
        <v>1.04</v>
      </c>
      <c r="G3539" s="5">
        <v>17</v>
      </c>
      <c r="H3539" t="s">
        <v>23</v>
      </c>
      <c r="I3539" t="s">
        <v>24</v>
      </c>
      <c r="J3539" s="6">
        <v>17.989999999999998</v>
      </c>
      <c r="K3539">
        <v>1</v>
      </c>
      <c r="L3539" t="s">
        <v>19</v>
      </c>
      <c r="M3539" s="5">
        <v>2</v>
      </c>
      <c r="N3539" s="4">
        <v>0.06</v>
      </c>
      <c r="O3539" t="s">
        <v>39</v>
      </c>
    </row>
    <row r="3540" spans="1:15" x14ac:dyDescent="0.3">
      <c r="A3540" t="s">
        <v>299</v>
      </c>
      <c r="B3540" s="5">
        <v>61</v>
      </c>
      <c r="C3540" s="5" t="str" cm="1">
        <f t="array" ref="C3540">_xlfn.IFS(worksheet[[#This Row],[age]]&lt;25,"1. Young Adulthood (18-24)",worksheet[[#This Row],[age]]&lt; 35,"2. Early Adulthood (25-34)",worksheet[[#This Row],[age]]&lt; 45,"3. Mid Adulthood (35-44)",worksheet[[#This Row],[age]]&lt; 55,"4. Mature Adulthood (45-54)",TRUE,"5. Late Adulthood/Senior (55+)")</f>
        <v>5. Late Adulthood/Senior (55+)</v>
      </c>
      <c r="D3540" t="s">
        <v>27</v>
      </c>
      <c r="E3540" t="s">
        <v>16</v>
      </c>
      <c r="F3540" s="4">
        <v>1.21</v>
      </c>
      <c r="G3540" s="5">
        <v>31</v>
      </c>
      <c r="H3540" t="s">
        <v>23</v>
      </c>
      <c r="I3540" t="s">
        <v>57</v>
      </c>
      <c r="J3540" s="6">
        <v>8.99</v>
      </c>
      <c r="K3540">
        <v>1</v>
      </c>
      <c r="L3540" t="s">
        <v>29</v>
      </c>
      <c r="M3540" s="5">
        <v>3</v>
      </c>
      <c r="N3540" s="4">
        <v>0.04</v>
      </c>
      <c r="O3540" t="s">
        <v>30</v>
      </c>
    </row>
    <row r="3541" spans="1:15" x14ac:dyDescent="0.3">
      <c r="A3541" t="s">
        <v>305</v>
      </c>
      <c r="B3541" s="5">
        <v>61</v>
      </c>
      <c r="C3541" s="5" t="str" cm="1">
        <f t="array" ref="C3541">_xlfn.IFS(worksheet[[#This Row],[age]]&lt;25,"1. Young Adulthood (18-24)",worksheet[[#This Row],[age]]&lt; 35,"2. Early Adulthood (25-34)",worksheet[[#This Row],[age]]&lt; 45,"3. Mid Adulthood (35-44)",worksheet[[#This Row],[age]]&lt; 55,"4. Mature Adulthood (45-54)",TRUE,"5. Late Adulthood/Senior (55+)")</f>
        <v>5. Late Adulthood/Senior (55+)</v>
      </c>
      <c r="D3541" t="s">
        <v>27</v>
      </c>
      <c r="E3541" t="s">
        <v>16</v>
      </c>
      <c r="F3541" s="4">
        <v>12.93</v>
      </c>
      <c r="G3541" s="5">
        <v>55</v>
      </c>
      <c r="H3541" t="s">
        <v>33</v>
      </c>
      <c r="I3541" t="s">
        <v>57</v>
      </c>
      <c r="J3541" s="6">
        <v>8.99</v>
      </c>
      <c r="K3541">
        <v>1</v>
      </c>
      <c r="L3541" t="s">
        <v>37</v>
      </c>
      <c r="M3541" s="5">
        <v>4</v>
      </c>
      <c r="N3541" s="4">
        <v>0.23</v>
      </c>
      <c r="O3541" t="s">
        <v>25</v>
      </c>
    </row>
    <row r="3542" spans="1:15" x14ac:dyDescent="0.3">
      <c r="A3542" t="s">
        <v>308</v>
      </c>
      <c r="B3542" s="5">
        <v>60</v>
      </c>
      <c r="C3542" s="5" t="str" cm="1">
        <f t="array" ref="C3542">_xlfn.IFS(worksheet[[#This Row],[age]]&lt;25,"1. Young Adulthood (18-24)",worksheet[[#This Row],[age]]&lt; 35,"2. Early Adulthood (25-34)",worksheet[[#This Row],[age]]&lt; 45,"3. Mid Adulthood (35-44)",worksheet[[#This Row],[age]]&lt; 55,"4. Mature Adulthood (45-54)",TRUE,"5. Late Adulthood/Senior (55+)")</f>
        <v>5. Late Adulthood/Senior (55+)</v>
      </c>
      <c r="D3542" t="s">
        <v>41</v>
      </c>
      <c r="E3542" t="s">
        <v>16</v>
      </c>
      <c r="F3542" s="4">
        <v>4.6100000000000003</v>
      </c>
      <c r="G3542" s="5">
        <v>8</v>
      </c>
      <c r="H3542" t="s">
        <v>70</v>
      </c>
      <c r="I3542" t="s">
        <v>24</v>
      </c>
      <c r="J3542" s="6">
        <v>8.99</v>
      </c>
      <c r="K3542">
        <v>1</v>
      </c>
      <c r="L3542" t="s">
        <v>43</v>
      </c>
      <c r="M3542" s="5">
        <v>3</v>
      </c>
      <c r="N3542" s="4">
        <v>0.51</v>
      </c>
      <c r="O3542" t="s">
        <v>25</v>
      </c>
    </row>
    <row r="3543" spans="1:15" x14ac:dyDescent="0.3">
      <c r="A3543" t="s">
        <v>311</v>
      </c>
      <c r="B3543" s="5">
        <v>63</v>
      </c>
      <c r="C3543" s="5" t="str" cm="1">
        <f t="array" ref="C3543">_xlfn.IFS(worksheet[[#This Row],[age]]&lt;25,"1. Young Adulthood (18-24)",worksheet[[#This Row],[age]]&lt; 35,"2. Early Adulthood (25-34)",worksheet[[#This Row],[age]]&lt; 45,"3. Mid Adulthood (35-44)",worksheet[[#This Row],[age]]&lt; 55,"4. Mature Adulthood (45-54)",TRUE,"5. Late Adulthood/Senior (55+)")</f>
        <v>5. Late Adulthood/Senior (55+)</v>
      </c>
      <c r="D3543" t="s">
        <v>15</v>
      </c>
      <c r="E3543" t="s">
        <v>32</v>
      </c>
      <c r="F3543" s="4">
        <v>0.3</v>
      </c>
      <c r="G3543" s="5">
        <v>12</v>
      </c>
      <c r="H3543" t="s">
        <v>28</v>
      </c>
      <c r="I3543" t="s">
        <v>46</v>
      </c>
      <c r="J3543" s="6">
        <v>17.989999999999998</v>
      </c>
      <c r="K3543">
        <v>1</v>
      </c>
      <c r="L3543" t="s">
        <v>61</v>
      </c>
      <c r="M3543" s="5">
        <v>2</v>
      </c>
      <c r="N3543" s="4">
        <v>0.02</v>
      </c>
      <c r="O3543" t="s">
        <v>30</v>
      </c>
    </row>
    <row r="3544" spans="1:15" x14ac:dyDescent="0.3">
      <c r="A3544" t="s">
        <v>313</v>
      </c>
      <c r="B3544" s="5">
        <v>63</v>
      </c>
      <c r="C3544" s="5" t="str" cm="1">
        <f t="array" ref="C3544">_xlfn.IFS(worksheet[[#This Row],[age]]&lt;25,"1. Young Adulthood (18-24)",worksheet[[#This Row],[age]]&lt; 35,"2. Early Adulthood (25-34)",worksheet[[#This Row],[age]]&lt; 45,"3. Mid Adulthood (35-44)",worksheet[[#This Row],[age]]&lt; 55,"4. Mature Adulthood (45-54)",TRUE,"5. Late Adulthood/Senior (55+)")</f>
        <v>5. Late Adulthood/Senior (55+)</v>
      </c>
      <c r="D3544" t="s">
        <v>41</v>
      </c>
      <c r="E3544" t="s">
        <v>16</v>
      </c>
      <c r="F3544" s="4">
        <v>1.03</v>
      </c>
      <c r="G3544" s="5">
        <v>3</v>
      </c>
      <c r="H3544" t="s">
        <v>70</v>
      </c>
      <c r="I3544" t="s">
        <v>57</v>
      </c>
      <c r="J3544" s="6">
        <v>8.99</v>
      </c>
      <c r="K3544">
        <v>1</v>
      </c>
      <c r="L3544" t="s">
        <v>61</v>
      </c>
      <c r="M3544" s="5">
        <v>5</v>
      </c>
      <c r="N3544" s="4">
        <v>0.26</v>
      </c>
      <c r="O3544" t="s">
        <v>52</v>
      </c>
    </row>
    <row r="3545" spans="1:15" x14ac:dyDescent="0.3">
      <c r="A3545" t="s">
        <v>316</v>
      </c>
      <c r="B3545" s="5">
        <v>59</v>
      </c>
      <c r="C3545" s="5" t="str" cm="1">
        <f t="array" ref="C3545">_xlfn.IFS(worksheet[[#This Row],[age]]&lt;25,"1. Young Adulthood (18-24)",worksheet[[#This Row],[age]]&lt; 35,"2. Early Adulthood (25-34)",worksheet[[#This Row],[age]]&lt; 45,"3. Mid Adulthood (35-44)",worksheet[[#This Row],[age]]&lt; 55,"4. Mature Adulthood (45-54)",TRUE,"5. Late Adulthood/Senior (55+)")</f>
        <v>5. Late Adulthood/Senior (55+)</v>
      </c>
      <c r="D3545" t="s">
        <v>27</v>
      </c>
      <c r="E3545" t="s">
        <v>22</v>
      </c>
      <c r="F3545" s="4">
        <v>2.2799999999999998</v>
      </c>
      <c r="G3545" s="5">
        <v>38</v>
      </c>
      <c r="H3545" t="s">
        <v>17</v>
      </c>
      <c r="I3545" t="s">
        <v>55</v>
      </c>
      <c r="J3545" s="6">
        <v>13.99</v>
      </c>
      <c r="K3545">
        <v>1</v>
      </c>
      <c r="L3545" t="s">
        <v>43</v>
      </c>
      <c r="M3545" s="5">
        <v>3</v>
      </c>
      <c r="N3545" s="4">
        <v>0.06</v>
      </c>
      <c r="O3545" t="s">
        <v>30</v>
      </c>
    </row>
    <row r="3546" spans="1:15" x14ac:dyDescent="0.3">
      <c r="A3546" t="s">
        <v>328</v>
      </c>
      <c r="B3546" s="5">
        <v>59</v>
      </c>
      <c r="C3546" s="5" t="str" cm="1">
        <f t="array" ref="C3546">_xlfn.IFS(worksheet[[#This Row],[age]]&lt;25,"1. Young Adulthood (18-24)",worksheet[[#This Row],[age]]&lt; 35,"2. Early Adulthood (25-34)",worksheet[[#This Row],[age]]&lt; 45,"3. Mid Adulthood (35-44)",worksheet[[#This Row],[age]]&lt; 55,"4. Mature Adulthood (45-54)",TRUE,"5. Late Adulthood/Senior (55+)")</f>
        <v>5. Late Adulthood/Senior (55+)</v>
      </c>
      <c r="D3546" t="s">
        <v>27</v>
      </c>
      <c r="E3546" t="s">
        <v>16</v>
      </c>
      <c r="F3546" s="4">
        <v>4.16</v>
      </c>
      <c r="G3546" s="5">
        <v>25</v>
      </c>
      <c r="H3546" t="s">
        <v>23</v>
      </c>
      <c r="I3546" t="s">
        <v>57</v>
      </c>
      <c r="J3546" s="6">
        <v>8.99</v>
      </c>
      <c r="K3546">
        <v>1</v>
      </c>
      <c r="L3546" t="s">
        <v>29</v>
      </c>
      <c r="M3546" s="5">
        <v>2</v>
      </c>
      <c r="N3546" s="4">
        <v>0.16</v>
      </c>
      <c r="O3546" t="s">
        <v>34</v>
      </c>
    </row>
    <row r="3547" spans="1:15" x14ac:dyDescent="0.3">
      <c r="A3547" t="s">
        <v>333</v>
      </c>
      <c r="B3547" s="5">
        <v>58</v>
      </c>
      <c r="C3547" s="5" t="str" cm="1">
        <f t="array" ref="C3547">_xlfn.IFS(worksheet[[#This Row],[age]]&lt;25,"1. Young Adulthood (18-24)",worksheet[[#This Row],[age]]&lt; 35,"2. Early Adulthood (25-34)",worksheet[[#This Row],[age]]&lt; 45,"3. Mid Adulthood (35-44)",worksheet[[#This Row],[age]]&lt; 55,"4. Mature Adulthood (45-54)",TRUE,"5. Late Adulthood/Senior (55+)")</f>
        <v>5. Late Adulthood/Senior (55+)</v>
      </c>
      <c r="D3547" t="s">
        <v>15</v>
      </c>
      <c r="E3547" t="s">
        <v>32</v>
      </c>
      <c r="F3547" s="4">
        <v>4.04</v>
      </c>
      <c r="G3547" s="5">
        <v>19</v>
      </c>
      <c r="H3547" t="s">
        <v>28</v>
      </c>
      <c r="I3547" t="s">
        <v>24</v>
      </c>
      <c r="J3547" s="6">
        <v>17.989999999999998</v>
      </c>
      <c r="K3547">
        <v>0</v>
      </c>
      <c r="L3547" t="s">
        <v>61</v>
      </c>
      <c r="M3547" s="5">
        <v>4</v>
      </c>
      <c r="N3547" s="4">
        <v>0.2</v>
      </c>
      <c r="O3547" t="s">
        <v>39</v>
      </c>
    </row>
    <row r="3548" spans="1:15" x14ac:dyDescent="0.3">
      <c r="A3548" t="s">
        <v>342</v>
      </c>
      <c r="B3548" s="5">
        <v>68</v>
      </c>
      <c r="C3548" s="5" t="str" cm="1">
        <f t="array" ref="C3548">_xlfn.IFS(worksheet[[#This Row],[age]]&lt;25,"1. Young Adulthood (18-24)",worksheet[[#This Row],[age]]&lt; 35,"2. Early Adulthood (25-34)",worksheet[[#This Row],[age]]&lt; 45,"3. Mid Adulthood (35-44)",worksheet[[#This Row],[age]]&lt; 55,"4. Mature Adulthood (45-54)",TRUE,"5. Late Adulthood/Senior (55+)")</f>
        <v>5. Late Adulthood/Senior (55+)</v>
      </c>
      <c r="D3548" t="s">
        <v>41</v>
      </c>
      <c r="E3548" t="s">
        <v>32</v>
      </c>
      <c r="F3548" s="4">
        <v>17.559999999999999</v>
      </c>
      <c r="G3548" s="5">
        <v>29</v>
      </c>
      <c r="H3548" t="s">
        <v>28</v>
      </c>
      <c r="I3548" t="s">
        <v>46</v>
      </c>
      <c r="J3548" s="6">
        <v>17.989999999999998</v>
      </c>
      <c r="K3548">
        <v>0</v>
      </c>
      <c r="L3548" t="s">
        <v>37</v>
      </c>
      <c r="M3548" s="5">
        <v>4</v>
      </c>
      <c r="N3548" s="4">
        <v>0.59</v>
      </c>
      <c r="O3548" t="s">
        <v>25</v>
      </c>
    </row>
    <row r="3549" spans="1:15" x14ac:dyDescent="0.3">
      <c r="A3549" t="s">
        <v>345</v>
      </c>
      <c r="B3549" s="5">
        <v>56</v>
      </c>
      <c r="C3549" s="5" t="str" cm="1">
        <f t="array" ref="C3549">_xlfn.IFS(worksheet[[#This Row],[age]]&lt;25,"1. Young Adulthood (18-24)",worksheet[[#This Row],[age]]&lt; 35,"2. Early Adulthood (25-34)",worksheet[[#This Row],[age]]&lt; 45,"3. Mid Adulthood (35-44)",worksheet[[#This Row],[age]]&lt; 55,"4. Mature Adulthood (45-54)",TRUE,"5. Late Adulthood/Senior (55+)")</f>
        <v>5. Late Adulthood/Senior (55+)</v>
      </c>
      <c r="D3549" t="s">
        <v>15</v>
      </c>
      <c r="E3549" t="s">
        <v>16</v>
      </c>
      <c r="F3549" s="4">
        <v>16.89</v>
      </c>
      <c r="G3549" s="5">
        <v>38</v>
      </c>
      <c r="H3549" t="s">
        <v>23</v>
      </c>
      <c r="I3549" t="s">
        <v>18</v>
      </c>
      <c r="J3549" s="6">
        <v>8.99</v>
      </c>
      <c r="K3549">
        <v>1</v>
      </c>
      <c r="L3549" t="s">
        <v>37</v>
      </c>
      <c r="M3549" s="5">
        <v>2</v>
      </c>
      <c r="N3549" s="4">
        <v>0.43</v>
      </c>
      <c r="O3549" t="s">
        <v>34</v>
      </c>
    </row>
    <row r="3550" spans="1:15" x14ac:dyDescent="0.3">
      <c r="A3550" t="s">
        <v>348</v>
      </c>
      <c r="B3550" s="5">
        <v>60</v>
      </c>
      <c r="C3550" s="5" t="str" cm="1">
        <f t="array" ref="C3550">_xlfn.IFS(worksheet[[#This Row],[age]]&lt;25,"1. Young Adulthood (18-24)",worksheet[[#This Row],[age]]&lt; 35,"2. Early Adulthood (25-34)",worksheet[[#This Row],[age]]&lt; 45,"3. Mid Adulthood (35-44)",worksheet[[#This Row],[age]]&lt; 55,"4. Mature Adulthood (45-54)",TRUE,"5. Late Adulthood/Senior (55+)")</f>
        <v>5. Late Adulthood/Senior (55+)</v>
      </c>
      <c r="D3550" t="s">
        <v>15</v>
      </c>
      <c r="E3550" t="s">
        <v>16</v>
      </c>
      <c r="F3550" s="4">
        <v>7.79</v>
      </c>
      <c r="G3550" s="5">
        <v>25</v>
      </c>
      <c r="H3550" t="s">
        <v>70</v>
      </c>
      <c r="I3550" t="s">
        <v>18</v>
      </c>
      <c r="J3550" s="6">
        <v>8.99</v>
      </c>
      <c r="K3550">
        <v>0</v>
      </c>
      <c r="L3550" t="s">
        <v>37</v>
      </c>
      <c r="M3550" s="5">
        <v>2</v>
      </c>
      <c r="N3550" s="4">
        <v>0.3</v>
      </c>
      <c r="O3550" t="s">
        <v>30</v>
      </c>
    </row>
    <row r="3551" spans="1:15" x14ac:dyDescent="0.3">
      <c r="A3551" t="s">
        <v>350</v>
      </c>
      <c r="B3551" s="5">
        <v>70</v>
      </c>
      <c r="C3551" s="5" t="str" cm="1">
        <f t="array" ref="C3551">_xlfn.IFS(worksheet[[#This Row],[age]]&lt;25,"1. Young Adulthood (18-24)",worksheet[[#This Row],[age]]&lt; 35,"2. Early Adulthood (25-34)",worksheet[[#This Row],[age]]&lt; 45,"3. Mid Adulthood (35-44)",worksheet[[#This Row],[age]]&lt; 55,"4. Mature Adulthood (45-54)",TRUE,"5. Late Adulthood/Senior (55+)")</f>
        <v>5. Late Adulthood/Senior (55+)</v>
      </c>
      <c r="D3551" t="s">
        <v>27</v>
      </c>
      <c r="E3551" t="s">
        <v>32</v>
      </c>
      <c r="F3551" s="4">
        <v>1.04</v>
      </c>
      <c r="G3551" s="5">
        <v>37</v>
      </c>
      <c r="H3551" t="s">
        <v>49</v>
      </c>
      <c r="I3551" t="s">
        <v>57</v>
      </c>
      <c r="J3551" s="6">
        <v>17.989999999999998</v>
      </c>
      <c r="K3551">
        <v>1</v>
      </c>
      <c r="L3551" t="s">
        <v>43</v>
      </c>
      <c r="M3551" s="5">
        <v>2</v>
      </c>
      <c r="N3551" s="4">
        <v>0.03</v>
      </c>
      <c r="O3551" t="s">
        <v>34</v>
      </c>
    </row>
    <row r="3552" spans="1:15" x14ac:dyDescent="0.3">
      <c r="A3552" t="s">
        <v>356</v>
      </c>
      <c r="B3552" s="5">
        <v>70</v>
      </c>
      <c r="C3552" s="5" t="str" cm="1">
        <f t="array" ref="C3552">_xlfn.IFS(worksheet[[#This Row],[age]]&lt;25,"1. Young Adulthood (18-24)",worksheet[[#This Row],[age]]&lt; 35,"2. Early Adulthood (25-34)",worksheet[[#This Row],[age]]&lt; 45,"3. Mid Adulthood (35-44)",worksheet[[#This Row],[age]]&lt; 55,"4. Mature Adulthood (45-54)",TRUE,"5. Late Adulthood/Senior (55+)")</f>
        <v>5. Late Adulthood/Senior (55+)</v>
      </c>
      <c r="D3552" t="s">
        <v>27</v>
      </c>
      <c r="E3552" t="s">
        <v>16</v>
      </c>
      <c r="F3552" s="4">
        <v>3.99</v>
      </c>
      <c r="G3552" s="5">
        <v>24</v>
      </c>
      <c r="H3552" t="s">
        <v>17</v>
      </c>
      <c r="I3552" t="s">
        <v>46</v>
      </c>
      <c r="J3552" s="6">
        <v>8.99</v>
      </c>
      <c r="K3552">
        <v>1</v>
      </c>
      <c r="L3552" t="s">
        <v>19</v>
      </c>
      <c r="M3552" s="5">
        <v>1</v>
      </c>
      <c r="N3552" s="4">
        <v>0.16</v>
      </c>
      <c r="O3552" t="s">
        <v>34</v>
      </c>
    </row>
    <row r="3553" spans="1:15" x14ac:dyDescent="0.3">
      <c r="A3553" t="s">
        <v>357</v>
      </c>
      <c r="B3553" s="5">
        <v>68</v>
      </c>
      <c r="C3553" s="5" t="str" cm="1">
        <f t="array" ref="C3553">_xlfn.IFS(worksheet[[#This Row],[age]]&lt;25,"1. Young Adulthood (18-24)",worksheet[[#This Row],[age]]&lt; 35,"2. Early Adulthood (25-34)",worksheet[[#This Row],[age]]&lt; 45,"3. Mid Adulthood (35-44)",worksheet[[#This Row],[age]]&lt; 55,"4. Mature Adulthood (45-54)",TRUE,"5. Late Adulthood/Senior (55+)")</f>
        <v>5. Late Adulthood/Senior (55+)</v>
      </c>
      <c r="D3553" t="s">
        <v>41</v>
      </c>
      <c r="E3553" t="s">
        <v>16</v>
      </c>
      <c r="F3553" s="4">
        <v>17.260000000000002</v>
      </c>
      <c r="G3553" s="5">
        <v>10</v>
      </c>
      <c r="H3553" t="s">
        <v>49</v>
      </c>
      <c r="I3553" t="s">
        <v>55</v>
      </c>
      <c r="J3553" s="6">
        <v>8.99</v>
      </c>
      <c r="K3553">
        <v>0</v>
      </c>
      <c r="L3553" t="s">
        <v>61</v>
      </c>
      <c r="M3553" s="5">
        <v>3</v>
      </c>
      <c r="N3553" s="4">
        <v>1.57</v>
      </c>
      <c r="O3553" t="s">
        <v>52</v>
      </c>
    </row>
    <row r="3554" spans="1:15" x14ac:dyDescent="0.3">
      <c r="A3554" t="s">
        <v>362</v>
      </c>
      <c r="B3554" s="5">
        <v>57</v>
      </c>
      <c r="C3554" s="5" t="str" cm="1">
        <f t="array" ref="C3554">_xlfn.IFS(worksheet[[#This Row],[age]]&lt;25,"1. Young Adulthood (18-24)",worksheet[[#This Row],[age]]&lt; 35,"2. Early Adulthood (25-34)",worksheet[[#This Row],[age]]&lt; 45,"3. Mid Adulthood (35-44)",worksheet[[#This Row],[age]]&lt; 55,"4. Mature Adulthood (45-54)",TRUE,"5. Late Adulthood/Senior (55+)")</f>
        <v>5. Late Adulthood/Senior (55+)</v>
      </c>
      <c r="D3554" t="s">
        <v>27</v>
      </c>
      <c r="E3554" t="s">
        <v>32</v>
      </c>
      <c r="F3554" s="4">
        <v>0.26</v>
      </c>
      <c r="G3554" s="5">
        <v>28</v>
      </c>
      <c r="H3554" t="s">
        <v>23</v>
      </c>
      <c r="I3554" t="s">
        <v>57</v>
      </c>
      <c r="J3554" s="6">
        <v>17.989999999999998</v>
      </c>
      <c r="K3554">
        <v>1</v>
      </c>
      <c r="L3554" t="s">
        <v>61</v>
      </c>
      <c r="M3554" s="5">
        <v>2</v>
      </c>
      <c r="N3554" s="4">
        <v>0.01</v>
      </c>
      <c r="O3554" t="s">
        <v>20</v>
      </c>
    </row>
    <row r="3555" spans="1:15" x14ac:dyDescent="0.3">
      <c r="A3555" t="s">
        <v>371</v>
      </c>
      <c r="B3555" s="5">
        <v>55</v>
      </c>
      <c r="C3555" s="5" t="str" cm="1">
        <f t="array" ref="C3555">_xlfn.IFS(worksheet[[#This Row],[age]]&lt;25,"1. Young Adulthood (18-24)",worksheet[[#This Row],[age]]&lt; 35,"2. Early Adulthood (25-34)",worksheet[[#This Row],[age]]&lt; 45,"3. Mid Adulthood (35-44)",worksheet[[#This Row],[age]]&lt; 55,"4. Mature Adulthood (45-54)",TRUE,"5. Late Adulthood/Senior (55+)")</f>
        <v>5. Late Adulthood/Senior (55+)</v>
      </c>
      <c r="D3555" t="s">
        <v>27</v>
      </c>
      <c r="E3555" t="s">
        <v>32</v>
      </c>
      <c r="F3555" s="4">
        <v>41.03</v>
      </c>
      <c r="G3555" s="5">
        <v>45</v>
      </c>
      <c r="H3555" t="s">
        <v>17</v>
      </c>
      <c r="I3555" t="s">
        <v>46</v>
      </c>
      <c r="J3555" s="6">
        <v>17.989999999999998</v>
      </c>
      <c r="K3555">
        <v>0</v>
      </c>
      <c r="L3555" t="s">
        <v>37</v>
      </c>
      <c r="M3555" s="5">
        <v>3</v>
      </c>
      <c r="N3555" s="4">
        <v>0.89</v>
      </c>
      <c r="O3555" t="s">
        <v>52</v>
      </c>
    </row>
    <row r="3556" spans="1:15" x14ac:dyDescent="0.3">
      <c r="A3556" t="s">
        <v>374</v>
      </c>
      <c r="B3556" s="5">
        <v>66</v>
      </c>
      <c r="C3556" s="5" t="str" cm="1">
        <f t="array" ref="C3556">_xlfn.IFS(worksheet[[#This Row],[age]]&lt;25,"1. Young Adulthood (18-24)",worksheet[[#This Row],[age]]&lt; 35,"2. Early Adulthood (25-34)",worksheet[[#This Row],[age]]&lt; 45,"3. Mid Adulthood (35-44)",worksheet[[#This Row],[age]]&lt; 55,"4. Mature Adulthood (45-54)",TRUE,"5. Late Adulthood/Senior (55+)")</f>
        <v>5. Late Adulthood/Senior (55+)</v>
      </c>
      <c r="D3556" t="s">
        <v>27</v>
      </c>
      <c r="E3556" t="s">
        <v>32</v>
      </c>
      <c r="F3556" s="4">
        <v>5.8</v>
      </c>
      <c r="G3556" s="5">
        <v>41</v>
      </c>
      <c r="H3556" t="s">
        <v>33</v>
      </c>
      <c r="I3556" t="s">
        <v>18</v>
      </c>
      <c r="J3556" s="6">
        <v>17.989999999999998</v>
      </c>
      <c r="K3556">
        <v>1</v>
      </c>
      <c r="L3556" t="s">
        <v>43</v>
      </c>
      <c r="M3556" s="5">
        <v>2</v>
      </c>
      <c r="N3556" s="4">
        <v>0.14000000000000001</v>
      </c>
      <c r="O3556" t="s">
        <v>52</v>
      </c>
    </row>
    <row r="3557" spans="1:15" x14ac:dyDescent="0.3">
      <c r="A3557" t="s">
        <v>375</v>
      </c>
      <c r="B3557" s="5">
        <v>58</v>
      </c>
      <c r="C3557" s="5" t="str" cm="1">
        <f t="array" ref="C3557">_xlfn.IFS(worksheet[[#This Row],[age]]&lt;25,"1. Young Adulthood (18-24)",worksheet[[#This Row],[age]]&lt; 35,"2. Early Adulthood (25-34)",worksheet[[#This Row],[age]]&lt; 45,"3. Mid Adulthood (35-44)",worksheet[[#This Row],[age]]&lt; 55,"4. Mature Adulthood (45-54)",TRUE,"5. Late Adulthood/Senior (55+)")</f>
        <v>5. Late Adulthood/Senior (55+)</v>
      </c>
      <c r="D3557" t="s">
        <v>15</v>
      </c>
      <c r="E3557" t="s">
        <v>22</v>
      </c>
      <c r="F3557" s="4">
        <v>24.34</v>
      </c>
      <c r="G3557" s="5">
        <v>31</v>
      </c>
      <c r="H3557" t="s">
        <v>28</v>
      </c>
      <c r="I3557" t="s">
        <v>46</v>
      </c>
      <c r="J3557" s="6">
        <v>13.99</v>
      </c>
      <c r="K3557">
        <v>0</v>
      </c>
      <c r="L3557" t="s">
        <v>29</v>
      </c>
      <c r="M3557" s="5">
        <v>1</v>
      </c>
      <c r="N3557" s="4">
        <v>0.76</v>
      </c>
      <c r="O3557" t="s">
        <v>47</v>
      </c>
    </row>
    <row r="3558" spans="1:15" x14ac:dyDescent="0.3">
      <c r="A3558" t="s">
        <v>378</v>
      </c>
      <c r="B3558" s="5">
        <v>56</v>
      </c>
      <c r="C3558" s="5" t="str" cm="1">
        <f t="array" ref="C3558">_xlfn.IFS(worksheet[[#This Row],[age]]&lt;25,"1. Young Adulthood (18-24)",worksheet[[#This Row],[age]]&lt; 35,"2. Early Adulthood (25-34)",worksheet[[#This Row],[age]]&lt; 45,"3. Mid Adulthood (35-44)",worksheet[[#This Row],[age]]&lt; 55,"4. Mature Adulthood (45-54)",TRUE,"5. Late Adulthood/Senior (55+)")</f>
        <v>5. Late Adulthood/Senior (55+)</v>
      </c>
      <c r="D3558" t="s">
        <v>15</v>
      </c>
      <c r="E3558" t="s">
        <v>32</v>
      </c>
      <c r="F3558" s="4">
        <v>1.65</v>
      </c>
      <c r="G3558" s="5">
        <v>30</v>
      </c>
      <c r="H3558" t="s">
        <v>17</v>
      </c>
      <c r="I3558" t="s">
        <v>24</v>
      </c>
      <c r="J3558" s="6">
        <v>17.989999999999998</v>
      </c>
      <c r="K3558">
        <v>1</v>
      </c>
      <c r="L3558" t="s">
        <v>19</v>
      </c>
      <c r="M3558" s="5">
        <v>4</v>
      </c>
      <c r="N3558" s="4">
        <v>0.05</v>
      </c>
      <c r="O3558" t="s">
        <v>20</v>
      </c>
    </row>
    <row r="3559" spans="1:15" x14ac:dyDescent="0.3">
      <c r="A3559" t="s">
        <v>382</v>
      </c>
      <c r="B3559" s="5">
        <v>66</v>
      </c>
      <c r="C3559" s="5" t="str" cm="1">
        <f t="array" ref="C3559">_xlfn.IFS(worksheet[[#This Row],[age]]&lt;25,"1. Young Adulthood (18-24)",worksheet[[#This Row],[age]]&lt; 35,"2. Early Adulthood (25-34)",worksheet[[#This Row],[age]]&lt; 45,"3. Mid Adulthood (35-44)",worksheet[[#This Row],[age]]&lt; 55,"4. Mature Adulthood (45-54)",TRUE,"5. Late Adulthood/Senior (55+)")</f>
        <v>5. Late Adulthood/Senior (55+)</v>
      </c>
      <c r="D3559" t="s">
        <v>15</v>
      </c>
      <c r="E3559" t="s">
        <v>32</v>
      </c>
      <c r="F3559" s="4">
        <v>92.07</v>
      </c>
      <c r="G3559" s="5">
        <v>58</v>
      </c>
      <c r="H3559" t="s">
        <v>70</v>
      </c>
      <c r="I3559" t="s">
        <v>24</v>
      </c>
      <c r="J3559" s="6">
        <v>17.989999999999998</v>
      </c>
      <c r="K3559">
        <v>0</v>
      </c>
      <c r="L3559" t="s">
        <v>43</v>
      </c>
      <c r="M3559" s="5">
        <v>3</v>
      </c>
      <c r="N3559" s="4">
        <v>1.56</v>
      </c>
      <c r="O3559" t="s">
        <v>47</v>
      </c>
    </row>
    <row r="3560" spans="1:15" x14ac:dyDescent="0.3">
      <c r="A3560" t="s">
        <v>385</v>
      </c>
      <c r="B3560" s="5">
        <v>65</v>
      </c>
      <c r="C3560" s="5" t="str" cm="1">
        <f t="array" ref="C3560">_xlfn.IFS(worksheet[[#This Row],[age]]&lt;25,"1. Young Adulthood (18-24)",worksheet[[#This Row],[age]]&lt; 35,"2. Early Adulthood (25-34)",worksheet[[#This Row],[age]]&lt; 45,"3. Mid Adulthood (35-44)",worksheet[[#This Row],[age]]&lt; 55,"4. Mature Adulthood (45-54)",TRUE,"5. Late Adulthood/Senior (55+)")</f>
        <v>5. Late Adulthood/Senior (55+)</v>
      </c>
      <c r="D3560" t="s">
        <v>15</v>
      </c>
      <c r="E3560" t="s">
        <v>22</v>
      </c>
      <c r="F3560" s="4">
        <v>0.4</v>
      </c>
      <c r="G3560" s="5">
        <v>48</v>
      </c>
      <c r="H3560" t="s">
        <v>23</v>
      </c>
      <c r="I3560" t="s">
        <v>18</v>
      </c>
      <c r="J3560" s="6">
        <v>13.99</v>
      </c>
      <c r="K3560">
        <v>1</v>
      </c>
      <c r="L3560" t="s">
        <v>19</v>
      </c>
      <c r="M3560" s="5">
        <v>5</v>
      </c>
      <c r="N3560" s="4">
        <v>0.01</v>
      </c>
      <c r="O3560" t="s">
        <v>47</v>
      </c>
    </row>
    <row r="3561" spans="1:15" x14ac:dyDescent="0.3">
      <c r="A3561" t="s">
        <v>386</v>
      </c>
      <c r="B3561" s="5">
        <v>64</v>
      </c>
      <c r="C3561" s="5" t="str" cm="1">
        <f t="array" ref="C3561">_xlfn.IFS(worksheet[[#This Row],[age]]&lt;25,"1. Young Adulthood (18-24)",worksheet[[#This Row],[age]]&lt; 35,"2. Early Adulthood (25-34)",worksheet[[#This Row],[age]]&lt; 45,"3. Mid Adulthood (35-44)",worksheet[[#This Row],[age]]&lt; 55,"4. Mature Adulthood (45-54)",TRUE,"5. Late Adulthood/Senior (55+)")</f>
        <v>5. Late Adulthood/Senior (55+)</v>
      </c>
      <c r="D3561" t="s">
        <v>15</v>
      </c>
      <c r="E3561" t="s">
        <v>16</v>
      </c>
      <c r="F3561" s="4">
        <v>11.05</v>
      </c>
      <c r="G3561" s="5">
        <v>12</v>
      </c>
      <c r="H3561" t="s">
        <v>17</v>
      </c>
      <c r="I3561" t="s">
        <v>46</v>
      </c>
      <c r="J3561" s="6">
        <v>8.99</v>
      </c>
      <c r="K3561">
        <v>0</v>
      </c>
      <c r="L3561" t="s">
        <v>29</v>
      </c>
      <c r="M3561" s="5">
        <v>5</v>
      </c>
      <c r="N3561" s="4">
        <v>0.85</v>
      </c>
      <c r="O3561" t="s">
        <v>20</v>
      </c>
    </row>
    <row r="3562" spans="1:15" x14ac:dyDescent="0.3">
      <c r="A3562" t="s">
        <v>387</v>
      </c>
      <c r="B3562" s="5">
        <v>61</v>
      </c>
      <c r="C3562" s="5" t="str" cm="1">
        <f t="array" ref="C3562">_xlfn.IFS(worksheet[[#This Row],[age]]&lt;25,"1. Young Adulthood (18-24)",worksheet[[#This Row],[age]]&lt; 35,"2. Early Adulthood (25-34)",worksheet[[#This Row],[age]]&lt; 45,"3. Mid Adulthood (35-44)",worksheet[[#This Row],[age]]&lt; 55,"4. Mature Adulthood (45-54)",TRUE,"5. Late Adulthood/Senior (55+)")</f>
        <v>5. Late Adulthood/Senior (55+)</v>
      </c>
      <c r="D3562" t="s">
        <v>41</v>
      </c>
      <c r="E3562" t="s">
        <v>32</v>
      </c>
      <c r="F3562" s="4">
        <v>25.26</v>
      </c>
      <c r="G3562" s="5">
        <v>7</v>
      </c>
      <c r="H3562" t="s">
        <v>70</v>
      </c>
      <c r="I3562" t="s">
        <v>57</v>
      </c>
      <c r="J3562" s="6">
        <v>17.989999999999998</v>
      </c>
      <c r="K3562">
        <v>0</v>
      </c>
      <c r="L3562" t="s">
        <v>37</v>
      </c>
      <c r="M3562" s="5">
        <v>5</v>
      </c>
      <c r="N3562" s="4">
        <v>3.16</v>
      </c>
      <c r="O3562" t="s">
        <v>34</v>
      </c>
    </row>
    <row r="3563" spans="1:15" x14ac:dyDescent="0.3">
      <c r="A3563" t="s">
        <v>389</v>
      </c>
      <c r="B3563" s="5">
        <v>56</v>
      </c>
      <c r="C3563" s="5" t="str" cm="1">
        <f t="array" ref="C3563">_xlfn.IFS(worksheet[[#This Row],[age]]&lt;25,"1. Young Adulthood (18-24)",worksheet[[#This Row],[age]]&lt; 35,"2. Early Adulthood (25-34)",worksheet[[#This Row],[age]]&lt; 45,"3. Mid Adulthood (35-44)",worksheet[[#This Row],[age]]&lt; 55,"4. Mature Adulthood (45-54)",TRUE,"5. Late Adulthood/Senior (55+)")</f>
        <v>5. Late Adulthood/Senior (55+)</v>
      </c>
      <c r="D3563" t="s">
        <v>15</v>
      </c>
      <c r="E3563" t="s">
        <v>22</v>
      </c>
      <c r="F3563" s="4">
        <v>10.6</v>
      </c>
      <c r="G3563" s="5">
        <v>55</v>
      </c>
      <c r="H3563" t="s">
        <v>33</v>
      </c>
      <c r="I3563" t="s">
        <v>46</v>
      </c>
      <c r="J3563" s="6">
        <v>13.99</v>
      </c>
      <c r="K3563">
        <v>1</v>
      </c>
      <c r="L3563" t="s">
        <v>61</v>
      </c>
      <c r="M3563" s="5">
        <v>1</v>
      </c>
      <c r="N3563" s="4">
        <v>0.19</v>
      </c>
      <c r="O3563" t="s">
        <v>25</v>
      </c>
    </row>
    <row r="3564" spans="1:15" x14ac:dyDescent="0.3">
      <c r="A3564" t="s">
        <v>390</v>
      </c>
      <c r="B3564" s="5">
        <v>70</v>
      </c>
      <c r="C3564" s="5" t="str" cm="1">
        <f t="array" ref="C3564">_xlfn.IFS(worksheet[[#This Row],[age]]&lt;25,"1. Young Adulthood (18-24)",worksheet[[#This Row],[age]]&lt; 35,"2. Early Adulthood (25-34)",worksheet[[#This Row],[age]]&lt; 45,"3. Mid Adulthood (35-44)",worksheet[[#This Row],[age]]&lt; 55,"4. Mature Adulthood (45-54)",TRUE,"5. Late Adulthood/Senior (55+)")</f>
        <v>5. Late Adulthood/Senior (55+)</v>
      </c>
      <c r="D3564" t="s">
        <v>27</v>
      </c>
      <c r="E3564" t="s">
        <v>22</v>
      </c>
      <c r="F3564" s="4">
        <v>2.4</v>
      </c>
      <c r="G3564" s="5">
        <v>12</v>
      </c>
      <c r="H3564" t="s">
        <v>28</v>
      </c>
      <c r="I3564" t="s">
        <v>55</v>
      </c>
      <c r="J3564" s="6">
        <v>13.99</v>
      </c>
      <c r="K3564">
        <v>0</v>
      </c>
      <c r="L3564" t="s">
        <v>43</v>
      </c>
      <c r="M3564" s="5">
        <v>5</v>
      </c>
      <c r="N3564" s="4">
        <v>0.18</v>
      </c>
      <c r="O3564" t="s">
        <v>47</v>
      </c>
    </row>
    <row r="3565" spans="1:15" x14ac:dyDescent="0.3">
      <c r="A3565" t="s">
        <v>392</v>
      </c>
      <c r="B3565" s="5">
        <v>63</v>
      </c>
      <c r="C3565" s="5" t="str" cm="1">
        <f t="array" ref="C3565">_xlfn.IFS(worksheet[[#This Row],[age]]&lt;25,"1. Young Adulthood (18-24)",worksheet[[#This Row],[age]]&lt; 35,"2. Early Adulthood (25-34)",worksheet[[#This Row],[age]]&lt; 45,"3. Mid Adulthood (35-44)",worksheet[[#This Row],[age]]&lt; 55,"4. Mature Adulthood (45-54)",TRUE,"5. Late Adulthood/Senior (55+)")</f>
        <v>5. Late Adulthood/Senior (55+)</v>
      </c>
      <c r="D3565" t="s">
        <v>41</v>
      </c>
      <c r="E3565" t="s">
        <v>22</v>
      </c>
      <c r="F3565" s="4">
        <v>31.54</v>
      </c>
      <c r="G3565" s="5">
        <v>44</v>
      </c>
      <c r="H3565" t="s">
        <v>70</v>
      </c>
      <c r="I3565" t="s">
        <v>18</v>
      </c>
      <c r="J3565" s="6">
        <v>13.99</v>
      </c>
      <c r="K3565">
        <v>0</v>
      </c>
      <c r="L3565" t="s">
        <v>29</v>
      </c>
      <c r="M3565" s="5">
        <v>5</v>
      </c>
      <c r="N3565" s="4">
        <v>0.7</v>
      </c>
      <c r="O3565" t="s">
        <v>30</v>
      </c>
    </row>
    <row r="3566" spans="1:15" x14ac:dyDescent="0.3">
      <c r="A3566" t="s">
        <v>393</v>
      </c>
      <c r="B3566" s="5">
        <v>56</v>
      </c>
      <c r="C3566" s="5" t="str" cm="1">
        <f t="array" ref="C3566">_xlfn.IFS(worksheet[[#This Row],[age]]&lt;25,"1. Young Adulthood (18-24)",worksheet[[#This Row],[age]]&lt; 35,"2. Early Adulthood (25-34)",worksheet[[#This Row],[age]]&lt; 45,"3. Mid Adulthood (35-44)",worksheet[[#This Row],[age]]&lt; 55,"4. Mature Adulthood (45-54)",TRUE,"5. Late Adulthood/Senior (55+)")</f>
        <v>5. Late Adulthood/Senior (55+)</v>
      </c>
      <c r="D3566" t="s">
        <v>15</v>
      </c>
      <c r="E3566" t="s">
        <v>22</v>
      </c>
      <c r="F3566" s="4">
        <v>17.440000000000001</v>
      </c>
      <c r="G3566" s="5">
        <v>11</v>
      </c>
      <c r="H3566" t="s">
        <v>33</v>
      </c>
      <c r="I3566" t="s">
        <v>18</v>
      </c>
      <c r="J3566" s="6">
        <v>13.99</v>
      </c>
      <c r="K3566">
        <v>0</v>
      </c>
      <c r="L3566" t="s">
        <v>29</v>
      </c>
      <c r="M3566" s="5">
        <v>1</v>
      </c>
      <c r="N3566" s="4">
        <v>1.45</v>
      </c>
      <c r="O3566" t="s">
        <v>52</v>
      </c>
    </row>
    <row r="3567" spans="1:15" x14ac:dyDescent="0.3">
      <c r="A3567" t="s">
        <v>394</v>
      </c>
      <c r="B3567" s="5">
        <v>64</v>
      </c>
      <c r="C3567" s="5" t="str" cm="1">
        <f t="array" ref="C3567">_xlfn.IFS(worksheet[[#This Row],[age]]&lt;25,"1. Young Adulthood (18-24)",worksheet[[#This Row],[age]]&lt; 35,"2. Early Adulthood (25-34)",worksheet[[#This Row],[age]]&lt; 45,"3. Mid Adulthood (35-44)",worksheet[[#This Row],[age]]&lt; 55,"4. Mature Adulthood (45-54)",TRUE,"5. Late Adulthood/Senior (55+)")</f>
        <v>5. Late Adulthood/Senior (55+)</v>
      </c>
      <c r="D3567" t="s">
        <v>41</v>
      </c>
      <c r="E3567" t="s">
        <v>16</v>
      </c>
      <c r="F3567" s="4">
        <v>4.74</v>
      </c>
      <c r="G3567" s="5">
        <v>39</v>
      </c>
      <c r="H3567" t="s">
        <v>23</v>
      </c>
      <c r="I3567" t="s">
        <v>24</v>
      </c>
      <c r="J3567" s="6">
        <v>8.99</v>
      </c>
      <c r="K3567">
        <v>1</v>
      </c>
      <c r="L3567" t="s">
        <v>29</v>
      </c>
      <c r="M3567" s="5">
        <v>3</v>
      </c>
      <c r="N3567" s="4">
        <v>0.12</v>
      </c>
      <c r="O3567" t="s">
        <v>20</v>
      </c>
    </row>
    <row r="3568" spans="1:15" x14ac:dyDescent="0.3">
      <c r="A3568" t="s">
        <v>396</v>
      </c>
      <c r="B3568" s="5">
        <v>60</v>
      </c>
      <c r="C3568" s="5" t="str" cm="1">
        <f t="array" ref="C3568">_xlfn.IFS(worksheet[[#This Row],[age]]&lt;25,"1. Young Adulthood (18-24)",worksheet[[#This Row],[age]]&lt; 35,"2. Early Adulthood (25-34)",worksheet[[#This Row],[age]]&lt; 45,"3. Mid Adulthood (35-44)",worksheet[[#This Row],[age]]&lt; 55,"4. Mature Adulthood (45-54)",TRUE,"5. Late Adulthood/Senior (55+)")</f>
        <v>5. Late Adulthood/Senior (55+)</v>
      </c>
      <c r="D3568" t="s">
        <v>41</v>
      </c>
      <c r="E3568" t="s">
        <v>22</v>
      </c>
      <c r="F3568" s="4">
        <v>7.61</v>
      </c>
      <c r="G3568" s="5">
        <v>8</v>
      </c>
      <c r="H3568" t="s">
        <v>23</v>
      </c>
      <c r="I3568" t="s">
        <v>46</v>
      </c>
      <c r="J3568" s="6">
        <v>13.99</v>
      </c>
      <c r="K3568">
        <v>0</v>
      </c>
      <c r="L3568" t="s">
        <v>29</v>
      </c>
      <c r="M3568" s="5">
        <v>5</v>
      </c>
      <c r="N3568" s="4">
        <v>0.85</v>
      </c>
      <c r="O3568" t="s">
        <v>34</v>
      </c>
    </row>
    <row r="3569" spans="1:15" x14ac:dyDescent="0.3">
      <c r="A3569" t="s">
        <v>400</v>
      </c>
      <c r="B3569" s="5">
        <v>64</v>
      </c>
      <c r="C3569" s="5" t="str" cm="1">
        <f t="array" ref="C3569">_xlfn.IFS(worksheet[[#This Row],[age]]&lt;25,"1. Young Adulthood (18-24)",worksheet[[#This Row],[age]]&lt; 35,"2. Early Adulthood (25-34)",worksheet[[#This Row],[age]]&lt; 45,"3. Mid Adulthood (35-44)",worksheet[[#This Row],[age]]&lt; 55,"4. Mature Adulthood (45-54)",TRUE,"5. Late Adulthood/Senior (55+)")</f>
        <v>5. Late Adulthood/Senior (55+)</v>
      </c>
      <c r="D3569" t="s">
        <v>27</v>
      </c>
      <c r="E3569" t="s">
        <v>22</v>
      </c>
      <c r="F3569" s="4">
        <v>10.78</v>
      </c>
      <c r="G3569" s="5">
        <v>10</v>
      </c>
      <c r="H3569" t="s">
        <v>33</v>
      </c>
      <c r="I3569" t="s">
        <v>24</v>
      </c>
      <c r="J3569" s="6">
        <v>13.99</v>
      </c>
      <c r="K3569">
        <v>0</v>
      </c>
      <c r="L3569" t="s">
        <v>43</v>
      </c>
      <c r="M3569" s="5">
        <v>3</v>
      </c>
      <c r="N3569" s="4">
        <v>0.98</v>
      </c>
      <c r="O3569" t="s">
        <v>30</v>
      </c>
    </row>
    <row r="3570" spans="1:15" x14ac:dyDescent="0.3">
      <c r="A3570" t="s">
        <v>403</v>
      </c>
      <c r="B3570" s="5">
        <v>59</v>
      </c>
      <c r="C3570" s="5" t="str" cm="1">
        <f t="array" ref="C3570">_xlfn.IFS(worksheet[[#This Row],[age]]&lt;25,"1. Young Adulthood (18-24)",worksheet[[#This Row],[age]]&lt; 35,"2. Early Adulthood (25-34)",worksheet[[#This Row],[age]]&lt; 45,"3. Mid Adulthood (35-44)",worksheet[[#This Row],[age]]&lt; 55,"4. Mature Adulthood (45-54)",TRUE,"5. Late Adulthood/Senior (55+)")</f>
        <v>5. Late Adulthood/Senior (55+)</v>
      </c>
      <c r="D3570" t="s">
        <v>15</v>
      </c>
      <c r="E3570" t="s">
        <v>16</v>
      </c>
      <c r="F3570" s="4">
        <v>0.27</v>
      </c>
      <c r="G3570" s="5">
        <v>44</v>
      </c>
      <c r="H3570" t="s">
        <v>70</v>
      </c>
      <c r="I3570" t="s">
        <v>46</v>
      </c>
      <c r="J3570" s="6">
        <v>8.99</v>
      </c>
      <c r="K3570">
        <v>1</v>
      </c>
      <c r="L3570" t="s">
        <v>43</v>
      </c>
      <c r="M3570" s="5">
        <v>5</v>
      </c>
      <c r="N3570" s="4">
        <v>0.01</v>
      </c>
      <c r="O3570" t="s">
        <v>30</v>
      </c>
    </row>
    <row r="3571" spans="1:15" x14ac:dyDescent="0.3">
      <c r="A3571" t="s">
        <v>404</v>
      </c>
      <c r="B3571" s="5">
        <v>68</v>
      </c>
      <c r="C3571" s="5" t="str" cm="1">
        <f t="array" ref="C3571">_xlfn.IFS(worksheet[[#This Row],[age]]&lt;25,"1. Young Adulthood (18-24)",worksheet[[#This Row],[age]]&lt; 35,"2. Early Adulthood (25-34)",worksheet[[#This Row],[age]]&lt; 45,"3. Mid Adulthood (35-44)",worksheet[[#This Row],[age]]&lt; 55,"4. Mature Adulthood (45-54)",TRUE,"5. Late Adulthood/Senior (55+)")</f>
        <v>5. Late Adulthood/Senior (55+)</v>
      </c>
      <c r="D3571" t="s">
        <v>41</v>
      </c>
      <c r="E3571" t="s">
        <v>22</v>
      </c>
      <c r="F3571" s="4">
        <v>44.63</v>
      </c>
      <c r="G3571" s="5">
        <v>53</v>
      </c>
      <c r="H3571" t="s">
        <v>33</v>
      </c>
      <c r="I3571" t="s">
        <v>24</v>
      </c>
      <c r="J3571" s="6">
        <v>13.99</v>
      </c>
      <c r="K3571">
        <v>0</v>
      </c>
      <c r="L3571" t="s">
        <v>61</v>
      </c>
      <c r="M3571" s="5">
        <v>5</v>
      </c>
      <c r="N3571" s="4">
        <v>0.83</v>
      </c>
      <c r="O3571" t="s">
        <v>25</v>
      </c>
    </row>
    <row r="3572" spans="1:15" x14ac:dyDescent="0.3">
      <c r="A3572" t="s">
        <v>410</v>
      </c>
      <c r="B3572" s="5">
        <v>57</v>
      </c>
      <c r="C3572" s="5" t="str" cm="1">
        <f t="array" ref="C3572">_xlfn.IFS(worksheet[[#This Row],[age]]&lt;25,"1. Young Adulthood (18-24)",worksheet[[#This Row],[age]]&lt; 35,"2. Early Adulthood (25-34)",worksheet[[#This Row],[age]]&lt; 45,"3. Mid Adulthood (35-44)",worksheet[[#This Row],[age]]&lt; 55,"4. Mature Adulthood (45-54)",TRUE,"5. Late Adulthood/Senior (55+)")</f>
        <v>5. Late Adulthood/Senior (55+)</v>
      </c>
      <c r="D3572" t="s">
        <v>41</v>
      </c>
      <c r="E3572" t="s">
        <v>22</v>
      </c>
      <c r="F3572" s="4">
        <v>2.31</v>
      </c>
      <c r="G3572" s="5">
        <v>29</v>
      </c>
      <c r="H3572" t="s">
        <v>23</v>
      </c>
      <c r="I3572" t="s">
        <v>57</v>
      </c>
      <c r="J3572" s="6">
        <v>13.99</v>
      </c>
      <c r="K3572">
        <v>1</v>
      </c>
      <c r="L3572" t="s">
        <v>29</v>
      </c>
      <c r="M3572" s="5">
        <v>1</v>
      </c>
      <c r="N3572" s="4">
        <v>0.08</v>
      </c>
      <c r="O3572" t="s">
        <v>25</v>
      </c>
    </row>
    <row r="3573" spans="1:15" x14ac:dyDescent="0.3">
      <c r="A3573" t="s">
        <v>419</v>
      </c>
      <c r="B3573" s="5">
        <v>57</v>
      </c>
      <c r="C3573" s="5" t="str" cm="1">
        <f t="array" ref="C3573">_xlfn.IFS(worksheet[[#This Row],[age]]&lt;25,"1. Young Adulthood (18-24)",worksheet[[#This Row],[age]]&lt; 35,"2. Early Adulthood (25-34)",worksheet[[#This Row],[age]]&lt; 45,"3. Mid Adulthood (35-44)",worksheet[[#This Row],[age]]&lt; 55,"4. Mature Adulthood (45-54)",TRUE,"5. Late Adulthood/Senior (55+)")</f>
        <v>5. Late Adulthood/Senior (55+)</v>
      </c>
      <c r="D3573" t="s">
        <v>15</v>
      </c>
      <c r="E3573" t="s">
        <v>16</v>
      </c>
      <c r="F3573" s="4">
        <v>9.8800000000000008</v>
      </c>
      <c r="G3573" s="5">
        <v>44</v>
      </c>
      <c r="H3573" t="s">
        <v>23</v>
      </c>
      <c r="I3573" t="s">
        <v>24</v>
      </c>
      <c r="J3573" s="6">
        <v>8.99</v>
      </c>
      <c r="K3573">
        <v>1</v>
      </c>
      <c r="L3573" t="s">
        <v>37</v>
      </c>
      <c r="M3573" s="5">
        <v>3</v>
      </c>
      <c r="N3573" s="4">
        <v>0.22</v>
      </c>
      <c r="O3573" t="s">
        <v>20</v>
      </c>
    </row>
    <row r="3574" spans="1:15" x14ac:dyDescent="0.3">
      <c r="A3574" t="s">
        <v>420</v>
      </c>
      <c r="B3574" s="5">
        <v>70</v>
      </c>
      <c r="C3574" s="5" t="str" cm="1">
        <f t="array" ref="C3574">_xlfn.IFS(worksheet[[#This Row],[age]]&lt;25,"1. Young Adulthood (18-24)",worksheet[[#This Row],[age]]&lt; 35,"2. Early Adulthood (25-34)",worksheet[[#This Row],[age]]&lt; 45,"3. Mid Adulthood (35-44)",worksheet[[#This Row],[age]]&lt; 55,"4. Mature Adulthood (45-54)",TRUE,"5. Late Adulthood/Senior (55+)")</f>
        <v>5. Late Adulthood/Senior (55+)</v>
      </c>
      <c r="D3574" t="s">
        <v>15</v>
      </c>
      <c r="E3574" t="s">
        <v>22</v>
      </c>
      <c r="F3574" s="4">
        <v>21.33</v>
      </c>
      <c r="G3574" s="5">
        <v>47</v>
      </c>
      <c r="H3574" t="s">
        <v>23</v>
      </c>
      <c r="I3574" t="s">
        <v>57</v>
      </c>
      <c r="J3574" s="6">
        <v>13.99</v>
      </c>
      <c r="K3574">
        <v>0</v>
      </c>
      <c r="L3574" t="s">
        <v>37</v>
      </c>
      <c r="M3574" s="5">
        <v>1</v>
      </c>
      <c r="N3574" s="4">
        <v>0.44</v>
      </c>
      <c r="O3574" t="s">
        <v>25</v>
      </c>
    </row>
    <row r="3575" spans="1:15" x14ac:dyDescent="0.3">
      <c r="A3575" t="s">
        <v>421</v>
      </c>
      <c r="B3575" s="5">
        <v>65</v>
      </c>
      <c r="C3575" s="5" t="str" cm="1">
        <f t="array" ref="C3575">_xlfn.IFS(worksheet[[#This Row],[age]]&lt;25,"1. Young Adulthood (18-24)",worksheet[[#This Row],[age]]&lt; 35,"2. Early Adulthood (25-34)",worksheet[[#This Row],[age]]&lt; 45,"3. Mid Adulthood (35-44)",worksheet[[#This Row],[age]]&lt; 55,"4. Mature Adulthood (45-54)",TRUE,"5. Late Adulthood/Senior (55+)")</f>
        <v>5. Late Adulthood/Senior (55+)</v>
      </c>
      <c r="D3575" t="s">
        <v>41</v>
      </c>
      <c r="E3575" t="s">
        <v>16</v>
      </c>
      <c r="F3575" s="4">
        <v>4.2</v>
      </c>
      <c r="G3575" s="5">
        <v>54</v>
      </c>
      <c r="H3575" t="s">
        <v>70</v>
      </c>
      <c r="I3575" t="s">
        <v>24</v>
      </c>
      <c r="J3575" s="6">
        <v>8.99</v>
      </c>
      <c r="K3575">
        <v>1</v>
      </c>
      <c r="L3575" t="s">
        <v>29</v>
      </c>
      <c r="M3575" s="5">
        <v>4</v>
      </c>
      <c r="N3575" s="4">
        <v>0.08</v>
      </c>
      <c r="O3575" t="s">
        <v>52</v>
      </c>
    </row>
    <row r="3576" spans="1:15" x14ac:dyDescent="0.3">
      <c r="A3576" t="s">
        <v>424</v>
      </c>
      <c r="B3576" s="5">
        <v>70</v>
      </c>
      <c r="C3576" s="5" t="str" cm="1">
        <f t="array" ref="C3576">_xlfn.IFS(worksheet[[#This Row],[age]]&lt;25,"1. Young Adulthood (18-24)",worksheet[[#This Row],[age]]&lt; 35,"2. Early Adulthood (25-34)",worksheet[[#This Row],[age]]&lt; 45,"3. Mid Adulthood (35-44)",worksheet[[#This Row],[age]]&lt; 55,"4. Mature Adulthood (45-54)",TRUE,"5. Late Adulthood/Senior (55+)")</f>
        <v>5. Late Adulthood/Senior (55+)</v>
      </c>
      <c r="D3576" t="s">
        <v>15</v>
      </c>
      <c r="E3576" t="s">
        <v>32</v>
      </c>
      <c r="F3576" s="4">
        <v>13.24</v>
      </c>
      <c r="G3576" s="5">
        <v>1</v>
      </c>
      <c r="H3576" t="s">
        <v>17</v>
      </c>
      <c r="I3576" t="s">
        <v>18</v>
      </c>
      <c r="J3576" s="6">
        <v>17.989999999999998</v>
      </c>
      <c r="K3576">
        <v>0</v>
      </c>
      <c r="L3576" t="s">
        <v>19</v>
      </c>
      <c r="M3576" s="5">
        <v>5</v>
      </c>
      <c r="N3576" s="4">
        <v>6.62</v>
      </c>
      <c r="O3576" t="s">
        <v>30</v>
      </c>
    </row>
    <row r="3577" spans="1:15" x14ac:dyDescent="0.3">
      <c r="A3577" t="s">
        <v>425</v>
      </c>
      <c r="B3577" s="5">
        <v>55</v>
      </c>
      <c r="C3577" s="5" t="str" cm="1">
        <f t="array" ref="C3577">_xlfn.IFS(worksheet[[#This Row],[age]]&lt;25,"1. Young Adulthood (18-24)",worksheet[[#This Row],[age]]&lt; 35,"2. Early Adulthood (25-34)",worksheet[[#This Row],[age]]&lt; 45,"3. Mid Adulthood (35-44)",worksheet[[#This Row],[age]]&lt; 55,"4. Mature Adulthood (45-54)",TRUE,"5. Late Adulthood/Senior (55+)")</f>
        <v>5. Late Adulthood/Senior (55+)</v>
      </c>
      <c r="D3577" t="s">
        <v>41</v>
      </c>
      <c r="E3577" t="s">
        <v>22</v>
      </c>
      <c r="F3577" s="4">
        <v>7.78</v>
      </c>
      <c r="G3577" s="5">
        <v>7</v>
      </c>
      <c r="H3577" t="s">
        <v>28</v>
      </c>
      <c r="I3577" t="s">
        <v>24</v>
      </c>
      <c r="J3577" s="6">
        <v>13.99</v>
      </c>
      <c r="K3577">
        <v>0</v>
      </c>
      <c r="L3577" t="s">
        <v>43</v>
      </c>
      <c r="M3577" s="5">
        <v>3</v>
      </c>
      <c r="N3577" s="4">
        <v>0.97</v>
      </c>
      <c r="O3577" t="s">
        <v>30</v>
      </c>
    </row>
    <row r="3578" spans="1:15" x14ac:dyDescent="0.3">
      <c r="A3578" t="s">
        <v>427</v>
      </c>
      <c r="B3578" s="5">
        <v>68</v>
      </c>
      <c r="C3578" s="5" t="str" cm="1">
        <f t="array" ref="C3578">_xlfn.IFS(worksheet[[#This Row],[age]]&lt;25,"1. Young Adulthood (18-24)",worksheet[[#This Row],[age]]&lt; 35,"2. Early Adulthood (25-34)",worksheet[[#This Row],[age]]&lt; 45,"3. Mid Adulthood (35-44)",worksheet[[#This Row],[age]]&lt; 55,"4. Mature Adulthood (45-54)",TRUE,"5. Late Adulthood/Senior (55+)")</f>
        <v>5. Late Adulthood/Senior (55+)</v>
      </c>
      <c r="D3578" t="s">
        <v>15</v>
      </c>
      <c r="E3578" t="s">
        <v>32</v>
      </c>
      <c r="F3578" s="4">
        <v>4.12</v>
      </c>
      <c r="G3578" s="5">
        <v>31</v>
      </c>
      <c r="H3578" t="s">
        <v>23</v>
      </c>
      <c r="I3578" t="s">
        <v>18</v>
      </c>
      <c r="J3578" s="6">
        <v>17.989999999999998</v>
      </c>
      <c r="K3578">
        <v>1</v>
      </c>
      <c r="L3578" t="s">
        <v>61</v>
      </c>
      <c r="M3578" s="5">
        <v>5</v>
      </c>
      <c r="N3578" s="4">
        <v>0.13</v>
      </c>
      <c r="O3578" t="s">
        <v>30</v>
      </c>
    </row>
    <row r="3579" spans="1:15" x14ac:dyDescent="0.3">
      <c r="A3579" t="s">
        <v>429</v>
      </c>
      <c r="B3579" s="5">
        <v>65</v>
      </c>
      <c r="C3579" s="5" t="str" cm="1">
        <f t="array" ref="C3579">_xlfn.IFS(worksheet[[#This Row],[age]]&lt;25,"1. Young Adulthood (18-24)",worksheet[[#This Row],[age]]&lt; 35,"2. Early Adulthood (25-34)",worksheet[[#This Row],[age]]&lt; 45,"3. Mid Adulthood (35-44)",worksheet[[#This Row],[age]]&lt; 55,"4. Mature Adulthood (45-54)",TRUE,"5. Late Adulthood/Senior (55+)")</f>
        <v>5. Late Adulthood/Senior (55+)</v>
      </c>
      <c r="D3579" t="s">
        <v>27</v>
      </c>
      <c r="E3579" t="s">
        <v>32</v>
      </c>
      <c r="F3579" s="4">
        <v>14.47</v>
      </c>
      <c r="G3579" s="5">
        <v>31</v>
      </c>
      <c r="H3579" t="s">
        <v>49</v>
      </c>
      <c r="I3579" t="s">
        <v>18</v>
      </c>
      <c r="J3579" s="6">
        <v>17.989999999999998</v>
      </c>
      <c r="K3579">
        <v>0</v>
      </c>
      <c r="L3579" t="s">
        <v>37</v>
      </c>
      <c r="M3579" s="5">
        <v>5</v>
      </c>
      <c r="N3579" s="4">
        <v>0.45</v>
      </c>
      <c r="O3579" t="s">
        <v>30</v>
      </c>
    </row>
    <row r="3580" spans="1:15" x14ac:dyDescent="0.3">
      <c r="A3580" t="s">
        <v>436</v>
      </c>
      <c r="B3580" s="5">
        <v>70</v>
      </c>
      <c r="C3580" s="5" t="str" cm="1">
        <f t="array" ref="C3580">_xlfn.IFS(worksheet[[#This Row],[age]]&lt;25,"1. Young Adulthood (18-24)",worksheet[[#This Row],[age]]&lt; 35,"2. Early Adulthood (25-34)",worksheet[[#This Row],[age]]&lt; 45,"3. Mid Adulthood (35-44)",worksheet[[#This Row],[age]]&lt; 55,"4. Mature Adulthood (45-54)",TRUE,"5. Late Adulthood/Senior (55+)")</f>
        <v>5. Late Adulthood/Senior (55+)</v>
      </c>
      <c r="D3580" t="s">
        <v>15</v>
      </c>
      <c r="E3580" t="s">
        <v>22</v>
      </c>
      <c r="F3580" s="4">
        <v>4.6900000000000004</v>
      </c>
      <c r="G3580" s="5">
        <v>32</v>
      </c>
      <c r="H3580" t="s">
        <v>28</v>
      </c>
      <c r="I3580" t="s">
        <v>18</v>
      </c>
      <c r="J3580" s="6">
        <v>13.99</v>
      </c>
      <c r="K3580">
        <v>1</v>
      </c>
      <c r="L3580" t="s">
        <v>37</v>
      </c>
      <c r="M3580" s="5">
        <v>3</v>
      </c>
      <c r="N3580" s="4">
        <v>0.14000000000000001</v>
      </c>
      <c r="O3580" t="s">
        <v>52</v>
      </c>
    </row>
    <row r="3581" spans="1:15" x14ac:dyDescent="0.3">
      <c r="A3581" t="s">
        <v>440</v>
      </c>
      <c r="B3581" s="5">
        <v>67</v>
      </c>
      <c r="C3581" s="5" t="str" cm="1">
        <f t="array" ref="C3581">_xlfn.IFS(worksheet[[#This Row],[age]]&lt;25,"1. Young Adulthood (18-24)",worksheet[[#This Row],[age]]&lt; 35,"2. Early Adulthood (25-34)",worksheet[[#This Row],[age]]&lt; 45,"3. Mid Adulthood (35-44)",worksheet[[#This Row],[age]]&lt; 55,"4. Mature Adulthood (45-54)",TRUE,"5. Late Adulthood/Senior (55+)")</f>
        <v>5. Late Adulthood/Senior (55+)</v>
      </c>
      <c r="D3581" t="s">
        <v>41</v>
      </c>
      <c r="E3581" t="s">
        <v>22</v>
      </c>
      <c r="F3581" s="4">
        <v>19.48</v>
      </c>
      <c r="G3581" s="5">
        <v>25</v>
      </c>
      <c r="H3581" t="s">
        <v>70</v>
      </c>
      <c r="I3581" t="s">
        <v>24</v>
      </c>
      <c r="J3581" s="6">
        <v>13.99</v>
      </c>
      <c r="K3581">
        <v>0</v>
      </c>
      <c r="L3581" t="s">
        <v>37</v>
      </c>
      <c r="M3581" s="5">
        <v>2</v>
      </c>
      <c r="N3581" s="4">
        <v>0.75</v>
      </c>
      <c r="O3581" t="s">
        <v>30</v>
      </c>
    </row>
    <row r="3582" spans="1:15" x14ac:dyDescent="0.3">
      <c r="A3582" t="s">
        <v>443</v>
      </c>
      <c r="B3582" s="5">
        <v>66</v>
      </c>
      <c r="C3582" s="5" t="str" cm="1">
        <f t="array" ref="C3582">_xlfn.IFS(worksheet[[#This Row],[age]]&lt;25,"1. Young Adulthood (18-24)",worksheet[[#This Row],[age]]&lt; 35,"2. Early Adulthood (25-34)",worksheet[[#This Row],[age]]&lt; 45,"3. Mid Adulthood (35-44)",worksheet[[#This Row],[age]]&lt; 55,"4. Mature Adulthood (45-54)",TRUE,"5. Late Adulthood/Senior (55+)")</f>
        <v>5. Late Adulthood/Senior (55+)</v>
      </c>
      <c r="D3582" t="s">
        <v>27</v>
      </c>
      <c r="E3582" t="s">
        <v>32</v>
      </c>
      <c r="F3582" s="4">
        <v>16.22</v>
      </c>
      <c r="G3582" s="5">
        <v>0</v>
      </c>
      <c r="H3582" t="s">
        <v>23</v>
      </c>
      <c r="I3582" t="s">
        <v>18</v>
      </c>
      <c r="J3582" s="6">
        <v>17.989999999999998</v>
      </c>
      <c r="K3582">
        <v>0</v>
      </c>
      <c r="L3582" t="s">
        <v>19</v>
      </c>
      <c r="M3582" s="5">
        <v>2</v>
      </c>
      <c r="N3582" s="4">
        <v>16.22</v>
      </c>
      <c r="O3582" t="s">
        <v>30</v>
      </c>
    </row>
    <row r="3583" spans="1:15" x14ac:dyDescent="0.3">
      <c r="A3583" t="s">
        <v>444</v>
      </c>
      <c r="B3583" s="5">
        <v>58</v>
      </c>
      <c r="C3583" s="5" t="str" cm="1">
        <f t="array" ref="C3583">_xlfn.IFS(worksheet[[#This Row],[age]]&lt;25,"1. Young Adulthood (18-24)",worksheet[[#This Row],[age]]&lt; 35,"2. Early Adulthood (25-34)",worksheet[[#This Row],[age]]&lt; 45,"3. Mid Adulthood (35-44)",worksheet[[#This Row],[age]]&lt; 55,"4. Mature Adulthood (45-54)",TRUE,"5. Late Adulthood/Senior (55+)")</f>
        <v>5. Late Adulthood/Senior (55+)</v>
      </c>
      <c r="D3583" t="s">
        <v>27</v>
      </c>
      <c r="E3583" t="s">
        <v>22</v>
      </c>
      <c r="F3583" s="4">
        <v>4.3899999999999997</v>
      </c>
      <c r="G3583" s="5">
        <v>11</v>
      </c>
      <c r="H3583" t="s">
        <v>49</v>
      </c>
      <c r="I3583" t="s">
        <v>24</v>
      </c>
      <c r="J3583" s="6">
        <v>13.99</v>
      </c>
      <c r="K3583">
        <v>0</v>
      </c>
      <c r="L3583" t="s">
        <v>37</v>
      </c>
      <c r="M3583" s="5">
        <v>5</v>
      </c>
      <c r="N3583" s="4">
        <v>0.37</v>
      </c>
      <c r="O3583" t="s">
        <v>39</v>
      </c>
    </row>
    <row r="3584" spans="1:15" x14ac:dyDescent="0.3">
      <c r="A3584" t="s">
        <v>449</v>
      </c>
      <c r="B3584" s="5">
        <v>65</v>
      </c>
      <c r="C3584" s="5" t="str" cm="1">
        <f t="array" ref="C3584">_xlfn.IFS(worksheet[[#This Row],[age]]&lt;25,"1. Young Adulthood (18-24)",worksheet[[#This Row],[age]]&lt; 35,"2. Early Adulthood (25-34)",worksheet[[#This Row],[age]]&lt; 45,"3. Mid Adulthood (35-44)",worksheet[[#This Row],[age]]&lt; 55,"4. Mature Adulthood (45-54)",TRUE,"5. Late Adulthood/Senior (55+)")</f>
        <v>5. Late Adulthood/Senior (55+)</v>
      </c>
      <c r="D3584" t="s">
        <v>15</v>
      </c>
      <c r="E3584" t="s">
        <v>16</v>
      </c>
      <c r="F3584" s="4">
        <v>3.9</v>
      </c>
      <c r="G3584" s="5">
        <v>14</v>
      </c>
      <c r="H3584" t="s">
        <v>23</v>
      </c>
      <c r="I3584" t="s">
        <v>24</v>
      </c>
      <c r="J3584" s="6">
        <v>8.99</v>
      </c>
      <c r="K3584">
        <v>1</v>
      </c>
      <c r="L3584" t="s">
        <v>37</v>
      </c>
      <c r="M3584" s="5">
        <v>4</v>
      </c>
      <c r="N3584" s="4">
        <v>0.26</v>
      </c>
      <c r="O3584" t="s">
        <v>25</v>
      </c>
    </row>
    <row r="3585" spans="1:15" x14ac:dyDescent="0.3">
      <c r="A3585" t="s">
        <v>450</v>
      </c>
      <c r="B3585" s="5">
        <v>61</v>
      </c>
      <c r="C3585" s="5" t="str" cm="1">
        <f t="array" ref="C3585">_xlfn.IFS(worksheet[[#This Row],[age]]&lt;25,"1. Young Adulthood (18-24)",worksheet[[#This Row],[age]]&lt; 35,"2. Early Adulthood (25-34)",worksheet[[#This Row],[age]]&lt; 45,"3. Mid Adulthood (35-44)",worksheet[[#This Row],[age]]&lt; 55,"4. Mature Adulthood (45-54)",TRUE,"5. Late Adulthood/Senior (55+)")</f>
        <v>5. Late Adulthood/Senior (55+)</v>
      </c>
      <c r="D3585" t="s">
        <v>41</v>
      </c>
      <c r="E3585" t="s">
        <v>32</v>
      </c>
      <c r="F3585" s="4">
        <v>0.42</v>
      </c>
      <c r="G3585" s="5">
        <v>51</v>
      </c>
      <c r="H3585" t="s">
        <v>23</v>
      </c>
      <c r="I3585" t="s">
        <v>18</v>
      </c>
      <c r="J3585" s="6">
        <v>17.989999999999998</v>
      </c>
      <c r="K3585">
        <v>1</v>
      </c>
      <c r="L3585" t="s">
        <v>19</v>
      </c>
      <c r="M3585" s="5">
        <v>3</v>
      </c>
      <c r="N3585" s="4">
        <v>0.01</v>
      </c>
      <c r="O3585" t="s">
        <v>30</v>
      </c>
    </row>
    <row r="3586" spans="1:15" x14ac:dyDescent="0.3">
      <c r="A3586" t="s">
        <v>454</v>
      </c>
      <c r="B3586" s="5">
        <v>69</v>
      </c>
      <c r="C3586" s="5" t="str" cm="1">
        <f t="array" ref="C3586">_xlfn.IFS(worksheet[[#This Row],[age]]&lt;25,"1. Young Adulthood (18-24)",worksheet[[#This Row],[age]]&lt; 35,"2. Early Adulthood (25-34)",worksheet[[#This Row],[age]]&lt; 45,"3. Mid Adulthood (35-44)",worksheet[[#This Row],[age]]&lt; 55,"4. Mature Adulthood (45-54)",TRUE,"5. Late Adulthood/Senior (55+)")</f>
        <v>5. Late Adulthood/Senior (55+)</v>
      </c>
      <c r="D3586" t="s">
        <v>15</v>
      </c>
      <c r="E3586" t="s">
        <v>32</v>
      </c>
      <c r="F3586" s="4">
        <v>38.020000000000003</v>
      </c>
      <c r="G3586" s="5">
        <v>30</v>
      </c>
      <c r="H3586" t="s">
        <v>23</v>
      </c>
      <c r="I3586" t="s">
        <v>57</v>
      </c>
      <c r="J3586" s="6">
        <v>17.989999999999998</v>
      </c>
      <c r="K3586">
        <v>0</v>
      </c>
      <c r="L3586" t="s">
        <v>37</v>
      </c>
      <c r="M3586" s="5">
        <v>3</v>
      </c>
      <c r="N3586" s="4">
        <v>1.23</v>
      </c>
      <c r="O3586" t="s">
        <v>47</v>
      </c>
    </row>
    <row r="3587" spans="1:15" x14ac:dyDescent="0.3">
      <c r="A3587" t="s">
        <v>455</v>
      </c>
      <c r="B3587" s="5">
        <v>65</v>
      </c>
      <c r="C3587" s="5" t="str" cm="1">
        <f t="array" ref="C3587">_xlfn.IFS(worksheet[[#This Row],[age]]&lt;25,"1. Young Adulthood (18-24)",worksheet[[#This Row],[age]]&lt; 35,"2. Early Adulthood (25-34)",worksheet[[#This Row],[age]]&lt; 45,"3. Mid Adulthood (35-44)",worksheet[[#This Row],[age]]&lt; 55,"4. Mature Adulthood (45-54)",TRUE,"5. Late Adulthood/Senior (55+)")</f>
        <v>5. Late Adulthood/Senior (55+)</v>
      </c>
      <c r="D3587" t="s">
        <v>27</v>
      </c>
      <c r="E3587" t="s">
        <v>32</v>
      </c>
      <c r="F3587" s="4">
        <v>52.33</v>
      </c>
      <c r="G3587" s="5">
        <v>24</v>
      </c>
      <c r="H3587" t="s">
        <v>23</v>
      </c>
      <c r="I3587" t="s">
        <v>57</v>
      </c>
      <c r="J3587" s="6">
        <v>17.989999999999998</v>
      </c>
      <c r="K3587">
        <v>0</v>
      </c>
      <c r="L3587" t="s">
        <v>19</v>
      </c>
      <c r="M3587" s="5">
        <v>5</v>
      </c>
      <c r="N3587" s="4">
        <v>2.09</v>
      </c>
      <c r="O3587" t="s">
        <v>20</v>
      </c>
    </row>
    <row r="3588" spans="1:15" x14ac:dyDescent="0.3">
      <c r="A3588" t="s">
        <v>457</v>
      </c>
      <c r="B3588" s="5">
        <v>58</v>
      </c>
      <c r="C3588" s="5" t="str" cm="1">
        <f t="array" ref="C3588">_xlfn.IFS(worksheet[[#This Row],[age]]&lt;25,"1. Young Adulthood (18-24)",worksheet[[#This Row],[age]]&lt; 35,"2. Early Adulthood (25-34)",worksheet[[#This Row],[age]]&lt; 45,"3. Mid Adulthood (35-44)",worksheet[[#This Row],[age]]&lt; 55,"4. Mature Adulthood (45-54)",TRUE,"5. Late Adulthood/Senior (55+)")</f>
        <v>5. Late Adulthood/Senior (55+)</v>
      </c>
      <c r="D3588" t="s">
        <v>27</v>
      </c>
      <c r="E3588" t="s">
        <v>16</v>
      </c>
      <c r="F3588" s="4">
        <v>0.51</v>
      </c>
      <c r="G3588" s="5">
        <v>12</v>
      </c>
      <c r="H3588" t="s">
        <v>28</v>
      </c>
      <c r="I3588" t="s">
        <v>57</v>
      </c>
      <c r="J3588" s="6">
        <v>8.99</v>
      </c>
      <c r="K3588">
        <v>1</v>
      </c>
      <c r="L3588" t="s">
        <v>43</v>
      </c>
      <c r="M3588" s="5">
        <v>1</v>
      </c>
      <c r="N3588" s="4">
        <v>0.04</v>
      </c>
      <c r="O3588" t="s">
        <v>20</v>
      </c>
    </row>
    <row r="3589" spans="1:15" x14ac:dyDescent="0.3">
      <c r="A3589" t="s">
        <v>458</v>
      </c>
      <c r="B3589" s="5">
        <v>56</v>
      </c>
      <c r="C3589" s="5" t="str" cm="1">
        <f t="array" ref="C3589">_xlfn.IFS(worksheet[[#This Row],[age]]&lt;25,"1. Young Adulthood (18-24)",worksheet[[#This Row],[age]]&lt; 35,"2. Early Adulthood (25-34)",worksheet[[#This Row],[age]]&lt; 45,"3. Mid Adulthood (35-44)",worksheet[[#This Row],[age]]&lt; 55,"4. Mature Adulthood (45-54)",TRUE,"5. Late Adulthood/Senior (55+)")</f>
        <v>5. Late Adulthood/Senior (55+)</v>
      </c>
      <c r="D3589" t="s">
        <v>27</v>
      </c>
      <c r="E3589" t="s">
        <v>16</v>
      </c>
      <c r="F3589" s="4">
        <v>8.5399999999999991</v>
      </c>
      <c r="G3589" s="5">
        <v>16</v>
      </c>
      <c r="H3589" t="s">
        <v>33</v>
      </c>
      <c r="I3589" t="s">
        <v>57</v>
      </c>
      <c r="J3589" s="6">
        <v>8.99</v>
      </c>
      <c r="K3589">
        <v>0</v>
      </c>
      <c r="L3589" t="s">
        <v>29</v>
      </c>
      <c r="M3589" s="5">
        <v>5</v>
      </c>
      <c r="N3589" s="4">
        <v>0.5</v>
      </c>
      <c r="O3589" t="s">
        <v>20</v>
      </c>
    </row>
    <row r="3590" spans="1:15" x14ac:dyDescent="0.3">
      <c r="A3590" t="s">
        <v>466</v>
      </c>
      <c r="B3590" s="5">
        <v>68</v>
      </c>
      <c r="C3590" s="5" t="str" cm="1">
        <f t="array" ref="C3590">_xlfn.IFS(worksheet[[#This Row],[age]]&lt;25,"1. Young Adulthood (18-24)",worksheet[[#This Row],[age]]&lt; 35,"2. Early Adulthood (25-34)",worksheet[[#This Row],[age]]&lt; 45,"3. Mid Adulthood (35-44)",worksheet[[#This Row],[age]]&lt; 55,"4. Mature Adulthood (45-54)",TRUE,"5. Late Adulthood/Senior (55+)")</f>
        <v>5. Late Adulthood/Senior (55+)</v>
      </c>
      <c r="D3590" t="s">
        <v>27</v>
      </c>
      <c r="E3590" t="s">
        <v>32</v>
      </c>
      <c r="F3590" s="4">
        <v>9.66</v>
      </c>
      <c r="G3590" s="5">
        <v>27</v>
      </c>
      <c r="H3590" t="s">
        <v>17</v>
      </c>
      <c r="I3590" t="s">
        <v>18</v>
      </c>
      <c r="J3590" s="6">
        <v>17.989999999999998</v>
      </c>
      <c r="K3590">
        <v>0</v>
      </c>
      <c r="L3590" t="s">
        <v>61</v>
      </c>
      <c r="M3590" s="5">
        <v>5</v>
      </c>
      <c r="N3590" s="4">
        <v>0.35</v>
      </c>
      <c r="O3590" t="s">
        <v>25</v>
      </c>
    </row>
    <row r="3591" spans="1:15" x14ac:dyDescent="0.3">
      <c r="A3591" t="s">
        <v>467</v>
      </c>
      <c r="B3591" s="5">
        <v>70</v>
      </c>
      <c r="C3591" s="5" t="str" cm="1">
        <f t="array" ref="C3591">_xlfn.IFS(worksheet[[#This Row],[age]]&lt;25,"1. Young Adulthood (18-24)",worksheet[[#This Row],[age]]&lt; 35,"2. Early Adulthood (25-34)",worksheet[[#This Row],[age]]&lt; 45,"3. Mid Adulthood (35-44)",worksheet[[#This Row],[age]]&lt; 55,"4. Mature Adulthood (45-54)",TRUE,"5. Late Adulthood/Senior (55+)")</f>
        <v>5. Late Adulthood/Senior (55+)</v>
      </c>
      <c r="D3591" t="s">
        <v>27</v>
      </c>
      <c r="E3591" t="s">
        <v>32</v>
      </c>
      <c r="F3591" s="4">
        <v>0.36</v>
      </c>
      <c r="G3591" s="5">
        <v>15</v>
      </c>
      <c r="H3591" t="s">
        <v>33</v>
      </c>
      <c r="I3591" t="s">
        <v>18</v>
      </c>
      <c r="J3591" s="6">
        <v>17.989999999999998</v>
      </c>
      <c r="K3591">
        <v>1</v>
      </c>
      <c r="L3591" t="s">
        <v>19</v>
      </c>
      <c r="M3591" s="5">
        <v>5</v>
      </c>
      <c r="N3591" s="4">
        <v>0.02</v>
      </c>
      <c r="O3591" t="s">
        <v>25</v>
      </c>
    </row>
    <row r="3592" spans="1:15" x14ac:dyDescent="0.3">
      <c r="A3592" t="s">
        <v>468</v>
      </c>
      <c r="B3592" s="5">
        <v>68</v>
      </c>
      <c r="C3592" s="5" t="str" cm="1">
        <f t="array" ref="C3592">_xlfn.IFS(worksheet[[#This Row],[age]]&lt;25,"1. Young Adulthood (18-24)",worksheet[[#This Row],[age]]&lt; 35,"2. Early Adulthood (25-34)",worksheet[[#This Row],[age]]&lt; 45,"3. Mid Adulthood (35-44)",worksheet[[#This Row],[age]]&lt; 55,"4. Mature Adulthood (45-54)",TRUE,"5. Late Adulthood/Senior (55+)")</f>
        <v>5. Late Adulthood/Senior (55+)</v>
      </c>
      <c r="D3592" t="s">
        <v>41</v>
      </c>
      <c r="E3592" t="s">
        <v>16</v>
      </c>
      <c r="F3592" s="4">
        <v>7.63</v>
      </c>
      <c r="G3592" s="5">
        <v>23</v>
      </c>
      <c r="H3592" t="s">
        <v>70</v>
      </c>
      <c r="I3592" t="s">
        <v>57</v>
      </c>
      <c r="J3592" s="6">
        <v>8.99</v>
      </c>
      <c r="K3592">
        <v>0</v>
      </c>
      <c r="L3592" t="s">
        <v>37</v>
      </c>
      <c r="M3592" s="5">
        <v>4</v>
      </c>
      <c r="N3592" s="4">
        <v>0.32</v>
      </c>
      <c r="O3592" t="s">
        <v>30</v>
      </c>
    </row>
    <row r="3593" spans="1:15" x14ac:dyDescent="0.3">
      <c r="A3593" t="s">
        <v>470</v>
      </c>
      <c r="B3593" s="5">
        <v>58</v>
      </c>
      <c r="C3593" s="5" t="str" cm="1">
        <f t="array" ref="C3593">_xlfn.IFS(worksheet[[#This Row],[age]]&lt;25,"1. Young Adulthood (18-24)",worksheet[[#This Row],[age]]&lt; 35,"2. Early Adulthood (25-34)",worksheet[[#This Row],[age]]&lt; 45,"3. Mid Adulthood (35-44)",worksheet[[#This Row],[age]]&lt; 55,"4. Mature Adulthood (45-54)",TRUE,"5. Late Adulthood/Senior (55+)")</f>
        <v>5. Late Adulthood/Senior (55+)</v>
      </c>
      <c r="D3593" t="s">
        <v>15</v>
      </c>
      <c r="E3593" t="s">
        <v>32</v>
      </c>
      <c r="F3593" s="4">
        <v>26.32</v>
      </c>
      <c r="G3593" s="5">
        <v>18</v>
      </c>
      <c r="H3593" t="s">
        <v>28</v>
      </c>
      <c r="I3593" t="s">
        <v>24</v>
      </c>
      <c r="J3593" s="6">
        <v>17.989999999999998</v>
      </c>
      <c r="K3593">
        <v>0</v>
      </c>
      <c r="L3593" t="s">
        <v>43</v>
      </c>
      <c r="M3593" s="5">
        <v>4</v>
      </c>
      <c r="N3593" s="4">
        <v>1.39</v>
      </c>
      <c r="O3593" t="s">
        <v>52</v>
      </c>
    </row>
    <row r="3594" spans="1:15" x14ac:dyDescent="0.3">
      <c r="A3594" t="s">
        <v>474</v>
      </c>
      <c r="B3594" s="5">
        <v>65</v>
      </c>
      <c r="C3594" s="5" t="str" cm="1">
        <f t="array" ref="C3594">_xlfn.IFS(worksheet[[#This Row],[age]]&lt;25,"1. Young Adulthood (18-24)",worksheet[[#This Row],[age]]&lt; 35,"2. Early Adulthood (25-34)",worksheet[[#This Row],[age]]&lt; 45,"3. Mid Adulthood (35-44)",worksheet[[#This Row],[age]]&lt; 55,"4. Mature Adulthood (45-54)",TRUE,"5. Late Adulthood/Senior (55+)")</f>
        <v>5. Late Adulthood/Senior (55+)</v>
      </c>
      <c r="D3594" t="s">
        <v>15</v>
      </c>
      <c r="E3594" t="s">
        <v>16</v>
      </c>
      <c r="F3594" s="4">
        <v>1.05</v>
      </c>
      <c r="G3594" s="5">
        <v>51</v>
      </c>
      <c r="H3594" t="s">
        <v>17</v>
      </c>
      <c r="I3594" t="s">
        <v>24</v>
      </c>
      <c r="J3594" s="6">
        <v>8.99</v>
      </c>
      <c r="K3594">
        <v>1</v>
      </c>
      <c r="L3594" t="s">
        <v>19</v>
      </c>
      <c r="M3594" s="5">
        <v>2</v>
      </c>
      <c r="N3594" s="4">
        <v>0.02</v>
      </c>
      <c r="O3594" t="s">
        <v>25</v>
      </c>
    </row>
    <row r="3595" spans="1:15" x14ac:dyDescent="0.3">
      <c r="A3595" t="s">
        <v>475</v>
      </c>
      <c r="B3595" s="5">
        <v>66</v>
      </c>
      <c r="C3595" s="5" t="str" cm="1">
        <f t="array" ref="C3595">_xlfn.IFS(worksheet[[#This Row],[age]]&lt;25,"1. Young Adulthood (18-24)",worksheet[[#This Row],[age]]&lt; 35,"2. Early Adulthood (25-34)",worksheet[[#This Row],[age]]&lt; 45,"3. Mid Adulthood (35-44)",worksheet[[#This Row],[age]]&lt; 55,"4. Mature Adulthood (45-54)",TRUE,"5. Late Adulthood/Senior (55+)")</f>
        <v>5. Late Adulthood/Senior (55+)</v>
      </c>
      <c r="D3595" t="s">
        <v>41</v>
      </c>
      <c r="E3595" t="s">
        <v>22</v>
      </c>
      <c r="F3595" s="4">
        <v>27.5</v>
      </c>
      <c r="G3595" s="5">
        <v>32</v>
      </c>
      <c r="H3595" t="s">
        <v>17</v>
      </c>
      <c r="I3595" t="s">
        <v>24</v>
      </c>
      <c r="J3595" s="6">
        <v>13.99</v>
      </c>
      <c r="K3595">
        <v>0</v>
      </c>
      <c r="L3595" t="s">
        <v>19</v>
      </c>
      <c r="M3595" s="5">
        <v>3</v>
      </c>
      <c r="N3595" s="4">
        <v>0.83</v>
      </c>
      <c r="O3595" t="s">
        <v>39</v>
      </c>
    </row>
    <row r="3596" spans="1:15" x14ac:dyDescent="0.3">
      <c r="A3596" t="s">
        <v>477</v>
      </c>
      <c r="B3596" s="5">
        <v>66</v>
      </c>
      <c r="C3596" s="5" t="str" cm="1">
        <f t="array" ref="C3596">_xlfn.IFS(worksheet[[#This Row],[age]]&lt;25,"1. Young Adulthood (18-24)",worksheet[[#This Row],[age]]&lt; 35,"2. Early Adulthood (25-34)",worksheet[[#This Row],[age]]&lt; 45,"3. Mid Adulthood (35-44)",worksheet[[#This Row],[age]]&lt; 55,"4. Mature Adulthood (45-54)",TRUE,"5. Late Adulthood/Senior (55+)")</f>
        <v>5. Late Adulthood/Senior (55+)</v>
      </c>
      <c r="D3596" t="s">
        <v>27</v>
      </c>
      <c r="E3596" t="s">
        <v>32</v>
      </c>
      <c r="F3596" s="4">
        <v>5.22</v>
      </c>
      <c r="G3596" s="5">
        <v>28</v>
      </c>
      <c r="H3596" t="s">
        <v>28</v>
      </c>
      <c r="I3596" t="s">
        <v>55</v>
      </c>
      <c r="J3596" s="6">
        <v>17.989999999999998</v>
      </c>
      <c r="K3596">
        <v>0</v>
      </c>
      <c r="L3596" t="s">
        <v>29</v>
      </c>
      <c r="M3596" s="5">
        <v>5</v>
      </c>
      <c r="N3596" s="4">
        <v>0.18</v>
      </c>
      <c r="O3596" t="s">
        <v>20</v>
      </c>
    </row>
    <row r="3597" spans="1:15" x14ac:dyDescent="0.3">
      <c r="A3597" t="s">
        <v>488</v>
      </c>
      <c r="B3597" s="5">
        <v>67</v>
      </c>
      <c r="C3597" s="5" t="str" cm="1">
        <f t="array" ref="C3597">_xlfn.IFS(worksheet[[#This Row],[age]]&lt;25,"1. Young Adulthood (18-24)",worksheet[[#This Row],[age]]&lt; 35,"2. Early Adulthood (25-34)",worksheet[[#This Row],[age]]&lt; 45,"3. Mid Adulthood (35-44)",worksheet[[#This Row],[age]]&lt; 55,"4. Mature Adulthood (45-54)",TRUE,"5. Late Adulthood/Senior (55+)")</f>
        <v>5. Late Adulthood/Senior (55+)</v>
      </c>
      <c r="D3597" t="s">
        <v>27</v>
      </c>
      <c r="E3597" t="s">
        <v>32</v>
      </c>
      <c r="F3597" s="4">
        <v>15.45</v>
      </c>
      <c r="G3597" s="5">
        <v>46</v>
      </c>
      <c r="H3597" t="s">
        <v>17</v>
      </c>
      <c r="I3597" t="s">
        <v>55</v>
      </c>
      <c r="J3597" s="6">
        <v>17.989999999999998</v>
      </c>
      <c r="K3597">
        <v>1</v>
      </c>
      <c r="L3597" t="s">
        <v>19</v>
      </c>
      <c r="M3597" s="5">
        <v>5</v>
      </c>
      <c r="N3597" s="4">
        <v>0.33</v>
      </c>
      <c r="O3597" t="s">
        <v>47</v>
      </c>
    </row>
    <row r="3598" spans="1:15" x14ac:dyDescent="0.3">
      <c r="A3598" t="s">
        <v>495</v>
      </c>
      <c r="B3598" s="5">
        <v>63</v>
      </c>
      <c r="C3598" s="5" t="str" cm="1">
        <f t="array" ref="C3598">_xlfn.IFS(worksheet[[#This Row],[age]]&lt;25,"1. Young Adulthood (18-24)",worksheet[[#This Row],[age]]&lt; 35,"2. Early Adulthood (25-34)",worksheet[[#This Row],[age]]&lt; 45,"3. Mid Adulthood (35-44)",worksheet[[#This Row],[age]]&lt; 55,"4. Mature Adulthood (45-54)",TRUE,"5. Late Adulthood/Senior (55+)")</f>
        <v>5. Late Adulthood/Senior (55+)</v>
      </c>
      <c r="D3598" t="s">
        <v>41</v>
      </c>
      <c r="E3598" t="s">
        <v>16</v>
      </c>
      <c r="F3598" s="4">
        <v>1.44</v>
      </c>
      <c r="G3598" s="5">
        <v>26</v>
      </c>
      <c r="H3598" t="s">
        <v>23</v>
      </c>
      <c r="I3598" t="s">
        <v>24</v>
      </c>
      <c r="J3598" s="6">
        <v>8.99</v>
      </c>
      <c r="K3598">
        <v>1</v>
      </c>
      <c r="L3598" t="s">
        <v>37</v>
      </c>
      <c r="M3598" s="5">
        <v>1</v>
      </c>
      <c r="N3598" s="4">
        <v>0.05</v>
      </c>
      <c r="O3598" t="s">
        <v>52</v>
      </c>
    </row>
    <row r="3599" spans="1:15" x14ac:dyDescent="0.3">
      <c r="A3599" t="s">
        <v>497</v>
      </c>
      <c r="B3599" s="5">
        <v>68</v>
      </c>
      <c r="C3599" s="5" t="str" cm="1">
        <f t="array" ref="C3599">_xlfn.IFS(worksheet[[#This Row],[age]]&lt;25,"1. Young Adulthood (18-24)",worksheet[[#This Row],[age]]&lt; 35,"2. Early Adulthood (25-34)",worksheet[[#This Row],[age]]&lt; 45,"3. Mid Adulthood (35-44)",worksheet[[#This Row],[age]]&lt; 55,"4. Mature Adulthood (45-54)",TRUE,"5. Late Adulthood/Senior (55+)")</f>
        <v>5. Late Adulthood/Senior (55+)</v>
      </c>
      <c r="D3599" t="s">
        <v>27</v>
      </c>
      <c r="E3599" t="s">
        <v>22</v>
      </c>
      <c r="F3599" s="4">
        <v>15.06</v>
      </c>
      <c r="G3599" s="5">
        <v>20</v>
      </c>
      <c r="H3599" t="s">
        <v>70</v>
      </c>
      <c r="I3599" t="s">
        <v>24</v>
      </c>
      <c r="J3599" s="6">
        <v>13.99</v>
      </c>
      <c r="K3599">
        <v>0</v>
      </c>
      <c r="L3599" t="s">
        <v>19</v>
      </c>
      <c r="M3599" s="5">
        <v>1</v>
      </c>
      <c r="N3599" s="4">
        <v>0.72</v>
      </c>
      <c r="O3599" t="s">
        <v>39</v>
      </c>
    </row>
    <row r="3600" spans="1:15" x14ac:dyDescent="0.3">
      <c r="A3600" t="s">
        <v>500</v>
      </c>
      <c r="B3600" s="5">
        <v>57</v>
      </c>
      <c r="C3600" s="5" t="str" cm="1">
        <f t="array" ref="C3600">_xlfn.IFS(worksheet[[#This Row],[age]]&lt;25,"1. Young Adulthood (18-24)",worksheet[[#This Row],[age]]&lt; 35,"2. Early Adulthood (25-34)",worksheet[[#This Row],[age]]&lt; 45,"3. Mid Adulthood (35-44)",worksheet[[#This Row],[age]]&lt; 55,"4. Mature Adulthood (45-54)",TRUE,"5. Late Adulthood/Senior (55+)")</f>
        <v>5. Late Adulthood/Senior (55+)</v>
      </c>
      <c r="D3600" t="s">
        <v>41</v>
      </c>
      <c r="E3600" t="s">
        <v>22</v>
      </c>
      <c r="F3600" s="4">
        <v>3.51</v>
      </c>
      <c r="G3600" s="5">
        <v>50</v>
      </c>
      <c r="H3600" t="s">
        <v>33</v>
      </c>
      <c r="I3600" t="s">
        <v>46</v>
      </c>
      <c r="J3600" s="6">
        <v>13.99</v>
      </c>
      <c r="K3600">
        <v>1</v>
      </c>
      <c r="L3600" t="s">
        <v>61</v>
      </c>
      <c r="M3600" s="5">
        <v>1</v>
      </c>
      <c r="N3600" s="4">
        <v>7.0000000000000007E-2</v>
      </c>
      <c r="O3600" t="s">
        <v>52</v>
      </c>
    </row>
    <row r="3601" spans="1:15" x14ac:dyDescent="0.3">
      <c r="A3601" s="1" t="s">
        <v>501</v>
      </c>
      <c r="B3601" s="5">
        <v>63</v>
      </c>
      <c r="C3601" s="5" t="str" cm="1">
        <f t="array" ref="C3601">_xlfn.IFS(worksheet[[#This Row],[age]]&lt;25,"1. Young Adulthood (18-24)",worksheet[[#This Row],[age]]&lt; 35,"2. Early Adulthood (25-34)",worksheet[[#This Row],[age]]&lt; 45,"3. Mid Adulthood (35-44)",worksheet[[#This Row],[age]]&lt; 55,"4. Mature Adulthood (45-54)",TRUE,"5. Late Adulthood/Senior (55+)")</f>
        <v>5. Late Adulthood/Senior (55+)</v>
      </c>
      <c r="D3601" t="s">
        <v>41</v>
      </c>
      <c r="E3601" t="s">
        <v>16</v>
      </c>
      <c r="F3601" s="4">
        <v>2.5099999999999998</v>
      </c>
      <c r="G3601" s="5">
        <v>31</v>
      </c>
      <c r="H3601" t="s">
        <v>23</v>
      </c>
      <c r="I3601" t="s">
        <v>46</v>
      </c>
      <c r="J3601" s="6">
        <v>8.99</v>
      </c>
      <c r="K3601">
        <v>1</v>
      </c>
      <c r="L3601" t="s">
        <v>37</v>
      </c>
      <c r="M3601" s="5">
        <v>3</v>
      </c>
      <c r="N3601" s="4">
        <v>0.08</v>
      </c>
      <c r="O3601" t="s">
        <v>47</v>
      </c>
    </row>
    <row r="3602" spans="1:15" x14ac:dyDescent="0.3">
      <c r="A3602" t="s">
        <v>503</v>
      </c>
      <c r="B3602" s="5">
        <v>70</v>
      </c>
      <c r="C3602" s="5" t="str" cm="1">
        <f t="array" ref="C3602">_xlfn.IFS(worksheet[[#This Row],[age]]&lt;25,"1. Young Adulthood (18-24)",worksheet[[#This Row],[age]]&lt; 35,"2. Early Adulthood (25-34)",worksheet[[#This Row],[age]]&lt; 45,"3. Mid Adulthood (35-44)",worksheet[[#This Row],[age]]&lt; 55,"4. Mature Adulthood (45-54)",TRUE,"5. Late Adulthood/Senior (55+)")</f>
        <v>5. Late Adulthood/Senior (55+)</v>
      </c>
      <c r="D3602" t="s">
        <v>41</v>
      </c>
      <c r="E3602" t="s">
        <v>22</v>
      </c>
      <c r="F3602" s="4">
        <v>28.32</v>
      </c>
      <c r="G3602" s="5">
        <v>3</v>
      </c>
      <c r="H3602" t="s">
        <v>28</v>
      </c>
      <c r="I3602" t="s">
        <v>57</v>
      </c>
      <c r="J3602" s="6">
        <v>13.99</v>
      </c>
      <c r="K3602">
        <v>0</v>
      </c>
      <c r="L3602" t="s">
        <v>37</v>
      </c>
      <c r="M3602" s="5">
        <v>3</v>
      </c>
      <c r="N3602" s="4">
        <v>7.08</v>
      </c>
      <c r="O3602" t="s">
        <v>20</v>
      </c>
    </row>
    <row r="3603" spans="1:15" x14ac:dyDescent="0.3">
      <c r="A3603" t="s">
        <v>505</v>
      </c>
      <c r="B3603" s="5">
        <v>66</v>
      </c>
      <c r="C3603" s="5" t="str" cm="1">
        <f t="array" ref="C3603">_xlfn.IFS(worksheet[[#This Row],[age]]&lt;25,"1. Young Adulthood (18-24)",worksheet[[#This Row],[age]]&lt; 35,"2. Early Adulthood (25-34)",worksheet[[#This Row],[age]]&lt; 45,"3. Mid Adulthood (35-44)",worksheet[[#This Row],[age]]&lt; 55,"4. Mature Adulthood (45-54)",TRUE,"5. Late Adulthood/Senior (55+)")</f>
        <v>5. Late Adulthood/Senior (55+)</v>
      </c>
      <c r="D3603" t="s">
        <v>15</v>
      </c>
      <c r="E3603" t="s">
        <v>22</v>
      </c>
      <c r="F3603" s="4">
        <v>0.76</v>
      </c>
      <c r="G3603" s="5">
        <v>44</v>
      </c>
      <c r="H3603" t="s">
        <v>23</v>
      </c>
      <c r="I3603" t="s">
        <v>57</v>
      </c>
      <c r="J3603" s="6">
        <v>13.99</v>
      </c>
      <c r="K3603">
        <v>1</v>
      </c>
      <c r="L3603" t="s">
        <v>19</v>
      </c>
      <c r="M3603" s="5">
        <v>2</v>
      </c>
      <c r="N3603" s="4">
        <v>0.02</v>
      </c>
      <c r="O3603" t="s">
        <v>20</v>
      </c>
    </row>
    <row r="3604" spans="1:15" x14ac:dyDescent="0.3">
      <c r="A3604" t="s">
        <v>507</v>
      </c>
      <c r="B3604" s="5">
        <v>67</v>
      </c>
      <c r="C3604" s="5" t="str" cm="1">
        <f t="array" ref="C3604">_xlfn.IFS(worksheet[[#This Row],[age]]&lt;25,"1. Young Adulthood (18-24)",worksheet[[#This Row],[age]]&lt; 35,"2. Early Adulthood (25-34)",worksheet[[#This Row],[age]]&lt; 45,"3. Mid Adulthood (35-44)",worksheet[[#This Row],[age]]&lt; 55,"4. Mature Adulthood (45-54)",TRUE,"5. Late Adulthood/Senior (55+)")</f>
        <v>5. Late Adulthood/Senior (55+)</v>
      </c>
      <c r="D3604" t="s">
        <v>27</v>
      </c>
      <c r="E3604" t="s">
        <v>32</v>
      </c>
      <c r="F3604" s="4">
        <v>27.79</v>
      </c>
      <c r="G3604" s="5">
        <v>28</v>
      </c>
      <c r="H3604" t="s">
        <v>33</v>
      </c>
      <c r="I3604" t="s">
        <v>18</v>
      </c>
      <c r="J3604" s="6">
        <v>17.989999999999998</v>
      </c>
      <c r="K3604">
        <v>0</v>
      </c>
      <c r="L3604" t="s">
        <v>29</v>
      </c>
      <c r="M3604" s="5">
        <v>4</v>
      </c>
      <c r="N3604" s="4">
        <v>0.96</v>
      </c>
      <c r="O3604" t="s">
        <v>20</v>
      </c>
    </row>
    <row r="3605" spans="1:15" x14ac:dyDescent="0.3">
      <c r="A3605" t="s">
        <v>508</v>
      </c>
      <c r="B3605" s="5">
        <v>61</v>
      </c>
      <c r="C3605" s="5" t="str" cm="1">
        <f t="array" ref="C3605">_xlfn.IFS(worksheet[[#This Row],[age]]&lt;25,"1. Young Adulthood (18-24)",worksheet[[#This Row],[age]]&lt; 35,"2. Early Adulthood (25-34)",worksheet[[#This Row],[age]]&lt; 45,"3. Mid Adulthood (35-44)",worksheet[[#This Row],[age]]&lt; 55,"4. Mature Adulthood (45-54)",TRUE,"5. Late Adulthood/Senior (55+)")</f>
        <v>5. Late Adulthood/Senior (55+)</v>
      </c>
      <c r="D3605" t="s">
        <v>27</v>
      </c>
      <c r="E3605" t="s">
        <v>32</v>
      </c>
      <c r="F3605" s="4">
        <v>16.13</v>
      </c>
      <c r="G3605" s="5">
        <v>21</v>
      </c>
      <c r="H3605" t="s">
        <v>23</v>
      </c>
      <c r="I3605" t="s">
        <v>57</v>
      </c>
      <c r="J3605" s="6">
        <v>17.989999999999998</v>
      </c>
      <c r="K3605">
        <v>0</v>
      </c>
      <c r="L3605" t="s">
        <v>29</v>
      </c>
      <c r="M3605" s="5">
        <v>3</v>
      </c>
      <c r="N3605" s="4">
        <v>0.73</v>
      </c>
      <c r="O3605" t="s">
        <v>52</v>
      </c>
    </row>
    <row r="3606" spans="1:15" x14ac:dyDescent="0.3">
      <c r="A3606" t="s">
        <v>522</v>
      </c>
      <c r="B3606" s="5">
        <v>68</v>
      </c>
      <c r="C3606" s="5" t="str" cm="1">
        <f t="array" ref="C3606">_xlfn.IFS(worksheet[[#This Row],[age]]&lt;25,"1. Young Adulthood (18-24)",worksheet[[#This Row],[age]]&lt; 35,"2. Early Adulthood (25-34)",worksheet[[#This Row],[age]]&lt; 45,"3. Mid Adulthood (35-44)",worksheet[[#This Row],[age]]&lt; 55,"4. Mature Adulthood (45-54)",TRUE,"5. Late Adulthood/Senior (55+)")</f>
        <v>5. Late Adulthood/Senior (55+)</v>
      </c>
      <c r="D3606" t="s">
        <v>27</v>
      </c>
      <c r="E3606" t="s">
        <v>22</v>
      </c>
      <c r="F3606" s="4">
        <v>18.489999999999998</v>
      </c>
      <c r="G3606" s="5">
        <v>11</v>
      </c>
      <c r="H3606" t="s">
        <v>49</v>
      </c>
      <c r="I3606" t="s">
        <v>24</v>
      </c>
      <c r="J3606" s="6">
        <v>13.99</v>
      </c>
      <c r="K3606">
        <v>0</v>
      </c>
      <c r="L3606" t="s">
        <v>19</v>
      </c>
      <c r="M3606" s="5">
        <v>1</v>
      </c>
      <c r="N3606" s="4">
        <v>1.54</v>
      </c>
      <c r="O3606" t="s">
        <v>30</v>
      </c>
    </row>
    <row r="3607" spans="1:15" x14ac:dyDescent="0.3">
      <c r="A3607" t="s">
        <v>525</v>
      </c>
      <c r="B3607" s="5">
        <v>61</v>
      </c>
      <c r="C3607" s="5" t="str" cm="1">
        <f t="array" ref="C3607">_xlfn.IFS(worksheet[[#This Row],[age]]&lt;25,"1. Young Adulthood (18-24)",worksheet[[#This Row],[age]]&lt; 35,"2. Early Adulthood (25-34)",worksheet[[#This Row],[age]]&lt; 45,"3. Mid Adulthood (35-44)",worksheet[[#This Row],[age]]&lt; 55,"4. Mature Adulthood (45-54)",TRUE,"5. Late Adulthood/Senior (55+)")</f>
        <v>5. Late Adulthood/Senior (55+)</v>
      </c>
      <c r="D3607" t="s">
        <v>27</v>
      </c>
      <c r="E3607" t="s">
        <v>32</v>
      </c>
      <c r="F3607" s="4">
        <v>26.79</v>
      </c>
      <c r="G3607" s="5">
        <v>34</v>
      </c>
      <c r="H3607" t="s">
        <v>17</v>
      </c>
      <c r="I3607" t="s">
        <v>18</v>
      </c>
      <c r="J3607" s="6">
        <v>17.989999999999998</v>
      </c>
      <c r="K3607">
        <v>0</v>
      </c>
      <c r="L3607" t="s">
        <v>61</v>
      </c>
      <c r="M3607" s="5">
        <v>4</v>
      </c>
      <c r="N3607" s="4">
        <v>0.77</v>
      </c>
      <c r="O3607" t="s">
        <v>25</v>
      </c>
    </row>
    <row r="3608" spans="1:15" x14ac:dyDescent="0.3">
      <c r="A3608" t="s">
        <v>526</v>
      </c>
      <c r="B3608" s="5">
        <v>56</v>
      </c>
      <c r="C3608" s="5" t="str" cm="1">
        <f t="array" ref="C3608">_xlfn.IFS(worksheet[[#This Row],[age]]&lt;25,"1. Young Adulthood (18-24)",worksheet[[#This Row],[age]]&lt; 35,"2. Early Adulthood (25-34)",worksheet[[#This Row],[age]]&lt; 45,"3. Mid Adulthood (35-44)",worksheet[[#This Row],[age]]&lt; 55,"4. Mature Adulthood (45-54)",TRUE,"5. Late Adulthood/Senior (55+)")</f>
        <v>5. Late Adulthood/Senior (55+)</v>
      </c>
      <c r="D3608" t="s">
        <v>27</v>
      </c>
      <c r="E3608" t="s">
        <v>16</v>
      </c>
      <c r="F3608" s="4">
        <v>0.97</v>
      </c>
      <c r="G3608" s="5">
        <v>33</v>
      </c>
      <c r="H3608" t="s">
        <v>28</v>
      </c>
      <c r="I3608" t="s">
        <v>24</v>
      </c>
      <c r="J3608" s="6">
        <v>8.99</v>
      </c>
      <c r="K3608">
        <v>1</v>
      </c>
      <c r="L3608" t="s">
        <v>37</v>
      </c>
      <c r="M3608" s="5">
        <v>4</v>
      </c>
      <c r="N3608" s="4">
        <v>0.03</v>
      </c>
      <c r="O3608" t="s">
        <v>34</v>
      </c>
    </row>
    <row r="3609" spans="1:15" x14ac:dyDescent="0.3">
      <c r="A3609" t="s">
        <v>527</v>
      </c>
      <c r="B3609" s="5">
        <v>61</v>
      </c>
      <c r="C3609" s="5" t="str" cm="1">
        <f t="array" ref="C3609">_xlfn.IFS(worksheet[[#This Row],[age]]&lt;25,"1. Young Adulthood (18-24)",worksheet[[#This Row],[age]]&lt; 35,"2. Early Adulthood (25-34)",worksheet[[#This Row],[age]]&lt; 45,"3. Mid Adulthood (35-44)",worksheet[[#This Row],[age]]&lt; 55,"4. Mature Adulthood (45-54)",TRUE,"5. Late Adulthood/Senior (55+)")</f>
        <v>5. Late Adulthood/Senior (55+)</v>
      </c>
      <c r="D3609" t="s">
        <v>15</v>
      </c>
      <c r="E3609" t="s">
        <v>32</v>
      </c>
      <c r="F3609" s="4">
        <v>0.25</v>
      </c>
      <c r="G3609" s="5">
        <v>1</v>
      </c>
      <c r="H3609" t="s">
        <v>70</v>
      </c>
      <c r="I3609" t="s">
        <v>55</v>
      </c>
      <c r="J3609" s="6">
        <v>17.989999999999998</v>
      </c>
      <c r="K3609">
        <v>0</v>
      </c>
      <c r="L3609" t="s">
        <v>43</v>
      </c>
      <c r="M3609" s="5">
        <v>2</v>
      </c>
      <c r="N3609" s="4">
        <v>0.12</v>
      </c>
      <c r="O3609" t="s">
        <v>25</v>
      </c>
    </row>
    <row r="3610" spans="1:15" x14ac:dyDescent="0.3">
      <c r="A3610" t="s">
        <v>531</v>
      </c>
      <c r="B3610" s="5">
        <v>58</v>
      </c>
      <c r="C3610" s="5" t="str" cm="1">
        <f t="array" ref="C3610">_xlfn.IFS(worksheet[[#This Row],[age]]&lt;25,"1. Young Adulthood (18-24)",worksheet[[#This Row],[age]]&lt; 35,"2. Early Adulthood (25-34)",worksheet[[#This Row],[age]]&lt; 45,"3. Mid Adulthood (35-44)",worksheet[[#This Row],[age]]&lt; 55,"4. Mature Adulthood (45-54)",TRUE,"5. Late Adulthood/Senior (55+)")</f>
        <v>5. Late Adulthood/Senior (55+)</v>
      </c>
      <c r="D3610" t="s">
        <v>27</v>
      </c>
      <c r="E3610" t="s">
        <v>16</v>
      </c>
      <c r="F3610" s="4">
        <v>16.809999999999999</v>
      </c>
      <c r="G3610" s="5">
        <v>1</v>
      </c>
      <c r="H3610" t="s">
        <v>23</v>
      </c>
      <c r="I3610" t="s">
        <v>18</v>
      </c>
      <c r="J3610" s="6">
        <v>8.99</v>
      </c>
      <c r="K3610">
        <v>0</v>
      </c>
      <c r="L3610" t="s">
        <v>19</v>
      </c>
      <c r="M3610" s="5">
        <v>2</v>
      </c>
      <c r="N3610" s="4">
        <v>8.4</v>
      </c>
      <c r="O3610" t="s">
        <v>34</v>
      </c>
    </row>
    <row r="3611" spans="1:15" x14ac:dyDescent="0.3">
      <c r="A3611" t="s">
        <v>532</v>
      </c>
      <c r="B3611" s="5">
        <v>59</v>
      </c>
      <c r="C3611" s="5" t="str" cm="1">
        <f t="array" ref="C3611">_xlfn.IFS(worksheet[[#This Row],[age]]&lt;25,"1. Young Adulthood (18-24)",worksheet[[#This Row],[age]]&lt; 35,"2. Early Adulthood (25-34)",worksheet[[#This Row],[age]]&lt; 45,"3. Mid Adulthood (35-44)",worksheet[[#This Row],[age]]&lt; 55,"4. Mature Adulthood (45-54)",TRUE,"5. Late Adulthood/Senior (55+)")</f>
        <v>5. Late Adulthood/Senior (55+)</v>
      </c>
      <c r="D3611" t="s">
        <v>15</v>
      </c>
      <c r="E3611" t="s">
        <v>32</v>
      </c>
      <c r="F3611" s="4">
        <v>28.38</v>
      </c>
      <c r="G3611" s="5">
        <v>52</v>
      </c>
      <c r="H3611" t="s">
        <v>17</v>
      </c>
      <c r="I3611" t="s">
        <v>57</v>
      </c>
      <c r="J3611" s="6">
        <v>17.989999999999998</v>
      </c>
      <c r="K3611">
        <v>0</v>
      </c>
      <c r="L3611" t="s">
        <v>43</v>
      </c>
      <c r="M3611" s="5">
        <v>4</v>
      </c>
      <c r="N3611" s="4">
        <v>0.54</v>
      </c>
      <c r="O3611" t="s">
        <v>30</v>
      </c>
    </row>
    <row r="3612" spans="1:15" x14ac:dyDescent="0.3">
      <c r="A3612" t="s">
        <v>534</v>
      </c>
      <c r="B3612" s="5">
        <v>56</v>
      </c>
      <c r="C3612" s="5" t="str" cm="1">
        <f t="array" ref="C3612">_xlfn.IFS(worksheet[[#This Row],[age]]&lt;25,"1. Young Adulthood (18-24)",worksheet[[#This Row],[age]]&lt; 35,"2. Early Adulthood (25-34)",worksheet[[#This Row],[age]]&lt; 45,"3. Mid Adulthood (35-44)",worksheet[[#This Row],[age]]&lt; 55,"4. Mature Adulthood (45-54)",TRUE,"5. Late Adulthood/Senior (55+)")</f>
        <v>5. Late Adulthood/Senior (55+)</v>
      </c>
      <c r="D3612" t="s">
        <v>15</v>
      </c>
      <c r="E3612" t="s">
        <v>32</v>
      </c>
      <c r="F3612" s="4">
        <v>1.28</v>
      </c>
      <c r="G3612" s="5">
        <v>22</v>
      </c>
      <c r="H3612" t="s">
        <v>17</v>
      </c>
      <c r="I3612" t="s">
        <v>55</v>
      </c>
      <c r="J3612" s="6">
        <v>17.989999999999998</v>
      </c>
      <c r="K3612">
        <v>0</v>
      </c>
      <c r="L3612" t="s">
        <v>43</v>
      </c>
      <c r="M3612" s="5">
        <v>5</v>
      </c>
      <c r="N3612" s="4">
        <v>0.06</v>
      </c>
      <c r="O3612" t="s">
        <v>20</v>
      </c>
    </row>
    <row r="3613" spans="1:15" x14ac:dyDescent="0.3">
      <c r="A3613" t="s">
        <v>536</v>
      </c>
      <c r="B3613" s="5">
        <v>66</v>
      </c>
      <c r="C3613" s="5" t="str" cm="1">
        <f t="array" ref="C3613">_xlfn.IFS(worksheet[[#This Row],[age]]&lt;25,"1. Young Adulthood (18-24)",worksheet[[#This Row],[age]]&lt; 35,"2. Early Adulthood (25-34)",worksheet[[#This Row],[age]]&lt; 45,"3. Mid Adulthood (35-44)",worksheet[[#This Row],[age]]&lt; 55,"4. Mature Adulthood (45-54)",TRUE,"5. Late Adulthood/Senior (55+)")</f>
        <v>5. Late Adulthood/Senior (55+)</v>
      </c>
      <c r="D3613" t="s">
        <v>41</v>
      </c>
      <c r="E3613" t="s">
        <v>32</v>
      </c>
      <c r="F3613" s="4">
        <v>22.68</v>
      </c>
      <c r="G3613" s="5">
        <v>50</v>
      </c>
      <c r="H3613" t="s">
        <v>23</v>
      </c>
      <c r="I3613" t="s">
        <v>46</v>
      </c>
      <c r="J3613" s="6">
        <v>17.989999999999998</v>
      </c>
      <c r="K3613">
        <v>0</v>
      </c>
      <c r="L3613" t="s">
        <v>43</v>
      </c>
      <c r="M3613" s="5">
        <v>4</v>
      </c>
      <c r="N3613" s="4">
        <v>0.44</v>
      </c>
      <c r="O3613" t="s">
        <v>52</v>
      </c>
    </row>
    <row r="3614" spans="1:15" x14ac:dyDescent="0.3">
      <c r="A3614" t="s">
        <v>540</v>
      </c>
      <c r="B3614" s="5">
        <v>61</v>
      </c>
      <c r="C3614" s="5" t="str" cm="1">
        <f t="array" ref="C3614">_xlfn.IFS(worksheet[[#This Row],[age]]&lt;25,"1. Young Adulthood (18-24)",worksheet[[#This Row],[age]]&lt; 35,"2. Early Adulthood (25-34)",worksheet[[#This Row],[age]]&lt; 45,"3. Mid Adulthood (35-44)",worksheet[[#This Row],[age]]&lt; 55,"4. Mature Adulthood (45-54)",TRUE,"5. Late Adulthood/Senior (55+)")</f>
        <v>5. Late Adulthood/Senior (55+)</v>
      </c>
      <c r="D3614" t="s">
        <v>41</v>
      </c>
      <c r="E3614" t="s">
        <v>22</v>
      </c>
      <c r="F3614" s="4">
        <v>21.36</v>
      </c>
      <c r="G3614" s="5">
        <v>39</v>
      </c>
      <c r="H3614" t="s">
        <v>28</v>
      </c>
      <c r="I3614" t="s">
        <v>57</v>
      </c>
      <c r="J3614" s="6">
        <v>13.99</v>
      </c>
      <c r="K3614">
        <v>0</v>
      </c>
      <c r="L3614" t="s">
        <v>37</v>
      </c>
      <c r="M3614" s="5">
        <v>3</v>
      </c>
      <c r="N3614" s="4">
        <v>0.53</v>
      </c>
      <c r="O3614" t="s">
        <v>47</v>
      </c>
    </row>
    <row r="3615" spans="1:15" x14ac:dyDescent="0.3">
      <c r="A3615" t="s">
        <v>542</v>
      </c>
      <c r="B3615" s="5">
        <v>55</v>
      </c>
      <c r="C3615" s="5" t="str" cm="1">
        <f t="array" ref="C3615">_xlfn.IFS(worksheet[[#This Row],[age]]&lt;25,"1. Young Adulthood (18-24)",worksheet[[#This Row],[age]]&lt; 35,"2. Early Adulthood (25-34)",worksheet[[#This Row],[age]]&lt; 45,"3. Mid Adulthood (35-44)",worksheet[[#This Row],[age]]&lt; 55,"4. Mature Adulthood (45-54)",TRUE,"5. Late Adulthood/Senior (55+)")</f>
        <v>5. Late Adulthood/Senior (55+)</v>
      </c>
      <c r="D3615" t="s">
        <v>27</v>
      </c>
      <c r="E3615" t="s">
        <v>22</v>
      </c>
      <c r="F3615" s="4">
        <v>8.26</v>
      </c>
      <c r="G3615" s="5">
        <v>32</v>
      </c>
      <c r="H3615" t="s">
        <v>17</v>
      </c>
      <c r="I3615" t="s">
        <v>46</v>
      </c>
      <c r="J3615" s="6">
        <v>13.99</v>
      </c>
      <c r="K3615">
        <v>0</v>
      </c>
      <c r="L3615" t="s">
        <v>43</v>
      </c>
      <c r="M3615" s="5">
        <v>4</v>
      </c>
      <c r="N3615" s="4">
        <v>0.25</v>
      </c>
      <c r="O3615" t="s">
        <v>30</v>
      </c>
    </row>
    <row r="3616" spans="1:15" x14ac:dyDescent="0.3">
      <c r="A3616" t="s">
        <v>554</v>
      </c>
      <c r="B3616" s="5">
        <v>63</v>
      </c>
      <c r="C3616" s="5" t="str" cm="1">
        <f t="array" ref="C3616">_xlfn.IFS(worksheet[[#This Row],[age]]&lt;25,"1. Young Adulthood (18-24)",worksheet[[#This Row],[age]]&lt; 35,"2. Early Adulthood (25-34)",worksheet[[#This Row],[age]]&lt; 45,"3. Mid Adulthood (35-44)",worksheet[[#This Row],[age]]&lt; 55,"4. Mature Adulthood (45-54)",TRUE,"5. Late Adulthood/Senior (55+)")</f>
        <v>5. Late Adulthood/Senior (55+)</v>
      </c>
      <c r="D3616" t="s">
        <v>27</v>
      </c>
      <c r="E3616" t="s">
        <v>22</v>
      </c>
      <c r="F3616" s="4">
        <v>1.33</v>
      </c>
      <c r="G3616" s="5">
        <v>29</v>
      </c>
      <c r="H3616" t="s">
        <v>28</v>
      </c>
      <c r="I3616" t="s">
        <v>46</v>
      </c>
      <c r="J3616" s="6">
        <v>13.99</v>
      </c>
      <c r="K3616">
        <v>1</v>
      </c>
      <c r="L3616" t="s">
        <v>61</v>
      </c>
      <c r="M3616" s="5">
        <v>3</v>
      </c>
      <c r="N3616" s="4">
        <v>0.04</v>
      </c>
      <c r="O3616" t="s">
        <v>34</v>
      </c>
    </row>
    <row r="3617" spans="1:15" x14ac:dyDescent="0.3">
      <c r="A3617" t="s">
        <v>557</v>
      </c>
      <c r="B3617" s="5">
        <v>61</v>
      </c>
      <c r="C3617" s="5" t="str" cm="1">
        <f t="array" ref="C3617">_xlfn.IFS(worksheet[[#This Row],[age]]&lt;25,"1. Young Adulthood (18-24)",worksheet[[#This Row],[age]]&lt; 35,"2. Early Adulthood (25-34)",worksheet[[#This Row],[age]]&lt; 45,"3. Mid Adulthood (35-44)",worksheet[[#This Row],[age]]&lt; 55,"4. Mature Adulthood (45-54)",TRUE,"5. Late Adulthood/Senior (55+)")</f>
        <v>5. Late Adulthood/Senior (55+)</v>
      </c>
      <c r="D3617" t="s">
        <v>15</v>
      </c>
      <c r="E3617" t="s">
        <v>22</v>
      </c>
      <c r="F3617" s="4">
        <v>4.08</v>
      </c>
      <c r="G3617" s="5">
        <v>35</v>
      </c>
      <c r="H3617" t="s">
        <v>33</v>
      </c>
      <c r="I3617" t="s">
        <v>24</v>
      </c>
      <c r="J3617" s="6">
        <v>13.99</v>
      </c>
      <c r="K3617">
        <v>1</v>
      </c>
      <c r="L3617" t="s">
        <v>19</v>
      </c>
      <c r="M3617" s="5">
        <v>3</v>
      </c>
      <c r="N3617" s="4">
        <v>0.11</v>
      </c>
      <c r="O3617" t="s">
        <v>25</v>
      </c>
    </row>
    <row r="3618" spans="1:15" x14ac:dyDescent="0.3">
      <c r="A3618" t="s">
        <v>558</v>
      </c>
      <c r="B3618" s="5">
        <v>62</v>
      </c>
      <c r="C3618" s="5" t="str" cm="1">
        <f t="array" ref="C3618">_xlfn.IFS(worksheet[[#This Row],[age]]&lt;25,"1. Young Adulthood (18-24)",worksheet[[#This Row],[age]]&lt; 35,"2. Early Adulthood (25-34)",worksheet[[#This Row],[age]]&lt; 45,"3. Mid Adulthood (35-44)",worksheet[[#This Row],[age]]&lt; 55,"4. Mature Adulthood (45-54)",TRUE,"5. Late Adulthood/Senior (55+)")</f>
        <v>5. Late Adulthood/Senior (55+)</v>
      </c>
      <c r="D3618" t="s">
        <v>15</v>
      </c>
      <c r="E3618" t="s">
        <v>32</v>
      </c>
      <c r="F3618" s="4">
        <v>4.3099999999999996</v>
      </c>
      <c r="G3618" s="5">
        <v>47</v>
      </c>
      <c r="H3618" t="s">
        <v>28</v>
      </c>
      <c r="I3618" t="s">
        <v>24</v>
      </c>
      <c r="J3618" s="6">
        <v>17.989999999999998</v>
      </c>
      <c r="K3618">
        <v>1</v>
      </c>
      <c r="L3618" t="s">
        <v>37</v>
      </c>
      <c r="M3618" s="5">
        <v>5</v>
      </c>
      <c r="N3618" s="4">
        <v>0.09</v>
      </c>
      <c r="O3618" t="s">
        <v>20</v>
      </c>
    </row>
    <row r="3619" spans="1:15" x14ac:dyDescent="0.3">
      <c r="A3619" t="s">
        <v>563</v>
      </c>
      <c r="B3619" s="5">
        <v>70</v>
      </c>
      <c r="C3619" s="5" t="str" cm="1">
        <f t="array" ref="C3619">_xlfn.IFS(worksheet[[#This Row],[age]]&lt;25,"1. Young Adulthood (18-24)",worksheet[[#This Row],[age]]&lt; 35,"2. Early Adulthood (25-34)",worksheet[[#This Row],[age]]&lt; 45,"3. Mid Adulthood (35-44)",worksheet[[#This Row],[age]]&lt; 55,"4. Mature Adulthood (45-54)",TRUE,"5. Late Adulthood/Senior (55+)")</f>
        <v>5. Late Adulthood/Senior (55+)</v>
      </c>
      <c r="D3619" t="s">
        <v>15</v>
      </c>
      <c r="E3619" t="s">
        <v>32</v>
      </c>
      <c r="F3619" s="4">
        <v>22.22</v>
      </c>
      <c r="G3619" s="5">
        <v>5</v>
      </c>
      <c r="H3619" t="s">
        <v>23</v>
      </c>
      <c r="I3619" t="s">
        <v>18</v>
      </c>
      <c r="J3619" s="6">
        <v>17.989999999999998</v>
      </c>
      <c r="K3619">
        <v>0</v>
      </c>
      <c r="L3619" t="s">
        <v>61</v>
      </c>
      <c r="M3619" s="5">
        <v>2</v>
      </c>
      <c r="N3619" s="4">
        <v>3.7</v>
      </c>
      <c r="O3619" t="s">
        <v>39</v>
      </c>
    </row>
    <row r="3620" spans="1:15" x14ac:dyDescent="0.3">
      <c r="A3620" t="s">
        <v>566</v>
      </c>
      <c r="B3620" s="5">
        <v>61</v>
      </c>
      <c r="C3620" s="5" t="str" cm="1">
        <f t="array" ref="C3620">_xlfn.IFS(worksheet[[#This Row],[age]]&lt;25,"1. Young Adulthood (18-24)",worksheet[[#This Row],[age]]&lt; 35,"2. Early Adulthood (25-34)",worksheet[[#This Row],[age]]&lt; 45,"3. Mid Adulthood (35-44)",worksheet[[#This Row],[age]]&lt; 55,"4. Mature Adulthood (45-54)",TRUE,"5. Late Adulthood/Senior (55+)")</f>
        <v>5. Late Adulthood/Senior (55+)</v>
      </c>
      <c r="D3620" t="s">
        <v>15</v>
      </c>
      <c r="E3620" t="s">
        <v>16</v>
      </c>
      <c r="F3620" s="4">
        <v>0.65</v>
      </c>
      <c r="G3620" s="5">
        <v>24</v>
      </c>
      <c r="H3620" t="s">
        <v>33</v>
      </c>
      <c r="I3620" t="s">
        <v>57</v>
      </c>
      <c r="J3620" s="6">
        <v>8.99</v>
      </c>
      <c r="K3620">
        <v>1</v>
      </c>
      <c r="L3620" t="s">
        <v>37</v>
      </c>
      <c r="M3620" s="5">
        <v>5</v>
      </c>
      <c r="N3620" s="4">
        <v>0.03</v>
      </c>
      <c r="O3620" t="s">
        <v>34</v>
      </c>
    </row>
    <row r="3621" spans="1:15" x14ac:dyDescent="0.3">
      <c r="A3621" t="s">
        <v>569</v>
      </c>
      <c r="B3621" s="5">
        <v>61</v>
      </c>
      <c r="C3621" s="5" t="str" cm="1">
        <f t="array" ref="C3621">_xlfn.IFS(worksheet[[#This Row],[age]]&lt;25,"1. Young Adulthood (18-24)",worksheet[[#This Row],[age]]&lt; 35,"2. Early Adulthood (25-34)",worksheet[[#This Row],[age]]&lt; 45,"3. Mid Adulthood (35-44)",worksheet[[#This Row],[age]]&lt; 55,"4. Mature Adulthood (45-54)",TRUE,"5. Late Adulthood/Senior (55+)")</f>
        <v>5. Late Adulthood/Senior (55+)</v>
      </c>
      <c r="D3621" t="s">
        <v>27</v>
      </c>
      <c r="E3621" t="s">
        <v>32</v>
      </c>
      <c r="F3621" s="4">
        <v>7.11</v>
      </c>
      <c r="G3621" s="5">
        <v>33</v>
      </c>
      <c r="H3621" t="s">
        <v>33</v>
      </c>
      <c r="I3621" t="s">
        <v>18</v>
      </c>
      <c r="J3621" s="6">
        <v>17.989999999999998</v>
      </c>
      <c r="K3621">
        <v>1</v>
      </c>
      <c r="L3621" t="s">
        <v>43</v>
      </c>
      <c r="M3621" s="5">
        <v>3</v>
      </c>
      <c r="N3621" s="4">
        <v>0.21</v>
      </c>
      <c r="O3621" t="s">
        <v>34</v>
      </c>
    </row>
    <row r="3622" spans="1:15" x14ac:dyDescent="0.3">
      <c r="A3622" t="s">
        <v>573</v>
      </c>
      <c r="B3622" s="5">
        <v>59</v>
      </c>
      <c r="C3622" s="5" t="str" cm="1">
        <f t="array" ref="C3622">_xlfn.IFS(worksheet[[#This Row],[age]]&lt;25,"1. Young Adulthood (18-24)",worksheet[[#This Row],[age]]&lt; 35,"2. Early Adulthood (25-34)",worksheet[[#This Row],[age]]&lt; 45,"3. Mid Adulthood (35-44)",worksheet[[#This Row],[age]]&lt; 55,"4. Mature Adulthood (45-54)",TRUE,"5. Late Adulthood/Senior (55+)")</f>
        <v>5. Late Adulthood/Senior (55+)</v>
      </c>
      <c r="D3622" t="s">
        <v>15</v>
      </c>
      <c r="E3622" t="s">
        <v>22</v>
      </c>
      <c r="F3622" s="4">
        <v>25.47</v>
      </c>
      <c r="G3622" s="5">
        <v>32</v>
      </c>
      <c r="H3622" t="s">
        <v>70</v>
      </c>
      <c r="I3622" t="s">
        <v>55</v>
      </c>
      <c r="J3622" s="6">
        <v>13.99</v>
      </c>
      <c r="K3622">
        <v>0</v>
      </c>
      <c r="L3622" t="s">
        <v>37</v>
      </c>
      <c r="M3622" s="5">
        <v>4</v>
      </c>
      <c r="N3622" s="4">
        <v>0.77</v>
      </c>
      <c r="O3622" t="s">
        <v>25</v>
      </c>
    </row>
    <row r="3623" spans="1:15" x14ac:dyDescent="0.3">
      <c r="A3623" t="s">
        <v>576</v>
      </c>
      <c r="B3623" s="5">
        <v>61</v>
      </c>
      <c r="C3623" s="5" t="str" cm="1">
        <f t="array" ref="C3623">_xlfn.IFS(worksheet[[#This Row],[age]]&lt;25,"1. Young Adulthood (18-24)",worksheet[[#This Row],[age]]&lt; 35,"2. Early Adulthood (25-34)",worksheet[[#This Row],[age]]&lt; 45,"3. Mid Adulthood (35-44)",worksheet[[#This Row],[age]]&lt; 55,"4. Mature Adulthood (45-54)",TRUE,"5. Late Adulthood/Senior (55+)")</f>
        <v>5. Late Adulthood/Senior (55+)</v>
      </c>
      <c r="D3623" t="s">
        <v>27</v>
      </c>
      <c r="E3623" t="s">
        <v>22</v>
      </c>
      <c r="F3623" s="4">
        <v>0.76</v>
      </c>
      <c r="G3623" s="5">
        <v>22</v>
      </c>
      <c r="H3623" t="s">
        <v>17</v>
      </c>
      <c r="I3623" t="s">
        <v>18</v>
      </c>
      <c r="J3623" s="6">
        <v>13.99</v>
      </c>
      <c r="K3623">
        <v>0</v>
      </c>
      <c r="L3623" t="s">
        <v>37</v>
      </c>
      <c r="M3623" s="5">
        <v>5</v>
      </c>
      <c r="N3623" s="4">
        <v>0.03</v>
      </c>
      <c r="O3623" t="s">
        <v>30</v>
      </c>
    </row>
    <row r="3624" spans="1:15" x14ac:dyDescent="0.3">
      <c r="A3624" t="s">
        <v>577</v>
      </c>
      <c r="B3624" s="5">
        <v>62</v>
      </c>
      <c r="C3624" s="5" t="str" cm="1">
        <f t="array" ref="C3624">_xlfn.IFS(worksheet[[#This Row],[age]]&lt;25,"1. Young Adulthood (18-24)",worksheet[[#This Row],[age]]&lt; 35,"2. Early Adulthood (25-34)",worksheet[[#This Row],[age]]&lt; 45,"3. Mid Adulthood (35-44)",worksheet[[#This Row],[age]]&lt; 55,"4. Mature Adulthood (45-54)",TRUE,"5. Late Adulthood/Senior (55+)")</f>
        <v>5. Late Adulthood/Senior (55+)</v>
      </c>
      <c r="D3624" t="s">
        <v>41</v>
      </c>
      <c r="E3624" t="s">
        <v>16</v>
      </c>
      <c r="F3624" s="4">
        <v>6.84</v>
      </c>
      <c r="G3624" s="5">
        <v>3</v>
      </c>
      <c r="H3624" t="s">
        <v>17</v>
      </c>
      <c r="I3624" t="s">
        <v>55</v>
      </c>
      <c r="J3624" s="6">
        <v>8.99</v>
      </c>
      <c r="K3624">
        <v>0</v>
      </c>
      <c r="L3624" t="s">
        <v>29</v>
      </c>
      <c r="M3624" s="5">
        <v>2</v>
      </c>
      <c r="N3624" s="4">
        <v>1.71</v>
      </c>
      <c r="O3624" t="s">
        <v>47</v>
      </c>
    </row>
    <row r="3625" spans="1:15" x14ac:dyDescent="0.3">
      <c r="A3625" t="s">
        <v>578</v>
      </c>
      <c r="B3625" s="5">
        <v>56</v>
      </c>
      <c r="C3625" s="5" t="str" cm="1">
        <f t="array" ref="C3625">_xlfn.IFS(worksheet[[#This Row],[age]]&lt;25,"1. Young Adulthood (18-24)",worksheet[[#This Row],[age]]&lt; 35,"2. Early Adulthood (25-34)",worksheet[[#This Row],[age]]&lt; 45,"3. Mid Adulthood (35-44)",worksheet[[#This Row],[age]]&lt; 55,"4. Mature Adulthood (45-54)",TRUE,"5. Late Adulthood/Senior (55+)")</f>
        <v>5. Late Adulthood/Senior (55+)</v>
      </c>
      <c r="D3625" t="s">
        <v>15</v>
      </c>
      <c r="E3625" t="s">
        <v>16</v>
      </c>
      <c r="F3625" s="4">
        <v>1.72</v>
      </c>
      <c r="G3625" s="5">
        <v>10</v>
      </c>
      <c r="H3625" t="s">
        <v>70</v>
      </c>
      <c r="I3625" t="s">
        <v>24</v>
      </c>
      <c r="J3625" s="6">
        <v>8.99</v>
      </c>
      <c r="K3625">
        <v>1</v>
      </c>
      <c r="L3625" t="s">
        <v>37</v>
      </c>
      <c r="M3625" s="5">
        <v>2</v>
      </c>
      <c r="N3625" s="4">
        <v>0.16</v>
      </c>
      <c r="O3625" t="s">
        <v>34</v>
      </c>
    </row>
    <row r="3626" spans="1:15" x14ac:dyDescent="0.3">
      <c r="A3626" t="s">
        <v>579</v>
      </c>
      <c r="B3626" s="5">
        <v>59</v>
      </c>
      <c r="C3626" s="5" t="str" cm="1">
        <f t="array" ref="C3626">_xlfn.IFS(worksheet[[#This Row],[age]]&lt;25,"1. Young Adulthood (18-24)",worksheet[[#This Row],[age]]&lt; 35,"2. Early Adulthood (25-34)",worksheet[[#This Row],[age]]&lt; 45,"3. Mid Adulthood (35-44)",worksheet[[#This Row],[age]]&lt; 55,"4. Mature Adulthood (45-54)",TRUE,"5. Late Adulthood/Senior (55+)")</f>
        <v>5. Late Adulthood/Senior (55+)</v>
      </c>
      <c r="D3626" t="s">
        <v>27</v>
      </c>
      <c r="E3626" t="s">
        <v>22</v>
      </c>
      <c r="F3626" s="4">
        <v>19.34</v>
      </c>
      <c r="G3626" s="5">
        <v>25</v>
      </c>
      <c r="H3626" t="s">
        <v>70</v>
      </c>
      <c r="I3626" t="s">
        <v>18</v>
      </c>
      <c r="J3626" s="6">
        <v>13.99</v>
      </c>
      <c r="K3626">
        <v>0</v>
      </c>
      <c r="L3626" t="s">
        <v>29</v>
      </c>
      <c r="M3626" s="5">
        <v>3</v>
      </c>
      <c r="N3626" s="4">
        <v>0.74</v>
      </c>
      <c r="O3626" t="s">
        <v>25</v>
      </c>
    </row>
    <row r="3627" spans="1:15" x14ac:dyDescent="0.3">
      <c r="A3627" t="s">
        <v>588</v>
      </c>
      <c r="B3627" s="5">
        <v>66</v>
      </c>
      <c r="C3627" s="5" t="str" cm="1">
        <f t="array" ref="C3627">_xlfn.IFS(worksheet[[#This Row],[age]]&lt;25,"1. Young Adulthood (18-24)",worksheet[[#This Row],[age]]&lt; 35,"2. Early Adulthood (25-34)",worksheet[[#This Row],[age]]&lt; 45,"3. Mid Adulthood (35-44)",worksheet[[#This Row],[age]]&lt; 55,"4. Mature Adulthood (45-54)",TRUE,"5. Late Adulthood/Senior (55+)")</f>
        <v>5. Late Adulthood/Senior (55+)</v>
      </c>
      <c r="D3627" t="s">
        <v>27</v>
      </c>
      <c r="E3627" t="s">
        <v>22</v>
      </c>
      <c r="F3627" s="4">
        <v>4.63</v>
      </c>
      <c r="G3627" s="5">
        <v>26</v>
      </c>
      <c r="H3627" t="s">
        <v>23</v>
      </c>
      <c r="I3627" t="s">
        <v>57</v>
      </c>
      <c r="J3627" s="6">
        <v>13.99</v>
      </c>
      <c r="K3627">
        <v>0</v>
      </c>
      <c r="L3627" t="s">
        <v>43</v>
      </c>
      <c r="M3627" s="5">
        <v>5</v>
      </c>
      <c r="N3627" s="4">
        <v>0.17</v>
      </c>
      <c r="O3627" t="s">
        <v>20</v>
      </c>
    </row>
    <row r="3628" spans="1:15" x14ac:dyDescent="0.3">
      <c r="A3628" t="s">
        <v>590</v>
      </c>
      <c r="B3628" s="5">
        <v>64</v>
      </c>
      <c r="C3628" s="5" t="str" cm="1">
        <f t="array" ref="C3628">_xlfn.IFS(worksheet[[#This Row],[age]]&lt;25,"1. Young Adulthood (18-24)",worksheet[[#This Row],[age]]&lt; 35,"2. Early Adulthood (25-34)",worksheet[[#This Row],[age]]&lt; 45,"3. Mid Adulthood (35-44)",worksheet[[#This Row],[age]]&lt; 55,"4. Mature Adulthood (45-54)",TRUE,"5. Late Adulthood/Senior (55+)")</f>
        <v>5. Late Adulthood/Senior (55+)</v>
      </c>
      <c r="D3628" t="s">
        <v>27</v>
      </c>
      <c r="E3628" t="s">
        <v>32</v>
      </c>
      <c r="F3628" s="4">
        <v>18.21</v>
      </c>
      <c r="G3628" s="5">
        <v>21</v>
      </c>
      <c r="H3628" t="s">
        <v>23</v>
      </c>
      <c r="I3628" t="s">
        <v>55</v>
      </c>
      <c r="J3628" s="6">
        <v>17.989999999999998</v>
      </c>
      <c r="K3628">
        <v>0</v>
      </c>
      <c r="L3628" t="s">
        <v>43</v>
      </c>
      <c r="M3628" s="5">
        <v>4</v>
      </c>
      <c r="N3628" s="4">
        <v>0.83</v>
      </c>
      <c r="O3628" t="s">
        <v>30</v>
      </c>
    </row>
    <row r="3629" spans="1:15" x14ac:dyDescent="0.3">
      <c r="A3629" t="s">
        <v>592</v>
      </c>
      <c r="B3629" s="5">
        <v>60</v>
      </c>
      <c r="C3629" s="5" t="str" cm="1">
        <f t="array" ref="C3629">_xlfn.IFS(worksheet[[#This Row],[age]]&lt;25,"1. Young Adulthood (18-24)",worksheet[[#This Row],[age]]&lt; 35,"2. Early Adulthood (25-34)",worksheet[[#This Row],[age]]&lt; 45,"3. Mid Adulthood (35-44)",worksheet[[#This Row],[age]]&lt; 55,"4. Mature Adulthood (45-54)",TRUE,"5. Late Adulthood/Senior (55+)")</f>
        <v>5. Late Adulthood/Senior (55+)</v>
      </c>
      <c r="D3629" t="s">
        <v>27</v>
      </c>
      <c r="E3629" t="s">
        <v>32</v>
      </c>
      <c r="F3629" s="4">
        <v>5.68</v>
      </c>
      <c r="G3629" s="5">
        <v>30</v>
      </c>
      <c r="H3629" t="s">
        <v>33</v>
      </c>
      <c r="I3629" t="s">
        <v>46</v>
      </c>
      <c r="J3629" s="6">
        <v>17.989999999999998</v>
      </c>
      <c r="K3629">
        <v>0</v>
      </c>
      <c r="L3629" t="s">
        <v>37</v>
      </c>
      <c r="M3629" s="5">
        <v>3</v>
      </c>
      <c r="N3629" s="4">
        <v>0.18</v>
      </c>
      <c r="O3629" t="s">
        <v>39</v>
      </c>
    </row>
    <row r="3630" spans="1:15" x14ac:dyDescent="0.3">
      <c r="A3630" t="s">
        <v>596</v>
      </c>
      <c r="B3630" s="5">
        <v>69</v>
      </c>
      <c r="C3630" s="5" t="str" cm="1">
        <f t="array" ref="C3630">_xlfn.IFS(worksheet[[#This Row],[age]]&lt;25,"1. Young Adulthood (18-24)",worksheet[[#This Row],[age]]&lt; 35,"2. Early Adulthood (25-34)",worksheet[[#This Row],[age]]&lt; 45,"3. Mid Adulthood (35-44)",worksheet[[#This Row],[age]]&lt; 55,"4. Mature Adulthood (45-54)",TRUE,"5. Late Adulthood/Senior (55+)")</f>
        <v>5. Late Adulthood/Senior (55+)</v>
      </c>
      <c r="D3630" t="s">
        <v>15</v>
      </c>
      <c r="E3630" t="s">
        <v>16</v>
      </c>
      <c r="F3630" s="4">
        <v>21.91</v>
      </c>
      <c r="G3630" s="5">
        <v>24</v>
      </c>
      <c r="H3630" t="s">
        <v>28</v>
      </c>
      <c r="I3630" t="s">
        <v>55</v>
      </c>
      <c r="J3630" s="6">
        <v>8.99</v>
      </c>
      <c r="K3630">
        <v>0</v>
      </c>
      <c r="L3630" t="s">
        <v>37</v>
      </c>
      <c r="M3630" s="5">
        <v>5</v>
      </c>
      <c r="N3630" s="4">
        <v>0.88</v>
      </c>
      <c r="O3630" t="s">
        <v>20</v>
      </c>
    </row>
    <row r="3631" spans="1:15" x14ac:dyDescent="0.3">
      <c r="A3631" t="s">
        <v>597</v>
      </c>
      <c r="B3631" s="5">
        <v>67</v>
      </c>
      <c r="C3631" s="5" t="str" cm="1">
        <f t="array" ref="C3631">_xlfn.IFS(worksheet[[#This Row],[age]]&lt;25,"1. Young Adulthood (18-24)",worksheet[[#This Row],[age]]&lt; 35,"2. Early Adulthood (25-34)",worksheet[[#This Row],[age]]&lt; 45,"3. Mid Adulthood (35-44)",worksheet[[#This Row],[age]]&lt; 55,"4. Mature Adulthood (45-54)",TRUE,"5. Late Adulthood/Senior (55+)")</f>
        <v>5. Late Adulthood/Senior (55+)</v>
      </c>
      <c r="D3631" t="s">
        <v>41</v>
      </c>
      <c r="E3631" t="s">
        <v>22</v>
      </c>
      <c r="F3631" s="4">
        <v>9.57</v>
      </c>
      <c r="G3631" s="5">
        <v>5</v>
      </c>
      <c r="H3631" t="s">
        <v>23</v>
      </c>
      <c r="I3631" t="s">
        <v>24</v>
      </c>
      <c r="J3631" s="6">
        <v>13.99</v>
      </c>
      <c r="K3631">
        <v>0</v>
      </c>
      <c r="L3631" t="s">
        <v>29</v>
      </c>
      <c r="M3631" s="5">
        <v>5</v>
      </c>
      <c r="N3631" s="4">
        <v>1.59</v>
      </c>
      <c r="O3631" t="s">
        <v>20</v>
      </c>
    </row>
    <row r="3632" spans="1:15" x14ac:dyDescent="0.3">
      <c r="A3632" t="s">
        <v>601</v>
      </c>
      <c r="B3632" s="5">
        <v>57</v>
      </c>
      <c r="C3632" s="5" t="str" cm="1">
        <f t="array" ref="C3632">_xlfn.IFS(worksheet[[#This Row],[age]]&lt;25,"1. Young Adulthood (18-24)",worksheet[[#This Row],[age]]&lt; 35,"2. Early Adulthood (25-34)",worksheet[[#This Row],[age]]&lt; 45,"3. Mid Adulthood (35-44)",worksheet[[#This Row],[age]]&lt; 55,"4. Mature Adulthood (45-54)",TRUE,"5. Late Adulthood/Senior (55+)")</f>
        <v>5. Late Adulthood/Senior (55+)</v>
      </c>
      <c r="D3632" t="s">
        <v>27</v>
      </c>
      <c r="E3632" t="s">
        <v>32</v>
      </c>
      <c r="F3632" s="4">
        <v>21.15</v>
      </c>
      <c r="G3632" s="5">
        <v>43</v>
      </c>
      <c r="H3632" t="s">
        <v>49</v>
      </c>
      <c r="I3632" t="s">
        <v>46</v>
      </c>
      <c r="J3632" s="6">
        <v>17.989999999999998</v>
      </c>
      <c r="K3632">
        <v>0</v>
      </c>
      <c r="L3632" t="s">
        <v>61</v>
      </c>
      <c r="M3632" s="5">
        <v>2</v>
      </c>
      <c r="N3632" s="4">
        <v>0.48</v>
      </c>
      <c r="O3632" t="s">
        <v>47</v>
      </c>
    </row>
    <row r="3633" spans="1:15" x14ac:dyDescent="0.3">
      <c r="A3633" t="s">
        <v>602</v>
      </c>
      <c r="B3633" s="5">
        <v>59</v>
      </c>
      <c r="C3633" s="5" t="str" cm="1">
        <f t="array" ref="C3633">_xlfn.IFS(worksheet[[#This Row],[age]]&lt;25,"1. Young Adulthood (18-24)",worksheet[[#This Row],[age]]&lt; 35,"2. Early Adulthood (25-34)",worksheet[[#This Row],[age]]&lt; 45,"3. Mid Adulthood (35-44)",worksheet[[#This Row],[age]]&lt; 55,"4. Mature Adulthood (45-54)",TRUE,"5. Late Adulthood/Senior (55+)")</f>
        <v>5. Late Adulthood/Senior (55+)</v>
      </c>
      <c r="D3633" t="s">
        <v>27</v>
      </c>
      <c r="E3633" t="s">
        <v>22</v>
      </c>
      <c r="F3633" s="4">
        <v>9.77</v>
      </c>
      <c r="G3633" s="5">
        <v>5</v>
      </c>
      <c r="H3633" t="s">
        <v>17</v>
      </c>
      <c r="I3633" t="s">
        <v>18</v>
      </c>
      <c r="J3633" s="6">
        <v>13.99</v>
      </c>
      <c r="K3633">
        <v>0</v>
      </c>
      <c r="L3633" t="s">
        <v>29</v>
      </c>
      <c r="M3633" s="5">
        <v>4</v>
      </c>
      <c r="N3633" s="4">
        <v>1.63</v>
      </c>
      <c r="O3633" t="s">
        <v>47</v>
      </c>
    </row>
    <row r="3634" spans="1:15" x14ac:dyDescent="0.3">
      <c r="A3634" t="s">
        <v>604</v>
      </c>
      <c r="B3634" s="5">
        <v>58</v>
      </c>
      <c r="C3634" s="5" t="str" cm="1">
        <f t="array" ref="C3634">_xlfn.IFS(worksheet[[#This Row],[age]]&lt;25,"1. Young Adulthood (18-24)",worksheet[[#This Row],[age]]&lt; 35,"2. Early Adulthood (25-34)",worksheet[[#This Row],[age]]&lt; 45,"3. Mid Adulthood (35-44)",worksheet[[#This Row],[age]]&lt; 55,"4. Mature Adulthood (45-54)",TRUE,"5. Late Adulthood/Senior (55+)")</f>
        <v>5. Late Adulthood/Senior (55+)</v>
      </c>
      <c r="D3634" t="s">
        <v>15</v>
      </c>
      <c r="E3634" t="s">
        <v>32</v>
      </c>
      <c r="F3634" s="4">
        <v>1.05</v>
      </c>
      <c r="G3634" s="5">
        <v>58</v>
      </c>
      <c r="H3634" t="s">
        <v>49</v>
      </c>
      <c r="I3634" t="s">
        <v>46</v>
      </c>
      <c r="J3634" s="6">
        <v>17.989999999999998</v>
      </c>
      <c r="K3634">
        <v>1</v>
      </c>
      <c r="L3634" t="s">
        <v>29</v>
      </c>
      <c r="M3634" s="5">
        <v>1</v>
      </c>
      <c r="N3634" s="4">
        <v>0.02</v>
      </c>
      <c r="O3634" t="s">
        <v>47</v>
      </c>
    </row>
    <row r="3635" spans="1:15" x14ac:dyDescent="0.3">
      <c r="A3635" t="s">
        <v>610</v>
      </c>
      <c r="B3635" s="5">
        <v>62</v>
      </c>
      <c r="C3635" s="5" t="str" cm="1">
        <f t="array" ref="C3635">_xlfn.IFS(worksheet[[#This Row],[age]]&lt;25,"1. Young Adulthood (18-24)",worksheet[[#This Row],[age]]&lt; 35,"2. Early Adulthood (25-34)",worksheet[[#This Row],[age]]&lt; 45,"3. Mid Adulthood (35-44)",worksheet[[#This Row],[age]]&lt; 55,"4. Mature Adulthood (45-54)",TRUE,"5. Late Adulthood/Senior (55+)")</f>
        <v>5. Late Adulthood/Senior (55+)</v>
      </c>
      <c r="D3635" t="s">
        <v>41</v>
      </c>
      <c r="E3635" t="s">
        <v>16</v>
      </c>
      <c r="F3635" s="4">
        <v>12.66</v>
      </c>
      <c r="G3635" s="5">
        <v>42</v>
      </c>
      <c r="H3635" t="s">
        <v>28</v>
      </c>
      <c r="I3635" t="s">
        <v>18</v>
      </c>
      <c r="J3635" s="6">
        <v>8.99</v>
      </c>
      <c r="K3635">
        <v>1</v>
      </c>
      <c r="L3635" t="s">
        <v>37</v>
      </c>
      <c r="M3635" s="5">
        <v>2</v>
      </c>
      <c r="N3635" s="4">
        <v>0.28999999999999998</v>
      </c>
      <c r="O3635" t="s">
        <v>20</v>
      </c>
    </row>
    <row r="3636" spans="1:15" x14ac:dyDescent="0.3">
      <c r="A3636" t="s">
        <v>611</v>
      </c>
      <c r="B3636" s="5">
        <v>67</v>
      </c>
      <c r="C3636" s="5" t="str" cm="1">
        <f t="array" ref="C3636">_xlfn.IFS(worksheet[[#This Row],[age]]&lt;25,"1. Young Adulthood (18-24)",worksheet[[#This Row],[age]]&lt; 35,"2. Early Adulthood (25-34)",worksheet[[#This Row],[age]]&lt; 45,"3. Mid Adulthood (35-44)",worksheet[[#This Row],[age]]&lt; 55,"4. Mature Adulthood (45-54)",TRUE,"5. Late Adulthood/Senior (55+)")</f>
        <v>5. Late Adulthood/Senior (55+)</v>
      </c>
      <c r="D3636" t="s">
        <v>41</v>
      </c>
      <c r="E3636" t="s">
        <v>22</v>
      </c>
      <c r="F3636" s="4">
        <v>12.02</v>
      </c>
      <c r="G3636" s="5">
        <v>20</v>
      </c>
      <c r="H3636" t="s">
        <v>28</v>
      </c>
      <c r="I3636" t="s">
        <v>18</v>
      </c>
      <c r="J3636" s="6">
        <v>13.99</v>
      </c>
      <c r="K3636">
        <v>0</v>
      </c>
      <c r="L3636" t="s">
        <v>61</v>
      </c>
      <c r="M3636" s="5">
        <v>1</v>
      </c>
      <c r="N3636" s="4">
        <v>0.56999999999999995</v>
      </c>
      <c r="O3636" t="s">
        <v>25</v>
      </c>
    </row>
    <row r="3637" spans="1:15" x14ac:dyDescent="0.3">
      <c r="A3637" t="s">
        <v>613</v>
      </c>
      <c r="B3637" s="5">
        <v>58</v>
      </c>
      <c r="C3637" s="5" t="str" cm="1">
        <f t="array" ref="C3637">_xlfn.IFS(worksheet[[#This Row],[age]]&lt;25,"1. Young Adulthood (18-24)",worksheet[[#This Row],[age]]&lt; 35,"2. Early Adulthood (25-34)",worksheet[[#This Row],[age]]&lt; 45,"3. Mid Adulthood (35-44)",worksheet[[#This Row],[age]]&lt; 55,"4. Mature Adulthood (45-54)",TRUE,"5. Late Adulthood/Senior (55+)")</f>
        <v>5. Late Adulthood/Senior (55+)</v>
      </c>
      <c r="D3637" t="s">
        <v>41</v>
      </c>
      <c r="E3637" t="s">
        <v>22</v>
      </c>
      <c r="F3637" s="4">
        <v>7.36</v>
      </c>
      <c r="G3637" s="5">
        <v>18</v>
      </c>
      <c r="H3637" t="s">
        <v>33</v>
      </c>
      <c r="I3637" t="s">
        <v>46</v>
      </c>
      <c r="J3637" s="6">
        <v>13.99</v>
      </c>
      <c r="K3637">
        <v>0</v>
      </c>
      <c r="L3637" t="s">
        <v>19</v>
      </c>
      <c r="M3637" s="5">
        <v>4</v>
      </c>
      <c r="N3637" s="4">
        <v>0.39</v>
      </c>
      <c r="O3637" t="s">
        <v>39</v>
      </c>
    </row>
    <row r="3638" spans="1:15" x14ac:dyDescent="0.3">
      <c r="A3638" t="s">
        <v>615</v>
      </c>
      <c r="B3638" s="5">
        <v>69</v>
      </c>
      <c r="C3638" s="5" t="str" cm="1">
        <f t="array" ref="C3638">_xlfn.IFS(worksheet[[#This Row],[age]]&lt;25,"1. Young Adulthood (18-24)",worksheet[[#This Row],[age]]&lt; 35,"2. Early Adulthood (25-34)",worksheet[[#This Row],[age]]&lt; 45,"3. Mid Adulthood (35-44)",worksheet[[#This Row],[age]]&lt; 55,"4. Mature Adulthood (45-54)",TRUE,"5. Late Adulthood/Senior (55+)")</f>
        <v>5. Late Adulthood/Senior (55+)</v>
      </c>
      <c r="D3638" t="s">
        <v>27</v>
      </c>
      <c r="E3638" t="s">
        <v>32</v>
      </c>
      <c r="F3638" s="4">
        <v>3.94</v>
      </c>
      <c r="G3638" s="5">
        <v>38</v>
      </c>
      <c r="H3638" t="s">
        <v>33</v>
      </c>
      <c r="I3638" t="s">
        <v>46</v>
      </c>
      <c r="J3638" s="6">
        <v>17.989999999999998</v>
      </c>
      <c r="K3638">
        <v>1</v>
      </c>
      <c r="L3638" t="s">
        <v>43</v>
      </c>
      <c r="M3638" s="5">
        <v>2</v>
      </c>
      <c r="N3638" s="4">
        <v>0.1</v>
      </c>
      <c r="O3638" t="s">
        <v>25</v>
      </c>
    </row>
    <row r="3639" spans="1:15" x14ac:dyDescent="0.3">
      <c r="A3639" t="s">
        <v>616</v>
      </c>
      <c r="B3639" s="5">
        <v>70</v>
      </c>
      <c r="C3639" s="5" t="str" cm="1">
        <f t="array" ref="C3639">_xlfn.IFS(worksheet[[#This Row],[age]]&lt;25,"1. Young Adulthood (18-24)",worksheet[[#This Row],[age]]&lt; 35,"2. Early Adulthood (25-34)",worksheet[[#This Row],[age]]&lt; 45,"3. Mid Adulthood (35-44)",worksheet[[#This Row],[age]]&lt; 55,"4. Mature Adulthood (45-54)",TRUE,"5. Late Adulthood/Senior (55+)")</f>
        <v>5. Late Adulthood/Senior (55+)</v>
      </c>
      <c r="D3639" t="s">
        <v>15</v>
      </c>
      <c r="E3639" t="s">
        <v>22</v>
      </c>
      <c r="F3639" s="4">
        <v>9.1</v>
      </c>
      <c r="G3639" s="5">
        <v>16</v>
      </c>
      <c r="H3639" t="s">
        <v>23</v>
      </c>
      <c r="I3639" t="s">
        <v>57</v>
      </c>
      <c r="J3639" s="6">
        <v>13.99</v>
      </c>
      <c r="K3639">
        <v>0</v>
      </c>
      <c r="L3639" t="s">
        <v>19</v>
      </c>
      <c r="M3639" s="5">
        <v>2</v>
      </c>
      <c r="N3639" s="4">
        <v>0.54</v>
      </c>
      <c r="O3639" t="s">
        <v>25</v>
      </c>
    </row>
    <row r="3640" spans="1:15" x14ac:dyDescent="0.3">
      <c r="A3640" t="s">
        <v>618</v>
      </c>
      <c r="B3640" s="5">
        <v>66</v>
      </c>
      <c r="C3640" s="5" t="str" cm="1">
        <f t="array" ref="C3640">_xlfn.IFS(worksheet[[#This Row],[age]]&lt;25,"1. Young Adulthood (18-24)",worksheet[[#This Row],[age]]&lt; 35,"2. Early Adulthood (25-34)",worksheet[[#This Row],[age]]&lt; 45,"3. Mid Adulthood (35-44)",worksheet[[#This Row],[age]]&lt; 55,"4. Mature Adulthood (45-54)",TRUE,"5. Late Adulthood/Senior (55+)")</f>
        <v>5. Late Adulthood/Senior (55+)</v>
      </c>
      <c r="D3640" t="s">
        <v>41</v>
      </c>
      <c r="E3640" t="s">
        <v>32</v>
      </c>
      <c r="F3640" s="4">
        <v>9.17</v>
      </c>
      <c r="G3640" s="5">
        <v>28</v>
      </c>
      <c r="H3640" t="s">
        <v>28</v>
      </c>
      <c r="I3640" t="s">
        <v>46</v>
      </c>
      <c r="J3640" s="6">
        <v>17.989999999999998</v>
      </c>
      <c r="K3640">
        <v>0</v>
      </c>
      <c r="L3640" t="s">
        <v>37</v>
      </c>
      <c r="M3640" s="5">
        <v>2</v>
      </c>
      <c r="N3640" s="4">
        <v>0.32</v>
      </c>
      <c r="O3640" t="s">
        <v>34</v>
      </c>
    </row>
    <row r="3641" spans="1:15" x14ac:dyDescent="0.3">
      <c r="A3641" t="s">
        <v>619</v>
      </c>
      <c r="B3641" s="5">
        <v>59</v>
      </c>
      <c r="C3641" s="5" t="str" cm="1">
        <f t="array" ref="C3641">_xlfn.IFS(worksheet[[#This Row],[age]]&lt;25,"1. Young Adulthood (18-24)",worksheet[[#This Row],[age]]&lt; 35,"2. Early Adulthood (25-34)",worksheet[[#This Row],[age]]&lt; 45,"3. Mid Adulthood (35-44)",worksheet[[#This Row],[age]]&lt; 55,"4. Mature Adulthood (45-54)",TRUE,"5. Late Adulthood/Senior (55+)")</f>
        <v>5. Late Adulthood/Senior (55+)</v>
      </c>
      <c r="D3641" t="s">
        <v>27</v>
      </c>
      <c r="E3641" t="s">
        <v>22</v>
      </c>
      <c r="F3641" s="4">
        <v>26.45</v>
      </c>
      <c r="G3641" s="5">
        <v>55</v>
      </c>
      <c r="H3641" t="s">
        <v>33</v>
      </c>
      <c r="I3641" t="s">
        <v>46</v>
      </c>
      <c r="J3641" s="6">
        <v>13.99</v>
      </c>
      <c r="K3641">
        <v>0</v>
      </c>
      <c r="L3641" t="s">
        <v>43</v>
      </c>
      <c r="M3641" s="5">
        <v>4</v>
      </c>
      <c r="N3641" s="4">
        <v>0.47</v>
      </c>
      <c r="O3641" t="s">
        <v>47</v>
      </c>
    </row>
    <row r="3642" spans="1:15" x14ac:dyDescent="0.3">
      <c r="A3642" t="s">
        <v>620</v>
      </c>
      <c r="B3642" s="5">
        <v>62</v>
      </c>
      <c r="C3642" s="5" t="str" cm="1">
        <f t="array" ref="C3642">_xlfn.IFS(worksheet[[#This Row],[age]]&lt;25,"1. Young Adulthood (18-24)",worksheet[[#This Row],[age]]&lt; 35,"2. Early Adulthood (25-34)",worksheet[[#This Row],[age]]&lt; 45,"3. Mid Adulthood (35-44)",worksheet[[#This Row],[age]]&lt; 55,"4. Mature Adulthood (45-54)",TRUE,"5. Late Adulthood/Senior (55+)")</f>
        <v>5. Late Adulthood/Senior (55+)</v>
      </c>
      <c r="D3642" t="s">
        <v>15</v>
      </c>
      <c r="E3642" t="s">
        <v>32</v>
      </c>
      <c r="F3642" s="4">
        <v>7.16</v>
      </c>
      <c r="G3642" s="5">
        <v>5</v>
      </c>
      <c r="H3642" t="s">
        <v>70</v>
      </c>
      <c r="I3642" t="s">
        <v>55</v>
      </c>
      <c r="J3642" s="6">
        <v>17.989999999999998</v>
      </c>
      <c r="K3642">
        <v>0</v>
      </c>
      <c r="L3642" t="s">
        <v>19</v>
      </c>
      <c r="M3642" s="5">
        <v>5</v>
      </c>
      <c r="N3642" s="4">
        <v>1.19</v>
      </c>
      <c r="O3642" t="s">
        <v>39</v>
      </c>
    </row>
    <row r="3643" spans="1:15" x14ac:dyDescent="0.3">
      <c r="A3643" t="s">
        <v>632</v>
      </c>
      <c r="B3643" s="5">
        <v>62</v>
      </c>
      <c r="C3643" s="5" t="str" cm="1">
        <f t="array" ref="C3643">_xlfn.IFS(worksheet[[#This Row],[age]]&lt;25,"1. Young Adulthood (18-24)",worksheet[[#This Row],[age]]&lt; 35,"2. Early Adulthood (25-34)",worksheet[[#This Row],[age]]&lt; 45,"3. Mid Adulthood (35-44)",worksheet[[#This Row],[age]]&lt; 55,"4. Mature Adulthood (45-54)",TRUE,"5. Late Adulthood/Senior (55+)")</f>
        <v>5. Late Adulthood/Senior (55+)</v>
      </c>
      <c r="D3643" t="s">
        <v>15</v>
      </c>
      <c r="E3643" t="s">
        <v>22</v>
      </c>
      <c r="F3643" s="4">
        <v>23.97</v>
      </c>
      <c r="G3643" s="5">
        <v>60</v>
      </c>
      <c r="H3643" t="s">
        <v>17</v>
      </c>
      <c r="I3643" t="s">
        <v>55</v>
      </c>
      <c r="J3643" s="6">
        <v>13.99</v>
      </c>
      <c r="K3643">
        <v>1</v>
      </c>
      <c r="L3643" t="s">
        <v>29</v>
      </c>
      <c r="M3643" s="5">
        <v>1</v>
      </c>
      <c r="N3643" s="4">
        <v>0.39</v>
      </c>
      <c r="O3643" t="s">
        <v>34</v>
      </c>
    </row>
    <row r="3644" spans="1:15" x14ac:dyDescent="0.3">
      <c r="A3644" t="s">
        <v>635</v>
      </c>
      <c r="B3644" s="5">
        <v>57</v>
      </c>
      <c r="C3644" s="5" t="str" cm="1">
        <f t="array" ref="C3644">_xlfn.IFS(worksheet[[#This Row],[age]]&lt;25,"1. Young Adulthood (18-24)",worksheet[[#This Row],[age]]&lt; 35,"2. Early Adulthood (25-34)",worksheet[[#This Row],[age]]&lt; 45,"3. Mid Adulthood (35-44)",worksheet[[#This Row],[age]]&lt; 55,"4. Mature Adulthood (45-54)",TRUE,"5. Late Adulthood/Senior (55+)")</f>
        <v>5. Late Adulthood/Senior (55+)</v>
      </c>
      <c r="D3644" t="s">
        <v>27</v>
      </c>
      <c r="E3644" t="s">
        <v>16</v>
      </c>
      <c r="F3644" s="4">
        <v>6.14</v>
      </c>
      <c r="G3644" s="5">
        <v>29</v>
      </c>
      <c r="H3644" t="s">
        <v>49</v>
      </c>
      <c r="I3644" t="s">
        <v>55</v>
      </c>
      <c r="J3644" s="6">
        <v>8.99</v>
      </c>
      <c r="K3644">
        <v>0</v>
      </c>
      <c r="L3644" t="s">
        <v>43</v>
      </c>
      <c r="M3644" s="5">
        <v>2</v>
      </c>
      <c r="N3644" s="4">
        <v>0.2</v>
      </c>
      <c r="O3644" t="s">
        <v>52</v>
      </c>
    </row>
    <row r="3645" spans="1:15" x14ac:dyDescent="0.3">
      <c r="A3645" t="s">
        <v>636</v>
      </c>
      <c r="B3645" s="5">
        <v>56</v>
      </c>
      <c r="C3645" s="5" t="str" cm="1">
        <f t="array" ref="C3645">_xlfn.IFS(worksheet[[#This Row],[age]]&lt;25,"1. Young Adulthood (18-24)",worksheet[[#This Row],[age]]&lt; 35,"2. Early Adulthood (25-34)",worksheet[[#This Row],[age]]&lt; 45,"3. Mid Adulthood (35-44)",worksheet[[#This Row],[age]]&lt; 55,"4. Mature Adulthood (45-54)",TRUE,"5. Late Adulthood/Senior (55+)")</f>
        <v>5. Late Adulthood/Senior (55+)</v>
      </c>
      <c r="D3645" t="s">
        <v>15</v>
      </c>
      <c r="E3645" t="s">
        <v>32</v>
      </c>
      <c r="F3645" s="4">
        <v>13.15</v>
      </c>
      <c r="G3645" s="5">
        <v>6</v>
      </c>
      <c r="H3645" t="s">
        <v>17</v>
      </c>
      <c r="I3645" t="s">
        <v>24</v>
      </c>
      <c r="J3645" s="6">
        <v>17.989999999999998</v>
      </c>
      <c r="K3645">
        <v>0</v>
      </c>
      <c r="L3645" t="s">
        <v>61</v>
      </c>
      <c r="M3645" s="5">
        <v>2</v>
      </c>
      <c r="N3645" s="4">
        <v>1.88</v>
      </c>
      <c r="O3645" t="s">
        <v>34</v>
      </c>
    </row>
    <row r="3646" spans="1:15" x14ac:dyDescent="0.3">
      <c r="A3646" t="s">
        <v>637</v>
      </c>
      <c r="B3646" s="5">
        <v>62</v>
      </c>
      <c r="C3646" s="5" t="str" cm="1">
        <f t="array" ref="C3646">_xlfn.IFS(worksheet[[#This Row],[age]]&lt;25,"1. Young Adulthood (18-24)",worksheet[[#This Row],[age]]&lt; 35,"2. Early Adulthood (25-34)",worksheet[[#This Row],[age]]&lt; 45,"3. Mid Adulthood (35-44)",worksheet[[#This Row],[age]]&lt; 55,"4. Mature Adulthood (45-54)",TRUE,"5. Late Adulthood/Senior (55+)")</f>
        <v>5. Late Adulthood/Senior (55+)</v>
      </c>
      <c r="D3646" t="s">
        <v>27</v>
      </c>
      <c r="E3646" t="s">
        <v>32</v>
      </c>
      <c r="F3646" s="4">
        <v>4.34</v>
      </c>
      <c r="G3646" s="5">
        <v>45</v>
      </c>
      <c r="H3646" t="s">
        <v>17</v>
      </c>
      <c r="I3646" t="s">
        <v>55</v>
      </c>
      <c r="J3646" s="6">
        <v>17.989999999999998</v>
      </c>
      <c r="K3646">
        <v>1</v>
      </c>
      <c r="L3646" t="s">
        <v>19</v>
      </c>
      <c r="M3646" s="5">
        <v>3</v>
      </c>
      <c r="N3646" s="4">
        <v>0.09</v>
      </c>
      <c r="O3646" t="s">
        <v>30</v>
      </c>
    </row>
    <row r="3647" spans="1:15" x14ac:dyDescent="0.3">
      <c r="A3647" t="s">
        <v>643</v>
      </c>
      <c r="B3647" s="5">
        <v>55</v>
      </c>
      <c r="C3647" s="5" t="str" cm="1">
        <f t="array" ref="C3647">_xlfn.IFS(worksheet[[#This Row],[age]]&lt;25,"1. Young Adulthood (18-24)",worksheet[[#This Row],[age]]&lt; 35,"2. Early Adulthood (25-34)",worksheet[[#This Row],[age]]&lt; 45,"3. Mid Adulthood (35-44)",worksheet[[#This Row],[age]]&lt; 55,"4. Mature Adulthood (45-54)",TRUE,"5. Late Adulthood/Senior (55+)")</f>
        <v>5. Late Adulthood/Senior (55+)</v>
      </c>
      <c r="D3647" t="s">
        <v>15</v>
      </c>
      <c r="E3647" t="s">
        <v>22</v>
      </c>
      <c r="F3647" s="4">
        <v>11.62</v>
      </c>
      <c r="G3647" s="5">
        <v>51</v>
      </c>
      <c r="H3647" t="s">
        <v>49</v>
      </c>
      <c r="I3647" t="s">
        <v>55</v>
      </c>
      <c r="J3647" s="6">
        <v>13.99</v>
      </c>
      <c r="K3647">
        <v>0</v>
      </c>
      <c r="L3647" t="s">
        <v>43</v>
      </c>
      <c r="M3647" s="5">
        <v>4</v>
      </c>
      <c r="N3647" s="4">
        <v>0.22</v>
      </c>
      <c r="O3647" t="s">
        <v>52</v>
      </c>
    </row>
    <row r="3648" spans="1:15" x14ac:dyDescent="0.3">
      <c r="A3648" t="s">
        <v>647</v>
      </c>
      <c r="B3648" s="5">
        <v>60</v>
      </c>
      <c r="C3648" s="5" t="str" cm="1">
        <f t="array" ref="C3648">_xlfn.IFS(worksheet[[#This Row],[age]]&lt;25,"1. Young Adulthood (18-24)",worksheet[[#This Row],[age]]&lt; 35,"2. Early Adulthood (25-34)",worksheet[[#This Row],[age]]&lt; 45,"3. Mid Adulthood (35-44)",worksheet[[#This Row],[age]]&lt; 55,"4. Mature Adulthood (45-54)",TRUE,"5. Late Adulthood/Senior (55+)")</f>
        <v>5. Late Adulthood/Senior (55+)</v>
      </c>
      <c r="D3648" t="s">
        <v>41</v>
      </c>
      <c r="E3648" t="s">
        <v>16</v>
      </c>
      <c r="F3648" s="4">
        <v>20.83</v>
      </c>
      <c r="G3648" s="5">
        <v>43</v>
      </c>
      <c r="H3648" t="s">
        <v>23</v>
      </c>
      <c r="I3648" t="s">
        <v>24</v>
      </c>
      <c r="J3648" s="6">
        <v>8.99</v>
      </c>
      <c r="K3648">
        <v>1</v>
      </c>
      <c r="L3648" t="s">
        <v>19</v>
      </c>
      <c r="M3648" s="5">
        <v>5</v>
      </c>
      <c r="N3648" s="4">
        <v>0.47</v>
      </c>
      <c r="O3648" t="s">
        <v>52</v>
      </c>
    </row>
    <row r="3649" spans="1:15" x14ac:dyDescent="0.3">
      <c r="A3649" t="s">
        <v>653</v>
      </c>
      <c r="B3649" s="5">
        <v>66</v>
      </c>
      <c r="C3649" s="5" t="str" cm="1">
        <f t="array" ref="C3649">_xlfn.IFS(worksheet[[#This Row],[age]]&lt;25,"1. Young Adulthood (18-24)",worksheet[[#This Row],[age]]&lt; 35,"2. Early Adulthood (25-34)",worksheet[[#This Row],[age]]&lt; 45,"3. Mid Adulthood (35-44)",worksheet[[#This Row],[age]]&lt; 55,"4. Mature Adulthood (45-54)",TRUE,"5. Late Adulthood/Senior (55+)")</f>
        <v>5. Late Adulthood/Senior (55+)</v>
      </c>
      <c r="D3649" t="s">
        <v>15</v>
      </c>
      <c r="E3649" t="s">
        <v>16</v>
      </c>
      <c r="F3649" s="4">
        <v>21.29</v>
      </c>
      <c r="G3649" s="5">
        <v>7</v>
      </c>
      <c r="H3649" t="s">
        <v>17</v>
      </c>
      <c r="I3649" t="s">
        <v>57</v>
      </c>
      <c r="J3649" s="6">
        <v>8.99</v>
      </c>
      <c r="K3649">
        <v>0</v>
      </c>
      <c r="L3649" t="s">
        <v>29</v>
      </c>
      <c r="M3649" s="5">
        <v>5</v>
      </c>
      <c r="N3649" s="4">
        <v>2.66</v>
      </c>
      <c r="O3649" t="s">
        <v>39</v>
      </c>
    </row>
    <row r="3650" spans="1:15" x14ac:dyDescent="0.3">
      <c r="A3650" t="s">
        <v>655</v>
      </c>
      <c r="B3650" s="5">
        <v>63</v>
      </c>
      <c r="C3650" s="5" t="str" cm="1">
        <f t="array" ref="C3650">_xlfn.IFS(worksheet[[#This Row],[age]]&lt;25,"1. Young Adulthood (18-24)",worksheet[[#This Row],[age]]&lt; 35,"2. Early Adulthood (25-34)",worksheet[[#This Row],[age]]&lt; 45,"3. Mid Adulthood (35-44)",worksheet[[#This Row],[age]]&lt; 55,"4. Mature Adulthood (45-54)",TRUE,"5. Late Adulthood/Senior (55+)")</f>
        <v>5. Late Adulthood/Senior (55+)</v>
      </c>
      <c r="D3650" t="s">
        <v>27</v>
      </c>
      <c r="E3650" t="s">
        <v>22</v>
      </c>
      <c r="F3650" s="4">
        <v>41.15</v>
      </c>
      <c r="G3650" s="5">
        <v>9</v>
      </c>
      <c r="H3650" t="s">
        <v>49</v>
      </c>
      <c r="I3650" t="s">
        <v>46</v>
      </c>
      <c r="J3650" s="6">
        <v>13.99</v>
      </c>
      <c r="K3650">
        <v>0</v>
      </c>
      <c r="L3650" t="s">
        <v>43</v>
      </c>
      <c r="M3650" s="5">
        <v>2</v>
      </c>
      <c r="N3650" s="4">
        <v>4.12</v>
      </c>
      <c r="O3650" t="s">
        <v>39</v>
      </c>
    </row>
    <row r="3651" spans="1:15" x14ac:dyDescent="0.3">
      <c r="A3651" t="s">
        <v>656</v>
      </c>
      <c r="B3651" s="5">
        <v>62</v>
      </c>
      <c r="C3651" s="5" t="str" cm="1">
        <f t="array" ref="C3651">_xlfn.IFS(worksheet[[#This Row],[age]]&lt;25,"1. Young Adulthood (18-24)",worksheet[[#This Row],[age]]&lt; 35,"2. Early Adulthood (25-34)",worksheet[[#This Row],[age]]&lt; 45,"3. Mid Adulthood (35-44)",worksheet[[#This Row],[age]]&lt; 55,"4. Mature Adulthood (45-54)",TRUE,"5. Late Adulthood/Senior (55+)")</f>
        <v>5. Late Adulthood/Senior (55+)</v>
      </c>
      <c r="D3651" t="s">
        <v>15</v>
      </c>
      <c r="E3651" t="s">
        <v>22</v>
      </c>
      <c r="F3651" s="4">
        <v>11.96</v>
      </c>
      <c r="G3651" s="5">
        <v>48</v>
      </c>
      <c r="H3651" t="s">
        <v>33</v>
      </c>
      <c r="I3651" t="s">
        <v>57</v>
      </c>
      <c r="J3651" s="6">
        <v>13.99</v>
      </c>
      <c r="K3651">
        <v>1</v>
      </c>
      <c r="L3651" t="s">
        <v>19</v>
      </c>
      <c r="M3651" s="5">
        <v>3</v>
      </c>
      <c r="N3651" s="4">
        <v>0.24</v>
      </c>
      <c r="O3651" t="s">
        <v>30</v>
      </c>
    </row>
    <row r="3652" spans="1:15" x14ac:dyDescent="0.3">
      <c r="A3652" t="s">
        <v>660</v>
      </c>
      <c r="B3652" s="5">
        <v>57</v>
      </c>
      <c r="C3652" s="5" t="str" cm="1">
        <f t="array" ref="C3652">_xlfn.IFS(worksheet[[#This Row],[age]]&lt;25,"1. Young Adulthood (18-24)",worksheet[[#This Row],[age]]&lt; 35,"2. Early Adulthood (25-34)",worksheet[[#This Row],[age]]&lt; 45,"3. Mid Adulthood (35-44)",worksheet[[#This Row],[age]]&lt; 55,"4. Mature Adulthood (45-54)",TRUE,"5. Late Adulthood/Senior (55+)")</f>
        <v>5. Late Adulthood/Senior (55+)</v>
      </c>
      <c r="D3652" t="s">
        <v>15</v>
      </c>
      <c r="E3652" t="s">
        <v>32</v>
      </c>
      <c r="F3652" s="4">
        <v>0.97</v>
      </c>
      <c r="G3652" s="5">
        <v>52</v>
      </c>
      <c r="H3652" t="s">
        <v>17</v>
      </c>
      <c r="I3652" t="s">
        <v>55</v>
      </c>
      <c r="J3652" s="6">
        <v>17.989999999999998</v>
      </c>
      <c r="K3652">
        <v>1</v>
      </c>
      <c r="L3652" t="s">
        <v>61</v>
      </c>
      <c r="M3652" s="5">
        <v>1</v>
      </c>
      <c r="N3652" s="4">
        <v>0.02</v>
      </c>
      <c r="O3652" t="s">
        <v>30</v>
      </c>
    </row>
    <row r="3653" spans="1:15" x14ac:dyDescent="0.3">
      <c r="A3653" t="s">
        <v>665</v>
      </c>
      <c r="B3653" s="5">
        <v>68</v>
      </c>
      <c r="C3653" s="5" t="str" cm="1">
        <f t="array" ref="C3653">_xlfn.IFS(worksheet[[#This Row],[age]]&lt;25,"1. Young Adulthood (18-24)",worksheet[[#This Row],[age]]&lt; 35,"2. Early Adulthood (25-34)",worksheet[[#This Row],[age]]&lt; 45,"3. Mid Adulthood (35-44)",worksheet[[#This Row],[age]]&lt; 55,"4. Mature Adulthood (45-54)",TRUE,"5. Late Adulthood/Senior (55+)")</f>
        <v>5. Late Adulthood/Senior (55+)</v>
      </c>
      <c r="D3653" t="s">
        <v>27</v>
      </c>
      <c r="E3653" t="s">
        <v>22</v>
      </c>
      <c r="F3653" s="4">
        <v>0.34</v>
      </c>
      <c r="G3653" s="5">
        <v>41</v>
      </c>
      <c r="H3653" t="s">
        <v>70</v>
      </c>
      <c r="I3653" t="s">
        <v>24</v>
      </c>
      <c r="J3653" s="6">
        <v>13.99</v>
      </c>
      <c r="K3653">
        <v>1</v>
      </c>
      <c r="L3653" t="s">
        <v>43</v>
      </c>
      <c r="M3653" s="5">
        <v>4</v>
      </c>
      <c r="N3653" s="4">
        <v>0.01</v>
      </c>
      <c r="O3653" t="s">
        <v>20</v>
      </c>
    </row>
    <row r="3654" spans="1:15" x14ac:dyDescent="0.3">
      <c r="A3654" t="s">
        <v>666</v>
      </c>
      <c r="B3654" s="5">
        <v>61</v>
      </c>
      <c r="C3654" s="5" t="str" cm="1">
        <f t="array" ref="C3654">_xlfn.IFS(worksheet[[#This Row],[age]]&lt;25,"1. Young Adulthood (18-24)",worksheet[[#This Row],[age]]&lt; 35,"2. Early Adulthood (25-34)",worksheet[[#This Row],[age]]&lt; 45,"3. Mid Adulthood (35-44)",worksheet[[#This Row],[age]]&lt; 55,"4. Mature Adulthood (45-54)",TRUE,"5. Late Adulthood/Senior (55+)")</f>
        <v>5. Late Adulthood/Senior (55+)</v>
      </c>
      <c r="D3654" t="s">
        <v>41</v>
      </c>
      <c r="E3654" t="s">
        <v>16</v>
      </c>
      <c r="F3654" s="4">
        <v>47.74</v>
      </c>
      <c r="G3654" s="5">
        <v>56</v>
      </c>
      <c r="H3654" t="s">
        <v>23</v>
      </c>
      <c r="I3654" t="s">
        <v>24</v>
      </c>
      <c r="J3654" s="6">
        <v>8.99</v>
      </c>
      <c r="K3654">
        <v>0</v>
      </c>
      <c r="L3654" t="s">
        <v>29</v>
      </c>
      <c r="M3654" s="5">
        <v>2</v>
      </c>
      <c r="N3654" s="4">
        <v>0.84</v>
      </c>
      <c r="O3654" t="s">
        <v>52</v>
      </c>
    </row>
    <row r="3655" spans="1:15" x14ac:dyDescent="0.3">
      <c r="A3655" t="s">
        <v>669</v>
      </c>
      <c r="B3655" s="5">
        <v>69</v>
      </c>
      <c r="C3655" s="5" t="str" cm="1">
        <f t="array" ref="C3655">_xlfn.IFS(worksheet[[#This Row],[age]]&lt;25,"1. Young Adulthood (18-24)",worksheet[[#This Row],[age]]&lt; 35,"2. Early Adulthood (25-34)",worksheet[[#This Row],[age]]&lt; 45,"3. Mid Adulthood (35-44)",worksheet[[#This Row],[age]]&lt; 55,"4. Mature Adulthood (45-54)",TRUE,"5. Late Adulthood/Senior (55+)")</f>
        <v>5. Late Adulthood/Senior (55+)</v>
      </c>
      <c r="D3655" t="s">
        <v>15</v>
      </c>
      <c r="E3655" t="s">
        <v>32</v>
      </c>
      <c r="F3655" s="4">
        <v>0.74</v>
      </c>
      <c r="G3655" s="5">
        <v>48</v>
      </c>
      <c r="H3655" t="s">
        <v>33</v>
      </c>
      <c r="I3655" t="s">
        <v>57</v>
      </c>
      <c r="J3655" s="6">
        <v>17.989999999999998</v>
      </c>
      <c r="K3655">
        <v>1</v>
      </c>
      <c r="L3655" t="s">
        <v>43</v>
      </c>
      <c r="M3655" s="5">
        <v>3</v>
      </c>
      <c r="N3655" s="4">
        <v>0.02</v>
      </c>
      <c r="O3655" t="s">
        <v>52</v>
      </c>
    </row>
    <row r="3656" spans="1:15" x14ac:dyDescent="0.3">
      <c r="A3656" t="s">
        <v>671</v>
      </c>
      <c r="B3656" s="5">
        <v>64</v>
      </c>
      <c r="C3656" s="5" t="str" cm="1">
        <f t="array" ref="C3656">_xlfn.IFS(worksheet[[#This Row],[age]]&lt;25,"1. Young Adulthood (18-24)",worksheet[[#This Row],[age]]&lt; 35,"2. Early Adulthood (25-34)",worksheet[[#This Row],[age]]&lt; 45,"3. Mid Adulthood (35-44)",worksheet[[#This Row],[age]]&lt; 55,"4. Mature Adulthood (45-54)",TRUE,"5. Late Adulthood/Senior (55+)")</f>
        <v>5. Late Adulthood/Senior (55+)</v>
      </c>
      <c r="D3656" t="s">
        <v>41</v>
      </c>
      <c r="E3656" t="s">
        <v>16</v>
      </c>
      <c r="F3656" s="4">
        <v>1.02</v>
      </c>
      <c r="G3656" s="5">
        <v>16</v>
      </c>
      <c r="H3656" t="s">
        <v>70</v>
      </c>
      <c r="I3656" t="s">
        <v>18</v>
      </c>
      <c r="J3656" s="6">
        <v>8.99</v>
      </c>
      <c r="K3656">
        <v>1</v>
      </c>
      <c r="L3656" t="s">
        <v>19</v>
      </c>
      <c r="M3656" s="5">
        <v>4</v>
      </c>
      <c r="N3656" s="4">
        <v>0.06</v>
      </c>
      <c r="O3656" t="s">
        <v>25</v>
      </c>
    </row>
    <row r="3657" spans="1:15" x14ac:dyDescent="0.3">
      <c r="A3657" t="s">
        <v>672</v>
      </c>
      <c r="B3657" s="5">
        <v>64</v>
      </c>
      <c r="C3657" s="5" t="str" cm="1">
        <f t="array" ref="C3657">_xlfn.IFS(worksheet[[#This Row],[age]]&lt;25,"1. Young Adulthood (18-24)",worksheet[[#This Row],[age]]&lt; 35,"2. Early Adulthood (25-34)",worksheet[[#This Row],[age]]&lt; 45,"3. Mid Adulthood (35-44)",worksheet[[#This Row],[age]]&lt; 55,"4. Mature Adulthood (45-54)",TRUE,"5. Late Adulthood/Senior (55+)")</f>
        <v>5. Late Adulthood/Senior (55+)</v>
      </c>
      <c r="D3657" t="s">
        <v>27</v>
      </c>
      <c r="E3657" t="s">
        <v>32</v>
      </c>
      <c r="F3657" s="4">
        <v>6.71</v>
      </c>
      <c r="G3657" s="5">
        <v>42</v>
      </c>
      <c r="H3657" t="s">
        <v>70</v>
      </c>
      <c r="I3657" t="s">
        <v>18</v>
      </c>
      <c r="J3657" s="6">
        <v>17.989999999999998</v>
      </c>
      <c r="K3657">
        <v>0</v>
      </c>
      <c r="L3657" t="s">
        <v>43</v>
      </c>
      <c r="M3657" s="5">
        <v>5</v>
      </c>
      <c r="N3657" s="4">
        <v>0.16</v>
      </c>
      <c r="O3657" t="s">
        <v>52</v>
      </c>
    </row>
    <row r="3658" spans="1:15" x14ac:dyDescent="0.3">
      <c r="A3658" t="s">
        <v>675</v>
      </c>
      <c r="B3658" s="5">
        <v>62</v>
      </c>
      <c r="C3658" s="5" t="str" cm="1">
        <f t="array" ref="C3658">_xlfn.IFS(worksheet[[#This Row],[age]]&lt;25,"1. Young Adulthood (18-24)",worksheet[[#This Row],[age]]&lt; 35,"2. Early Adulthood (25-34)",worksheet[[#This Row],[age]]&lt; 45,"3. Mid Adulthood (35-44)",worksheet[[#This Row],[age]]&lt; 55,"4. Mature Adulthood (45-54)",TRUE,"5. Late Adulthood/Senior (55+)")</f>
        <v>5. Late Adulthood/Senior (55+)</v>
      </c>
      <c r="D3658" t="s">
        <v>27</v>
      </c>
      <c r="E3658" t="s">
        <v>32</v>
      </c>
      <c r="F3658" s="4">
        <v>4.75</v>
      </c>
      <c r="G3658" s="5">
        <v>0</v>
      </c>
      <c r="H3658" t="s">
        <v>49</v>
      </c>
      <c r="I3658" t="s">
        <v>24</v>
      </c>
      <c r="J3658" s="6">
        <v>17.989999999999998</v>
      </c>
      <c r="K3658">
        <v>0</v>
      </c>
      <c r="L3658" t="s">
        <v>19</v>
      </c>
      <c r="M3658" s="5">
        <v>2</v>
      </c>
      <c r="N3658" s="4">
        <v>4.75</v>
      </c>
      <c r="O3658" t="s">
        <v>47</v>
      </c>
    </row>
    <row r="3659" spans="1:15" x14ac:dyDescent="0.3">
      <c r="A3659" t="s">
        <v>682</v>
      </c>
      <c r="B3659" s="5">
        <v>61</v>
      </c>
      <c r="C3659" s="5" t="str" cm="1">
        <f t="array" ref="C3659">_xlfn.IFS(worksheet[[#This Row],[age]]&lt;25,"1. Young Adulthood (18-24)",worksheet[[#This Row],[age]]&lt; 35,"2. Early Adulthood (25-34)",worksheet[[#This Row],[age]]&lt; 45,"3. Mid Adulthood (35-44)",worksheet[[#This Row],[age]]&lt; 55,"4. Mature Adulthood (45-54)",TRUE,"5. Late Adulthood/Senior (55+)")</f>
        <v>5. Late Adulthood/Senior (55+)</v>
      </c>
      <c r="D3659" t="s">
        <v>27</v>
      </c>
      <c r="E3659" t="s">
        <v>22</v>
      </c>
      <c r="F3659" s="4">
        <v>6.53</v>
      </c>
      <c r="G3659" s="5">
        <v>14</v>
      </c>
      <c r="H3659" t="s">
        <v>28</v>
      </c>
      <c r="I3659" t="s">
        <v>18</v>
      </c>
      <c r="J3659" s="6">
        <v>13.99</v>
      </c>
      <c r="K3659">
        <v>0</v>
      </c>
      <c r="L3659" t="s">
        <v>61</v>
      </c>
      <c r="M3659" s="5">
        <v>3</v>
      </c>
      <c r="N3659" s="4">
        <v>0.44</v>
      </c>
      <c r="O3659" t="s">
        <v>25</v>
      </c>
    </row>
    <row r="3660" spans="1:15" x14ac:dyDescent="0.3">
      <c r="A3660" t="s">
        <v>685</v>
      </c>
      <c r="B3660" s="5">
        <v>63</v>
      </c>
      <c r="C3660" s="5" t="str" cm="1">
        <f t="array" ref="C3660">_xlfn.IFS(worksheet[[#This Row],[age]]&lt;25,"1. Young Adulthood (18-24)",worksheet[[#This Row],[age]]&lt; 35,"2. Early Adulthood (25-34)",worksheet[[#This Row],[age]]&lt; 45,"3. Mid Adulthood (35-44)",worksheet[[#This Row],[age]]&lt; 55,"4. Mature Adulthood (45-54)",TRUE,"5. Late Adulthood/Senior (55+)")</f>
        <v>5. Late Adulthood/Senior (55+)</v>
      </c>
      <c r="D3660" t="s">
        <v>27</v>
      </c>
      <c r="E3660" t="s">
        <v>22</v>
      </c>
      <c r="F3660" s="4">
        <v>16.91</v>
      </c>
      <c r="G3660" s="5">
        <v>20</v>
      </c>
      <c r="H3660" t="s">
        <v>70</v>
      </c>
      <c r="I3660" t="s">
        <v>55</v>
      </c>
      <c r="J3660" s="6">
        <v>13.99</v>
      </c>
      <c r="K3660">
        <v>0</v>
      </c>
      <c r="L3660" t="s">
        <v>19</v>
      </c>
      <c r="M3660" s="5">
        <v>1</v>
      </c>
      <c r="N3660" s="4">
        <v>0.81</v>
      </c>
      <c r="O3660" t="s">
        <v>34</v>
      </c>
    </row>
    <row r="3661" spans="1:15" x14ac:dyDescent="0.3">
      <c r="A3661" t="s">
        <v>686</v>
      </c>
      <c r="B3661" s="5">
        <v>56</v>
      </c>
      <c r="C3661" s="5" t="str" cm="1">
        <f t="array" ref="C3661">_xlfn.IFS(worksheet[[#This Row],[age]]&lt;25,"1. Young Adulthood (18-24)",worksheet[[#This Row],[age]]&lt; 35,"2. Early Adulthood (25-34)",worksheet[[#This Row],[age]]&lt; 45,"3. Mid Adulthood (35-44)",worksheet[[#This Row],[age]]&lt; 55,"4. Mature Adulthood (45-54)",TRUE,"5. Late Adulthood/Senior (55+)")</f>
        <v>5. Late Adulthood/Senior (55+)</v>
      </c>
      <c r="D3661" t="s">
        <v>27</v>
      </c>
      <c r="E3661" t="s">
        <v>32</v>
      </c>
      <c r="F3661" s="4">
        <v>24.68</v>
      </c>
      <c r="G3661" s="5">
        <v>9</v>
      </c>
      <c r="H3661" t="s">
        <v>23</v>
      </c>
      <c r="I3661" t="s">
        <v>24</v>
      </c>
      <c r="J3661" s="6">
        <v>17.989999999999998</v>
      </c>
      <c r="K3661">
        <v>0</v>
      </c>
      <c r="L3661" t="s">
        <v>61</v>
      </c>
      <c r="M3661" s="5">
        <v>1</v>
      </c>
      <c r="N3661" s="4">
        <v>2.4700000000000002</v>
      </c>
      <c r="O3661" t="s">
        <v>30</v>
      </c>
    </row>
    <row r="3662" spans="1:15" x14ac:dyDescent="0.3">
      <c r="A3662" t="s">
        <v>688</v>
      </c>
      <c r="B3662" s="5">
        <v>59</v>
      </c>
      <c r="C3662" s="5" t="str" cm="1">
        <f t="array" ref="C3662">_xlfn.IFS(worksheet[[#This Row],[age]]&lt;25,"1. Young Adulthood (18-24)",worksheet[[#This Row],[age]]&lt; 35,"2. Early Adulthood (25-34)",worksheet[[#This Row],[age]]&lt; 45,"3. Mid Adulthood (35-44)",worksheet[[#This Row],[age]]&lt; 55,"4. Mature Adulthood (45-54)",TRUE,"5. Late Adulthood/Senior (55+)")</f>
        <v>5. Late Adulthood/Senior (55+)</v>
      </c>
      <c r="D3662" t="s">
        <v>27</v>
      </c>
      <c r="E3662" t="s">
        <v>32</v>
      </c>
      <c r="F3662" s="4">
        <v>16.39</v>
      </c>
      <c r="G3662" s="5">
        <v>40</v>
      </c>
      <c r="H3662" t="s">
        <v>28</v>
      </c>
      <c r="I3662" t="s">
        <v>46</v>
      </c>
      <c r="J3662" s="6">
        <v>17.989999999999998</v>
      </c>
      <c r="K3662">
        <v>0</v>
      </c>
      <c r="L3662" t="s">
        <v>37</v>
      </c>
      <c r="M3662" s="5">
        <v>5</v>
      </c>
      <c r="N3662" s="4">
        <v>0.4</v>
      </c>
      <c r="O3662" t="s">
        <v>34</v>
      </c>
    </row>
    <row r="3663" spans="1:15" x14ac:dyDescent="0.3">
      <c r="A3663" t="s">
        <v>693</v>
      </c>
      <c r="B3663" s="5">
        <v>70</v>
      </c>
      <c r="C3663" s="5" t="str" cm="1">
        <f t="array" ref="C3663">_xlfn.IFS(worksheet[[#This Row],[age]]&lt;25,"1. Young Adulthood (18-24)",worksheet[[#This Row],[age]]&lt; 35,"2. Early Adulthood (25-34)",worksheet[[#This Row],[age]]&lt; 45,"3. Mid Adulthood (35-44)",worksheet[[#This Row],[age]]&lt; 55,"4. Mature Adulthood (45-54)",TRUE,"5. Late Adulthood/Senior (55+)")</f>
        <v>5. Late Adulthood/Senior (55+)</v>
      </c>
      <c r="D3663" t="s">
        <v>41</v>
      </c>
      <c r="E3663" t="s">
        <v>16</v>
      </c>
      <c r="F3663" s="4">
        <v>15.81</v>
      </c>
      <c r="G3663" s="5">
        <v>44</v>
      </c>
      <c r="H3663" t="s">
        <v>17</v>
      </c>
      <c r="I3663" t="s">
        <v>57</v>
      </c>
      <c r="J3663" s="6">
        <v>8.99</v>
      </c>
      <c r="K3663">
        <v>1</v>
      </c>
      <c r="L3663" t="s">
        <v>29</v>
      </c>
      <c r="M3663" s="5">
        <v>1</v>
      </c>
      <c r="N3663" s="4">
        <v>0.35</v>
      </c>
      <c r="O3663" t="s">
        <v>52</v>
      </c>
    </row>
    <row r="3664" spans="1:15" x14ac:dyDescent="0.3">
      <c r="A3664" t="s">
        <v>694</v>
      </c>
      <c r="B3664" s="5">
        <v>64</v>
      </c>
      <c r="C3664" s="5" t="str" cm="1">
        <f t="array" ref="C3664">_xlfn.IFS(worksheet[[#This Row],[age]]&lt;25,"1. Young Adulthood (18-24)",worksheet[[#This Row],[age]]&lt; 35,"2. Early Adulthood (25-34)",worksheet[[#This Row],[age]]&lt; 45,"3. Mid Adulthood (35-44)",worksheet[[#This Row],[age]]&lt; 55,"4. Mature Adulthood (45-54)",TRUE,"5. Late Adulthood/Senior (55+)")</f>
        <v>5. Late Adulthood/Senior (55+)</v>
      </c>
      <c r="D3664" t="s">
        <v>41</v>
      </c>
      <c r="E3664" t="s">
        <v>22</v>
      </c>
      <c r="F3664" s="4">
        <v>30.64</v>
      </c>
      <c r="G3664" s="5">
        <v>50</v>
      </c>
      <c r="H3664" t="s">
        <v>49</v>
      </c>
      <c r="I3664" t="s">
        <v>46</v>
      </c>
      <c r="J3664" s="6">
        <v>13.99</v>
      </c>
      <c r="K3664">
        <v>0</v>
      </c>
      <c r="L3664" t="s">
        <v>43</v>
      </c>
      <c r="M3664" s="5">
        <v>3</v>
      </c>
      <c r="N3664" s="4">
        <v>0.6</v>
      </c>
      <c r="O3664" t="s">
        <v>47</v>
      </c>
    </row>
    <row r="3665" spans="1:15" x14ac:dyDescent="0.3">
      <c r="A3665" t="s">
        <v>695</v>
      </c>
      <c r="B3665" s="5">
        <v>66</v>
      </c>
      <c r="C3665" s="5" t="str" cm="1">
        <f t="array" ref="C3665">_xlfn.IFS(worksheet[[#This Row],[age]]&lt;25,"1. Young Adulthood (18-24)",worksheet[[#This Row],[age]]&lt; 35,"2. Early Adulthood (25-34)",worksheet[[#This Row],[age]]&lt; 45,"3. Mid Adulthood (35-44)",worksheet[[#This Row],[age]]&lt; 55,"4. Mature Adulthood (45-54)",TRUE,"5. Late Adulthood/Senior (55+)")</f>
        <v>5. Late Adulthood/Senior (55+)</v>
      </c>
      <c r="D3665" t="s">
        <v>15</v>
      </c>
      <c r="E3665" t="s">
        <v>16</v>
      </c>
      <c r="F3665" s="4">
        <v>8.0299999999999994</v>
      </c>
      <c r="G3665" s="5">
        <v>7</v>
      </c>
      <c r="H3665" t="s">
        <v>17</v>
      </c>
      <c r="I3665" t="s">
        <v>24</v>
      </c>
      <c r="J3665" s="6">
        <v>8.99</v>
      </c>
      <c r="K3665">
        <v>0</v>
      </c>
      <c r="L3665" t="s">
        <v>29</v>
      </c>
      <c r="M3665" s="5">
        <v>4</v>
      </c>
      <c r="N3665" s="4">
        <v>1</v>
      </c>
      <c r="O3665" t="s">
        <v>34</v>
      </c>
    </row>
    <row r="3666" spans="1:15" x14ac:dyDescent="0.3">
      <c r="A3666" t="s">
        <v>696</v>
      </c>
      <c r="B3666" s="5">
        <v>63</v>
      </c>
      <c r="C3666" s="5" t="str" cm="1">
        <f t="array" ref="C3666">_xlfn.IFS(worksheet[[#This Row],[age]]&lt;25,"1. Young Adulthood (18-24)",worksheet[[#This Row],[age]]&lt; 35,"2. Early Adulthood (25-34)",worksheet[[#This Row],[age]]&lt; 45,"3. Mid Adulthood (35-44)",worksheet[[#This Row],[age]]&lt; 55,"4. Mature Adulthood (45-54)",TRUE,"5. Late Adulthood/Senior (55+)")</f>
        <v>5. Late Adulthood/Senior (55+)</v>
      </c>
      <c r="D3666" t="s">
        <v>15</v>
      </c>
      <c r="E3666" t="s">
        <v>32</v>
      </c>
      <c r="F3666" s="4">
        <v>15.63</v>
      </c>
      <c r="G3666" s="5">
        <v>22</v>
      </c>
      <c r="H3666" t="s">
        <v>49</v>
      </c>
      <c r="I3666" t="s">
        <v>55</v>
      </c>
      <c r="J3666" s="6">
        <v>17.989999999999998</v>
      </c>
      <c r="K3666">
        <v>0</v>
      </c>
      <c r="L3666" t="s">
        <v>29</v>
      </c>
      <c r="M3666" s="5">
        <v>2</v>
      </c>
      <c r="N3666" s="4">
        <v>0.68</v>
      </c>
      <c r="O3666" t="s">
        <v>52</v>
      </c>
    </row>
    <row r="3667" spans="1:15" x14ac:dyDescent="0.3">
      <c r="A3667" t="s">
        <v>698</v>
      </c>
      <c r="B3667" s="5">
        <v>57</v>
      </c>
      <c r="C3667" s="5" t="str" cm="1">
        <f t="array" ref="C3667">_xlfn.IFS(worksheet[[#This Row],[age]]&lt;25,"1. Young Adulthood (18-24)",worksheet[[#This Row],[age]]&lt; 35,"2. Early Adulthood (25-34)",worksheet[[#This Row],[age]]&lt; 45,"3. Mid Adulthood (35-44)",worksheet[[#This Row],[age]]&lt; 55,"4. Mature Adulthood (45-54)",TRUE,"5. Late Adulthood/Senior (55+)")</f>
        <v>5. Late Adulthood/Senior (55+)</v>
      </c>
      <c r="D3667" t="s">
        <v>41</v>
      </c>
      <c r="E3667" t="s">
        <v>16</v>
      </c>
      <c r="F3667" s="4">
        <v>12.33</v>
      </c>
      <c r="G3667" s="5">
        <v>4</v>
      </c>
      <c r="H3667" t="s">
        <v>49</v>
      </c>
      <c r="I3667" t="s">
        <v>55</v>
      </c>
      <c r="J3667" s="6">
        <v>8.99</v>
      </c>
      <c r="K3667">
        <v>0</v>
      </c>
      <c r="L3667" t="s">
        <v>29</v>
      </c>
      <c r="M3667" s="5">
        <v>2</v>
      </c>
      <c r="N3667" s="4">
        <v>2.4700000000000002</v>
      </c>
      <c r="O3667" t="s">
        <v>30</v>
      </c>
    </row>
    <row r="3668" spans="1:15" x14ac:dyDescent="0.3">
      <c r="A3668" t="s">
        <v>701</v>
      </c>
      <c r="B3668" s="5">
        <v>55</v>
      </c>
      <c r="C3668" s="5" t="str" cm="1">
        <f t="array" ref="C3668">_xlfn.IFS(worksheet[[#This Row],[age]]&lt;25,"1. Young Adulthood (18-24)",worksheet[[#This Row],[age]]&lt; 35,"2. Early Adulthood (25-34)",worksheet[[#This Row],[age]]&lt; 45,"3. Mid Adulthood (35-44)",worksheet[[#This Row],[age]]&lt; 55,"4. Mature Adulthood (45-54)",TRUE,"5. Late Adulthood/Senior (55+)")</f>
        <v>5. Late Adulthood/Senior (55+)</v>
      </c>
      <c r="D3668" t="s">
        <v>27</v>
      </c>
      <c r="E3668" t="s">
        <v>32</v>
      </c>
      <c r="F3668" s="4">
        <v>16.829999999999998</v>
      </c>
      <c r="G3668" s="5">
        <v>16</v>
      </c>
      <c r="H3668" t="s">
        <v>17</v>
      </c>
      <c r="I3668" t="s">
        <v>24</v>
      </c>
      <c r="J3668" s="6">
        <v>17.989999999999998</v>
      </c>
      <c r="K3668">
        <v>0</v>
      </c>
      <c r="L3668" t="s">
        <v>43</v>
      </c>
      <c r="M3668" s="5">
        <v>4</v>
      </c>
      <c r="N3668" s="4">
        <v>0.99</v>
      </c>
      <c r="O3668" t="s">
        <v>52</v>
      </c>
    </row>
    <row r="3669" spans="1:15" x14ac:dyDescent="0.3">
      <c r="A3669" t="s">
        <v>702</v>
      </c>
      <c r="B3669" s="5">
        <v>65</v>
      </c>
      <c r="C3669" s="5" t="str" cm="1">
        <f t="array" ref="C3669">_xlfn.IFS(worksheet[[#This Row],[age]]&lt;25,"1. Young Adulthood (18-24)",worksheet[[#This Row],[age]]&lt; 35,"2. Early Adulthood (25-34)",worksheet[[#This Row],[age]]&lt; 45,"3. Mid Adulthood (35-44)",worksheet[[#This Row],[age]]&lt; 55,"4. Mature Adulthood (45-54)",TRUE,"5. Late Adulthood/Senior (55+)")</f>
        <v>5. Late Adulthood/Senior (55+)</v>
      </c>
      <c r="D3669" t="s">
        <v>41</v>
      </c>
      <c r="E3669" t="s">
        <v>32</v>
      </c>
      <c r="F3669" s="4">
        <v>20.18</v>
      </c>
      <c r="G3669" s="5">
        <v>4</v>
      </c>
      <c r="H3669" t="s">
        <v>33</v>
      </c>
      <c r="I3669" t="s">
        <v>24</v>
      </c>
      <c r="J3669" s="6">
        <v>17.989999999999998</v>
      </c>
      <c r="K3669">
        <v>0</v>
      </c>
      <c r="L3669" t="s">
        <v>29</v>
      </c>
      <c r="M3669" s="5">
        <v>4</v>
      </c>
      <c r="N3669" s="4">
        <v>4.04</v>
      </c>
      <c r="O3669" t="s">
        <v>30</v>
      </c>
    </row>
    <row r="3670" spans="1:15" x14ac:dyDescent="0.3">
      <c r="A3670" t="s">
        <v>709</v>
      </c>
      <c r="B3670" s="5">
        <v>56</v>
      </c>
      <c r="C3670" s="5" t="str" cm="1">
        <f t="array" ref="C3670">_xlfn.IFS(worksheet[[#This Row],[age]]&lt;25,"1. Young Adulthood (18-24)",worksheet[[#This Row],[age]]&lt; 35,"2. Early Adulthood (25-34)",worksheet[[#This Row],[age]]&lt; 45,"3. Mid Adulthood (35-44)",worksheet[[#This Row],[age]]&lt; 55,"4. Mature Adulthood (45-54)",TRUE,"5. Late Adulthood/Senior (55+)")</f>
        <v>5. Late Adulthood/Senior (55+)</v>
      </c>
      <c r="D3670" t="s">
        <v>27</v>
      </c>
      <c r="E3670" t="s">
        <v>32</v>
      </c>
      <c r="F3670" s="4">
        <v>2.98</v>
      </c>
      <c r="G3670" s="5">
        <v>39</v>
      </c>
      <c r="H3670" t="s">
        <v>23</v>
      </c>
      <c r="I3670" t="s">
        <v>46</v>
      </c>
      <c r="J3670" s="6">
        <v>17.989999999999998</v>
      </c>
      <c r="K3670">
        <v>1</v>
      </c>
      <c r="L3670" t="s">
        <v>43</v>
      </c>
      <c r="M3670" s="5">
        <v>3</v>
      </c>
      <c r="N3670" s="4">
        <v>7.0000000000000007E-2</v>
      </c>
      <c r="O3670" t="s">
        <v>47</v>
      </c>
    </row>
    <row r="3671" spans="1:15" x14ac:dyDescent="0.3">
      <c r="A3671" t="s">
        <v>712</v>
      </c>
      <c r="B3671" s="5">
        <v>62</v>
      </c>
      <c r="C3671" s="5" t="str" cm="1">
        <f t="array" ref="C3671">_xlfn.IFS(worksheet[[#This Row],[age]]&lt;25,"1. Young Adulthood (18-24)",worksheet[[#This Row],[age]]&lt; 35,"2. Early Adulthood (25-34)",worksheet[[#This Row],[age]]&lt; 45,"3. Mid Adulthood (35-44)",worksheet[[#This Row],[age]]&lt; 55,"4. Mature Adulthood (45-54)",TRUE,"5. Late Adulthood/Senior (55+)")</f>
        <v>5. Late Adulthood/Senior (55+)</v>
      </c>
      <c r="D3671" t="s">
        <v>41</v>
      </c>
      <c r="E3671" t="s">
        <v>32</v>
      </c>
      <c r="F3671" s="4">
        <v>29.21</v>
      </c>
      <c r="G3671" s="5">
        <v>1</v>
      </c>
      <c r="H3671" t="s">
        <v>49</v>
      </c>
      <c r="I3671" t="s">
        <v>24</v>
      </c>
      <c r="J3671" s="6">
        <v>17.989999999999998</v>
      </c>
      <c r="K3671">
        <v>0</v>
      </c>
      <c r="L3671" t="s">
        <v>19</v>
      </c>
      <c r="M3671" s="5">
        <v>1</v>
      </c>
      <c r="N3671" s="4">
        <v>14.61</v>
      </c>
      <c r="O3671" t="s">
        <v>52</v>
      </c>
    </row>
    <row r="3672" spans="1:15" x14ac:dyDescent="0.3">
      <c r="A3672" t="s">
        <v>715</v>
      </c>
      <c r="B3672" s="5">
        <v>62</v>
      </c>
      <c r="C3672" s="5" t="str" cm="1">
        <f t="array" ref="C3672">_xlfn.IFS(worksheet[[#This Row],[age]]&lt;25,"1. Young Adulthood (18-24)",worksheet[[#This Row],[age]]&lt; 35,"2. Early Adulthood (25-34)",worksheet[[#This Row],[age]]&lt; 45,"3. Mid Adulthood (35-44)",worksheet[[#This Row],[age]]&lt; 55,"4. Mature Adulthood (45-54)",TRUE,"5. Late Adulthood/Senior (55+)")</f>
        <v>5. Late Adulthood/Senior (55+)</v>
      </c>
      <c r="D3672" t="s">
        <v>15</v>
      </c>
      <c r="E3672" t="s">
        <v>22</v>
      </c>
      <c r="F3672" s="4">
        <v>5.63</v>
      </c>
      <c r="G3672" s="5">
        <v>26</v>
      </c>
      <c r="H3672" t="s">
        <v>28</v>
      </c>
      <c r="I3672" t="s">
        <v>18</v>
      </c>
      <c r="J3672" s="6">
        <v>13.99</v>
      </c>
      <c r="K3672">
        <v>0</v>
      </c>
      <c r="L3672" t="s">
        <v>61</v>
      </c>
      <c r="M3672" s="5">
        <v>3</v>
      </c>
      <c r="N3672" s="4">
        <v>0.21</v>
      </c>
      <c r="O3672" t="s">
        <v>39</v>
      </c>
    </row>
    <row r="3673" spans="1:15" x14ac:dyDescent="0.3">
      <c r="A3673" t="s">
        <v>717</v>
      </c>
      <c r="B3673" s="5">
        <v>58</v>
      </c>
      <c r="C3673" s="5" t="str" cm="1">
        <f t="array" ref="C3673">_xlfn.IFS(worksheet[[#This Row],[age]]&lt;25,"1. Young Adulthood (18-24)",worksheet[[#This Row],[age]]&lt; 35,"2. Early Adulthood (25-34)",worksheet[[#This Row],[age]]&lt; 45,"3. Mid Adulthood (35-44)",worksheet[[#This Row],[age]]&lt; 55,"4. Mature Adulthood (45-54)",TRUE,"5. Late Adulthood/Senior (55+)")</f>
        <v>5. Late Adulthood/Senior (55+)</v>
      </c>
      <c r="D3673" t="s">
        <v>41</v>
      </c>
      <c r="E3673" t="s">
        <v>22</v>
      </c>
      <c r="F3673" s="4">
        <v>2.11</v>
      </c>
      <c r="G3673" s="5">
        <v>5</v>
      </c>
      <c r="H3673" t="s">
        <v>70</v>
      </c>
      <c r="I3673" t="s">
        <v>18</v>
      </c>
      <c r="J3673" s="6">
        <v>13.99</v>
      </c>
      <c r="K3673">
        <v>1</v>
      </c>
      <c r="L3673" t="s">
        <v>61</v>
      </c>
      <c r="M3673" s="5">
        <v>1</v>
      </c>
      <c r="N3673" s="4">
        <v>0.35</v>
      </c>
      <c r="O3673" t="s">
        <v>20</v>
      </c>
    </row>
    <row r="3674" spans="1:15" x14ac:dyDescent="0.3">
      <c r="A3674" t="s">
        <v>718</v>
      </c>
      <c r="B3674" s="5">
        <v>62</v>
      </c>
      <c r="C3674" s="5" t="str" cm="1">
        <f t="array" ref="C3674">_xlfn.IFS(worksheet[[#This Row],[age]]&lt;25,"1. Young Adulthood (18-24)",worksheet[[#This Row],[age]]&lt; 35,"2. Early Adulthood (25-34)",worksheet[[#This Row],[age]]&lt; 45,"3. Mid Adulthood (35-44)",worksheet[[#This Row],[age]]&lt; 55,"4. Mature Adulthood (45-54)",TRUE,"5. Late Adulthood/Senior (55+)")</f>
        <v>5. Late Adulthood/Senior (55+)</v>
      </c>
      <c r="D3674" t="s">
        <v>15</v>
      </c>
      <c r="E3674" t="s">
        <v>16</v>
      </c>
      <c r="F3674" s="4">
        <v>1.1599999999999999</v>
      </c>
      <c r="G3674" s="5">
        <v>2</v>
      </c>
      <c r="H3674" t="s">
        <v>49</v>
      </c>
      <c r="I3674" t="s">
        <v>18</v>
      </c>
      <c r="J3674" s="6">
        <v>8.99</v>
      </c>
      <c r="K3674">
        <v>1</v>
      </c>
      <c r="L3674" t="s">
        <v>43</v>
      </c>
      <c r="M3674" s="5">
        <v>2</v>
      </c>
      <c r="N3674" s="4">
        <v>0.39</v>
      </c>
      <c r="O3674" t="s">
        <v>34</v>
      </c>
    </row>
    <row r="3675" spans="1:15" x14ac:dyDescent="0.3">
      <c r="A3675" t="s">
        <v>719</v>
      </c>
      <c r="B3675" s="5">
        <v>70</v>
      </c>
      <c r="C3675" s="5" t="str" cm="1">
        <f t="array" ref="C3675">_xlfn.IFS(worksheet[[#This Row],[age]]&lt;25,"1. Young Adulthood (18-24)",worksheet[[#This Row],[age]]&lt; 35,"2. Early Adulthood (25-34)",worksheet[[#This Row],[age]]&lt; 45,"3. Mid Adulthood (35-44)",worksheet[[#This Row],[age]]&lt; 55,"4. Mature Adulthood (45-54)",TRUE,"5. Late Adulthood/Senior (55+)")</f>
        <v>5. Late Adulthood/Senior (55+)</v>
      </c>
      <c r="D3675" t="s">
        <v>27</v>
      </c>
      <c r="E3675" t="s">
        <v>32</v>
      </c>
      <c r="F3675" s="4">
        <v>11.06</v>
      </c>
      <c r="G3675" s="5">
        <v>38</v>
      </c>
      <c r="H3675" t="s">
        <v>33</v>
      </c>
      <c r="I3675" t="s">
        <v>46</v>
      </c>
      <c r="J3675" s="6">
        <v>17.989999999999998</v>
      </c>
      <c r="K3675">
        <v>1</v>
      </c>
      <c r="L3675" t="s">
        <v>19</v>
      </c>
      <c r="M3675" s="5">
        <v>1</v>
      </c>
      <c r="N3675" s="4">
        <v>0.28000000000000003</v>
      </c>
      <c r="O3675" t="s">
        <v>30</v>
      </c>
    </row>
    <row r="3676" spans="1:15" x14ac:dyDescent="0.3">
      <c r="A3676" t="s">
        <v>729</v>
      </c>
      <c r="B3676" s="5">
        <v>70</v>
      </c>
      <c r="C3676" s="5" t="str" cm="1">
        <f t="array" ref="C3676">_xlfn.IFS(worksheet[[#This Row],[age]]&lt;25,"1. Young Adulthood (18-24)",worksheet[[#This Row],[age]]&lt; 35,"2. Early Adulthood (25-34)",worksheet[[#This Row],[age]]&lt; 45,"3. Mid Adulthood (35-44)",worksheet[[#This Row],[age]]&lt; 55,"4. Mature Adulthood (45-54)",TRUE,"5. Late Adulthood/Senior (55+)")</f>
        <v>5. Late Adulthood/Senior (55+)</v>
      </c>
      <c r="D3676" t="s">
        <v>15</v>
      </c>
      <c r="E3676" t="s">
        <v>32</v>
      </c>
      <c r="F3676" s="4">
        <v>7.15</v>
      </c>
      <c r="G3676" s="5">
        <v>27</v>
      </c>
      <c r="H3676" t="s">
        <v>28</v>
      </c>
      <c r="I3676" t="s">
        <v>55</v>
      </c>
      <c r="J3676" s="6">
        <v>17.989999999999998</v>
      </c>
      <c r="K3676">
        <v>0</v>
      </c>
      <c r="L3676" t="s">
        <v>61</v>
      </c>
      <c r="M3676" s="5">
        <v>3</v>
      </c>
      <c r="N3676" s="4">
        <v>0.26</v>
      </c>
      <c r="O3676" t="s">
        <v>25</v>
      </c>
    </row>
    <row r="3677" spans="1:15" x14ac:dyDescent="0.3">
      <c r="A3677" t="s">
        <v>730</v>
      </c>
      <c r="B3677" s="5">
        <v>55</v>
      </c>
      <c r="C3677" s="5" t="str" cm="1">
        <f t="array" ref="C3677">_xlfn.IFS(worksheet[[#This Row],[age]]&lt;25,"1. Young Adulthood (18-24)",worksheet[[#This Row],[age]]&lt; 35,"2. Early Adulthood (25-34)",worksheet[[#This Row],[age]]&lt; 45,"3. Mid Adulthood (35-44)",worksheet[[#This Row],[age]]&lt; 55,"4. Mature Adulthood (45-54)",TRUE,"5. Late Adulthood/Senior (55+)")</f>
        <v>5. Late Adulthood/Senior (55+)</v>
      </c>
      <c r="D3677" t="s">
        <v>15</v>
      </c>
      <c r="E3677" t="s">
        <v>22</v>
      </c>
      <c r="F3677" s="4">
        <v>2.59</v>
      </c>
      <c r="G3677" s="5">
        <v>54</v>
      </c>
      <c r="H3677" t="s">
        <v>23</v>
      </c>
      <c r="I3677" t="s">
        <v>55</v>
      </c>
      <c r="J3677" s="6">
        <v>13.99</v>
      </c>
      <c r="K3677">
        <v>1</v>
      </c>
      <c r="L3677" t="s">
        <v>19</v>
      </c>
      <c r="M3677" s="5">
        <v>3</v>
      </c>
      <c r="N3677" s="4">
        <v>0.05</v>
      </c>
      <c r="O3677" t="s">
        <v>25</v>
      </c>
    </row>
    <row r="3678" spans="1:15" x14ac:dyDescent="0.3">
      <c r="A3678" t="s">
        <v>735</v>
      </c>
      <c r="B3678" s="5">
        <v>69</v>
      </c>
      <c r="C3678" s="5" t="str" cm="1">
        <f t="array" ref="C3678">_xlfn.IFS(worksheet[[#This Row],[age]]&lt;25,"1. Young Adulthood (18-24)",worksheet[[#This Row],[age]]&lt; 35,"2. Early Adulthood (25-34)",worksheet[[#This Row],[age]]&lt; 45,"3. Mid Adulthood (35-44)",worksheet[[#This Row],[age]]&lt; 55,"4. Mature Adulthood (45-54)",TRUE,"5. Late Adulthood/Senior (55+)")</f>
        <v>5. Late Adulthood/Senior (55+)</v>
      </c>
      <c r="D3678" t="s">
        <v>41</v>
      </c>
      <c r="E3678" t="s">
        <v>32</v>
      </c>
      <c r="F3678" s="4">
        <v>0.52</v>
      </c>
      <c r="G3678" s="5">
        <v>42</v>
      </c>
      <c r="H3678" t="s">
        <v>49</v>
      </c>
      <c r="I3678" t="s">
        <v>55</v>
      </c>
      <c r="J3678" s="6">
        <v>17.989999999999998</v>
      </c>
      <c r="K3678">
        <v>1</v>
      </c>
      <c r="L3678" t="s">
        <v>19</v>
      </c>
      <c r="M3678" s="5">
        <v>3</v>
      </c>
      <c r="N3678" s="4">
        <v>0.01</v>
      </c>
      <c r="O3678" t="s">
        <v>20</v>
      </c>
    </row>
    <row r="3679" spans="1:15" x14ac:dyDescent="0.3">
      <c r="A3679" t="s">
        <v>746</v>
      </c>
      <c r="B3679" s="5">
        <v>66</v>
      </c>
      <c r="C3679" s="5" t="str" cm="1">
        <f t="array" ref="C3679">_xlfn.IFS(worksheet[[#This Row],[age]]&lt;25,"1. Young Adulthood (18-24)",worksheet[[#This Row],[age]]&lt; 35,"2. Early Adulthood (25-34)",worksheet[[#This Row],[age]]&lt; 45,"3. Mid Adulthood (35-44)",worksheet[[#This Row],[age]]&lt; 55,"4. Mature Adulthood (45-54)",TRUE,"5. Late Adulthood/Senior (55+)")</f>
        <v>5. Late Adulthood/Senior (55+)</v>
      </c>
      <c r="D3679" t="s">
        <v>41</v>
      </c>
      <c r="E3679" t="s">
        <v>16</v>
      </c>
      <c r="F3679" s="4">
        <v>25.03</v>
      </c>
      <c r="G3679" s="5">
        <v>16</v>
      </c>
      <c r="H3679" t="s">
        <v>70</v>
      </c>
      <c r="I3679" t="s">
        <v>18</v>
      </c>
      <c r="J3679" s="6">
        <v>8.99</v>
      </c>
      <c r="K3679">
        <v>0</v>
      </c>
      <c r="L3679" t="s">
        <v>61</v>
      </c>
      <c r="M3679" s="5">
        <v>3</v>
      </c>
      <c r="N3679" s="4">
        <v>1.47</v>
      </c>
      <c r="O3679" t="s">
        <v>20</v>
      </c>
    </row>
    <row r="3680" spans="1:15" x14ac:dyDescent="0.3">
      <c r="A3680" t="s">
        <v>747</v>
      </c>
      <c r="B3680" s="5">
        <v>66</v>
      </c>
      <c r="C3680" s="5" t="str" cm="1">
        <f t="array" ref="C3680">_xlfn.IFS(worksheet[[#This Row],[age]]&lt;25,"1. Young Adulthood (18-24)",worksheet[[#This Row],[age]]&lt; 35,"2. Early Adulthood (25-34)",worksheet[[#This Row],[age]]&lt; 45,"3. Mid Adulthood (35-44)",worksheet[[#This Row],[age]]&lt; 55,"4. Mature Adulthood (45-54)",TRUE,"5. Late Adulthood/Senior (55+)")</f>
        <v>5. Late Adulthood/Senior (55+)</v>
      </c>
      <c r="D3680" t="s">
        <v>15</v>
      </c>
      <c r="E3680" t="s">
        <v>32</v>
      </c>
      <c r="F3680" s="4">
        <v>6.11</v>
      </c>
      <c r="G3680" s="5">
        <v>9</v>
      </c>
      <c r="H3680" t="s">
        <v>23</v>
      </c>
      <c r="I3680" t="s">
        <v>57</v>
      </c>
      <c r="J3680" s="6">
        <v>17.989999999999998</v>
      </c>
      <c r="K3680">
        <v>0</v>
      </c>
      <c r="L3680" t="s">
        <v>29</v>
      </c>
      <c r="M3680" s="5">
        <v>4</v>
      </c>
      <c r="N3680" s="4">
        <v>0.61</v>
      </c>
      <c r="O3680" t="s">
        <v>30</v>
      </c>
    </row>
    <row r="3681" spans="1:15" x14ac:dyDescent="0.3">
      <c r="A3681" t="s">
        <v>756</v>
      </c>
      <c r="B3681" s="5">
        <v>56</v>
      </c>
      <c r="C3681" s="5" t="str" cm="1">
        <f t="array" ref="C3681">_xlfn.IFS(worksheet[[#This Row],[age]]&lt;25,"1. Young Adulthood (18-24)",worksheet[[#This Row],[age]]&lt; 35,"2. Early Adulthood (25-34)",worksheet[[#This Row],[age]]&lt; 45,"3. Mid Adulthood (35-44)",worksheet[[#This Row],[age]]&lt; 55,"4. Mature Adulthood (45-54)",TRUE,"5. Late Adulthood/Senior (55+)")</f>
        <v>5. Late Adulthood/Senior (55+)</v>
      </c>
      <c r="D3681" t="s">
        <v>41</v>
      </c>
      <c r="E3681" t="s">
        <v>16</v>
      </c>
      <c r="F3681" s="4">
        <v>5.03</v>
      </c>
      <c r="G3681" s="5">
        <v>22</v>
      </c>
      <c r="H3681" t="s">
        <v>28</v>
      </c>
      <c r="I3681" t="s">
        <v>55</v>
      </c>
      <c r="J3681" s="6">
        <v>8.99</v>
      </c>
      <c r="K3681">
        <v>0</v>
      </c>
      <c r="L3681" t="s">
        <v>37</v>
      </c>
      <c r="M3681" s="5">
        <v>4</v>
      </c>
      <c r="N3681" s="4">
        <v>0.22</v>
      </c>
      <c r="O3681" t="s">
        <v>34</v>
      </c>
    </row>
    <row r="3682" spans="1:15" x14ac:dyDescent="0.3">
      <c r="A3682" t="s">
        <v>758</v>
      </c>
      <c r="B3682" s="5">
        <v>58</v>
      </c>
      <c r="C3682" s="5" t="str" cm="1">
        <f t="array" ref="C3682">_xlfn.IFS(worksheet[[#This Row],[age]]&lt;25,"1. Young Adulthood (18-24)",worksheet[[#This Row],[age]]&lt; 35,"2. Early Adulthood (25-34)",worksheet[[#This Row],[age]]&lt; 45,"3. Mid Adulthood (35-44)",worksheet[[#This Row],[age]]&lt; 55,"4. Mature Adulthood (45-54)",TRUE,"5. Late Adulthood/Senior (55+)")</f>
        <v>5. Late Adulthood/Senior (55+)</v>
      </c>
      <c r="D3682" t="s">
        <v>27</v>
      </c>
      <c r="E3682" t="s">
        <v>22</v>
      </c>
      <c r="F3682" s="4">
        <v>23.39</v>
      </c>
      <c r="G3682" s="5">
        <v>52</v>
      </c>
      <c r="H3682" t="s">
        <v>28</v>
      </c>
      <c r="I3682" t="s">
        <v>57</v>
      </c>
      <c r="J3682" s="6">
        <v>13.99</v>
      </c>
      <c r="K3682">
        <v>0</v>
      </c>
      <c r="L3682" t="s">
        <v>61</v>
      </c>
      <c r="M3682" s="5">
        <v>1</v>
      </c>
      <c r="N3682" s="4">
        <v>0.44</v>
      </c>
      <c r="O3682" t="s">
        <v>47</v>
      </c>
    </row>
    <row r="3683" spans="1:15" x14ac:dyDescent="0.3">
      <c r="A3683" t="s">
        <v>759</v>
      </c>
      <c r="B3683" s="5">
        <v>63</v>
      </c>
      <c r="C3683" s="5" t="str" cm="1">
        <f t="array" ref="C3683">_xlfn.IFS(worksheet[[#This Row],[age]]&lt;25,"1. Young Adulthood (18-24)",worksheet[[#This Row],[age]]&lt; 35,"2. Early Adulthood (25-34)",worksheet[[#This Row],[age]]&lt; 45,"3. Mid Adulthood (35-44)",worksheet[[#This Row],[age]]&lt; 55,"4. Mature Adulthood (45-54)",TRUE,"5. Late Adulthood/Senior (55+)")</f>
        <v>5. Late Adulthood/Senior (55+)</v>
      </c>
      <c r="D3683" t="s">
        <v>27</v>
      </c>
      <c r="E3683" t="s">
        <v>32</v>
      </c>
      <c r="F3683" s="4">
        <v>7.04</v>
      </c>
      <c r="G3683" s="5">
        <v>46</v>
      </c>
      <c r="H3683" t="s">
        <v>23</v>
      </c>
      <c r="I3683" t="s">
        <v>24</v>
      </c>
      <c r="J3683" s="6">
        <v>17.989999999999998</v>
      </c>
      <c r="K3683">
        <v>1</v>
      </c>
      <c r="L3683" t="s">
        <v>19</v>
      </c>
      <c r="M3683" s="5">
        <v>4</v>
      </c>
      <c r="N3683" s="4">
        <v>0.15</v>
      </c>
      <c r="O3683" t="s">
        <v>39</v>
      </c>
    </row>
    <row r="3684" spans="1:15" x14ac:dyDescent="0.3">
      <c r="A3684" t="s">
        <v>760</v>
      </c>
      <c r="B3684" s="5">
        <v>66</v>
      </c>
      <c r="C3684" s="5" t="str" cm="1">
        <f t="array" ref="C3684">_xlfn.IFS(worksheet[[#This Row],[age]]&lt;25,"1. Young Adulthood (18-24)",worksheet[[#This Row],[age]]&lt; 35,"2. Early Adulthood (25-34)",worksheet[[#This Row],[age]]&lt; 45,"3. Mid Adulthood (35-44)",worksheet[[#This Row],[age]]&lt; 55,"4. Mature Adulthood (45-54)",TRUE,"5. Late Adulthood/Senior (55+)")</f>
        <v>5. Late Adulthood/Senior (55+)</v>
      </c>
      <c r="D3684" t="s">
        <v>41</v>
      </c>
      <c r="E3684" t="s">
        <v>32</v>
      </c>
      <c r="F3684" s="4">
        <v>32.06</v>
      </c>
      <c r="G3684" s="5">
        <v>51</v>
      </c>
      <c r="H3684" t="s">
        <v>28</v>
      </c>
      <c r="I3684" t="s">
        <v>55</v>
      </c>
      <c r="J3684" s="6">
        <v>17.989999999999998</v>
      </c>
      <c r="K3684">
        <v>0</v>
      </c>
      <c r="L3684" t="s">
        <v>37</v>
      </c>
      <c r="M3684" s="5">
        <v>4</v>
      </c>
      <c r="N3684" s="4">
        <v>0.62</v>
      </c>
      <c r="O3684" t="s">
        <v>30</v>
      </c>
    </row>
    <row r="3685" spans="1:15" x14ac:dyDescent="0.3">
      <c r="A3685" t="s">
        <v>764</v>
      </c>
      <c r="B3685" s="5">
        <v>66</v>
      </c>
      <c r="C3685" s="5" t="str" cm="1">
        <f t="array" ref="C3685">_xlfn.IFS(worksheet[[#This Row],[age]]&lt;25,"1. Young Adulthood (18-24)",worksheet[[#This Row],[age]]&lt; 35,"2. Early Adulthood (25-34)",worksheet[[#This Row],[age]]&lt; 45,"3. Mid Adulthood (35-44)",worksheet[[#This Row],[age]]&lt; 55,"4. Mature Adulthood (45-54)",TRUE,"5. Late Adulthood/Senior (55+)")</f>
        <v>5. Late Adulthood/Senior (55+)</v>
      </c>
      <c r="D3685" t="s">
        <v>15</v>
      </c>
      <c r="E3685" t="s">
        <v>22</v>
      </c>
      <c r="F3685" s="4">
        <v>0.77</v>
      </c>
      <c r="G3685" s="5">
        <v>36</v>
      </c>
      <c r="H3685" t="s">
        <v>17</v>
      </c>
      <c r="I3685" t="s">
        <v>18</v>
      </c>
      <c r="J3685" s="6">
        <v>13.99</v>
      </c>
      <c r="K3685">
        <v>1</v>
      </c>
      <c r="L3685" t="s">
        <v>29</v>
      </c>
      <c r="M3685" s="5">
        <v>4</v>
      </c>
      <c r="N3685" s="4">
        <v>0.02</v>
      </c>
      <c r="O3685" t="s">
        <v>30</v>
      </c>
    </row>
    <row r="3686" spans="1:15" x14ac:dyDescent="0.3">
      <c r="A3686" t="s">
        <v>765</v>
      </c>
      <c r="B3686" s="5">
        <v>56</v>
      </c>
      <c r="C3686" s="5" t="str" cm="1">
        <f t="array" ref="C3686">_xlfn.IFS(worksheet[[#This Row],[age]]&lt;25,"1. Young Adulthood (18-24)",worksheet[[#This Row],[age]]&lt; 35,"2. Early Adulthood (25-34)",worksheet[[#This Row],[age]]&lt; 45,"3. Mid Adulthood (35-44)",worksheet[[#This Row],[age]]&lt; 55,"4. Mature Adulthood (45-54)",TRUE,"5. Late Adulthood/Senior (55+)")</f>
        <v>5. Late Adulthood/Senior (55+)</v>
      </c>
      <c r="D3686" t="s">
        <v>41</v>
      </c>
      <c r="E3686" t="s">
        <v>22</v>
      </c>
      <c r="F3686" s="4">
        <v>2.95</v>
      </c>
      <c r="G3686" s="5">
        <v>52</v>
      </c>
      <c r="H3686" t="s">
        <v>23</v>
      </c>
      <c r="I3686" t="s">
        <v>57</v>
      </c>
      <c r="J3686" s="6">
        <v>13.99</v>
      </c>
      <c r="K3686">
        <v>1</v>
      </c>
      <c r="L3686" t="s">
        <v>19</v>
      </c>
      <c r="M3686" s="5">
        <v>1</v>
      </c>
      <c r="N3686" s="4">
        <v>0.06</v>
      </c>
      <c r="O3686" t="s">
        <v>30</v>
      </c>
    </row>
    <row r="3687" spans="1:15" x14ac:dyDescent="0.3">
      <c r="A3687" t="s">
        <v>769</v>
      </c>
      <c r="B3687" s="5">
        <v>62</v>
      </c>
      <c r="C3687" s="5" t="str" cm="1">
        <f t="array" ref="C3687">_xlfn.IFS(worksheet[[#This Row],[age]]&lt;25,"1. Young Adulthood (18-24)",worksheet[[#This Row],[age]]&lt; 35,"2. Early Adulthood (25-34)",worksheet[[#This Row],[age]]&lt; 45,"3. Mid Adulthood (35-44)",worksheet[[#This Row],[age]]&lt; 55,"4. Mature Adulthood (45-54)",TRUE,"5. Late Adulthood/Senior (55+)")</f>
        <v>5. Late Adulthood/Senior (55+)</v>
      </c>
      <c r="D3687" t="s">
        <v>41</v>
      </c>
      <c r="E3687" t="s">
        <v>22</v>
      </c>
      <c r="F3687" s="4">
        <v>3.02</v>
      </c>
      <c r="G3687" s="5">
        <v>16</v>
      </c>
      <c r="H3687" t="s">
        <v>23</v>
      </c>
      <c r="I3687" t="s">
        <v>18</v>
      </c>
      <c r="J3687" s="6">
        <v>13.99</v>
      </c>
      <c r="K3687">
        <v>1</v>
      </c>
      <c r="L3687" t="s">
        <v>37</v>
      </c>
      <c r="M3687" s="5">
        <v>2</v>
      </c>
      <c r="N3687" s="4">
        <v>0.18</v>
      </c>
      <c r="O3687" t="s">
        <v>30</v>
      </c>
    </row>
    <row r="3688" spans="1:15" x14ac:dyDescent="0.3">
      <c r="A3688" t="s">
        <v>770</v>
      </c>
      <c r="B3688" s="5">
        <v>67</v>
      </c>
      <c r="C3688" s="5" t="str" cm="1">
        <f t="array" ref="C3688">_xlfn.IFS(worksheet[[#This Row],[age]]&lt;25,"1. Young Adulthood (18-24)",worksheet[[#This Row],[age]]&lt; 35,"2. Early Adulthood (25-34)",worksheet[[#This Row],[age]]&lt; 45,"3. Mid Adulthood (35-44)",worksheet[[#This Row],[age]]&lt; 55,"4. Mature Adulthood (45-54)",TRUE,"5. Late Adulthood/Senior (55+)")</f>
        <v>5. Late Adulthood/Senior (55+)</v>
      </c>
      <c r="D3688" t="s">
        <v>27</v>
      </c>
      <c r="E3688" t="s">
        <v>32</v>
      </c>
      <c r="F3688" s="4">
        <v>2.02</v>
      </c>
      <c r="G3688" s="5">
        <v>52</v>
      </c>
      <c r="H3688" t="s">
        <v>33</v>
      </c>
      <c r="I3688" t="s">
        <v>24</v>
      </c>
      <c r="J3688" s="6">
        <v>17.989999999999998</v>
      </c>
      <c r="K3688">
        <v>1</v>
      </c>
      <c r="L3688" t="s">
        <v>43</v>
      </c>
      <c r="M3688" s="5">
        <v>2</v>
      </c>
      <c r="N3688" s="4">
        <v>0.04</v>
      </c>
      <c r="O3688" t="s">
        <v>20</v>
      </c>
    </row>
    <row r="3689" spans="1:15" x14ac:dyDescent="0.3">
      <c r="A3689" t="s">
        <v>772</v>
      </c>
      <c r="B3689" s="5">
        <v>57</v>
      </c>
      <c r="C3689" s="5" t="str" cm="1">
        <f t="array" ref="C3689">_xlfn.IFS(worksheet[[#This Row],[age]]&lt;25,"1. Young Adulthood (18-24)",worksheet[[#This Row],[age]]&lt; 35,"2. Early Adulthood (25-34)",worksheet[[#This Row],[age]]&lt; 45,"3. Mid Adulthood (35-44)",worksheet[[#This Row],[age]]&lt; 55,"4. Mature Adulthood (45-54)",TRUE,"5. Late Adulthood/Senior (55+)")</f>
        <v>5. Late Adulthood/Senior (55+)</v>
      </c>
      <c r="D3689" t="s">
        <v>27</v>
      </c>
      <c r="E3689" t="s">
        <v>32</v>
      </c>
      <c r="F3689" s="4">
        <v>4.3899999999999997</v>
      </c>
      <c r="G3689" s="5">
        <v>60</v>
      </c>
      <c r="H3689" t="s">
        <v>70</v>
      </c>
      <c r="I3689" t="s">
        <v>18</v>
      </c>
      <c r="J3689" s="6">
        <v>17.989999999999998</v>
      </c>
      <c r="K3689">
        <v>1</v>
      </c>
      <c r="L3689" t="s">
        <v>29</v>
      </c>
      <c r="M3689" s="5">
        <v>3</v>
      </c>
      <c r="N3689" s="4">
        <v>7.0000000000000007E-2</v>
      </c>
      <c r="O3689" t="s">
        <v>34</v>
      </c>
    </row>
    <row r="3690" spans="1:15" x14ac:dyDescent="0.3">
      <c r="A3690" t="s">
        <v>777</v>
      </c>
      <c r="B3690" s="5">
        <v>60</v>
      </c>
      <c r="C3690" s="5" t="str" cm="1">
        <f t="array" ref="C3690">_xlfn.IFS(worksheet[[#This Row],[age]]&lt;25,"1. Young Adulthood (18-24)",worksheet[[#This Row],[age]]&lt; 35,"2. Early Adulthood (25-34)",worksheet[[#This Row],[age]]&lt; 45,"3. Mid Adulthood (35-44)",worksheet[[#This Row],[age]]&lt; 55,"4. Mature Adulthood (45-54)",TRUE,"5. Late Adulthood/Senior (55+)")</f>
        <v>5. Late Adulthood/Senior (55+)</v>
      </c>
      <c r="D3690" t="s">
        <v>27</v>
      </c>
      <c r="E3690" t="s">
        <v>16</v>
      </c>
      <c r="F3690" s="4">
        <v>1.07</v>
      </c>
      <c r="G3690" s="5">
        <v>3</v>
      </c>
      <c r="H3690" t="s">
        <v>33</v>
      </c>
      <c r="I3690" t="s">
        <v>57</v>
      </c>
      <c r="J3690" s="6">
        <v>8.99</v>
      </c>
      <c r="K3690">
        <v>1</v>
      </c>
      <c r="L3690" t="s">
        <v>61</v>
      </c>
      <c r="M3690" s="5">
        <v>3</v>
      </c>
      <c r="N3690" s="4">
        <v>0.27</v>
      </c>
      <c r="O3690" t="s">
        <v>39</v>
      </c>
    </row>
    <row r="3691" spans="1:15" x14ac:dyDescent="0.3">
      <c r="A3691" t="s">
        <v>778</v>
      </c>
      <c r="B3691" s="5">
        <v>66</v>
      </c>
      <c r="C3691" s="5" t="str" cm="1">
        <f t="array" ref="C3691">_xlfn.IFS(worksheet[[#This Row],[age]]&lt;25,"1. Young Adulthood (18-24)",worksheet[[#This Row],[age]]&lt; 35,"2. Early Adulthood (25-34)",worksheet[[#This Row],[age]]&lt; 45,"3. Mid Adulthood (35-44)",worksheet[[#This Row],[age]]&lt; 55,"4. Mature Adulthood (45-54)",TRUE,"5. Late Adulthood/Senior (55+)")</f>
        <v>5. Late Adulthood/Senior (55+)</v>
      </c>
      <c r="D3691" t="s">
        <v>15</v>
      </c>
      <c r="E3691" t="s">
        <v>32</v>
      </c>
      <c r="F3691" s="4">
        <v>1.85</v>
      </c>
      <c r="G3691" s="5">
        <v>57</v>
      </c>
      <c r="H3691" t="s">
        <v>49</v>
      </c>
      <c r="I3691" t="s">
        <v>57</v>
      </c>
      <c r="J3691" s="6">
        <v>17.989999999999998</v>
      </c>
      <c r="K3691">
        <v>1</v>
      </c>
      <c r="L3691" t="s">
        <v>37</v>
      </c>
      <c r="M3691" s="5">
        <v>3</v>
      </c>
      <c r="N3691" s="4">
        <v>0.03</v>
      </c>
      <c r="O3691" t="s">
        <v>20</v>
      </c>
    </row>
    <row r="3692" spans="1:15" x14ac:dyDescent="0.3">
      <c r="A3692" t="s">
        <v>783</v>
      </c>
      <c r="B3692" s="5">
        <v>58</v>
      </c>
      <c r="C3692" s="5" t="str" cm="1">
        <f t="array" ref="C3692">_xlfn.IFS(worksheet[[#This Row],[age]]&lt;25,"1. Young Adulthood (18-24)",worksheet[[#This Row],[age]]&lt; 35,"2. Early Adulthood (25-34)",worksheet[[#This Row],[age]]&lt; 45,"3. Mid Adulthood (35-44)",worksheet[[#This Row],[age]]&lt; 55,"4. Mature Adulthood (45-54)",TRUE,"5. Late Adulthood/Senior (55+)")</f>
        <v>5. Late Adulthood/Senior (55+)</v>
      </c>
      <c r="D3692" t="s">
        <v>27</v>
      </c>
      <c r="E3692" t="s">
        <v>22</v>
      </c>
      <c r="F3692" s="4">
        <v>2.4</v>
      </c>
      <c r="G3692" s="5">
        <v>11</v>
      </c>
      <c r="H3692" t="s">
        <v>70</v>
      </c>
      <c r="I3692" t="s">
        <v>24</v>
      </c>
      <c r="J3692" s="6">
        <v>13.99</v>
      </c>
      <c r="K3692">
        <v>0</v>
      </c>
      <c r="L3692" t="s">
        <v>43</v>
      </c>
      <c r="M3692" s="5">
        <v>5</v>
      </c>
      <c r="N3692" s="4">
        <v>0.2</v>
      </c>
      <c r="O3692" t="s">
        <v>52</v>
      </c>
    </row>
    <row r="3693" spans="1:15" x14ac:dyDescent="0.3">
      <c r="A3693" t="s">
        <v>785</v>
      </c>
      <c r="B3693" s="5">
        <v>60</v>
      </c>
      <c r="C3693" s="5" t="str" cm="1">
        <f t="array" ref="C3693">_xlfn.IFS(worksheet[[#This Row],[age]]&lt;25,"1. Young Adulthood (18-24)",worksheet[[#This Row],[age]]&lt; 35,"2. Early Adulthood (25-34)",worksheet[[#This Row],[age]]&lt; 45,"3. Mid Adulthood (35-44)",worksheet[[#This Row],[age]]&lt; 55,"4. Mature Adulthood (45-54)",TRUE,"5. Late Adulthood/Senior (55+)")</f>
        <v>5. Late Adulthood/Senior (55+)</v>
      </c>
      <c r="D3693" t="s">
        <v>41</v>
      </c>
      <c r="E3693" t="s">
        <v>32</v>
      </c>
      <c r="F3693" s="4">
        <v>8.42</v>
      </c>
      <c r="G3693" s="5">
        <v>59</v>
      </c>
      <c r="H3693" t="s">
        <v>70</v>
      </c>
      <c r="I3693" t="s">
        <v>24</v>
      </c>
      <c r="J3693" s="6">
        <v>17.989999999999998</v>
      </c>
      <c r="K3693">
        <v>1</v>
      </c>
      <c r="L3693" t="s">
        <v>37</v>
      </c>
      <c r="M3693" s="5">
        <v>2</v>
      </c>
      <c r="N3693" s="4">
        <v>0.14000000000000001</v>
      </c>
      <c r="O3693" t="s">
        <v>25</v>
      </c>
    </row>
    <row r="3694" spans="1:15" x14ac:dyDescent="0.3">
      <c r="A3694" t="s">
        <v>787</v>
      </c>
      <c r="B3694" s="5">
        <v>65</v>
      </c>
      <c r="C3694" s="5" t="str" cm="1">
        <f t="array" ref="C3694">_xlfn.IFS(worksheet[[#This Row],[age]]&lt;25,"1. Young Adulthood (18-24)",worksheet[[#This Row],[age]]&lt; 35,"2. Early Adulthood (25-34)",worksheet[[#This Row],[age]]&lt; 45,"3. Mid Adulthood (35-44)",worksheet[[#This Row],[age]]&lt; 55,"4. Mature Adulthood (45-54)",TRUE,"5. Late Adulthood/Senior (55+)")</f>
        <v>5. Late Adulthood/Senior (55+)</v>
      </c>
      <c r="D3694" t="s">
        <v>27</v>
      </c>
      <c r="E3694" t="s">
        <v>22</v>
      </c>
      <c r="F3694" s="4">
        <v>2.75</v>
      </c>
      <c r="G3694" s="5">
        <v>36</v>
      </c>
      <c r="H3694" t="s">
        <v>23</v>
      </c>
      <c r="I3694" t="s">
        <v>46</v>
      </c>
      <c r="J3694" s="6">
        <v>13.99</v>
      </c>
      <c r="K3694">
        <v>1</v>
      </c>
      <c r="L3694" t="s">
        <v>43</v>
      </c>
      <c r="M3694" s="5">
        <v>2</v>
      </c>
      <c r="N3694" s="4">
        <v>7.0000000000000007E-2</v>
      </c>
      <c r="O3694" t="s">
        <v>39</v>
      </c>
    </row>
    <row r="3695" spans="1:15" x14ac:dyDescent="0.3">
      <c r="A3695" t="s">
        <v>791</v>
      </c>
      <c r="B3695" s="5">
        <v>58</v>
      </c>
      <c r="C3695" s="5" t="str" cm="1">
        <f t="array" ref="C3695">_xlfn.IFS(worksheet[[#This Row],[age]]&lt;25,"1. Young Adulthood (18-24)",worksheet[[#This Row],[age]]&lt; 35,"2. Early Adulthood (25-34)",worksheet[[#This Row],[age]]&lt; 45,"3. Mid Adulthood (35-44)",worksheet[[#This Row],[age]]&lt; 55,"4. Mature Adulthood (45-54)",TRUE,"5. Late Adulthood/Senior (55+)")</f>
        <v>5. Late Adulthood/Senior (55+)</v>
      </c>
      <c r="D3695" t="s">
        <v>27</v>
      </c>
      <c r="E3695" t="s">
        <v>32</v>
      </c>
      <c r="F3695" s="4">
        <v>13.35</v>
      </c>
      <c r="G3695" s="5">
        <v>18</v>
      </c>
      <c r="H3695" t="s">
        <v>49</v>
      </c>
      <c r="I3695" t="s">
        <v>18</v>
      </c>
      <c r="J3695" s="6">
        <v>17.989999999999998</v>
      </c>
      <c r="K3695">
        <v>0</v>
      </c>
      <c r="L3695" t="s">
        <v>61</v>
      </c>
      <c r="M3695" s="5">
        <v>5</v>
      </c>
      <c r="N3695" s="4">
        <v>0.7</v>
      </c>
      <c r="O3695" t="s">
        <v>25</v>
      </c>
    </row>
    <row r="3696" spans="1:15" x14ac:dyDescent="0.3">
      <c r="A3696" t="s">
        <v>795</v>
      </c>
      <c r="B3696" s="5">
        <v>56</v>
      </c>
      <c r="C3696" s="5" t="str" cm="1">
        <f t="array" ref="C3696">_xlfn.IFS(worksheet[[#This Row],[age]]&lt;25,"1. Young Adulthood (18-24)",worksheet[[#This Row],[age]]&lt; 35,"2. Early Adulthood (25-34)",worksheet[[#This Row],[age]]&lt; 45,"3. Mid Adulthood (35-44)",worksheet[[#This Row],[age]]&lt; 55,"4. Mature Adulthood (45-54)",TRUE,"5. Late Adulthood/Senior (55+)")</f>
        <v>5. Late Adulthood/Senior (55+)</v>
      </c>
      <c r="D3696" t="s">
        <v>27</v>
      </c>
      <c r="E3696" t="s">
        <v>22</v>
      </c>
      <c r="F3696" s="4">
        <v>23.82</v>
      </c>
      <c r="G3696" s="5">
        <v>55</v>
      </c>
      <c r="H3696" t="s">
        <v>49</v>
      </c>
      <c r="I3696" t="s">
        <v>46</v>
      </c>
      <c r="J3696" s="6">
        <v>13.99</v>
      </c>
      <c r="K3696">
        <v>0</v>
      </c>
      <c r="L3696" t="s">
        <v>37</v>
      </c>
      <c r="M3696" s="5">
        <v>5</v>
      </c>
      <c r="N3696" s="4">
        <v>0.43</v>
      </c>
      <c r="O3696" t="s">
        <v>52</v>
      </c>
    </row>
    <row r="3697" spans="1:15" x14ac:dyDescent="0.3">
      <c r="A3697" t="s">
        <v>797</v>
      </c>
      <c r="B3697" s="5">
        <v>70</v>
      </c>
      <c r="C3697" s="5" t="str" cm="1">
        <f t="array" ref="C3697">_xlfn.IFS(worksheet[[#This Row],[age]]&lt;25,"1. Young Adulthood (18-24)",worksheet[[#This Row],[age]]&lt; 35,"2. Early Adulthood (25-34)",worksheet[[#This Row],[age]]&lt; 45,"3. Mid Adulthood (35-44)",worksheet[[#This Row],[age]]&lt; 55,"4. Mature Adulthood (45-54)",TRUE,"5. Late Adulthood/Senior (55+)")</f>
        <v>5. Late Adulthood/Senior (55+)</v>
      </c>
      <c r="D3697" t="s">
        <v>15</v>
      </c>
      <c r="E3697" t="s">
        <v>32</v>
      </c>
      <c r="F3697" s="4">
        <v>13.11</v>
      </c>
      <c r="G3697" s="5">
        <v>59</v>
      </c>
      <c r="H3697" t="s">
        <v>17</v>
      </c>
      <c r="I3697" t="s">
        <v>46</v>
      </c>
      <c r="J3697" s="6">
        <v>17.989999999999998</v>
      </c>
      <c r="K3697">
        <v>1</v>
      </c>
      <c r="L3697" t="s">
        <v>19</v>
      </c>
      <c r="M3697" s="5">
        <v>2</v>
      </c>
      <c r="N3697" s="4">
        <v>0.22</v>
      </c>
      <c r="O3697" t="s">
        <v>30</v>
      </c>
    </row>
    <row r="3698" spans="1:15" x14ac:dyDescent="0.3">
      <c r="A3698" t="s">
        <v>802</v>
      </c>
      <c r="B3698" s="5">
        <v>70</v>
      </c>
      <c r="C3698" s="5" t="str" cm="1">
        <f t="array" ref="C3698">_xlfn.IFS(worksheet[[#This Row],[age]]&lt;25,"1. Young Adulthood (18-24)",worksheet[[#This Row],[age]]&lt; 35,"2. Early Adulthood (25-34)",worksheet[[#This Row],[age]]&lt; 45,"3. Mid Adulthood (35-44)",worksheet[[#This Row],[age]]&lt; 55,"4. Mature Adulthood (45-54)",TRUE,"5. Late Adulthood/Senior (55+)")</f>
        <v>5. Late Adulthood/Senior (55+)</v>
      </c>
      <c r="D3698" t="s">
        <v>15</v>
      </c>
      <c r="E3698" t="s">
        <v>16</v>
      </c>
      <c r="F3698" s="4">
        <v>4.88</v>
      </c>
      <c r="G3698" s="5">
        <v>9</v>
      </c>
      <c r="H3698" t="s">
        <v>23</v>
      </c>
      <c r="I3698" t="s">
        <v>18</v>
      </c>
      <c r="J3698" s="6">
        <v>8.99</v>
      </c>
      <c r="K3698">
        <v>1</v>
      </c>
      <c r="L3698" t="s">
        <v>43</v>
      </c>
      <c r="M3698" s="5">
        <v>1</v>
      </c>
      <c r="N3698" s="4">
        <v>0.49</v>
      </c>
      <c r="O3698" t="s">
        <v>30</v>
      </c>
    </row>
    <row r="3699" spans="1:15" x14ac:dyDescent="0.3">
      <c r="A3699" t="s">
        <v>807</v>
      </c>
      <c r="B3699" s="5">
        <v>56</v>
      </c>
      <c r="C3699" s="5" t="str" cm="1">
        <f t="array" ref="C3699">_xlfn.IFS(worksheet[[#This Row],[age]]&lt;25,"1. Young Adulthood (18-24)",worksheet[[#This Row],[age]]&lt; 35,"2. Early Adulthood (25-34)",worksheet[[#This Row],[age]]&lt; 45,"3. Mid Adulthood (35-44)",worksheet[[#This Row],[age]]&lt; 55,"4. Mature Adulthood (45-54)",TRUE,"5. Late Adulthood/Senior (55+)")</f>
        <v>5. Late Adulthood/Senior (55+)</v>
      </c>
      <c r="D3699" t="s">
        <v>41</v>
      </c>
      <c r="E3699" t="s">
        <v>32</v>
      </c>
      <c r="F3699" s="4">
        <v>8.1999999999999993</v>
      </c>
      <c r="G3699" s="5">
        <v>19</v>
      </c>
      <c r="H3699" t="s">
        <v>23</v>
      </c>
      <c r="I3699" t="s">
        <v>18</v>
      </c>
      <c r="J3699" s="6">
        <v>17.989999999999998</v>
      </c>
      <c r="K3699">
        <v>0</v>
      </c>
      <c r="L3699" t="s">
        <v>43</v>
      </c>
      <c r="M3699" s="5">
        <v>2</v>
      </c>
      <c r="N3699" s="4">
        <v>0.41</v>
      </c>
      <c r="O3699" t="s">
        <v>47</v>
      </c>
    </row>
    <row r="3700" spans="1:15" x14ac:dyDescent="0.3">
      <c r="A3700" t="s">
        <v>811</v>
      </c>
      <c r="B3700" s="5">
        <v>64</v>
      </c>
      <c r="C3700" s="5" t="str" cm="1">
        <f t="array" ref="C3700">_xlfn.IFS(worksheet[[#This Row],[age]]&lt;25,"1. Young Adulthood (18-24)",worksheet[[#This Row],[age]]&lt; 35,"2. Early Adulthood (25-34)",worksheet[[#This Row],[age]]&lt; 45,"3. Mid Adulthood (35-44)",worksheet[[#This Row],[age]]&lt; 55,"4. Mature Adulthood (45-54)",TRUE,"5. Late Adulthood/Senior (55+)")</f>
        <v>5. Late Adulthood/Senior (55+)</v>
      </c>
      <c r="D3700" t="s">
        <v>15</v>
      </c>
      <c r="E3700" t="s">
        <v>16</v>
      </c>
      <c r="F3700" s="4">
        <v>4.8</v>
      </c>
      <c r="G3700" s="5">
        <v>46</v>
      </c>
      <c r="H3700" t="s">
        <v>33</v>
      </c>
      <c r="I3700" t="s">
        <v>46</v>
      </c>
      <c r="J3700" s="6">
        <v>8.99</v>
      </c>
      <c r="K3700">
        <v>1</v>
      </c>
      <c r="L3700" t="s">
        <v>61</v>
      </c>
      <c r="M3700" s="5">
        <v>1</v>
      </c>
      <c r="N3700" s="4">
        <v>0.1</v>
      </c>
      <c r="O3700" t="s">
        <v>39</v>
      </c>
    </row>
    <row r="3701" spans="1:15" x14ac:dyDescent="0.3">
      <c r="A3701" t="s">
        <v>815</v>
      </c>
      <c r="B3701" s="5">
        <v>61</v>
      </c>
      <c r="C3701" s="5" t="str" cm="1">
        <f t="array" ref="C3701">_xlfn.IFS(worksheet[[#This Row],[age]]&lt;25,"1. Young Adulthood (18-24)",worksheet[[#This Row],[age]]&lt; 35,"2. Early Adulthood (25-34)",worksheet[[#This Row],[age]]&lt; 45,"3. Mid Adulthood (35-44)",worksheet[[#This Row],[age]]&lt; 55,"4. Mature Adulthood (45-54)",TRUE,"5. Late Adulthood/Senior (55+)")</f>
        <v>5. Late Adulthood/Senior (55+)</v>
      </c>
      <c r="D3701" t="s">
        <v>15</v>
      </c>
      <c r="E3701" t="s">
        <v>22</v>
      </c>
      <c r="F3701" s="4">
        <v>3.49</v>
      </c>
      <c r="G3701" s="5">
        <v>23</v>
      </c>
      <c r="H3701" t="s">
        <v>70</v>
      </c>
      <c r="I3701" t="s">
        <v>46</v>
      </c>
      <c r="J3701" s="6">
        <v>13.99</v>
      </c>
      <c r="K3701">
        <v>1</v>
      </c>
      <c r="L3701" t="s">
        <v>37</v>
      </c>
      <c r="M3701" s="5">
        <v>1</v>
      </c>
      <c r="N3701" s="4">
        <v>0.15</v>
      </c>
      <c r="O3701" t="s">
        <v>39</v>
      </c>
    </row>
    <row r="3702" spans="1:15" x14ac:dyDescent="0.3">
      <c r="A3702" t="s">
        <v>816</v>
      </c>
      <c r="B3702" s="5">
        <v>70</v>
      </c>
      <c r="C3702" s="5" t="str" cm="1">
        <f t="array" ref="C3702">_xlfn.IFS(worksheet[[#This Row],[age]]&lt;25,"1. Young Adulthood (18-24)",worksheet[[#This Row],[age]]&lt; 35,"2. Early Adulthood (25-34)",worksheet[[#This Row],[age]]&lt; 45,"3. Mid Adulthood (35-44)",worksheet[[#This Row],[age]]&lt; 55,"4. Mature Adulthood (45-54)",TRUE,"5. Late Adulthood/Senior (55+)")</f>
        <v>5. Late Adulthood/Senior (55+)</v>
      </c>
      <c r="D3702" t="s">
        <v>15</v>
      </c>
      <c r="E3702" t="s">
        <v>32</v>
      </c>
      <c r="F3702" s="4">
        <v>9.1300000000000008</v>
      </c>
      <c r="G3702" s="5">
        <v>50</v>
      </c>
      <c r="H3702" t="s">
        <v>49</v>
      </c>
      <c r="I3702" t="s">
        <v>46</v>
      </c>
      <c r="J3702" s="6">
        <v>17.989999999999998</v>
      </c>
      <c r="K3702">
        <v>1</v>
      </c>
      <c r="L3702" t="s">
        <v>37</v>
      </c>
      <c r="M3702" s="5">
        <v>3</v>
      </c>
      <c r="N3702" s="4">
        <v>0.18</v>
      </c>
      <c r="O3702" t="s">
        <v>34</v>
      </c>
    </row>
    <row r="3703" spans="1:15" x14ac:dyDescent="0.3">
      <c r="A3703" t="s">
        <v>818</v>
      </c>
      <c r="B3703" s="5">
        <v>62</v>
      </c>
      <c r="C3703" s="5" t="str" cm="1">
        <f t="array" ref="C3703">_xlfn.IFS(worksheet[[#This Row],[age]]&lt;25,"1. Young Adulthood (18-24)",worksheet[[#This Row],[age]]&lt; 35,"2. Early Adulthood (25-34)",worksheet[[#This Row],[age]]&lt; 45,"3. Mid Adulthood (35-44)",worksheet[[#This Row],[age]]&lt; 55,"4. Mature Adulthood (45-54)",TRUE,"5. Late Adulthood/Senior (55+)")</f>
        <v>5. Late Adulthood/Senior (55+)</v>
      </c>
      <c r="D3703" t="s">
        <v>41</v>
      </c>
      <c r="E3703" t="s">
        <v>32</v>
      </c>
      <c r="F3703" s="4">
        <v>0.28000000000000003</v>
      </c>
      <c r="G3703" s="5">
        <v>21</v>
      </c>
      <c r="H3703" t="s">
        <v>33</v>
      </c>
      <c r="I3703" t="s">
        <v>57</v>
      </c>
      <c r="J3703" s="6">
        <v>17.989999999999998</v>
      </c>
      <c r="K3703">
        <v>0</v>
      </c>
      <c r="L3703" t="s">
        <v>43</v>
      </c>
      <c r="M3703" s="5">
        <v>5</v>
      </c>
      <c r="N3703" s="4">
        <v>0.01</v>
      </c>
      <c r="O3703" t="s">
        <v>20</v>
      </c>
    </row>
    <row r="3704" spans="1:15" x14ac:dyDescent="0.3">
      <c r="A3704" t="s">
        <v>820</v>
      </c>
      <c r="B3704" s="5">
        <v>63</v>
      </c>
      <c r="C3704" s="5" t="str" cm="1">
        <f t="array" ref="C3704">_xlfn.IFS(worksheet[[#This Row],[age]]&lt;25,"1. Young Adulthood (18-24)",worksheet[[#This Row],[age]]&lt; 35,"2. Early Adulthood (25-34)",worksheet[[#This Row],[age]]&lt; 45,"3. Mid Adulthood (35-44)",worksheet[[#This Row],[age]]&lt; 55,"4. Mature Adulthood (45-54)",TRUE,"5. Late Adulthood/Senior (55+)")</f>
        <v>5. Late Adulthood/Senior (55+)</v>
      </c>
      <c r="D3704" t="s">
        <v>41</v>
      </c>
      <c r="E3704" t="s">
        <v>32</v>
      </c>
      <c r="F3704" s="4">
        <v>32.75</v>
      </c>
      <c r="G3704" s="5">
        <v>30</v>
      </c>
      <c r="H3704" t="s">
        <v>49</v>
      </c>
      <c r="I3704" t="s">
        <v>55</v>
      </c>
      <c r="J3704" s="6">
        <v>17.989999999999998</v>
      </c>
      <c r="K3704">
        <v>0</v>
      </c>
      <c r="L3704" t="s">
        <v>61</v>
      </c>
      <c r="M3704" s="5">
        <v>1</v>
      </c>
      <c r="N3704" s="4">
        <v>1.06</v>
      </c>
      <c r="O3704" t="s">
        <v>34</v>
      </c>
    </row>
    <row r="3705" spans="1:15" x14ac:dyDescent="0.3">
      <c r="A3705" t="s">
        <v>831</v>
      </c>
      <c r="B3705" s="5">
        <v>62</v>
      </c>
      <c r="C3705" s="5" t="str" cm="1">
        <f t="array" ref="C3705">_xlfn.IFS(worksheet[[#This Row],[age]]&lt;25,"1. Young Adulthood (18-24)",worksheet[[#This Row],[age]]&lt; 35,"2. Early Adulthood (25-34)",worksheet[[#This Row],[age]]&lt; 45,"3. Mid Adulthood (35-44)",worksheet[[#This Row],[age]]&lt; 55,"4. Mature Adulthood (45-54)",TRUE,"5. Late Adulthood/Senior (55+)")</f>
        <v>5. Late Adulthood/Senior (55+)</v>
      </c>
      <c r="D3705" t="s">
        <v>27</v>
      </c>
      <c r="E3705" t="s">
        <v>32</v>
      </c>
      <c r="F3705" s="4">
        <v>1.1200000000000001</v>
      </c>
      <c r="G3705" s="5">
        <v>43</v>
      </c>
      <c r="H3705" t="s">
        <v>28</v>
      </c>
      <c r="I3705" t="s">
        <v>18</v>
      </c>
      <c r="J3705" s="6">
        <v>17.989999999999998</v>
      </c>
      <c r="K3705">
        <v>1</v>
      </c>
      <c r="L3705" t="s">
        <v>19</v>
      </c>
      <c r="M3705" s="5">
        <v>4</v>
      </c>
      <c r="N3705" s="4">
        <v>0.03</v>
      </c>
      <c r="O3705" t="s">
        <v>47</v>
      </c>
    </row>
    <row r="3706" spans="1:15" x14ac:dyDescent="0.3">
      <c r="A3706" t="s">
        <v>835</v>
      </c>
      <c r="B3706" s="5">
        <v>58</v>
      </c>
      <c r="C3706" s="5" t="str" cm="1">
        <f t="array" ref="C3706">_xlfn.IFS(worksheet[[#This Row],[age]]&lt;25,"1. Young Adulthood (18-24)",worksheet[[#This Row],[age]]&lt; 35,"2. Early Adulthood (25-34)",worksheet[[#This Row],[age]]&lt; 45,"3. Mid Adulthood (35-44)",worksheet[[#This Row],[age]]&lt; 55,"4. Mature Adulthood (45-54)",TRUE,"5. Late Adulthood/Senior (55+)")</f>
        <v>5. Late Adulthood/Senior (55+)</v>
      </c>
      <c r="D3706" t="s">
        <v>27</v>
      </c>
      <c r="E3706" t="s">
        <v>16</v>
      </c>
      <c r="F3706" s="4">
        <v>3.57</v>
      </c>
      <c r="G3706" s="5">
        <v>20</v>
      </c>
      <c r="H3706" t="s">
        <v>70</v>
      </c>
      <c r="I3706" t="s">
        <v>46</v>
      </c>
      <c r="J3706" s="6">
        <v>8.99</v>
      </c>
      <c r="K3706">
        <v>1</v>
      </c>
      <c r="L3706" t="s">
        <v>19</v>
      </c>
      <c r="M3706" s="5">
        <v>2</v>
      </c>
      <c r="N3706" s="4">
        <v>0.17</v>
      </c>
      <c r="O3706" t="s">
        <v>52</v>
      </c>
    </row>
    <row r="3707" spans="1:15" x14ac:dyDescent="0.3">
      <c r="A3707" t="s">
        <v>840</v>
      </c>
      <c r="B3707" s="5">
        <v>59</v>
      </c>
      <c r="C3707" s="5" t="str" cm="1">
        <f t="array" ref="C3707">_xlfn.IFS(worksheet[[#This Row],[age]]&lt;25,"1. Young Adulthood (18-24)",worksheet[[#This Row],[age]]&lt; 35,"2. Early Adulthood (25-34)",worksheet[[#This Row],[age]]&lt; 45,"3. Mid Adulthood (35-44)",worksheet[[#This Row],[age]]&lt; 55,"4. Mature Adulthood (45-54)",TRUE,"5. Late Adulthood/Senior (55+)")</f>
        <v>5. Late Adulthood/Senior (55+)</v>
      </c>
      <c r="D3707" t="s">
        <v>41</v>
      </c>
      <c r="E3707" t="s">
        <v>22</v>
      </c>
      <c r="F3707" s="4">
        <v>7.52</v>
      </c>
      <c r="G3707" s="5">
        <v>0</v>
      </c>
      <c r="H3707" t="s">
        <v>23</v>
      </c>
      <c r="I3707" t="s">
        <v>18</v>
      </c>
      <c r="J3707" s="6">
        <v>13.99</v>
      </c>
      <c r="K3707">
        <v>0</v>
      </c>
      <c r="L3707" t="s">
        <v>43</v>
      </c>
      <c r="M3707" s="5">
        <v>4</v>
      </c>
      <c r="N3707" s="4">
        <v>7.52</v>
      </c>
      <c r="O3707" t="s">
        <v>20</v>
      </c>
    </row>
    <row r="3708" spans="1:15" x14ac:dyDescent="0.3">
      <c r="A3708" t="s">
        <v>843</v>
      </c>
      <c r="B3708" s="5">
        <v>59</v>
      </c>
      <c r="C3708" s="5" t="str" cm="1">
        <f t="array" ref="C3708">_xlfn.IFS(worksheet[[#This Row],[age]]&lt;25,"1. Young Adulthood (18-24)",worksheet[[#This Row],[age]]&lt; 35,"2. Early Adulthood (25-34)",worksheet[[#This Row],[age]]&lt; 45,"3. Mid Adulthood (35-44)",worksheet[[#This Row],[age]]&lt; 55,"4. Mature Adulthood (45-54)",TRUE,"5. Late Adulthood/Senior (55+)")</f>
        <v>5. Late Adulthood/Senior (55+)</v>
      </c>
      <c r="D3708" t="s">
        <v>15</v>
      </c>
      <c r="E3708" t="s">
        <v>16</v>
      </c>
      <c r="F3708" s="4">
        <v>20.13</v>
      </c>
      <c r="G3708" s="5">
        <v>6</v>
      </c>
      <c r="H3708" t="s">
        <v>17</v>
      </c>
      <c r="I3708" t="s">
        <v>24</v>
      </c>
      <c r="J3708" s="6">
        <v>8.99</v>
      </c>
      <c r="K3708">
        <v>0</v>
      </c>
      <c r="L3708" t="s">
        <v>61</v>
      </c>
      <c r="M3708" s="5">
        <v>1</v>
      </c>
      <c r="N3708" s="4">
        <v>2.88</v>
      </c>
      <c r="O3708" t="s">
        <v>30</v>
      </c>
    </row>
    <row r="3709" spans="1:15" x14ac:dyDescent="0.3">
      <c r="A3709" t="s">
        <v>847</v>
      </c>
      <c r="B3709" s="5">
        <v>57</v>
      </c>
      <c r="C3709" s="5" t="str" cm="1">
        <f t="array" ref="C3709">_xlfn.IFS(worksheet[[#This Row],[age]]&lt;25,"1. Young Adulthood (18-24)",worksheet[[#This Row],[age]]&lt; 35,"2. Early Adulthood (25-34)",worksheet[[#This Row],[age]]&lt; 45,"3. Mid Adulthood (35-44)",worksheet[[#This Row],[age]]&lt; 55,"4. Mature Adulthood (45-54)",TRUE,"5. Late Adulthood/Senior (55+)")</f>
        <v>5. Late Adulthood/Senior (55+)</v>
      </c>
      <c r="D3709" t="s">
        <v>41</v>
      </c>
      <c r="E3709" t="s">
        <v>22</v>
      </c>
      <c r="F3709" s="4">
        <v>0.15</v>
      </c>
      <c r="G3709" s="5">
        <v>39</v>
      </c>
      <c r="H3709" t="s">
        <v>17</v>
      </c>
      <c r="I3709" t="s">
        <v>57</v>
      </c>
      <c r="J3709" s="6">
        <v>13.99</v>
      </c>
      <c r="K3709">
        <v>1</v>
      </c>
      <c r="L3709" t="s">
        <v>37</v>
      </c>
      <c r="M3709" s="5">
        <v>3</v>
      </c>
      <c r="N3709" s="4">
        <v>0</v>
      </c>
      <c r="O3709" t="s">
        <v>47</v>
      </c>
    </row>
    <row r="3710" spans="1:15" x14ac:dyDescent="0.3">
      <c r="A3710" t="s">
        <v>848</v>
      </c>
      <c r="B3710" s="5">
        <v>66</v>
      </c>
      <c r="C3710" s="5" t="str" cm="1">
        <f t="array" ref="C3710">_xlfn.IFS(worksheet[[#This Row],[age]]&lt;25,"1. Young Adulthood (18-24)",worksheet[[#This Row],[age]]&lt; 35,"2. Early Adulthood (25-34)",worksheet[[#This Row],[age]]&lt; 45,"3. Mid Adulthood (35-44)",worksheet[[#This Row],[age]]&lt; 55,"4. Mature Adulthood (45-54)",TRUE,"5. Late Adulthood/Senior (55+)")</f>
        <v>5. Late Adulthood/Senior (55+)</v>
      </c>
      <c r="D3710" t="s">
        <v>27</v>
      </c>
      <c r="E3710" t="s">
        <v>16</v>
      </c>
      <c r="F3710" s="4">
        <v>0.27</v>
      </c>
      <c r="G3710" s="5">
        <v>40</v>
      </c>
      <c r="H3710" t="s">
        <v>17</v>
      </c>
      <c r="I3710" t="s">
        <v>46</v>
      </c>
      <c r="J3710" s="6">
        <v>8.99</v>
      </c>
      <c r="K3710">
        <v>1</v>
      </c>
      <c r="L3710" t="s">
        <v>61</v>
      </c>
      <c r="M3710" s="5">
        <v>1</v>
      </c>
      <c r="N3710" s="4">
        <v>0.01</v>
      </c>
      <c r="O3710" t="s">
        <v>25</v>
      </c>
    </row>
    <row r="3711" spans="1:15" x14ac:dyDescent="0.3">
      <c r="A3711" t="s">
        <v>855</v>
      </c>
      <c r="B3711" s="5">
        <v>68</v>
      </c>
      <c r="C3711" s="5" t="str" cm="1">
        <f t="array" ref="C3711">_xlfn.IFS(worksheet[[#This Row],[age]]&lt;25,"1. Young Adulthood (18-24)",worksheet[[#This Row],[age]]&lt; 35,"2. Early Adulthood (25-34)",worksheet[[#This Row],[age]]&lt; 45,"3. Mid Adulthood (35-44)",worksheet[[#This Row],[age]]&lt; 55,"4. Mature Adulthood (45-54)",TRUE,"5. Late Adulthood/Senior (55+)")</f>
        <v>5. Late Adulthood/Senior (55+)</v>
      </c>
      <c r="D3711" t="s">
        <v>27</v>
      </c>
      <c r="E3711" t="s">
        <v>16</v>
      </c>
      <c r="F3711" s="4">
        <v>0.27</v>
      </c>
      <c r="G3711" s="5">
        <v>4</v>
      </c>
      <c r="H3711" t="s">
        <v>33</v>
      </c>
      <c r="I3711" t="s">
        <v>57</v>
      </c>
      <c r="J3711" s="6">
        <v>8.99</v>
      </c>
      <c r="K3711">
        <v>1</v>
      </c>
      <c r="L3711" t="s">
        <v>29</v>
      </c>
      <c r="M3711" s="5">
        <v>2</v>
      </c>
      <c r="N3711" s="4">
        <v>0.05</v>
      </c>
      <c r="O3711" t="s">
        <v>34</v>
      </c>
    </row>
    <row r="3712" spans="1:15" x14ac:dyDescent="0.3">
      <c r="A3712" t="s">
        <v>857</v>
      </c>
      <c r="B3712" s="5">
        <v>68</v>
      </c>
      <c r="C3712" s="5" t="str" cm="1">
        <f t="array" ref="C3712">_xlfn.IFS(worksheet[[#This Row],[age]]&lt;25,"1. Young Adulthood (18-24)",worksheet[[#This Row],[age]]&lt; 35,"2. Early Adulthood (25-34)",worksheet[[#This Row],[age]]&lt; 45,"3. Mid Adulthood (35-44)",worksheet[[#This Row],[age]]&lt; 55,"4. Mature Adulthood (45-54)",TRUE,"5. Late Adulthood/Senior (55+)")</f>
        <v>5. Late Adulthood/Senior (55+)</v>
      </c>
      <c r="D3712" t="s">
        <v>15</v>
      </c>
      <c r="E3712" t="s">
        <v>32</v>
      </c>
      <c r="F3712" s="4">
        <v>1.66</v>
      </c>
      <c r="G3712" s="5">
        <v>42</v>
      </c>
      <c r="H3712" t="s">
        <v>70</v>
      </c>
      <c r="I3712" t="s">
        <v>24</v>
      </c>
      <c r="J3712" s="6">
        <v>17.989999999999998</v>
      </c>
      <c r="K3712">
        <v>1</v>
      </c>
      <c r="L3712" t="s">
        <v>19</v>
      </c>
      <c r="M3712" s="5">
        <v>4</v>
      </c>
      <c r="N3712" s="4">
        <v>0.04</v>
      </c>
      <c r="O3712" t="s">
        <v>52</v>
      </c>
    </row>
    <row r="3713" spans="1:15" x14ac:dyDescent="0.3">
      <c r="A3713" t="s">
        <v>860</v>
      </c>
      <c r="B3713" s="5">
        <v>62</v>
      </c>
      <c r="C3713" s="5" t="str" cm="1">
        <f t="array" ref="C3713">_xlfn.IFS(worksheet[[#This Row],[age]]&lt;25,"1. Young Adulthood (18-24)",worksheet[[#This Row],[age]]&lt; 35,"2. Early Adulthood (25-34)",worksheet[[#This Row],[age]]&lt; 45,"3. Mid Adulthood (35-44)",worksheet[[#This Row],[age]]&lt; 55,"4. Mature Adulthood (45-54)",TRUE,"5. Late Adulthood/Senior (55+)")</f>
        <v>5. Late Adulthood/Senior (55+)</v>
      </c>
      <c r="D3713" t="s">
        <v>15</v>
      </c>
      <c r="E3713" t="s">
        <v>16</v>
      </c>
      <c r="F3713" s="4">
        <v>15.54</v>
      </c>
      <c r="G3713" s="5">
        <v>51</v>
      </c>
      <c r="H3713" t="s">
        <v>28</v>
      </c>
      <c r="I3713" t="s">
        <v>24</v>
      </c>
      <c r="J3713" s="6">
        <v>8.99</v>
      </c>
      <c r="K3713">
        <v>1</v>
      </c>
      <c r="L3713" t="s">
        <v>43</v>
      </c>
      <c r="M3713" s="5">
        <v>4</v>
      </c>
      <c r="N3713" s="4">
        <v>0.3</v>
      </c>
      <c r="O3713" t="s">
        <v>25</v>
      </c>
    </row>
    <row r="3714" spans="1:15" x14ac:dyDescent="0.3">
      <c r="A3714" t="s">
        <v>864</v>
      </c>
      <c r="B3714" s="5">
        <v>66</v>
      </c>
      <c r="C3714" s="5" t="str" cm="1">
        <f t="array" ref="C3714">_xlfn.IFS(worksheet[[#This Row],[age]]&lt;25,"1. Young Adulthood (18-24)",worksheet[[#This Row],[age]]&lt; 35,"2. Early Adulthood (25-34)",worksheet[[#This Row],[age]]&lt; 45,"3. Mid Adulthood (35-44)",worksheet[[#This Row],[age]]&lt; 55,"4. Mature Adulthood (45-54)",TRUE,"5. Late Adulthood/Senior (55+)")</f>
        <v>5. Late Adulthood/Senior (55+)</v>
      </c>
      <c r="D3714" t="s">
        <v>15</v>
      </c>
      <c r="E3714" t="s">
        <v>16</v>
      </c>
      <c r="F3714" s="4">
        <v>5.33</v>
      </c>
      <c r="G3714" s="5">
        <v>36</v>
      </c>
      <c r="H3714" t="s">
        <v>17</v>
      </c>
      <c r="I3714" t="s">
        <v>24</v>
      </c>
      <c r="J3714" s="6">
        <v>8.99</v>
      </c>
      <c r="K3714">
        <v>1</v>
      </c>
      <c r="L3714" t="s">
        <v>61</v>
      </c>
      <c r="M3714" s="5">
        <v>2</v>
      </c>
      <c r="N3714" s="4">
        <v>0.14000000000000001</v>
      </c>
      <c r="O3714" t="s">
        <v>39</v>
      </c>
    </row>
    <row r="3715" spans="1:15" x14ac:dyDescent="0.3">
      <c r="A3715" t="s">
        <v>867</v>
      </c>
      <c r="B3715" s="5">
        <v>60</v>
      </c>
      <c r="C3715" s="5" t="str" cm="1">
        <f t="array" ref="C3715">_xlfn.IFS(worksheet[[#This Row],[age]]&lt;25,"1. Young Adulthood (18-24)",worksheet[[#This Row],[age]]&lt; 35,"2. Early Adulthood (25-34)",worksheet[[#This Row],[age]]&lt; 45,"3. Mid Adulthood (35-44)",worksheet[[#This Row],[age]]&lt; 55,"4. Mature Adulthood (45-54)",TRUE,"5. Late Adulthood/Senior (55+)")</f>
        <v>5. Late Adulthood/Senior (55+)</v>
      </c>
      <c r="D3715" t="s">
        <v>41</v>
      </c>
      <c r="E3715" t="s">
        <v>22</v>
      </c>
      <c r="F3715" s="4">
        <v>36.159999999999997</v>
      </c>
      <c r="G3715" s="5">
        <v>42</v>
      </c>
      <c r="H3715" t="s">
        <v>70</v>
      </c>
      <c r="I3715" t="s">
        <v>18</v>
      </c>
      <c r="J3715" s="6">
        <v>13.99</v>
      </c>
      <c r="K3715">
        <v>0</v>
      </c>
      <c r="L3715" t="s">
        <v>19</v>
      </c>
      <c r="M3715" s="5">
        <v>5</v>
      </c>
      <c r="N3715" s="4">
        <v>0.84</v>
      </c>
      <c r="O3715" t="s">
        <v>30</v>
      </c>
    </row>
    <row r="3716" spans="1:15" x14ac:dyDescent="0.3">
      <c r="A3716" t="s">
        <v>868</v>
      </c>
      <c r="B3716" s="5">
        <v>64</v>
      </c>
      <c r="C3716" s="5" t="str" cm="1">
        <f t="array" ref="C3716">_xlfn.IFS(worksheet[[#This Row],[age]]&lt;25,"1. Young Adulthood (18-24)",worksheet[[#This Row],[age]]&lt; 35,"2. Early Adulthood (25-34)",worksheet[[#This Row],[age]]&lt; 45,"3. Mid Adulthood (35-44)",worksheet[[#This Row],[age]]&lt; 55,"4. Mature Adulthood (45-54)",TRUE,"5. Late Adulthood/Senior (55+)")</f>
        <v>5. Late Adulthood/Senior (55+)</v>
      </c>
      <c r="D3716" t="s">
        <v>41</v>
      </c>
      <c r="E3716" t="s">
        <v>16</v>
      </c>
      <c r="F3716" s="4">
        <v>0.27</v>
      </c>
      <c r="G3716" s="5">
        <v>49</v>
      </c>
      <c r="H3716" t="s">
        <v>49</v>
      </c>
      <c r="I3716" t="s">
        <v>24</v>
      </c>
      <c r="J3716" s="6">
        <v>8.99</v>
      </c>
      <c r="K3716">
        <v>1</v>
      </c>
      <c r="L3716" t="s">
        <v>29</v>
      </c>
      <c r="M3716" s="5">
        <v>4</v>
      </c>
      <c r="N3716" s="4">
        <v>0.01</v>
      </c>
      <c r="O3716" t="s">
        <v>34</v>
      </c>
    </row>
    <row r="3717" spans="1:15" x14ac:dyDescent="0.3">
      <c r="A3717" t="s">
        <v>872</v>
      </c>
      <c r="B3717" s="5">
        <v>60</v>
      </c>
      <c r="C3717" s="5" t="str" cm="1">
        <f t="array" ref="C3717">_xlfn.IFS(worksheet[[#This Row],[age]]&lt;25,"1. Young Adulthood (18-24)",worksheet[[#This Row],[age]]&lt; 35,"2. Early Adulthood (25-34)",worksheet[[#This Row],[age]]&lt; 45,"3. Mid Adulthood (35-44)",worksheet[[#This Row],[age]]&lt; 55,"4. Mature Adulthood (45-54)",TRUE,"5. Late Adulthood/Senior (55+)")</f>
        <v>5. Late Adulthood/Senior (55+)</v>
      </c>
      <c r="D3717" t="s">
        <v>27</v>
      </c>
      <c r="E3717" t="s">
        <v>32</v>
      </c>
      <c r="F3717" s="4">
        <v>12.6</v>
      </c>
      <c r="G3717" s="5">
        <v>33</v>
      </c>
      <c r="H3717" t="s">
        <v>23</v>
      </c>
      <c r="I3717" t="s">
        <v>55</v>
      </c>
      <c r="J3717" s="6">
        <v>17.989999999999998</v>
      </c>
      <c r="K3717">
        <v>1</v>
      </c>
      <c r="L3717" t="s">
        <v>19</v>
      </c>
      <c r="M3717" s="5">
        <v>2</v>
      </c>
      <c r="N3717" s="4">
        <v>0.37</v>
      </c>
      <c r="O3717" t="s">
        <v>25</v>
      </c>
    </row>
    <row r="3718" spans="1:15" x14ac:dyDescent="0.3">
      <c r="A3718" t="s">
        <v>873</v>
      </c>
      <c r="B3718" s="5">
        <v>60</v>
      </c>
      <c r="C3718" s="5" t="str" cm="1">
        <f t="array" ref="C3718">_xlfn.IFS(worksheet[[#This Row],[age]]&lt;25,"1. Young Adulthood (18-24)",worksheet[[#This Row],[age]]&lt; 35,"2. Early Adulthood (25-34)",worksheet[[#This Row],[age]]&lt; 45,"3. Mid Adulthood (35-44)",worksheet[[#This Row],[age]]&lt; 55,"4. Mature Adulthood (45-54)",TRUE,"5. Late Adulthood/Senior (55+)")</f>
        <v>5. Late Adulthood/Senior (55+)</v>
      </c>
      <c r="D3718" t="s">
        <v>15</v>
      </c>
      <c r="E3718" t="s">
        <v>22</v>
      </c>
      <c r="F3718" s="4">
        <v>0.62</v>
      </c>
      <c r="G3718" s="5">
        <v>48</v>
      </c>
      <c r="H3718" t="s">
        <v>17</v>
      </c>
      <c r="I3718" t="s">
        <v>18</v>
      </c>
      <c r="J3718" s="6">
        <v>13.99</v>
      </c>
      <c r="K3718">
        <v>1</v>
      </c>
      <c r="L3718" t="s">
        <v>29</v>
      </c>
      <c r="M3718" s="5">
        <v>4</v>
      </c>
      <c r="N3718" s="4">
        <v>0.01</v>
      </c>
      <c r="O3718" t="s">
        <v>52</v>
      </c>
    </row>
    <row r="3719" spans="1:15" x14ac:dyDescent="0.3">
      <c r="A3719" t="s">
        <v>878</v>
      </c>
      <c r="B3719" s="5">
        <v>58</v>
      </c>
      <c r="C3719" s="5" t="str" cm="1">
        <f t="array" ref="C3719">_xlfn.IFS(worksheet[[#This Row],[age]]&lt;25,"1. Young Adulthood (18-24)",worksheet[[#This Row],[age]]&lt; 35,"2. Early Adulthood (25-34)",worksheet[[#This Row],[age]]&lt; 45,"3. Mid Adulthood (35-44)",worksheet[[#This Row],[age]]&lt; 55,"4. Mature Adulthood (45-54)",TRUE,"5. Late Adulthood/Senior (55+)")</f>
        <v>5. Late Adulthood/Senior (55+)</v>
      </c>
      <c r="D3719" t="s">
        <v>27</v>
      </c>
      <c r="E3719" t="s">
        <v>22</v>
      </c>
      <c r="F3719" s="4">
        <v>5.63</v>
      </c>
      <c r="G3719" s="5">
        <v>4</v>
      </c>
      <c r="H3719" t="s">
        <v>17</v>
      </c>
      <c r="I3719" t="s">
        <v>18</v>
      </c>
      <c r="J3719" s="6">
        <v>13.99</v>
      </c>
      <c r="K3719">
        <v>0</v>
      </c>
      <c r="L3719" t="s">
        <v>19</v>
      </c>
      <c r="M3719" s="5">
        <v>5</v>
      </c>
      <c r="N3719" s="4">
        <v>1.1299999999999999</v>
      </c>
      <c r="O3719" t="s">
        <v>52</v>
      </c>
    </row>
    <row r="3720" spans="1:15" x14ac:dyDescent="0.3">
      <c r="A3720" t="s">
        <v>881</v>
      </c>
      <c r="B3720" s="5">
        <v>65</v>
      </c>
      <c r="C3720" s="5" t="str" cm="1">
        <f t="array" ref="C3720">_xlfn.IFS(worksheet[[#This Row],[age]]&lt;25,"1. Young Adulthood (18-24)",worksheet[[#This Row],[age]]&lt; 35,"2. Early Adulthood (25-34)",worksheet[[#This Row],[age]]&lt; 45,"3. Mid Adulthood (35-44)",worksheet[[#This Row],[age]]&lt; 55,"4. Mature Adulthood (45-54)",TRUE,"5. Late Adulthood/Senior (55+)")</f>
        <v>5. Late Adulthood/Senior (55+)</v>
      </c>
      <c r="D3720" t="s">
        <v>27</v>
      </c>
      <c r="E3720" t="s">
        <v>22</v>
      </c>
      <c r="F3720" s="4">
        <v>34.39</v>
      </c>
      <c r="G3720" s="5">
        <v>19</v>
      </c>
      <c r="H3720" t="s">
        <v>28</v>
      </c>
      <c r="I3720" t="s">
        <v>18</v>
      </c>
      <c r="J3720" s="6">
        <v>13.99</v>
      </c>
      <c r="K3720">
        <v>0</v>
      </c>
      <c r="L3720" t="s">
        <v>61</v>
      </c>
      <c r="M3720" s="5">
        <v>3</v>
      </c>
      <c r="N3720" s="4">
        <v>1.72</v>
      </c>
      <c r="O3720" t="s">
        <v>39</v>
      </c>
    </row>
    <row r="3721" spans="1:15" x14ac:dyDescent="0.3">
      <c r="A3721" t="s">
        <v>886</v>
      </c>
      <c r="B3721" s="5">
        <v>67</v>
      </c>
      <c r="C3721" s="5" t="str" cm="1">
        <f t="array" ref="C3721">_xlfn.IFS(worksheet[[#This Row],[age]]&lt;25,"1. Young Adulthood (18-24)",worksheet[[#This Row],[age]]&lt; 35,"2. Early Adulthood (25-34)",worksheet[[#This Row],[age]]&lt; 45,"3. Mid Adulthood (35-44)",worksheet[[#This Row],[age]]&lt; 55,"4. Mature Adulthood (45-54)",TRUE,"5. Late Adulthood/Senior (55+)")</f>
        <v>5. Late Adulthood/Senior (55+)</v>
      </c>
      <c r="D3721" t="s">
        <v>41</v>
      </c>
      <c r="E3721" t="s">
        <v>16</v>
      </c>
      <c r="F3721" s="4">
        <v>1.74</v>
      </c>
      <c r="G3721" s="5">
        <v>4</v>
      </c>
      <c r="H3721" t="s">
        <v>23</v>
      </c>
      <c r="I3721" t="s">
        <v>24</v>
      </c>
      <c r="J3721" s="6">
        <v>8.99</v>
      </c>
      <c r="K3721">
        <v>1</v>
      </c>
      <c r="L3721" t="s">
        <v>19</v>
      </c>
      <c r="M3721" s="5">
        <v>2</v>
      </c>
      <c r="N3721" s="4">
        <v>0.35</v>
      </c>
      <c r="O3721" t="s">
        <v>20</v>
      </c>
    </row>
    <row r="3722" spans="1:15" x14ac:dyDescent="0.3">
      <c r="A3722" t="s">
        <v>888</v>
      </c>
      <c r="B3722" s="5">
        <v>68</v>
      </c>
      <c r="C3722" s="5" t="str" cm="1">
        <f t="array" ref="C3722">_xlfn.IFS(worksheet[[#This Row],[age]]&lt;25,"1. Young Adulthood (18-24)",worksheet[[#This Row],[age]]&lt; 35,"2. Early Adulthood (25-34)",worksheet[[#This Row],[age]]&lt; 45,"3. Mid Adulthood (35-44)",worksheet[[#This Row],[age]]&lt; 55,"4. Mature Adulthood (45-54)",TRUE,"5. Late Adulthood/Senior (55+)")</f>
        <v>5. Late Adulthood/Senior (55+)</v>
      </c>
      <c r="D3722" t="s">
        <v>27</v>
      </c>
      <c r="E3722" t="s">
        <v>32</v>
      </c>
      <c r="F3722" s="4">
        <v>13.41</v>
      </c>
      <c r="G3722" s="5">
        <v>35</v>
      </c>
      <c r="H3722" t="s">
        <v>70</v>
      </c>
      <c r="I3722" t="s">
        <v>24</v>
      </c>
      <c r="J3722" s="6">
        <v>17.989999999999998</v>
      </c>
      <c r="K3722">
        <v>1</v>
      </c>
      <c r="L3722" t="s">
        <v>29</v>
      </c>
      <c r="M3722" s="5">
        <v>1</v>
      </c>
      <c r="N3722" s="4">
        <v>0.37</v>
      </c>
      <c r="O3722" t="s">
        <v>20</v>
      </c>
    </row>
    <row r="3723" spans="1:15" x14ac:dyDescent="0.3">
      <c r="A3723" t="s">
        <v>890</v>
      </c>
      <c r="B3723" s="5">
        <v>61</v>
      </c>
      <c r="C3723" s="5" t="str" cm="1">
        <f t="array" ref="C3723">_xlfn.IFS(worksheet[[#This Row],[age]]&lt;25,"1. Young Adulthood (18-24)",worksheet[[#This Row],[age]]&lt; 35,"2. Early Adulthood (25-34)",worksheet[[#This Row],[age]]&lt; 45,"3. Mid Adulthood (35-44)",worksheet[[#This Row],[age]]&lt; 55,"4. Mature Adulthood (45-54)",TRUE,"5. Late Adulthood/Senior (55+)")</f>
        <v>5. Late Adulthood/Senior (55+)</v>
      </c>
      <c r="D3723" t="s">
        <v>27</v>
      </c>
      <c r="E3723" t="s">
        <v>32</v>
      </c>
      <c r="F3723" s="4">
        <v>54.86</v>
      </c>
      <c r="G3723" s="5">
        <v>27</v>
      </c>
      <c r="H3723" t="s">
        <v>17</v>
      </c>
      <c r="I3723" t="s">
        <v>24</v>
      </c>
      <c r="J3723" s="6">
        <v>17.989999999999998</v>
      </c>
      <c r="K3723">
        <v>0</v>
      </c>
      <c r="L3723" t="s">
        <v>19</v>
      </c>
      <c r="M3723" s="5">
        <v>2</v>
      </c>
      <c r="N3723" s="4">
        <v>1.96</v>
      </c>
      <c r="O3723" t="s">
        <v>52</v>
      </c>
    </row>
    <row r="3724" spans="1:15" x14ac:dyDescent="0.3">
      <c r="A3724" t="s">
        <v>892</v>
      </c>
      <c r="B3724" s="5">
        <v>56</v>
      </c>
      <c r="C3724" s="5" t="str" cm="1">
        <f t="array" ref="C3724">_xlfn.IFS(worksheet[[#This Row],[age]]&lt;25,"1. Young Adulthood (18-24)",worksheet[[#This Row],[age]]&lt; 35,"2. Early Adulthood (25-34)",worksheet[[#This Row],[age]]&lt; 45,"3. Mid Adulthood (35-44)",worksheet[[#This Row],[age]]&lt; 55,"4. Mature Adulthood (45-54)",TRUE,"5. Late Adulthood/Senior (55+)")</f>
        <v>5. Late Adulthood/Senior (55+)</v>
      </c>
      <c r="D3724" t="s">
        <v>41</v>
      </c>
      <c r="E3724" t="s">
        <v>16</v>
      </c>
      <c r="F3724" s="4">
        <v>3.29</v>
      </c>
      <c r="G3724" s="5">
        <v>58</v>
      </c>
      <c r="H3724" t="s">
        <v>23</v>
      </c>
      <c r="I3724" t="s">
        <v>24</v>
      </c>
      <c r="J3724" s="6">
        <v>8.99</v>
      </c>
      <c r="K3724">
        <v>1</v>
      </c>
      <c r="L3724" t="s">
        <v>37</v>
      </c>
      <c r="M3724" s="5">
        <v>1</v>
      </c>
      <c r="N3724" s="4">
        <v>0.06</v>
      </c>
      <c r="O3724" t="s">
        <v>20</v>
      </c>
    </row>
    <row r="3725" spans="1:15" x14ac:dyDescent="0.3">
      <c r="A3725" t="s">
        <v>893</v>
      </c>
      <c r="B3725" s="5">
        <v>68</v>
      </c>
      <c r="C3725" s="5" t="str" cm="1">
        <f t="array" ref="C3725">_xlfn.IFS(worksheet[[#This Row],[age]]&lt;25,"1. Young Adulthood (18-24)",worksheet[[#This Row],[age]]&lt; 35,"2. Early Adulthood (25-34)",worksheet[[#This Row],[age]]&lt; 45,"3. Mid Adulthood (35-44)",worksheet[[#This Row],[age]]&lt; 55,"4. Mature Adulthood (45-54)",TRUE,"5. Late Adulthood/Senior (55+)")</f>
        <v>5. Late Adulthood/Senior (55+)</v>
      </c>
      <c r="D3725" t="s">
        <v>15</v>
      </c>
      <c r="E3725" t="s">
        <v>16</v>
      </c>
      <c r="F3725" s="4">
        <v>2.2799999999999998</v>
      </c>
      <c r="G3725" s="5">
        <v>60</v>
      </c>
      <c r="H3725" t="s">
        <v>70</v>
      </c>
      <c r="I3725" t="s">
        <v>57</v>
      </c>
      <c r="J3725" s="6">
        <v>8.99</v>
      </c>
      <c r="K3725">
        <v>1</v>
      </c>
      <c r="L3725" t="s">
        <v>37</v>
      </c>
      <c r="M3725" s="5">
        <v>2</v>
      </c>
      <c r="N3725" s="4">
        <v>0.04</v>
      </c>
      <c r="O3725" t="s">
        <v>52</v>
      </c>
    </row>
    <row r="3726" spans="1:15" x14ac:dyDescent="0.3">
      <c r="A3726" t="s">
        <v>896</v>
      </c>
      <c r="B3726" s="5">
        <v>59</v>
      </c>
      <c r="C3726" s="5" t="str" cm="1">
        <f t="array" ref="C3726">_xlfn.IFS(worksheet[[#This Row],[age]]&lt;25,"1. Young Adulthood (18-24)",worksheet[[#This Row],[age]]&lt; 35,"2. Early Adulthood (25-34)",worksheet[[#This Row],[age]]&lt; 45,"3. Mid Adulthood (35-44)",worksheet[[#This Row],[age]]&lt; 55,"4. Mature Adulthood (45-54)",TRUE,"5. Late Adulthood/Senior (55+)")</f>
        <v>5. Late Adulthood/Senior (55+)</v>
      </c>
      <c r="D3726" t="s">
        <v>27</v>
      </c>
      <c r="E3726" t="s">
        <v>22</v>
      </c>
      <c r="F3726" s="4">
        <v>5.26</v>
      </c>
      <c r="G3726" s="5">
        <v>5</v>
      </c>
      <c r="H3726" t="s">
        <v>17</v>
      </c>
      <c r="I3726" t="s">
        <v>46</v>
      </c>
      <c r="J3726" s="6">
        <v>13.99</v>
      </c>
      <c r="K3726">
        <v>0</v>
      </c>
      <c r="L3726" t="s">
        <v>29</v>
      </c>
      <c r="M3726" s="5">
        <v>1</v>
      </c>
      <c r="N3726" s="4">
        <v>0.88</v>
      </c>
      <c r="O3726" t="s">
        <v>52</v>
      </c>
    </row>
    <row r="3727" spans="1:15" x14ac:dyDescent="0.3">
      <c r="A3727" t="s">
        <v>899</v>
      </c>
      <c r="B3727" s="5">
        <v>66</v>
      </c>
      <c r="C3727" s="5" t="str" cm="1">
        <f t="array" ref="C3727">_xlfn.IFS(worksheet[[#This Row],[age]]&lt;25,"1. Young Adulthood (18-24)",worksheet[[#This Row],[age]]&lt; 35,"2. Early Adulthood (25-34)",worksheet[[#This Row],[age]]&lt; 45,"3. Mid Adulthood (35-44)",worksheet[[#This Row],[age]]&lt; 55,"4. Mature Adulthood (45-54)",TRUE,"5. Late Adulthood/Senior (55+)")</f>
        <v>5. Late Adulthood/Senior (55+)</v>
      </c>
      <c r="D3727" t="s">
        <v>15</v>
      </c>
      <c r="E3727" t="s">
        <v>22</v>
      </c>
      <c r="F3727" s="4">
        <v>29.93</v>
      </c>
      <c r="G3727" s="5">
        <v>46</v>
      </c>
      <c r="H3727" t="s">
        <v>17</v>
      </c>
      <c r="I3727" t="s">
        <v>24</v>
      </c>
      <c r="J3727" s="6">
        <v>13.99</v>
      </c>
      <c r="K3727">
        <v>0</v>
      </c>
      <c r="L3727" t="s">
        <v>61</v>
      </c>
      <c r="M3727" s="5">
        <v>5</v>
      </c>
      <c r="N3727" s="4">
        <v>0.64</v>
      </c>
      <c r="O3727" t="s">
        <v>25</v>
      </c>
    </row>
    <row r="3728" spans="1:15" x14ac:dyDescent="0.3">
      <c r="A3728" t="s">
        <v>904</v>
      </c>
      <c r="B3728" s="5">
        <v>58</v>
      </c>
      <c r="C3728" s="5" t="str" cm="1">
        <f t="array" ref="C3728">_xlfn.IFS(worksheet[[#This Row],[age]]&lt;25,"1. Young Adulthood (18-24)",worksheet[[#This Row],[age]]&lt; 35,"2. Early Adulthood (25-34)",worksheet[[#This Row],[age]]&lt; 45,"3. Mid Adulthood (35-44)",worksheet[[#This Row],[age]]&lt; 55,"4. Mature Adulthood (45-54)",TRUE,"5. Late Adulthood/Senior (55+)")</f>
        <v>5. Late Adulthood/Senior (55+)</v>
      </c>
      <c r="D3728" t="s">
        <v>27</v>
      </c>
      <c r="E3728" t="s">
        <v>32</v>
      </c>
      <c r="F3728" s="4">
        <v>4.41</v>
      </c>
      <c r="G3728" s="5">
        <v>39</v>
      </c>
      <c r="H3728" t="s">
        <v>33</v>
      </c>
      <c r="I3728" t="s">
        <v>46</v>
      </c>
      <c r="J3728" s="6">
        <v>17.989999999999998</v>
      </c>
      <c r="K3728">
        <v>1</v>
      </c>
      <c r="L3728" t="s">
        <v>43</v>
      </c>
      <c r="M3728" s="5">
        <v>5</v>
      </c>
      <c r="N3728" s="4">
        <v>0.11</v>
      </c>
      <c r="O3728" t="s">
        <v>52</v>
      </c>
    </row>
    <row r="3729" spans="1:15" x14ac:dyDescent="0.3">
      <c r="A3729" t="s">
        <v>906</v>
      </c>
      <c r="B3729" s="5">
        <v>61</v>
      </c>
      <c r="C3729" s="5" t="str" cm="1">
        <f t="array" ref="C3729">_xlfn.IFS(worksheet[[#This Row],[age]]&lt;25,"1. Young Adulthood (18-24)",worksheet[[#This Row],[age]]&lt; 35,"2. Early Adulthood (25-34)",worksheet[[#This Row],[age]]&lt; 45,"3. Mid Adulthood (35-44)",worksheet[[#This Row],[age]]&lt; 55,"4. Mature Adulthood (45-54)",TRUE,"5. Late Adulthood/Senior (55+)")</f>
        <v>5. Late Adulthood/Senior (55+)</v>
      </c>
      <c r="D3729" t="s">
        <v>27</v>
      </c>
      <c r="E3729" t="s">
        <v>16</v>
      </c>
      <c r="F3729" s="4">
        <v>6.52</v>
      </c>
      <c r="G3729" s="5">
        <v>26</v>
      </c>
      <c r="H3729" t="s">
        <v>17</v>
      </c>
      <c r="I3729" t="s">
        <v>18</v>
      </c>
      <c r="J3729" s="6">
        <v>8.99</v>
      </c>
      <c r="K3729">
        <v>0</v>
      </c>
      <c r="L3729" t="s">
        <v>61</v>
      </c>
      <c r="M3729" s="5">
        <v>4</v>
      </c>
      <c r="N3729" s="4">
        <v>0.24</v>
      </c>
      <c r="O3729" t="s">
        <v>34</v>
      </c>
    </row>
    <row r="3730" spans="1:15" x14ac:dyDescent="0.3">
      <c r="A3730" t="s">
        <v>908</v>
      </c>
      <c r="B3730" s="5">
        <v>57</v>
      </c>
      <c r="C3730" s="5" t="str" cm="1">
        <f t="array" ref="C3730">_xlfn.IFS(worksheet[[#This Row],[age]]&lt;25,"1. Young Adulthood (18-24)",worksheet[[#This Row],[age]]&lt; 35,"2. Early Adulthood (25-34)",worksheet[[#This Row],[age]]&lt; 45,"3. Mid Adulthood (35-44)",worksheet[[#This Row],[age]]&lt; 55,"4. Mature Adulthood (45-54)",TRUE,"5. Late Adulthood/Senior (55+)")</f>
        <v>5. Late Adulthood/Senior (55+)</v>
      </c>
      <c r="D3730" t="s">
        <v>41</v>
      </c>
      <c r="E3730" t="s">
        <v>32</v>
      </c>
      <c r="F3730" s="4">
        <v>4.08</v>
      </c>
      <c r="G3730" s="5">
        <v>27</v>
      </c>
      <c r="H3730" t="s">
        <v>23</v>
      </c>
      <c r="I3730" t="s">
        <v>18</v>
      </c>
      <c r="J3730" s="6">
        <v>17.989999999999998</v>
      </c>
      <c r="K3730">
        <v>1</v>
      </c>
      <c r="L3730" t="s">
        <v>61</v>
      </c>
      <c r="M3730" s="5">
        <v>1</v>
      </c>
      <c r="N3730" s="4">
        <v>0.15</v>
      </c>
      <c r="O3730" t="s">
        <v>34</v>
      </c>
    </row>
    <row r="3731" spans="1:15" x14ac:dyDescent="0.3">
      <c r="A3731" t="s">
        <v>911</v>
      </c>
      <c r="B3731" s="5">
        <v>64</v>
      </c>
      <c r="C3731" s="5" t="str" cm="1">
        <f t="array" ref="C3731">_xlfn.IFS(worksheet[[#This Row],[age]]&lt;25,"1. Young Adulthood (18-24)",worksheet[[#This Row],[age]]&lt; 35,"2. Early Adulthood (25-34)",worksheet[[#This Row],[age]]&lt; 45,"3. Mid Adulthood (35-44)",worksheet[[#This Row],[age]]&lt; 55,"4. Mature Adulthood (45-54)",TRUE,"5. Late Adulthood/Senior (55+)")</f>
        <v>5. Late Adulthood/Senior (55+)</v>
      </c>
      <c r="D3731" t="s">
        <v>15</v>
      </c>
      <c r="E3731" t="s">
        <v>16</v>
      </c>
      <c r="F3731" s="4">
        <v>3.84</v>
      </c>
      <c r="G3731" s="5">
        <v>38</v>
      </c>
      <c r="H3731" t="s">
        <v>17</v>
      </c>
      <c r="I3731" t="s">
        <v>57</v>
      </c>
      <c r="J3731" s="6">
        <v>8.99</v>
      </c>
      <c r="K3731">
        <v>1</v>
      </c>
      <c r="L3731" t="s">
        <v>61</v>
      </c>
      <c r="M3731" s="5">
        <v>1</v>
      </c>
      <c r="N3731" s="4">
        <v>0.1</v>
      </c>
      <c r="O3731" t="s">
        <v>52</v>
      </c>
    </row>
    <row r="3732" spans="1:15" x14ac:dyDescent="0.3">
      <c r="A3732" t="s">
        <v>916</v>
      </c>
      <c r="B3732" s="5">
        <v>61</v>
      </c>
      <c r="C3732" s="5" t="str" cm="1">
        <f t="array" ref="C3732">_xlfn.IFS(worksheet[[#This Row],[age]]&lt;25,"1. Young Adulthood (18-24)",worksheet[[#This Row],[age]]&lt; 35,"2. Early Adulthood (25-34)",worksheet[[#This Row],[age]]&lt; 45,"3. Mid Adulthood (35-44)",worksheet[[#This Row],[age]]&lt; 55,"4. Mature Adulthood (45-54)",TRUE,"5. Late Adulthood/Senior (55+)")</f>
        <v>5. Late Adulthood/Senior (55+)</v>
      </c>
      <c r="D3732" t="s">
        <v>41</v>
      </c>
      <c r="E3732" t="s">
        <v>22</v>
      </c>
      <c r="F3732" s="4">
        <v>6.79</v>
      </c>
      <c r="G3732" s="5">
        <v>16</v>
      </c>
      <c r="H3732" t="s">
        <v>28</v>
      </c>
      <c r="I3732" t="s">
        <v>55</v>
      </c>
      <c r="J3732" s="6">
        <v>13.99</v>
      </c>
      <c r="K3732">
        <v>0</v>
      </c>
      <c r="L3732" t="s">
        <v>19</v>
      </c>
      <c r="M3732" s="5">
        <v>5</v>
      </c>
      <c r="N3732" s="4">
        <v>0.4</v>
      </c>
      <c r="O3732" t="s">
        <v>47</v>
      </c>
    </row>
    <row r="3733" spans="1:15" x14ac:dyDescent="0.3">
      <c r="A3733" t="s">
        <v>917</v>
      </c>
      <c r="B3733" s="5">
        <v>68</v>
      </c>
      <c r="C3733" s="5" t="str" cm="1">
        <f t="array" ref="C3733">_xlfn.IFS(worksheet[[#This Row],[age]]&lt;25,"1. Young Adulthood (18-24)",worksheet[[#This Row],[age]]&lt; 35,"2. Early Adulthood (25-34)",worksheet[[#This Row],[age]]&lt; 45,"3. Mid Adulthood (35-44)",worksheet[[#This Row],[age]]&lt; 55,"4. Mature Adulthood (45-54)",TRUE,"5. Late Adulthood/Senior (55+)")</f>
        <v>5. Late Adulthood/Senior (55+)</v>
      </c>
      <c r="D3733" t="s">
        <v>15</v>
      </c>
      <c r="E3733" t="s">
        <v>16</v>
      </c>
      <c r="F3733" s="4">
        <v>2.48</v>
      </c>
      <c r="G3733" s="5">
        <v>0</v>
      </c>
      <c r="H3733" t="s">
        <v>28</v>
      </c>
      <c r="I3733" t="s">
        <v>57</v>
      </c>
      <c r="J3733" s="6">
        <v>8.99</v>
      </c>
      <c r="K3733">
        <v>0</v>
      </c>
      <c r="L3733" t="s">
        <v>61</v>
      </c>
      <c r="M3733" s="5">
        <v>3</v>
      </c>
      <c r="N3733" s="4">
        <v>2.48</v>
      </c>
      <c r="O3733" t="s">
        <v>34</v>
      </c>
    </row>
    <row r="3734" spans="1:15" x14ac:dyDescent="0.3">
      <c r="A3734" t="s">
        <v>918</v>
      </c>
      <c r="B3734" s="5">
        <v>59</v>
      </c>
      <c r="C3734" s="5" t="str" cm="1">
        <f t="array" ref="C3734">_xlfn.IFS(worksheet[[#This Row],[age]]&lt;25,"1. Young Adulthood (18-24)",worksheet[[#This Row],[age]]&lt; 35,"2. Early Adulthood (25-34)",worksheet[[#This Row],[age]]&lt; 45,"3. Mid Adulthood (35-44)",worksheet[[#This Row],[age]]&lt; 55,"4. Mature Adulthood (45-54)",TRUE,"5. Late Adulthood/Senior (55+)")</f>
        <v>5. Late Adulthood/Senior (55+)</v>
      </c>
      <c r="D3734" t="s">
        <v>15</v>
      </c>
      <c r="E3734" t="s">
        <v>32</v>
      </c>
      <c r="F3734" s="4">
        <v>1.1200000000000001</v>
      </c>
      <c r="G3734" s="5">
        <v>13</v>
      </c>
      <c r="H3734" t="s">
        <v>70</v>
      </c>
      <c r="I3734" t="s">
        <v>57</v>
      </c>
      <c r="J3734" s="6">
        <v>17.989999999999998</v>
      </c>
      <c r="K3734">
        <v>1</v>
      </c>
      <c r="L3734" t="s">
        <v>29</v>
      </c>
      <c r="M3734" s="5">
        <v>2</v>
      </c>
      <c r="N3734" s="4">
        <v>0.08</v>
      </c>
      <c r="O3734" t="s">
        <v>30</v>
      </c>
    </row>
    <row r="3735" spans="1:15" x14ac:dyDescent="0.3">
      <c r="A3735" t="s">
        <v>921</v>
      </c>
      <c r="B3735" s="5">
        <v>56</v>
      </c>
      <c r="C3735" s="5" t="str" cm="1">
        <f t="array" ref="C3735">_xlfn.IFS(worksheet[[#This Row],[age]]&lt;25,"1. Young Adulthood (18-24)",worksheet[[#This Row],[age]]&lt; 35,"2. Early Adulthood (25-34)",worksheet[[#This Row],[age]]&lt; 45,"3. Mid Adulthood (35-44)",worksheet[[#This Row],[age]]&lt; 55,"4. Mature Adulthood (45-54)",TRUE,"5. Late Adulthood/Senior (55+)")</f>
        <v>5. Late Adulthood/Senior (55+)</v>
      </c>
      <c r="D3735" t="s">
        <v>27</v>
      </c>
      <c r="E3735" t="s">
        <v>16</v>
      </c>
      <c r="F3735" s="4">
        <v>2.23</v>
      </c>
      <c r="G3735" s="5">
        <v>26</v>
      </c>
      <c r="H3735" t="s">
        <v>17</v>
      </c>
      <c r="I3735" t="s">
        <v>57</v>
      </c>
      <c r="J3735" s="6">
        <v>8.99</v>
      </c>
      <c r="K3735">
        <v>1</v>
      </c>
      <c r="L3735" t="s">
        <v>61</v>
      </c>
      <c r="M3735" s="5">
        <v>5</v>
      </c>
      <c r="N3735" s="4">
        <v>0.08</v>
      </c>
      <c r="O3735" t="s">
        <v>52</v>
      </c>
    </row>
    <row r="3736" spans="1:15" x14ac:dyDescent="0.3">
      <c r="A3736" t="s">
        <v>927</v>
      </c>
      <c r="B3736" s="5">
        <v>58</v>
      </c>
      <c r="C3736" s="5" t="str" cm="1">
        <f t="array" ref="C3736">_xlfn.IFS(worksheet[[#This Row],[age]]&lt;25,"1. Young Adulthood (18-24)",worksheet[[#This Row],[age]]&lt; 35,"2. Early Adulthood (25-34)",worksheet[[#This Row],[age]]&lt; 45,"3. Mid Adulthood (35-44)",worksheet[[#This Row],[age]]&lt; 55,"4. Mature Adulthood (45-54)",TRUE,"5. Late Adulthood/Senior (55+)")</f>
        <v>5. Late Adulthood/Senior (55+)</v>
      </c>
      <c r="D3736" t="s">
        <v>15</v>
      </c>
      <c r="E3736" t="s">
        <v>16</v>
      </c>
      <c r="F3736" s="4">
        <v>6.01</v>
      </c>
      <c r="G3736" s="5">
        <v>12</v>
      </c>
      <c r="H3736" t="s">
        <v>70</v>
      </c>
      <c r="I3736" t="s">
        <v>55</v>
      </c>
      <c r="J3736" s="6">
        <v>8.99</v>
      </c>
      <c r="K3736">
        <v>0</v>
      </c>
      <c r="L3736" t="s">
        <v>37</v>
      </c>
      <c r="M3736" s="5">
        <v>2</v>
      </c>
      <c r="N3736" s="4">
        <v>0.46</v>
      </c>
      <c r="O3736" t="s">
        <v>47</v>
      </c>
    </row>
    <row r="3737" spans="1:15" x14ac:dyDescent="0.3">
      <c r="A3737" t="s">
        <v>928</v>
      </c>
      <c r="B3737" s="5">
        <v>65</v>
      </c>
      <c r="C3737" s="5" t="str" cm="1">
        <f t="array" ref="C3737">_xlfn.IFS(worksheet[[#This Row],[age]]&lt;25,"1. Young Adulthood (18-24)",worksheet[[#This Row],[age]]&lt; 35,"2. Early Adulthood (25-34)",worksheet[[#This Row],[age]]&lt; 45,"3. Mid Adulthood (35-44)",worksheet[[#This Row],[age]]&lt; 55,"4. Mature Adulthood (45-54)",TRUE,"5. Late Adulthood/Senior (55+)")</f>
        <v>5. Late Adulthood/Senior (55+)</v>
      </c>
      <c r="D3737" t="s">
        <v>15</v>
      </c>
      <c r="E3737" t="s">
        <v>32</v>
      </c>
      <c r="F3737" s="4">
        <v>2.42</v>
      </c>
      <c r="G3737" s="5">
        <v>48</v>
      </c>
      <c r="H3737" t="s">
        <v>17</v>
      </c>
      <c r="I3737" t="s">
        <v>55</v>
      </c>
      <c r="J3737" s="6">
        <v>17.989999999999998</v>
      </c>
      <c r="K3737">
        <v>1</v>
      </c>
      <c r="L3737" t="s">
        <v>19</v>
      </c>
      <c r="M3737" s="5">
        <v>2</v>
      </c>
      <c r="N3737" s="4">
        <v>0.05</v>
      </c>
      <c r="O3737" t="s">
        <v>47</v>
      </c>
    </row>
    <row r="3738" spans="1:15" x14ac:dyDescent="0.3">
      <c r="A3738" t="s">
        <v>933</v>
      </c>
      <c r="B3738" s="5">
        <v>57</v>
      </c>
      <c r="C3738" s="5" t="str" cm="1">
        <f t="array" ref="C3738">_xlfn.IFS(worksheet[[#This Row],[age]]&lt;25,"1. Young Adulthood (18-24)",worksheet[[#This Row],[age]]&lt; 35,"2. Early Adulthood (25-34)",worksheet[[#This Row],[age]]&lt; 45,"3. Mid Adulthood (35-44)",worksheet[[#This Row],[age]]&lt; 55,"4. Mature Adulthood (45-54)",TRUE,"5. Late Adulthood/Senior (55+)")</f>
        <v>5. Late Adulthood/Senior (55+)</v>
      </c>
      <c r="D3738" t="s">
        <v>15</v>
      </c>
      <c r="E3738" t="s">
        <v>32</v>
      </c>
      <c r="F3738" s="4">
        <v>10.029999999999999</v>
      </c>
      <c r="G3738" s="5">
        <v>21</v>
      </c>
      <c r="H3738" t="s">
        <v>17</v>
      </c>
      <c r="I3738" t="s">
        <v>57</v>
      </c>
      <c r="J3738" s="6">
        <v>17.989999999999998</v>
      </c>
      <c r="K3738">
        <v>0</v>
      </c>
      <c r="L3738" t="s">
        <v>61</v>
      </c>
      <c r="M3738" s="5">
        <v>2</v>
      </c>
      <c r="N3738" s="4">
        <v>0.46</v>
      </c>
      <c r="O3738" t="s">
        <v>34</v>
      </c>
    </row>
    <row r="3739" spans="1:15" x14ac:dyDescent="0.3">
      <c r="A3739" t="s">
        <v>935</v>
      </c>
      <c r="B3739" s="5">
        <v>65</v>
      </c>
      <c r="C3739" s="5" t="str" cm="1">
        <f t="array" ref="C3739">_xlfn.IFS(worksheet[[#This Row],[age]]&lt;25,"1. Young Adulthood (18-24)",worksheet[[#This Row],[age]]&lt; 35,"2. Early Adulthood (25-34)",worksheet[[#This Row],[age]]&lt; 45,"3. Mid Adulthood (35-44)",worksheet[[#This Row],[age]]&lt; 55,"4. Mature Adulthood (45-54)",TRUE,"5. Late Adulthood/Senior (55+)")</f>
        <v>5. Late Adulthood/Senior (55+)</v>
      </c>
      <c r="D3739" t="s">
        <v>15</v>
      </c>
      <c r="E3739" t="s">
        <v>32</v>
      </c>
      <c r="F3739" s="4">
        <v>0.47</v>
      </c>
      <c r="G3739" s="5">
        <v>25</v>
      </c>
      <c r="H3739" t="s">
        <v>28</v>
      </c>
      <c r="I3739" t="s">
        <v>18</v>
      </c>
      <c r="J3739" s="6">
        <v>17.989999999999998</v>
      </c>
      <c r="K3739">
        <v>1</v>
      </c>
      <c r="L3739" t="s">
        <v>37</v>
      </c>
      <c r="M3739" s="5">
        <v>3</v>
      </c>
      <c r="N3739" s="4">
        <v>0.02</v>
      </c>
      <c r="O3739" t="s">
        <v>30</v>
      </c>
    </row>
    <row r="3740" spans="1:15" x14ac:dyDescent="0.3">
      <c r="A3740" t="s">
        <v>937</v>
      </c>
      <c r="B3740" s="5">
        <v>60</v>
      </c>
      <c r="C3740" s="5" t="str" cm="1">
        <f t="array" ref="C3740">_xlfn.IFS(worksheet[[#This Row],[age]]&lt;25,"1. Young Adulthood (18-24)",worksheet[[#This Row],[age]]&lt; 35,"2. Early Adulthood (25-34)",worksheet[[#This Row],[age]]&lt; 45,"3. Mid Adulthood (35-44)",worksheet[[#This Row],[age]]&lt; 55,"4. Mature Adulthood (45-54)",TRUE,"5. Late Adulthood/Senior (55+)")</f>
        <v>5. Late Adulthood/Senior (55+)</v>
      </c>
      <c r="D3740" t="s">
        <v>15</v>
      </c>
      <c r="E3740" t="s">
        <v>16</v>
      </c>
      <c r="F3740" s="4">
        <v>9.7100000000000009</v>
      </c>
      <c r="G3740" s="5">
        <v>46</v>
      </c>
      <c r="H3740" t="s">
        <v>70</v>
      </c>
      <c r="I3740" t="s">
        <v>57</v>
      </c>
      <c r="J3740" s="6">
        <v>8.99</v>
      </c>
      <c r="K3740">
        <v>1</v>
      </c>
      <c r="L3740" t="s">
        <v>37</v>
      </c>
      <c r="M3740" s="5">
        <v>5</v>
      </c>
      <c r="N3740" s="4">
        <v>0.21</v>
      </c>
      <c r="O3740" t="s">
        <v>20</v>
      </c>
    </row>
    <row r="3741" spans="1:15" x14ac:dyDescent="0.3">
      <c r="A3741" t="s">
        <v>939</v>
      </c>
      <c r="B3741" s="5">
        <v>57</v>
      </c>
      <c r="C3741" s="5" t="str" cm="1">
        <f t="array" ref="C3741">_xlfn.IFS(worksheet[[#This Row],[age]]&lt;25,"1. Young Adulthood (18-24)",worksheet[[#This Row],[age]]&lt; 35,"2. Early Adulthood (25-34)",worksheet[[#This Row],[age]]&lt; 45,"3. Mid Adulthood (35-44)",worksheet[[#This Row],[age]]&lt; 55,"4. Mature Adulthood (45-54)",TRUE,"5. Late Adulthood/Senior (55+)")</f>
        <v>5. Late Adulthood/Senior (55+)</v>
      </c>
      <c r="D3741" t="s">
        <v>15</v>
      </c>
      <c r="E3741" t="s">
        <v>22</v>
      </c>
      <c r="F3741" s="4">
        <v>31.69</v>
      </c>
      <c r="G3741" s="5">
        <v>18</v>
      </c>
      <c r="H3741" t="s">
        <v>23</v>
      </c>
      <c r="I3741" t="s">
        <v>24</v>
      </c>
      <c r="J3741" s="6">
        <v>13.99</v>
      </c>
      <c r="K3741">
        <v>0</v>
      </c>
      <c r="L3741" t="s">
        <v>43</v>
      </c>
      <c r="M3741" s="5">
        <v>4</v>
      </c>
      <c r="N3741" s="4">
        <v>1.67</v>
      </c>
      <c r="O3741" t="s">
        <v>25</v>
      </c>
    </row>
    <row r="3742" spans="1:15" x14ac:dyDescent="0.3">
      <c r="A3742" t="s">
        <v>942</v>
      </c>
      <c r="B3742" s="5">
        <v>62</v>
      </c>
      <c r="C3742" s="5" t="str" cm="1">
        <f t="array" ref="C3742">_xlfn.IFS(worksheet[[#This Row],[age]]&lt;25,"1. Young Adulthood (18-24)",worksheet[[#This Row],[age]]&lt; 35,"2. Early Adulthood (25-34)",worksheet[[#This Row],[age]]&lt; 45,"3. Mid Adulthood (35-44)",worksheet[[#This Row],[age]]&lt; 55,"4. Mature Adulthood (45-54)",TRUE,"5. Late Adulthood/Senior (55+)")</f>
        <v>5. Late Adulthood/Senior (55+)</v>
      </c>
      <c r="D3742" t="s">
        <v>27</v>
      </c>
      <c r="E3742" t="s">
        <v>32</v>
      </c>
      <c r="F3742" s="4">
        <v>5.32</v>
      </c>
      <c r="G3742" s="5">
        <v>6</v>
      </c>
      <c r="H3742" t="s">
        <v>28</v>
      </c>
      <c r="I3742" t="s">
        <v>46</v>
      </c>
      <c r="J3742" s="6">
        <v>17.989999999999998</v>
      </c>
      <c r="K3742">
        <v>0</v>
      </c>
      <c r="L3742" t="s">
        <v>37</v>
      </c>
      <c r="M3742" s="5">
        <v>5</v>
      </c>
      <c r="N3742" s="4">
        <v>0.76</v>
      </c>
      <c r="O3742" t="s">
        <v>30</v>
      </c>
    </row>
    <row r="3743" spans="1:15" x14ac:dyDescent="0.3">
      <c r="A3743" t="s">
        <v>949</v>
      </c>
      <c r="B3743" s="5">
        <v>55</v>
      </c>
      <c r="C3743" s="5" t="str" cm="1">
        <f t="array" ref="C3743">_xlfn.IFS(worksheet[[#This Row],[age]]&lt;25,"1. Young Adulthood (18-24)",worksheet[[#This Row],[age]]&lt; 35,"2. Early Adulthood (25-34)",worksheet[[#This Row],[age]]&lt; 45,"3. Mid Adulthood (35-44)",worksheet[[#This Row],[age]]&lt; 55,"4. Mature Adulthood (45-54)",TRUE,"5. Late Adulthood/Senior (55+)")</f>
        <v>5. Late Adulthood/Senior (55+)</v>
      </c>
      <c r="D3743" t="s">
        <v>27</v>
      </c>
      <c r="E3743" t="s">
        <v>32</v>
      </c>
      <c r="F3743" s="4">
        <v>12.82</v>
      </c>
      <c r="G3743" s="5">
        <v>47</v>
      </c>
      <c r="H3743" t="s">
        <v>49</v>
      </c>
      <c r="I3743" t="s">
        <v>24</v>
      </c>
      <c r="J3743" s="6">
        <v>17.989999999999998</v>
      </c>
      <c r="K3743">
        <v>1</v>
      </c>
      <c r="L3743" t="s">
        <v>19</v>
      </c>
      <c r="M3743" s="5">
        <v>3</v>
      </c>
      <c r="N3743" s="4">
        <v>0.27</v>
      </c>
      <c r="O3743" t="s">
        <v>34</v>
      </c>
    </row>
    <row r="3744" spans="1:15" x14ac:dyDescent="0.3">
      <c r="A3744" t="s">
        <v>950</v>
      </c>
      <c r="B3744" s="5">
        <v>70</v>
      </c>
      <c r="C3744" s="5" t="str" cm="1">
        <f t="array" ref="C3744">_xlfn.IFS(worksheet[[#This Row],[age]]&lt;25,"1. Young Adulthood (18-24)",worksheet[[#This Row],[age]]&lt; 35,"2. Early Adulthood (25-34)",worksheet[[#This Row],[age]]&lt; 45,"3. Mid Adulthood (35-44)",worksheet[[#This Row],[age]]&lt; 55,"4. Mature Adulthood (45-54)",TRUE,"5. Late Adulthood/Senior (55+)")</f>
        <v>5. Late Adulthood/Senior (55+)</v>
      </c>
      <c r="D3744" t="s">
        <v>27</v>
      </c>
      <c r="E3744" t="s">
        <v>16</v>
      </c>
      <c r="F3744" s="4">
        <v>12.97</v>
      </c>
      <c r="G3744" s="5">
        <v>34</v>
      </c>
      <c r="H3744" t="s">
        <v>49</v>
      </c>
      <c r="I3744" t="s">
        <v>46</v>
      </c>
      <c r="J3744" s="6">
        <v>8.99</v>
      </c>
      <c r="K3744">
        <v>1</v>
      </c>
      <c r="L3744" t="s">
        <v>19</v>
      </c>
      <c r="M3744" s="5">
        <v>5</v>
      </c>
      <c r="N3744" s="4">
        <v>0.37</v>
      </c>
      <c r="O3744" t="s">
        <v>20</v>
      </c>
    </row>
    <row r="3745" spans="1:15" x14ac:dyDescent="0.3">
      <c r="A3745" t="s">
        <v>953</v>
      </c>
      <c r="B3745" s="5">
        <v>59</v>
      </c>
      <c r="C3745" s="5" t="str" cm="1">
        <f t="array" ref="C3745">_xlfn.IFS(worksheet[[#This Row],[age]]&lt;25,"1. Young Adulthood (18-24)",worksheet[[#This Row],[age]]&lt; 35,"2. Early Adulthood (25-34)",worksheet[[#This Row],[age]]&lt; 45,"3. Mid Adulthood (35-44)",worksheet[[#This Row],[age]]&lt; 55,"4. Mature Adulthood (45-54)",TRUE,"5. Late Adulthood/Senior (55+)")</f>
        <v>5. Late Adulthood/Senior (55+)</v>
      </c>
      <c r="D3745" t="s">
        <v>41</v>
      </c>
      <c r="E3745" t="s">
        <v>22</v>
      </c>
      <c r="F3745" s="4">
        <v>22.89</v>
      </c>
      <c r="G3745" s="5">
        <v>38</v>
      </c>
      <c r="H3745" t="s">
        <v>17</v>
      </c>
      <c r="I3745" t="s">
        <v>18</v>
      </c>
      <c r="J3745" s="6">
        <v>13.99</v>
      </c>
      <c r="K3745">
        <v>0</v>
      </c>
      <c r="L3745" t="s">
        <v>43</v>
      </c>
      <c r="M3745" s="5">
        <v>4</v>
      </c>
      <c r="N3745" s="4">
        <v>0.59</v>
      </c>
      <c r="O3745" t="s">
        <v>20</v>
      </c>
    </row>
    <row r="3746" spans="1:15" x14ac:dyDescent="0.3">
      <c r="A3746" t="s">
        <v>957</v>
      </c>
      <c r="B3746" s="5">
        <v>70</v>
      </c>
      <c r="C3746" s="5" t="str" cm="1">
        <f t="array" ref="C3746">_xlfn.IFS(worksheet[[#This Row],[age]]&lt;25,"1. Young Adulthood (18-24)",worksheet[[#This Row],[age]]&lt; 35,"2. Early Adulthood (25-34)",worksheet[[#This Row],[age]]&lt; 45,"3. Mid Adulthood (35-44)",worksheet[[#This Row],[age]]&lt; 55,"4. Mature Adulthood (45-54)",TRUE,"5. Late Adulthood/Senior (55+)")</f>
        <v>5. Late Adulthood/Senior (55+)</v>
      </c>
      <c r="D3746" t="s">
        <v>27</v>
      </c>
      <c r="E3746" t="s">
        <v>16</v>
      </c>
      <c r="F3746" s="4">
        <v>20.64</v>
      </c>
      <c r="G3746" s="5">
        <v>34</v>
      </c>
      <c r="H3746" t="s">
        <v>17</v>
      </c>
      <c r="I3746" t="s">
        <v>24</v>
      </c>
      <c r="J3746" s="6">
        <v>8.99</v>
      </c>
      <c r="K3746">
        <v>1</v>
      </c>
      <c r="L3746" t="s">
        <v>29</v>
      </c>
      <c r="M3746" s="5">
        <v>1</v>
      </c>
      <c r="N3746" s="4">
        <v>0.59</v>
      </c>
      <c r="O3746" t="s">
        <v>25</v>
      </c>
    </row>
    <row r="3747" spans="1:15" x14ac:dyDescent="0.3">
      <c r="A3747" t="s">
        <v>958</v>
      </c>
      <c r="B3747" s="5">
        <v>66</v>
      </c>
      <c r="C3747" s="5" t="str" cm="1">
        <f t="array" ref="C3747">_xlfn.IFS(worksheet[[#This Row],[age]]&lt;25,"1. Young Adulthood (18-24)",worksheet[[#This Row],[age]]&lt; 35,"2. Early Adulthood (25-34)",worksheet[[#This Row],[age]]&lt; 45,"3. Mid Adulthood (35-44)",worksheet[[#This Row],[age]]&lt; 55,"4. Mature Adulthood (45-54)",TRUE,"5. Late Adulthood/Senior (55+)")</f>
        <v>5. Late Adulthood/Senior (55+)</v>
      </c>
      <c r="D3747" t="s">
        <v>41</v>
      </c>
      <c r="E3747" t="s">
        <v>22</v>
      </c>
      <c r="F3747" s="4">
        <v>3.11</v>
      </c>
      <c r="G3747" s="5">
        <v>3</v>
      </c>
      <c r="H3747" t="s">
        <v>17</v>
      </c>
      <c r="I3747" t="s">
        <v>18</v>
      </c>
      <c r="J3747" s="6">
        <v>13.99</v>
      </c>
      <c r="K3747">
        <v>0</v>
      </c>
      <c r="L3747" t="s">
        <v>43</v>
      </c>
      <c r="M3747" s="5">
        <v>3</v>
      </c>
      <c r="N3747" s="4">
        <v>0.78</v>
      </c>
      <c r="O3747" t="s">
        <v>47</v>
      </c>
    </row>
    <row r="3748" spans="1:15" x14ac:dyDescent="0.3">
      <c r="A3748" t="s">
        <v>959</v>
      </c>
      <c r="B3748" s="5">
        <v>68</v>
      </c>
      <c r="C3748" s="5" t="str" cm="1">
        <f t="array" ref="C3748">_xlfn.IFS(worksheet[[#This Row],[age]]&lt;25,"1. Young Adulthood (18-24)",worksheet[[#This Row],[age]]&lt; 35,"2. Early Adulthood (25-34)",worksheet[[#This Row],[age]]&lt; 45,"3. Mid Adulthood (35-44)",worksheet[[#This Row],[age]]&lt; 55,"4. Mature Adulthood (45-54)",TRUE,"5. Late Adulthood/Senior (55+)")</f>
        <v>5. Late Adulthood/Senior (55+)</v>
      </c>
      <c r="D3748" t="s">
        <v>41</v>
      </c>
      <c r="E3748" t="s">
        <v>16</v>
      </c>
      <c r="F3748" s="4">
        <v>5.37</v>
      </c>
      <c r="G3748" s="5">
        <v>49</v>
      </c>
      <c r="H3748" t="s">
        <v>23</v>
      </c>
      <c r="I3748" t="s">
        <v>55</v>
      </c>
      <c r="J3748" s="6">
        <v>8.99</v>
      </c>
      <c r="K3748">
        <v>1</v>
      </c>
      <c r="L3748" t="s">
        <v>37</v>
      </c>
      <c r="M3748" s="5">
        <v>3</v>
      </c>
      <c r="N3748" s="4">
        <v>0.11</v>
      </c>
      <c r="O3748" t="s">
        <v>52</v>
      </c>
    </row>
    <row r="3749" spans="1:15" x14ac:dyDescent="0.3">
      <c r="A3749" t="s">
        <v>967</v>
      </c>
      <c r="B3749" s="5">
        <v>58</v>
      </c>
      <c r="C3749" s="5" t="str" cm="1">
        <f t="array" ref="C3749">_xlfn.IFS(worksheet[[#This Row],[age]]&lt;25,"1. Young Adulthood (18-24)",worksheet[[#This Row],[age]]&lt; 35,"2. Early Adulthood (25-34)",worksheet[[#This Row],[age]]&lt; 45,"3. Mid Adulthood (35-44)",worksheet[[#This Row],[age]]&lt; 55,"4. Mature Adulthood (45-54)",TRUE,"5. Late Adulthood/Senior (55+)")</f>
        <v>5. Late Adulthood/Senior (55+)</v>
      </c>
      <c r="D3749" t="s">
        <v>15</v>
      </c>
      <c r="E3749" t="s">
        <v>32</v>
      </c>
      <c r="F3749" s="4">
        <v>2.75</v>
      </c>
      <c r="G3749" s="5">
        <v>8</v>
      </c>
      <c r="H3749" t="s">
        <v>49</v>
      </c>
      <c r="I3749" t="s">
        <v>46</v>
      </c>
      <c r="J3749" s="6">
        <v>17.989999999999998</v>
      </c>
      <c r="K3749">
        <v>0</v>
      </c>
      <c r="L3749" t="s">
        <v>43</v>
      </c>
      <c r="M3749" s="5">
        <v>4</v>
      </c>
      <c r="N3749" s="4">
        <v>0.31</v>
      </c>
      <c r="O3749" t="s">
        <v>52</v>
      </c>
    </row>
    <row r="3750" spans="1:15" x14ac:dyDescent="0.3">
      <c r="A3750" t="s">
        <v>968</v>
      </c>
      <c r="B3750" s="5">
        <v>58</v>
      </c>
      <c r="C3750" s="5" t="str" cm="1">
        <f t="array" ref="C3750">_xlfn.IFS(worksheet[[#This Row],[age]]&lt;25,"1. Young Adulthood (18-24)",worksheet[[#This Row],[age]]&lt; 35,"2. Early Adulthood (25-34)",worksheet[[#This Row],[age]]&lt; 45,"3. Mid Adulthood (35-44)",worksheet[[#This Row],[age]]&lt; 55,"4. Mature Adulthood (45-54)",TRUE,"5. Late Adulthood/Senior (55+)")</f>
        <v>5. Late Adulthood/Senior (55+)</v>
      </c>
      <c r="D3750" t="s">
        <v>41</v>
      </c>
      <c r="E3750" t="s">
        <v>32</v>
      </c>
      <c r="F3750" s="4">
        <v>6.28</v>
      </c>
      <c r="G3750" s="5">
        <v>4</v>
      </c>
      <c r="H3750" t="s">
        <v>23</v>
      </c>
      <c r="I3750" t="s">
        <v>57</v>
      </c>
      <c r="J3750" s="6">
        <v>17.989999999999998</v>
      </c>
      <c r="K3750">
        <v>0</v>
      </c>
      <c r="L3750" t="s">
        <v>37</v>
      </c>
      <c r="M3750" s="5">
        <v>4</v>
      </c>
      <c r="N3750" s="4">
        <v>1.26</v>
      </c>
      <c r="O3750" t="s">
        <v>30</v>
      </c>
    </row>
    <row r="3751" spans="1:15" x14ac:dyDescent="0.3">
      <c r="A3751" t="s">
        <v>969</v>
      </c>
      <c r="B3751" s="5">
        <v>70</v>
      </c>
      <c r="C3751" s="5" t="str" cm="1">
        <f t="array" ref="C3751">_xlfn.IFS(worksheet[[#This Row],[age]]&lt;25,"1. Young Adulthood (18-24)",worksheet[[#This Row],[age]]&lt; 35,"2. Early Adulthood (25-34)",worksheet[[#This Row],[age]]&lt; 45,"3. Mid Adulthood (35-44)",worksheet[[#This Row],[age]]&lt; 55,"4. Mature Adulthood (45-54)",TRUE,"5. Late Adulthood/Senior (55+)")</f>
        <v>5. Late Adulthood/Senior (55+)</v>
      </c>
      <c r="D3751" t="s">
        <v>41</v>
      </c>
      <c r="E3751" t="s">
        <v>16</v>
      </c>
      <c r="F3751" s="4">
        <v>1.24</v>
      </c>
      <c r="G3751" s="5">
        <v>29</v>
      </c>
      <c r="H3751" t="s">
        <v>33</v>
      </c>
      <c r="I3751" t="s">
        <v>46</v>
      </c>
      <c r="J3751" s="6">
        <v>8.99</v>
      </c>
      <c r="K3751">
        <v>1</v>
      </c>
      <c r="L3751" t="s">
        <v>43</v>
      </c>
      <c r="M3751" s="5">
        <v>1</v>
      </c>
      <c r="N3751" s="4">
        <v>0.04</v>
      </c>
      <c r="O3751" t="s">
        <v>34</v>
      </c>
    </row>
    <row r="3752" spans="1:15" x14ac:dyDescent="0.3">
      <c r="A3752" t="s">
        <v>971</v>
      </c>
      <c r="B3752" s="5">
        <v>58</v>
      </c>
      <c r="C3752" s="5" t="str" cm="1">
        <f t="array" ref="C3752">_xlfn.IFS(worksheet[[#This Row],[age]]&lt;25,"1. Young Adulthood (18-24)",worksheet[[#This Row],[age]]&lt; 35,"2. Early Adulthood (25-34)",worksheet[[#This Row],[age]]&lt; 45,"3. Mid Adulthood (35-44)",worksheet[[#This Row],[age]]&lt; 55,"4. Mature Adulthood (45-54)",TRUE,"5. Late Adulthood/Senior (55+)")</f>
        <v>5. Late Adulthood/Senior (55+)</v>
      </c>
      <c r="D3752" t="s">
        <v>15</v>
      </c>
      <c r="E3752" t="s">
        <v>16</v>
      </c>
      <c r="F3752" s="4">
        <v>14.3</v>
      </c>
      <c r="G3752" s="5">
        <v>43</v>
      </c>
      <c r="H3752" t="s">
        <v>49</v>
      </c>
      <c r="I3752" t="s">
        <v>18</v>
      </c>
      <c r="J3752" s="6">
        <v>8.99</v>
      </c>
      <c r="K3752">
        <v>1</v>
      </c>
      <c r="L3752" t="s">
        <v>61</v>
      </c>
      <c r="M3752" s="5">
        <v>2</v>
      </c>
      <c r="N3752" s="4">
        <v>0.33</v>
      </c>
      <c r="O3752" t="s">
        <v>30</v>
      </c>
    </row>
    <row r="3753" spans="1:15" x14ac:dyDescent="0.3">
      <c r="A3753" t="s">
        <v>972</v>
      </c>
      <c r="B3753" s="5">
        <v>56</v>
      </c>
      <c r="C3753" s="5" t="str" cm="1">
        <f t="array" ref="C3753">_xlfn.IFS(worksheet[[#This Row],[age]]&lt;25,"1. Young Adulthood (18-24)",worksheet[[#This Row],[age]]&lt; 35,"2. Early Adulthood (25-34)",worksheet[[#This Row],[age]]&lt; 45,"3. Mid Adulthood (35-44)",worksheet[[#This Row],[age]]&lt; 55,"4. Mature Adulthood (45-54)",TRUE,"5. Late Adulthood/Senior (55+)")</f>
        <v>5. Late Adulthood/Senior (55+)</v>
      </c>
      <c r="D3753" t="s">
        <v>15</v>
      </c>
      <c r="E3753" t="s">
        <v>16</v>
      </c>
      <c r="F3753" s="4">
        <v>9.1300000000000008</v>
      </c>
      <c r="G3753" s="5">
        <v>11</v>
      </c>
      <c r="H3753" t="s">
        <v>28</v>
      </c>
      <c r="I3753" t="s">
        <v>55</v>
      </c>
      <c r="J3753" s="6">
        <v>8.99</v>
      </c>
      <c r="K3753">
        <v>0</v>
      </c>
      <c r="L3753" t="s">
        <v>37</v>
      </c>
      <c r="M3753" s="5">
        <v>2</v>
      </c>
      <c r="N3753" s="4">
        <v>0.76</v>
      </c>
      <c r="O3753" t="s">
        <v>39</v>
      </c>
    </row>
    <row r="3754" spans="1:15" x14ac:dyDescent="0.3">
      <c r="A3754" t="s">
        <v>974</v>
      </c>
      <c r="B3754" s="5">
        <v>70</v>
      </c>
      <c r="C3754" s="5" t="str" cm="1">
        <f t="array" ref="C3754">_xlfn.IFS(worksheet[[#This Row],[age]]&lt;25,"1. Young Adulthood (18-24)",worksheet[[#This Row],[age]]&lt; 35,"2. Early Adulthood (25-34)",worksheet[[#This Row],[age]]&lt; 45,"3. Mid Adulthood (35-44)",worksheet[[#This Row],[age]]&lt; 55,"4. Mature Adulthood (45-54)",TRUE,"5. Late Adulthood/Senior (55+)")</f>
        <v>5. Late Adulthood/Senior (55+)</v>
      </c>
      <c r="D3754" t="s">
        <v>15</v>
      </c>
      <c r="E3754" t="s">
        <v>22</v>
      </c>
      <c r="F3754" s="4">
        <v>6.17</v>
      </c>
      <c r="G3754" s="5">
        <v>25</v>
      </c>
      <c r="H3754" t="s">
        <v>33</v>
      </c>
      <c r="I3754" t="s">
        <v>24</v>
      </c>
      <c r="J3754" s="6">
        <v>13.99</v>
      </c>
      <c r="K3754">
        <v>0</v>
      </c>
      <c r="L3754" t="s">
        <v>61</v>
      </c>
      <c r="M3754" s="5">
        <v>2</v>
      </c>
      <c r="N3754" s="4">
        <v>0.24</v>
      </c>
      <c r="O3754" t="s">
        <v>30</v>
      </c>
    </row>
    <row r="3755" spans="1:15" x14ac:dyDescent="0.3">
      <c r="A3755" t="s">
        <v>975</v>
      </c>
      <c r="B3755" s="5">
        <v>61</v>
      </c>
      <c r="C3755" s="5" t="str" cm="1">
        <f t="array" ref="C3755">_xlfn.IFS(worksheet[[#This Row],[age]]&lt;25,"1. Young Adulthood (18-24)",worksheet[[#This Row],[age]]&lt; 35,"2. Early Adulthood (25-34)",worksheet[[#This Row],[age]]&lt; 45,"3. Mid Adulthood (35-44)",worksheet[[#This Row],[age]]&lt; 55,"4. Mature Adulthood (45-54)",TRUE,"5. Late Adulthood/Senior (55+)")</f>
        <v>5. Late Adulthood/Senior (55+)</v>
      </c>
      <c r="D3755" t="s">
        <v>15</v>
      </c>
      <c r="E3755" t="s">
        <v>32</v>
      </c>
      <c r="F3755" s="4">
        <v>19.93</v>
      </c>
      <c r="G3755" s="5">
        <v>59</v>
      </c>
      <c r="H3755" t="s">
        <v>70</v>
      </c>
      <c r="I3755" t="s">
        <v>46</v>
      </c>
      <c r="J3755" s="6">
        <v>17.989999999999998</v>
      </c>
      <c r="K3755">
        <v>1</v>
      </c>
      <c r="L3755" t="s">
        <v>61</v>
      </c>
      <c r="M3755" s="5">
        <v>1</v>
      </c>
      <c r="N3755" s="4">
        <v>0.33</v>
      </c>
      <c r="O3755" t="s">
        <v>20</v>
      </c>
    </row>
    <row r="3756" spans="1:15" x14ac:dyDescent="0.3">
      <c r="A3756" t="s">
        <v>978</v>
      </c>
      <c r="B3756" s="5">
        <v>58</v>
      </c>
      <c r="C3756" s="5" t="str" cm="1">
        <f t="array" ref="C3756">_xlfn.IFS(worksheet[[#This Row],[age]]&lt;25,"1. Young Adulthood (18-24)",worksheet[[#This Row],[age]]&lt; 35,"2. Early Adulthood (25-34)",worksheet[[#This Row],[age]]&lt; 45,"3. Mid Adulthood (35-44)",worksheet[[#This Row],[age]]&lt; 55,"4. Mature Adulthood (45-54)",TRUE,"5. Late Adulthood/Senior (55+)")</f>
        <v>5. Late Adulthood/Senior (55+)</v>
      </c>
      <c r="D3756" t="s">
        <v>27</v>
      </c>
      <c r="E3756" t="s">
        <v>22</v>
      </c>
      <c r="F3756" s="4">
        <v>17.989999999999998</v>
      </c>
      <c r="G3756" s="5">
        <v>8</v>
      </c>
      <c r="H3756" t="s">
        <v>49</v>
      </c>
      <c r="I3756" t="s">
        <v>18</v>
      </c>
      <c r="J3756" s="6">
        <v>13.99</v>
      </c>
      <c r="K3756">
        <v>0</v>
      </c>
      <c r="L3756" t="s">
        <v>37</v>
      </c>
      <c r="M3756" s="5">
        <v>1</v>
      </c>
      <c r="N3756" s="4">
        <v>2</v>
      </c>
      <c r="O3756" t="s">
        <v>30</v>
      </c>
    </row>
    <row r="3757" spans="1:15" x14ac:dyDescent="0.3">
      <c r="A3757" t="s">
        <v>982</v>
      </c>
      <c r="B3757" s="5">
        <v>67</v>
      </c>
      <c r="C3757" s="5" t="str" cm="1">
        <f t="array" ref="C3757">_xlfn.IFS(worksheet[[#This Row],[age]]&lt;25,"1. Young Adulthood (18-24)",worksheet[[#This Row],[age]]&lt; 35,"2. Early Adulthood (25-34)",worksheet[[#This Row],[age]]&lt; 45,"3. Mid Adulthood (35-44)",worksheet[[#This Row],[age]]&lt; 55,"4. Mature Adulthood (45-54)",TRUE,"5. Late Adulthood/Senior (55+)")</f>
        <v>5. Late Adulthood/Senior (55+)</v>
      </c>
      <c r="D3757" t="s">
        <v>15</v>
      </c>
      <c r="E3757" t="s">
        <v>22</v>
      </c>
      <c r="F3757" s="4">
        <v>15.34</v>
      </c>
      <c r="G3757" s="5">
        <v>39</v>
      </c>
      <c r="H3757" t="s">
        <v>70</v>
      </c>
      <c r="I3757" t="s">
        <v>46</v>
      </c>
      <c r="J3757" s="6">
        <v>13.99</v>
      </c>
      <c r="K3757">
        <v>1</v>
      </c>
      <c r="L3757" t="s">
        <v>61</v>
      </c>
      <c r="M3757" s="5">
        <v>2</v>
      </c>
      <c r="N3757" s="4">
        <v>0.38</v>
      </c>
      <c r="O3757" t="s">
        <v>34</v>
      </c>
    </row>
    <row r="3758" spans="1:15" x14ac:dyDescent="0.3">
      <c r="A3758" t="s">
        <v>985</v>
      </c>
      <c r="B3758" s="5">
        <v>59</v>
      </c>
      <c r="C3758" s="5" t="str" cm="1">
        <f t="array" ref="C3758">_xlfn.IFS(worksheet[[#This Row],[age]]&lt;25,"1. Young Adulthood (18-24)",worksheet[[#This Row],[age]]&lt; 35,"2. Early Adulthood (25-34)",worksheet[[#This Row],[age]]&lt; 45,"3. Mid Adulthood (35-44)",worksheet[[#This Row],[age]]&lt; 55,"4. Mature Adulthood (45-54)",TRUE,"5. Late Adulthood/Senior (55+)")</f>
        <v>5. Late Adulthood/Senior (55+)</v>
      </c>
      <c r="D3758" t="s">
        <v>27</v>
      </c>
      <c r="E3758" t="s">
        <v>22</v>
      </c>
      <c r="F3758" s="4">
        <v>20.89</v>
      </c>
      <c r="G3758" s="5">
        <v>27</v>
      </c>
      <c r="H3758" t="s">
        <v>17</v>
      </c>
      <c r="I3758" t="s">
        <v>46</v>
      </c>
      <c r="J3758" s="6">
        <v>13.99</v>
      </c>
      <c r="K3758">
        <v>0</v>
      </c>
      <c r="L3758" t="s">
        <v>37</v>
      </c>
      <c r="M3758" s="5">
        <v>2</v>
      </c>
      <c r="N3758" s="4">
        <v>0.75</v>
      </c>
      <c r="O3758" t="s">
        <v>34</v>
      </c>
    </row>
    <row r="3759" spans="1:15" x14ac:dyDescent="0.3">
      <c r="A3759" t="s">
        <v>988</v>
      </c>
      <c r="B3759" s="5">
        <v>68</v>
      </c>
      <c r="C3759" s="5" t="str" cm="1">
        <f t="array" ref="C3759">_xlfn.IFS(worksheet[[#This Row],[age]]&lt;25,"1. Young Adulthood (18-24)",worksheet[[#This Row],[age]]&lt; 35,"2. Early Adulthood (25-34)",worksheet[[#This Row],[age]]&lt; 45,"3. Mid Adulthood (35-44)",worksheet[[#This Row],[age]]&lt; 55,"4. Mature Adulthood (45-54)",TRUE,"5. Late Adulthood/Senior (55+)")</f>
        <v>5. Late Adulthood/Senior (55+)</v>
      </c>
      <c r="D3759" t="s">
        <v>15</v>
      </c>
      <c r="E3759" t="s">
        <v>32</v>
      </c>
      <c r="F3759" s="4">
        <v>38.25</v>
      </c>
      <c r="G3759" s="5">
        <v>16</v>
      </c>
      <c r="H3759" t="s">
        <v>49</v>
      </c>
      <c r="I3759" t="s">
        <v>55</v>
      </c>
      <c r="J3759" s="6">
        <v>17.989999999999998</v>
      </c>
      <c r="K3759">
        <v>0</v>
      </c>
      <c r="L3759" t="s">
        <v>61</v>
      </c>
      <c r="M3759" s="5">
        <v>3</v>
      </c>
      <c r="N3759" s="4">
        <v>2.25</v>
      </c>
      <c r="O3759" t="s">
        <v>25</v>
      </c>
    </row>
    <row r="3760" spans="1:15" x14ac:dyDescent="0.3">
      <c r="A3760" t="s">
        <v>997</v>
      </c>
      <c r="B3760" s="5">
        <v>60</v>
      </c>
      <c r="C3760" s="5" t="str" cm="1">
        <f t="array" ref="C3760">_xlfn.IFS(worksheet[[#This Row],[age]]&lt;25,"1. Young Adulthood (18-24)",worksheet[[#This Row],[age]]&lt; 35,"2. Early Adulthood (25-34)",worksheet[[#This Row],[age]]&lt; 45,"3. Mid Adulthood (35-44)",worksheet[[#This Row],[age]]&lt; 55,"4. Mature Adulthood (45-54)",TRUE,"5. Late Adulthood/Senior (55+)")</f>
        <v>5. Late Adulthood/Senior (55+)</v>
      </c>
      <c r="D3760" t="s">
        <v>41</v>
      </c>
      <c r="E3760" t="s">
        <v>22</v>
      </c>
      <c r="F3760" s="4">
        <v>14.57</v>
      </c>
      <c r="G3760" s="5">
        <v>40</v>
      </c>
      <c r="H3760" t="s">
        <v>17</v>
      </c>
      <c r="I3760" t="s">
        <v>18</v>
      </c>
      <c r="J3760" s="6">
        <v>13.99</v>
      </c>
      <c r="K3760">
        <v>1</v>
      </c>
      <c r="L3760" t="s">
        <v>19</v>
      </c>
      <c r="M3760" s="5">
        <v>4</v>
      </c>
      <c r="N3760" s="4">
        <v>0.36</v>
      </c>
      <c r="O3760" t="s">
        <v>39</v>
      </c>
    </row>
    <row r="3761" spans="1:15" x14ac:dyDescent="0.3">
      <c r="A3761" t="s">
        <v>999</v>
      </c>
      <c r="B3761" s="5">
        <v>70</v>
      </c>
      <c r="C3761" s="5" t="str" cm="1">
        <f t="array" ref="C3761">_xlfn.IFS(worksheet[[#This Row],[age]]&lt;25,"1. Young Adulthood (18-24)",worksheet[[#This Row],[age]]&lt; 35,"2. Early Adulthood (25-34)",worksheet[[#This Row],[age]]&lt; 45,"3. Mid Adulthood (35-44)",worksheet[[#This Row],[age]]&lt; 55,"4. Mature Adulthood (45-54)",TRUE,"5. Late Adulthood/Senior (55+)")</f>
        <v>5. Late Adulthood/Senior (55+)</v>
      </c>
      <c r="D3761" t="s">
        <v>41</v>
      </c>
      <c r="E3761" t="s">
        <v>16</v>
      </c>
      <c r="F3761" s="4">
        <v>5.45</v>
      </c>
      <c r="G3761" s="5">
        <v>42</v>
      </c>
      <c r="H3761" t="s">
        <v>49</v>
      </c>
      <c r="I3761" t="s">
        <v>24</v>
      </c>
      <c r="J3761" s="6">
        <v>8.99</v>
      </c>
      <c r="K3761">
        <v>1</v>
      </c>
      <c r="L3761" t="s">
        <v>19</v>
      </c>
      <c r="M3761" s="5">
        <v>5</v>
      </c>
      <c r="N3761" s="4">
        <v>0.13</v>
      </c>
      <c r="O3761" t="s">
        <v>30</v>
      </c>
    </row>
    <row r="3762" spans="1:15" x14ac:dyDescent="0.3">
      <c r="A3762" t="s">
        <v>1006</v>
      </c>
      <c r="B3762" s="5">
        <v>60</v>
      </c>
      <c r="C3762" s="5" t="str" cm="1">
        <f t="array" ref="C3762">_xlfn.IFS(worksheet[[#This Row],[age]]&lt;25,"1. Young Adulthood (18-24)",worksheet[[#This Row],[age]]&lt; 35,"2. Early Adulthood (25-34)",worksheet[[#This Row],[age]]&lt; 45,"3. Mid Adulthood (35-44)",worksheet[[#This Row],[age]]&lt; 55,"4. Mature Adulthood (45-54)",TRUE,"5. Late Adulthood/Senior (55+)")</f>
        <v>5. Late Adulthood/Senior (55+)</v>
      </c>
      <c r="D3762" t="s">
        <v>27</v>
      </c>
      <c r="E3762" t="s">
        <v>22</v>
      </c>
      <c r="F3762" s="4">
        <v>9.16</v>
      </c>
      <c r="G3762" s="5">
        <v>37</v>
      </c>
      <c r="H3762" t="s">
        <v>70</v>
      </c>
      <c r="I3762" t="s">
        <v>57</v>
      </c>
      <c r="J3762" s="6">
        <v>13.99</v>
      </c>
      <c r="K3762">
        <v>1</v>
      </c>
      <c r="L3762" t="s">
        <v>19</v>
      </c>
      <c r="M3762" s="5">
        <v>5</v>
      </c>
      <c r="N3762" s="4">
        <v>0.24</v>
      </c>
      <c r="O3762" t="s">
        <v>39</v>
      </c>
    </row>
    <row r="3763" spans="1:15" x14ac:dyDescent="0.3">
      <c r="A3763" t="s">
        <v>1007</v>
      </c>
      <c r="B3763" s="5">
        <v>58</v>
      </c>
      <c r="C3763" s="5" t="str" cm="1">
        <f t="array" ref="C3763">_xlfn.IFS(worksheet[[#This Row],[age]]&lt;25,"1. Young Adulthood (18-24)",worksheet[[#This Row],[age]]&lt; 35,"2. Early Adulthood (25-34)",worksheet[[#This Row],[age]]&lt; 45,"3. Mid Adulthood (35-44)",worksheet[[#This Row],[age]]&lt; 55,"4. Mature Adulthood (45-54)",TRUE,"5. Late Adulthood/Senior (55+)")</f>
        <v>5. Late Adulthood/Senior (55+)</v>
      </c>
      <c r="D3763" t="s">
        <v>41</v>
      </c>
      <c r="E3763" t="s">
        <v>32</v>
      </c>
      <c r="F3763" s="4">
        <v>11.98</v>
      </c>
      <c r="G3763" s="5">
        <v>41</v>
      </c>
      <c r="H3763" t="s">
        <v>49</v>
      </c>
      <c r="I3763" t="s">
        <v>57</v>
      </c>
      <c r="J3763" s="6">
        <v>17.989999999999998</v>
      </c>
      <c r="K3763">
        <v>1</v>
      </c>
      <c r="L3763" t="s">
        <v>29</v>
      </c>
      <c r="M3763" s="5">
        <v>4</v>
      </c>
      <c r="N3763" s="4">
        <v>0.28999999999999998</v>
      </c>
      <c r="O3763" t="s">
        <v>39</v>
      </c>
    </row>
    <row r="3764" spans="1:15" x14ac:dyDescent="0.3">
      <c r="A3764" t="s">
        <v>1008</v>
      </c>
      <c r="B3764" s="5">
        <v>55</v>
      </c>
      <c r="C3764" s="5" t="str" cm="1">
        <f t="array" ref="C3764">_xlfn.IFS(worksheet[[#This Row],[age]]&lt;25,"1. Young Adulthood (18-24)",worksheet[[#This Row],[age]]&lt; 35,"2. Early Adulthood (25-34)",worksheet[[#This Row],[age]]&lt; 45,"3. Mid Adulthood (35-44)",worksheet[[#This Row],[age]]&lt; 55,"4. Mature Adulthood (45-54)",TRUE,"5. Late Adulthood/Senior (55+)")</f>
        <v>5. Late Adulthood/Senior (55+)</v>
      </c>
      <c r="D3764" t="s">
        <v>27</v>
      </c>
      <c r="E3764" t="s">
        <v>22</v>
      </c>
      <c r="F3764" s="4">
        <v>14.39</v>
      </c>
      <c r="G3764" s="5">
        <v>54</v>
      </c>
      <c r="H3764" t="s">
        <v>33</v>
      </c>
      <c r="I3764" t="s">
        <v>18</v>
      </c>
      <c r="J3764" s="6">
        <v>13.99</v>
      </c>
      <c r="K3764">
        <v>1</v>
      </c>
      <c r="L3764" t="s">
        <v>61</v>
      </c>
      <c r="M3764" s="5">
        <v>3</v>
      </c>
      <c r="N3764" s="4">
        <v>0.26</v>
      </c>
      <c r="O3764" t="s">
        <v>39</v>
      </c>
    </row>
    <row r="3765" spans="1:15" x14ac:dyDescent="0.3">
      <c r="A3765" t="s">
        <v>1009</v>
      </c>
      <c r="B3765" s="5">
        <v>60</v>
      </c>
      <c r="C3765" s="5" t="str" cm="1">
        <f t="array" ref="C3765">_xlfn.IFS(worksheet[[#This Row],[age]]&lt;25,"1. Young Adulthood (18-24)",worksheet[[#This Row],[age]]&lt; 35,"2. Early Adulthood (25-34)",worksheet[[#This Row],[age]]&lt; 45,"3. Mid Adulthood (35-44)",worksheet[[#This Row],[age]]&lt; 55,"4. Mature Adulthood (45-54)",TRUE,"5. Late Adulthood/Senior (55+)")</f>
        <v>5. Late Adulthood/Senior (55+)</v>
      </c>
      <c r="D3765" t="s">
        <v>41</v>
      </c>
      <c r="E3765" t="s">
        <v>32</v>
      </c>
      <c r="F3765" s="4">
        <v>9.15</v>
      </c>
      <c r="G3765" s="5">
        <v>18</v>
      </c>
      <c r="H3765" t="s">
        <v>33</v>
      </c>
      <c r="I3765" t="s">
        <v>55</v>
      </c>
      <c r="J3765" s="6">
        <v>17.989999999999998</v>
      </c>
      <c r="K3765">
        <v>0</v>
      </c>
      <c r="L3765" t="s">
        <v>37</v>
      </c>
      <c r="M3765" s="5">
        <v>1</v>
      </c>
      <c r="N3765" s="4">
        <v>0.48</v>
      </c>
      <c r="O3765" t="s">
        <v>30</v>
      </c>
    </row>
    <row r="3766" spans="1:15" x14ac:dyDescent="0.3">
      <c r="A3766" t="s">
        <v>1013</v>
      </c>
      <c r="B3766" s="5">
        <v>63</v>
      </c>
      <c r="C3766" s="5" t="str" cm="1">
        <f t="array" ref="C3766">_xlfn.IFS(worksheet[[#This Row],[age]]&lt;25,"1. Young Adulthood (18-24)",worksheet[[#This Row],[age]]&lt; 35,"2. Early Adulthood (25-34)",worksheet[[#This Row],[age]]&lt; 45,"3. Mid Adulthood (35-44)",worksheet[[#This Row],[age]]&lt; 55,"4. Mature Adulthood (45-54)",TRUE,"5. Late Adulthood/Senior (55+)")</f>
        <v>5. Late Adulthood/Senior (55+)</v>
      </c>
      <c r="D3766" t="s">
        <v>15</v>
      </c>
      <c r="E3766" t="s">
        <v>16</v>
      </c>
      <c r="F3766" s="4">
        <v>18.77</v>
      </c>
      <c r="G3766" s="5">
        <v>56</v>
      </c>
      <c r="H3766" t="s">
        <v>49</v>
      </c>
      <c r="I3766" t="s">
        <v>24</v>
      </c>
      <c r="J3766" s="6">
        <v>8.99</v>
      </c>
      <c r="K3766">
        <v>1</v>
      </c>
      <c r="L3766" t="s">
        <v>29</v>
      </c>
      <c r="M3766" s="5">
        <v>2</v>
      </c>
      <c r="N3766" s="4">
        <v>0.33</v>
      </c>
      <c r="O3766" t="s">
        <v>25</v>
      </c>
    </row>
    <row r="3767" spans="1:15" x14ac:dyDescent="0.3">
      <c r="A3767" t="s">
        <v>1023</v>
      </c>
      <c r="B3767" s="5">
        <v>63</v>
      </c>
      <c r="C3767" s="5" t="str" cm="1">
        <f t="array" ref="C3767">_xlfn.IFS(worksheet[[#This Row],[age]]&lt;25,"1. Young Adulthood (18-24)",worksheet[[#This Row],[age]]&lt; 35,"2. Early Adulthood (25-34)",worksheet[[#This Row],[age]]&lt; 45,"3. Mid Adulthood (35-44)",worksheet[[#This Row],[age]]&lt; 55,"4. Mature Adulthood (45-54)",TRUE,"5. Late Adulthood/Senior (55+)")</f>
        <v>5. Late Adulthood/Senior (55+)</v>
      </c>
      <c r="D3767" t="s">
        <v>41</v>
      </c>
      <c r="E3767" t="s">
        <v>22</v>
      </c>
      <c r="F3767" s="4">
        <v>0.4</v>
      </c>
      <c r="G3767" s="5">
        <v>0</v>
      </c>
      <c r="H3767" t="s">
        <v>70</v>
      </c>
      <c r="I3767" t="s">
        <v>18</v>
      </c>
      <c r="J3767" s="6">
        <v>13.99</v>
      </c>
      <c r="K3767">
        <v>0</v>
      </c>
      <c r="L3767" t="s">
        <v>43</v>
      </c>
      <c r="M3767" s="5">
        <v>4</v>
      </c>
      <c r="N3767" s="4">
        <v>0.4</v>
      </c>
      <c r="O3767" t="s">
        <v>47</v>
      </c>
    </row>
    <row r="3768" spans="1:15" x14ac:dyDescent="0.3">
      <c r="A3768" t="s">
        <v>1024</v>
      </c>
      <c r="B3768" s="5">
        <v>63</v>
      </c>
      <c r="C3768" s="5" t="str" cm="1">
        <f t="array" ref="C3768">_xlfn.IFS(worksheet[[#This Row],[age]]&lt;25,"1. Young Adulthood (18-24)",worksheet[[#This Row],[age]]&lt; 35,"2. Early Adulthood (25-34)",worksheet[[#This Row],[age]]&lt; 45,"3. Mid Adulthood (35-44)",worksheet[[#This Row],[age]]&lt; 55,"4. Mature Adulthood (45-54)",TRUE,"5. Late Adulthood/Senior (55+)")</f>
        <v>5. Late Adulthood/Senior (55+)</v>
      </c>
      <c r="D3768" t="s">
        <v>15</v>
      </c>
      <c r="E3768" t="s">
        <v>16</v>
      </c>
      <c r="F3768" s="4">
        <v>59.23</v>
      </c>
      <c r="G3768" s="5">
        <v>27</v>
      </c>
      <c r="H3768" t="s">
        <v>33</v>
      </c>
      <c r="I3768" t="s">
        <v>55</v>
      </c>
      <c r="J3768" s="6">
        <v>8.99</v>
      </c>
      <c r="K3768">
        <v>0</v>
      </c>
      <c r="L3768" t="s">
        <v>37</v>
      </c>
      <c r="M3768" s="5">
        <v>2</v>
      </c>
      <c r="N3768" s="4">
        <v>2.12</v>
      </c>
      <c r="O3768" t="s">
        <v>47</v>
      </c>
    </row>
    <row r="3769" spans="1:15" x14ac:dyDescent="0.3">
      <c r="A3769" t="s">
        <v>1034</v>
      </c>
      <c r="B3769" s="5">
        <v>69</v>
      </c>
      <c r="C3769" s="5" t="str" cm="1">
        <f t="array" ref="C3769">_xlfn.IFS(worksheet[[#This Row],[age]]&lt;25,"1. Young Adulthood (18-24)",worksheet[[#This Row],[age]]&lt; 35,"2. Early Adulthood (25-34)",worksheet[[#This Row],[age]]&lt; 45,"3. Mid Adulthood (35-44)",worksheet[[#This Row],[age]]&lt; 55,"4. Mature Adulthood (45-54)",TRUE,"5. Late Adulthood/Senior (55+)")</f>
        <v>5. Late Adulthood/Senior (55+)</v>
      </c>
      <c r="D3769" t="s">
        <v>27</v>
      </c>
      <c r="E3769" t="s">
        <v>16</v>
      </c>
      <c r="F3769" s="4">
        <v>33.340000000000003</v>
      </c>
      <c r="G3769" s="5">
        <v>42</v>
      </c>
      <c r="H3769" t="s">
        <v>28</v>
      </c>
      <c r="I3769" t="s">
        <v>46</v>
      </c>
      <c r="J3769" s="6">
        <v>8.99</v>
      </c>
      <c r="K3769">
        <v>0</v>
      </c>
      <c r="L3769" t="s">
        <v>19</v>
      </c>
      <c r="M3769" s="5">
        <v>3</v>
      </c>
      <c r="N3769" s="4">
        <v>0.78</v>
      </c>
      <c r="O3769" t="s">
        <v>39</v>
      </c>
    </row>
    <row r="3770" spans="1:15" x14ac:dyDescent="0.3">
      <c r="A3770" t="s">
        <v>1038</v>
      </c>
      <c r="B3770" s="5">
        <v>61</v>
      </c>
      <c r="C3770" s="5" t="str" cm="1">
        <f t="array" ref="C3770">_xlfn.IFS(worksheet[[#This Row],[age]]&lt;25,"1. Young Adulthood (18-24)",worksheet[[#This Row],[age]]&lt; 35,"2. Early Adulthood (25-34)",worksheet[[#This Row],[age]]&lt; 45,"3. Mid Adulthood (35-44)",worksheet[[#This Row],[age]]&lt; 55,"4. Mature Adulthood (45-54)",TRUE,"5. Late Adulthood/Senior (55+)")</f>
        <v>5. Late Adulthood/Senior (55+)</v>
      </c>
      <c r="D3770" t="s">
        <v>15</v>
      </c>
      <c r="E3770" t="s">
        <v>22</v>
      </c>
      <c r="F3770" s="4">
        <v>4.6900000000000004</v>
      </c>
      <c r="G3770" s="5">
        <v>45</v>
      </c>
      <c r="H3770" t="s">
        <v>28</v>
      </c>
      <c r="I3770" t="s">
        <v>24</v>
      </c>
      <c r="J3770" s="6">
        <v>13.99</v>
      </c>
      <c r="K3770">
        <v>1</v>
      </c>
      <c r="L3770" t="s">
        <v>29</v>
      </c>
      <c r="M3770" s="5">
        <v>3</v>
      </c>
      <c r="N3770" s="4">
        <v>0.1</v>
      </c>
      <c r="O3770" t="s">
        <v>34</v>
      </c>
    </row>
    <row r="3771" spans="1:15" x14ac:dyDescent="0.3">
      <c r="A3771" t="s">
        <v>1040</v>
      </c>
      <c r="B3771" s="5">
        <v>66</v>
      </c>
      <c r="C3771" s="5" t="str" cm="1">
        <f t="array" ref="C3771">_xlfn.IFS(worksheet[[#This Row],[age]]&lt;25,"1. Young Adulthood (18-24)",worksheet[[#This Row],[age]]&lt; 35,"2. Early Adulthood (25-34)",worksheet[[#This Row],[age]]&lt; 45,"3. Mid Adulthood (35-44)",worksheet[[#This Row],[age]]&lt; 55,"4. Mature Adulthood (45-54)",TRUE,"5. Late Adulthood/Senior (55+)")</f>
        <v>5. Late Adulthood/Senior (55+)</v>
      </c>
      <c r="D3771" t="s">
        <v>41</v>
      </c>
      <c r="E3771" t="s">
        <v>16</v>
      </c>
      <c r="F3771" s="4">
        <v>56.24</v>
      </c>
      <c r="G3771" s="5">
        <v>2</v>
      </c>
      <c r="H3771" t="s">
        <v>70</v>
      </c>
      <c r="I3771" t="s">
        <v>46</v>
      </c>
      <c r="J3771" s="6">
        <v>8.99</v>
      </c>
      <c r="K3771">
        <v>0</v>
      </c>
      <c r="L3771" t="s">
        <v>61</v>
      </c>
      <c r="M3771" s="5">
        <v>4</v>
      </c>
      <c r="N3771" s="4">
        <v>18.75</v>
      </c>
      <c r="O3771" t="s">
        <v>39</v>
      </c>
    </row>
    <row r="3772" spans="1:15" x14ac:dyDescent="0.3">
      <c r="A3772" t="s">
        <v>1043</v>
      </c>
      <c r="B3772" s="5">
        <v>62</v>
      </c>
      <c r="C3772" s="5" t="str" cm="1">
        <f t="array" ref="C3772">_xlfn.IFS(worksheet[[#This Row],[age]]&lt;25,"1. Young Adulthood (18-24)",worksheet[[#This Row],[age]]&lt; 35,"2. Early Adulthood (25-34)",worksheet[[#This Row],[age]]&lt; 45,"3. Mid Adulthood (35-44)",worksheet[[#This Row],[age]]&lt; 55,"4. Mature Adulthood (45-54)",TRUE,"5. Late Adulthood/Senior (55+)")</f>
        <v>5. Late Adulthood/Senior (55+)</v>
      </c>
      <c r="D3772" t="s">
        <v>27</v>
      </c>
      <c r="E3772" t="s">
        <v>16</v>
      </c>
      <c r="F3772" s="4">
        <v>9.41</v>
      </c>
      <c r="G3772" s="5">
        <v>31</v>
      </c>
      <c r="H3772" t="s">
        <v>28</v>
      </c>
      <c r="I3772" t="s">
        <v>18</v>
      </c>
      <c r="J3772" s="6">
        <v>8.99</v>
      </c>
      <c r="K3772">
        <v>1</v>
      </c>
      <c r="L3772" t="s">
        <v>61</v>
      </c>
      <c r="M3772" s="5">
        <v>1</v>
      </c>
      <c r="N3772" s="4">
        <v>0.28999999999999998</v>
      </c>
      <c r="O3772" t="s">
        <v>30</v>
      </c>
    </row>
    <row r="3773" spans="1:15" x14ac:dyDescent="0.3">
      <c r="A3773" t="s">
        <v>1045</v>
      </c>
      <c r="B3773" s="5">
        <v>61</v>
      </c>
      <c r="C3773" s="5" t="str" cm="1">
        <f t="array" ref="C3773">_xlfn.IFS(worksheet[[#This Row],[age]]&lt;25,"1. Young Adulthood (18-24)",worksheet[[#This Row],[age]]&lt; 35,"2. Early Adulthood (25-34)",worksheet[[#This Row],[age]]&lt; 45,"3. Mid Adulthood (35-44)",worksheet[[#This Row],[age]]&lt; 55,"4. Mature Adulthood (45-54)",TRUE,"5. Late Adulthood/Senior (55+)")</f>
        <v>5. Late Adulthood/Senior (55+)</v>
      </c>
      <c r="D3773" t="s">
        <v>27</v>
      </c>
      <c r="E3773" t="s">
        <v>22</v>
      </c>
      <c r="F3773" s="4">
        <v>39.090000000000003</v>
      </c>
      <c r="G3773" s="5">
        <v>5</v>
      </c>
      <c r="H3773" t="s">
        <v>23</v>
      </c>
      <c r="I3773" t="s">
        <v>57</v>
      </c>
      <c r="J3773" s="6">
        <v>13.99</v>
      </c>
      <c r="K3773">
        <v>0</v>
      </c>
      <c r="L3773" t="s">
        <v>43</v>
      </c>
      <c r="M3773" s="5">
        <v>1</v>
      </c>
      <c r="N3773" s="4">
        <v>6.52</v>
      </c>
      <c r="O3773" t="s">
        <v>52</v>
      </c>
    </row>
    <row r="3774" spans="1:15" x14ac:dyDescent="0.3">
      <c r="A3774" t="s">
        <v>1052</v>
      </c>
      <c r="B3774" s="5">
        <v>56</v>
      </c>
      <c r="C3774" s="5" t="str" cm="1">
        <f t="array" ref="C3774">_xlfn.IFS(worksheet[[#This Row],[age]]&lt;25,"1. Young Adulthood (18-24)",worksheet[[#This Row],[age]]&lt; 35,"2. Early Adulthood (25-34)",worksheet[[#This Row],[age]]&lt; 45,"3. Mid Adulthood (35-44)",worksheet[[#This Row],[age]]&lt; 55,"4. Mature Adulthood (45-54)",TRUE,"5. Late Adulthood/Senior (55+)")</f>
        <v>5. Late Adulthood/Senior (55+)</v>
      </c>
      <c r="D3774" t="s">
        <v>15</v>
      </c>
      <c r="E3774" t="s">
        <v>16</v>
      </c>
      <c r="F3774" s="4">
        <v>1.22</v>
      </c>
      <c r="G3774" s="5">
        <v>23</v>
      </c>
      <c r="H3774" t="s">
        <v>70</v>
      </c>
      <c r="I3774" t="s">
        <v>18</v>
      </c>
      <c r="J3774" s="6">
        <v>8.99</v>
      </c>
      <c r="K3774">
        <v>1</v>
      </c>
      <c r="L3774" t="s">
        <v>43</v>
      </c>
      <c r="M3774" s="5">
        <v>5</v>
      </c>
      <c r="N3774" s="4">
        <v>0.05</v>
      </c>
      <c r="O3774" t="s">
        <v>34</v>
      </c>
    </row>
    <row r="3775" spans="1:15" x14ac:dyDescent="0.3">
      <c r="A3775" t="s">
        <v>1057</v>
      </c>
      <c r="B3775" s="5">
        <v>62</v>
      </c>
      <c r="C3775" s="5" t="str" cm="1">
        <f t="array" ref="C3775">_xlfn.IFS(worksheet[[#This Row],[age]]&lt;25,"1. Young Adulthood (18-24)",worksheet[[#This Row],[age]]&lt; 35,"2. Early Adulthood (25-34)",worksheet[[#This Row],[age]]&lt; 45,"3. Mid Adulthood (35-44)",worksheet[[#This Row],[age]]&lt; 55,"4. Mature Adulthood (45-54)",TRUE,"5. Late Adulthood/Senior (55+)")</f>
        <v>5. Late Adulthood/Senior (55+)</v>
      </c>
      <c r="D3775" t="s">
        <v>15</v>
      </c>
      <c r="E3775" t="s">
        <v>32</v>
      </c>
      <c r="F3775" s="4">
        <v>10.02</v>
      </c>
      <c r="G3775" s="5">
        <v>33</v>
      </c>
      <c r="H3775" t="s">
        <v>17</v>
      </c>
      <c r="I3775" t="s">
        <v>18</v>
      </c>
      <c r="J3775" s="6">
        <v>17.989999999999998</v>
      </c>
      <c r="K3775">
        <v>1</v>
      </c>
      <c r="L3775" t="s">
        <v>43</v>
      </c>
      <c r="M3775" s="5">
        <v>2</v>
      </c>
      <c r="N3775" s="4">
        <v>0.28999999999999998</v>
      </c>
      <c r="O3775" t="s">
        <v>47</v>
      </c>
    </row>
    <row r="3776" spans="1:15" x14ac:dyDescent="0.3">
      <c r="A3776" t="s">
        <v>1060</v>
      </c>
      <c r="B3776" s="5">
        <v>62</v>
      </c>
      <c r="C3776" s="5" t="str" cm="1">
        <f t="array" ref="C3776">_xlfn.IFS(worksheet[[#This Row],[age]]&lt;25,"1. Young Adulthood (18-24)",worksheet[[#This Row],[age]]&lt; 35,"2. Early Adulthood (25-34)",worksheet[[#This Row],[age]]&lt; 45,"3. Mid Adulthood (35-44)",worksheet[[#This Row],[age]]&lt; 55,"4. Mature Adulthood (45-54)",TRUE,"5. Late Adulthood/Senior (55+)")</f>
        <v>5. Late Adulthood/Senior (55+)</v>
      </c>
      <c r="D3776" t="s">
        <v>27</v>
      </c>
      <c r="E3776" t="s">
        <v>16</v>
      </c>
      <c r="F3776" s="4">
        <v>12</v>
      </c>
      <c r="G3776" s="5">
        <v>27</v>
      </c>
      <c r="H3776" t="s">
        <v>28</v>
      </c>
      <c r="I3776" t="s">
        <v>18</v>
      </c>
      <c r="J3776" s="6">
        <v>8.99</v>
      </c>
      <c r="K3776">
        <v>1</v>
      </c>
      <c r="L3776" t="s">
        <v>29</v>
      </c>
      <c r="M3776" s="5">
        <v>2</v>
      </c>
      <c r="N3776" s="4">
        <v>0.43</v>
      </c>
      <c r="O3776" t="s">
        <v>30</v>
      </c>
    </row>
    <row r="3777" spans="1:15" x14ac:dyDescent="0.3">
      <c r="A3777" t="s">
        <v>1062</v>
      </c>
      <c r="B3777" s="5">
        <v>68</v>
      </c>
      <c r="C3777" s="5" t="str" cm="1">
        <f t="array" ref="C3777">_xlfn.IFS(worksheet[[#This Row],[age]]&lt;25,"1. Young Adulthood (18-24)",worksheet[[#This Row],[age]]&lt; 35,"2. Early Adulthood (25-34)",worksheet[[#This Row],[age]]&lt; 45,"3. Mid Adulthood (35-44)",worksheet[[#This Row],[age]]&lt; 55,"4. Mature Adulthood (45-54)",TRUE,"5. Late Adulthood/Senior (55+)")</f>
        <v>5. Late Adulthood/Senior (55+)</v>
      </c>
      <c r="D3777" t="s">
        <v>27</v>
      </c>
      <c r="E3777" t="s">
        <v>16</v>
      </c>
      <c r="F3777" s="4">
        <v>1.91</v>
      </c>
      <c r="G3777" s="5">
        <v>57</v>
      </c>
      <c r="H3777" t="s">
        <v>17</v>
      </c>
      <c r="I3777" t="s">
        <v>55</v>
      </c>
      <c r="J3777" s="6">
        <v>8.99</v>
      </c>
      <c r="K3777">
        <v>1</v>
      </c>
      <c r="L3777" t="s">
        <v>37</v>
      </c>
      <c r="M3777" s="5">
        <v>3</v>
      </c>
      <c r="N3777" s="4">
        <v>0.03</v>
      </c>
      <c r="O3777" t="s">
        <v>25</v>
      </c>
    </row>
    <row r="3778" spans="1:15" x14ac:dyDescent="0.3">
      <c r="A3778" t="s">
        <v>1065</v>
      </c>
      <c r="B3778" s="5">
        <v>64</v>
      </c>
      <c r="C3778" s="5" t="str" cm="1">
        <f t="array" ref="C3778">_xlfn.IFS(worksheet[[#This Row],[age]]&lt;25,"1. Young Adulthood (18-24)",worksheet[[#This Row],[age]]&lt; 35,"2. Early Adulthood (25-34)",worksheet[[#This Row],[age]]&lt; 45,"3. Mid Adulthood (35-44)",worksheet[[#This Row],[age]]&lt; 55,"4. Mature Adulthood (45-54)",TRUE,"5. Late Adulthood/Senior (55+)")</f>
        <v>5. Late Adulthood/Senior (55+)</v>
      </c>
      <c r="D3778" t="s">
        <v>41</v>
      </c>
      <c r="E3778" t="s">
        <v>22</v>
      </c>
      <c r="F3778" s="4">
        <v>46.62</v>
      </c>
      <c r="G3778" s="5">
        <v>48</v>
      </c>
      <c r="H3778" t="s">
        <v>28</v>
      </c>
      <c r="I3778" t="s">
        <v>46</v>
      </c>
      <c r="J3778" s="6">
        <v>13.99</v>
      </c>
      <c r="K3778">
        <v>0</v>
      </c>
      <c r="L3778" t="s">
        <v>43</v>
      </c>
      <c r="M3778" s="5">
        <v>3</v>
      </c>
      <c r="N3778" s="4">
        <v>0.95</v>
      </c>
      <c r="O3778" t="s">
        <v>34</v>
      </c>
    </row>
    <row r="3779" spans="1:15" x14ac:dyDescent="0.3">
      <c r="A3779" t="s">
        <v>1067</v>
      </c>
      <c r="B3779" s="5">
        <v>66</v>
      </c>
      <c r="C3779" s="5" t="str" cm="1">
        <f t="array" ref="C3779">_xlfn.IFS(worksheet[[#This Row],[age]]&lt;25,"1. Young Adulthood (18-24)",worksheet[[#This Row],[age]]&lt; 35,"2. Early Adulthood (25-34)",worksheet[[#This Row],[age]]&lt; 45,"3. Mid Adulthood (35-44)",worksheet[[#This Row],[age]]&lt; 55,"4. Mature Adulthood (45-54)",TRUE,"5. Late Adulthood/Senior (55+)")</f>
        <v>5. Late Adulthood/Senior (55+)</v>
      </c>
      <c r="D3779" t="s">
        <v>15</v>
      </c>
      <c r="E3779" t="s">
        <v>16</v>
      </c>
      <c r="F3779" s="4">
        <v>0.83</v>
      </c>
      <c r="G3779" s="5">
        <v>30</v>
      </c>
      <c r="H3779" t="s">
        <v>23</v>
      </c>
      <c r="I3779" t="s">
        <v>46</v>
      </c>
      <c r="J3779" s="6">
        <v>8.99</v>
      </c>
      <c r="K3779">
        <v>1</v>
      </c>
      <c r="L3779" t="s">
        <v>43</v>
      </c>
      <c r="M3779" s="5">
        <v>5</v>
      </c>
      <c r="N3779" s="4">
        <v>0.03</v>
      </c>
      <c r="O3779" t="s">
        <v>47</v>
      </c>
    </row>
    <row r="3780" spans="1:15" x14ac:dyDescent="0.3">
      <c r="A3780" t="s">
        <v>1068</v>
      </c>
      <c r="B3780" s="5">
        <v>59</v>
      </c>
      <c r="C3780" s="5" t="str" cm="1">
        <f t="array" ref="C3780">_xlfn.IFS(worksheet[[#This Row],[age]]&lt;25,"1. Young Adulthood (18-24)",worksheet[[#This Row],[age]]&lt; 35,"2. Early Adulthood (25-34)",worksheet[[#This Row],[age]]&lt; 45,"3. Mid Adulthood (35-44)",worksheet[[#This Row],[age]]&lt; 55,"4. Mature Adulthood (45-54)",TRUE,"5. Late Adulthood/Senior (55+)")</f>
        <v>5. Late Adulthood/Senior (55+)</v>
      </c>
      <c r="D3780" t="s">
        <v>27</v>
      </c>
      <c r="E3780" t="s">
        <v>32</v>
      </c>
      <c r="F3780" s="4">
        <v>4.67</v>
      </c>
      <c r="G3780" s="5">
        <v>13</v>
      </c>
      <c r="H3780" t="s">
        <v>33</v>
      </c>
      <c r="I3780" t="s">
        <v>24</v>
      </c>
      <c r="J3780" s="6">
        <v>17.989999999999998</v>
      </c>
      <c r="K3780">
        <v>0</v>
      </c>
      <c r="L3780" t="s">
        <v>43</v>
      </c>
      <c r="M3780" s="5">
        <v>5</v>
      </c>
      <c r="N3780" s="4">
        <v>0.33</v>
      </c>
      <c r="O3780" t="s">
        <v>20</v>
      </c>
    </row>
    <row r="3781" spans="1:15" x14ac:dyDescent="0.3">
      <c r="A3781" t="s">
        <v>1070</v>
      </c>
      <c r="B3781" s="5">
        <v>55</v>
      </c>
      <c r="C3781" s="5" t="str" cm="1">
        <f t="array" ref="C3781">_xlfn.IFS(worksheet[[#This Row],[age]]&lt;25,"1. Young Adulthood (18-24)",worksheet[[#This Row],[age]]&lt; 35,"2. Early Adulthood (25-34)",worksheet[[#This Row],[age]]&lt; 45,"3. Mid Adulthood (35-44)",worksheet[[#This Row],[age]]&lt; 55,"4. Mature Adulthood (45-54)",TRUE,"5. Late Adulthood/Senior (55+)")</f>
        <v>5. Late Adulthood/Senior (55+)</v>
      </c>
      <c r="D3781" t="s">
        <v>41</v>
      </c>
      <c r="E3781" t="s">
        <v>16</v>
      </c>
      <c r="F3781" s="4">
        <v>3.76</v>
      </c>
      <c r="G3781" s="5">
        <v>22</v>
      </c>
      <c r="H3781" t="s">
        <v>28</v>
      </c>
      <c r="I3781" t="s">
        <v>55</v>
      </c>
      <c r="J3781" s="6">
        <v>8.99</v>
      </c>
      <c r="K3781">
        <v>1</v>
      </c>
      <c r="L3781" t="s">
        <v>29</v>
      </c>
      <c r="M3781" s="5">
        <v>4</v>
      </c>
      <c r="N3781" s="4">
        <v>0.16</v>
      </c>
      <c r="O3781" t="s">
        <v>39</v>
      </c>
    </row>
    <row r="3782" spans="1:15" x14ac:dyDescent="0.3">
      <c r="A3782" t="s">
        <v>1073</v>
      </c>
      <c r="B3782" s="5">
        <v>63</v>
      </c>
      <c r="C3782" s="5" t="str" cm="1">
        <f t="array" ref="C3782">_xlfn.IFS(worksheet[[#This Row],[age]]&lt;25,"1. Young Adulthood (18-24)",worksheet[[#This Row],[age]]&lt; 35,"2. Early Adulthood (25-34)",worksheet[[#This Row],[age]]&lt; 45,"3. Mid Adulthood (35-44)",worksheet[[#This Row],[age]]&lt; 55,"4. Mature Adulthood (45-54)",TRUE,"5. Late Adulthood/Senior (55+)")</f>
        <v>5. Late Adulthood/Senior (55+)</v>
      </c>
      <c r="D3782" t="s">
        <v>27</v>
      </c>
      <c r="E3782" t="s">
        <v>32</v>
      </c>
      <c r="F3782" s="4">
        <v>15.93</v>
      </c>
      <c r="G3782" s="5">
        <v>31</v>
      </c>
      <c r="H3782" t="s">
        <v>33</v>
      </c>
      <c r="I3782" t="s">
        <v>24</v>
      </c>
      <c r="J3782" s="6">
        <v>17.989999999999998</v>
      </c>
      <c r="K3782">
        <v>0</v>
      </c>
      <c r="L3782" t="s">
        <v>43</v>
      </c>
      <c r="M3782" s="5">
        <v>3</v>
      </c>
      <c r="N3782" s="4">
        <v>0.5</v>
      </c>
      <c r="O3782" t="s">
        <v>52</v>
      </c>
    </row>
    <row r="3783" spans="1:15" x14ac:dyDescent="0.3">
      <c r="A3783" t="s">
        <v>1077</v>
      </c>
      <c r="B3783" s="5">
        <v>60</v>
      </c>
      <c r="C3783" s="5" t="str" cm="1">
        <f t="array" ref="C3783">_xlfn.IFS(worksheet[[#This Row],[age]]&lt;25,"1. Young Adulthood (18-24)",worksheet[[#This Row],[age]]&lt; 35,"2. Early Adulthood (25-34)",worksheet[[#This Row],[age]]&lt; 45,"3. Mid Adulthood (35-44)",worksheet[[#This Row],[age]]&lt; 55,"4. Mature Adulthood (45-54)",TRUE,"5. Late Adulthood/Senior (55+)")</f>
        <v>5. Late Adulthood/Senior (55+)</v>
      </c>
      <c r="D3783" t="s">
        <v>27</v>
      </c>
      <c r="E3783" t="s">
        <v>22</v>
      </c>
      <c r="F3783" s="4">
        <v>0.76</v>
      </c>
      <c r="G3783" s="5">
        <v>59</v>
      </c>
      <c r="H3783" t="s">
        <v>70</v>
      </c>
      <c r="I3783" t="s">
        <v>55</v>
      </c>
      <c r="J3783" s="6">
        <v>13.99</v>
      </c>
      <c r="K3783">
        <v>1</v>
      </c>
      <c r="L3783" t="s">
        <v>61</v>
      </c>
      <c r="M3783" s="5">
        <v>2</v>
      </c>
      <c r="N3783" s="4">
        <v>0.01</v>
      </c>
      <c r="O3783" t="s">
        <v>39</v>
      </c>
    </row>
    <row r="3784" spans="1:15" x14ac:dyDescent="0.3">
      <c r="A3784" t="s">
        <v>1079</v>
      </c>
      <c r="B3784" s="5">
        <v>67</v>
      </c>
      <c r="C3784" s="5" t="str" cm="1">
        <f t="array" ref="C3784">_xlfn.IFS(worksheet[[#This Row],[age]]&lt;25,"1. Young Adulthood (18-24)",worksheet[[#This Row],[age]]&lt; 35,"2. Early Adulthood (25-34)",worksheet[[#This Row],[age]]&lt; 45,"3. Mid Adulthood (35-44)",worksheet[[#This Row],[age]]&lt; 55,"4. Mature Adulthood (45-54)",TRUE,"5. Late Adulthood/Senior (55+)")</f>
        <v>5. Late Adulthood/Senior (55+)</v>
      </c>
      <c r="D3784" t="s">
        <v>27</v>
      </c>
      <c r="E3784" t="s">
        <v>32</v>
      </c>
      <c r="F3784" s="4">
        <v>5.4</v>
      </c>
      <c r="G3784" s="5">
        <v>3</v>
      </c>
      <c r="H3784" t="s">
        <v>28</v>
      </c>
      <c r="I3784" t="s">
        <v>24</v>
      </c>
      <c r="J3784" s="6">
        <v>17.989999999999998</v>
      </c>
      <c r="K3784">
        <v>0</v>
      </c>
      <c r="L3784" t="s">
        <v>43</v>
      </c>
      <c r="M3784" s="5">
        <v>2</v>
      </c>
      <c r="N3784" s="4">
        <v>1.35</v>
      </c>
      <c r="O3784" t="s">
        <v>25</v>
      </c>
    </row>
    <row r="3785" spans="1:15" x14ac:dyDescent="0.3">
      <c r="A3785" t="s">
        <v>1081</v>
      </c>
      <c r="B3785" s="5">
        <v>64</v>
      </c>
      <c r="C3785" s="5" t="str" cm="1">
        <f t="array" ref="C3785">_xlfn.IFS(worksheet[[#This Row],[age]]&lt;25,"1. Young Adulthood (18-24)",worksheet[[#This Row],[age]]&lt; 35,"2. Early Adulthood (25-34)",worksheet[[#This Row],[age]]&lt; 45,"3. Mid Adulthood (35-44)",worksheet[[#This Row],[age]]&lt; 55,"4. Mature Adulthood (45-54)",TRUE,"5. Late Adulthood/Senior (55+)")</f>
        <v>5. Late Adulthood/Senior (55+)</v>
      </c>
      <c r="D3785" t="s">
        <v>15</v>
      </c>
      <c r="E3785" t="s">
        <v>32</v>
      </c>
      <c r="F3785" s="4">
        <v>15</v>
      </c>
      <c r="G3785" s="5">
        <v>24</v>
      </c>
      <c r="H3785" t="s">
        <v>28</v>
      </c>
      <c r="I3785" t="s">
        <v>55</v>
      </c>
      <c r="J3785" s="6">
        <v>17.989999999999998</v>
      </c>
      <c r="K3785">
        <v>0</v>
      </c>
      <c r="L3785" t="s">
        <v>29</v>
      </c>
      <c r="M3785" s="5">
        <v>2</v>
      </c>
      <c r="N3785" s="4">
        <v>0.6</v>
      </c>
      <c r="O3785" t="s">
        <v>52</v>
      </c>
    </row>
    <row r="3786" spans="1:15" x14ac:dyDescent="0.3">
      <c r="A3786" t="s">
        <v>1084</v>
      </c>
      <c r="B3786" s="5">
        <v>64</v>
      </c>
      <c r="C3786" s="5" t="str" cm="1">
        <f t="array" ref="C3786">_xlfn.IFS(worksheet[[#This Row],[age]]&lt;25,"1. Young Adulthood (18-24)",worksheet[[#This Row],[age]]&lt; 35,"2. Early Adulthood (25-34)",worksheet[[#This Row],[age]]&lt; 45,"3. Mid Adulthood (35-44)",worksheet[[#This Row],[age]]&lt; 55,"4. Mature Adulthood (45-54)",TRUE,"5. Late Adulthood/Senior (55+)")</f>
        <v>5. Late Adulthood/Senior (55+)</v>
      </c>
      <c r="D3786" t="s">
        <v>41</v>
      </c>
      <c r="E3786" t="s">
        <v>22</v>
      </c>
      <c r="F3786" s="4">
        <v>8.35</v>
      </c>
      <c r="G3786" s="5">
        <v>32</v>
      </c>
      <c r="H3786" t="s">
        <v>17</v>
      </c>
      <c r="I3786" t="s">
        <v>18</v>
      </c>
      <c r="J3786" s="6">
        <v>13.99</v>
      </c>
      <c r="K3786">
        <v>1</v>
      </c>
      <c r="L3786" t="s">
        <v>61</v>
      </c>
      <c r="M3786" s="5">
        <v>2</v>
      </c>
      <c r="N3786" s="4">
        <v>0.25</v>
      </c>
      <c r="O3786" t="s">
        <v>20</v>
      </c>
    </row>
    <row r="3787" spans="1:15" x14ac:dyDescent="0.3">
      <c r="A3787" t="s">
        <v>1087</v>
      </c>
      <c r="B3787" s="5">
        <v>66</v>
      </c>
      <c r="C3787" s="5" t="str" cm="1">
        <f t="array" ref="C3787">_xlfn.IFS(worksheet[[#This Row],[age]]&lt;25,"1. Young Adulthood (18-24)",worksheet[[#This Row],[age]]&lt; 35,"2. Early Adulthood (25-34)",worksheet[[#This Row],[age]]&lt; 45,"3. Mid Adulthood (35-44)",worksheet[[#This Row],[age]]&lt; 55,"4. Mature Adulthood (45-54)",TRUE,"5. Late Adulthood/Senior (55+)")</f>
        <v>5. Late Adulthood/Senior (55+)</v>
      </c>
      <c r="D3787" t="s">
        <v>41</v>
      </c>
      <c r="E3787" t="s">
        <v>22</v>
      </c>
      <c r="F3787" s="4">
        <v>0.24</v>
      </c>
      <c r="G3787" s="5">
        <v>13</v>
      </c>
      <c r="H3787" t="s">
        <v>33</v>
      </c>
      <c r="I3787" t="s">
        <v>57</v>
      </c>
      <c r="J3787" s="6">
        <v>13.99</v>
      </c>
      <c r="K3787">
        <v>1</v>
      </c>
      <c r="L3787" t="s">
        <v>29</v>
      </c>
      <c r="M3787" s="5">
        <v>5</v>
      </c>
      <c r="N3787" s="4">
        <v>0.02</v>
      </c>
      <c r="O3787" t="s">
        <v>20</v>
      </c>
    </row>
    <row r="3788" spans="1:15" x14ac:dyDescent="0.3">
      <c r="A3788" t="s">
        <v>1088</v>
      </c>
      <c r="B3788" s="5">
        <v>57</v>
      </c>
      <c r="C3788" s="5" t="str" cm="1">
        <f t="array" ref="C3788">_xlfn.IFS(worksheet[[#This Row],[age]]&lt;25,"1. Young Adulthood (18-24)",worksheet[[#This Row],[age]]&lt; 35,"2. Early Adulthood (25-34)",worksheet[[#This Row],[age]]&lt; 45,"3. Mid Adulthood (35-44)",worksheet[[#This Row],[age]]&lt; 55,"4. Mature Adulthood (45-54)",TRUE,"5. Late Adulthood/Senior (55+)")</f>
        <v>5. Late Adulthood/Senior (55+)</v>
      </c>
      <c r="D3788" t="s">
        <v>41</v>
      </c>
      <c r="E3788" t="s">
        <v>32</v>
      </c>
      <c r="F3788" s="4">
        <v>20</v>
      </c>
      <c r="G3788" s="5">
        <v>41</v>
      </c>
      <c r="H3788" t="s">
        <v>49</v>
      </c>
      <c r="I3788" t="s">
        <v>46</v>
      </c>
      <c r="J3788" s="6">
        <v>17.989999999999998</v>
      </c>
      <c r="K3788">
        <v>1</v>
      </c>
      <c r="L3788" t="s">
        <v>37</v>
      </c>
      <c r="M3788" s="5">
        <v>2</v>
      </c>
      <c r="N3788" s="4">
        <v>0.48</v>
      </c>
      <c r="O3788" t="s">
        <v>30</v>
      </c>
    </row>
    <row r="3789" spans="1:15" x14ac:dyDescent="0.3">
      <c r="A3789" t="s">
        <v>1091</v>
      </c>
      <c r="B3789" s="5">
        <v>67</v>
      </c>
      <c r="C3789" s="5" t="str" cm="1">
        <f t="array" ref="C3789">_xlfn.IFS(worksheet[[#This Row],[age]]&lt;25,"1. Young Adulthood (18-24)",worksheet[[#This Row],[age]]&lt; 35,"2. Early Adulthood (25-34)",worksheet[[#This Row],[age]]&lt; 45,"3. Mid Adulthood (35-44)",worksheet[[#This Row],[age]]&lt; 55,"4. Mature Adulthood (45-54)",TRUE,"5. Late Adulthood/Senior (55+)")</f>
        <v>5. Late Adulthood/Senior (55+)</v>
      </c>
      <c r="D3789" t="s">
        <v>27</v>
      </c>
      <c r="E3789" t="s">
        <v>32</v>
      </c>
      <c r="F3789" s="4">
        <v>3.33</v>
      </c>
      <c r="G3789" s="5">
        <v>11</v>
      </c>
      <c r="H3789" t="s">
        <v>23</v>
      </c>
      <c r="I3789" t="s">
        <v>24</v>
      </c>
      <c r="J3789" s="6">
        <v>17.989999999999998</v>
      </c>
      <c r="K3789">
        <v>1</v>
      </c>
      <c r="L3789" t="s">
        <v>29</v>
      </c>
      <c r="M3789" s="5">
        <v>3</v>
      </c>
      <c r="N3789" s="4">
        <v>0.28000000000000003</v>
      </c>
      <c r="O3789" t="s">
        <v>20</v>
      </c>
    </row>
    <row r="3790" spans="1:15" x14ac:dyDescent="0.3">
      <c r="A3790" t="s">
        <v>1096</v>
      </c>
      <c r="B3790" s="5">
        <v>55</v>
      </c>
      <c r="C3790" s="5" t="str" cm="1">
        <f t="array" ref="C3790">_xlfn.IFS(worksheet[[#This Row],[age]]&lt;25,"1. Young Adulthood (18-24)",worksheet[[#This Row],[age]]&lt; 35,"2. Early Adulthood (25-34)",worksheet[[#This Row],[age]]&lt; 45,"3. Mid Adulthood (35-44)",worksheet[[#This Row],[age]]&lt; 55,"4. Mature Adulthood (45-54)",TRUE,"5. Late Adulthood/Senior (55+)")</f>
        <v>5. Late Adulthood/Senior (55+)</v>
      </c>
      <c r="D3790" t="s">
        <v>27</v>
      </c>
      <c r="E3790" t="s">
        <v>32</v>
      </c>
      <c r="F3790" s="4">
        <v>3.27</v>
      </c>
      <c r="G3790" s="5">
        <v>21</v>
      </c>
      <c r="H3790" t="s">
        <v>49</v>
      </c>
      <c r="I3790" t="s">
        <v>18</v>
      </c>
      <c r="J3790" s="6">
        <v>17.989999999999998</v>
      </c>
      <c r="K3790">
        <v>1</v>
      </c>
      <c r="L3790" t="s">
        <v>43</v>
      </c>
      <c r="M3790" s="5">
        <v>1</v>
      </c>
      <c r="N3790" s="4">
        <v>0.15</v>
      </c>
      <c r="O3790" t="s">
        <v>20</v>
      </c>
    </row>
    <row r="3791" spans="1:15" x14ac:dyDescent="0.3">
      <c r="A3791" t="s">
        <v>1100</v>
      </c>
      <c r="B3791" s="5">
        <v>59</v>
      </c>
      <c r="C3791" s="5" t="str" cm="1">
        <f t="array" ref="C3791">_xlfn.IFS(worksheet[[#This Row],[age]]&lt;25,"1. Young Adulthood (18-24)",worksheet[[#This Row],[age]]&lt; 35,"2. Early Adulthood (25-34)",worksheet[[#This Row],[age]]&lt; 45,"3. Mid Adulthood (35-44)",worksheet[[#This Row],[age]]&lt; 55,"4. Mature Adulthood (45-54)",TRUE,"5. Late Adulthood/Senior (55+)")</f>
        <v>5. Late Adulthood/Senior (55+)</v>
      </c>
      <c r="D3791" t="s">
        <v>27</v>
      </c>
      <c r="E3791" t="s">
        <v>32</v>
      </c>
      <c r="F3791" s="4">
        <v>8.86</v>
      </c>
      <c r="G3791" s="5">
        <v>35</v>
      </c>
      <c r="H3791" t="s">
        <v>17</v>
      </c>
      <c r="I3791" t="s">
        <v>46</v>
      </c>
      <c r="J3791" s="6">
        <v>17.989999999999998</v>
      </c>
      <c r="K3791">
        <v>0</v>
      </c>
      <c r="L3791" t="s">
        <v>37</v>
      </c>
      <c r="M3791" s="5">
        <v>5</v>
      </c>
      <c r="N3791" s="4">
        <v>0.25</v>
      </c>
      <c r="O3791" t="s">
        <v>30</v>
      </c>
    </row>
    <row r="3792" spans="1:15" x14ac:dyDescent="0.3">
      <c r="A3792" t="s">
        <v>1101</v>
      </c>
      <c r="B3792" s="5">
        <v>58</v>
      </c>
      <c r="C3792" s="5" t="str" cm="1">
        <f t="array" ref="C3792">_xlfn.IFS(worksheet[[#This Row],[age]]&lt;25,"1. Young Adulthood (18-24)",worksheet[[#This Row],[age]]&lt; 35,"2. Early Adulthood (25-34)",worksheet[[#This Row],[age]]&lt; 45,"3. Mid Adulthood (35-44)",worksheet[[#This Row],[age]]&lt; 55,"4. Mature Adulthood (45-54)",TRUE,"5. Late Adulthood/Senior (55+)")</f>
        <v>5. Late Adulthood/Senior (55+)</v>
      </c>
      <c r="D3792" t="s">
        <v>27</v>
      </c>
      <c r="E3792" t="s">
        <v>32</v>
      </c>
      <c r="F3792" s="4">
        <v>8.74</v>
      </c>
      <c r="G3792" s="5">
        <v>49</v>
      </c>
      <c r="H3792" t="s">
        <v>17</v>
      </c>
      <c r="I3792" t="s">
        <v>46</v>
      </c>
      <c r="J3792" s="6">
        <v>17.989999999999998</v>
      </c>
      <c r="K3792">
        <v>1</v>
      </c>
      <c r="L3792" t="s">
        <v>37</v>
      </c>
      <c r="M3792" s="5">
        <v>1</v>
      </c>
      <c r="N3792" s="4">
        <v>0.17</v>
      </c>
      <c r="O3792" t="s">
        <v>39</v>
      </c>
    </row>
    <row r="3793" spans="1:15" x14ac:dyDescent="0.3">
      <c r="A3793" t="s">
        <v>1104</v>
      </c>
      <c r="B3793" s="5">
        <v>62</v>
      </c>
      <c r="C3793" s="5" t="str" cm="1">
        <f t="array" ref="C3793">_xlfn.IFS(worksheet[[#This Row],[age]]&lt;25,"1. Young Adulthood (18-24)",worksheet[[#This Row],[age]]&lt; 35,"2. Early Adulthood (25-34)",worksheet[[#This Row],[age]]&lt; 45,"3. Mid Adulthood (35-44)",worksheet[[#This Row],[age]]&lt; 55,"4. Mature Adulthood (45-54)",TRUE,"5. Late Adulthood/Senior (55+)")</f>
        <v>5. Late Adulthood/Senior (55+)</v>
      </c>
      <c r="D3793" t="s">
        <v>41</v>
      </c>
      <c r="E3793" t="s">
        <v>16</v>
      </c>
      <c r="F3793" s="4">
        <v>7.12</v>
      </c>
      <c r="G3793" s="5">
        <v>10</v>
      </c>
      <c r="H3793" t="s">
        <v>70</v>
      </c>
      <c r="I3793" t="s">
        <v>55</v>
      </c>
      <c r="J3793" s="6">
        <v>8.99</v>
      </c>
      <c r="K3793">
        <v>0</v>
      </c>
      <c r="L3793" t="s">
        <v>19</v>
      </c>
      <c r="M3793" s="5">
        <v>1</v>
      </c>
      <c r="N3793" s="4">
        <v>0.65</v>
      </c>
      <c r="O3793" t="s">
        <v>30</v>
      </c>
    </row>
    <row r="3794" spans="1:15" x14ac:dyDescent="0.3">
      <c r="A3794" t="s">
        <v>1108</v>
      </c>
      <c r="B3794" s="5">
        <v>69</v>
      </c>
      <c r="C3794" s="5" t="str" cm="1">
        <f t="array" ref="C3794">_xlfn.IFS(worksheet[[#This Row],[age]]&lt;25,"1. Young Adulthood (18-24)",worksheet[[#This Row],[age]]&lt; 35,"2. Early Adulthood (25-34)",worksheet[[#This Row],[age]]&lt; 45,"3. Mid Adulthood (35-44)",worksheet[[#This Row],[age]]&lt; 55,"4. Mature Adulthood (45-54)",TRUE,"5. Late Adulthood/Senior (55+)")</f>
        <v>5. Late Adulthood/Senior (55+)</v>
      </c>
      <c r="D3794" t="s">
        <v>15</v>
      </c>
      <c r="E3794" t="s">
        <v>32</v>
      </c>
      <c r="F3794" s="4">
        <v>20.85</v>
      </c>
      <c r="G3794" s="5">
        <v>57</v>
      </c>
      <c r="H3794" t="s">
        <v>70</v>
      </c>
      <c r="I3794" t="s">
        <v>46</v>
      </c>
      <c r="J3794" s="6">
        <v>17.989999999999998</v>
      </c>
      <c r="K3794">
        <v>0</v>
      </c>
      <c r="L3794" t="s">
        <v>19</v>
      </c>
      <c r="M3794" s="5">
        <v>4</v>
      </c>
      <c r="N3794" s="4">
        <v>0.36</v>
      </c>
      <c r="O3794" t="s">
        <v>30</v>
      </c>
    </row>
    <row r="3795" spans="1:15" x14ac:dyDescent="0.3">
      <c r="A3795" t="s">
        <v>1109</v>
      </c>
      <c r="B3795" s="5">
        <v>55</v>
      </c>
      <c r="C3795" s="5" t="str" cm="1">
        <f t="array" ref="C3795">_xlfn.IFS(worksheet[[#This Row],[age]]&lt;25,"1. Young Adulthood (18-24)",worksheet[[#This Row],[age]]&lt; 35,"2. Early Adulthood (25-34)",worksheet[[#This Row],[age]]&lt; 45,"3. Mid Adulthood (35-44)",worksheet[[#This Row],[age]]&lt; 55,"4. Mature Adulthood (45-54)",TRUE,"5. Late Adulthood/Senior (55+)")</f>
        <v>5. Late Adulthood/Senior (55+)</v>
      </c>
      <c r="D3795" t="s">
        <v>15</v>
      </c>
      <c r="E3795" t="s">
        <v>32</v>
      </c>
      <c r="F3795" s="4">
        <v>14.3</v>
      </c>
      <c r="G3795" s="5">
        <v>32</v>
      </c>
      <c r="H3795" t="s">
        <v>17</v>
      </c>
      <c r="I3795" t="s">
        <v>18</v>
      </c>
      <c r="J3795" s="6">
        <v>17.989999999999998</v>
      </c>
      <c r="K3795">
        <v>1</v>
      </c>
      <c r="L3795" t="s">
        <v>19</v>
      </c>
      <c r="M3795" s="5">
        <v>5</v>
      </c>
      <c r="N3795" s="4">
        <v>0.43</v>
      </c>
      <c r="O3795" t="s">
        <v>30</v>
      </c>
    </row>
    <row r="3796" spans="1:15" x14ac:dyDescent="0.3">
      <c r="A3796" t="s">
        <v>1115</v>
      </c>
      <c r="B3796" s="5">
        <v>60</v>
      </c>
      <c r="C3796" s="5" t="str" cm="1">
        <f t="array" ref="C3796">_xlfn.IFS(worksheet[[#This Row],[age]]&lt;25,"1. Young Adulthood (18-24)",worksheet[[#This Row],[age]]&lt; 35,"2. Early Adulthood (25-34)",worksheet[[#This Row],[age]]&lt; 45,"3. Mid Adulthood (35-44)",worksheet[[#This Row],[age]]&lt; 55,"4. Mature Adulthood (45-54)",TRUE,"5. Late Adulthood/Senior (55+)")</f>
        <v>5. Late Adulthood/Senior (55+)</v>
      </c>
      <c r="D3796" t="s">
        <v>41</v>
      </c>
      <c r="E3796" t="s">
        <v>32</v>
      </c>
      <c r="F3796" s="4">
        <v>2.52</v>
      </c>
      <c r="G3796" s="5">
        <v>32</v>
      </c>
      <c r="H3796" t="s">
        <v>28</v>
      </c>
      <c r="I3796" t="s">
        <v>57</v>
      </c>
      <c r="J3796" s="6">
        <v>17.989999999999998</v>
      </c>
      <c r="K3796">
        <v>1</v>
      </c>
      <c r="L3796" t="s">
        <v>43</v>
      </c>
      <c r="M3796" s="5">
        <v>4</v>
      </c>
      <c r="N3796" s="4">
        <v>0.08</v>
      </c>
      <c r="O3796" t="s">
        <v>30</v>
      </c>
    </row>
    <row r="3797" spans="1:15" x14ac:dyDescent="0.3">
      <c r="A3797" t="s">
        <v>1116</v>
      </c>
      <c r="B3797" s="5">
        <v>68</v>
      </c>
      <c r="C3797" s="5" t="str" cm="1">
        <f t="array" ref="C3797">_xlfn.IFS(worksheet[[#This Row],[age]]&lt;25,"1. Young Adulthood (18-24)",worksheet[[#This Row],[age]]&lt; 35,"2. Early Adulthood (25-34)",worksheet[[#This Row],[age]]&lt; 45,"3. Mid Adulthood (35-44)",worksheet[[#This Row],[age]]&lt; 55,"4. Mature Adulthood (45-54)",TRUE,"5. Late Adulthood/Senior (55+)")</f>
        <v>5. Late Adulthood/Senior (55+)</v>
      </c>
      <c r="D3797" t="s">
        <v>41</v>
      </c>
      <c r="E3797" t="s">
        <v>22</v>
      </c>
      <c r="F3797" s="4">
        <v>1.68</v>
      </c>
      <c r="G3797" s="5">
        <v>33</v>
      </c>
      <c r="H3797" t="s">
        <v>17</v>
      </c>
      <c r="I3797" t="s">
        <v>55</v>
      </c>
      <c r="J3797" s="6">
        <v>13.99</v>
      </c>
      <c r="K3797">
        <v>1</v>
      </c>
      <c r="L3797" t="s">
        <v>61</v>
      </c>
      <c r="M3797" s="5">
        <v>3</v>
      </c>
      <c r="N3797" s="4">
        <v>0.05</v>
      </c>
      <c r="O3797" t="s">
        <v>30</v>
      </c>
    </row>
    <row r="3798" spans="1:15" x14ac:dyDescent="0.3">
      <c r="A3798" t="s">
        <v>1119</v>
      </c>
      <c r="B3798" s="5">
        <v>65</v>
      </c>
      <c r="C3798" s="5" t="str" cm="1">
        <f t="array" ref="C3798">_xlfn.IFS(worksheet[[#This Row],[age]]&lt;25,"1. Young Adulthood (18-24)",worksheet[[#This Row],[age]]&lt; 35,"2. Early Adulthood (25-34)",worksheet[[#This Row],[age]]&lt; 45,"3. Mid Adulthood (35-44)",worksheet[[#This Row],[age]]&lt; 55,"4. Mature Adulthood (45-54)",TRUE,"5. Late Adulthood/Senior (55+)")</f>
        <v>5. Late Adulthood/Senior (55+)</v>
      </c>
      <c r="D3798" t="s">
        <v>27</v>
      </c>
      <c r="E3798" t="s">
        <v>16</v>
      </c>
      <c r="F3798" s="4">
        <v>3.46</v>
      </c>
      <c r="G3798" s="5">
        <v>48</v>
      </c>
      <c r="H3798" t="s">
        <v>33</v>
      </c>
      <c r="I3798" t="s">
        <v>57</v>
      </c>
      <c r="J3798" s="6">
        <v>8.99</v>
      </c>
      <c r="K3798">
        <v>1</v>
      </c>
      <c r="L3798" t="s">
        <v>61</v>
      </c>
      <c r="M3798" s="5">
        <v>4</v>
      </c>
      <c r="N3798" s="4">
        <v>7.0000000000000007E-2</v>
      </c>
      <c r="O3798" t="s">
        <v>30</v>
      </c>
    </row>
    <row r="3799" spans="1:15" x14ac:dyDescent="0.3">
      <c r="A3799" t="s">
        <v>1121</v>
      </c>
      <c r="B3799" s="5">
        <v>61</v>
      </c>
      <c r="C3799" s="5" t="str" cm="1">
        <f t="array" ref="C3799">_xlfn.IFS(worksheet[[#This Row],[age]]&lt;25,"1. Young Adulthood (18-24)",worksheet[[#This Row],[age]]&lt; 35,"2. Early Adulthood (25-34)",worksheet[[#This Row],[age]]&lt; 45,"3. Mid Adulthood (35-44)",worksheet[[#This Row],[age]]&lt; 55,"4. Mature Adulthood (45-54)",TRUE,"5. Late Adulthood/Senior (55+)")</f>
        <v>5. Late Adulthood/Senior (55+)</v>
      </c>
      <c r="D3799" t="s">
        <v>15</v>
      </c>
      <c r="E3799" t="s">
        <v>32</v>
      </c>
      <c r="F3799" s="4">
        <v>2.2200000000000002</v>
      </c>
      <c r="G3799" s="5">
        <v>43</v>
      </c>
      <c r="H3799" t="s">
        <v>28</v>
      </c>
      <c r="I3799" t="s">
        <v>18</v>
      </c>
      <c r="J3799" s="6">
        <v>17.989999999999998</v>
      </c>
      <c r="K3799">
        <v>1</v>
      </c>
      <c r="L3799" t="s">
        <v>19</v>
      </c>
      <c r="M3799" s="5">
        <v>4</v>
      </c>
      <c r="N3799" s="4">
        <v>0.05</v>
      </c>
      <c r="O3799" t="s">
        <v>52</v>
      </c>
    </row>
    <row r="3800" spans="1:15" x14ac:dyDescent="0.3">
      <c r="A3800" t="s">
        <v>1122</v>
      </c>
      <c r="B3800" s="5">
        <v>68</v>
      </c>
      <c r="C3800" s="5" t="str" cm="1">
        <f t="array" ref="C3800">_xlfn.IFS(worksheet[[#This Row],[age]]&lt;25,"1. Young Adulthood (18-24)",worksheet[[#This Row],[age]]&lt; 35,"2. Early Adulthood (25-34)",worksheet[[#This Row],[age]]&lt; 45,"3. Mid Adulthood (35-44)",worksheet[[#This Row],[age]]&lt; 55,"4. Mature Adulthood (45-54)",TRUE,"5. Late Adulthood/Senior (55+)")</f>
        <v>5. Late Adulthood/Senior (55+)</v>
      </c>
      <c r="D3800" t="s">
        <v>27</v>
      </c>
      <c r="E3800" t="s">
        <v>32</v>
      </c>
      <c r="F3800" s="4">
        <v>27.23</v>
      </c>
      <c r="G3800" s="5">
        <v>53</v>
      </c>
      <c r="H3800" t="s">
        <v>70</v>
      </c>
      <c r="I3800" t="s">
        <v>55</v>
      </c>
      <c r="J3800" s="6">
        <v>17.989999999999998</v>
      </c>
      <c r="K3800">
        <v>0</v>
      </c>
      <c r="L3800" t="s">
        <v>19</v>
      </c>
      <c r="M3800" s="5">
        <v>3</v>
      </c>
      <c r="N3800" s="4">
        <v>0.5</v>
      </c>
      <c r="O3800" t="s">
        <v>52</v>
      </c>
    </row>
    <row r="3801" spans="1:15" x14ac:dyDescent="0.3">
      <c r="A3801" t="s">
        <v>1126</v>
      </c>
      <c r="B3801" s="5">
        <v>63</v>
      </c>
      <c r="C3801" s="5" t="str" cm="1">
        <f t="array" ref="C3801">_xlfn.IFS(worksheet[[#This Row],[age]]&lt;25,"1. Young Adulthood (18-24)",worksheet[[#This Row],[age]]&lt; 35,"2. Early Adulthood (25-34)",worksheet[[#This Row],[age]]&lt; 45,"3. Mid Adulthood (35-44)",worksheet[[#This Row],[age]]&lt; 55,"4. Mature Adulthood (45-54)",TRUE,"5. Late Adulthood/Senior (55+)")</f>
        <v>5. Late Adulthood/Senior (55+)</v>
      </c>
      <c r="D3801" t="s">
        <v>27</v>
      </c>
      <c r="E3801" t="s">
        <v>16</v>
      </c>
      <c r="F3801" s="4">
        <v>3.65</v>
      </c>
      <c r="G3801" s="5">
        <v>55</v>
      </c>
      <c r="H3801" t="s">
        <v>49</v>
      </c>
      <c r="I3801" t="s">
        <v>55</v>
      </c>
      <c r="J3801" s="6">
        <v>8.99</v>
      </c>
      <c r="K3801">
        <v>1</v>
      </c>
      <c r="L3801" t="s">
        <v>29</v>
      </c>
      <c r="M3801" s="5">
        <v>5</v>
      </c>
      <c r="N3801" s="4">
        <v>7.0000000000000007E-2</v>
      </c>
      <c r="O3801" t="s">
        <v>47</v>
      </c>
    </row>
    <row r="3802" spans="1:15" x14ac:dyDescent="0.3">
      <c r="A3802" t="s">
        <v>1127</v>
      </c>
      <c r="B3802" s="5">
        <v>59</v>
      </c>
      <c r="C3802" s="5" t="str" cm="1">
        <f t="array" ref="C3802">_xlfn.IFS(worksheet[[#This Row],[age]]&lt;25,"1. Young Adulthood (18-24)",worksheet[[#This Row],[age]]&lt; 35,"2. Early Adulthood (25-34)",worksheet[[#This Row],[age]]&lt; 45,"3. Mid Adulthood (35-44)",worksheet[[#This Row],[age]]&lt; 55,"4. Mature Adulthood (45-54)",TRUE,"5. Late Adulthood/Senior (55+)")</f>
        <v>5. Late Adulthood/Senior (55+)</v>
      </c>
      <c r="D3802" t="s">
        <v>15</v>
      </c>
      <c r="E3802" t="s">
        <v>16</v>
      </c>
      <c r="F3802" s="4">
        <v>10.87</v>
      </c>
      <c r="G3802" s="5">
        <v>31</v>
      </c>
      <c r="H3802" t="s">
        <v>49</v>
      </c>
      <c r="I3802" t="s">
        <v>46</v>
      </c>
      <c r="J3802" s="6">
        <v>8.99</v>
      </c>
      <c r="K3802">
        <v>1</v>
      </c>
      <c r="L3802" t="s">
        <v>37</v>
      </c>
      <c r="M3802" s="5">
        <v>4</v>
      </c>
      <c r="N3802" s="4">
        <v>0.34</v>
      </c>
      <c r="O3802" t="s">
        <v>47</v>
      </c>
    </row>
    <row r="3803" spans="1:15" x14ac:dyDescent="0.3">
      <c r="A3803" t="s">
        <v>1129</v>
      </c>
      <c r="B3803" s="5">
        <v>62</v>
      </c>
      <c r="C3803" s="5" t="str" cm="1">
        <f t="array" ref="C3803">_xlfn.IFS(worksheet[[#This Row],[age]]&lt;25,"1. Young Adulthood (18-24)",worksheet[[#This Row],[age]]&lt; 35,"2. Early Adulthood (25-34)",worksheet[[#This Row],[age]]&lt; 45,"3. Mid Adulthood (35-44)",worksheet[[#This Row],[age]]&lt; 55,"4. Mature Adulthood (45-54)",TRUE,"5. Late Adulthood/Senior (55+)")</f>
        <v>5. Late Adulthood/Senior (55+)</v>
      </c>
      <c r="D3803" t="s">
        <v>41</v>
      </c>
      <c r="E3803" t="s">
        <v>32</v>
      </c>
      <c r="F3803" s="4">
        <v>2.68</v>
      </c>
      <c r="G3803" s="5">
        <v>55</v>
      </c>
      <c r="H3803" t="s">
        <v>17</v>
      </c>
      <c r="I3803" t="s">
        <v>18</v>
      </c>
      <c r="J3803" s="6">
        <v>17.989999999999998</v>
      </c>
      <c r="K3803">
        <v>1</v>
      </c>
      <c r="L3803" t="s">
        <v>19</v>
      </c>
      <c r="M3803" s="5">
        <v>1</v>
      </c>
      <c r="N3803" s="4">
        <v>0.05</v>
      </c>
      <c r="O3803" t="s">
        <v>20</v>
      </c>
    </row>
    <row r="3804" spans="1:15" x14ac:dyDescent="0.3">
      <c r="A3804" t="s">
        <v>1132</v>
      </c>
      <c r="B3804" s="5">
        <v>64</v>
      </c>
      <c r="C3804" s="5" t="str" cm="1">
        <f t="array" ref="C3804">_xlfn.IFS(worksheet[[#This Row],[age]]&lt;25,"1. Young Adulthood (18-24)",worksheet[[#This Row],[age]]&lt; 35,"2. Early Adulthood (25-34)",worksheet[[#This Row],[age]]&lt; 45,"3. Mid Adulthood (35-44)",worksheet[[#This Row],[age]]&lt; 55,"4. Mature Adulthood (45-54)",TRUE,"5. Late Adulthood/Senior (55+)")</f>
        <v>5. Late Adulthood/Senior (55+)</v>
      </c>
      <c r="D3804" t="s">
        <v>41</v>
      </c>
      <c r="E3804" t="s">
        <v>22</v>
      </c>
      <c r="F3804" s="4">
        <v>22.72</v>
      </c>
      <c r="G3804" s="5">
        <v>32</v>
      </c>
      <c r="H3804" t="s">
        <v>70</v>
      </c>
      <c r="I3804" t="s">
        <v>46</v>
      </c>
      <c r="J3804" s="6">
        <v>13.99</v>
      </c>
      <c r="K3804">
        <v>0</v>
      </c>
      <c r="L3804" t="s">
        <v>43</v>
      </c>
      <c r="M3804" s="5">
        <v>1</v>
      </c>
      <c r="N3804" s="4">
        <v>0.69</v>
      </c>
      <c r="O3804" t="s">
        <v>39</v>
      </c>
    </row>
    <row r="3805" spans="1:15" x14ac:dyDescent="0.3">
      <c r="A3805" t="s">
        <v>1135</v>
      </c>
      <c r="B3805" s="5">
        <v>60</v>
      </c>
      <c r="C3805" s="5" t="str" cm="1">
        <f t="array" ref="C3805">_xlfn.IFS(worksheet[[#This Row],[age]]&lt;25,"1. Young Adulthood (18-24)",worksheet[[#This Row],[age]]&lt; 35,"2. Early Adulthood (25-34)",worksheet[[#This Row],[age]]&lt; 45,"3. Mid Adulthood (35-44)",worksheet[[#This Row],[age]]&lt; 55,"4. Mature Adulthood (45-54)",TRUE,"5. Late Adulthood/Senior (55+)")</f>
        <v>5. Late Adulthood/Senior (55+)</v>
      </c>
      <c r="D3805" t="s">
        <v>27</v>
      </c>
      <c r="E3805" t="s">
        <v>22</v>
      </c>
      <c r="F3805" s="4">
        <v>17.420000000000002</v>
      </c>
      <c r="G3805" s="5">
        <v>27</v>
      </c>
      <c r="H3805" t="s">
        <v>28</v>
      </c>
      <c r="I3805" t="s">
        <v>55</v>
      </c>
      <c r="J3805" s="6">
        <v>13.99</v>
      </c>
      <c r="K3805">
        <v>0</v>
      </c>
      <c r="L3805" t="s">
        <v>61</v>
      </c>
      <c r="M3805" s="5">
        <v>5</v>
      </c>
      <c r="N3805" s="4">
        <v>0.62</v>
      </c>
      <c r="O3805" t="s">
        <v>20</v>
      </c>
    </row>
    <row r="3806" spans="1:15" x14ac:dyDescent="0.3">
      <c r="A3806" t="s">
        <v>1136</v>
      </c>
      <c r="B3806" s="5">
        <v>56</v>
      </c>
      <c r="C3806" s="5" t="str" cm="1">
        <f t="array" ref="C3806">_xlfn.IFS(worksheet[[#This Row],[age]]&lt;25,"1. Young Adulthood (18-24)",worksheet[[#This Row],[age]]&lt; 35,"2. Early Adulthood (25-34)",worksheet[[#This Row],[age]]&lt; 45,"3. Mid Adulthood (35-44)",worksheet[[#This Row],[age]]&lt; 55,"4. Mature Adulthood (45-54)",TRUE,"5. Late Adulthood/Senior (55+)")</f>
        <v>5. Late Adulthood/Senior (55+)</v>
      </c>
      <c r="D3806" t="s">
        <v>27</v>
      </c>
      <c r="E3806" t="s">
        <v>32</v>
      </c>
      <c r="F3806" s="4">
        <v>10.220000000000001</v>
      </c>
      <c r="G3806" s="5">
        <v>56</v>
      </c>
      <c r="H3806" t="s">
        <v>17</v>
      </c>
      <c r="I3806" t="s">
        <v>18</v>
      </c>
      <c r="J3806" s="6">
        <v>17.989999999999998</v>
      </c>
      <c r="K3806">
        <v>0</v>
      </c>
      <c r="L3806" t="s">
        <v>37</v>
      </c>
      <c r="M3806" s="5">
        <v>5</v>
      </c>
      <c r="N3806" s="4">
        <v>0.18</v>
      </c>
      <c r="O3806" t="s">
        <v>30</v>
      </c>
    </row>
    <row r="3807" spans="1:15" x14ac:dyDescent="0.3">
      <c r="A3807" t="s">
        <v>1140</v>
      </c>
      <c r="B3807" s="5">
        <v>57</v>
      </c>
      <c r="C3807" s="5" t="str" cm="1">
        <f t="array" ref="C3807">_xlfn.IFS(worksheet[[#This Row],[age]]&lt;25,"1. Young Adulthood (18-24)",worksheet[[#This Row],[age]]&lt; 35,"2. Early Adulthood (25-34)",worksheet[[#This Row],[age]]&lt; 45,"3. Mid Adulthood (35-44)",worksheet[[#This Row],[age]]&lt; 55,"4. Mature Adulthood (45-54)",TRUE,"5. Late Adulthood/Senior (55+)")</f>
        <v>5. Late Adulthood/Senior (55+)</v>
      </c>
      <c r="D3807" t="s">
        <v>27</v>
      </c>
      <c r="E3807" t="s">
        <v>32</v>
      </c>
      <c r="F3807" s="4">
        <v>19.3</v>
      </c>
      <c r="G3807" s="5">
        <v>42</v>
      </c>
      <c r="H3807" t="s">
        <v>23</v>
      </c>
      <c r="I3807" t="s">
        <v>55</v>
      </c>
      <c r="J3807" s="6">
        <v>17.989999999999998</v>
      </c>
      <c r="K3807">
        <v>1</v>
      </c>
      <c r="L3807" t="s">
        <v>19</v>
      </c>
      <c r="M3807" s="5">
        <v>4</v>
      </c>
      <c r="N3807" s="4">
        <v>0.45</v>
      </c>
      <c r="O3807" t="s">
        <v>39</v>
      </c>
    </row>
    <row r="3808" spans="1:15" x14ac:dyDescent="0.3">
      <c r="A3808" t="s">
        <v>1141</v>
      </c>
      <c r="B3808" s="5">
        <v>61</v>
      </c>
      <c r="C3808" s="5" t="str" cm="1">
        <f t="array" ref="C3808">_xlfn.IFS(worksheet[[#This Row],[age]]&lt;25,"1. Young Adulthood (18-24)",worksheet[[#This Row],[age]]&lt; 35,"2. Early Adulthood (25-34)",worksheet[[#This Row],[age]]&lt; 45,"3. Mid Adulthood (35-44)",worksheet[[#This Row],[age]]&lt; 55,"4. Mature Adulthood (45-54)",TRUE,"5. Late Adulthood/Senior (55+)")</f>
        <v>5. Late Adulthood/Senior (55+)</v>
      </c>
      <c r="D3808" t="s">
        <v>41</v>
      </c>
      <c r="E3808" t="s">
        <v>32</v>
      </c>
      <c r="F3808" s="4">
        <v>34.86</v>
      </c>
      <c r="G3808" s="5">
        <v>23</v>
      </c>
      <c r="H3808" t="s">
        <v>33</v>
      </c>
      <c r="I3808" t="s">
        <v>24</v>
      </c>
      <c r="J3808" s="6">
        <v>17.989999999999998</v>
      </c>
      <c r="K3808">
        <v>0</v>
      </c>
      <c r="L3808" t="s">
        <v>29</v>
      </c>
      <c r="M3808" s="5">
        <v>3</v>
      </c>
      <c r="N3808" s="4">
        <v>1.45</v>
      </c>
      <c r="O3808" t="s">
        <v>52</v>
      </c>
    </row>
    <row r="3809" spans="1:15" x14ac:dyDescent="0.3">
      <c r="A3809" t="s">
        <v>1144</v>
      </c>
      <c r="B3809" s="5">
        <v>68</v>
      </c>
      <c r="C3809" s="5" t="str" cm="1">
        <f t="array" ref="C3809">_xlfn.IFS(worksheet[[#This Row],[age]]&lt;25,"1. Young Adulthood (18-24)",worksheet[[#This Row],[age]]&lt; 35,"2. Early Adulthood (25-34)",worksheet[[#This Row],[age]]&lt; 45,"3. Mid Adulthood (35-44)",worksheet[[#This Row],[age]]&lt; 55,"4. Mature Adulthood (45-54)",TRUE,"5. Late Adulthood/Senior (55+)")</f>
        <v>5. Late Adulthood/Senior (55+)</v>
      </c>
      <c r="D3809" t="s">
        <v>27</v>
      </c>
      <c r="E3809" t="s">
        <v>22</v>
      </c>
      <c r="F3809" s="4">
        <v>81.069999999999993</v>
      </c>
      <c r="G3809" s="5">
        <v>42</v>
      </c>
      <c r="H3809" t="s">
        <v>70</v>
      </c>
      <c r="I3809" t="s">
        <v>46</v>
      </c>
      <c r="J3809" s="6">
        <v>13.99</v>
      </c>
      <c r="K3809">
        <v>0</v>
      </c>
      <c r="L3809" t="s">
        <v>37</v>
      </c>
      <c r="M3809" s="5">
        <v>1</v>
      </c>
      <c r="N3809" s="4">
        <v>1.89</v>
      </c>
      <c r="O3809" t="s">
        <v>52</v>
      </c>
    </row>
    <row r="3810" spans="1:15" x14ac:dyDescent="0.3">
      <c r="A3810" t="s">
        <v>1147</v>
      </c>
      <c r="B3810" s="5">
        <v>59</v>
      </c>
      <c r="C3810" s="5" t="str" cm="1">
        <f t="array" ref="C3810">_xlfn.IFS(worksheet[[#This Row],[age]]&lt;25,"1. Young Adulthood (18-24)",worksheet[[#This Row],[age]]&lt; 35,"2. Early Adulthood (25-34)",worksheet[[#This Row],[age]]&lt; 45,"3. Mid Adulthood (35-44)",worksheet[[#This Row],[age]]&lt; 55,"4. Mature Adulthood (45-54)",TRUE,"5. Late Adulthood/Senior (55+)")</f>
        <v>5. Late Adulthood/Senior (55+)</v>
      </c>
      <c r="D3810" t="s">
        <v>15</v>
      </c>
      <c r="E3810" t="s">
        <v>16</v>
      </c>
      <c r="F3810" s="4">
        <v>14.32</v>
      </c>
      <c r="G3810" s="5">
        <v>47</v>
      </c>
      <c r="H3810" t="s">
        <v>49</v>
      </c>
      <c r="I3810" t="s">
        <v>46</v>
      </c>
      <c r="J3810" s="6">
        <v>8.99</v>
      </c>
      <c r="K3810">
        <v>1</v>
      </c>
      <c r="L3810" t="s">
        <v>61</v>
      </c>
      <c r="M3810" s="5">
        <v>1</v>
      </c>
      <c r="N3810" s="4">
        <v>0.3</v>
      </c>
      <c r="O3810" t="s">
        <v>34</v>
      </c>
    </row>
    <row r="3811" spans="1:15" x14ac:dyDescent="0.3">
      <c r="A3811" t="s">
        <v>1148</v>
      </c>
      <c r="B3811" s="5">
        <v>59</v>
      </c>
      <c r="C3811" s="5" t="str" cm="1">
        <f t="array" ref="C3811">_xlfn.IFS(worksheet[[#This Row],[age]]&lt;25,"1. Young Adulthood (18-24)",worksheet[[#This Row],[age]]&lt; 35,"2. Early Adulthood (25-34)",worksheet[[#This Row],[age]]&lt; 45,"3. Mid Adulthood (35-44)",worksheet[[#This Row],[age]]&lt; 55,"4. Mature Adulthood (45-54)",TRUE,"5. Late Adulthood/Senior (55+)")</f>
        <v>5. Late Adulthood/Senior (55+)</v>
      </c>
      <c r="D3811" t="s">
        <v>15</v>
      </c>
      <c r="E3811" t="s">
        <v>16</v>
      </c>
      <c r="F3811" s="4">
        <v>0.09</v>
      </c>
      <c r="G3811" s="5">
        <v>25</v>
      </c>
      <c r="H3811" t="s">
        <v>23</v>
      </c>
      <c r="I3811" t="s">
        <v>46</v>
      </c>
      <c r="J3811" s="6">
        <v>8.99</v>
      </c>
      <c r="K3811">
        <v>1</v>
      </c>
      <c r="L3811" t="s">
        <v>29</v>
      </c>
      <c r="M3811" s="5">
        <v>2</v>
      </c>
      <c r="N3811" s="4">
        <v>0</v>
      </c>
      <c r="O3811" t="s">
        <v>25</v>
      </c>
    </row>
    <row r="3812" spans="1:15" x14ac:dyDescent="0.3">
      <c r="A3812" t="s">
        <v>1155</v>
      </c>
      <c r="B3812" s="5">
        <v>64</v>
      </c>
      <c r="C3812" s="5" t="str" cm="1">
        <f t="array" ref="C3812">_xlfn.IFS(worksheet[[#This Row],[age]]&lt;25,"1. Young Adulthood (18-24)",worksheet[[#This Row],[age]]&lt; 35,"2. Early Adulthood (25-34)",worksheet[[#This Row],[age]]&lt; 45,"3. Mid Adulthood (35-44)",worksheet[[#This Row],[age]]&lt; 55,"4. Mature Adulthood (45-54)",TRUE,"5. Late Adulthood/Senior (55+)")</f>
        <v>5. Late Adulthood/Senior (55+)</v>
      </c>
      <c r="D3812" t="s">
        <v>41</v>
      </c>
      <c r="E3812" t="s">
        <v>32</v>
      </c>
      <c r="F3812" s="4">
        <v>3.51</v>
      </c>
      <c r="G3812" s="5">
        <v>30</v>
      </c>
      <c r="H3812" t="s">
        <v>23</v>
      </c>
      <c r="I3812" t="s">
        <v>57</v>
      </c>
      <c r="J3812" s="6">
        <v>17.989999999999998</v>
      </c>
      <c r="K3812">
        <v>0</v>
      </c>
      <c r="L3812" t="s">
        <v>43</v>
      </c>
      <c r="M3812" s="5">
        <v>5</v>
      </c>
      <c r="N3812" s="4">
        <v>0.11</v>
      </c>
      <c r="O3812" t="s">
        <v>20</v>
      </c>
    </row>
    <row r="3813" spans="1:15" x14ac:dyDescent="0.3">
      <c r="A3813" t="s">
        <v>1157</v>
      </c>
      <c r="B3813" s="5">
        <v>59</v>
      </c>
      <c r="C3813" s="5" t="str" cm="1">
        <f t="array" ref="C3813">_xlfn.IFS(worksheet[[#This Row],[age]]&lt;25,"1. Young Adulthood (18-24)",worksheet[[#This Row],[age]]&lt; 35,"2. Early Adulthood (25-34)",worksheet[[#This Row],[age]]&lt; 45,"3. Mid Adulthood (35-44)",worksheet[[#This Row],[age]]&lt; 55,"4. Mature Adulthood (45-54)",TRUE,"5. Late Adulthood/Senior (55+)")</f>
        <v>5. Late Adulthood/Senior (55+)</v>
      </c>
      <c r="D3813" t="s">
        <v>27</v>
      </c>
      <c r="E3813" t="s">
        <v>16</v>
      </c>
      <c r="F3813" s="4">
        <v>6.96</v>
      </c>
      <c r="G3813" s="5">
        <v>4</v>
      </c>
      <c r="H3813" t="s">
        <v>28</v>
      </c>
      <c r="I3813" t="s">
        <v>18</v>
      </c>
      <c r="J3813" s="6">
        <v>8.99</v>
      </c>
      <c r="K3813">
        <v>0</v>
      </c>
      <c r="L3813" t="s">
        <v>43</v>
      </c>
      <c r="M3813" s="5">
        <v>2</v>
      </c>
      <c r="N3813" s="4">
        <v>1.39</v>
      </c>
      <c r="O3813" t="s">
        <v>34</v>
      </c>
    </row>
    <row r="3814" spans="1:15" x14ac:dyDescent="0.3">
      <c r="A3814" t="s">
        <v>1158</v>
      </c>
      <c r="B3814" s="5">
        <v>64</v>
      </c>
      <c r="C3814" s="5" t="str" cm="1">
        <f t="array" ref="C3814">_xlfn.IFS(worksheet[[#This Row],[age]]&lt;25,"1. Young Adulthood (18-24)",worksheet[[#This Row],[age]]&lt; 35,"2. Early Adulthood (25-34)",worksheet[[#This Row],[age]]&lt; 45,"3. Mid Adulthood (35-44)",worksheet[[#This Row],[age]]&lt; 55,"4. Mature Adulthood (45-54)",TRUE,"5. Late Adulthood/Senior (55+)")</f>
        <v>5. Late Adulthood/Senior (55+)</v>
      </c>
      <c r="D3814" t="s">
        <v>41</v>
      </c>
      <c r="E3814" t="s">
        <v>32</v>
      </c>
      <c r="F3814" s="4">
        <v>15.22</v>
      </c>
      <c r="G3814" s="5">
        <v>4</v>
      </c>
      <c r="H3814" t="s">
        <v>70</v>
      </c>
      <c r="I3814" t="s">
        <v>46</v>
      </c>
      <c r="J3814" s="6">
        <v>17.989999999999998</v>
      </c>
      <c r="K3814">
        <v>0</v>
      </c>
      <c r="L3814" t="s">
        <v>19</v>
      </c>
      <c r="M3814" s="5">
        <v>1</v>
      </c>
      <c r="N3814" s="4">
        <v>3.04</v>
      </c>
      <c r="O3814" t="s">
        <v>52</v>
      </c>
    </row>
    <row r="3815" spans="1:15" x14ac:dyDescent="0.3">
      <c r="A3815" t="s">
        <v>1159</v>
      </c>
      <c r="B3815" s="5">
        <v>62</v>
      </c>
      <c r="C3815" s="5" t="str" cm="1">
        <f t="array" ref="C3815">_xlfn.IFS(worksheet[[#This Row],[age]]&lt;25,"1. Young Adulthood (18-24)",worksheet[[#This Row],[age]]&lt; 35,"2. Early Adulthood (25-34)",worksheet[[#This Row],[age]]&lt; 45,"3. Mid Adulthood (35-44)",worksheet[[#This Row],[age]]&lt; 55,"4. Mature Adulthood (45-54)",TRUE,"5. Late Adulthood/Senior (55+)")</f>
        <v>5. Late Adulthood/Senior (55+)</v>
      </c>
      <c r="D3815" t="s">
        <v>15</v>
      </c>
      <c r="E3815" t="s">
        <v>32</v>
      </c>
      <c r="F3815" s="4">
        <v>4.99</v>
      </c>
      <c r="G3815" s="5">
        <v>10</v>
      </c>
      <c r="H3815" t="s">
        <v>70</v>
      </c>
      <c r="I3815" t="s">
        <v>18</v>
      </c>
      <c r="J3815" s="6">
        <v>17.989999999999998</v>
      </c>
      <c r="K3815">
        <v>1</v>
      </c>
      <c r="L3815" t="s">
        <v>37</v>
      </c>
      <c r="M3815" s="5">
        <v>2</v>
      </c>
      <c r="N3815" s="4">
        <v>0.45</v>
      </c>
      <c r="O3815" t="s">
        <v>47</v>
      </c>
    </row>
    <row r="3816" spans="1:15" x14ac:dyDescent="0.3">
      <c r="A3816" t="s">
        <v>1160</v>
      </c>
      <c r="B3816" s="5">
        <v>57</v>
      </c>
      <c r="C3816" s="5" t="str" cm="1">
        <f t="array" ref="C3816">_xlfn.IFS(worksheet[[#This Row],[age]]&lt;25,"1. Young Adulthood (18-24)",worksheet[[#This Row],[age]]&lt; 35,"2. Early Adulthood (25-34)",worksheet[[#This Row],[age]]&lt; 45,"3. Mid Adulthood (35-44)",worksheet[[#This Row],[age]]&lt; 55,"4. Mature Adulthood (45-54)",TRUE,"5. Late Adulthood/Senior (55+)")</f>
        <v>5. Late Adulthood/Senior (55+)</v>
      </c>
      <c r="D3816" t="s">
        <v>41</v>
      </c>
      <c r="E3816" t="s">
        <v>22</v>
      </c>
      <c r="F3816" s="4">
        <v>3.73</v>
      </c>
      <c r="G3816" s="5">
        <v>5</v>
      </c>
      <c r="H3816" t="s">
        <v>23</v>
      </c>
      <c r="I3816" t="s">
        <v>46</v>
      </c>
      <c r="J3816" s="6">
        <v>13.99</v>
      </c>
      <c r="K3816">
        <v>0</v>
      </c>
      <c r="L3816" t="s">
        <v>43</v>
      </c>
      <c r="M3816" s="5">
        <v>2</v>
      </c>
      <c r="N3816" s="4">
        <v>0.62</v>
      </c>
      <c r="O3816" t="s">
        <v>47</v>
      </c>
    </row>
    <row r="3817" spans="1:15" x14ac:dyDescent="0.3">
      <c r="A3817" t="s">
        <v>1163</v>
      </c>
      <c r="B3817" s="5">
        <v>69</v>
      </c>
      <c r="C3817" s="5" t="str" cm="1">
        <f t="array" ref="C3817">_xlfn.IFS(worksheet[[#This Row],[age]]&lt;25,"1. Young Adulthood (18-24)",worksheet[[#This Row],[age]]&lt; 35,"2. Early Adulthood (25-34)",worksheet[[#This Row],[age]]&lt; 45,"3. Mid Adulthood (35-44)",worksheet[[#This Row],[age]]&lt; 55,"4. Mature Adulthood (45-54)",TRUE,"5. Late Adulthood/Senior (55+)")</f>
        <v>5. Late Adulthood/Senior (55+)</v>
      </c>
      <c r="D3817" t="s">
        <v>27</v>
      </c>
      <c r="E3817" t="s">
        <v>16</v>
      </c>
      <c r="F3817" s="4">
        <v>4.8099999999999996</v>
      </c>
      <c r="G3817" s="5">
        <v>22</v>
      </c>
      <c r="H3817" t="s">
        <v>49</v>
      </c>
      <c r="I3817" t="s">
        <v>18</v>
      </c>
      <c r="J3817" s="6">
        <v>8.99</v>
      </c>
      <c r="K3817">
        <v>1</v>
      </c>
      <c r="L3817" t="s">
        <v>19</v>
      </c>
      <c r="M3817" s="5">
        <v>2</v>
      </c>
      <c r="N3817" s="4">
        <v>0.21</v>
      </c>
      <c r="O3817" t="s">
        <v>20</v>
      </c>
    </row>
    <row r="3818" spans="1:15" x14ac:dyDescent="0.3">
      <c r="A3818" t="s">
        <v>1167</v>
      </c>
      <c r="B3818" s="5">
        <v>56</v>
      </c>
      <c r="C3818" s="5" t="str" cm="1">
        <f t="array" ref="C3818">_xlfn.IFS(worksheet[[#This Row],[age]]&lt;25,"1. Young Adulthood (18-24)",worksheet[[#This Row],[age]]&lt; 35,"2. Early Adulthood (25-34)",worksheet[[#This Row],[age]]&lt; 45,"3. Mid Adulthood (35-44)",worksheet[[#This Row],[age]]&lt; 55,"4. Mature Adulthood (45-54)",TRUE,"5. Late Adulthood/Senior (55+)")</f>
        <v>5. Late Adulthood/Senior (55+)</v>
      </c>
      <c r="D3818" t="s">
        <v>15</v>
      </c>
      <c r="E3818" t="s">
        <v>22</v>
      </c>
      <c r="F3818" s="4">
        <v>16.86</v>
      </c>
      <c r="G3818" s="5">
        <v>34</v>
      </c>
      <c r="H3818" t="s">
        <v>49</v>
      </c>
      <c r="I3818" t="s">
        <v>18</v>
      </c>
      <c r="J3818" s="6">
        <v>13.99</v>
      </c>
      <c r="K3818">
        <v>1</v>
      </c>
      <c r="L3818" t="s">
        <v>61</v>
      </c>
      <c r="M3818" s="5">
        <v>2</v>
      </c>
      <c r="N3818" s="4">
        <v>0.48</v>
      </c>
      <c r="O3818" t="s">
        <v>20</v>
      </c>
    </row>
    <row r="3819" spans="1:15" x14ac:dyDescent="0.3">
      <c r="A3819" t="s">
        <v>1180</v>
      </c>
      <c r="B3819" s="5">
        <v>60</v>
      </c>
      <c r="C3819" s="5" t="str" cm="1">
        <f t="array" ref="C3819">_xlfn.IFS(worksheet[[#This Row],[age]]&lt;25,"1. Young Adulthood (18-24)",worksheet[[#This Row],[age]]&lt; 35,"2. Early Adulthood (25-34)",worksheet[[#This Row],[age]]&lt; 45,"3. Mid Adulthood (35-44)",worksheet[[#This Row],[age]]&lt; 55,"4. Mature Adulthood (45-54)",TRUE,"5. Late Adulthood/Senior (55+)")</f>
        <v>5. Late Adulthood/Senior (55+)</v>
      </c>
      <c r="D3819" t="s">
        <v>41</v>
      </c>
      <c r="E3819" t="s">
        <v>16</v>
      </c>
      <c r="F3819" s="4">
        <v>21.16</v>
      </c>
      <c r="G3819" s="5">
        <v>23</v>
      </c>
      <c r="H3819" t="s">
        <v>23</v>
      </c>
      <c r="I3819" t="s">
        <v>18</v>
      </c>
      <c r="J3819" s="6">
        <v>8.99</v>
      </c>
      <c r="K3819">
        <v>0</v>
      </c>
      <c r="L3819" t="s">
        <v>61</v>
      </c>
      <c r="M3819" s="5">
        <v>5</v>
      </c>
      <c r="N3819" s="4">
        <v>0.88</v>
      </c>
      <c r="O3819" t="s">
        <v>39</v>
      </c>
    </row>
    <row r="3820" spans="1:15" x14ac:dyDescent="0.3">
      <c r="A3820" t="s">
        <v>1185</v>
      </c>
      <c r="B3820" s="5">
        <v>63</v>
      </c>
      <c r="C3820" s="5" t="str" cm="1">
        <f t="array" ref="C3820">_xlfn.IFS(worksheet[[#This Row],[age]]&lt;25,"1. Young Adulthood (18-24)",worksheet[[#This Row],[age]]&lt; 35,"2. Early Adulthood (25-34)",worksheet[[#This Row],[age]]&lt; 45,"3. Mid Adulthood (35-44)",worksheet[[#This Row],[age]]&lt; 55,"4. Mature Adulthood (45-54)",TRUE,"5. Late Adulthood/Senior (55+)")</f>
        <v>5. Late Adulthood/Senior (55+)</v>
      </c>
      <c r="D3820" t="s">
        <v>27</v>
      </c>
      <c r="E3820" t="s">
        <v>22</v>
      </c>
      <c r="F3820" s="4">
        <v>45.57</v>
      </c>
      <c r="G3820" s="5">
        <v>53</v>
      </c>
      <c r="H3820" t="s">
        <v>23</v>
      </c>
      <c r="I3820" t="s">
        <v>55</v>
      </c>
      <c r="J3820" s="6">
        <v>13.99</v>
      </c>
      <c r="K3820">
        <v>0</v>
      </c>
      <c r="L3820" t="s">
        <v>37</v>
      </c>
      <c r="M3820" s="5">
        <v>4</v>
      </c>
      <c r="N3820" s="4">
        <v>0.84</v>
      </c>
      <c r="O3820" t="s">
        <v>39</v>
      </c>
    </row>
    <row r="3821" spans="1:15" x14ac:dyDescent="0.3">
      <c r="A3821" t="s">
        <v>1190</v>
      </c>
      <c r="B3821" s="5">
        <v>55</v>
      </c>
      <c r="C3821" s="5" t="str" cm="1">
        <f t="array" ref="C3821">_xlfn.IFS(worksheet[[#This Row],[age]]&lt;25,"1. Young Adulthood (18-24)",worksheet[[#This Row],[age]]&lt; 35,"2. Early Adulthood (25-34)",worksheet[[#This Row],[age]]&lt; 45,"3. Mid Adulthood (35-44)",worksheet[[#This Row],[age]]&lt; 55,"4. Mature Adulthood (45-54)",TRUE,"5. Late Adulthood/Senior (55+)")</f>
        <v>5. Late Adulthood/Senior (55+)</v>
      </c>
      <c r="D3821" t="s">
        <v>41</v>
      </c>
      <c r="E3821" t="s">
        <v>32</v>
      </c>
      <c r="F3821" s="4">
        <v>0.87</v>
      </c>
      <c r="G3821" s="5">
        <v>48</v>
      </c>
      <c r="H3821" t="s">
        <v>28</v>
      </c>
      <c r="I3821" t="s">
        <v>57</v>
      </c>
      <c r="J3821" s="6">
        <v>17.989999999999998</v>
      </c>
      <c r="K3821">
        <v>1</v>
      </c>
      <c r="L3821" t="s">
        <v>37</v>
      </c>
      <c r="M3821" s="5">
        <v>4</v>
      </c>
      <c r="N3821" s="4">
        <v>0.02</v>
      </c>
      <c r="O3821" t="s">
        <v>20</v>
      </c>
    </row>
    <row r="3822" spans="1:15" x14ac:dyDescent="0.3">
      <c r="A3822" t="s">
        <v>1192</v>
      </c>
      <c r="B3822" s="5">
        <v>67</v>
      </c>
      <c r="C3822" s="5" t="str" cm="1">
        <f t="array" ref="C3822">_xlfn.IFS(worksheet[[#This Row],[age]]&lt;25,"1. Young Adulthood (18-24)",worksheet[[#This Row],[age]]&lt; 35,"2. Early Adulthood (25-34)",worksheet[[#This Row],[age]]&lt; 45,"3. Mid Adulthood (35-44)",worksheet[[#This Row],[age]]&lt; 55,"4. Mature Adulthood (45-54)",TRUE,"5. Late Adulthood/Senior (55+)")</f>
        <v>5. Late Adulthood/Senior (55+)</v>
      </c>
      <c r="D3822" t="s">
        <v>27</v>
      </c>
      <c r="E3822" t="s">
        <v>32</v>
      </c>
      <c r="F3822" s="4">
        <v>15.71</v>
      </c>
      <c r="G3822" s="5">
        <v>20</v>
      </c>
      <c r="H3822" t="s">
        <v>70</v>
      </c>
      <c r="I3822" t="s">
        <v>24</v>
      </c>
      <c r="J3822" s="6">
        <v>17.989999999999998</v>
      </c>
      <c r="K3822">
        <v>0</v>
      </c>
      <c r="L3822" t="s">
        <v>61</v>
      </c>
      <c r="M3822" s="5">
        <v>5</v>
      </c>
      <c r="N3822" s="4">
        <v>0.75</v>
      </c>
      <c r="O3822" t="s">
        <v>25</v>
      </c>
    </row>
    <row r="3823" spans="1:15" x14ac:dyDescent="0.3">
      <c r="A3823" t="s">
        <v>1193</v>
      </c>
      <c r="B3823" s="5">
        <v>55</v>
      </c>
      <c r="C3823" s="5" t="str" cm="1">
        <f t="array" ref="C3823">_xlfn.IFS(worksheet[[#This Row],[age]]&lt;25,"1. Young Adulthood (18-24)",worksheet[[#This Row],[age]]&lt; 35,"2. Early Adulthood (25-34)",worksheet[[#This Row],[age]]&lt; 45,"3. Mid Adulthood (35-44)",worksheet[[#This Row],[age]]&lt; 55,"4. Mature Adulthood (45-54)",TRUE,"5. Late Adulthood/Senior (55+)")</f>
        <v>5. Late Adulthood/Senior (55+)</v>
      </c>
      <c r="D3823" t="s">
        <v>41</v>
      </c>
      <c r="E3823" t="s">
        <v>22</v>
      </c>
      <c r="F3823" s="4">
        <v>55.93</v>
      </c>
      <c r="G3823" s="5">
        <v>43</v>
      </c>
      <c r="H3823" t="s">
        <v>28</v>
      </c>
      <c r="I3823" t="s">
        <v>18</v>
      </c>
      <c r="J3823" s="6">
        <v>13.99</v>
      </c>
      <c r="K3823">
        <v>0</v>
      </c>
      <c r="L3823" t="s">
        <v>19</v>
      </c>
      <c r="M3823" s="5">
        <v>1</v>
      </c>
      <c r="N3823" s="4">
        <v>1.27</v>
      </c>
      <c r="O3823" t="s">
        <v>20</v>
      </c>
    </row>
    <row r="3824" spans="1:15" x14ac:dyDescent="0.3">
      <c r="A3824" t="s">
        <v>1195</v>
      </c>
      <c r="B3824" s="5">
        <v>65</v>
      </c>
      <c r="C3824" s="5" t="str" cm="1">
        <f t="array" ref="C3824">_xlfn.IFS(worksheet[[#This Row],[age]]&lt;25,"1. Young Adulthood (18-24)",worksheet[[#This Row],[age]]&lt; 35,"2. Early Adulthood (25-34)",worksheet[[#This Row],[age]]&lt; 45,"3. Mid Adulthood (35-44)",worksheet[[#This Row],[age]]&lt; 55,"4. Mature Adulthood (45-54)",TRUE,"5. Late Adulthood/Senior (55+)")</f>
        <v>5. Late Adulthood/Senior (55+)</v>
      </c>
      <c r="D3824" t="s">
        <v>41</v>
      </c>
      <c r="E3824" t="s">
        <v>32</v>
      </c>
      <c r="F3824" s="4">
        <v>11.56</v>
      </c>
      <c r="G3824" s="5">
        <v>18</v>
      </c>
      <c r="H3824" t="s">
        <v>49</v>
      </c>
      <c r="I3824" t="s">
        <v>55</v>
      </c>
      <c r="J3824" s="6">
        <v>17.989999999999998</v>
      </c>
      <c r="K3824">
        <v>0</v>
      </c>
      <c r="L3824" t="s">
        <v>29</v>
      </c>
      <c r="M3824" s="5">
        <v>1</v>
      </c>
      <c r="N3824" s="4">
        <v>0.61</v>
      </c>
      <c r="O3824" t="s">
        <v>25</v>
      </c>
    </row>
    <row r="3825" spans="1:15" x14ac:dyDescent="0.3">
      <c r="A3825" t="s">
        <v>1197</v>
      </c>
      <c r="B3825" s="5">
        <v>58</v>
      </c>
      <c r="C3825" s="5" t="str" cm="1">
        <f t="array" ref="C3825">_xlfn.IFS(worksheet[[#This Row],[age]]&lt;25,"1. Young Adulthood (18-24)",worksheet[[#This Row],[age]]&lt; 35,"2. Early Adulthood (25-34)",worksheet[[#This Row],[age]]&lt; 45,"3. Mid Adulthood (35-44)",worksheet[[#This Row],[age]]&lt; 55,"4. Mature Adulthood (45-54)",TRUE,"5. Late Adulthood/Senior (55+)")</f>
        <v>5. Late Adulthood/Senior (55+)</v>
      </c>
      <c r="D3825" t="s">
        <v>27</v>
      </c>
      <c r="E3825" t="s">
        <v>22</v>
      </c>
      <c r="F3825" s="4">
        <v>23.72</v>
      </c>
      <c r="G3825" s="5">
        <v>34</v>
      </c>
      <c r="H3825" t="s">
        <v>70</v>
      </c>
      <c r="I3825" t="s">
        <v>57</v>
      </c>
      <c r="J3825" s="6">
        <v>13.99</v>
      </c>
      <c r="K3825">
        <v>0</v>
      </c>
      <c r="L3825" t="s">
        <v>43</v>
      </c>
      <c r="M3825" s="5">
        <v>4</v>
      </c>
      <c r="N3825" s="4">
        <v>0.68</v>
      </c>
      <c r="O3825" t="s">
        <v>47</v>
      </c>
    </row>
    <row r="3826" spans="1:15" x14ac:dyDescent="0.3">
      <c r="A3826" t="s">
        <v>1199</v>
      </c>
      <c r="B3826" s="5">
        <v>65</v>
      </c>
      <c r="C3826" s="5" t="str" cm="1">
        <f t="array" ref="C3826">_xlfn.IFS(worksheet[[#This Row],[age]]&lt;25,"1. Young Adulthood (18-24)",worksheet[[#This Row],[age]]&lt; 35,"2. Early Adulthood (25-34)",worksheet[[#This Row],[age]]&lt; 45,"3. Mid Adulthood (35-44)",worksheet[[#This Row],[age]]&lt; 55,"4. Mature Adulthood (45-54)",TRUE,"5. Late Adulthood/Senior (55+)")</f>
        <v>5. Late Adulthood/Senior (55+)</v>
      </c>
      <c r="D3826" t="s">
        <v>27</v>
      </c>
      <c r="E3826" t="s">
        <v>22</v>
      </c>
      <c r="F3826" s="4">
        <v>0.53</v>
      </c>
      <c r="G3826" s="5">
        <v>1</v>
      </c>
      <c r="H3826" t="s">
        <v>23</v>
      </c>
      <c r="I3826" t="s">
        <v>46</v>
      </c>
      <c r="J3826" s="6">
        <v>13.99</v>
      </c>
      <c r="K3826">
        <v>0</v>
      </c>
      <c r="L3826" t="s">
        <v>61</v>
      </c>
      <c r="M3826" s="5">
        <v>5</v>
      </c>
      <c r="N3826" s="4">
        <v>0.27</v>
      </c>
      <c r="O3826" t="s">
        <v>25</v>
      </c>
    </row>
    <row r="3827" spans="1:15" x14ac:dyDescent="0.3">
      <c r="A3827" t="s">
        <v>1200</v>
      </c>
      <c r="B3827" s="5">
        <v>65</v>
      </c>
      <c r="C3827" s="5" t="str" cm="1">
        <f t="array" ref="C3827">_xlfn.IFS(worksheet[[#This Row],[age]]&lt;25,"1. Young Adulthood (18-24)",worksheet[[#This Row],[age]]&lt; 35,"2. Early Adulthood (25-34)",worksheet[[#This Row],[age]]&lt; 45,"3. Mid Adulthood (35-44)",worksheet[[#This Row],[age]]&lt; 55,"4. Mature Adulthood (45-54)",TRUE,"5. Late Adulthood/Senior (55+)")</f>
        <v>5. Late Adulthood/Senior (55+)</v>
      </c>
      <c r="D3827" t="s">
        <v>15</v>
      </c>
      <c r="E3827" t="s">
        <v>32</v>
      </c>
      <c r="F3827" s="4">
        <v>27.63</v>
      </c>
      <c r="G3827" s="5">
        <v>8</v>
      </c>
      <c r="H3827" t="s">
        <v>28</v>
      </c>
      <c r="I3827" t="s">
        <v>18</v>
      </c>
      <c r="J3827" s="6">
        <v>17.989999999999998</v>
      </c>
      <c r="K3827">
        <v>0</v>
      </c>
      <c r="L3827" t="s">
        <v>29</v>
      </c>
      <c r="M3827" s="5">
        <v>5</v>
      </c>
      <c r="N3827" s="4">
        <v>3.07</v>
      </c>
      <c r="O3827" t="s">
        <v>39</v>
      </c>
    </row>
    <row r="3828" spans="1:15" x14ac:dyDescent="0.3">
      <c r="A3828" t="s">
        <v>1202</v>
      </c>
      <c r="B3828" s="5">
        <v>57</v>
      </c>
      <c r="C3828" s="5" t="str" cm="1">
        <f t="array" ref="C3828">_xlfn.IFS(worksheet[[#This Row],[age]]&lt;25,"1. Young Adulthood (18-24)",worksheet[[#This Row],[age]]&lt; 35,"2. Early Adulthood (25-34)",worksheet[[#This Row],[age]]&lt; 45,"3. Mid Adulthood (35-44)",worksheet[[#This Row],[age]]&lt; 55,"4. Mature Adulthood (45-54)",TRUE,"5. Late Adulthood/Senior (55+)")</f>
        <v>5. Late Adulthood/Senior (55+)</v>
      </c>
      <c r="D3828" t="s">
        <v>41</v>
      </c>
      <c r="E3828" t="s">
        <v>16</v>
      </c>
      <c r="F3828" s="4">
        <v>3.09</v>
      </c>
      <c r="G3828" s="5">
        <v>43</v>
      </c>
      <c r="H3828" t="s">
        <v>49</v>
      </c>
      <c r="I3828" t="s">
        <v>24</v>
      </c>
      <c r="J3828" s="6">
        <v>8.99</v>
      </c>
      <c r="K3828">
        <v>1</v>
      </c>
      <c r="L3828" t="s">
        <v>37</v>
      </c>
      <c r="M3828" s="5">
        <v>5</v>
      </c>
      <c r="N3828" s="4">
        <v>7.0000000000000007E-2</v>
      </c>
      <c r="O3828" t="s">
        <v>34</v>
      </c>
    </row>
    <row r="3829" spans="1:15" x14ac:dyDescent="0.3">
      <c r="A3829" t="s">
        <v>1203</v>
      </c>
      <c r="B3829" s="5">
        <v>64</v>
      </c>
      <c r="C3829" s="5" t="str" cm="1">
        <f t="array" ref="C3829">_xlfn.IFS(worksheet[[#This Row],[age]]&lt;25,"1. Young Adulthood (18-24)",worksheet[[#This Row],[age]]&lt; 35,"2. Early Adulthood (25-34)",worksheet[[#This Row],[age]]&lt; 45,"3. Mid Adulthood (35-44)",worksheet[[#This Row],[age]]&lt; 55,"4. Mature Adulthood (45-54)",TRUE,"5. Late Adulthood/Senior (55+)")</f>
        <v>5. Late Adulthood/Senior (55+)</v>
      </c>
      <c r="D3829" t="s">
        <v>15</v>
      </c>
      <c r="E3829" t="s">
        <v>22</v>
      </c>
      <c r="F3829" s="4">
        <v>1.0900000000000001</v>
      </c>
      <c r="G3829" s="5">
        <v>37</v>
      </c>
      <c r="H3829" t="s">
        <v>49</v>
      </c>
      <c r="I3829" t="s">
        <v>46</v>
      </c>
      <c r="J3829" s="6">
        <v>13.99</v>
      </c>
      <c r="K3829">
        <v>1</v>
      </c>
      <c r="L3829" t="s">
        <v>61</v>
      </c>
      <c r="M3829" s="5">
        <v>5</v>
      </c>
      <c r="N3829" s="4">
        <v>0.03</v>
      </c>
      <c r="O3829" t="s">
        <v>52</v>
      </c>
    </row>
    <row r="3830" spans="1:15" x14ac:dyDescent="0.3">
      <c r="A3830" t="s">
        <v>1204</v>
      </c>
      <c r="B3830" s="5">
        <v>66</v>
      </c>
      <c r="C3830" s="5" t="str" cm="1">
        <f t="array" ref="C3830">_xlfn.IFS(worksheet[[#This Row],[age]]&lt;25,"1. Young Adulthood (18-24)",worksheet[[#This Row],[age]]&lt; 35,"2. Early Adulthood (25-34)",worksheet[[#This Row],[age]]&lt; 45,"3. Mid Adulthood (35-44)",worksheet[[#This Row],[age]]&lt; 55,"4. Mature Adulthood (45-54)",TRUE,"5. Late Adulthood/Senior (55+)")</f>
        <v>5. Late Adulthood/Senior (55+)</v>
      </c>
      <c r="D3830" t="s">
        <v>15</v>
      </c>
      <c r="E3830" t="s">
        <v>22</v>
      </c>
      <c r="F3830" s="4">
        <v>10.25</v>
      </c>
      <c r="G3830" s="5">
        <v>28</v>
      </c>
      <c r="H3830" t="s">
        <v>70</v>
      </c>
      <c r="I3830" t="s">
        <v>55</v>
      </c>
      <c r="J3830" s="6">
        <v>13.99</v>
      </c>
      <c r="K3830">
        <v>0</v>
      </c>
      <c r="L3830" t="s">
        <v>37</v>
      </c>
      <c r="M3830" s="5">
        <v>4</v>
      </c>
      <c r="N3830" s="4">
        <v>0.35</v>
      </c>
      <c r="O3830" t="s">
        <v>47</v>
      </c>
    </row>
    <row r="3831" spans="1:15" x14ac:dyDescent="0.3">
      <c r="A3831" t="s">
        <v>1206</v>
      </c>
      <c r="B3831" s="5">
        <v>66</v>
      </c>
      <c r="C3831" s="5" t="str" cm="1">
        <f t="array" ref="C3831">_xlfn.IFS(worksheet[[#This Row],[age]]&lt;25,"1. Young Adulthood (18-24)",worksheet[[#This Row],[age]]&lt; 35,"2. Early Adulthood (25-34)",worksheet[[#This Row],[age]]&lt; 45,"3. Mid Adulthood (35-44)",worksheet[[#This Row],[age]]&lt; 55,"4. Mature Adulthood (45-54)",TRUE,"5. Late Adulthood/Senior (55+)")</f>
        <v>5. Late Adulthood/Senior (55+)</v>
      </c>
      <c r="D3831" t="s">
        <v>41</v>
      </c>
      <c r="E3831" t="s">
        <v>32</v>
      </c>
      <c r="F3831" s="4">
        <v>32.92</v>
      </c>
      <c r="G3831" s="5">
        <v>33</v>
      </c>
      <c r="H3831" t="s">
        <v>28</v>
      </c>
      <c r="I3831" t="s">
        <v>24</v>
      </c>
      <c r="J3831" s="6">
        <v>17.989999999999998</v>
      </c>
      <c r="K3831">
        <v>0</v>
      </c>
      <c r="L3831" t="s">
        <v>37</v>
      </c>
      <c r="M3831" s="5">
        <v>4</v>
      </c>
      <c r="N3831" s="4">
        <v>0.97</v>
      </c>
      <c r="O3831" t="s">
        <v>30</v>
      </c>
    </row>
    <row r="3832" spans="1:15" x14ac:dyDescent="0.3">
      <c r="A3832" t="s">
        <v>1211</v>
      </c>
      <c r="B3832" s="5">
        <v>66</v>
      </c>
      <c r="C3832" s="5" t="str" cm="1">
        <f t="array" ref="C3832">_xlfn.IFS(worksheet[[#This Row],[age]]&lt;25,"1. Young Adulthood (18-24)",worksheet[[#This Row],[age]]&lt; 35,"2. Early Adulthood (25-34)",worksheet[[#This Row],[age]]&lt; 45,"3. Mid Adulthood (35-44)",worksheet[[#This Row],[age]]&lt; 55,"4. Mature Adulthood (45-54)",TRUE,"5. Late Adulthood/Senior (55+)")</f>
        <v>5. Late Adulthood/Senior (55+)</v>
      </c>
      <c r="D3832" t="s">
        <v>15</v>
      </c>
      <c r="E3832" t="s">
        <v>32</v>
      </c>
      <c r="F3832" s="4">
        <v>14.44</v>
      </c>
      <c r="G3832" s="5">
        <v>48</v>
      </c>
      <c r="H3832" t="s">
        <v>17</v>
      </c>
      <c r="I3832" t="s">
        <v>18</v>
      </c>
      <c r="J3832" s="6">
        <v>17.989999999999998</v>
      </c>
      <c r="K3832">
        <v>1</v>
      </c>
      <c r="L3832" t="s">
        <v>29</v>
      </c>
      <c r="M3832" s="5">
        <v>3</v>
      </c>
      <c r="N3832" s="4">
        <v>0.28999999999999998</v>
      </c>
      <c r="O3832" t="s">
        <v>47</v>
      </c>
    </row>
    <row r="3833" spans="1:15" x14ac:dyDescent="0.3">
      <c r="A3833" t="s">
        <v>1215</v>
      </c>
      <c r="B3833" s="5">
        <v>61</v>
      </c>
      <c r="C3833" s="5" t="str" cm="1">
        <f t="array" ref="C3833">_xlfn.IFS(worksheet[[#This Row],[age]]&lt;25,"1. Young Adulthood (18-24)",worksheet[[#This Row],[age]]&lt; 35,"2. Early Adulthood (25-34)",worksheet[[#This Row],[age]]&lt; 45,"3. Mid Adulthood (35-44)",worksheet[[#This Row],[age]]&lt; 55,"4. Mature Adulthood (45-54)",TRUE,"5. Late Adulthood/Senior (55+)")</f>
        <v>5. Late Adulthood/Senior (55+)</v>
      </c>
      <c r="D3833" t="s">
        <v>15</v>
      </c>
      <c r="E3833" t="s">
        <v>22</v>
      </c>
      <c r="F3833" s="4">
        <v>8.1199999999999992</v>
      </c>
      <c r="G3833" s="5">
        <v>56</v>
      </c>
      <c r="H3833" t="s">
        <v>17</v>
      </c>
      <c r="I3833" t="s">
        <v>18</v>
      </c>
      <c r="J3833" s="6">
        <v>13.99</v>
      </c>
      <c r="K3833">
        <v>0</v>
      </c>
      <c r="L3833" t="s">
        <v>61</v>
      </c>
      <c r="M3833" s="5">
        <v>4</v>
      </c>
      <c r="N3833" s="4">
        <v>0.14000000000000001</v>
      </c>
      <c r="O3833" t="s">
        <v>34</v>
      </c>
    </row>
    <row r="3834" spans="1:15" x14ac:dyDescent="0.3">
      <c r="A3834" t="s">
        <v>1218</v>
      </c>
      <c r="B3834" s="5">
        <v>67</v>
      </c>
      <c r="C3834" s="5" t="str" cm="1">
        <f t="array" ref="C3834">_xlfn.IFS(worksheet[[#This Row],[age]]&lt;25,"1. Young Adulthood (18-24)",worksheet[[#This Row],[age]]&lt; 35,"2. Early Adulthood (25-34)",worksheet[[#This Row],[age]]&lt; 45,"3. Mid Adulthood (35-44)",worksheet[[#This Row],[age]]&lt; 55,"4. Mature Adulthood (45-54)",TRUE,"5. Late Adulthood/Senior (55+)")</f>
        <v>5. Late Adulthood/Senior (55+)</v>
      </c>
      <c r="D3834" t="s">
        <v>27</v>
      </c>
      <c r="E3834" t="s">
        <v>16</v>
      </c>
      <c r="F3834" s="4">
        <v>23.72</v>
      </c>
      <c r="G3834" s="5">
        <v>49</v>
      </c>
      <c r="H3834" t="s">
        <v>33</v>
      </c>
      <c r="I3834" t="s">
        <v>55</v>
      </c>
      <c r="J3834" s="6">
        <v>8.99</v>
      </c>
      <c r="K3834">
        <v>1</v>
      </c>
      <c r="L3834" t="s">
        <v>19</v>
      </c>
      <c r="M3834" s="5">
        <v>5</v>
      </c>
      <c r="N3834" s="4">
        <v>0.47</v>
      </c>
      <c r="O3834" t="s">
        <v>52</v>
      </c>
    </row>
    <row r="3835" spans="1:15" x14ac:dyDescent="0.3">
      <c r="A3835" t="s">
        <v>1219</v>
      </c>
      <c r="B3835" s="5">
        <v>67</v>
      </c>
      <c r="C3835" s="5" t="str" cm="1">
        <f t="array" ref="C3835">_xlfn.IFS(worksheet[[#This Row],[age]]&lt;25,"1. Young Adulthood (18-24)",worksheet[[#This Row],[age]]&lt; 35,"2. Early Adulthood (25-34)",worksheet[[#This Row],[age]]&lt; 45,"3. Mid Adulthood (35-44)",worksheet[[#This Row],[age]]&lt; 55,"4. Mature Adulthood (45-54)",TRUE,"5. Late Adulthood/Senior (55+)")</f>
        <v>5. Late Adulthood/Senior (55+)</v>
      </c>
      <c r="D3835" t="s">
        <v>27</v>
      </c>
      <c r="E3835" t="s">
        <v>22</v>
      </c>
      <c r="F3835" s="4">
        <v>8.1199999999999992</v>
      </c>
      <c r="G3835" s="5">
        <v>26</v>
      </c>
      <c r="H3835" t="s">
        <v>49</v>
      </c>
      <c r="I3835" t="s">
        <v>18</v>
      </c>
      <c r="J3835" s="6">
        <v>13.99</v>
      </c>
      <c r="K3835">
        <v>0</v>
      </c>
      <c r="L3835" t="s">
        <v>61</v>
      </c>
      <c r="M3835" s="5">
        <v>3</v>
      </c>
      <c r="N3835" s="4">
        <v>0.3</v>
      </c>
      <c r="O3835" t="s">
        <v>30</v>
      </c>
    </row>
    <row r="3836" spans="1:15" x14ac:dyDescent="0.3">
      <c r="A3836" t="s">
        <v>1224</v>
      </c>
      <c r="B3836" s="5">
        <v>62</v>
      </c>
      <c r="C3836" s="5" t="str" cm="1">
        <f t="array" ref="C3836">_xlfn.IFS(worksheet[[#This Row],[age]]&lt;25,"1. Young Adulthood (18-24)",worksheet[[#This Row],[age]]&lt; 35,"2. Early Adulthood (25-34)",worksheet[[#This Row],[age]]&lt; 45,"3. Mid Adulthood (35-44)",worksheet[[#This Row],[age]]&lt; 55,"4. Mature Adulthood (45-54)",TRUE,"5. Late Adulthood/Senior (55+)")</f>
        <v>5. Late Adulthood/Senior (55+)</v>
      </c>
      <c r="D3836" t="s">
        <v>27</v>
      </c>
      <c r="E3836" t="s">
        <v>22</v>
      </c>
      <c r="F3836" s="4">
        <v>5.47</v>
      </c>
      <c r="G3836" s="5">
        <v>31</v>
      </c>
      <c r="H3836" t="s">
        <v>49</v>
      </c>
      <c r="I3836" t="s">
        <v>18</v>
      </c>
      <c r="J3836" s="6">
        <v>13.99</v>
      </c>
      <c r="K3836">
        <v>1</v>
      </c>
      <c r="L3836" t="s">
        <v>37</v>
      </c>
      <c r="M3836" s="5">
        <v>1</v>
      </c>
      <c r="N3836" s="4">
        <v>0.17</v>
      </c>
      <c r="O3836" t="s">
        <v>25</v>
      </c>
    </row>
    <row r="3837" spans="1:15" x14ac:dyDescent="0.3">
      <c r="A3837" t="s">
        <v>1233</v>
      </c>
      <c r="B3837" s="5">
        <v>65</v>
      </c>
      <c r="C3837" s="5" t="str" cm="1">
        <f t="array" ref="C3837">_xlfn.IFS(worksheet[[#This Row],[age]]&lt;25,"1. Young Adulthood (18-24)",worksheet[[#This Row],[age]]&lt; 35,"2. Early Adulthood (25-34)",worksheet[[#This Row],[age]]&lt; 45,"3. Mid Adulthood (35-44)",worksheet[[#This Row],[age]]&lt; 55,"4. Mature Adulthood (45-54)",TRUE,"5. Late Adulthood/Senior (55+)")</f>
        <v>5. Late Adulthood/Senior (55+)</v>
      </c>
      <c r="D3837" t="s">
        <v>27</v>
      </c>
      <c r="E3837" t="s">
        <v>32</v>
      </c>
      <c r="F3837" s="4">
        <v>22.68</v>
      </c>
      <c r="G3837" s="5">
        <v>40</v>
      </c>
      <c r="H3837" t="s">
        <v>23</v>
      </c>
      <c r="I3837" t="s">
        <v>57</v>
      </c>
      <c r="J3837" s="6">
        <v>17.989999999999998</v>
      </c>
      <c r="K3837">
        <v>0</v>
      </c>
      <c r="L3837" t="s">
        <v>29</v>
      </c>
      <c r="M3837" s="5">
        <v>2</v>
      </c>
      <c r="N3837" s="4">
        <v>0.55000000000000004</v>
      </c>
      <c r="O3837" t="s">
        <v>34</v>
      </c>
    </row>
    <row r="3838" spans="1:15" x14ac:dyDescent="0.3">
      <c r="A3838" t="s">
        <v>1235</v>
      </c>
      <c r="B3838" s="5">
        <v>56</v>
      </c>
      <c r="C3838" s="5" t="str" cm="1">
        <f t="array" ref="C3838">_xlfn.IFS(worksheet[[#This Row],[age]]&lt;25,"1. Young Adulthood (18-24)",worksheet[[#This Row],[age]]&lt; 35,"2. Early Adulthood (25-34)",worksheet[[#This Row],[age]]&lt; 45,"3. Mid Adulthood (35-44)",worksheet[[#This Row],[age]]&lt; 55,"4. Mature Adulthood (45-54)",TRUE,"5. Late Adulthood/Senior (55+)")</f>
        <v>5. Late Adulthood/Senior (55+)</v>
      </c>
      <c r="D3838" t="s">
        <v>15</v>
      </c>
      <c r="E3838" t="s">
        <v>16</v>
      </c>
      <c r="F3838" s="4">
        <v>11.81</v>
      </c>
      <c r="G3838" s="5">
        <v>14</v>
      </c>
      <c r="H3838" t="s">
        <v>28</v>
      </c>
      <c r="I3838" t="s">
        <v>46</v>
      </c>
      <c r="J3838" s="6">
        <v>8.99</v>
      </c>
      <c r="K3838">
        <v>0</v>
      </c>
      <c r="L3838" t="s">
        <v>43</v>
      </c>
      <c r="M3838" s="5">
        <v>2</v>
      </c>
      <c r="N3838" s="4">
        <v>0.79</v>
      </c>
      <c r="O3838" t="s">
        <v>30</v>
      </c>
    </row>
    <row r="3839" spans="1:15" x14ac:dyDescent="0.3">
      <c r="A3839" t="s">
        <v>1238</v>
      </c>
      <c r="B3839" s="5">
        <v>56</v>
      </c>
      <c r="C3839" s="5" t="str" cm="1">
        <f t="array" ref="C3839">_xlfn.IFS(worksheet[[#This Row],[age]]&lt;25,"1. Young Adulthood (18-24)",worksheet[[#This Row],[age]]&lt; 35,"2. Early Adulthood (25-34)",worksheet[[#This Row],[age]]&lt; 45,"3. Mid Adulthood (35-44)",worksheet[[#This Row],[age]]&lt; 55,"4. Mature Adulthood (45-54)",TRUE,"5. Late Adulthood/Senior (55+)")</f>
        <v>5. Late Adulthood/Senior (55+)</v>
      </c>
      <c r="D3839" t="s">
        <v>15</v>
      </c>
      <c r="E3839" t="s">
        <v>32</v>
      </c>
      <c r="F3839" s="4">
        <v>3.67</v>
      </c>
      <c r="G3839" s="5">
        <v>19</v>
      </c>
      <c r="H3839" t="s">
        <v>28</v>
      </c>
      <c r="I3839" t="s">
        <v>18</v>
      </c>
      <c r="J3839" s="6">
        <v>17.989999999999998</v>
      </c>
      <c r="K3839">
        <v>0</v>
      </c>
      <c r="L3839" t="s">
        <v>37</v>
      </c>
      <c r="M3839" s="5">
        <v>5</v>
      </c>
      <c r="N3839" s="4">
        <v>0.18</v>
      </c>
      <c r="O3839" t="s">
        <v>20</v>
      </c>
    </row>
    <row r="3840" spans="1:15" x14ac:dyDescent="0.3">
      <c r="A3840" t="s">
        <v>1239</v>
      </c>
      <c r="B3840" s="5">
        <v>57</v>
      </c>
      <c r="C3840" s="5" t="str" cm="1">
        <f t="array" ref="C3840">_xlfn.IFS(worksheet[[#This Row],[age]]&lt;25,"1. Young Adulthood (18-24)",worksheet[[#This Row],[age]]&lt; 35,"2. Early Adulthood (25-34)",worksheet[[#This Row],[age]]&lt; 45,"3. Mid Adulthood (35-44)",worksheet[[#This Row],[age]]&lt; 55,"4. Mature Adulthood (45-54)",TRUE,"5. Late Adulthood/Senior (55+)")</f>
        <v>5. Late Adulthood/Senior (55+)</v>
      </c>
      <c r="D3840" t="s">
        <v>27</v>
      </c>
      <c r="E3840" t="s">
        <v>22</v>
      </c>
      <c r="F3840" s="4">
        <v>16.97</v>
      </c>
      <c r="G3840" s="5">
        <v>55</v>
      </c>
      <c r="H3840" t="s">
        <v>28</v>
      </c>
      <c r="I3840" t="s">
        <v>18</v>
      </c>
      <c r="J3840" s="6">
        <v>13.99</v>
      </c>
      <c r="K3840">
        <v>1</v>
      </c>
      <c r="L3840" t="s">
        <v>19</v>
      </c>
      <c r="M3840" s="5">
        <v>4</v>
      </c>
      <c r="N3840" s="4">
        <v>0.3</v>
      </c>
      <c r="O3840" t="s">
        <v>47</v>
      </c>
    </row>
    <row r="3841" spans="1:15" x14ac:dyDescent="0.3">
      <c r="A3841" t="s">
        <v>1243</v>
      </c>
      <c r="B3841" s="5">
        <v>70</v>
      </c>
      <c r="C3841" s="5" t="str" cm="1">
        <f t="array" ref="C3841">_xlfn.IFS(worksheet[[#This Row],[age]]&lt;25,"1. Young Adulthood (18-24)",worksheet[[#This Row],[age]]&lt; 35,"2. Early Adulthood (25-34)",worksheet[[#This Row],[age]]&lt; 45,"3. Mid Adulthood (35-44)",worksheet[[#This Row],[age]]&lt; 55,"4. Mature Adulthood (45-54)",TRUE,"5. Late Adulthood/Senior (55+)")</f>
        <v>5. Late Adulthood/Senior (55+)</v>
      </c>
      <c r="D3841" t="s">
        <v>27</v>
      </c>
      <c r="E3841" t="s">
        <v>16</v>
      </c>
      <c r="F3841" s="4">
        <v>13.01</v>
      </c>
      <c r="G3841" s="5">
        <v>32</v>
      </c>
      <c r="H3841" t="s">
        <v>28</v>
      </c>
      <c r="I3841" t="s">
        <v>18</v>
      </c>
      <c r="J3841" s="6">
        <v>8.99</v>
      </c>
      <c r="K3841">
        <v>1</v>
      </c>
      <c r="L3841" t="s">
        <v>29</v>
      </c>
      <c r="M3841" s="5">
        <v>2</v>
      </c>
      <c r="N3841" s="4">
        <v>0.39</v>
      </c>
      <c r="O3841" t="s">
        <v>47</v>
      </c>
    </row>
    <row r="3842" spans="1:15" x14ac:dyDescent="0.3">
      <c r="A3842" t="s">
        <v>1246</v>
      </c>
      <c r="B3842" s="5">
        <v>63</v>
      </c>
      <c r="C3842" s="5" t="str" cm="1">
        <f t="array" ref="C3842">_xlfn.IFS(worksheet[[#This Row],[age]]&lt;25,"1. Young Adulthood (18-24)",worksheet[[#This Row],[age]]&lt; 35,"2. Early Adulthood (25-34)",worksheet[[#This Row],[age]]&lt; 45,"3. Mid Adulthood (35-44)",worksheet[[#This Row],[age]]&lt; 55,"4. Mature Adulthood (45-54)",TRUE,"5. Late Adulthood/Senior (55+)")</f>
        <v>5. Late Adulthood/Senior (55+)</v>
      </c>
      <c r="D3842" t="s">
        <v>27</v>
      </c>
      <c r="E3842" t="s">
        <v>16</v>
      </c>
      <c r="F3842" s="4">
        <v>8.83</v>
      </c>
      <c r="G3842" s="5">
        <v>13</v>
      </c>
      <c r="H3842" t="s">
        <v>28</v>
      </c>
      <c r="I3842" t="s">
        <v>46</v>
      </c>
      <c r="J3842" s="6">
        <v>8.99</v>
      </c>
      <c r="K3842">
        <v>0</v>
      </c>
      <c r="L3842" t="s">
        <v>29</v>
      </c>
      <c r="M3842" s="5">
        <v>4</v>
      </c>
      <c r="N3842" s="4">
        <v>0.63</v>
      </c>
      <c r="O3842" t="s">
        <v>25</v>
      </c>
    </row>
    <row r="3843" spans="1:15" x14ac:dyDescent="0.3">
      <c r="A3843" t="s">
        <v>1247</v>
      </c>
      <c r="B3843" s="5">
        <v>67</v>
      </c>
      <c r="C3843" s="5" t="str" cm="1">
        <f t="array" ref="C3843">_xlfn.IFS(worksheet[[#This Row],[age]]&lt;25,"1. Young Adulthood (18-24)",worksheet[[#This Row],[age]]&lt; 35,"2. Early Adulthood (25-34)",worksheet[[#This Row],[age]]&lt; 45,"3. Mid Adulthood (35-44)",worksheet[[#This Row],[age]]&lt; 55,"4. Mature Adulthood (45-54)",TRUE,"5. Late Adulthood/Senior (55+)")</f>
        <v>5. Late Adulthood/Senior (55+)</v>
      </c>
      <c r="D3843" t="s">
        <v>27</v>
      </c>
      <c r="E3843" t="s">
        <v>32</v>
      </c>
      <c r="F3843" s="4">
        <v>31.33</v>
      </c>
      <c r="G3843" s="5">
        <v>29</v>
      </c>
      <c r="H3843" t="s">
        <v>70</v>
      </c>
      <c r="I3843" t="s">
        <v>24</v>
      </c>
      <c r="J3843" s="6">
        <v>17.989999999999998</v>
      </c>
      <c r="K3843">
        <v>0</v>
      </c>
      <c r="L3843" t="s">
        <v>19</v>
      </c>
      <c r="M3843" s="5">
        <v>2</v>
      </c>
      <c r="N3843" s="4">
        <v>1.04</v>
      </c>
      <c r="O3843" t="s">
        <v>34</v>
      </c>
    </row>
    <row r="3844" spans="1:15" x14ac:dyDescent="0.3">
      <c r="A3844" s="1" t="s">
        <v>1249</v>
      </c>
      <c r="B3844" s="5">
        <v>59</v>
      </c>
      <c r="C3844" s="5" t="str" cm="1">
        <f t="array" ref="C3844">_xlfn.IFS(worksheet[[#This Row],[age]]&lt;25,"1. Young Adulthood (18-24)",worksheet[[#This Row],[age]]&lt; 35,"2. Early Adulthood (25-34)",worksheet[[#This Row],[age]]&lt; 45,"3. Mid Adulthood (35-44)",worksheet[[#This Row],[age]]&lt; 55,"4. Mature Adulthood (45-54)",TRUE,"5. Late Adulthood/Senior (55+)")</f>
        <v>5. Late Adulthood/Senior (55+)</v>
      </c>
      <c r="D3844" t="s">
        <v>41</v>
      </c>
      <c r="E3844" t="s">
        <v>32</v>
      </c>
      <c r="F3844" s="4">
        <v>8.39</v>
      </c>
      <c r="G3844" s="5">
        <v>59</v>
      </c>
      <c r="H3844" t="s">
        <v>17</v>
      </c>
      <c r="I3844" t="s">
        <v>24</v>
      </c>
      <c r="J3844" s="6">
        <v>17.989999999999998</v>
      </c>
      <c r="K3844">
        <v>1</v>
      </c>
      <c r="L3844" t="s">
        <v>37</v>
      </c>
      <c r="M3844" s="5">
        <v>3</v>
      </c>
      <c r="N3844" s="4">
        <v>0.14000000000000001</v>
      </c>
      <c r="O3844" t="s">
        <v>34</v>
      </c>
    </row>
    <row r="3845" spans="1:15" x14ac:dyDescent="0.3">
      <c r="A3845" t="s">
        <v>1252</v>
      </c>
      <c r="B3845" s="5">
        <v>69</v>
      </c>
      <c r="C3845" s="5" t="str" cm="1">
        <f t="array" ref="C3845">_xlfn.IFS(worksheet[[#This Row],[age]]&lt;25,"1. Young Adulthood (18-24)",worksheet[[#This Row],[age]]&lt; 35,"2. Early Adulthood (25-34)",worksheet[[#This Row],[age]]&lt; 45,"3. Mid Adulthood (35-44)",worksheet[[#This Row],[age]]&lt; 55,"4. Mature Adulthood (45-54)",TRUE,"5. Late Adulthood/Senior (55+)")</f>
        <v>5. Late Adulthood/Senior (55+)</v>
      </c>
      <c r="D3845" t="s">
        <v>27</v>
      </c>
      <c r="E3845" t="s">
        <v>16</v>
      </c>
      <c r="F3845" s="4">
        <v>0.64</v>
      </c>
      <c r="G3845" s="5">
        <v>21</v>
      </c>
      <c r="H3845" t="s">
        <v>49</v>
      </c>
      <c r="I3845" t="s">
        <v>24</v>
      </c>
      <c r="J3845" s="6">
        <v>8.99</v>
      </c>
      <c r="K3845">
        <v>1</v>
      </c>
      <c r="L3845" t="s">
        <v>43</v>
      </c>
      <c r="M3845" s="5">
        <v>1</v>
      </c>
      <c r="N3845" s="4">
        <v>0.03</v>
      </c>
      <c r="O3845" t="s">
        <v>30</v>
      </c>
    </row>
    <row r="3846" spans="1:15" x14ac:dyDescent="0.3">
      <c r="A3846" t="s">
        <v>1254</v>
      </c>
      <c r="B3846" s="5">
        <v>64</v>
      </c>
      <c r="C3846" s="5" t="str" cm="1">
        <f t="array" ref="C3846">_xlfn.IFS(worksheet[[#This Row],[age]]&lt;25,"1. Young Adulthood (18-24)",worksheet[[#This Row],[age]]&lt; 35,"2. Early Adulthood (25-34)",worksheet[[#This Row],[age]]&lt; 45,"3. Mid Adulthood (35-44)",worksheet[[#This Row],[age]]&lt; 55,"4. Mature Adulthood (45-54)",TRUE,"5. Late Adulthood/Senior (55+)")</f>
        <v>5. Late Adulthood/Senior (55+)</v>
      </c>
      <c r="D3846" t="s">
        <v>15</v>
      </c>
      <c r="E3846" t="s">
        <v>16</v>
      </c>
      <c r="F3846" s="4">
        <v>4.8600000000000003</v>
      </c>
      <c r="G3846" s="5">
        <v>33</v>
      </c>
      <c r="H3846" t="s">
        <v>49</v>
      </c>
      <c r="I3846" t="s">
        <v>18</v>
      </c>
      <c r="J3846" s="6">
        <v>8.99</v>
      </c>
      <c r="K3846">
        <v>1</v>
      </c>
      <c r="L3846" t="s">
        <v>37</v>
      </c>
      <c r="M3846" s="5">
        <v>5</v>
      </c>
      <c r="N3846" s="4">
        <v>0.14000000000000001</v>
      </c>
      <c r="O3846" t="s">
        <v>52</v>
      </c>
    </row>
    <row r="3847" spans="1:15" x14ac:dyDescent="0.3">
      <c r="A3847" t="s">
        <v>1255</v>
      </c>
      <c r="B3847" s="5">
        <v>57</v>
      </c>
      <c r="C3847" s="5" t="str" cm="1">
        <f t="array" ref="C3847">_xlfn.IFS(worksheet[[#This Row],[age]]&lt;25,"1. Young Adulthood (18-24)",worksheet[[#This Row],[age]]&lt; 35,"2. Early Adulthood (25-34)",worksheet[[#This Row],[age]]&lt; 45,"3. Mid Adulthood (35-44)",worksheet[[#This Row],[age]]&lt; 55,"4. Mature Adulthood (45-54)",TRUE,"5. Late Adulthood/Senior (55+)")</f>
        <v>5. Late Adulthood/Senior (55+)</v>
      </c>
      <c r="D3847" t="s">
        <v>27</v>
      </c>
      <c r="E3847" t="s">
        <v>32</v>
      </c>
      <c r="F3847" s="4">
        <v>28.21</v>
      </c>
      <c r="G3847" s="5">
        <v>1</v>
      </c>
      <c r="H3847" t="s">
        <v>28</v>
      </c>
      <c r="I3847" t="s">
        <v>55</v>
      </c>
      <c r="J3847" s="6">
        <v>17.989999999999998</v>
      </c>
      <c r="K3847">
        <v>0</v>
      </c>
      <c r="L3847" t="s">
        <v>29</v>
      </c>
      <c r="M3847" s="5">
        <v>5</v>
      </c>
      <c r="N3847" s="4">
        <v>14.11</v>
      </c>
      <c r="O3847" t="s">
        <v>52</v>
      </c>
    </row>
    <row r="3848" spans="1:15" x14ac:dyDescent="0.3">
      <c r="A3848" t="s">
        <v>1260</v>
      </c>
      <c r="B3848" s="5">
        <v>63</v>
      </c>
      <c r="C3848" s="5" t="str" cm="1">
        <f t="array" ref="C3848">_xlfn.IFS(worksheet[[#This Row],[age]]&lt;25,"1. Young Adulthood (18-24)",worksheet[[#This Row],[age]]&lt; 35,"2. Early Adulthood (25-34)",worksheet[[#This Row],[age]]&lt; 45,"3. Mid Adulthood (35-44)",worksheet[[#This Row],[age]]&lt; 55,"4. Mature Adulthood (45-54)",TRUE,"5. Late Adulthood/Senior (55+)")</f>
        <v>5. Late Adulthood/Senior (55+)</v>
      </c>
      <c r="D3848" t="s">
        <v>27</v>
      </c>
      <c r="E3848" t="s">
        <v>22</v>
      </c>
      <c r="F3848" s="4">
        <v>6.37</v>
      </c>
      <c r="G3848" s="5">
        <v>48</v>
      </c>
      <c r="H3848" t="s">
        <v>28</v>
      </c>
      <c r="I3848" t="s">
        <v>24</v>
      </c>
      <c r="J3848" s="6">
        <v>13.99</v>
      </c>
      <c r="K3848">
        <v>0</v>
      </c>
      <c r="L3848" t="s">
        <v>61</v>
      </c>
      <c r="M3848" s="5">
        <v>5</v>
      </c>
      <c r="N3848" s="4">
        <v>0.13</v>
      </c>
      <c r="O3848" t="s">
        <v>39</v>
      </c>
    </row>
    <row r="3849" spans="1:15" x14ac:dyDescent="0.3">
      <c r="A3849" t="s">
        <v>1262</v>
      </c>
      <c r="B3849" s="5">
        <v>57</v>
      </c>
      <c r="C3849" s="5" t="str" cm="1">
        <f t="array" ref="C3849">_xlfn.IFS(worksheet[[#This Row],[age]]&lt;25,"1. Young Adulthood (18-24)",worksheet[[#This Row],[age]]&lt; 35,"2. Early Adulthood (25-34)",worksheet[[#This Row],[age]]&lt; 45,"3. Mid Adulthood (35-44)",worksheet[[#This Row],[age]]&lt; 55,"4. Mature Adulthood (45-54)",TRUE,"5. Late Adulthood/Senior (55+)")</f>
        <v>5. Late Adulthood/Senior (55+)</v>
      </c>
      <c r="D3849" t="s">
        <v>15</v>
      </c>
      <c r="E3849" t="s">
        <v>16</v>
      </c>
      <c r="F3849" s="4">
        <v>52.8</v>
      </c>
      <c r="G3849" s="5">
        <v>0</v>
      </c>
      <c r="H3849" t="s">
        <v>23</v>
      </c>
      <c r="I3849" t="s">
        <v>57</v>
      </c>
      <c r="J3849" s="6">
        <v>8.99</v>
      </c>
      <c r="K3849">
        <v>0</v>
      </c>
      <c r="L3849" t="s">
        <v>43</v>
      </c>
      <c r="M3849" s="5">
        <v>2</v>
      </c>
      <c r="N3849" s="4">
        <v>52.8</v>
      </c>
      <c r="O3849" t="s">
        <v>25</v>
      </c>
    </row>
    <row r="3850" spans="1:15" x14ac:dyDescent="0.3">
      <c r="A3850" t="s">
        <v>1263</v>
      </c>
      <c r="B3850" s="5">
        <v>63</v>
      </c>
      <c r="C3850" s="5" t="str" cm="1">
        <f t="array" ref="C3850">_xlfn.IFS(worksheet[[#This Row],[age]]&lt;25,"1. Young Adulthood (18-24)",worksheet[[#This Row],[age]]&lt; 35,"2. Early Adulthood (25-34)",worksheet[[#This Row],[age]]&lt; 45,"3. Mid Adulthood (35-44)",worksheet[[#This Row],[age]]&lt; 55,"4. Mature Adulthood (45-54)",TRUE,"5. Late Adulthood/Senior (55+)")</f>
        <v>5. Late Adulthood/Senior (55+)</v>
      </c>
      <c r="D3850" t="s">
        <v>15</v>
      </c>
      <c r="E3850" t="s">
        <v>16</v>
      </c>
      <c r="F3850" s="4">
        <v>15.77</v>
      </c>
      <c r="G3850" s="5">
        <v>2</v>
      </c>
      <c r="H3850" t="s">
        <v>23</v>
      </c>
      <c r="I3850" t="s">
        <v>57</v>
      </c>
      <c r="J3850" s="6">
        <v>8.99</v>
      </c>
      <c r="K3850">
        <v>0</v>
      </c>
      <c r="L3850" t="s">
        <v>43</v>
      </c>
      <c r="M3850" s="5">
        <v>4</v>
      </c>
      <c r="N3850" s="4">
        <v>5.26</v>
      </c>
      <c r="O3850" t="s">
        <v>30</v>
      </c>
    </row>
    <row r="3851" spans="1:15" x14ac:dyDescent="0.3">
      <c r="A3851" t="s">
        <v>1264</v>
      </c>
      <c r="B3851" s="5">
        <v>69</v>
      </c>
      <c r="C3851" s="5" t="str" cm="1">
        <f t="array" ref="C3851">_xlfn.IFS(worksheet[[#This Row],[age]]&lt;25,"1. Young Adulthood (18-24)",worksheet[[#This Row],[age]]&lt; 35,"2. Early Adulthood (25-34)",worksheet[[#This Row],[age]]&lt; 45,"3. Mid Adulthood (35-44)",worksheet[[#This Row],[age]]&lt; 55,"4. Mature Adulthood (45-54)",TRUE,"5. Late Adulthood/Senior (55+)")</f>
        <v>5. Late Adulthood/Senior (55+)</v>
      </c>
      <c r="D3851" t="s">
        <v>15</v>
      </c>
      <c r="E3851" t="s">
        <v>16</v>
      </c>
      <c r="F3851" s="4">
        <v>13.94</v>
      </c>
      <c r="G3851" s="5">
        <v>32</v>
      </c>
      <c r="H3851" t="s">
        <v>70</v>
      </c>
      <c r="I3851" t="s">
        <v>18</v>
      </c>
      <c r="J3851" s="6">
        <v>8.99</v>
      </c>
      <c r="K3851">
        <v>1</v>
      </c>
      <c r="L3851" t="s">
        <v>43</v>
      </c>
      <c r="M3851" s="5">
        <v>1</v>
      </c>
      <c r="N3851" s="4">
        <v>0.42</v>
      </c>
      <c r="O3851" t="s">
        <v>20</v>
      </c>
    </row>
    <row r="3852" spans="1:15" x14ac:dyDescent="0.3">
      <c r="A3852" t="s">
        <v>1265</v>
      </c>
      <c r="B3852" s="5">
        <v>64</v>
      </c>
      <c r="C3852" s="5" t="str" cm="1">
        <f t="array" ref="C3852">_xlfn.IFS(worksheet[[#This Row],[age]]&lt;25,"1. Young Adulthood (18-24)",worksheet[[#This Row],[age]]&lt; 35,"2. Early Adulthood (25-34)",worksheet[[#This Row],[age]]&lt; 45,"3. Mid Adulthood (35-44)",worksheet[[#This Row],[age]]&lt; 55,"4. Mature Adulthood (45-54)",TRUE,"5. Late Adulthood/Senior (55+)")</f>
        <v>5. Late Adulthood/Senior (55+)</v>
      </c>
      <c r="D3852" t="s">
        <v>27</v>
      </c>
      <c r="E3852" t="s">
        <v>22</v>
      </c>
      <c r="F3852" s="4">
        <v>2.56</v>
      </c>
      <c r="G3852" s="5">
        <v>3</v>
      </c>
      <c r="H3852" t="s">
        <v>70</v>
      </c>
      <c r="I3852" t="s">
        <v>46</v>
      </c>
      <c r="J3852" s="6">
        <v>13.99</v>
      </c>
      <c r="K3852">
        <v>0</v>
      </c>
      <c r="L3852" t="s">
        <v>37</v>
      </c>
      <c r="M3852" s="5">
        <v>4</v>
      </c>
      <c r="N3852" s="4">
        <v>0.64</v>
      </c>
      <c r="O3852" t="s">
        <v>52</v>
      </c>
    </row>
    <row r="3853" spans="1:15" x14ac:dyDescent="0.3">
      <c r="A3853" t="s">
        <v>1266</v>
      </c>
      <c r="B3853" s="5">
        <v>65</v>
      </c>
      <c r="C3853" s="5" t="str" cm="1">
        <f t="array" ref="C3853">_xlfn.IFS(worksheet[[#This Row],[age]]&lt;25,"1. Young Adulthood (18-24)",worksheet[[#This Row],[age]]&lt; 35,"2. Early Adulthood (25-34)",worksheet[[#This Row],[age]]&lt; 45,"3. Mid Adulthood (35-44)",worksheet[[#This Row],[age]]&lt; 55,"4. Mature Adulthood (45-54)",TRUE,"5. Late Adulthood/Senior (55+)")</f>
        <v>5. Late Adulthood/Senior (55+)</v>
      </c>
      <c r="D3853" t="s">
        <v>41</v>
      </c>
      <c r="E3853" t="s">
        <v>22</v>
      </c>
      <c r="F3853" s="4">
        <v>1.55</v>
      </c>
      <c r="G3853" s="5">
        <v>1</v>
      </c>
      <c r="H3853" t="s">
        <v>28</v>
      </c>
      <c r="I3853" t="s">
        <v>46</v>
      </c>
      <c r="J3853" s="6">
        <v>13.99</v>
      </c>
      <c r="K3853">
        <v>0</v>
      </c>
      <c r="L3853" t="s">
        <v>37</v>
      </c>
      <c r="M3853" s="5">
        <v>2</v>
      </c>
      <c r="N3853" s="4">
        <v>0.78</v>
      </c>
      <c r="O3853" t="s">
        <v>34</v>
      </c>
    </row>
    <row r="3854" spans="1:15" x14ac:dyDescent="0.3">
      <c r="A3854" t="s">
        <v>1271</v>
      </c>
      <c r="B3854" s="5">
        <v>69</v>
      </c>
      <c r="C3854" s="5" t="str" cm="1">
        <f t="array" ref="C3854">_xlfn.IFS(worksheet[[#This Row],[age]]&lt;25,"1. Young Adulthood (18-24)",worksheet[[#This Row],[age]]&lt; 35,"2. Early Adulthood (25-34)",worksheet[[#This Row],[age]]&lt; 45,"3. Mid Adulthood (35-44)",worksheet[[#This Row],[age]]&lt; 55,"4. Mature Adulthood (45-54)",TRUE,"5. Late Adulthood/Senior (55+)")</f>
        <v>5. Late Adulthood/Senior (55+)</v>
      </c>
      <c r="D3854" t="s">
        <v>15</v>
      </c>
      <c r="E3854" t="s">
        <v>32</v>
      </c>
      <c r="F3854" s="4">
        <v>1.85</v>
      </c>
      <c r="G3854" s="5">
        <v>33</v>
      </c>
      <c r="H3854" t="s">
        <v>33</v>
      </c>
      <c r="I3854" t="s">
        <v>46</v>
      </c>
      <c r="J3854" s="6">
        <v>17.989999999999998</v>
      </c>
      <c r="K3854">
        <v>1</v>
      </c>
      <c r="L3854" t="s">
        <v>37</v>
      </c>
      <c r="M3854" s="5">
        <v>2</v>
      </c>
      <c r="N3854" s="4">
        <v>0.05</v>
      </c>
      <c r="O3854" t="s">
        <v>30</v>
      </c>
    </row>
    <row r="3855" spans="1:15" x14ac:dyDescent="0.3">
      <c r="A3855" t="s">
        <v>1277</v>
      </c>
      <c r="B3855" s="5">
        <v>66</v>
      </c>
      <c r="C3855" s="5" t="str" cm="1">
        <f t="array" ref="C3855">_xlfn.IFS(worksheet[[#This Row],[age]]&lt;25,"1. Young Adulthood (18-24)",worksheet[[#This Row],[age]]&lt; 35,"2. Early Adulthood (25-34)",worksheet[[#This Row],[age]]&lt; 45,"3. Mid Adulthood (35-44)",worksheet[[#This Row],[age]]&lt; 55,"4. Mature Adulthood (45-54)",TRUE,"5. Late Adulthood/Senior (55+)")</f>
        <v>5. Late Adulthood/Senior (55+)</v>
      </c>
      <c r="D3855" t="s">
        <v>41</v>
      </c>
      <c r="E3855" t="s">
        <v>22</v>
      </c>
      <c r="F3855" s="4">
        <v>12.19</v>
      </c>
      <c r="G3855" s="5">
        <v>24</v>
      </c>
      <c r="H3855" t="s">
        <v>33</v>
      </c>
      <c r="I3855" t="s">
        <v>57</v>
      </c>
      <c r="J3855" s="6">
        <v>13.99</v>
      </c>
      <c r="K3855">
        <v>0</v>
      </c>
      <c r="L3855" t="s">
        <v>37</v>
      </c>
      <c r="M3855" s="5">
        <v>1</v>
      </c>
      <c r="N3855" s="4">
        <v>0.49</v>
      </c>
      <c r="O3855" t="s">
        <v>20</v>
      </c>
    </row>
    <row r="3856" spans="1:15" x14ac:dyDescent="0.3">
      <c r="A3856" t="s">
        <v>1278</v>
      </c>
      <c r="B3856" s="5">
        <v>60</v>
      </c>
      <c r="C3856" s="5" t="str" cm="1">
        <f t="array" ref="C3856">_xlfn.IFS(worksheet[[#This Row],[age]]&lt;25,"1. Young Adulthood (18-24)",worksheet[[#This Row],[age]]&lt; 35,"2. Early Adulthood (25-34)",worksheet[[#This Row],[age]]&lt; 45,"3. Mid Adulthood (35-44)",worksheet[[#This Row],[age]]&lt; 55,"4. Mature Adulthood (45-54)",TRUE,"5. Late Adulthood/Senior (55+)")</f>
        <v>5. Late Adulthood/Senior (55+)</v>
      </c>
      <c r="D3856" t="s">
        <v>41</v>
      </c>
      <c r="E3856" t="s">
        <v>16</v>
      </c>
      <c r="F3856" s="4">
        <v>17.3</v>
      </c>
      <c r="G3856" s="5">
        <v>36</v>
      </c>
      <c r="H3856" t="s">
        <v>23</v>
      </c>
      <c r="I3856" t="s">
        <v>57</v>
      </c>
      <c r="J3856" s="6">
        <v>8.99</v>
      </c>
      <c r="K3856">
        <v>1</v>
      </c>
      <c r="L3856" t="s">
        <v>19</v>
      </c>
      <c r="M3856" s="5">
        <v>3</v>
      </c>
      <c r="N3856" s="4">
        <v>0.47</v>
      </c>
      <c r="O3856" t="s">
        <v>30</v>
      </c>
    </row>
    <row r="3857" spans="1:15" x14ac:dyDescent="0.3">
      <c r="A3857" t="s">
        <v>1284</v>
      </c>
      <c r="B3857" s="5">
        <v>69</v>
      </c>
      <c r="C3857" s="5" t="str" cm="1">
        <f t="array" ref="C3857">_xlfn.IFS(worksheet[[#This Row],[age]]&lt;25,"1. Young Adulthood (18-24)",worksheet[[#This Row],[age]]&lt; 35,"2. Early Adulthood (25-34)",worksheet[[#This Row],[age]]&lt; 45,"3. Mid Adulthood (35-44)",worksheet[[#This Row],[age]]&lt; 55,"4. Mature Adulthood (45-54)",TRUE,"5. Late Adulthood/Senior (55+)")</f>
        <v>5. Late Adulthood/Senior (55+)</v>
      </c>
      <c r="D3857" t="s">
        <v>41</v>
      </c>
      <c r="E3857" t="s">
        <v>16</v>
      </c>
      <c r="F3857" s="4">
        <v>6.06</v>
      </c>
      <c r="G3857" s="5">
        <v>30</v>
      </c>
      <c r="H3857" t="s">
        <v>23</v>
      </c>
      <c r="I3857" t="s">
        <v>18</v>
      </c>
      <c r="J3857" s="6">
        <v>8.99</v>
      </c>
      <c r="K3857">
        <v>0</v>
      </c>
      <c r="L3857" t="s">
        <v>61</v>
      </c>
      <c r="M3857" s="5">
        <v>4</v>
      </c>
      <c r="N3857" s="4">
        <v>0.2</v>
      </c>
      <c r="O3857" t="s">
        <v>39</v>
      </c>
    </row>
    <row r="3858" spans="1:15" x14ac:dyDescent="0.3">
      <c r="A3858" t="s">
        <v>1285</v>
      </c>
      <c r="B3858" s="5">
        <v>55</v>
      </c>
      <c r="C3858" s="5" t="str" cm="1">
        <f t="array" ref="C3858">_xlfn.IFS(worksheet[[#This Row],[age]]&lt;25,"1. Young Adulthood (18-24)",worksheet[[#This Row],[age]]&lt; 35,"2. Early Adulthood (25-34)",worksheet[[#This Row],[age]]&lt; 45,"3. Mid Adulthood (35-44)",worksheet[[#This Row],[age]]&lt; 55,"4. Mature Adulthood (45-54)",TRUE,"5. Late Adulthood/Senior (55+)")</f>
        <v>5. Late Adulthood/Senior (55+)</v>
      </c>
      <c r="D3858" t="s">
        <v>27</v>
      </c>
      <c r="E3858" t="s">
        <v>16</v>
      </c>
      <c r="F3858" s="4">
        <v>24.21</v>
      </c>
      <c r="G3858" s="5">
        <v>35</v>
      </c>
      <c r="H3858" t="s">
        <v>33</v>
      </c>
      <c r="I3858" t="s">
        <v>46</v>
      </c>
      <c r="J3858" s="6">
        <v>8.99</v>
      </c>
      <c r="K3858">
        <v>0</v>
      </c>
      <c r="L3858" t="s">
        <v>43</v>
      </c>
      <c r="M3858" s="5">
        <v>1</v>
      </c>
      <c r="N3858" s="4">
        <v>0.67</v>
      </c>
      <c r="O3858" t="s">
        <v>30</v>
      </c>
    </row>
    <row r="3859" spans="1:15" x14ac:dyDescent="0.3">
      <c r="A3859" t="s">
        <v>1290</v>
      </c>
      <c r="B3859" s="5">
        <v>58</v>
      </c>
      <c r="C3859" s="5" t="str" cm="1">
        <f t="array" ref="C3859">_xlfn.IFS(worksheet[[#This Row],[age]]&lt;25,"1. Young Adulthood (18-24)",worksheet[[#This Row],[age]]&lt; 35,"2. Early Adulthood (25-34)",worksheet[[#This Row],[age]]&lt; 45,"3. Mid Adulthood (35-44)",worksheet[[#This Row],[age]]&lt; 55,"4. Mature Adulthood (45-54)",TRUE,"5. Late Adulthood/Senior (55+)")</f>
        <v>5. Late Adulthood/Senior (55+)</v>
      </c>
      <c r="D3859" t="s">
        <v>15</v>
      </c>
      <c r="E3859" t="s">
        <v>16</v>
      </c>
      <c r="F3859" s="4">
        <v>6.1</v>
      </c>
      <c r="G3859" s="5">
        <v>26</v>
      </c>
      <c r="H3859" t="s">
        <v>33</v>
      </c>
      <c r="I3859" t="s">
        <v>57</v>
      </c>
      <c r="J3859" s="6">
        <v>8.99</v>
      </c>
      <c r="K3859">
        <v>0</v>
      </c>
      <c r="L3859" t="s">
        <v>61</v>
      </c>
      <c r="M3859" s="5">
        <v>2</v>
      </c>
      <c r="N3859" s="4">
        <v>0.23</v>
      </c>
      <c r="O3859" t="s">
        <v>47</v>
      </c>
    </row>
    <row r="3860" spans="1:15" x14ac:dyDescent="0.3">
      <c r="A3860" t="s">
        <v>1297</v>
      </c>
      <c r="B3860" s="5">
        <v>60</v>
      </c>
      <c r="C3860" s="5" t="str" cm="1">
        <f t="array" ref="C3860">_xlfn.IFS(worksheet[[#This Row],[age]]&lt;25,"1. Young Adulthood (18-24)",worksheet[[#This Row],[age]]&lt; 35,"2. Early Adulthood (25-34)",worksheet[[#This Row],[age]]&lt; 45,"3. Mid Adulthood (35-44)",worksheet[[#This Row],[age]]&lt; 55,"4. Mature Adulthood (45-54)",TRUE,"5. Late Adulthood/Senior (55+)")</f>
        <v>5. Late Adulthood/Senior (55+)</v>
      </c>
      <c r="D3860" t="s">
        <v>15</v>
      </c>
      <c r="E3860" t="s">
        <v>22</v>
      </c>
      <c r="F3860" s="4">
        <v>4.57</v>
      </c>
      <c r="G3860" s="5">
        <v>60</v>
      </c>
      <c r="H3860" t="s">
        <v>33</v>
      </c>
      <c r="I3860" t="s">
        <v>18</v>
      </c>
      <c r="J3860" s="6">
        <v>13.99</v>
      </c>
      <c r="K3860">
        <v>1</v>
      </c>
      <c r="L3860" t="s">
        <v>19</v>
      </c>
      <c r="M3860" s="5">
        <v>3</v>
      </c>
      <c r="N3860" s="4">
        <v>7.0000000000000007E-2</v>
      </c>
      <c r="O3860" t="s">
        <v>39</v>
      </c>
    </row>
    <row r="3861" spans="1:15" x14ac:dyDescent="0.3">
      <c r="A3861" t="s">
        <v>1299</v>
      </c>
      <c r="B3861" s="5">
        <v>55</v>
      </c>
      <c r="C3861" s="5" t="str" cm="1">
        <f t="array" ref="C3861">_xlfn.IFS(worksheet[[#This Row],[age]]&lt;25,"1. Young Adulthood (18-24)",worksheet[[#This Row],[age]]&lt; 35,"2. Early Adulthood (25-34)",worksheet[[#This Row],[age]]&lt; 45,"3. Mid Adulthood (35-44)",worksheet[[#This Row],[age]]&lt; 55,"4. Mature Adulthood (45-54)",TRUE,"5. Late Adulthood/Senior (55+)")</f>
        <v>5. Late Adulthood/Senior (55+)</v>
      </c>
      <c r="D3861" t="s">
        <v>41</v>
      </c>
      <c r="E3861" t="s">
        <v>22</v>
      </c>
      <c r="F3861" s="4">
        <v>43.73</v>
      </c>
      <c r="G3861" s="5">
        <v>28</v>
      </c>
      <c r="H3861" t="s">
        <v>70</v>
      </c>
      <c r="I3861" t="s">
        <v>46</v>
      </c>
      <c r="J3861" s="6">
        <v>13.99</v>
      </c>
      <c r="K3861">
        <v>0</v>
      </c>
      <c r="L3861" t="s">
        <v>43</v>
      </c>
      <c r="M3861" s="5">
        <v>4</v>
      </c>
      <c r="N3861" s="4">
        <v>1.51</v>
      </c>
      <c r="O3861" t="s">
        <v>34</v>
      </c>
    </row>
    <row r="3862" spans="1:15" x14ac:dyDescent="0.3">
      <c r="A3862" t="s">
        <v>1307</v>
      </c>
      <c r="B3862" s="5">
        <v>66</v>
      </c>
      <c r="C3862" s="5" t="str" cm="1">
        <f t="array" ref="C3862">_xlfn.IFS(worksheet[[#This Row],[age]]&lt;25,"1. Young Adulthood (18-24)",worksheet[[#This Row],[age]]&lt; 35,"2. Early Adulthood (25-34)",worksheet[[#This Row],[age]]&lt; 45,"3. Mid Adulthood (35-44)",worksheet[[#This Row],[age]]&lt; 55,"4. Mature Adulthood (45-54)",TRUE,"5. Late Adulthood/Senior (55+)")</f>
        <v>5. Late Adulthood/Senior (55+)</v>
      </c>
      <c r="D3862" t="s">
        <v>27</v>
      </c>
      <c r="E3862" t="s">
        <v>22</v>
      </c>
      <c r="F3862" s="4">
        <v>18.96</v>
      </c>
      <c r="G3862" s="5">
        <v>6</v>
      </c>
      <c r="H3862" t="s">
        <v>49</v>
      </c>
      <c r="I3862" t="s">
        <v>46</v>
      </c>
      <c r="J3862" s="6">
        <v>13.99</v>
      </c>
      <c r="K3862">
        <v>0</v>
      </c>
      <c r="L3862" t="s">
        <v>19</v>
      </c>
      <c r="M3862" s="5">
        <v>3</v>
      </c>
      <c r="N3862" s="4">
        <v>2.71</v>
      </c>
      <c r="O3862" t="s">
        <v>20</v>
      </c>
    </row>
    <row r="3863" spans="1:15" x14ac:dyDescent="0.3">
      <c r="A3863" t="s">
        <v>1308</v>
      </c>
      <c r="B3863" s="5">
        <v>65</v>
      </c>
      <c r="C3863" s="5" t="str" cm="1">
        <f t="array" ref="C3863">_xlfn.IFS(worksheet[[#This Row],[age]]&lt;25,"1. Young Adulthood (18-24)",worksheet[[#This Row],[age]]&lt; 35,"2. Early Adulthood (25-34)",worksheet[[#This Row],[age]]&lt; 45,"3. Mid Adulthood (35-44)",worksheet[[#This Row],[age]]&lt; 55,"4. Mature Adulthood (45-54)",TRUE,"5. Late Adulthood/Senior (55+)")</f>
        <v>5. Late Adulthood/Senior (55+)</v>
      </c>
      <c r="D3863" t="s">
        <v>15</v>
      </c>
      <c r="E3863" t="s">
        <v>16</v>
      </c>
      <c r="F3863" s="4">
        <v>15.79</v>
      </c>
      <c r="G3863" s="5">
        <v>22</v>
      </c>
      <c r="H3863" t="s">
        <v>49</v>
      </c>
      <c r="I3863" t="s">
        <v>24</v>
      </c>
      <c r="J3863" s="6">
        <v>8.99</v>
      </c>
      <c r="K3863">
        <v>0</v>
      </c>
      <c r="L3863" t="s">
        <v>37</v>
      </c>
      <c r="M3863" s="5">
        <v>5</v>
      </c>
      <c r="N3863" s="4">
        <v>0.69</v>
      </c>
      <c r="O3863" t="s">
        <v>25</v>
      </c>
    </row>
    <row r="3864" spans="1:15" x14ac:dyDescent="0.3">
      <c r="A3864" t="s">
        <v>1309</v>
      </c>
      <c r="B3864" s="5">
        <v>64</v>
      </c>
      <c r="C3864" s="5" t="str" cm="1">
        <f t="array" ref="C3864">_xlfn.IFS(worksheet[[#This Row],[age]]&lt;25,"1. Young Adulthood (18-24)",worksheet[[#This Row],[age]]&lt; 35,"2. Early Adulthood (25-34)",worksheet[[#This Row],[age]]&lt; 45,"3. Mid Adulthood (35-44)",worksheet[[#This Row],[age]]&lt; 55,"4. Mature Adulthood (45-54)",TRUE,"5. Late Adulthood/Senior (55+)")</f>
        <v>5. Late Adulthood/Senior (55+)</v>
      </c>
      <c r="D3864" t="s">
        <v>15</v>
      </c>
      <c r="E3864" t="s">
        <v>16</v>
      </c>
      <c r="F3864" s="4">
        <v>15.26</v>
      </c>
      <c r="G3864" s="5">
        <v>48</v>
      </c>
      <c r="H3864" t="s">
        <v>28</v>
      </c>
      <c r="I3864" t="s">
        <v>24</v>
      </c>
      <c r="J3864" s="6">
        <v>8.99</v>
      </c>
      <c r="K3864">
        <v>1</v>
      </c>
      <c r="L3864" t="s">
        <v>61</v>
      </c>
      <c r="M3864" s="5">
        <v>1</v>
      </c>
      <c r="N3864" s="4">
        <v>0.31</v>
      </c>
      <c r="O3864" t="s">
        <v>47</v>
      </c>
    </row>
    <row r="3865" spans="1:15" x14ac:dyDescent="0.3">
      <c r="A3865" t="s">
        <v>1311</v>
      </c>
      <c r="B3865" s="5">
        <v>55</v>
      </c>
      <c r="C3865" s="5" t="str" cm="1">
        <f t="array" ref="C3865">_xlfn.IFS(worksheet[[#This Row],[age]]&lt;25,"1. Young Adulthood (18-24)",worksheet[[#This Row],[age]]&lt; 35,"2. Early Adulthood (25-34)",worksheet[[#This Row],[age]]&lt; 45,"3. Mid Adulthood (35-44)",worksheet[[#This Row],[age]]&lt; 55,"4. Mature Adulthood (45-54)",TRUE,"5. Late Adulthood/Senior (55+)")</f>
        <v>5. Late Adulthood/Senior (55+)</v>
      </c>
      <c r="D3865" t="s">
        <v>27</v>
      </c>
      <c r="E3865" t="s">
        <v>32</v>
      </c>
      <c r="F3865" s="4">
        <v>20.71</v>
      </c>
      <c r="G3865" s="5">
        <v>7</v>
      </c>
      <c r="H3865" t="s">
        <v>70</v>
      </c>
      <c r="I3865" t="s">
        <v>24</v>
      </c>
      <c r="J3865" s="6">
        <v>17.989999999999998</v>
      </c>
      <c r="K3865">
        <v>0</v>
      </c>
      <c r="L3865" t="s">
        <v>37</v>
      </c>
      <c r="M3865" s="5">
        <v>5</v>
      </c>
      <c r="N3865" s="4">
        <v>2.59</v>
      </c>
      <c r="O3865" t="s">
        <v>25</v>
      </c>
    </row>
    <row r="3866" spans="1:15" x14ac:dyDescent="0.3">
      <c r="A3866" t="s">
        <v>1312</v>
      </c>
      <c r="B3866" s="5">
        <v>62</v>
      </c>
      <c r="C3866" s="5" t="str" cm="1">
        <f t="array" ref="C3866">_xlfn.IFS(worksheet[[#This Row],[age]]&lt;25,"1. Young Adulthood (18-24)",worksheet[[#This Row],[age]]&lt; 35,"2. Early Adulthood (25-34)",worksheet[[#This Row],[age]]&lt; 45,"3. Mid Adulthood (35-44)",worksheet[[#This Row],[age]]&lt; 55,"4. Mature Adulthood (45-54)",TRUE,"5. Late Adulthood/Senior (55+)")</f>
        <v>5. Late Adulthood/Senior (55+)</v>
      </c>
      <c r="D3866" t="s">
        <v>41</v>
      </c>
      <c r="E3866" t="s">
        <v>16</v>
      </c>
      <c r="F3866" s="4">
        <v>11.99</v>
      </c>
      <c r="G3866" s="5">
        <v>7</v>
      </c>
      <c r="H3866" t="s">
        <v>23</v>
      </c>
      <c r="I3866" t="s">
        <v>18</v>
      </c>
      <c r="J3866" s="6">
        <v>8.99</v>
      </c>
      <c r="K3866">
        <v>0</v>
      </c>
      <c r="L3866" t="s">
        <v>43</v>
      </c>
      <c r="M3866" s="5">
        <v>2</v>
      </c>
      <c r="N3866" s="4">
        <v>1.5</v>
      </c>
      <c r="O3866" t="s">
        <v>39</v>
      </c>
    </row>
    <row r="3867" spans="1:15" x14ac:dyDescent="0.3">
      <c r="A3867" t="s">
        <v>1313</v>
      </c>
      <c r="B3867" s="5">
        <v>59</v>
      </c>
      <c r="C3867" s="5" t="str" cm="1">
        <f t="array" ref="C3867">_xlfn.IFS(worksheet[[#This Row],[age]]&lt;25,"1. Young Adulthood (18-24)",worksheet[[#This Row],[age]]&lt; 35,"2. Early Adulthood (25-34)",worksheet[[#This Row],[age]]&lt; 45,"3. Mid Adulthood (35-44)",worksheet[[#This Row],[age]]&lt; 55,"4. Mature Adulthood (45-54)",TRUE,"5. Late Adulthood/Senior (55+)")</f>
        <v>5. Late Adulthood/Senior (55+)</v>
      </c>
      <c r="D3867" t="s">
        <v>27</v>
      </c>
      <c r="E3867" t="s">
        <v>16</v>
      </c>
      <c r="F3867" s="4">
        <v>0.75</v>
      </c>
      <c r="G3867" s="5">
        <v>6</v>
      </c>
      <c r="H3867" t="s">
        <v>33</v>
      </c>
      <c r="I3867" t="s">
        <v>18</v>
      </c>
      <c r="J3867" s="6">
        <v>8.99</v>
      </c>
      <c r="K3867">
        <v>1</v>
      </c>
      <c r="L3867" t="s">
        <v>37</v>
      </c>
      <c r="M3867" s="5">
        <v>3</v>
      </c>
      <c r="N3867" s="4">
        <v>0.11</v>
      </c>
      <c r="O3867" t="s">
        <v>39</v>
      </c>
    </row>
    <row r="3868" spans="1:15" x14ac:dyDescent="0.3">
      <c r="A3868" t="s">
        <v>1314</v>
      </c>
      <c r="B3868" s="5">
        <v>55</v>
      </c>
      <c r="C3868" s="5" t="str" cm="1">
        <f t="array" ref="C3868">_xlfn.IFS(worksheet[[#This Row],[age]]&lt;25,"1. Young Adulthood (18-24)",worksheet[[#This Row],[age]]&lt; 35,"2. Early Adulthood (25-34)",worksheet[[#This Row],[age]]&lt; 45,"3. Mid Adulthood (35-44)",worksheet[[#This Row],[age]]&lt; 55,"4. Mature Adulthood (45-54)",TRUE,"5. Late Adulthood/Senior (55+)")</f>
        <v>5. Late Adulthood/Senior (55+)</v>
      </c>
      <c r="D3868" t="s">
        <v>15</v>
      </c>
      <c r="E3868" t="s">
        <v>22</v>
      </c>
      <c r="F3868" s="4">
        <v>3.19</v>
      </c>
      <c r="G3868" s="5">
        <v>45</v>
      </c>
      <c r="H3868" t="s">
        <v>49</v>
      </c>
      <c r="I3868" t="s">
        <v>24</v>
      </c>
      <c r="J3868" s="6">
        <v>13.99</v>
      </c>
      <c r="K3868">
        <v>1</v>
      </c>
      <c r="L3868" t="s">
        <v>19</v>
      </c>
      <c r="M3868" s="5">
        <v>2</v>
      </c>
      <c r="N3868" s="4">
        <v>7.0000000000000007E-2</v>
      </c>
      <c r="O3868" t="s">
        <v>47</v>
      </c>
    </row>
    <row r="3869" spans="1:15" x14ac:dyDescent="0.3">
      <c r="A3869" t="s">
        <v>1320</v>
      </c>
      <c r="B3869" s="5">
        <v>55</v>
      </c>
      <c r="C3869" s="5" t="str" cm="1">
        <f t="array" ref="C3869">_xlfn.IFS(worksheet[[#This Row],[age]]&lt;25,"1. Young Adulthood (18-24)",worksheet[[#This Row],[age]]&lt; 35,"2. Early Adulthood (25-34)",worksheet[[#This Row],[age]]&lt; 45,"3. Mid Adulthood (35-44)",worksheet[[#This Row],[age]]&lt; 55,"4. Mature Adulthood (45-54)",TRUE,"5. Late Adulthood/Senior (55+)")</f>
        <v>5. Late Adulthood/Senior (55+)</v>
      </c>
      <c r="D3869" t="s">
        <v>15</v>
      </c>
      <c r="E3869" t="s">
        <v>32</v>
      </c>
      <c r="F3869" s="4">
        <v>1.98</v>
      </c>
      <c r="G3869" s="5">
        <v>25</v>
      </c>
      <c r="H3869" t="s">
        <v>49</v>
      </c>
      <c r="I3869" t="s">
        <v>24</v>
      </c>
      <c r="J3869" s="6">
        <v>17.989999999999998</v>
      </c>
      <c r="K3869">
        <v>1</v>
      </c>
      <c r="L3869" t="s">
        <v>19</v>
      </c>
      <c r="M3869" s="5">
        <v>2</v>
      </c>
      <c r="N3869" s="4">
        <v>0.08</v>
      </c>
      <c r="O3869" t="s">
        <v>39</v>
      </c>
    </row>
    <row r="3870" spans="1:15" x14ac:dyDescent="0.3">
      <c r="A3870" t="s">
        <v>1321</v>
      </c>
      <c r="B3870" s="5">
        <v>67</v>
      </c>
      <c r="C3870" s="5" t="str" cm="1">
        <f t="array" ref="C3870">_xlfn.IFS(worksheet[[#This Row],[age]]&lt;25,"1. Young Adulthood (18-24)",worksheet[[#This Row],[age]]&lt; 35,"2. Early Adulthood (25-34)",worksheet[[#This Row],[age]]&lt; 45,"3. Mid Adulthood (35-44)",worksheet[[#This Row],[age]]&lt; 55,"4. Mature Adulthood (45-54)",TRUE,"5. Late Adulthood/Senior (55+)")</f>
        <v>5. Late Adulthood/Senior (55+)</v>
      </c>
      <c r="D3870" t="s">
        <v>27</v>
      </c>
      <c r="E3870" t="s">
        <v>16</v>
      </c>
      <c r="F3870" s="4">
        <v>5.74</v>
      </c>
      <c r="G3870" s="5">
        <v>1</v>
      </c>
      <c r="H3870" t="s">
        <v>17</v>
      </c>
      <c r="I3870" t="s">
        <v>46</v>
      </c>
      <c r="J3870" s="6">
        <v>8.99</v>
      </c>
      <c r="K3870">
        <v>0</v>
      </c>
      <c r="L3870" t="s">
        <v>61</v>
      </c>
      <c r="M3870" s="5">
        <v>5</v>
      </c>
      <c r="N3870" s="4">
        <v>2.87</v>
      </c>
      <c r="O3870" t="s">
        <v>30</v>
      </c>
    </row>
    <row r="3871" spans="1:15" x14ac:dyDescent="0.3">
      <c r="A3871" t="s">
        <v>1322</v>
      </c>
      <c r="B3871" s="5">
        <v>62</v>
      </c>
      <c r="C3871" s="5" t="str" cm="1">
        <f t="array" ref="C3871">_xlfn.IFS(worksheet[[#This Row],[age]]&lt;25,"1. Young Adulthood (18-24)",worksheet[[#This Row],[age]]&lt; 35,"2. Early Adulthood (25-34)",worksheet[[#This Row],[age]]&lt; 45,"3. Mid Adulthood (35-44)",worksheet[[#This Row],[age]]&lt; 55,"4. Mature Adulthood (45-54)",TRUE,"5. Late Adulthood/Senior (55+)")</f>
        <v>5. Late Adulthood/Senior (55+)</v>
      </c>
      <c r="D3871" t="s">
        <v>27</v>
      </c>
      <c r="E3871" t="s">
        <v>16</v>
      </c>
      <c r="F3871" s="4">
        <v>1.04</v>
      </c>
      <c r="G3871" s="5">
        <v>16</v>
      </c>
      <c r="H3871" t="s">
        <v>70</v>
      </c>
      <c r="I3871" t="s">
        <v>24</v>
      </c>
      <c r="J3871" s="6">
        <v>8.99</v>
      </c>
      <c r="K3871">
        <v>1</v>
      </c>
      <c r="L3871" t="s">
        <v>61</v>
      </c>
      <c r="M3871" s="5">
        <v>5</v>
      </c>
      <c r="N3871" s="4">
        <v>0.06</v>
      </c>
      <c r="O3871" t="s">
        <v>47</v>
      </c>
    </row>
    <row r="3872" spans="1:15" x14ac:dyDescent="0.3">
      <c r="A3872" t="s">
        <v>1323</v>
      </c>
      <c r="B3872" s="5">
        <v>69</v>
      </c>
      <c r="C3872" s="5" t="str" cm="1">
        <f t="array" ref="C3872">_xlfn.IFS(worksheet[[#This Row],[age]]&lt;25,"1. Young Adulthood (18-24)",worksheet[[#This Row],[age]]&lt; 35,"2. Early Adulthood (25-34)",worksheet[[#This Row],[age]]&lt; 45,"3. Mid Adulthood (35-44)",worksheet[[#This Row],[age]]&lt; 55,"4. Mature Adulthood (45-54)",TRUE,"5. Late Adulthood/Senior (55+)")</f>
        <v>5. Late Adulthood/Senior (55+)</v>
      </c>
      <c r="D3872" t="s">
        <v>27</v>
      </c>
      <c r="E3872" t="s">
        <v>22</v>
      </c>
      <c r="F3872" s="4">
        <v>3.47</v>
      </c>
      <c r="G3872" s="5">
        <v>58</v>
      </c>
      <c r="H3872" t="s">
        <v>49</v>
      </c>
      <c r="I3872" t="s">
        <v>46</v>
      </c>
      <c r="J3872" s="6">
        <v>13.99</v>
      </c>
      <c r="K3872">
        <v>1</v>
      </c>
      <c r="L3872" t="s">
        <v>19</v>
      </c>
      <c r="M3872" s="5">
        <v>3</v>
      </c>
      <c r="N3872" s="4">
        <v>0.06</v>
      </c>
      <c r="O3872" t="s">
        <v>47</v>
      </c>
    </row>
    <row r="3873" spans="1:15" x14ac:dyDescent="0.3">
      <c r="A3873" t="s">
        <v>1326</v>
      </c>
      <c r="B3873" s="5">
        <v>60</v>
      </c>
      <c r="C3873" s="5" t="str" cm="1">
        <f t="array" ref="C3873">_xlfn.IFS(worksheet[[#This Row],[age]]&lt;25,"1. Young Adulthood (18-24)",worksheet[[#This Row],[age]]&lt; 35,"2. Early Adulthood (25-34)",worksheet[[#This Row],[age]]&lt; 45,"3. Mid Adulthood (35-44)",worksheet[[#This Row],[age]]&lt; 55,"4. Mature Adulthood (45-54)",TRUE,"5. Late Adulthood/Senior (55+)")</f>
        <v>5. Late Adulthood/Senior (55+)</v>
      </c>
      <c r="D3873" t="s">
        <v>41</v>
      </c>
      <c r="E3873" t="s">
        <v>32</v>
      </c>
      <c r="F3873" s="4">
        <v>10.71</v>
      </c>
      <c r="G3873" s="5">
        <v>53</v>
      </c>
      <c r="H3873" t="s">
        <v>49</v>
      </c>
      <c r="I3873" t="s">
        <v>55</v>
      </c>
      <c r="J3873" s="6">
        <v>17.989999999999998</v>
      </c>
      <c r="K3873">
        <v>1</v>
      </c>
      <c r="L3873" t="s">
        <v>61</v>
      </c>
      <c r="M3873" s="5">
        <v>1</v>
      </c>
      <c r="N3873" s="4">
        <v>0.2</v>
      </c>
      <c r="O3873" t="s">
        <v>52</v>
      </c>
    </row>
    <row r="3874" spans="1:15" x14ac:dyDescent="0.3">
      <c r="A3874" t="s">
        <v>1327</v>
      </c>
      <c r="B3874" s="5">
        <v>56</v>
      </c>
      <c r="C3874" s="5" t="str" cm="1">
        <f t="array" ref="C3874">_xlfn.IFS(worksheet[[#This Row],[age]]&lt;25,"1. Young Adulthood (18-24)",worksheet[[#This Row],[age]]&lt; 35,"2. Early Adulthood (25-34)",worksheet[[#This Row],[age]]&lt; 45,"3. Mid Adulthood (35-44)",worksheet[[#This Row],[age]]&lt; 55,"4. Mature Adulthood (45-54)",TRUE,"5. Late Adulthood/Senior (55+)")</f>
        <v>5. Late Adulthood/Senior (55+)</v>
      </c>
      <c r="D3874" t="s">
        <v>15</v>
      </c>
      <c r="E3874" t="s">
        <v>16</v>
      </c>
      <c r="F3874" s="4">
        <v>4.78</v>
      </c>
      <c r="G3874" s="5">
        <v>51</v>
      </c>
      <c r="H3874" t="s">
        <v>33</v>
      </c>
      <c r="I3874" t="s">
        <v>55</v>
      </c>
      <c r="J3874" s="6">
        <v>8.99</v>
      </c>
      <c r="K3874">
        <v>1</v>
      </c>
      <c r="L3874" t="s">
        <v>19</v>
      </c>
      <c r="M3874" s="5">
        <v>1</v>
      </c>
      <c r="N3874" s="4">
        <v>0.09</v>
      </c>
      <c r="O3874" t="s">
        <v>39</v>
      </c>
    </row>
    <row r="3875" spans="1:15" x14ac:dyDescent="0.3">
      <c r="A3875" t="s">
        <v>1328</v>
      </c>
      <c r="B3875" s="5">
        <v>65</v>
      </c>
      <c r="C3875" s="5" t="str" cm="1">
        <f t="array" ref="C3875">_xlfn.IFS(worksheet[[#This Row],[age]]&lt;25,"1. Young Adulthood (18-24)",worksheet[[#This Row],[age]]&lt; 35,"2. Early Adulthood (25-34)",worksheet[[#This Row],[age]]&lt; 45,"3. Mid Adulthood (35-44)",worksheet[[#This Row],[age]]&lt; 55,"4. Mature Adulthood (45-54)",TRUE,"5. Late Adulthood/Senior (55+)")</f>
        <v>5. Late Adulthood/Senior (55+)</v>
      </c>
      <c r="D3875" t="s">
        <v>15</v>
      </c>
      <c r="E3875" t="s">
        <v>32</v>
      </c>
      <c r="F3875" s="4">
        <v>4.1100000000000003</v>
      </c>
      <c r="G3875" s="5">
        <v>41</v>
      </c>
      <c r="H3875" t="s">
        <v>28</v>
      </c>
      <c r="I3875" t="s">
        <v>24</v>
      </c>
      <c r="J3875" s="6">
        <v>17.989999999999998</v>
      </c>
      <c r="K3875">
        <v>1</v>
      </c>
      <c r="L3875" t="s">
        <v>19</v>
      </c>
      <c r="M3875" s="5">
        <v>2</v>
      </c>
      <c r="N3875" s="4">
        <v>0.1</v>
      </c>
      <c r="O3875" t="s">
        <v>30</v>
      </c>
    </row>
    <row r="3876" spans="1:15" x14ac:dyDescent="0.3">
      <c r="A3876" t="s">
        <v>1329</v>
      </c>
      <c r="B3876" s="5">
        <v>67</v>
      </c>
      <c r="C3876" s="5" t="str" cm="1">
        <f t="array" ref="C3876">_xlfn.IFS(worksheet[[#This Row],[age]]&lt;25,"1. Young Adulthood (18-24)",worksheet[[#This Row],[age]]&lt; 35,"2. Early Adulthood (25-34)",worksheet[[#This Row],[age]]&lt; 45,"3. Mid Adulthood (35-44)",worksheet[[#This Row],[age]]&lt; 55,"4. Mature Adulthood (45-54)",TRUE,"5. Late Adulthood/Senior (55+)")</f>
        <v>5. Late Adulthood/Senior (55+)</v>
      </c>
      <c r="D3876" t="s">
        <v>41</v>
      </c>
      <c r="E3876" t="s">
        <v>16</v>
      </c>
      <c r="F3876" s="4">
        <v>6.47</v>
      </c>
      <c r="G3876" s="5">
        <v>47</v>
      </c>
      <c r="H3876" t="s">
        <v>23</v>
      </c>
      <c r="I3876" t="s">
        <v>18</v>
      </c>
      <c r="J3876" s="6">
        <v>8.99</v>
      </c>
      <c r="K3876">
        <v>1</v>
      </c>
      <c r="L3876" t="s">
        <v>43</v>
      </c>
      <c r="M3876" s="5">
        <v>2</v>
      </c>
      <c r="N3876" s="4">
        <v>0.13</v>
      </c>
      <c r="O3876" t="s">
        <v>25</v>
      </c>
    </row>
    <row r="3877" spans="1:15" x14ac:dyDescent="0.3">
      <c r="A3877" t="s">
        <v>1330</v>
      </c>
      <c r="B3877" s="5">
        <v>58</v>
      </c>
      <c r="C3877" s="5" t="str" cm="1">
        <f t="array" ref="C3877">_xlfn.IFS(worksheet[[#This Row],[age]]&lt;25,"1. Young Adulthood (18-24)",worksheet[[#This Row],[age]]&lt; 35,"2. Early Adulthood (25-34)",worksheet[[#This Row],[age]]&lt; 45,"3. Mid Adulthood (35-44)",worksheet[[#This Row],[age]]&lt; 55,"4. Mature Adulthood (45-54)",TRUE,"5. Late Adulthood/Senior (55+)")</f>
        <v>5. Late Adulthood/Senior (55+)</v>
      </c>
      <c r="D3877" t="s">
        <v>15</v>
      </c>
      <c r="E3877" t="s">
        <v>16</v>
      </c>
      <c r="F3877" s="4">
        <v>10.29</v>
      </c>
      <c r="G3877" s="5">
        <v>26</v>
      </c>
      <c r="H3877" t="s">
        <v>49</v>
      </c>
      <c r="I3877" t="s">
        <v>24</v>
      </c>
      <c r="J3877" s="6">
        <v>8.99</v>
      </c>
      <c r="K3877">
        <v>1</v>
      </c>
      <c r="L3877" t="s">
        <v>43</v>
      </c>
      <c r="M3877" s="5">
        <v>1</v>
      </c>
      <c r="N3877" s="4">
        <v>0.38</v>
      </c>
      <c r="O3877" t="s">
        <v>39</v>
      </c>
    </row>
    <row r="3878" spans="1:15" x14ac:dyDescent="0.3">
      <c r="A3878" t="s">
        <v>1331</v>
      </c>
      <c r="B3878" s="5">
        <v>65</v>
      </c>
      <c r="C3878" s="5" t="str" cm="1">
        <f t="array" ref="C3878">_xlfn.IFS(worksheet[[#This Row],[age]]&lt;25,"1. Young Adulthood (18-24)",worksheet[[#This Row],[age]]&lt; 35,"2. Early Adulthood (25-34)",worksheet[[#This Row],[age]]&lt; 45,"3. Mid Adulthood (35-44)",worksheet[[#This Row],[age]]&lt; 55,"4. Mature Adulthood (45-54)",TRUE,"5. Late Adulthood/Senior (55+)")</f>
        <v>5. Late Adulthood/Senior (55+)</v>
      </c>
      <c r="D3878" t="s">
        <v>27</v>
      </c>
      <c r="E3878" t="s">
        <v>16</v>
      </c>
      <c r="F3878" s="4">
        <v>10.17</v>
      </c>
      <c r="G3878" s="5">
        <v>19</v>
      </c>
      <c r="H3878" t="s">
        <v>28</v>
      </c>
      <c r="I3878" t="s">
        <v>24</v>
      </c>
      <c r="J3878" s="6">
        <v>8.99</v>
      </c>
      <c r="K3878">
        <v>0</v>
      </c>
      <c r="L3878" t="s">
        <v>37</v>
      </c>
      <c r="M3878" s="5">
        <v>5</v>
      </c>
      <c r="N3878" s="4">
        <v>0.51</v>
      </c>
      <c r="O3878" t="s">
        <v>52</v>
      </c>
    </row>
    <row r="3879" spans="1:15" x14ac:dyDescent="0.3">
      <c r="A3879" t="s">
        <v>1332</v>
      </c>
      <c r="B3879" s="5">
        <v>63</v>
      </c>
      <c r="C3879" s="5" t="str" cm="1">
        <f t="array" ref="C3879">_xlfn.IFS(worksheet[[#This Row],[age]]&lt;25,"1. Young Adulthood (18-24)",worksheet[[#This Row],[age]]&lt; 35,"2. Early Adulthood (25-34)",worksheet[[#This Row],[age]]&lt; 45,"3. Mid Adulthood (35-44)",worksheet[[#This Row],[age]]&lt; 55,"4. Mature Adulthood (45-54)",TRUE,"5. Late Adulthood/Senior (55+)")</f>
        <v>5. Late Adulthood/Senior (55+)</v>
      </c>
      <c r="D3879" t="s">
        <v>27</v>
      </c>
      <c r="E3879" t="s">
        <v>16</v>
      </c>
      <c r="F3879" s="4">
        <v>22.9</v>
      </c>
      <c r="G3879" s="5">
        <v>11</v>
      </c>
      <c r="H3879" t="s">
        <v>23</v>
      </c>
      <c r="I3879" t="s">
        <v>18</v>
      </c>
      <c r="J3879" s="6">
        <v>8.99</v>
      </c>
      <c r="K3879">
        <v>0</v>
      </c>
      <c r="L3879" t="s">
        <v>61</v>
      </c>
      <c r="M3879" s="5">
        <v>1</v>
      </c>
      <c r="N3879" s="4">
        <v>1.91</v>
      </c>
      <c r="O3879" t="s">
        <v>39</v>
      </c>
    </row>
    <row r="3880" spans="1:15" x14ac:dyDescent="0.3">
      <c r="A3880" t="s">
        <v>1338</v>
      </c>
      <c r="B3880" s="5">
        <v>62</v>
      </c>
      <c r="C3880" s="5" t="str" cm="1">
        <f t="array" ref="C3880">_xlfn.IFS(worksheet[[#This Row],[age]]&lt;25,"1. Young Adulthood (18-24)",worksheet[[#This Row],[age]]&lt; 35,"2. Early Adulthood (25-34)",worksheet[[#This Row],[age]]&lt; 45,"3. Mid Adulthood (35-44)",worksheet[[#This Row],[age]]&lt; 55,"4. Mature Adulthood (45-54)",TRUE,"5. Late Adulthood/Senior (55+)")</f>
        <v>5. Late Adulthood/Senior (55+)</v>
      </c>
      <c r="D3880" t="s">
        <v>41</v>
      </c>
      <c r="E3880" t="s">
        <v>16</v>
      </c>
      <c r="F3880" s="4">
        <v>14.73</v>
      </c>
      <c r="G3880" s="5">
        <v>23</v>
      </c>
      <c r="H3880" t="s">
        <v>17</v>
      </c>
      <c r="I3880" t="s">
        <v>55</v>
      </c>
      <c r="J3880" s="6">
        <v>8.99</v>
      </c>
      <c r="K3880">
        <v>0</v>
      </c>
      <c r="L3880" t="s">
        <v>29</v>
      </c>
      <c r="M3880" s="5">
        <v>1</v>
      </c>
      <c r="N3880" s="4">
        <v>0.61</v>
      </c>
      <c r="O3880" t="s">
        <v>39</v>
      </c>
    </row>
    <row r="3881" spans="1:15" x14ac:dyDescent="0.3">
      <c r="A3881" t="s">
        <v>1346</v>
      </c>
      <c r="B3881" s="5">
        <v>57</v>
      </c>
      <c r="C3881" s="5" t="str" cm="1">
        <f t="array" ref="C3881">_xlfn.IFS(worksheet[[#This Row],[age]]&lt;25,"1. Young Adulthood (18-24)",worksheet[[#This Row],[age]]&lt; 35,"2. Early Adulthood (25-34)",worksheet[[#This Row],[age]]&lt; 45,"3. Mid Adulthood (35-44)",worksheet[[#This Row],[age]]&lt; 55,"4. Mature Adulthood (45-54)",TRUE,"5. Late Adulthood/Senior (55+)")</f>
        <v>5. Late Adulthood/Senior (55+)</v>
      </c>
      <c r="D3881" t="s">
        <v>41</v>
      </c>
      <c r="E3881" t="s">
        <v>32</v>
      </c>
      <c r="F3881" s="4">
        <v>16.850000000000001</v>
      </c>
      <c r="G3881" s="5">
        <v>33</v>
      </c>
      <c r="H3881" t="s">
        <v>33</v>
      </c>
      <c r="I3881" t="s">
        <v>46</v>
      </c>
      <c r="J3881" s="6">
        <v>17.989999999999998</v>
      </c>
      <c r="K3881">
        <v>1</v>
      </c>
      <c r="L3881" t="s">
        <v>19</v>
      </c>
      <c r="M3881" s="5">
        <v>1</v>
      </c>
      <c r="N3881" s="4">
        <v>0.5</v>
      </c>
      <c r="O3881" t="s">
        <v>34</v>
      </c>
    </row>
    <row r="3882" spans="1:15" x14ac:dyDescent="0.3">
      <c r="A3882" t="s">
        <v>1349</v>
      </c>
      <c r="B3882" s="5">
        <v>63</v>
      </c>
      <c r="C3882" s="5" t="str" cm="1">
        <f t="array" ref="C3882">_xlfn.IFS(worksheet[[#This Row],[age]]&lt;25,"1. Young Adulthood (18-24)",worksheet[[#This Row],[age]]&lt; 35,"2. Early Adulthood (25-34)",worksheet[[#This Row],[age]]&lt; 45,"3. Mid Adulthood (35-44)",worksheet[[#This Row],[age]]&lt; 55,"4. Mature Adulthood (45-54)",TRUE,"5. Late Adulthood/Senior (55+)")</f>
        <v>5. Late Adulthood/Senior (55+)</v>
      </c>
      <c r="D3882" t="s">
        <v>27</v>
      </c>
      <c r="E3882" t="s">
        <v>16</v>
      </c>
      <c r="F3882" s="4">
        <v>2.95</v>
      </c>
      <c r="G3882" s="5">
        <v>41</v>
      </c>
      <c r="H3882" t="s">
        <v>49</v>
      </c>
      <c r="I3882" t="s">
        <v>46</v>
      </c>
      <c r="J3882" s="6">
        <v>8.99</v>
      </c>
      <c r="K3882">
        <v>1</v>
      </c>
      <c r="L3882" t="s">
        <v>43</v>
      </c>
      <c r="M3882" s="5">
        <v>2</v>
      </c>
      <c r="N3882" s="4">
        <v>7.0000000000000007E-2</v>
      </c>
      <c r="O3882" t="s">
        <v>39</v>
      </c>
    </row>
    <row r="3883" spans="1:15" x14ac:dyDescent="0.3">
      <c r="A3883" t="s">
        <v>1350</v>
      </c>
      <c r="B3883" s="5">
        <v>61</v>
      </c>
      <c r="C3883" s="5" t="str" cm="1">
        <f t="array" ref="C3883">_xlfn.IFS(worksheet[[#This Row],[age]]&lt;25,"1. Young Adulthood (18-24)",worksheet[[#This Row],[age]]&lt; 35,"2. Early Adulthood (25-34)",worksheet[[#This Row],[age]]&lt; 45,"3. Mid Adulthood (35-44)",worksheet[[#This Row],[age]]&lt; 55,"4. Mature Adulthood (45-54)",TRUE,"5. Late Adulthood/Senior (55+)")</f>
        <v>5. Late Adulthood/Senior (55+)</v>
      </c>
      <c r="D3883" t="s">
        <v>15</v>
      </c>
      <c r="E3883" t="s">
        <v>16</v>
      </c>
      <c r="F3883" s="4">
        <v>30.44</v>
      </c>
      <c r="G3883" s="5">
        <v>60</v>
      </c>
      <c r="H3883" t="s">
        <v>33</v>
      </c>
      <c r="I3883" t="s">
        <v>57</v>
      </c>
      <c r="J3883" s="6">
        <v>8.99</v>
      </c>
      <c r="K3883">
        <v>0</v>
      </c>
      <c r="L3883" t="s">
        <v>19</v>
      </c>
      <c r="M3883" s="5">
        <v>2</v>
      </c>
      <c r="N3883" s="4">
        <v>0.5</v>
      </c>
      <c r="O3883" t="s">
        <v>34</v>
      </c>
    </row>
    <row r="3884" spans="1:15" x14ac:dyDescent="0.3">
      <c r="A3884" t="s">
        <v>1351</v>
      </c>
      <c r="B3884" s="5">
        <v>67</v>
      </c>
      <c r="C3884" s="5" t="str" cm="1">
        <f t="array" ref="C3884">_xlfn.IFS(worksheet[[#This Row],[age]]&lt;25,"1. Young Adulthood (18-24)",worksheet[[#This Row],[age]]&lt; 35,"2. Early Adulthood (25-34)",worksheet[[#This Row],[age]]&lt; 45,"3. Mid Adulthood (35-44)",worksheet[[#This Row],[age]]&lt; 55,"4. Mature Adulthood (45-54)",TRUE,"5. Late Adulthood/Senior (55+)")</f>
        <v>5. Late Adulthood/Senior (55+)</v>
      </c>
      <c r="D3884" t="s">
        <v>41</v>
      </c>
      <c r="E3884" t="s">
        <v>32</v>
      </c>
      <c r="F3884" s="4">
        <v>4.7699999999999996</v>
      </c>
      <c r="G3884" s="5">
        <v>30</v>
      </c>
      <c r="H3884" t="s">
        <v>70</v>
      </c>
      <c r="I3884" t="s">
        <v>55</v>
      </c>
      <c r="J3884" s="6">
        <v>17.989999999999998</v>
      </c>
      <c r="K3884">
        <v>1</v>
      </c>
      <c r="L3884" t="s">
        <v>37</v>
      </c>
      <c r="M3884" s="5">
        <v>1</v>
      </c>
      <c r="N3884" s="4">
        <v>0.15</v>
      </c>
      <c r="O3884" t="s">
        <v>20</v>
      </c>
    </row>
    <row r="3885" spans="1:15" x14ac:dyDescent="0.3">
      <c r="A3885" t="s">
        <v>1354</v>
      </c>
      <c r="B3885" s="5">
        <v>60</v>
      </c>
      <c r="C3885" s="5" t="str" cm="1">
        <f t="array" ref="C3885">_xlfn.IFS(worksheet[[#This Row],[age]]&lt;25,"1. Young Adulthood (18-24)",worksheet[[#This Row],[age]]&lt; 35,"2. Early Adulthood (25-34)",worksheet[[#This Row],[age]]&lt; 45,"3. Mid Adulthood (35-44)",worksheet[[#This Row],[age]]&lt; 55,"4. Mature Adulthood (45-54)",TRUE,"5. Late Adulthood/Senior (55+)")</f>
        <v>5. Late Adulthood/Senior (55+)</v>
      </c>
      <c r="D3885" t="s">
        <v>15</v>
      </c>
      <c r="E3885" t="s">
        <v>22</v>
      </c>
      <c r="F3885" s="4">
        <v>12.66</v>
      </c>
      <c r="G3885" s="5">
        <v>12</v>
      </c>
      <c r="H3885" t="s">
        <v>28</v>
      </c>
      <c r="I3885" t="s">
        <v>55</v>
      </c>
      <c r="J3885" s="6">
        <v>13.99</v>
      </c>
      <c r="K3885">
        <v>0</v>
      </c>
      <c r="L3885" t="s">
        <v>37</v>
      </c>
      <c r="M3885" s="5">
        <v>1</v>
      </c>
      <c r="N3885" s="4">
        <v>0.97</v>
      </c>
      <c r="O3885" t="s">
        <v>39</v>
      </c>
    </row>
    <row r="3886" spans="1:15" x14ac:dyDescent="0.3">
      <c r="A3886" t="s">
        <v>1355</v>
      </c>
      <c r="B3886" s="5">
        <v>58</v>
      </c>
      <c r="C3886" s="5" t="str" cm="1">
        <f t="array" ref="C3886">_xlfn.IFS(worksheet[[#This Row],[age]]&lt;25,"1. Young Adulthood (18-24)",worksheet[[#This Row],[age]]&lt; 35,"2. Early Adulthood (25-34)",worksheet[[#This Row],[age]]&lt; 45,"3. Mid Adulthood (35-44)",worksheet[[#This Row],[age]]&lt; 55,"4. Mature Adulthood (45-54)",TRUE,"5. Late Adulthood/Senior (55+)")</f>
        <v>5. Late Adulthood/Senior (55+)</v>
      </c>
      <c r="D3886" t="s">
        <v>27</v>
      </c>
      <c r="E3886" t="s">
        <v>16</v>
      </c>
      <c r="F3886" s="4">
        <v>11.16</v>
      </c>
      <c r="G3886" s="5">
        <v>31</v>
      </c>
      <c r="H3886" t="s">
        <v>28</v>
      </c>
      <c r="I3886" t="s">
        <v>46</v>
      </c>
      <c r="J3886" s="6">
        <v>8.99</v>
      </c>
      <c r="K3886">
        <v>1</v>
      </c>
      <c r="L3886" t="s">
        <v>19</v>
      </c>
      <c r="M3886" s="5">
        <v>1</v>
      </c>
      <c r="N3886" s="4">
        <v>0.35</v>
      </c>
      <c r="O3886" t="s">
        <v>52</v>
      </c>
    </row>
    <row r="3887" spans="1:15" x14ac:dyDescent="0.3">
      <c r="A3887" t="s">
        <v>1359</v>
      </c>
      <c r="B3887" s="5">
        <v>62</v>
      </c>
      <c r="C3887" s="5" t="str" cm="1">
        <f t="array" ref="C3887">_xlfn.IFS(worksheet[[#This Row],[age]]&lt;25,"1. Young Adulthood (18-24)",worksheet[[#This Row],[age]]&lt; 35,"2. Early Adulthood (25-34)",worksheet[[#This Row],[age]]&lt; 45,"3. Mid Adulthood (35-44)",worksheet[[#This Row],[age]]&lt; 55,"4. Mature Adulthood (45-54)",TRUE,"5. Late Adulthood/Senior (55+)")</f>
        <v>5. Late Adulthood/Senior (55+)</v>
      </c>
      <c r="D3887" t="s">
        <v>41</v>
      </c>
      <c r="E3887" t="s">
        <v>16</v>
      </c>
      <c r="F3887" s="4">
        <v>9.89</v>
      </c>
      <c r="G3887" s="5">
        <v>7</v>
      </c>
      <c r="H3887" t="s">
        <v>23</v>
      </c>
      <c r="I3887" t="s">
        <v>57</v>
      </c>
      <c r="J3887" s="6">
        <v>8.99</v>
      </c>
      <c r="K3887">
        <v>0</v>
      </c>
      <c r="L3887" t="s">
        <v>19</v>
      </c>
      <c r="M3887" s="5">
        <v>2</v>
      </c>
      <c r="N3887" s="4">
        <v>1.24</v>
      </c>
      <c r="O3887" t="s">
        <v>34</v>
      </c>
    </row>
    <row r="3888" spans="1:15" x14ac:dyDescent="0.3">
      <c r="A3888" t="s">
        <v>1360</v>
      </c>
      <c r="B3888" s="5">
        <v>55</v>
      </c>
      <c r="C3888" s="5" t="str" cm="1">
        <f t="array" ref="C3888">_xlfn.IFS(worksheet[[#This Row],[age]]&lt;25,"1. Young Adulthood (18-24)",worksheet[[#This Row],[age]]&lt; 35,"2. Early Adulthood (25-34)",worksheet[[#This Row],[age]]&lt; 45,"3. Mid Adulthood (35-44)",worksheet[[#This Row],[age]]&lt; 55,"4. Mature Adulthood (45-54)",TRUE,"5. Late Adulthood/Senior (55+)")</f>
        <v>5. Late Adulthood/Senior (55+)</v>
      </c>
      <c r="D3888" t="s">
        <v>41</v>
      </c>
      <c r="E3888" t="s">
        <v>16</v>
      </c>
      <c r="F3888" s="4">
        <v>3.83</v>
      </c>
      <c r="G3888" s="5">
        <v>28</v>
      </c>
      <c r="H3888" t="s">
        <v>23</v>
      </c>
      <c r="I3888" t="s">
        <v>55</v>
      </c>
      <c r="J3888" s="6">
        <v>8.99</v>
      </c>
      <c r="K3888">
        <v>1</v>
      </c>
      <c r="L3888" t="s">
        <v>61</v>
      </c>
      <c r="M3888" s="5">
        <v>4</v>
      </c>
      <c r="N3888" s="4">
        <v>0.13</v>
      </c>
      <c r="O3888" t="s">
        <v>25</v>
      </c>
    </row>
    <row r="3889" spans="1:15" x14ac:dyDescent="0.3">
      <c r="A3889" t="s">
        <v>1363</v>
      </c>
      <c r="B3889" s="5">
        <v>56</v>
      </c>
      <c r="C3889" s="5" t="str" cm="1">
        <f t="array" ref="C3889">_xlfn.IFS(worksheet[[#This Row],[age]]&lt;25,"1. Young Adulthood (18-24)",worksheet[[#This Row],[age]]&lt; 35,"2. Early Adulthood (25-34)",worksheet[[#This Row],[age]]&lt; 45,"3. Mid Adulthood (35-44)",worksheet[[#This Row],[age]]&lt; 55,"4. Mature Adulthood (45-54)",TRUE,"5. Late Adulthood/Senior (55+)")</f>
        <v>5. Late Adulthood/Senior (55+)</v>
      </c>
      <c r="D3889" t="s">
        <v>15</v>
      </c>
      <c r="E3889" t="s">
        <v>22</v>
      </c>
      <c r="F3889" s="4">
        <v>19.59</v>
      </c>
      <c r="G3889" s="5">
        <v>23</v>
      </c>
      <c r="H3889" t="s">
        <v>70</v>
      </c>
      <c r="I3889" t="s">
        <v>24</v>
      </c>
      <c r="J3889" s="6">
        <v>13.99</v>
      </c>
      <c r="K3889">
        <v>0</v>
      </c>
      <c r="L3889" t="s">
        <v>37</v>
      </c>
      <c r="M3889" s="5">
        <v>1</v>
      </c>
      <c r="N3889" s="4">
        <v>0.82</v>
      </c>
      <c r="O3889" t="s">
        <v>47</v>
      </c>
    </row>
    <row r="3890" spans="1:15" x14ac:dyDescent="0.3">
      <c r="A3890" t="s">
        <v>1365</v>
      </c>
      <c r="B3890" s="5">
        <v>58</v>
      </c>
      <c r="C3890" s="5" t="str" cm="1">
        <f t="array" ref="C3890">_xlfn.IFS(worksheet[[#This Row],[age]]&lt;25,"1. Young Adulthood (18-24)",worksheet[[#This Row],[age]]&lt; 35,"2. Early Adulthood (25-34)",worksheet[[#This Row],[age]]&lt; 45,"3. Mid Adulthood (35-44)",worksheet[[#This Row],[age]]&lt; 55,"4. Mature Adulthood (45-54)",TRUE,"5. Late Adulthood/Senior (55+)")</f>
        <v>5. Late Adulthood/Senior (55+)</v>
      </c>
      <c r="D3890" t="s">
        <v>27</v>
      </c>
      <c r="E3890" t="s">
        <v>16</v>
      </c>
      <c r="F3890" s="4">
        <v>17.27</v>
      </c>
      <c r="G3890" s="5">
        <v>6</v>
      </c>
      <c r="H3890" t="s">
        <v>28</v>
      </c>
      <c r="I3890" t="s">
        <v>18</v>
      </c>
      <c r="J3890" s="6">
        <v>8.99</v>
      </c>
      <c r="K3890">
        <v>0</v>
      </c>
      <c r="L3890" t="s">
        <v>37</v>
      </c>
      <c r="M3890" s="5">
        <v>3</v>
      </c>
      <c r="N3890" s="4">
        <v>2.4700000000000002</v>
      </c>
      <c r="O3890" t="s">
        <v>39</v>
      </c>
    </row>
    <row r="3891" spans="1:15" x14ac:dyDescent="0.3">
      <c r="A3891" t="s">
        <v>1370</v>
      </c>
      <c r="B3891" s="5">
        <v>59</v>
      </c>
      <c r="C3891" s="5" t="str" cm="1">
        <f t="array" ref="C3891">_xlfn.IFS(worksheet[[#This Row],[age]]&lt;25,"1. Young Adulthood (18-24)",worksheet[[#This Row],[age]]&lt; 35,"2. Early Adulthood (25-34)",worksheet[[#This Row],[age]]&lt; 45,"3. Mid Adulthood (35-44)",worksheet[[#This Row],[age]]&lt; 55,"4. Mature Adulthood (45-54)",TRUE,"5. Late Adulthood/Senior (55+)")</f>
        <v>5. Late Adulthood/Senior (55+)</v>
      </c>
      <c r="D3891" t="s">
        <v>41</v>
      </c>
      <c r="E3891" t="s">
        <v>16</v>
      </c>
      <c r="F3891" s="4">
        <v>0.5</v>
      </c>
      <c r="G3891" s="5">
        <v>60</v>
      </c>
      <c r="H3891" t="s">
        <v>70</v>
      </c>
      <c r="I3891" t="s">
        <v>57</v>
      </c>
      <c r="J3891" s="6">
        <v>8.99</v>
      </c>
      <c r="K3891">
        <v>1</v>
      </c>
      <c r="L3891" t="s">
        <v>61</v>
      </c>
      <c r="M3891" s="5">
        <v>2</v>
      </c>
      <c r="N3891" s="4">
        <v>0.01</v>
      </c>
      <c r="O3891" t="s">
        <v>25</v>
      </c>
    </row>
    <row r="3892" spans="1:15" x14ac:dyDescent="0.3">
      <c r="A3892" t="s">
        <v>1371</v>
      </c>
      <c r="B3892" s="5">
        <v>62</v>
      </c>
      <c r="C3892" s="5" t="str" cm="1">
        <f t="array" ref="C3892">_xlfn.IFS(worksheet[[#This Row],[age]]&lt;25,"1. Young Adulthood (18-24)",worksheet[[#This Row],[age]]&lt; 35,"2. Early Adulthood (25-34)",worksheet[[#This Row],[age]]&lt; 45,"3. Mid Adulthood (35-44)",worksheet[[#This Row],[age]]&lt; 55,"4. Mature Adulthood (45-54)",TRUE,"5. Late Adulthood/Senior (55+)")</f>
        <v>5. Late Adulthood/Senior (55+)</v>
      </c>
      <c r="D3892" t="s">
        <v>27</v>
      </c>
      <c r="E3892" t="s">
        <v>32</v>
      </c>
      <c r="F3892" s="4">
        <v>33.770000000000003</v>
      </c>
      <c r="G3892" s="5">
        <v>31</v>
      </c>
      <c r="H3892" t="s">
        <v>28</v>
      </c>
      <c r="I3892" t="s">
        <v>57</v>
      </c>
      <c r="J3892" s="6">
        <v>17.989999999999998</v>
      </c>
      <c r="K3892">
        <v>0</v>
      </c>
      <c r="L3892" t="s">
        <v>43</v>
      </c>
      <c r="M3892" s="5">
        <v>4</v>
      </c>
      <c r="N3892" s="4">
        <v>1.06</v>
      </c>
      <c r="O3892" t="s">
        <v>20</v>
      </c>
    </row>
    <row r="3893" spans="1:15" x14ac:dyDescent="0.3">
      <c r="A3893" t="s">
        <v>1377</v>
      </c>
      <c r="B3893" s="5">
        <v>60</v>
      </c>
      <c r="C3893" s="5" t="str" cm="1">
        <f t="array" ref="C3893">_xlfn.IFS(worksheet[[#This Row],[age]]&lt;25,"1. Young Adulthood (18-24)",worksheet[[#This Row],[age]]&lt; 35,"2. Early Adulthood (25-34)",worksheet[[#This Row],[age]]&lt; 45,"3. Mid Adulthood (35-44)",worksheet[[#This Row],[age]]&lt; 55,"4. Mature Adulthood (45-54)",TRUE,"5. Late Adulthood/Senior (55+)")</f>
        <v>5. Late Adulthood/Senior (55+)</v>
      </c>
      <c r="D3893" t="s">
        <v>15</v>
      </c>
      <c r="E3893" t="s">
        <v>22</v>
      </c>
      <c r="F3893" s="4">
        <v>3.29</v>
      </c>
      <c r="G3893" s="5">
        <v>50</v>
      </c>
      <c r="H3893" t="s">
        <v>49</v>
      </c>
      <c r="I3893" t="s">
        <v>18</v>
      </c>
      <c r="J3893" s="6">
        <v>13.99</v>
      </c>
      <c r="K3893">
        <v>1</v>
      </c>
      <c r="L3893" t="s">
        <v>29</v>
      </c>
      <c r="M3893" s="5">
        <v>3</v>
      </c>
      <c r="N3893" s="4">
        <v>0.06</v>
      </c>
      <c r="O3893" t="s">
        <v>34</v>
      </c>
    </row>
    <row r="3894" spans="1:15" x14ac:dyDescent="0.3">
      <c r="A3894" t="s">
        <v>1379</v>
      </c>
      <c r="B3894" s="5">
        <v>61</v>
      </c>
      <c r="C3894" s="5" t="str" cm="1">
        <f t="array" ref="C3894">_xlfn.IFS(worksheet[[#This Row],[age]]&lt;25,"1. Young Adulthood (18-24)",worksheet[[#This Row],[age]]&lt; 35,"2. Early Adulthood (25-34)",worksheet[[#This Row],[age]]&lt; 45,"3. Mid Adulthood (35-44)",worksheet[[#This Row],[age]]&lt; 55,"4. Mature Adulthood (45-54)",TRUE,"5. Late Adulthood/Senior (55+)")</f>
        <v>5. Late Adulthood/Senior (55+)</v>
      </c>
      <c r="D3894" t="s">
        <v>41</v>
      </c>
      <c r="E3894" t="s">
        <v>32</v>
      </c>
      <c r="F3894" s="4">
        <v>5.31</v>
      </c>
      <c r="G3894" s="5">
        <v>25</v>
      </c>
      <c r="H3894" t="s">
        <v>23</v>
      </c>
      <c r="I3894" t="s">
        <v>46</v>
      </c>
      <c r="J3894" s="6">
        <v>17.989999999999998</v>
      </c>
      <c r="K3894">
        <v>0</v>
      </c>
      <c r="L3894" t="s">
        <v>19</v>
      </c>
      <c r="M3894" s="5">
        <v>3</v>
      </c>
      <c r="N3894" s="4">
        <v>0.2</v>
      </c>
      <c r="O3894" t="s">
        <v>25</v>
      </c>
    </row>
    <row r="3895" spans="1:15" x14ac:dyDescent="0.3">
      <c r="A3895" t="s">
        <v>1380</v>
      </c>
      <c r="B3895" s="5">
        <v>68</v>
      </c>
      <c r="C3895" s="5" t="str" cm="1">
        <f t="array" ref="C3895">_xlfn.IFS(worksheet[[#This Row],[age]]&lt;25,"1. Young Adulthood (18-24)",worksheet[[#This Row],[age]]&lt; 35,"2. Early Adulthood (25-34)",worksheet[[#This Row],[age]]&lt; 45,"3. Mid Adulthood (35-44)",worksheet[[#This Row],[age]]&lt; 55,"4. Mature Adulthood (45-54)",TRUE,"5. Late Adulthood/Senior (55+)")</f>
        <v>5. Late Adulthood/Senior (55+)</v>
      </c>
      <c r="D3895" t="s">
        <v>27</v>
      </c>
      <c r="E3895" t="s">
        <v>32</v>
      </c>
      <c r="F3895" s="4">
        <v>41.2</v>
      </c>
      <c r="G3895" s="5">
        <v>30</v>
      </c>
      <c r="H3895" t="s">
        <v>33</v>
      </c>
      <c r="I3895" t="s">
        <v>57</v>
      </c>
      <c r="J3895" s="6">
        <v>17.989999999999998</v>
      </c>
      <c r="K3895">
        <v>0</v>
      </c>
      <c r="L3895" t="s">
        <v>19</v>
      </c>
      <c r="M3895" s="5">
        <v>5</v>
      </c>
      <c r="N3895" s="4">
        <v>1.33</v>
      </c>
      <c r="O3895" t="s">
        <v>47</v>
      </c>
    </row>
    <row r="3896" spans="1:15" x14ac:dyDescent="0.3">
      <c r="A3896" t="s">
        <v>1384</v>
      </c>
      <c r="B3896" s="5">
        <v>60</v>
      </c>
      <c r="C3896" s="5" t="str" cm="1">
        <f t="array" ref="C3896">_xlfn.IFS(worksheet[[#This Row],[age]]&lt;25,"1. Young Adulthood (18-24)",worksheet[[#This Row],[age]]&lt; 35,"2. Early Adulthood (25-34)",worksheet[[#This Row],[age]]&lt; 45,"3. Mid Adulthood (35-44)",worksheet[[#This Row],[age]]&lt; 55,"4. Mature Adulthood (45-54)",TRUE,"5. Late Adulthood/Senior (55+)")</f>
        <v>5. Late Adulthood/Senior (55+)</v>
      </c>
      <c r="D3896" t="s">
        <v>15</v>
      </c>
      <c r="E3896" t="s">
        <v>16</v>
      </c>
      <c r="F3896" s="4">
        <v>0.27</v>
      </c>
      <c r="G3896" s="5">
        <v>35</v>
      </c>
      <c r="H3896" t="s">
        <v>23</v>
      </c>
      <c r="I3896" t="s">
        <v>24</v>
      </c>
      <c r="J3896" s="6">
        <v>8.99</v>
      </c>
      <c r="K3896">
        <v>1</v>
      </c>
      <c r="L3896" t="s">
        <v>61</v>
      </c>
      <c r="M3896" s="5">
        <v>2</v>
      </c>
      <c r="N3896" s="4">
        <v>0.01</v>
      </c>
      <c r="O3896" t="s">
        <v>30</v>
      </c>
    </row>
    <row r="3897" spans="1:15" x14ac:dyDescent="0.3">
      <c r="A3897" t="s">
        <v>1385</v>
      </c>
      <c r="B3897" s="5">
        <v>66</v>
      </c>
      <c r="C3897" s="5" t="str" cm="1">
        <f t="array" ref="C3897">_xlfn.IFS(worksheet[[#This Row],[age]]&lt;25,"1. Young Adulthood (18-24)",worksheet[[#This Row],[age]]&lt; 35,"2. Early Adulthood (25-34)",worksheet[[#This Row],[age]]&lt; 45,"3. Mid Adulthood (35-44)",worksheet[[#This Row],[age]]&lt; 55,"4. Mature Adulthood (45-54)",TRUE,"5. Late Adulthood/Senior (55+)")</f>
        <v>5. Late Adulthood/Senior (55+)</v>
      </c>
      <c r="D3897" t="s">
        <v>15</v>
      </c>
      <c r="E3897" t="s">
        <v>32</v>
      </c>
      <c r="F3897" s="4">
        <v>35.880000000000003</v>
      </c>
      <c r="G3897" s="5">
        <v>18</v>
      </c>
      <c r="H3897" t="s">
        <v>70</v>
      </c>
      <c r="I3897" t="s">
        <v>57</v>
      </c>
      <c r="J3897" s="6">
        <v>17.989999999999998</v>
      </c>
      <c r="K3897">
        <v>0</v>
      </c>
      <c r="L3897" t="s">
        <v>61</v>
      </c>
      <c r="M3897" s="5">
        <v>5</v>
      </c>
      <c r="N3897" s="4">
        <v>1.89</v>
      </c>
      <c r="O3897" t="s">
        <v>30</v>
      </c>
    </row>
    <row r="3898" spans="1:15" x14ac:dyDescent="0.3">
      <c r="A3898" t="s">
        <v>1388</v>
      </c>
      <c r="B3898" s="5">
        <v>66</v>
      </c>
      <c r="C3898" s="5" t="str" cm="1">
        <f t="array" ref="C3898">_xlfn.IFS(worksheet[[#This Row],[age]]&lt;25,"1. Young Adulthood (18-24)",worksheet[[#This Row],[age]]&lt; 35,"2. Early Adulthood (25-34)",worksheet[[#This Row],[age]]&lt; 45,"3. Mid Adulthood (35-44)",worksheet[[#This Row],[age]]&lt; 55,"4. Mature Adulthood (45-54)",TRUE,"5. Late Adulthood/Senior (55+)")</f>
        <v>5. Late Adulthood/Senior (55+)</v>
      </c>
      <c r="D3898" t="s">
        <v>41</v>
      </c>
      <c r="E3898" t="s">
        <v>32</v>
      </c>
      <c r="F3898" s="4">
        <v>30.91</v>
      </c>
      <c r="G3898" s="5">
        <v>51</v>
      </c>
      <c r="H3898" t="s">
        <v>70</v>
      </c>
      <c r="I3898" t="s">
        <v>18</v>
      </c>
      <c r="J3898" s="6">
        <v>17.989999999999998</v>
      </c>
      <c r="K3898">
        <v>0</v>
      </c>
      <c r="L3898" t="s">
        <v>43</v>
      </c>
      <c r="M3898" s="5">
        <v>1</v>
      </c>
      <c r="N3898" s="4">
        <v>0.59</v>
      </c>
      <c r="O3898" t="s">
        <v>30</v>
      </c>
    </row>
    <row r="3899" spans="1:15" x14ac:dyDescent="0.3">
      <c r="A3899" t="s">
        <v>1402</v>
      </c>
      <c r="B3899" s="5">
        <v>69</v>
      </c>
      <c r="C3899" s="5" t="str" cm="1">
        <f t="array" ref="C3899">_xlfn.IFS(worksheet[[#This Row],[age]]&lt;25,"1. Young Adulthood (18-24)",worksheet[[#This Row],[age]]&lt; 35,"2. Early Adulthood (25-34)",worksheet[[#This Row],[age]]&lt; 45,"3. Mid Adulthood (35-44)",worksheet[[#This Row],[age]]&lt; 55,"4. Mature Adulthood (45-54)",TRUE,"5. Late Adulthood/Senior (55+)")</f>
        <v>5. Late Adulthood/Senior (55+)</v>
      </c>
      <c r="D3899" t="s">
        <v>27</v>
      </c>
      <c r="E3899" t="s">
        <v>22</v>
      </c>
      <c r="F3899" s="4">
        <v>5.93</v>
      </c>
      <c r="G3899" s="5">
        <v>39</v>
      </c>
      <c r="H3899" t="s">
        <v>70</v>
      </c>
      <c r="I3899" t="s">
        <v>55</v>
      </c>
      <c r="J3899" s="6">
        <v>13.99</v>
      </c>
      <c r="K3899">
        <v>1</v>
      </c>
      <c r="L3899" t="s">
        <v>19</v>
      </c>
      <c r="M3899" s="5">
        <v>5</v>
      </c>
      <c r="N3899" s="4">
        <v>0.15</v>
      </c>
      <c r="O3899" t="s">
        <v>25</v>
      </c>
    </row>
    <row r="3900" spans="1:15" x14ac:dyDescent="0.3">
      <c r="A3900" t="s">
        <v>1405</v>
      </c>
      <c r="B3900" s="5">
        <v>70</v>
      </c>
      <c r="C3900" s="5" t="str" cm="1">
        <f t="array" ref="C3900">_xlfn.IFS(worksheet[[#This Row],[age]]&lt;25,"1. Young Adulthood (18-24)",worksheet[[#This Row],[age]]&lt; 35,"2. Early Adulthood (25-34)",worksheet[[#This Row],[age]]&lt; 45,"3. Mid Adulthood (35-44)",worksheet[[#This Row],[age]]&lt; 55,"4. Mature Adulthood (45-54)",TRUE,"5. Late Adulthood/Senior (55+)")</f>
        <v>5. Late Adulthood/Senior (55+)</v>
      </c>
      <c r="D3900" t="s">
        <v>27</v>
      </c>
      <c r="E3900" t="s">
        <v>16</v>
      </c>
      <c r="F3900" s="4">
        <v>2.46</v>
      </c>
      <c r="G3900" s="5">
        <v>53</v>
      </c>
      <c r="H3900" t="s">
        <v>49</v>
      </c>
      <c r="I3900" t="s">
        <v>46</v>
      </c>
      <c r="J3900" s="6">
        <v>8.99</v>
      </c>
      <c r="K3900">
        <v>1</v>
      </c>
      <c r="L3900" t="s">
        <v>29</v>
      </c>
      <c r="M3900" s="5">
        <v>1</v>
      </c>
      <c r="N3900" s="4">
        <v>0.05</v>
      </c>
      <c r="O3900" t="s">
        <v>30</v>
      </c>
    </row>
    <row r="3901" spans="1:15" x14ac:dyDescent="0.3">
      <c r="A3901" t="s">
        <v>1406</v>
      </c>
      <c r="B3901" s="5">
        <v>62</v>
      </c>
      <c r="C3901" s="5" t="str" cm="1">
        <f t="array" ref="C3901">_xlfn.IFS(worksheet[[#This Row],[age]]&lt;25,"1. Young Adulthood (18-24)",worksheet[[#This Row],[age]]&lt; 35,"2. Early Adulthood (25-34)",worksheet[[#This Row],[age]]&lt; 45,"3. Mid Adulthood (35-44)",worksheet[[#This Row],[age]]&lt; 55,"4. Mature Adulthood (45-54)",TRUE,"5. Late Adulthood/Senior (55+)")</f>
        <v>5. Late Adulthood/Senior (55+)</v>
      </c>
      <c r="D3901" t="s">
        <v>41</v>
      </c>
      <c r="E3901" t="s">
        <v>16</v>
      </c>
      <c r="F3901" s="4">
        <v>22.77</v>
      </c>
      <c r="G3901" s="5">
        <v>47</v>
      </c>
      <c r="H3901" t="s">
        <v>49</v>
      </c>
      <c r="I3901" t="s">
        <v>24</v>
      </c>
      <c r="J3901" s="6">
        <v>8.99</v>
      </c>
      <c r="K3901">
        <v>1</v>
      </c>
      <c r="L3901" t="s">
        <v>29</v>
      </c>
      <c r="M3901" s="5">
        <v>5</v>
      </c>
      <c r="N3901" s="4">
        <v>0.47</v>
      </c>
      <c r="O3901" t="s">
        <v>52</v>
      </c>
    </row>
    <row r="3902" spans="1:15" x14ac:dyDescent="0.3">
      <c r="A3902" t="s">
        <v>1408</v>
      </c>
      <c r="B3902" s="5">
        <v>63</v>
      </c>
      <c r="C3902" s="5" t="str" cm="1">
        <f t="array" ref="C3902">_xlfn.IFS(worksheet[[#This Row],[age]]&lt;25,"1. Young Adulthood (18-24)",worksheet[[#This Row],[age]]&lt; 35,"2. Early Adulthood (25-34)",worksheet[[#This Row],[age]]&lt; 45,"3. Mid Adulthood (35-44)",worksheet[[#This Row],[age]]&lt; 55,"4. Mature Adulthood (45-54)",TRUE,"5. Late Adulthood/Senior (55+)")</f>
        <v>5. Late Adulthood/Senior (55+)</v>
      </c>
      <c r="D3902" t="s">
        <v>15</v>
      </c>
      <c r="E3902" t="s">
        <v>32</v>
      </c>
      <c r="F3902" s="4">
        <v>15.02</v>
      </c>
      <c r="G3902" s="5">
        <v>11</v>
      </c>
      <c r="H3902" t="s">
        <v>70</v>
      </c>
      <c r="I3902" t="s">
        <v>18</v>
      </c>
      <c r="J3902" s="6">
        <v>17.989999999999998</v>
      </c>
      <c r="K3902">
        <v>0</v>
      </c>
      <c r="L3902" t="s">
        <v>43</v>
      </c>
      <c r="M3902" s="5">
        <v>2</v>
      </c>
      <c r="N3902" s="4">
        <v>1.25</v>
      </c>
      <c r="O3902" t="s">
        <v>47</v>
      </c>
    </row>
    <row r="3903" spans="1:15" x14ac:dyDescent="0.3">
      <c r="A3903" t="s">
        <v>1409</v>
      </c>
      <c r="B3903" s="5">
        <v>55</v>
      </c>
      <c r="C3903" s="5" t="str" cm="1">
        <f t="array" ref="C3903">_xlfn.IFS(worksheet[[#This Row],[age]]&lt;25,"1. Young Adulthood (18-24)",worksheet[[#This Row],[age]]&lt; 35,"2. Early Adulthood (25-34)",worksheet[[#This Row],[age]]&lt; 45,"3. Mid Adulthood (35-44)",worksheet[[#This Row],[age]]&lt; 55,"4. Mature Adulthood (45-54)",TRUE,"5. Late Adulthood/Senior (55+)")</f>
        <v>5. Late Adulthood/Senior (55+)</v>
      </c>
      <c r="D3903" t="s">
        <v>41</v>
      </c>
      <c r="E3903" t="s">
        <v>22</v>
      </c>
      <c r="F3903" s="4">
        <v>7.28</v>
      </c>
      <c r="G3903" s="5">
        <v>12</v>
      </c>
      <c r="H3903" t="s">
        <v>49</v>
      </c>
      <c r="I3903" t="s">
        <v>57</v>
      </c>
      <c r="J3903" s="6">
        <v>13.99</v>
      </c>
      <c r="K3903">
        <v>0</v>
      </c>
      <c r="L3903" t="s">
        <v>61</v>
      </c>
      <c r="M3903" s="5">
        <v>1</v>
      </c>
      <c r="N3903" s="4">
        <v>0.56000000000000005</v>
      </c>
      <c r="O3903" t="s">
        <v>47</v>
      </c>
    </row>
    <row r="3904" spans="1:15" x14ac:dyDescent="0.3">
      <c r="A3904" t="s">
        <v>1410</v>
      </c>
      <c r="B3904" s="5">
        <v>62</v>
      </c>
      <c r="C3904" s="5" t="str" cm="1">
        <f t="array" ref="C3904">_xlfn.IFS(worksheet[[#This Row],[age]]&lt;25,"1. Young Adulthood (18-24)",worksheet[[#This Row],[age]]&lt; 35,"2. Early Adulthood (25-34)",worksheet[[#This Row],[age]]&lt; 45,"3. Mid Adulthood (35-44)",worksheet[[#This Row],[age]]&lt; 55,"4. Mature Adulthood (45-54)",TRUE,"5. Late Adulthood/Senior (55+)")</f>
        <v>5. Late Adulthood/Senior (55+)</v>
      </c>
      <c r="D3904" t="s">
        <v>27</v>
      </c>
      <c r="E3904" t="s">
        <v>22</v>
      </c>
      <c r="F3904" s="4">
        <v>1.62</v>
      </c>
      <c r="G3904" s="5">
        <v>37</v>
      </c>
      <c r="H3904" t="s">
        <v>70</v>
      </c>
      <c r="I3904" t="s">
        <v>18</v>
      </c>
      <c r="J3904" s="6">
        <v>13.99</v>
      </c>
      <c r="K3904">
        <v>1</v>
      </c>
      <c r="L3904" t="s">
        <v>29</v>
      </c>
      <c r="M3904" s="5">
        <v>3</v>
      </c>
      <c r="N3904" s="4">
        <v>0.04</v>
      </c>
      <c r="O3904" t="s">
        <v>34</v>
      </c>
    </row>
    <row r="3905" spans="1:15" x14ac:dyDescent="0.3">
      <c r="A3905" t="s">
        <v>1415</v>
      </c>
      <c r="B3905" s="5">
        <v>60</v>
      </c>
      <c r="C3905" s="5" t="str" cm="1">
        <f t="array" ref="C3905">_xlfn.IFS(worksheet[[#This Row],[age]]&lt;25,"1. Young Adulthood (18-24)",worksheet[[#This Row],[age]]&lt; 35,"2. Early Adulthood (25-34)",worksheet[[#This Row],[age]]&lt; 45,"3. Mid Adulthood (35-44)",worksheet[[#This Row],[age]]&lt; 55,"4. Mature Adulthood (45-54)",TRUE,"5. Late Adulthood/Senior (55+)")</f>
        <v>5. Late Adulthood/Senior (55+)</v>
      </c>
      <c r="D3905" t="s">
        <v>27</v>
      </c>
      <c r="E3905" t="s">
        <v>16</v>
      </c>
      <c r="F3905" s="4">
        <v>1.76</v>
      </c>
      <c r="G3905" s="5">
        <v>48</v>
      </c>
      <c r="H3905" t="s">
        <v>70</v>
      </c>
      <c r="I3905" t="s">
        <v>18</v>
      </c>
      <c r="J3905" s="6">
        <v>8.99</v>
      </c>
      <c r="K3905">
        <v>1</v>
      </c>
      <c r="L3905" t="s">
        <v>37</v>
      </c>
      <c r="M3905" s="5">
        <v>2</v>
      </c>
      <c r="N3905" s="4">
        <v>0.04</v>
      </c>
      <c r="O3905" t="s">
        <v>25</v>
      </c>
    </row>
    <row r="3906" spans="1:15" x14ac:dyDescent="0.3">
      <c r="A3906" t="s">
        <v>1417</v>
      </c>
      <c r="B3906" s="5">
        <v>63</v>
      </c>
      <c r="C3906" s="5" t="str" cm="1">
        <f t="array" ref="C3906">_xlfn.IFS(worksheet[[#This Row],[age]]&lt;25,"1. Young Adulthood (18-24)",worksheet[[#This Row],[age]]&lt; 35,"2. Early Adulthood (25-34)",worksheet[[#This Row],[age]]&lt; 45,"3. Mid Adulthood (35-44)",worksheet[[#This Row],[age]]&lt; 55,"4. Mature Adulthood (45-54)",TRUE,"5. Late Adulthood/Senior (55+)")</f>
        <v>5. Late Adulthood/Senior (55+)</v>
      </c>
      <c r="D3906" t="s">
        <v>41</v>
      </c>
      <c r="E3906" t="s">
        <v>16</v>
      </c>
      <c r="F3906" s="4">
        <v>0.75</v>
      </c>
      <c r="G3906" s="5">
        <v>46</v>
      </c>
      <c r="H3906" t="s">
        <v>28</v>
      </c>
      <c r="I3906" t="s">
        <v>57</v>
      </c>
      <c r="J3906" s="6">
        <v>8.99</v>
      </c>
      <c r="K3906">
        <v>1</v>
      </c>
      <c r="L3906" t="s">
        <v>19</v>
      </c>
      <c r="M3906" s="5">
        <v>3</v>
      </c>
      <c r="N3906" s="4">
        <v>0.02</v>
      </c>
      <c r="O3906" t="s">
        <v>34</v>
      </c>
    </row>
    <row r="3907" spans="1:15" x14ac:dyDescent="0.3">
      <c r="A3907" t="s">
        <v>1420</v>
      </c>
      <c r="B3907" s="5">
        <v>63</v>
      </c>
      <c r="C3907" s="5" t="str" cm="1">
        <f t="array" ref="C3907">_xlfn.IFS(worksheet[[#This Row],[age]]&lt;25,"1. Young Adulthood (18-24)",worksheet[[#This Row],[age]]&lt; 35,"2. Early Adulthood (25-34)",worksheet[[#This Row],[age]]&lt; 45,"3. Mid Adulthood (35-44)",worksheet[[#This Row],[age]]&lt; 55,"4. Mature Adulthood (45-54)",TRUE,"5. Late Adulthood/Senior (55+)")</f>
        <v>5. Late Adulthood/Senior (55+)</v>
      </c>
      <c r="D3907" t="s">
        <v>15</v>
      </c>
      <c r="E3907" t="s">
        <v>22</v>
      </c>
      <c r="F3907" s="4">
        <v>6.72</v>
      </c>
      <c r="G3907" s="5">
        <v>18</v>
      </c>
      <c r="H3907" t="s">
        <v>23</v>
      </c>
      <c r="I3907" t="s">
        <v>57</v>
      </c>
      <c r="J3907" s="6">
        <v>13.99</v>
      </c>
      <c r="K3907">
        <v>0</v>
      </c>
      <c r="L3907" t="s">
        <v>61</v>
      </c>
      <c r="M3907" s="5">
        <v>4</v>
      </c>
      <c r="N3907" s="4">
        <v>0.35</v>
      </c>
      <c r="O3907" t="s">
        <v>52</v>
      </c>
    </row>
    <row r="3908" spans="1:15" x14ac:dyDescent="0.3">
      <c r="A3908" t="s">
        <v>1429</v>
      </c>
      <c r="B3908" s="5">
        <v>70</v>
      </c>
      <c r="C3908" s="5" t="str" cm="1">
        <f t="array" ref="C3908">_xlfn.IFS(worksheet[[#This Row],[age]]&lt;25,"1. Young Adulthood (18-24)",worksheet[[#This Row],[age]]&lt; 35,"2. Early Adulthood (25-34)",worksheet[[#This Row],[age]]&lt; 45,"3. Mid Adulthood (35-44)",worksheet[[#This Row],[age]]&lt; 55,"4. Mature Adulthood (45-54)",TRUE,"5. Late Adulthood/Senior (55+)")</f>
        <v>5. Late Adulthood/Senior (55+)</v>
      </c>
      <c r="D3908" t="s">
        <v>15</v>
      </c>
      <c r="E3908" t="s">
        <v>22</v>
      </c>
      <c r="F3908" s="4">
        <v>32.619999999999997</v>
      </c>
      <c r="G3908" s="5">
        <v>26</v>
      </c>
      <c r="H3908" t="s">
        <v>17</v>
      </c>
      <c r="I3908" t="s">
        <v>18</v>
      </c>
      <c r="J3908" s="6">
        <v>13.99</v>
      </c>
      <c r="K3908">
        <v>0</v>
      </c>
      <c r="L3908" t="s">
        <v>29</v>
      </c>
      <c r="M3908" s="5">
        <v>1</v>
      </c>
      <c r="N3908" s="4">
        <v>1.21</v>
      </c>
      <c r="O3908" t="s">
        <v>25</v>
      </c>
    </row>
    <row r="3909" spans="1:15" x14ac:dyDescent="0.3">
      <c r="A3909" t="s">
        <v>1431</v>
      </c>
      <c r="B3909" s="5">
        <v>68</v>
      </c>
      <c r="C3909" s="5" t="str" cm="1">
        <f t="array" ref="C3909">_xlfn.IFS(worksheet[[#This Row],[age]]&lt;25,"1. Young Adulthood (18-24)",worksheet[[#This Row],[age]]&lt; 35,"2. Early Adulthood (25-34)",worksheet[[#This Row],[age]]&lt; 45,"3. Mid Adulthood (35-44)",worksheet[[#This Row],[age]]&lt; 55,"4. Mature Adulthood (45-54)",TRUE,"5. Late Adulthood/Senior (55+)")</f>
        <v>5. Late Adulthood/Senior (55+)</v>
      </c>
      <c r="D3909" t="s">
        <v>41</v>
      </c>
      <c r="E3909" t="s">
        <v>32</v>
      </c>
      <c r="F3909" s="4">
        <v>2.34</v>
      </c>
      <c r="G3909" s="5">
        <v>44</v>
      </c>
      <c r="H3909" t="s">
        <v>33</v>
      </c>
      <c r="I3909" t="s">
        <v>46</v>
      </c>
      <c r="J3909" s="6">
        <v>17.989999999999998</v>
      </c>
      <c r="K3909">
        <v>1</v>
      </c>
      <c r="L3909" t="s">
        <v>19</v>
      </c>
      <c r="M3909" s="5">
        <v>5</v>
      </c>
      <c r="N3909" s="4">
        <v>0.05</v>
      </c>
      <c r="O3909" t="s">
        <v>30</v>
      </c>
    </row>
    <row r="3910" spans="1:15" x14ac:dyDescent="0.3">
      <c r="A3910" t="s">
        <v>1439</v>
      </c>
      <c r="B3910" s="5">
        <v>65</v>
      </c>
      <c r="C3910" s="5" t="str" cm="1">
        <f t="array" ref="C3910">_xlfn.IFS(worksheet[[#This Row],[age]]&lt;25,"1. Young Adulthood (18-24)",worksheet[[#This Row],[age]]&lt; 35,"2. Early Adulthood (25-34)",worksheet[[#This Row],[age]]&lt; 45,"3. Mid Adulthood (35-44)",worksheet[[#This Row],[age]]&lt; 55,"4. Mature Adulthood (45-54)",TRUE,"5. Late Adulthood/Senior (55+)")</f>
        <v>5. Late Adulthood/Senior (55+)</v>
      </c>
      <c r="D3910" t="s">
        <v>15</v>
      </c>
      <c r="E3910" t="s">
        <v>16</v>
      </c>
      <c r="F3910" s="4">
        <v>16.100000000000001</v>
      </c>
      <c r="G3910" s="5">
        <v>10</v>
      </c>
      <c r="H3910" t="s">
        <v>70</v>
      </c>
      <c r="I3910" t="s">
        <v>57</v>
      </c>
      <c r="J3910" s="6">
        <v>8.99</v>
      </c>
      <c r="K3910">
        <v>0</v>
      </c>
      <c r="L3910" t="s">
        <v>29</v>
      </c>
      <c r="M3910" s="5">
        <v>3</v>
      </c>
      <c r="N3910" s="4">
        <v>1.46</v>
      </c>
      <c r="O3910" t="s">
        <v>25</v>
      </c>
    </row>
    <row r="3911" spans="1:15" x14ac:dyDescent="0.3">
      <c r="A3911" t="s">
        <v>1442</v>
      </c>
      <c r="B3911" s="5">
        <v>55</v>
      </c>
      <c r="C3911" s="5" t="str" cm="1">
        <f t="array" ref="C3911">_xlfn.IFS(worksheet[[#This Row],[age]]&lt;25,"1. Young Adulthood (18-24)",worksheet[[#This Row],[age]]&lt; 35,"2. Early Adulthood (25-34)",worksheet[[#This Row],[age]]&lt; 45,"3. Mid Adulthood (35-44)",worksheet[[#This Row],[age]]&lt; 55,"4. Mature Adulthood (45-54)",TRUE,"5. Late Adulthood/Senior (55+)")</f>
        <v>5. Late Adulthood/Senior (55+)</v>
      </c>
      <c r="D3911" t="s">
        <v>41</v>
      </c>
      <c r="E3911" t="s">
        <v>16</v>
      </c>
      <c r="F3911" s="4">
        <v>0.12</v>
      </c>
      <c r="G3911" s="5">
        <v>22</v>
      </c>
      <c r="H3911" t="s">
        <v>49</v>
      </c>
      <c r="I3911" t="s">
        <v>57</v>
      </c>
      <c r="J3911" s="6">
        <v>8.99</v>
      </c>
      <c r="K3911">
        <v>1</v>
      </c>
      <c r="L3911" t="s">
        <v>37</v>
      </c>
      <c r="M3911" s="5">
        <v>4</v>
      </c>
      <c r="N3911" s="4">
        <v>0.01</v>
      </c>
      <c r="O3911" t="s">
        <v>47</v>
      </c>
    </row>
    <row r="3912" spans="1:15" x14ac:dyDescent="0.3">
      <c r="A3912" t="s">
        <v>1446</v>
      </c>
      <c r="B3912" s="5">
        <v>70</v>
      </c>
      <c r="C3912" s="5" t="str" cm="1">
        <f t="array" ref="C3912">_xlfn.IFS(worksheet[[#This Row],[age]]&lt;25,"1. Young Adulthood (18-24)",worksheet[[#This Row],[age]]&lt; 35,"2. Early Adulthood (25-34)",worksheet[[#This Row],[age]]&lt; 45,"3. Mid Adulthood (35-44)",worksheet[[#This Row],[age]]&lt; 55,"4. Mature Adulthood (45-54)",TRUE,"5. Late Adulthood/Senior (55+)")</f>
        <v>5. Late Adulthood/Senior (55+)</v>
      </c>
      <c r="D3912" t="s">
        <v>15</v>
      </c>
      <c r="E3912" t="s">
        <v>32</v>
      </c>
      <c r="F3912" s="4">
        <v>8.6</v>
      </c>
      <c r="G3912" s="5">
        <v>37</v>
      </c>
      <c r="H3912" t="s">
        <v>17</v>
      </c>
      <c r="I3912" t="s">
        <v>55</v>
      </c>
      <c r="J3912" s="6">
        <v>17.989999999999998</v>
      </c>
      <c r="K3912">
        <v>1</v>
      </c>
      <c r="L3912" t="s">
        <v>29</v>
      </c>
      <c r="M3912" s="5">
        <v>3</v>
      </c>
      <c r="N3912" s="4">
        <v>0.23</v>
      </c>
      <c r="O3912" t="s">
        <v>52</v>
      </c>
    </row>
    <row r="3913" spans="1:15" x14ac:dyDescent="0.3">
      <c r="A3913" t="s">
        <v>1451</v>
      </c>
      <c r="B3913" s="5">
        <v>63</v>
      </c>
      <c r="C3913" s="5" t="str" cm="1">
        <f t="array" ref="C3913">_xlfn.IFS(worksheet[[#This Row],[age]]&lt;25,"1. Young Adulthood (18-24)",worksheet[[#This Row],[age]]&lt; 35,"2. Early Adulthood (25-34)",worksheet[[#This Row],[age]]&lt; 45,"3. Mid Adulthood (35-44)",worksheet[[#This Row],[age]]&lt; 55,"4. Mature Adulthood (45-54)",TRUE,"5. Late Adulthood/Senior (55+)")</f>
        <v>5. Late Adulthood/Senior (55+)</v>
      </c>
      <c r="D3913" t="s">
        <v>15</v>
      </c>
      <c r="E3913" t="s">
        <v>22</v>
      </c>
      <c r="F3913" s="4">
        <v>30.83</v>
      </c>
      <c r="G3913" s="5">
        <v>10</v>
      </c>
      <c r="H3913" t="s">
        <v>23</v>
      </c>
      <c r="I3913" t="s">
        <v>46</v>
      </c>
      <c r="J3913" s="6">
        <v>13.99</v>
      </c>
      <c r="K3913">
        <v>0</v>
      </c>
      <c r="L3913" t="s">
        <v>29</v>
      </c>
      <c r="M3913" s="5">
        <v>2</v>
      </c>
      <c r="N3913" s="4">
        <v>2.8</v>
      </c>
      <c r="O3913" t="s">
        <v>25</v>
      </c>
    </row>
    <row r="3914" spans="1:15" x14ac:dyDescent="0.3">
      <c r="A3914" t="s">
        <v>1464</v>
      </c>
      <c r="B3914" s="5">
        <v>59</v>
      </c>
      <c r="C3914" s="5" t="str" cm="1">
        <f t="array" ref="C3914">_xlfn.IFS(worksheet[[#This Row],[age]]&lt;25,"1. Young Adulthood (18-24)",worksheet[[#This Row],[age]]&lt; 35,"2. Early Adulthood (25-34)",worksheet[[#This Row],[age]]&lt; 45,"3. Mid Adulthood (35-44)",worksheet[[#This Row],[age]]&lt; 55,"4. Mature Adulthood (45-54)",TRUE,"5. Late Adulthood/Senior (55+)")</f>
        <v>5. Late Adulthood/Senior (55+)</v>
      </c>
      <c r="D3914" t="s">
        <v>27</v>
      </c>
      <c r="E3914" t="s">
        <v>16</v>
      </c>
      <c r="F3914" s="4">
        <v>77.09</v>
      </c>
      <c r="G3914" s="5">
        <v>36</v>
      </c>
      <c r="H3914" t="s">
        <v>70</v>
      </c>
      <c r="I3914" t="s">
        <v>55</v>
      </c>
      <c r="J3914" s="6">
        <v>8.99</v>
      </c>
      <c r="K3914">
        <v>0</v>
      </c>
      <c r="L3914" t="s">
        <v>43</v>
      </c>
      <c r="M3914" s="5">
        <v>3</v>
      </c>
      <c r="N3914" s="4">
        <v>2.08</v>
      </c>
      <c r="O3914" t="s">
        <v>39</v>
      </c>
    </row>
    <row r="3915" spans="1:15" x14ac:dyDescent="0.3">
      <c r="A3915" t="s">
        <v>1465</v>
      </c>
      <c r="B3915" s="5">
        <v>58</v>
      </c>
      <c r="C3915" s="5" t="str" cm="1">
        <f t="array" ref="C3915">_xlfn.IFS(worksheet[[#This Row],[age]]&lt;25,"1. Young Adulthood (18-24)",worksheet[[#This Row],[age]]&lt; 35,"2. Early Adulthood (25-34)",worksheet[[#This Row],[age]]&lt; 45,"3. Mid Adulthood (35-44)",worksheet[[#This Row],[age]]&lt; 55,"4. Mature Adulthood (45-54)",TRUE,"5. Late Adulthood/Senior (55+)")</f>
        <v>5. Late Adulthood/Senior (55+)</v>
      </c>
      <c r="D3915" t="s">
        <v>41</v>
      </c>
      <c r="E3915" t="s">
        <v>32</v>
      </c>
      <c r="F3915" s="4">
        <v>2.11</v>
      </c>
      <c r="G3915" s="5">
        <v>23</v>
      </c>
      <c r="H3915" t="s">
        <v>17</v>
      </c>
      <c r="I3915" t="s">
        <v>18</v>
      </c>
      <c r="J3915" s="6">
        <v>17.989999999999998</v>
      </c>
      <c r="K3915">
        <v>1</v>
      </c>
      <c r="L3915" t="s">
        <v>37</v>
      </c>
      <c r="M3915" s="5">
        <v>3</v>
      </c>
      <c r="N3915" s="4">
        <v>0.09</v>
      </c>
      <c r="O3915" t="s">
        <v>52</v>
      </c>
    </row>
    <row r="3916" spans="1:15" x14ac:dyDescent="0.3">
      <c r="A3916" t="s">
        <v>1467</v>
      </c>
      <c r="B3916" s="5">
        <v>69</v>
      </c>
      <c r="C3916" s="5" t="str" cm="1">
        <f t="array" ref="C3916">_xlfn.IFS(worksheet[[#This Row],[age]]&lt;25,"1. Young Adulthood (18-24)",worksheet[[#This Row],[age]]&lt; 35,"2. Early Adulthood (25-34)",worksheet[[#This Row],[age]]&lt; 45,"3. Mid Adulthood (35-44)",worksheet[[#This Row],[age]]&lt; 55,"4. Mature Adulthood (45-54)",TRUE,"5. Late Adulthood/Senior (55+)")</f>
        <v>5. Late Adulthood/Senior (55+)</v>
      </c>
      <c r="D3916" t="s">
        <v>41</v>
      </c>
      <c r="E3916" t="s">
        <v>16</v>
      </c>
      <c r="F3916" s="4">
        <v>2.74</v>
      </c>
      <c r="G3916" s="5">
        <v>52</v>
      </c>
      <c r="H3916" t="s">
        <v>33</v>
      </c>
      <c r="I3916" t="s">
        <v>24</v>
      </c>
      <c r="J3916" s="6">
        <v>8.99</v>
      </c>
      <c r="K3916">
        <v>1</v>
      </c>
      <c r="L3916" t="s">
        <v>37</v>
      </c>
      <c r="M3916" s="5">
        <v>4</v>
      </c>
      <c r="N3916" s="4">
        <v>0.05</v>
      </c>
      <c r="O3916" t="s">
        <v>20</v>
      </c>
    </row>
    <row r="3917" spans="1:15" x14ac:dyDescent="0.3">
      <c r="A3917" t="s">
        <v>1475</v>
      </c>
      <c r="B3917" s="5">
        <v>63</v>
      </c>
      <c r="C3917" s="5" t="str" cm="1">
        <f t="array" ref="C3917">_xlfn.IFS(worksheet[[#This Row],[age]]&lt;25,"1. Young Adulthood (18-24)",worksheet[[#This Row],[age]]&lt; 35,"2. Early Adulthood (25-34)",worksheet[[#This Row],[age]]&lt; 45,"3. Mid Adulthood (35-44)",worksheet[[#This Row],[age]]&lt; 55,"4. Mature Adulthood (45-54)",TRUE,"5. Late Adulthood/Senior (55+)")</f>
        <v>5. Late Adulthood/Senior (55+)</v>
      </c>
      <c r="D3917" t="s">
        <v>27</v>
      </c>
      <c r="E3917" t="s">
        <v>16</v>
      </c>
      <c r="F3917" s="4">
        <v>30.88</v>
      </c>
      <c r="G3917" s="5">
        <v>15</v>
      </c>
      <c r="H3917" t="s">
        <v>70</v>
      </c>
      <c r="I3917" t="s">
        <v>18</v>
      </c>
      <c r="J3917" s="6">
        <v>8.99</v>
      </c>
      <c r="K3917">
        <v>0</v>
      </c>
      <c r="L3917" t="s">
        <v>19</v>
      </c>
      <c r="M3917" s="5">
        <v>4</v>
      </c>
      <c r="N3917" s="4">
        <v>1.93</v>
      </c>
      <c r="O3917" t="s">
        <v>47</v>
      </c>
    </row>
    <row r="3918" spans="1:15" x14ac:dyDescent="0.3">
      <c r="A3918" t="s">
        <v>1482</v>
      </c>
      <c r="B3918" s="5">
        <v>57</v>
      </c>
      <c r="C3918" s="5" t="str" cm="1">
        <f t="array" ref="C3918">_xlfn.IFS(worksheet[[#This Row],[age]]&lt;25,"1. Young Adulthood (18-24)",worksheet[[#This Row],[age]]&lt; 35,"2. Early Adulthood (25-34)",worksheet[[#This Row],[age]]&lt; 45,"3. Mid Adulthood (35-44)",worksheet[[#This Row],[age]]&lt; 55,"4. Mature Adulthood (45-54)",TRUE,"5. Late Adulthood/Senior (55+)")</f>
        <v>5. Late Adulthood/Senior (55+)</v>
      </c>
      <c r="D3918" t="s">
        <v>41</v>
      </c>
      <c r="E3918" t="s">
        <v>32</v>
      </c>
      <c r="F3918" s="4">
        <v>0.55000000000000004</v>
      </c>
      <c r="G3918" s="5">
        <v>40</v>
      </c>
      <c r="H3918" t="s">
        <v>33</v>
      </c>
      <c r="I3918" t="s">
        <v>55</v>
      </c>
      <c r="J3918" s="6">
        <v>17.989999999999998</v>
      </c>
      <c r="K3918">
        <v>1</v>
      </c>
      <c r="L3918" t="s">
        <v>61</v>
      </c>
      <c r="M3918" s="5">
        <v>5</v>
      </c>
      <c r="N3918" s="4">
        <v>0.01</v>
      </c>
      <c r="O3918" t="s">
        <v>25</v>
      </c>
    </row>
    <row r="3919" spans="1:15" x14ac:dyDescent="0.3">
      <c r="A3919" t="s">
        <v>1487</v>
      </c>
      <c r="B3919" s="5">
        <v>68</v>
      </c>
      <c r="C3919" s="5" t="str" cm="1">
        <f t="array" ref="C3919">_xlfn.IFS(worksheet[[#This Row],[age]]&lt;25,"1. Young Adulthood (18-24)",worksheet[[#This Row],[age]]&lt; 35,"2. Early Adulthood (25-34)",worksheet[[#This Row],[age]]&lt; 45,"3. Mid Adulthood (35-44)",worksheet[[#This Row],[age]]&lt; 55,"4. Mature Adulthood (45-54)",TRUE,"5. Late Adulthood/Senior (55+)")</f>
        <v>5. Late Adulthood/Senior (55+)</v>
      </c>
      <c r="D3919" t="s">
        <v>27</v>
      </c>
      <c r="E3919" t="s">
        <v>16</v>
      </c>
      <c r="F3919" s="4">
        <v>9.8800000000000008</v>
      </c>
      <c r="G3919" s="5">
        <v>18</v>
      </c>
      <c r="H3919" t="s">
        <v>17</v>
      </c>
      <c r="I3919" t="s">
        <v>55</v>
      </c>
      <c r="J3919" s="6">
        <v>8.99</v>
      </c>
      <c r="K3919">
        <v>0</v>
      </c>
      <c r="L3919" t="s">
        <v>19</v>
      </c>
      <c r="M3919" s="5">
        <v>3</v>
      </c>
      <c r="N3919" s="4">
        <v>0.52</v>
      </c>
      <c r="O3919" t="s">
        <v>20</v>
      </c>
    </row>
    <row r="3920" spans="1:15" x14ac:dyDescent="0.3">
      <c r="A3920" t="s">
        <v>1489</v>
      </c>
      <c r="B3920" s="5">
        <v>69</v>
      </c>
      <c r="C3920" s="5" t="str" cm="1">
        <f t="array" ref="C3920">_xlfn.IFS(worksheet[[#This Row],[age]]&lt;25,"1. Young Adulthood (18-24)",worksheet[[#This Row],[age]]&lt; 35,"2. Early Adulthood (25-34)",worksheet[[#This Row],[age]]&lt; 45,"3. Mid Adulthood (35-44)",worksheet[[#This Row],[age]]&lt; 55,"4. Mature Adulthood (45-54)",TRUE,"5. Late Adulthood/Senior (55+)")</f>
        <v>5. Late Adulthood/Senior (55+)</v>
      </c>
      <c r="D3920" t="s">
        <v>41</v>
      </c>
      <c r="E3920" t="s">
        <v>16</v>
      </c>
      <c r="F3920" s="4">
        <v>6.46</v>
      </c>
      <c r="G3920" s="5">
        <v>49</v>
      </c>
      <c r="H3920" t="s">
        <v>23</v>
      </c>
      <c r="I3920" t="s">
        <v>24</v>
      </c>
      <c r="J3920" s="6">
        <v>8.99</v>
      </c>
      <c r="K3920">
        <v>1</v>
      </c>
      <c r="L3920" t="s">
        <v>37</v>
      </c>
      <c r="M3920" s="5">
        <v>3</v>
      </c>
      <c r="N3920" s="4">
        <v>0.13</v>
      </c>
      <c r="O3920" t="s">
        <v>52</v>
      </c>
    </row>
    <row r="3921" spans="1:15" x14ac:dyDescent="0.3">
      <c r="A3921" t="s">
        <v>1494</v>
      </c>
      <c r="B3921" s="5">
        <v>67</v>
      </c>
      <c r="C3921" s="5" t="str" cm="1">
        <f t="array" ref="C3921">_xlfn.IFS(worksheet[[#This Row],[age]]&lt;25,"1. Young Adulthood (18-24)",worksheet[[#This Row],[age]]&lt; 35,"2. Early Adulthood (25-34)",worksheet[[#This Row],[age]]&lt; 45,"3. Mid Adulthood (35-44)",worksheet[[#This Row],[age]]&lt; 55,"4. Mature Adulthood (45-54)",TRUE,"5. Late Adulthood/Senior (55+)")</f>
        <v>5. Late Adulthood/Senior (55+)</v>
      </c>
      <c r="D3921" t="s">
        <v>15</v>
      </c>
      <c r="E3921" t="s">
        <v>16</v>
      </c>
      <c r="F3921" s="4">
        <v>15.16</v>
      </c>
      <c r="G3921" s="5">
        <v>2</v>
      </c>
      <c r="H3921" t="s">
        <v>28</v>
      </c>
      <c r="I3921" t="s">
        <v>55</v>
      </c>
      <c r="J3921" s="6">
        <v>8.99</v>
      </c>
      <c r="K3921">
        <v>0</v>
      </c>
      <c r="L3921" t="s">
        <v>37</v>
      </c>
      <c r="M3921" s="5">
        <v>5</v>
      </c>
      <c r="N3921" s="4">
        <v>5.05</v>
      </c>
      <c r="O3921" t="s">
        <v>39</v>
      </c>
    </row>
    <row r="3922" spans="1:15" x14ac:dyDescent="0.3">
      <c r="A3922" t="s">
        <v>1500</v>
      </c>
      <c r="B3922" s="5">
        <v>69</v>
      </c>
      <c r="C3922" s="5" t="str" cm="1">
        <f t="array" ref="C3922">_xlfn.IFS(worksheet[[#This Row],[age]]&lt;25,"1. Young Adulthood (18-24)",worksheet[[#This Row],[age]]&lt; 35,"2. Early Adulthood (25-34)",worksheet[[#This Row],[age]]&lt; 45,"3. Mid Adulthood (35-44)",worksheet[[#This Row],[age]]&lt; 55,"4. Mature Adulthood (45-54)",TRUE,"5. Late Adulthood/Senior (55+)")</f>
        <v>5. Late Adulthood/Senior (55+)</v>
      </c>
      <c r="D3922" t="s">
        <v>15</v>
      </c>
      <c r="E3922" t="s">
        <v>32</v>
      </c>
      <c r="F3922" s="4">
        <v>25.85</v>
      </c>
      <c r="G3922" s="5">
        <v>15</v>
      </c>
      <c r="H3922" t="s">
        <v>17</v>
      </c>
      <c r="I3922" t="s">
        <v>18</v>
      </c>
      <c r="J3922" s="6">
        <v>17.989999999999998</v>
      </c>
      <c r="K3922">
        <v>0</v>
      </c>
      <c r="L3922" t="s">
        <v>37</v>
      </c>
      <c r="M3922" s="5">
        <v>3</v>
      </c>
      <c r="N3922" s="4">
        <v>1.62</v>
      </c>
      <c r="O3922" t="s">
        <v>47</v>
      </c>
    </row>
    <row r="3923" spans="1:15" x14ac:dyDescent="0.3">
      <c r="A3923" t="s">
        <v>1502</v>
      </c>
      <c r="B3923" s="5">
        <v>65</v>
      </c>
      <c r="C3923" s="5" t="str" cm="1">
        <f t="array" ref="C3923">_xlfn.IFS(worksheet[[#This Row],[age]]&lt;25,"1. Young Adulthood (18-24)",worksheet[[#This Row],[age]]&lt; 35,"2. Early Adulthood (25-34)",worksheet[[#This Row],[age]]&lt; 45,"3. Mid Adulthood (35-44)",worksheet[[#This Row],[age]]&lt; 55,"4. Mature Adulthood (45-54)",TRUE,"5. Late Adulthood/Senior (55+)")</f>
        <v>5. Late Adulthood/Senior (55+)</v>
      </c>
      <c r="D3923" t="s">
        <v>15</v>
      </c>
      <c r="E3923" t="s">
        <v>22</v>
      </c>
      <c r="F3923" s="4">
        <v>4.68</v>
      </c>
      <c r="G3923" s="5">
        <v>4</v>
      </c>
      <c r="H3923" t="s">
        <v>28</v>
      </c>
      <c r="I3923" t="s">
        <v>18</v>
      </c>
      <c r="J3923" s="6">
        <v>13.99</v>
      </c>
      <c r="K3923">
        <v>0</v>
      </c>
      <c r="L3923" t="s">
        <v>19</v>
      </c>
      <c r="M3923" s="5">
        <v>1</v>
      </c>
      <c r="N3923" s="4">
        <v>0.94</v>
      </c>
      <c r="O3923" t="s">
        <v>30</v>
      </c>
    </row>
    <row r="3924" spans="1:15" x14ac:dyDescent="0.3">
      <c r="A3924" t="s">
        <v>1507</v>
      </c>
      <c r="B3924" s="5">
        <v>69</v>
      </c>
      <c r="C3924" s="5" t="str" cm="1">
        <f t="array" ref="C3924">_xlfn.IFS(worksheet[[#This Row],[age]]&lt;25,"1. Young Adulthood (18-24)",worksheet[[#This Row],[age]]&lt; 35,"2. Early Adulthood (25-34)",worksheet[[#This Row],[age]]&lt; 45,"3. Mid Adulthood (35-44)",worksheet[[#This Row],[age]]&lt; 55,"4. Mature Adulthood (45-54)",TRUE,"5. Late Adulthood/Senior (55+)")</f>
        <v>5. Late Adulthood/Senior (55+)</v>
      </c>
      <c r="D3924" t="s">
        <v>15</v>
      </c>
      <c r="E3924" t="s">
        <v>22</v>
      </c>
      <c r="F3924" s="4">
        <v>6.46</v>
      </c>
      <c r="G3924" s="5">
        <v>16</v>
      </c>
      <c r="H3924" t="s">
        <v>33</v>
      </c>
      <c r="I3924" t="s">
        <v>18</v>
      </c>
      <c r="J3924" s="6">
        <v>13.99</v>
      </c>
      <c r="K3924">
        <v>0</v>
      </c>
      <c r="L3924" t="s">
        <v>37</v>
      </c>
      <c r="M3924" s="5">
        <v>2</v>
      </c>
      <c r="N3924" s="4">
        <v>0.38</v>
      </c>
      <c r="O3924" t="s">
        <v>30</v>
      </c>
    </row>
    <row r="3925" spans="1:15" x14ac:dyDescent="0.3">
      <c r="A3925" t="s">
        <v>1509</v>
      </c>
      <c r="B3925" s="5">
        <v>66</v>
      </c>
      <c r="C3925" s="5" t="str" cm="1">
        <f t="array" ref="C3925">_xlfn.IFS(worksheet[[#This Row],[age]]&lt;25,"1. Young Adulthood (18-24)",worksheet[[#This Row],[age]]&lt; 35,"2. Early Adulthood (25-34)",worksheet[[#This Row],[age]]&lt; 45,"3. Mid Adulthood (35-44)",worksheet[[#This Row],[age]]&lt; 55,"4. Mature Adulthood (45-54)",TRUE,"5. Late Adulthood/Senior (55+)")</f>
        <v>5. Late Adulthood/Senior (55+)</v>
      </c>
      <c r="D3925" t="s">
        <v>15</v>
      </c>
      <c r="E3925" t="s">
        <v>32</v>
      </c>
      <c r="F3925" s="4">
        <v>0.27</v>
      </c>
      <c r="G3925" s="5">
        <v>59</v>
      </c>
      <c r="H3925" t="s">
        <v>70</v>
      </c>
      <c r="I3925" t="s">
        <v>57</v>
      </c>
      <c r="J3925" s="6">
        <v>17.989999999999998</v>
      </c>
      <c r="K3925">
        <v>1</v>
      </c>
      <c r="L3925" t="s">
        <v>19</v>
      </c>
      <c r="M3925" s="5">
        <v>2</v>
      </c>
      <c r="N3925" s="4">
        <v>0</v>
      </c>
      <c r="O3925" t="s">
        <v>52</v>
      </c>
    </row>
    <row r="3926" spans="1:15" x14ac:dyDescent="0.3">
      <c r="A3926" t="s">
        <v>1510</v>
      </c>
      <c r="B3926" s="5">
        <v>64</v>
      </c>
      <c r="C3926" s="5" t="str" cm="1">
        <f t="array" ref="C3926">_xlfn.IFS(worksheet[[#This Row],[age]]&lt;25,"1. Young Adulthood (18-24)",worksheet[[#This Row],[age]]&lt; 35,"2. Early Adulthood (25-34)",worksheet[[#This Row],[age]]&lt; 45,"3. Mid Adulthood (35-44)",worksheet[[#This Row],[age]]&lt; 55,"4. Mature Adulthood (45-54)",TRUE,"5. Late Adulthood/Senior (55+)")</f>
        <v>5. Late Adulthood/Senior (55+)</v>
      </c>
      <c r="D3926" t="s">
        <v>27</v>
      </c>
      <c r="E3926" t="s">
        <v>32</v>
      </c>
      <c r="F3926" s="4">
        <v>22.59</v>
      </c>
      <c r="G3926" s="5">
        <v>24</v>
      </c>
      <c r="H3926" t="s">
        <v>49</v>
      </c>
      <c r="I3926" t="s">
        <v>18</v>
      </c>
      <c r="J3926" s="6">
        <v>17.989999999999998</v>
      </c>
      <c r="K3926">
        <v>0</v>
      </c>
      <c r="L3926" t="s">
        <v>61</v>
      </c>
      <c r="M3926" s="5">
        <v>4</v>
      </c>
      <c r="N3926" s="4">
        <v>0.9</v>
      </c>
      <c r="O3926" t="s">
        <v>39</v>
      </c>
    </row>
    <row r="3927" spans="1:15" x14ac:dyDescent="0.3">
      <c r="A3927" t="s">
        <v>1511</v>
      </c>
      <c r="B3927" s="5">
        <v>69</v>
      </c>
      <c r="C3927" s="5" t="str" cm="1">
        <f t="array" ref="C3927">_xlfn.IFS(worksheet[[#This Row],[age]]&lt;25,"1. Young Adulthood (18-24)",worksheet[[#This Row],[age]]&lt; 35,"2. Early Adulthood (25-34)",worksheet[[#This Row],[age]]&lt; 45,"3. Mid Adulthood (35-44)",worksheet[[#This Row],[age]]&lt; 55,"4. Mature Adulthood (45-54)",TRUE,"5. Late Adulthood/Senior (55+)")</f>
        <v>5. Late Adulthood/Senior (55+)</v>
      </c>
      <c r="D3927" t="s">
        <v>15</v>
      </c>
      <c r="E3927" t="s">
        <v>32</v>
      </c>
      <c r="F3927" s="4">
        <v>13.4</v>
      </c>
      <c r="G3927" s="5">
        <v>11</v>
      </c>
      <c r="H3927" t="s">
        <v>70</v>
      </c>
      <c r="I3927" t="s">
        <v>46</v>
      </c>
      <c r="J3927" s="6">
        <v>17.989999999999998</v>
      </c>
      <c r="K3927">
        <v>0</v>
      </c>
      <c r="L3927" t="s">
        <v>37</v>
      </c>
      <c r="M3927" s="5">
        <v>3</v>
      </c>
      <c r="N3927" s="4">
        <v>1.1200000000000001</v>
      </c>
      <c r="O3927" t="s">
        <v>47</v>
      </c>
    </row>
    <row r="3928" spans="1:15" x14ac:dyDescent="0.3">
      <c r="A3928" t="s">
        <v>1513</v>
      </c>
      <c r="B3928" s="5">
        <v>70</v>
      </c>
      <c r="C3928" s="5" t="str" cm="1">
        <f t="array" ref="C3928">_xlfn.IFS(worksheet[[#This Row],[age]]&lt;25,"1. Young Adulthood (18-24)",worksheet[[#This Row],[age]]&lt; 35,"2. Early Adulthood (25-34)",worksheet[[#This Row],[age]]&lt; 45,"3. Mid Adulthood (35-44)",worksheet[[#This Row],[age]]&lt; 55,"4. Mature Adulthood (45-54)",TRUE,"5. Late Adulthood/Senior (55+)")</f>
        <v>5. Late Adulthood/Senior (55+)</v>
      </c>
      <c r="D3928" t="s">
        <v>41</v>
      </c>
      <c r="E3928" t="s">
        <v>22</v>
      </c>
      <c r="F3928" s="4">
        <v>4.17</v>
      </c>
      <c r="G3928" s="5">
        <v>38</v>
      </c>
      <c r="H3928" t="s">
        <v>49</v>
      </c>
      <c r="I3928" t="s">
        <v>57</v>
      </c>
      <c r="J3928" s="6">
        <v>13.99</v>
      </c>
      <c r="K3928">
        <v>1</v>
      </c>
      <c r="L3928" t="s">
        <v>43</v>
      </c>
      <c r="M3928" s="5">
        <v>1</v>
      </c>
      <c r="N3928" s="4">
        <v>0.11</v>
      </c>
      <c r="O3928" t="s">
        <v>25</v>
      </c>
    </row>
    <row r="3929" spans="1:15" x14ac:dyDescent="0.3">
      <c r="A3929" t="s">
        <v>1515</v>
      </c>
      <c r="B3929" s="5">
        <v>67</v>
      </c>
      <c r="C3929" s="5" t="str" cm="1">
        <f t="array" ref="C3929">_xlfn.IFS(worksheet[[#This Row],[age]]&lt;25,"1. Young Adulthood (18-24)",worksheet[[#This Row],[age]]&lt; 35,"2. Early Adulthood (25-34)",worksheet[[#This Row],[age]]&lt; 45,"3. Mid Adulthood (35-44)",worksheet[[#This Row],[age]]&lt; 55,"4. Mature Adulthood (45-54)",TRUE,"5. Late Adulthood/Senior (55+)")</f>
        <v>5. Late Adulthood/Senior (55+)</v>
      </c>
      <c r="D3929" t="s">
        <v>27</v>
      </c>
      <c r="E3929" t="s">
        <v>22</v>
      </c>
      <c r="F3929" s="4">
        <v>1.63</v>
      </c>
      <c r="G3929" s="5">
        <v>58</v>
      </c>
      <c r="H3929" t="s">
        <v>70</v>
      </c>
      <c r="I3929" t="s">
        <v>24</v>
      </c>
      <c r="J3929" s="6">
        <v>13.99</v>
      </c>
      <c r="K3929">
        <v>1</v>
      </c>
      <c r="L3929" t="s">
        <v>19</v>
      </c>
      <c r="M3929" s="5">
        <v>3</v>
      </c>
      <c r="N3929" s="4">
        <v>0.03</v>
      </c>
      <c r="O3929" t="s">
        <v>52</v>
      </c>
    </row>
    <row r="3930" spans="1:15" x14ac:dyDescent="0.3">
      <c r="A3930" t="s">
        <v>1516</v>
      </c>
      <c r="B3930" s="5">
        <v>66</v>
      </c>
      <c r="C3930" s="5" t="str" cm="1">
        <f t="array" ref="C3930">_xlfn.IFS(worksheet[[#This Row],[age]]&lt;25,"1. Young Adulthood (18-24)",worksheet[[#This Row],[age]]&lt; 35,"2. Early Adulthood (25-34)",worksheet[[#This Row],[age]]&lt; 45,"3. Mid Adulthood (35-44)",worksheet[[#This Row],[age]]&lt; 55,"4. Mature Adulthood (45-54)",TRUE,"5. Late Adulthood/Senior (55+)")</f>
        <v>5. Late Adulthood/Senior (55+)</v>
      </c>
      <c r="D3930" t="s">
        <v>15</v>
      </c>
      <c r="E3930" t="s">
        <v>22</v>
      </c>
      <c r="F3930" s="4">
        <v>20.65</v>
      </c>
      <c r="G3930" s="5">
        <v>58</v>
      </c>
      <c r="H3930" t="s">
        <v>70</v>
      </c>
      <c r="I3930" t="s">
        <v>55</v>
      </c>
      <c r="J3930" s="6">
        <v>13.99</v>
      </c>
      <c r="K3930">
        <v>0</v>
      </c>
      <c r="L3930" t="s">
        <v>43</v>
      </c>
      <c r="M3930" s="5">
        <v>4</v>
      </c>
      <c r="N3930" s="4">
        <v>0.35</v>
      </c>
      <c r="O3930" t="s">
        <v>52</v>
      </c>
    </row>
    <row r="3931" spans="1:15" x14ac:dyDescent="0.3">
      <c r="A3931" t="s">
        <v>1517</v>
      </c>
      <c r="B3931" s="5">
        <v>57</v>
      </c>
      <c r="C3931" s="5" t="str" cm="1">
        <f t="array" ref="C3931">_xlfn.IFS(worksheet[[#This Row],[age]]&lt;25,"1. Young Adulthood (18-24)",worksheet[[#This Row],[age]]&lt; 35,"2. Early Adulthood (25-34)",worksheet[[#This Row],[age]]&lt; 45,"3. Mid Adulthood (35-44)",worksheet[[#This Row],[age]]&lt; 55,"4. Mature Adulthood (45-54)",TRUE,"5. Late Adulthood/Senior (55+)")</f>
        <v>5. Late Adulthood/Senior (55+)</v>
      </c>
      <c r="D3931" t="s">
        <v>41</v>
      </c>
      <c r="E3931" t="s">
        <v>32</v>
      </c>
      <c r="F3931" s="4">
        <v>11.09</v>
      </c>
      <c r="G3931" s="5">
        <v>9</v>
      </c>
      <c r="H3931" t="s">
        <v>33</v>
      </c>
      <c r="I3931" t="s">
        <v>24</v>
      </c>
      <c r="J3931" s="6">
        <v>17.989999999999998</v>
      </c>
      <c r="K3931">
        <v>0</v>
      </c>
      <c r="L3931" t="s">
        <v>19</v>
      </c>
      <c r="M3931" s="5">
        <v>3</v>
      </c>
      <c r="N3931" s="4">
        <v>1.1100000000000001</v>
      </c>
      <c r="O3931" t="s">
        <v>39</v>
      </c>
    </row>
    <row r="3932" spans="1:15" x14ac:dyDescent="0.3">
      <c r="A3932" t="s">
        <v>1519</v>
      </c>
      <c r="B3932" s="5">
        <v>67</v>
      </c>
      <c r="C3932" s="5" t="str" cm="1">
        <f t="array" ref="C3932">_xlfn.IFS(worksheet[[#This Row],[age]]&lt;25,"1. Young Adulthood (18-24)",worksheet[[#This Row],[age]]&lt; 35,"2. Early Adulthood (25-34)",worksheet[[#This Row],[age]]&lt; 45,"3. Mid Adulthood (35-44)",worksheet[[#This Row],[age]]&lt; 55,"4. Mature Adulthood (45-54)",TRUE,"5. Late Adulthood/Senior (55+)")</f>
        <v>5. Late Adulthood/Senior (55+)</v>
      </c>
      <c r="D3932" t="s">
        <v>41</v>
      </c>
      <c r="E3932" t="s">
        <v>16</v>
      </c>
      <c r="F3932" s="4">
        <v>17.440000000000001</v>
      </c>
      <c r="G3932" s="5">
        <v>3</v>
      </c>
      <c r="H3932" t="s">
        <v>49</v>
      </c>
      <c r="I3932" t="s">
        <v>46</v>
      </c>
      <c r="J3932" s="6">
        <v>8.99</v>
      </c>
      <c r="K3932">
        <v>0</v>
      </c>
      <c r="L3932" t="s">
        <v>61</v>
      </c>
      <c r="M3932" s="5">
        <v>3</v>
      </c>
      <c r="N3932" s="4">
        <v>4.3600000000000003</v>
      </c>
      <c r="O3932" t="s">
        <v>39</v>
      </c>
    </row>
    <row r="3933" spans="1:15" x14ac:dyDescent="0.3">
      <c r="A3933" t="s">
        <v>1521</v>
      </c>
      <c r="B3933" s="5">
        <v>63</v>
      </c>
      <c r="C3933" s="5" t="str" cm="1">
        <f t="array" ref="C3933">_xlfn.IFS(worksheet[[#This Row],[age]]&lt;25,"1. Young Adulthood (18-24)",worksheet[[#This Row],[age]]&lt; 35,"2. Early Adulthood (25-34)",worksheet[[#This Row],[age]]&lt; 45,"3. Mid Adulthood (35-44)",worksheet[[#This Row],[age]]&lt; 55,"4. Mature Adulthood (45-54)",TRUE,"5. Late Adulthood/Senior (55+)")</f>
        <v>5. Late Adulthood/Senior (55+)</v>
      </c>
      <c r="D3933" t="s">
        <v>27</v>
      </c>
      <c r="E3933" t="s">
        <v>22</v>
      </c>
      <c r="F3933" s="4">
        <v>1.66</v>
      </c>
      <c r="G3933" s="5">
        <v>0</v>
      </c>
      <c r="H3933" t="s">
        <v>23</v>
      </c>
      <c r="I3933" t="s">
        <v>55</v>
      </c>
      <c r="J3933" s="6">
        <v>13.99</v>
      </c>
      <c r="K3933">
        <v>0</v>
      </c>
      <c r="L3933" t="s">
        <v>29</v>
      </c>
      <c r="M3933" s="5">
        <v>1</v>
      </c>
      <c r="N3933" s="4">
        <v>1.66</v>
      </c>
      <c r="O3933" t="s">
        <v>47</v>
      </c>
    </row>
    <row r="3934" spans="1:15" x14ac:dyDescent="0.3">
      <c r="A3934" t="s">
        <v>1525</v>
      </c>
      <c r="B3934" s="5">
        <v>69</v>
      </c>
      <c r="C3934" s="5" t="str" cm="1">
        <f t="array" ref="C3934">_xlfn.IFS(worksheet[[#This Row],[age]]&lt;25,"1. Young Adulthood (18-24)",worksheet[[#This Row],[age]]&lt; 35,"2. Early Adulthood (25-34)",worksheet[[#This Row],[age]]&lt; 45,"3. Mid Adulthood (35-44)",worksheet[[#This Row],[age]]&lt; 55,"4. Mature Adulthood (45-54)",TRUE,"5. Late Adulthood/Senior (55+)")</f>
        <v>5. Late Adulthood/Senior (55+)</v>
      </c>
      <c r="D3934" t="s">
        <v>41</v>
      </c>
      <c r="E3934" t="s">
        <v>32</v>
      </c>
      <c r="F3934" s="4">
        <v>27.12</v>
      </c>
      <c r="G3934" s="5">
        <v>3</v>
      </c>
      <c r="H3934" t="s">
        <v>28</v>
      </c>
      <c r="I3934" t="s">
        <v>18</v>
      </c>
      <c r="J3934" s="6">
        <v>17.989999999999998</v>
      </c>
      <c r="K3934">
        <v>0</v>
      </c>
      <c r="L3934" t="s">
        <v>61</v>
      </c>
      <c r="M3934" s="5">
        <v>5</v>
      </c>
      <c r="N3934" s="4">
        <v>6.78</v>
      </c>
      <c r="O3934" t="s">
        <v>30</v>
      </c>
    </row>
    <row r="3935" spans="1:15" x14ac:dyDescent="0.3">
      <c r="A3935" t="s">
        <v>1526</v>
      </c>
      <c r="B3935" s="5">
        <v>58</v>
      </c>
      <c r="C3935" s="5" t="str" cm="1">
        <f t="array" ref="C3935">_xlfn.IFS(worksheet[[#This Row],[age]]&lt;25,"1. Young Adulthood (18-24)",worksheet[[#This Row],[age]]&lt; 35,"2. Early Adulthood (25-34)",worksheet[[#This Row],[age]]&lt; 45,"3. Mid Adulthood (35-44)",worksheet[[#This Row],[age]]&lt; 55,"4. Mature Adulthood (45-54)",TRUE,"5. Late Adulthood/Senior (55+)")</f>
        <v>5. Late Adulthood/Senior (55+)</v>
      </c>
      <c r="D3935" t="s">
        <v>27</v>
      </c>
      <c r="E3935" t="s">
        <v>16</v>
      </c>
      <c r="F3935" s="4">
        <v>5.87</v>
      </c>
      <c r="G3935" s="5">
        <v>37</v>
      </c>
      <c r="H3935" t="s">
        <v>23</v>
      </c>
      <c r="I3935" t="s">
        <v>18</v>
      </c>
      <c r="J3935" s="6">
        <v>8.99</v>
      </c>
      <c r="K3935">
        <v>1</v>
      </c>
      <c r="L3935" t="s">
        <v>43</v>
      </c>
      <c r="M3935" s="5">
        <v>5</v>
      </c>
      <c r="N3935" s="4">
        <v>0.15</v>
      </c>
      <c r="O3935" t="s">
        <v>25</v>
      </c>
    </row>
    <row r="3936" spans="1:15" x14ac:dyDescent="0.3">
      <c r="A3936" t="s">
        <v>1529</v>
      </c>
      <c r="B3936" s="5">
        <v>60</v>
      </c>
      <c r="C3936" s="5" t="str" cm="1">
        <f t="array" ref="C3936">_xlfn.IFS(worksheet[[#This Row],[age]]&lt;25,"1. Young Adulthood (18-24)",worksheet[[#This Row],[age]]&lt; 35,"2. Early Adulthood (25-34)",worksheet[[#This Row],[age]]&lt; 45,"3. Mid Adulthood (35-44)",worksheet[[#This Row],[age]]&lt; 55,"4. Mature Adulthood (45-54)",TRUE,"5. Late Adulthood/Senior (55+)")</f>
        <v>5. Late Adulthood/Senior (55+)</v>
      </c>
      <c r="D3936" t="s">
        <v>41</v>
      </c>
      <c r="E3936" t="s">
        <v>22</v>
      </c>
      <c r="F3936" s="4">
        <v>1.38</v>
      </c>
      <c r="G3936" s="5">
        <v>41</v>
      </c>
      <c r="H3936" t="s">
        <v>17</v>
      </c>
      <c r="I3936" t="s">
        <v>46</v>
      </c>
      <c r="J3936" s="6">
        <v>13.99</v>
      </c>
      <c r="K3936">
        <v>1</v>
      </c>
      <c r="L3936" t="s">
        <v>37</v>
      </c>
      <c r="M3936" s="5">
        <v>3</v>
      </c>
      <c r="N3936" s="4">
        <v>0.03</v>
      </c>
      <c r="O3936" t="s">
        <v>30</v>
      </c>
    </row>
    <row r="3937" spans="1:15" x14ac:dyDescent="0.3">
      <c r="A3937" t="s">
        <v>1531</v>
      </c>
      <c r="B3937" s="5">
        <v>70</v>
      </c>
      <c r="C3937" s="5" t="str" cm="1">
        <f t="array" ref="C3937">_xlfn.IFS(worksheet[[#This Row],[age]]&lt;25,"1. Young Adulthood (18-24)",worksheet[[#This Row],[age]]&lt; 35,"2. Early Adulthood (25-34)",worksheet[[#This Row],[age]]&lt; 45,"3. Mid Adulthood (35-44)",worksheet[[#This Row],[age]]&lt; 55,"4. Mature Adulthood (45-54)",TRUE,"5. Late Adulthood/Senior (55+)")</f>
        <v>5. Late Adulthood/Senior (55+)</v>
      </c>
      <c r="D3937" t="s">
        <v>15</v>
      </c>
      <c r="E3937" t="s">
        <v>22</v>
      </c>
      <c r="F3937" s="4">
        <v>6.76</v>
      </c>
      <c r="G3937" s="5">
        <v>41</v>
      </c>
      <c r="H3937" t="s">
        <v>28</v>
      </c>
      <c r="I3937" t="s">
        <v>57</v>
      </c>
      <c r="J3937" s="6">
        <v>13.99</v>
      </c>
      <c r="K3937">
        <v>1</v>
      </c>
      <c r="L3937" t="s">
        <v>29</v>
      </c>
      <c r="M3937" s="5">
        <v>2</v>
      </c>
      <c r="N3937" s="4">
        <v>0.16</v>
      </c>
      <c r="O3937" t="s">
        <v>34</v>
      </c>
    </row>
    <row r="3938" spans="1:15" x14ac:dyDescent="0.3">
      <c r="A3938" t="s">
        <v>1543</v>
      </c>
      <c r="B3938" s="5">
        <v>60</v>
      </c>
      <c r="C3938" s="5" t="str" cm="1">
        <f t="array" ref="C3938">_xlfn.IFS(worksheet[[#This Row],[age]]&lt;25,"1. Young Adulthood (18-24)",worksheet[[#This Row],[age]]&lt; 35,"2. Early Adulthood (25-34)",worksheet[[#This Row],[age]]&lt; 45,"3. Mid Adulthood (35-44)",worksheet[[#This Row],[age]]&lt; 55,"4. Mature Adulthood (45-54)",TRUE,"5. Late Adulthood/Senior (55+)")</f>
        <v>5. Late Adulthood/Senior (55+)</v>
      </c>
      <c r="D3938" t="s">
        <v>15</v>
      </c>
      <c r="E3938" t="s">
        <v>16</v>
      </c>
      <c r="F3938" s="4">
        <v>8.89</v>
      </c>
      <c r="G3938" s="5">
        <v>23</v>
      </c>
      <c r="H3938" t="s">
        <v>23</v>
      </c>
      <c r="I3938" t="s">
        <v>18</v>
      </c>
      <c r="J3938" s="6">
        <v>8.99</v>
      </c>
      <c r="K3938">
        <v>1</v>
      </c>
      <c r="L3938" t="s">
        <v>29</v>
      </c>
      <c r="M3938" s="5">
        <v>3</v>
      </c>
      <c r="N3938" s="4">
        <v>0.37</v>
      </c>
      <c r="O3938" t="s">
        <v>39</v>
      </c>
    </row>
    <row r="3939" spans="1:15" x14ac:dyDescent="0.3">
      <c r="A3939" t="s">
        <v>1550</v>
      </c>
      <c r="B3939" s="5">
        <v>66</v>
      </c>
      <c r="C3939" s="5" t="str" cm="1">
        <f t="array" ref="C3939">_xlfn.IFS(worksheet[[#This Row],[age]]&lt;25,"1. Young Adulthood (18-24)",worksheet[[#This Row],[age]]&lt; 35,"2. Early Adulthood (25-34)",worksheet[[#This Row],[age]]&lt; 45,"3. Mid Adulthood (35-44)",worksheet[[#This Row],[age]]&lt; 55,"4. Mature Adulthood (45-54)",TRUE,"5. Late Adulthood/Senior (55+)")</f>
        <v>5. Late Adulthood/Senior (55+)</v>
      </c>
      <c r="D3939" t="s">
        <v>41</v>
      </c>
      <c r="E3939" t="s">
        <v>32</v>
      </c>
      <c r="F3939" s="4">
        <v>18.23</v>
      </c>
      <c r="G3939" s="5">
        <v>38</v>
      </c>
      <c r="H3939" t="s">
        <v>49</v>
      </c>
      <c r="I3939" t="s">
        <v>18</v>
      </c>
      <c r="J3939" s="6">
        <v>17.989999999999998</v>
      </c>
      <c r="K3939">
        <v>1</v>
      </c>
      <c r="L3939" t="s">
        <v>43</v>
      </c>
      <c r="M3939" s="5">
        <v>2</v>
      </c>
      <c r="N3939" s="4">
        <v>0.47</v>
      </c>
      <c r="O3939" t="s">
        <v>20</v>
      </c>
    </row>
    <row r="3940" spans="1:15" x14ac:dyDescent="0.3">
      <c r="A3940" t="s">
        <v>1554</v>
      </c>
      <c r="B3940" s="5">
        <v>57</v>
      </c>
      <c r="C3940" s="5" t="str" cm="1">
        <f t="array" ref="C3940">_xlfn.IFS(worksheet[[#This Row],[age]]&lt;25,"1. Young Adulthood (18-24)",worksheet[[#This Row],[age]]&lt; 35,"2. Early Adulthood (25-34)",worksheet[[#This Row],[age]]&lt; 45,"3. Mid Adulthood (35-44)",worksheet[[#This Row],[age]]&lt; 55,"4. Mature Adulthood (45-54)",TRUE,"5. Late Adulthood/Senior (55+)")</f>
        <v>5. Late Adulthood/Senior (55+)</v>
      </c>
      <c r="D3940" t="s">
        <v>27</v>
      </c>
      <c r="E3940" t="s">
        <v>32</v>
      </c>
      <c r="F3940" s="4">
        <v>0.69</v>
      </c>
      <c r="G3940" s="5">
        <v>24</v>
      </c>
      <c r="H3940" t="s">
        <v>23</v>
      </c>
      <c r="I3940" t="s">
        <v>24</v>
      </c>
      <c r="J3940" s="6">
        <v>17.989999999999998</v>
      </c>
      <c r="K3940">
        <v>1</v>
      </c>
      <c r="L3940" t="s">
        <v>29</v>
      </c>
      <c r="M3940" s="5">
        <v>5</v>
      </c>
      <c r="N3940" s="4">
        <v>0.03</v>
      </c>
      <c r="O3940" t="s">
        <v>25</v>
      </c>
    </row>
    <row r="3941" spans="1:15" x14ac:dyDescent="0.3">
      <c r="A3941" t="s">
        <v>1555</v>
      </c>
      <c r="B3941" s="5">
        <v>64</v>
      </c>
      <c r="C3941" s="5" t="str" cm="1">
        <f t="array" ref="C3941">_xlfn.IFS(worksheet[[#This Row],[age]]&lt;25,"1. Young Adulthood (18-24)",worksheet[[#This Row],[age]]&lt; 35,"2. Early Adulthood (25-34)",worksheet[[#This Row],[age]]&lt; 45,"3. Mid Adulthood (35-44)",worksheet[[#This Row],[age]]&lt; 55,"4. Mature Adulthood (45-54)",TRUE,"5. Late Adulthood/Senior (55+)")</f>
        <v>5. Late Adulthood/Senior (55+)</v>
      </c>
      <c r="D3941" t="s">
        <v>15</v>
      </c>
      <c r="E3941" t="s">
        <v>32</v>
      </c>
      <c r="F3941" s="4">
        <v>6.26</v>
      </c>
      <c r="G3941" s="5">
        <v>16</v>
      </c>
      <c r="H3941" t="s">
        <v>70</v>
      </c>
      <c r="I3941" t="s">
        <v>24</v>
      </c>
      <c r="J3941" s="6">
        <v>17.989999999999998</v>
      </c>
      <c r="K3941">
        <v>0</v>
      </c>
      <c r="L3941" t="s">
        <v>37</v>
      </c>
      <c r="M3941" s="5">
        <v>5</v>
      </c>
      <c r="N3941" s="4">
        <v>0.37</v>
      </c>
      <c r="O3941" t="s">
        <v>30</v>
      </c>
    </row>
    <row r="3942" spans="1:15" x14ac:dyDescent="0.3">
      <c r="A3942" t="s">
        <v>1561</v>
      </c>
      <c r="B3942" s="5">
        <v>65</v>
      </c>
      <c r="C3942" s="5" t="str" cm="1">
        <f t="array" ref="C3942">_xlfn.IFS(worksheet[[#This Row],[age]]&lt;25,"1. Young Adulthood (18-24)",worksheet[[#This Row],[age]]&lt; 35,"2. Early Adulthood (25-34)",worksheet[[#This Row],[age]]&lt; 45,"3. Mid Adulthood (35-44)",worksheet[[#This Row],[age]]&lt; 55,"4. Mature Adulthood (45-54)",TRUE,"5. Late Adulthood/Senior (55+)")</f>
        <v>5. Late Adulthood/Senior (55+)</v>
      </c>
      <c r="D3942" t="s">
        <v>41</v>
      </c>
      <c r="E3942" t="s">
        <v>32</v>
      </c>
      <c r="F3942" s="4">
        <v>6.14</v>
      </c>
      <c r="G3942" s="5">
        <v>58</v>
      </c>
      <c r="H3942" t="s">
        <v>28</v>
      </c>
      <c r="I3942" t="s">
        <v>55</v>
      </c>
      <c r="J3942" s="6">
        <v>17.989999999999998</v>
      </c>
      <c r="K3942">
        <v>0</v>
      </c>
      <c r="L3942" t="s">
        <v>37</v>
      </c>
      <c r="M3942" s="5">
        <v>4</v>
      </c>
      <c r="N3942" s="4">
        <v>0.1</v>
      </c>
      <c r="O3942" t="s">
        <v>47</v>
      </c>
    </row>
    <row r="3943" spans="1:15" x14ac:dyDescent="0.3">
      <c r="A3943" t="s">
        <v>1562</v>
      </c>
      <c r="B3943" s="5">
        <v>66</v>
      </c>
      <c r="C3943" s="5" t="str" cm="1">
        <f t="array" ref="C3943">_xlfn.IFS(worksheet[[#This Row],[age]]&lt;25,"1. Young Adulthood (18-24)",worksheet[[#This Row],[age]]&lt; 35,"2. Early Adulthood (25-34)",worksheet[[#This Row],[age]]&lt; 45,"3. Mid Adulthood (35-44)",worksheet[[#This Row],[age]]&lt; 55,"4. Mature Adulthood (45-54)",TRUE,"5. Late Adulthood/Senior (55+)")</f>
        <v>5. Late Adulthood/Senior (55+)</v>
      </c>
      <c r="D3943" t="s">
        <v>41</v>
      </c>
      <c r="E3943" t="s">
        <v>22</v>
      </c>
      <c r="F3943" s="4">
        <v>3.86</v>
      </c>
      <c r="G3943" s="5">
        <v>28</v>
      </c>
      <c r="H3943" t="s">
        <v>17</v>
      </c>
      <c r="I3943" t="s">
        <v>46</v>
      </c>
      <c r="J3943" s="6">
        <v>13.99</v>
      </c>
      <c r="K3943">
        <v>1</v>
      </c>
      <c r="L3943" t="s">
        <v>43</v>
      </c>
      <c r="M3943" s="5">
        <v>3</v>
      </c>
      <c r="N3943" s="4">
        <v>0.13</v>
      </c>
      <c r="O3943" t="s">
        <v>25</v>
      </c>
    </row>
    <row r="3944" spans="1:15" x14ac:dyDescent="0.3">
      <c r="A3944" t="s">
        <v>1568</v>
      </c>
      <c r="B3944" s="5">
        <v>65</v>
      </c>
      <c r="C3944" s="5" t="str" cm="1">
        <f t="array" ref="C3944">_xlfn.IFS(worksheet[[#This Row],[age]]&lt;25,"1. Young Adulthood (18-24)",worksheet[[#This Row],[age]]&lt; 35,"2. Early Adulthood (25-34)",worksheet[[#This Row],[age]]&lt; 45,"3. Mid Adulthood (35-44)",worksheet[[#This Row],[age]]&lt; 55,"4. Mature Adulthood (45-54)",TRUE,"5. Late Adulthood/Senior (55+)")</f>
        <v>5. Late Adulthood/Senior (55+)</v>
      </c>
      <c r="D3944" t="s">
        <v>27</v>
      </c>
      <c r="E3944" t="s">
        <v>22</v>
      </c>
      <c r="F3944" s="4">
        <v>18.34</v>
      </c>
      <c r="G3944" s="5">
        <v>48</v>
      </c>
      <c r="H3944" t="s">
        <v>23</v>
      </c>
      <c r="I3944" t="s">
        <v>24</v>
      </c>
      <c r="J3944" s="6">
        <v>13.99</v>
      </c>
      <c r="K3944">
        <v>1</v>
      </c>
      <c r="L3944" t="s">
        <v>37</v>
      </c>
      <c r="M3944" s="5">
        <v>1</v>
      </c>
      <c r="N3944" s="4">
        <v>0.37</v>
      </c>
      <c r="O3944" t="s">
        <v>20</v>
      </c>
    </row>
    <row r="3945" spans="1:15" x14ac:dyDescent="0.3">
      <c r="A3945" t="s">
        <v>1579</v>
      </c>
      <c r="B3945" s="5">
        <v>59</v>
      </c>
      <c r="C3945" s="5" t="str" cm="1">
        <f t="array" ref="C3945">_xlfn.IFS(worksheet[[#This Row],[age]]&lt;25,"1. Young Adulthood (18-24)",worksheet[[#This Row],[age]]&lt; 35,"2. Early Adulthood (25-34)",worksheet[[#This Row],[age]]&lt; 45,"3. Mid Adulthood (35-44)",worksheet[[#This Row],[age]]&lt; 55,"4. Mature Adulthood (45-54)",TRUE,"5. Late Adulthood/Senior (55+)")</f>
        <v>5. Late Adulthood/Senior (55+)</v>
      </c>
      <c r="D3945" t="s">
        <v>27</v>
      </c>
      <c r="E3945" t="s">
        <v>16</v>
      </c>
      <c r="F3945" s="4">
        <v>4.0599999999999996</v>
      </c>
      <c r="G3945" s="5">
        <v>9</v>
      </c>
      <c r="H3945" t="s">
        <v>17</v>
      </c>
      <c r="I3945" t="s">
        <v>46</v>
      </c>
      <c r="J3945" s="6">
        <v>8.99</v>
      </c>
      <c r="K3945">
        <v>1</v>
      </c>
      <c r="L3945" t="s">
        <v>19</v>
      </c>
      <c r="M3945" s="5">
        <v>5</v>
      </c>
      <c r="N3945" s="4">
        <v>0.41</v>
      </c>
      <c r="O3945" t="s">
        <v>25</v>
      </c>
    </row>
    <row r="3946" spans="1:15" x14ac:dyDescent="0.3">
      <c r="A3946" t="s">
        <v>1580</v>
      </c>
      <c r="B3946" s="5">
        <v>68</v>
      </c>
      <c r="C3946" s="5" t="str" cm="1">
        <f t="array" ref="C3946">_xlfn.IFS(worksheet[[#This Row],[age]]&lt;25,"1. Young Adulthood (18-24)",worksheet[[#This Row],[age]]&lt; 35,"2. Early Adulthood (25-34)",worksheet[[#This Row],[age]]&lt; 45,"3. Mid Adulthood (35-44)",worksheet[[#This Row],[age]]&lt; 55,"4. Mature Adulthood (45-54)",TRUE,"5. Late Adulthood/Senior (55+)")</f>
        <v>5. Late Adulthood/Senior (55+)</v>
      </c>
      <c r="D3946" t="s">
        <v>15</v>
      </c>
      <c r="E3946" t="s">
        <v>22</v>
      </c>
      <c r="F3946" s="4">
        <v>0.68</v>
      </c>
      <c r="G3946" s="5">
        <v>20</v>
      </c>
      <c r="H3946" t="s">
        <v>23</v>
      </c>
      <c r="I3946" t="s">
        <v>18</v>
      </c>
      <c r="J3946" s="6">
        <v>13.99</v>
      </c>
      <c r="K3946">
        <v>0</v>
      </c>
      <c r="L3946" t="s">
        <v>43</v>
      </c>
      <c r="M3946" s="5">
        <v>5</v>
      </c>
      <c r="N3946" s="4">
        <v>0.03</v>
      </c>
      <c r="O3946" t="s">
        <v>47</v>
      </c>
    </row>
    <row r="3947" spans="1:15" x14ac:dyDescent="0.3">
      <c r="A3947" t="s">
        <v>1582</v>
      </c>
      <c r="B3947" s="5">
        <v>68</v>
      </c>
      <c r="C3947" s="5" t="str" cm="1">
        <f t="array" ref="C3947">_xlfn.IFS(worksheet[[#This Row],[age]]&lt;25,"1. Young Adulthood (18-24)",worksheet[[#This Row],[age]]&lt; 35,"2. Early Adulthood (25-34)",worksheet[[#This Row],[age]]&lt; 45,"3. Mid Adulthood (35-44)",worksheet[[#This Row],[age]]&lt; 55,"4. Mature Adulthood (45-54)",TRUE,"5. Late Adulthood/Senior (55+)")</f>
        <v>5. Late Adulthood/Senior (55+)</v>
      </c>
      <c r="D3947" t="s">
        <v>15</v>
      </c>
      <c r="E3947" t="s">
        <v>32</v>
      </c>
      <c r="F3947" s="4">
        <v>1.89</v>
      </c>
      <c r="G3947" s="5">
        <v>4</v>
      </c>
      <c r="H3947" t="s">
        <v>49</v>
      </c>
      <c r="I3947" t="s">
        <v>46</v>
      </c>
      <c r="J3947" s="6">
        <v>17.989999999999998</v>
      </c>
      <c r="K3947">
        <v>0</v>
      </c>
      <c r="L3947" t="s">
        <v>61</v>
      </c>
      <c r="M3947" s="5">
        <v>4</v>
      </c>
      <c r="N3947" s="4">
        <v>0.38</v>
      </c>
      <c r="O3947" t="s">
        <v>52</v>
      </c>
    </row>
    <row r="3948" spans="1:15" x14ac:dyDescent="0.3">
      <c r="A3948" t="s">
        <v>1583</v>
      </c>
      <c r="B3948" s="5">
        <v>60</v>
      </c>
      <c r="C3948" s="5" t="str" cm="1">
        <f t="array" ref="C3948">_xlfn.IFS(worksheet[[#This Row],[age]]&lt;25,"1. Young Adulthood (18-24)",worksheet[[#This Row],[age]]&lt; 35,"2. Early Adulthood (25-34)",worksheet[[#This Row],[age]]&lt; 45,"3. Mid Adulthood (35-44)",worksheet[[#This Row],[age]]&lt; 55,"4. Mature Adulthood (45-54)",TRUE,"5. Late Adulthood/Senior (55+)")</f>
        <v>5. Late Adulthood/Senior (55+)</v>
      </c>
      <c r="D3948" t="s">
        <v>15</v>
      </c>
      <c r="E3948" t="s">
        <v>32</v>
      </c>
      <c r="F3948" s="4">
        <v>2.79</v>
      </c>
      <c r="G3948" s="5">
        <v>9</v>
      </c>
      <c r="H3948" t="s">
        <v>17</v>
      </c>
      <c r="I3948" t="s">
        <v>55</v>
      </c>
      <c r="J3948" s="6">
        <v>17.989999999999998</v>
      </c>
      <c r="K3948">
        <v>0</v>
      </c>
      <c r="L3948" t="s">
        <v>43</v>
      </c>
      <c r="M3948" s="5">
        <v>5</v>
      </c>
      <c r="N3948" s="4">
        <v>0.28000000000000003</v>
      </c>
      <c r="O3948" t="s">
        <v>34</v>
      </c>
    </row>
    <row r="3949" spans="1:15" x14ac:dyDescent="0.3">
      <c r="A3949" t="s">
        <v>1584</v>
      </c>
      <c r="B3949" s="5">
        <v>65</v>
      </c>
      <c r="C3949" s="5" t="str" cm="1">
        <f t="array" ref="C3949">_xlfn.IFS(worksheet[[#This Row],[age]]&lt;25,"1. Young Adulthood (18-24)",worksheet[[#This Row],[age]]&lt; 35,"2. Early Adulthood (25-34)",worksheet[[#This Row],[age]]&lt; 45,"3. Mid Adulthood (35-44)",worksheet[[#This Row],[age]]&lt; 55,"4. Mature Adulthood (45-54)",TRUE,"5. Late Adulthood/Senior (55+)")</f>
        <v>5. Late Adulthood/Senior (55+)</v>
      </c>
      <c r="D3949" t="s">
        <v>41</v>
      </c>
      <c r="E3949" t="s">
        <v>22</v>
      </c>
      <c r="F3949" s="4">
        <v>1</v>
      </c>
      <c r="G3949" s="5">
        <v>47</v>
      </c>
      <c r="H3949" t="s">
        <v>28</v>
      </c>
      <c r="I3949" t="s">
        <v>24</v>
      </c>
      <c r="J3949" s="6">
        <v>13.99</v>
      </c>
      <c r="K3949">
        <v>1</v>
      </c>
      <c r="L3949" t="s">
        <v>61</v>
      </c>
      <c r="M3949" s="5">
        <v>4</v>
      </c>
      <c r="N3949" s="4">
        <v>0.02</v>
      </c>
      <c r="O3949" t="s">
        <v>25</v>
      </c>
    </row>
    <row r="3950" spans="1:15" x14ac:dyDescent="0.3">
      <c r="A3950" t="s">
        <v>1587</v>
      </c>
      <c r="B3950" s="5">
        <v>64</v>
      </c>
      <c r="C3950" s="5" t="str" cm="1">
        <f t="array" ref="C3950">_xlfn.IFS(worksheet[[#This Row],[age]]&lt;25,"1. Young Adulthood (18-24)",worksheet[[#This Row],[age]]&lt; 35,"2. Early Adulthood (25-34)",worksheet[[#This Row],[age]]&lt; 45,"3. Mid Adulthood (35-44)",worksheet[[#This Row],[age]]&lt; 55,"4. Mature Adulthood (45-54)",TRUE,"5. Late Adulthood/Senior (55+)")</f>
        <v>5. Late Adulthood/Senior (55+)</v>
      </c>
      <c r="D3950" t="s">
        <v>27</v>
      </c>
      <c r="E3950" t="s">
        <v>22</v>
      </c>
      <c r="F3950" s="4">
        <v>12.3</v>
      </c>
      <c r="G3950" s="5">
        <v>16</v>
      </c>
      <c r="H3950" t="s">
        <v>23</v>
      </c>
      <c r="I3950" t="s">
        <v>57</v>
      </c>
      <c r="J3950" s="6">
        <v>13.99</v>
      </c>
      <c r="K3950">
        <v>0</v>
      </c>
      <c r="L3950" t="s">
        <v>43</v>
      </c>
      <c r="M3950" s="5">
        <v>3</v>
      </c>
      <c r="N3950" s="4">
        <v>0.72</v>
      </c>
      <c r="O3950" t="s">
        <v>47</v>
      </c>
    </row>
    <row r="3951" spans="1:15" x14ac:dyDescent="0.3">
      <c r="A3951" t="s">
        <v>1590</v>
      </c>
      <c r="B3951" s="5">
        <v>57</v>
      </c>
      <c r="C3951" s="5" t="str" cm="1">
        <f t="array" ref="C3951">_xlfn.IFS(worksheet[[#This Row],[age]]&lt;25,"1. Young Adulthood (18-24)",worksheet[[#This Row],[age]]&lt; 35,"2. Early Adulthood (25-34)",worksheet[[#This Row],[age]]&lt; 45,"3. Mid Adulthood (35-44)",worksheet[[#This Row],[age]]&lt; 55,"4. Mature Adulthood (45-54)",TRUE,"5. Late Adulthood/Senior (55+)")</f>
        <v>5. Late Adulthood/Senior (55+)</v>
      </c>
      <c r="D3951" t="s">
        <v>41</v>
      </c>
      <c r="E3951" t="s">
        <v>22</v>
      </c>
      <c r="F3951" s="4">
        <v>17.87</v>
      </c>
      <c r="G3951" s="5">
        <v>36</v>
      </c>
      <c r="H3951" t="s">
        <v>17</v>
      </c>
      <c r="I3951" t="s">
        <v>57</v>
      </c>
      <c r="J3951" s="6">
        <v>13.99</v>
      </c>
      <c r="K3951">
        <v>0</v>
      </c>
      <c r="L3951" t="s">
        <v>43</v>
      </c>
      <c r="M3951" s="5">
        <v>4</v>
      </c>
      <c r="N3951" s="4">
        <v>0.48</v>
      </c>
      <c r="O3951" t="s">
        <v>20</v>
      </c>
    </row>
    <row r="3952" spans="1:15" x14ac:dyDescent="0.3">
      <c r="A3952" t="s">
        <v>1591</v>
      </c>
      <c r="B3952" s="5">
        <v>66</v>
      </c>
      <c r="C3952" s="5" t="str" cm="1">
        <f t="array" ref="C3952">_xlfn.IFS(worksheet[[#This Row],[age]]&lt;25,"1. Young Adulthood (18-24)",worksheet[[#This Row],[age]]&lt; 35,"2. Early Adulthood (25-34)",worksheet[[#This Row],[age]]&lt; 45,"3. Mid Adulthood (35-44)",worksheet[[#This Row],[age]]&lt; 55,"4. Mature Adulthood (45-54)",TRUE,"5. Late Adulthood/Senior (55+)")</f>
        <v>5. Late Adulthood/Senior (55+)</v>
      </c>
      <c r="D3952" t="s">
        <v>27</v>
      </c>
      <c r="E3952" t="s">
        <v>22</v>
      </c>
      <c r="F3952" s="4">
        <v>3.01</v>
      </c>
      <c r="G3952" s="5">
        <v>4</v>
      </c>
      <c r="H3952" t="s">
        <v>17</v>
      </c>
      <c r="I3952" t="s">
        <v>57</v>
      </c>
      <c r="J3952" s="6">
        <v>13.99</v>
      </c>
      <c r="K3952">
        <v>0</v>
      </c>
      <c r="L3952" t="s">
        <v>61</v>
      </c>
      <c r="M3952" s="5">
        <v>2</v>
      </c>
      <c r="N3952" s="4">
        <v>0.6</v>
      </c>
      <c r="O3952" t="s">
        <v>47</v>
      </c>
    </row>
    <row r="3953" spans="1:15" x14ac:dyDescent="0.3">
      <c r="A3953" t="s">
        <v>1594</v>
      </c>
      <c r="B3953" s="5">
        <v>70</v>
      </c>
      <c r="C3953" s="5" t="str" cm="1">
        <f t="array" ref="C3953">_xlfn.IFS(worksheet[[#This Row],[age]]&lt;25,"1. Young Adulthood (18-24)",worksheet[[#This Row],[age]]&lt; 35,"2. Early Adulthood (25-34)",worksheet[[#This Row],[age]]&lt; 45,"3. Mid Adulthood (35-44)",worksheet[[#This Row],[age]]&lt; 55,"4. Mature Adulthood (45-54)",TRUE,"5. Late Adulthood/Senior (55+)")</f>
        <v>5. Late Adulthood/Senior (55+)</v>
      </c>
      <c r="D3953" t="s">
        <v>41</v>
      </c>
      <c r="E3953" t="s">
        <v>16</v>
      </c>
      <c r="F3953" s="4">
        <v>1.35</v>
      </c>
      <c r="G3953" s="5">
        <v>46</v>
      </c>
      <c r="H3953" t="s">
        <v>33</v>
      </c>
      <c r="I3953" t="s">
        <v>24</v>
      </c>
      <c r="J3953" s="6">
        <v>8.99</v>
      </c>
      <c r="K3953">
        <v>1</v>
      </c>
      <c r="L3953" t="s">
        <v>19</v>
      </c>
      <c r="M3953" s="5">
        <v>5</v>
      </c>
      <c r="N3953" s="4">
        <v>0.03</v>
      </c>
      <c r="O3953" t="s">
        <v>47</v>
      </c>
    </row>
    <row r="3954" spans="1:15" x14ac:dyDescent="0.3">
      <c r="A3954" t="s">
        <v>1599</v>
      </c>
      <c r="B3954" s="5">
        <v>56</v>
      </c>
      <c r="C3954" s="5" t="str" cm="1">
        <f t="array" ref="C3954">_xlfn.IFS(worksheet[[#This Row],[age]]&lt;25,"1. Young Adulthood (18-24)",worksheet[[#This Row],[age]]&lt; 35,"2. Early Adulthood (25-34)",worksheet[[#This Row],[age]]&lt; 45,"3. Mid Adulthood (35-44)",worksheet[[#This Row],[age]]&lt; 55,"4. Mature Adulthood (45-54)",TRUE,"5. Late Adulthood/Senior (55+)")</f>
        <v>5. Late Adulthood/Senior (55+)</v>
      </c>
      <c r="D3954" t="s">
        <v>15</v>
      </c>
      <c r="E3954" t="s">
        <v>32</v>
      </c>
      <c r="F3954" s="4">
        <v>3.39</v>
      </c>
      <c r="G3954" s="5">
        <v>45</v>
      </c>
      <c r="H3954" t="s">
        <v>33</v>
      </c>
      <c r="I3954" t="s">
        <v>57</v>
      </c>
      <c r="J3954" s="6">
        <v>17.989999999999998</v>
      </c>
      <c r="K3954">
        <v>1</v>
      </c>
      <c r="L3954" t="s">
        <v>37</v>
      </c>
      <c r="M3954" s="5">
        <v>3</v>
      </c>
      <c r="N3954" s="4">
        <v>7.0000000000000007E-2</v>
      </c>
      <c r="O3954" t="s">
        <v>30</v>
      </c>
    </row>
    <row r="3955" spans="1:15" x14ac:dyDescent="0.3">
      <c r="A3955" t="s">
        <v>1604</v>
      </c>
      <c r="B3955" s="5">
        <v>63</v>
      </c>
      <c r="C3955" s="5" t="str" cm="1">
        <f t="array" ref="C3955">_xlfn.IFS(worksheet[[#This Row],[age]]&lt;25,"1. Young Adulthood (18-24)",worksheet[[#This Row],[age]]&lt; 35,"2. Early Adulthood (25-34)",worksheet[[#This Row],[age]]&lt; 45,"3. Mid Adulthood (35-44)",worksheet[[#This Row],[age]]&lt; 55,"4. Mature Adulthood (45-54)",TRUE,"5. Late Adulthood/Senior (55+)")</f>
        <v>5. Late Adulthood/Senior (55+)</v>
      </c>
      <c r="D3955" t="s">
        <v>41</v>
      </c>
      <c r="E3955" t="s">
        <v>32</v>
      </c>
      <c r="F3955" s="4">
        <v>0.81</v>
      </c>
      <c r="G3955" s="5">
        <v>13</v>
      </c>
      <c r="H3955" t="s">
        <v>28</v>
      </c>
      <c r="I3955" t="s">
        <v>24</v>
      </c>
      <c r="J3955" s="6">
        <v>17.989999999999998</v>
      </c>
      <c r="K3955">
        <v>0</v>
      </c>
      <c r="L3955" t="s">
        <v>61</v>
      </c>
      <c r="M3955" s="5">
        <v>5</v>
      </c>
      <c r="N3955" s="4">
        <v>0.06</v>
      </c>
      <c r="O3955" t="s">
        <v>39</v>
      </c>
    </row>
    <row r="3956" spans="1:15" x14ac:dyDescent="0.3">
      <c r="A3956" t="s">
        <v>1605</v>
      </c>
      <c r="B3956" s="5">
        <v>59</v>
      </c>
      <c r="C3956" s="5" t="str" cm="1">
        <f t="array" ref="C3956">_xlfn.IFS(worksheet[[#This Row],[age]]&lt;25,"1. Young Adulthood (18-24)",worksheet[[#This Row],[age]]&lt; 35,"2. Early Adulthood (25-34)",worksheet[[#This Row],[age]]&lt; 45,"3. Mid Adulthood (35-44)",worksheet[[#This Row],[age]]&lt; 55,"4. Mature Adulthood (45-54)",TRUE,"5. Late Adulthood/Senior (55+)")</f>
        <v>5. Late Adulthood/Senior (55+)</v>
      </c>
      <c r="D3956" t="s">
        <v>41</v>
      </c>
      <c r="E3956" t="s">
        <v>16</v>
      </c>
      <c r="F3956" s="4">
        <v>7.32</v>
      </c>
      <c r="G3956" s="5">
        <v>52</v>
      </c>
      <c r="H3956" t="s">
        <v>23</v>
      </c>
      <c r="I3956" t="s">
        <v>46</v>
      </c>
      <c r="J3956" s="6">
        <v>8.99</v>
      </c>
      <c r="K3956">
        <v>1</v>
      </c>
      <c r="L3956" t="s">
        <v>43</v>
      </c>
      <c r="M3956" s="5">
        <v>3</v>
      </c>
      <c r="N3956" s="4">
        <v>0.14000000000000001</v>
      </c>
      <c r="O3956" t="s">
        <v>39</v>
      </c>
    </row>
    <row r="3957" spans="1:15" x14ac:dyDescent="0.3">
      <c r="A3957" t="s">
        <v>1607</v>
      </c>
      <c r="B3957" s="5">
        <v>59</v>
      </c>
      <c r="C3957" s="5" t="str" cm="1">
        <f t="array" ref="C3957">_xlfn.IFS(worksheet[[#This Row],[age]]&lt;25,"1. Young Adulthood (18-24)",worksheet[[#This Row],[age]]&lt; 35,"2. Early Adulthood (25-34)",worksheet[[#This Row],[age]]&lt; 45,"3. Mid Adulthood (35-44)",worksheet[[#This Row],[age]]&lt; 55,"4. Mature Adulthood (45-54)",TRUE,"5. Late Adulthood/Senior (55+)")</f>
        <v>5. Late Adulthood/Senior (55+)</v>
      </c>
      <c r="D3957" t="s">
        <v>27</v>
      </c>
      <c r="E3957" t="s">
        <v>32</v>
      </c>
      <c r="F3957" s="4">
        <v>1.7</v>
      </c>
      <c r="G3957" s="5">
        <v>54</v>
      </c>
      <c r="H3957" t="s">
        <v>33</v>
      </c>
      <c r="I3957" t="s">
        <v>18</v>
      </c>
      <c r="J3957" s="6">
        <v>17.989999999999998</v>
      </c>
      <c r="K3957">
        <v>1</v>
      </c>
      <c r="L3957" t="s">
        <v>29</v>
      </c>
      <c r="M3957" s="5">
        <v>3</v>
      </c>
      <c r="N3957" s="4">
        <v>0.03</v>
      </c>
      <c r="O3957" t="s">
        <v>39</v>
      </c>
    </row>
    <row r="3958" spans="1:15" x14ac:dyDescent="0.3">
      <c r="A3958" t="s">
        <v>1608</v>
      </c>
      <c r="B3958" s="5">
        <v>70</v>
      </c>
      <c r="C3958" s="5" t="str" cm="1">
        <f t="array" ref="C3958">_xlfn.IFS(worksheet[[#This Row],[age]]&lt;25,"1. Young Adulthood (18-24)",worksheet[[#This Row],[age]]&lt; 35,"2. Early Adulthood (25-34)",worksheet[[#This Row],[age]]&lt; 45,"3. Mid Adulthood (35-44)",worksheet[[#This Row],[age]]&lt; 55,"4. Mature Adulthood (45-54)",TRUE,"5. Late Adulthood/Senior (55+)")</f>
        <v>5. Late Adulthood/Senior (55+)</v>
      </c>
      <c r="D3958" t="s">
        <v>41</v>
      </c>
      <c r="E3958" t="s">
        <v>22</v>
      </c>
      <c r="F3958" s="4">
        <v>29.3</v>
      </c>
      <c r="G3958" s="5">
        <v>53</v>
      </c>
      <c r="H3958" t="s">
        <v>28</v>
      </c>
      <c r="I3958" t="s">
        <v>46</v>
      </c>
      <c r="J3958" s="6">
        <v>13.99</v>
      </c>
      <c r="K3958">
        <v>0</v>
      </c>
      <c r="L3958" t="s">
        <v>43</v>
      </c>
      <c r="M3958" s="5">
        <v>3</v>
      </c>
      <c r="N3958" s="4">
        <v>0.54</v>
      </c>
      <c r="O3958" t="s">
        <v>30</v>
      </c>
    </row>
    <row r="3959" spans="1:15" x14ac:dyDescent="0.3">
      <c r="A3959" t="s">
        <v>1613</v>
      </c>
      <c r="B3959" s="5">
        <v>68</v>
      </c>
      <c r="C3959" s="5" t="str" cm="1">
        <f t="array" ref="C3959">_xlfn.IFS(worksheet[[#This Row],[age]]&lt;25,"1. Young Adulthood (18-24)",worksheet[[#This Row],[age]]&lt; 35,"2. Early Adulthood (25-34)",worksheet[[#This Row],[age]]&lt; 45,"3. Mid Adulthood (35-44)",worksheet[[#This Row],[age]]&lt; 55,"4. Mature Adulthood (45-54)",TRUE,"5. Late Adulthood/Senior (55+)")</f>
        <v>5. Late Adulthood/Senior (55+)</v>
      </c>
      <c r="D3959" t="s">
        <v>15</v>
      </c>
      <c r="E3959" t="s">
        <v>16</v>
      </c>
      <c r="F3959" s="4">
        <v>6.53</v>
      </c>
      <c r="G3959" s="5">
        <v>6</v>
      </c>
      <c r="H3959" t="s">
        <v>23</v>
      </c>
      <c r="I3959" t="s">
        <v>46</v>
      </c>
      <c r="J3959" s="6">
        <v>8.99</v>
      </c>
      <c r="K3959">
        <v>0</v>
      </c>
      <c r="L3959" t="s">
        <v>43</v>
      </c>
      <c r="M3959" s="5">
        <v>4</v>
      </c>
      <c r="N3959" s="4">
        <v>0.93</v>
      </c>
      <c r="O3959" t="s">
        <v>52</v>
      </c>
    </row>
    <row r="3960" spans="1:15" x14ac:dyDescent="0.3">
      <c r="A3960" t="s">
        <v>1616</v>
      </c>
      <c r="B3960" s="5">
        <v>70</v>
      </c>
      <c r="C3960" s="5" t="str" cm="1">
        <f t="array" ref="C3960">_xlfn.IFS(worksheet[[#This Row],[age]]&lt;25,"1. Young Adulthood (18-24)",worksheet[[#This Row],[age]]&lt; 35,"2. Early Adulthood (25-34)",worksheet[[#This Row],[age]]&lt; 45,"3. Mid Adulthood (35-44)",worksheet[[#This Row],[age]]&lt; 55,"4. Mature Adulthood (45-54)",TRUE,"5. Late Adulthood/Senior (55+)")</f>
        <v>5. Late Adulthood/Senior (55+)</v>
      </c>
      <c r="D3960" t="s">
        <v>15</v>
      </c>
      <c r="E3960" t="s">
        <v>16</v>
      </c>
      <c r="F3960" s="4">
        <v>23.08</v>
      </c>
      <c r="G3960" s="5">
        <v>25</v>
      </c>
      <c r="H3960" t="s">
        <v>49</v>
      </c>
      <c r="I3960" t="s">
        <v>18</v>
      </c>
      <c r="J3960" s="6">
        <v>8.99</v>
      </c>
      <c r="K3960">
        <v>0</v>
      </c>
      <c r="L3960" t="s">
        <v>37</v>
      </c>
      <c r="M3960" s="5">
        <v>3</v>
      </c>
      <c r="N3960" s="4">
        <v>0.89</v>
      </c>
      <c r="O3960" t="s">
        <v>47</v>
      </c>
    </row>
    <row r="3961" spans="1:15" x14ac:dyDescent="0.3">
      <c r="A3961" t="s">
        <v>1617</v>
      </c>
      <c r="B3961" s="5">
        <v>68</v>
      </c>
      <c r="C3961" s="5" t="str" cm="1">
        <f t="array" ref="C3961">_xlfn.IFS(worksheet[[#This Row],[age]]&lt;25,"1. Young Adulthood (18-24)",worksheet[[#This Row],[age]]&lt; 35,"2. Early Adulthood (25-34)",worksheet[[#This Row],[age]]&lt; 45,"3. Mid Adulthood (35-44)",worksheet[[#This Row],[age]]&lt; 55,"4. Mature Adulthood (45-54)",TRUE,"5. Late Adulthood/Senior (55+)")</f>
        <v>5. Late Adulthood/Senior (55+)</v>
      </c>
      <c r="D3961" t="s">
        <v>27</v>
      </c>
      <c r="E3961" t="s">
        <v>32</v>
      </c>
      <c r="F3961" s="4">
        <v>0.2</v>
      </c>
      <c r="G3961" s="5">
        <v>32</v>
      </c>
      <c r="H3961" t="s">
        <v>70</v>
      </c>
      <c r="I3961" t="s">
        <v>46</v>
      </c>
      <c r="J3961" s="6">
        <v>17.989999999999998</v>
      </c>
      <c r="K3961">
        <v>1</v>
      </c>
      <c r="L3961" t="s">
        <v>29</v>
      </c>
      <c r="M3961" s="5">
        <v>1</v>
      </c>
      <c r="N3961" s="4">
        <v>0.01</v>
      </c>
      <c r="O3961" t="s">
        <v>34</v>
      </c>
    </row>
    <row r="3962" spans="1:15" x14ac:dyDescent="0.3">
      <c r="A3962" t="s">
        <v>1619</v>
      </c>
      <c r="B3962" s="5">
        <v>68</v>
      </c>
      <c r="C3962" s="5" t="str" cm="1">
        <f t="array" ref="C3962">_xlfn.IFS(worksheet[[#This Row],[age]]&lt;25,"1. Young Adulthood (18-24)",worksheet[[#This Row],[age]]&lt; 35,"2. Early Adulthood (25-34)",worksheet[[#This Row],[age]]&lt; 45,"3. Mid Adulthood (35-44)",worksheet[[#This Row],[age]]&lt; 55,"4. Mature Adulthood (45-54)",TRUE,"5. Late Adulthood/Senior (55+)")</f>
        <v>5. Late Adulthood/Senior (55+)</v>
      </c>
      <c r="D3962" t="s">
        <v>15</v>
      </c>
      <c r="E3962" t="s">
        <v>32</v>
      </c>
      <c r="F3962" s="4">
        <v>1.67</v>
      </c>
      <c r="G3962" s="5">
        <v>18</v>
      </c>
      <c r="H3962" t="s">
        <v>17</v>
      </c>
      <c r="I3962" t="s">
        <v>24</v>
      </c>
      <c r="J3962" s="6">
        <v>17.989999999999998</v>
      </c>
      <c r="K3962">
        <v>1</v>
      </c>
      <c r="L3962" t="s">
        <v>43</v>
      </c>
      <c r="M3962" s="5">
        <v>3</v>
      </c>
      <c r="N3962" s="4">
        <v>0.09</v>
      </c>
      <c r="O3962" t="s">
        <v>39</v>
      </c>
    </row>
    <row r="3963" spans="1:15" x14ac:dyDescent="0.3">
      <c r="A3963" s="1" t="s">
        <v>1621</v>
      </c>
      <c r="B3963" s="5">
        <v>62</v>
      </c>
      <c r="C3963" s="5" t="str" cm="1">
        <f t="array" ref="C3963">_xlfn.IFS(worksheet[[#This Row],[age]]&lt;25,"1. Young Adulthood (18-24)",worksheet[[#This Row],[age]]&lt; 35,"2. Early Adulthood (25-34)",worksheet[[#This Row],[age]]&lt; 45,"3. Mid Adulthood (35-44)",worksheet[[#This Row],[age]]&lt; 55,"4. Mature Adulthood (45-54)",TRUE,"5. Late Adulthood/Senior (55+)")</f>
        <v>5. Late Adulthood/Senior (55+)</v>
      </c>
      <c r="D3963" t="s">
        <v>41</v>
      </c>
      <c r="E3963" t="s">
        <v>32</v>
      </c>
      <c r="F3963" s="4">
        <v>4.25</v>
      </c>
      <c r="G3963" s="5">
        <v>40</v>
      </c>
      <c r="H3963" t="s">
        <v>28</v>
      </c>
      <c r="I3963" t="s">
        <v>24</v>
      </c>
      <c r="J3963" s="6">
        <v>17.989999999999998</v>
      </c>
      <c r="K3963">
        <v>1</v>
      </c>
      <c r="L3963" t="s">
        <v>61</v>
      </c>
      <c r="M3963" s="5">
        <v>2</v>
      </c>
      <c r="N3963" s="4">
        <v>0.1</v>
      </c>
      <c r="O3963" t="s">
        <v>47</v>
      </c>
    </row>
    <row r="3964" spans="1:15" x14ac:dyDescent="0.3">
      <c r="A3964" t="s">
        <v>1622</v>
      </c>
      <c r="B3964" s="5">
        <v>60</v>
      </c>
      <c r="C3964" s="5" t="str" cm="1">
        <f t="array" ref="C3964">_xlfn.IFS(worksheet[[#This Row],[age]]&lt;25,"1. Young Adulthood (18-24)",worksheet[[#This Row],[age]]&lt; 35,"2. Early Adulthood (25-34)",worksheet[[#This Row],[age]]&lt; 45,"3. Mid Adulthood (35-44)",worksheet[[#This Row],[age]]&lt; 55,"4. Mature Adulthood (45-54)",TRUE,"5. Late Adulthood/Senior (55+)")</f>
        <v>5. Late Adulthood/Senior (55+)</v>
      </c>
      <c r="D3964" t="s">
        <v>27</v>
      </c>
      <c r="E3964" t="s">
        <v>32</v>
      </c>
      <c r="F3964" s="4">
        <v>11.15</v>
      </c>
      <c r="G3964" s="5">
        <v>49</v>
      </c>
      <c r="H3964" t="s">
        <v>49</v>
      </c>
      <c r="I3964" t="s">
        <v>55</v>
      </c>
      <c r="J3964" s="6">
        <v>17.989999999999998</v>
      </c>
      <c r="K3964">
        <v>1</v>
      </c>
      <c r="L3964" t="s">
        <v>29</v>
      </c>
      <c r="M3964" s="5">
        <v>5</v>
      </c>
      <c r="N3964" s="4">
        <v>0.22</v>
      </c>
      <c r="O3964" t="s">
        <v>39</v>
      </c>
    </row>
    <row r="3965" spans="1:15" x14ac:dyDescent="0.3">
      <c r="A3965" t="s">
        <v>1631</v>
      </c>
      <c r="B3965" s="5">
        <v>70</v>
      </c>
      <c r="C3965" s="5" t="str" cm="1">
        <f t="array" ref="C3965">_xlfn.IFS(worksheet[[#This Row],[age]]&lt;25,"1. Young Adulthood (18-24)",worksheet[[#This Row],[age]]&lt; 35,"2. Early Adulthood (25-34)",worksheet[[#This Row],[age]]&lt; 45,"3. Mid Adulthood (35-44)",worksheet[[#This Row],[age]]&lt; 55,"4. Mature Adulthood (45-54)",TRUE,"5. Late Adulthood/Senior (55+)")</f>
        <v>5. Late Adulthood/Senior (55+)</v>
      </c>
      <c r="D3965" t="s">
        <v>41</v>
      </c>
      <c r="E3965" t="s">
        <v>32</v>
      </c>
      <c r="F3965" s="4">
        <v>3.19</v>
      </c>
      <c r="G3965" s="5">
        <v>24</v>
      </c>
      <c r="H3965" t="s">
        <v>28</v>
      </c>
      <c r="I3965" t="s">
        <v>55</v>
      </c>
      <c r="J3965" s="6">
        <v>17.989999999999998</v>
      </c>
      <c r="K3965">
        <v>1</v>
      </c>
      <c r="L3965" t="s">
        <v>29</v>
      </c>
      <c r="M3965" s="5">
        <v>2</v>
      </c>
      <c r="N3965" s="4">
        <v>0.13</v>
      </c>
      <c r="O3965" t="s">
        <v>25</v>
      </c>
    </row>
    <row r="3966" spans="1:15" x14ac:dyDescent="0.3">
      <c r="A3966" t="s">
        <v>1634</v>
      </c>
      <c r="B3966" s="5">
        <v>57</v>
      </c>
      <c r="C3966" s="5" t="str" cm="1">
        <f t="array" ref="C3966">_xlfn.IFS(worksheet[[#This Row],[age]]&lt;25,"1. Young Adulthood (18-24)",worksheet[[#This Row],[age]]&lt; 35,"2. Early Adulthood (25-34)",worksheet[[#This Row],[age]]&lt; 45,"3. Mid Adulthood (35-44)",worksheet[[#This Row],[age]]&lt; 55,"4. Mature Adulthood (45-54)",TRUE,"5. Late Adulthood/Senior (55+)")</f>
        <v>5. Late Adulthood/Senior (55+)</v>
      </c>
      <c r="D3966" t="s">
        <v>41</v>
      </c>
      <c r="E3966" t="s">
        <v>32</v>
      </c>
      <c r="F3966" s="4">
        <v>24.49</v>
      </c>
      <c r="G3966" s="5">
        <v>46</v>
      </c>
      <c r="H3966" t="s">
        <v>33</v>
      </c>
      <c r="I3966" t="s">
        <v>18</v>
      </c>
      <c r="J3966" s="6">
        <v>17.989999999999998</v>
      </c>
      <c r="K3966">
        <v>0</v>
      </c>
      <c r="L3966" t="s">
        <v>19</v>
      </c>
      <c r="M3966" s="5">
        <v>4</v>
      </c>
      <c r="N3966" s="4">
        <v>0.52</v>
      </c>
      <c r="O3966" t="s">
        <v>20</v>
      </c>
    </row>
    <row r="3967" spans="1:15" x14ac:dyDescent="0.3">
      <c r="A3967" t="s">
        <v>1635</v>
      </c>
      <c r="B3967" s="5">
        <v>69</v>
      </c>
      <c r="C3967" s="5" t="str" cm="1">
        <f t="array" ref="C3967">_xlfn.IFS(worksheet[[#This Row],[age]]&lt;25,"1. Young Adulthood (18-24)",worksheet[[#This Row],[age]]&lt; 35,"2. Early Adulthood (25-34)",worksheet[[#This Row],[age]]&lt; 45,"3. Mid Adulthood (35-44)",worksheet[[#This Row],[age]]&lt; 55,"4. Mature Adulthood (45-54)",TRUE,"5. Late Adulthood/Senior (55+)")</f>
        <v>5. Late Adulthood/Senior (55+)</v>
      </c>
      <c r="D3967" t="s">
        <v>27</v>
      </c>
      <c r="E3967" t="s">
        <v>22</v>
      </c>
      <c r="F3967" s="4">
        <v>3.35</v>
      </c>
      <c r="G3967" s="5">
        <v>5</v>
      </c>
      <c r="H3967" t="s">
        <v>23</v>
      </c>
      <c r="I3967" t="s">
        <v>46</v>
      </c>
      <c r="J3967" s="6">
        <v>13.99</v>
      </c>
      <c r="K3967">
        <v>0</v>
      </c>
      <c r="L3967" t="s">
        <v>19</v>
      </c>
      <c r="M3967" s="5">
        <v>4</v>
      </c>
      <c r="N3967" s="4">
        <v>0.56000000000000005</v>
      </c>
      <c r="O3967" t="s">
        <v>20</v>
      </c>
    </row>
    <row r="3968" spans="1:15" x14ac:dyDescent="0.3">
      <c r="A3968" t="s">
        <v>1636</v>
      </c>
      <c r="B3968" s="5">
        <v>55</v>
      </c>
      <c r="C3968" s="5" t="str" cm="1">
        <f t="array" ref="C3968">_xlfn.IFS(worksheet[[#This Row],[age]]&lt;25,"1. Young Adulthood (18-24)",worksheet[[#This Row],[age]]&lt; 35,"2. Early Adulthood (25-34)",worksheet[[#This Row],[age]]&lt; 45,"3. Mid Adulthood (35-44)",worksheet[[#This Row],[age]]&lt; 55,"4. Mature Adulthood (45-54)",TRUE,"5. Late Adulthood/Senior (55+)")</f>
        <v>5. Late Adulthood/Senior (55+)</v>
      </c>
      <c r="D3968" t="s">
        <v>41</v>
      </c>
      <c r="E3968" t="s">
        <v>32</v>
      </c>
      <c r="F3968" s="4">
        <v>1.2</v>
      </c>
      <c r="G3968" s="5">
        <v>32</v>
      </c>
      <c r="H3968" t="s">
        <v>23</v>
      </c>
      <c r="I3968" t="s">
        <v>55</v>
      </c>
      <c r="J3968" s="6">
        <v>17.989999999999998</v>
      </c>
      <c r="K3968">
        <v>1</v>
      </c>
      <c r="L3968" t="s">
        <v>61</v>
      </c>
      <c r="M3968" s="5">
        <v>4</v>
      </c>
      <c r="N3968" s="4">
        <v>0.04</v>
      </c>
      <c r="O3968" t="s">
        <v>30</v>
      </c>
    </row>
    <row r="3969" spans="1:15" x14ac:dyDescent="0.3">
      <c r="A3969" t="s">
        <v>1640</v>
      </c>
      <c r="B3969" s="5">
        <v>61</v>
      </c>
      <c r="C3969" s="5" t="str" cm="1">
        <f t="array" ref="C3969">_xlfn.IFS(worksheet[[#This Row],[age]]&lt;25,"1. Young Adulthood (18-24)",worksheet[[#This Row],[age]]&lt; 35,"2. Early Adulthood (25-34)",worksheet[[#This Row],[age]]&lt; 45,"3. Mid Adulthood (35-44)",worksheet[[#This Row],[age]]&lt; 55,"4. Mature Adulthood (45-54)",TRUE,"5. Late Adulthood/Senior (55+)")</f>
        <v>5. Late Adulthood/Senior (55+)</v>
      </c>
      <c r="D3969" t="s">
        <v>15</v>
      </c>
      <c r="E3969" t="s">
        <v>32</v>
      </c>
      <c r="F3969" s="4">
        <v>4.58</v>
      </c>
      <c r="G3969" s="5">
        <v>33</v>
      </c>
      <c r="H3969" t="s">
        <v>23</v>
      </c>
      <c r="I3969" t="s">
        <v>24</v>
      </c>
      <c r="J3969" s="6">
        <v>17.989999999999998</v>
      </c>
      <c r="K3969">
        <v>1</v>
      </c>
      <c r="L3969" t="s">
        <v>19</v>
      </c>
      <c r="M3969" s="5">
        <v>4</v>
      </c>
      <c r="N3969" s="4">
        <v>0.13</v>
      </c>
      <c r="O3969" t="s">
        <v>47</v>
      </c>
    </row>
    <row r="3970" spans="1:15" x14ac:dyDescent="0.3">
      <c r="A3970" t="s">
        <v>1641</v>
      </c>
      <c r="B3970" s="5">
        <v>63</v>
      </c>
      <c r="C3970" s="5" t="str" cm="1">
        <f t="array" ref="C3970">_xlfn.IFS(worksheet[[#This Row],[age]]&lt;25,"1. Young Adulthood (18-24)",worksheet[[#This Row],[age]]&lt; 35,"2. Early Adulthood (25-34)",worksheet[[#This Row],[age]]&lt; 45,"3. Mid Adulthood (35-44)",worksheet[[#This Row],[age]]&lt; 55,"4. Mature Adulthood (45-54)",TRUE,"5. Late Adulthood/Senior (55+)")</f>
        <v>5. Late Adulthood/Senior (55+)</v>
      </c>
      <c r="D3970" t="s">
        <v>15</v>
      </c>
      <c r="E3970" t="s">
        <v>32</v>
      </c>
      <c r="F3970" s="4">
        <v>3.98</v>
      </c>
      <c r="G3970" s="5">
        <v>43</v>
      </c>
      <c r="H3970" t="s">
        <v>28</v>
      </c>
      <c r="I3970" t="s">
        <v>46</v>
      </c>
      <c r="J3970" s="6">
        <v>17.989999999999998</v>
      </c>
      <c r="K3970">
        <v>1</v>
      </c>
      <c r="L3970" t="s">
        <v>43</v>
      </c>
      <c r="M3970" s="5">
        <v>2</v>
      </c>
      <c r="N3970" s="4">
        <v>0.09</v>
      </c>
      <c r="O3970" t="s">
        <v>34</v>
      </c>
    </row>
    <row r="3971" spans="1:15" x14ac:dyDescent="0.3">
      <c r="A3971" t="s">
        <v>1642</v>
      </c>
      <c r="B3971" s="5">
        <v>66</v>
      </c>
      <c r="C3971" s="5" t="str" cm="1">
        <f t="array" ref="C3971">_xlfn.IFS(worksheet[[#This Row],[age]]&lt;25,"1. Young Adulthood (18-24)",worksheet[[#This Row],[age]]&lt; 35,"2. Early Adulthood (25-34)",worksheet[[#This Row],[age]]&lt; 45,"3. Mid Adulthood (35-44)",worksheet[[#This Row],[age]]&lt; 55,"4. Mature Adulthood (45-54)",TRUE,"5. Late Adulthood/Senior (55+)")</f>
        <v>5. Late Adulthood/Senior (55+)</v>
      </c>
      <c r="D3971" t="s">
        <v>41</v>
      </c>
      <c r="E3971" t="s">
        <v>16</v>
      </c>
      <c r="F3971" s="4">
        <v>8.68</v>
      </c>
      <c r="G3971" s="5">
        <v>50</v>
      </c>
      <c r="H3971" t="s">
        <v>33</v>
      </c>
      <c r="I3971" t="s">
        <v>24</v>
      </c>
      <c r="J3971" s="6">
        <v>8.99</v>
      </c>
      <c r="K3971">
        <v>1</v>
      </c>
      <c r="L3971" t="s">
        <v>43</v>
      </c>
      <c r="M3971" s="5">
        <v>3</v>
      </c>
      <c r="N3971" s="4">
        <v>0.17</v>
      </c>
      <c r="O3971" t="s">
        <v>25</v>
      </c>
    </row>
    <row r="3972" spans="1:15" x14ac:dyDescent="0.3">
      <c r="A3972" t="s">
        <v>1643</v>
      </c>
      <c r="B3972" s="5">
        <v>65</v>
      </c>
      <c r="C3972" s="5" t="str" cm="1">
        <f t="array" ref="C3972">_xlfn.IFS(worksheet[[#This Row],[age]]&lt;25,"1. Young Adulthood (18-24)",worksheet[[#This Row],[age]]&lt; 35,"2. Early Adulthood (25-34)",worksheet[[#This Row],[age]]&lt; 45,"3. Mid Adulthood (35-44)",worksheet[[#This Row],[age]]&lt; 55,"4. Mature Adulthood (45-54)",TRUE,"5. Late Adulthood/Senior (55+)")</f>
        <v>5. Late Adulthood/Senior (55+)</v>
      </c>
      <c r="D3972" t="s">
        <v>27</v>
      </c>
      <c r="E3972" t="s">
        <v>32</v>
      </c>
      <c r="F3972" s="4">
        <v>10.55</v>
      </c>
      <c r="G3972" s="5">
        <v>25</v>
      </c>
      <c r="H3972" t="s">
        <v>17</v>
      </c>
      <c r="I3972" t="s">
        <v>46</v>
      </c>
      <c r="J3972" s="6">
        <v>17.989999999999998</v>
      </c>
      <c r="K3972">
        <v>0</v>
      </c>
      <c r="L3972" t="s">
        <v>19</v>
      </c>
      <c r="M3972" s="5">
        <v>5</v>
      </c>
      <c r="N3972" s="4">
        <v>0.41</v>
      </c>
      <c r="O3972" t="s">
        <v>30</v>
      </c>
    </row>
    <row r="3973" spans="1:15" x14ac:dyDescent="0.3">
      <c r="A3973" t="s">
        <v>1647</v>
      </c>
      <c r="B3973" s="5">
        <v>68</v>
      </c>
      <c r="C3973" s="5" t="str" cm="1">
        <f t="array" ref="C3973">_xlfn.IFS(worksheet[[#This Row],[age]]&lt;25,"1. Young Adulthood (18-24)",worksheet[[#This Row],[age]]&lt; 35,"2. Early Adulthood (25-34)",worksheet[[#This Row],[age]]&lt; 45,"3. Mid Adulthood (35-44)",worksheet[[#This Row],[age]]&lt; 55,"4. Mature Adulthood (45-54)",TRUE,"5. Late Adulthood/Senior (55+)")</f>
        <v>5. Late Adulthood/Senior (55+)</v>
      </c>
      <c r="D3973" t="s">
        <v>27</v>
      </c>
      <c r="E3973" t="s">
        <v>16</v>
      </c>
      <c r="F3973" s="4">
        <v>3.07</v>
      </c>
      <c r="G3973" s="5">
        <v>49</v>
      </c>
      <c r="H3973" t="s">
        <v>49</v>
      </c>
      <c r="I3973" t="s">
        <v>46</v>
      </c>
      <c r="J3973" s="6">
        <v>8.99</v>
      </c>
      <c r="K3973">
        <v>1</v>
      </c>
      <c r="L3973" t="s">
        <v>61</v>
      </c>
      <c r="M3973" s="5">
        <v>3</v>
      </c>
      <c r="N3973" s="4">
        <v>0.06</v>
      </c>
      <c r="O3973" t="s">
        <v>39</v>
      </c>
    </row>
    <row r="3974" spans="1:15" x14ac:dyDescent="0.3">
      <c r="A3974" t="s">
        <v>1648</v>
      </c>
      <c r="B3974" s="5">
        <v>70</v>
      </c>
      <c r="C3974" s="5" t="str" cm="1">
        <f t="array" ref="C3974">_xlfn.IFS(worksheet[[#This Row],[age]]&lt;25,"1. Young Adulthood (18-24)",worksheet[[#This Row],[age]]&lt; 35,"2. Early Adulthood (25-34)",worksheet[[#This Row],[age]]&lt; 45,"3. Mid Adulthood (35-44)",worksheet[[#This Row],[age]]&lt; 55,"4. Mature Adulthood (45-54)",TRUE,"5. Late Adulthood/Senior (55+)")</f>
        <v>5. Late Adulthood/Senior (55+)</v>
      </c>
      <c r="D3974" t="s">
        <v>15</v>
      </c>
      <c r="E3974" t="s">
        <v>22</v>
      </c>
      <c r="F3974" s="4">
        <v>25.23</v>
      </c>
      <c r="G3974" s="5">
        <v>7</v>
      </c>
      <c r="H3974" t="s">
        <v>33</v>
      </c>
      <c r="I3974" t="s">
        <v>46</v>
      </c>
      <c r="J3974" s="6">
        <v>13.99</v>
      </c>
      <c r="K3974">
        <v>0</v>
      </c>
      <c r="L3974" t="s">
        <v>19</v>
      </c>
      <c r="M3974" s="5">
        <v>3</v>
      </c>
      <c r="N3974" s="4">
        <v>3.15</v>
      </c>
      <c r="O3974" t="s">
        <v>47</v>
      </c>
    </row>
    <row r="3975" spans="1:15" x14ac:dyDescent="0.3">
      <c r="A3975" t="s">
        <v>1651</v>
      </c>
      <c r="B3975" s="5">
        <v>66</v>
      </c>
      <c r="C3975" s="5" t="str" cm="1">
        <f t="array" ref="C3975">_xlfn.IFS(worksheet[[#This Row],[age]]&lt;25,"1. Young Adulthood (18-24)",worksheet[[#This Row],[age]]&lt; 35,"2. Early Adulthood (25-34)",worksheet[[#This Row],[age]]&lt; 45,"3. Mid Adulthood (35-44)",worksheet[[#This Row],[age]]&lt; 55,"4. Mature Adulthood (45-54)",TRUE,"5. Late Adulthood/Senior (55+)")</f>
        <v>5. Late Adulthood/Senior (55+)</v>
      </c>
      <c r="D3975" t="s">
        <v>41</v>
      </c>
      <c r="E3975" t="s">
        <v>32</v>
      </c>
      <c r="F3975" s="4">
        <v>5.17</v>
      </c>
      <c r="G3975" s="5">
        <v>18</v>
      </c>
      <c r="H3975" t="s">
        <v>70</v>
      </c>
      <c r="I3975" t="s">
        <v>46</v>
      </c>
      <c r="J3975" s="6">
        <v>17.989999999999998</v>
      </c>
      <c r="K3975">
        <v>0</v>
      </c>
      <c r="L3975" t="s">
        <v>19</v>
      </c>
      <c r="M3975" s="5">
        <v>3</v>
      </c>
      <c r="N3975" s="4">
        <v>0.27</v>
      </c>
      <c r="O3975" t="s">
        <v>30</v>
      </c>
    </row>
    <row r="3976" spans="1:15" x14ac:dyDescent="0.3">
      <c r="A3976" t="s">
        <v>1654</v>
      </c>
      <c r="B3976" s="5">
        <v>68</v>
      </c>
      <c r="C3976" s="5" t="str" cm="1">
        <f t="array" ref="C3976">_xlfn.IFS(worksheet[[#This Row],[age]]&lt;25,"1. Young Adulthood (18-24)",worksheet[[#This Row],[age]]&lt; 35,"2. Early Adulthood (25-34)",worksheet[[#This Row],[age]]&lt; 45,"3. Mid Adulthood (35-44)",worksheet[[#This Row],[age]]&lt; 55,"4. Mature Adulthood (45-54)",TRUE,"5. Late Adulthood/Senior (55+)")</f>
        <v>5. Late Adulthood/Senior (55+)</v>
      </c>
      <c r="D3976" t="s">
        <v>27</v>
      </c>
      <c r="E3976" t="s">
        <v>22</v>
      </c>
      <c r="F3976" s="4">
        <v>18.07</v>
      </c>
      <c r="G3976" s="5">
        <v>1</v>
      </c>
      <c r="H3976" t="s">
        <v>28</v>
      </c>
      <c r="I3976" t="s">
        <v>18</v>
      </c>
      <c r="J3976" s="6">
        <v>13.99</v>
      </c>
      <c r="K3976">
        <v>0</v>
      </c>
      <c r="L3976" t="s">
        <v>29</v>
      </c>
      <c r="M3976" s="5">
        <v>3</v>
      </c>
      <c r="N3976" s="4">
        <v>9.0399999999999991</v>
      </c>
      <c r="O3976" t="s">
        <v>34</v>
      </c>
    </row>
    <row r="3977" spans="1:15" x14ac:dyDescent="0.3">
      <c r="A3977" t="s">
        <v>1656</v>
      </c>
      <c r="B3977" s="5">
        <v>67</v>
      </c>
      <c r="C3977" s="5" t="str" cm="1">
        <f t="array" ref="C3977">_xlfn.IFS(worksheet[[#This Row],[age]]&lt;25,"1. Young Adulthood (18-24)",worksheet[[#This Row],[age]]&lt; 35,"2. Early Adulthood (25-34)",worksheet[[#This Row],[age]]&lt; 45,"3. Mid Adulthood (35-44)",worksheet[[#This Row],[age]]&lt; 55,"4. Mature Adulthood (45-54)",TRUE,"5. Late Adulthood/Senior (55+)")</f>
        <v>5. Late Adulthood/Senior (55+)</v>
      </c>
      <c r="D3977" t="s">
        <v>15</v>
      </c>
      <c r="E3977" t="s">
        <v>16</v>
      </c>
      <c r="F3977" s="4">
        <v>10.82</v>
      </c>
      <c r="G3977" s="5">
        <v>53</v>
      </c>
      <c r="H3977" t="s">
        <v>49</v>
      </c>
      <c r="I3977" t="s">
        <v>18</v>
      </c>
      <c r="J3977" s="6">
        <v>8.99</v>
      </c>
      <c r="K3977">
        <v>1</v>
      </c>
      <c r="L3977" t="s">
        <v>19</v>
      </c>
      <c r="M3977" s="5">
        <v>5</v>
      </c>
      <c r="N3977" s="4">
        <v>0.2</v>
      </c>
      <c r="O3977" t="s">
        <v>25</v>
      </c>
    </row>
    <row r="3978" spans="1:15" x14ac:dyDescent="0.3">
      <c r="A3978" t="s">
        <v>1659</v>
      </c>
      <c r="B3978" s="5">
        <v>61</v>
      </c>
      <c r="C3978" s="5" t="str" cm="1">
        <f t="array" ref="C3978">_xlfn.IFS(worksheet[[#This Row],[age]]&lt;25,"1. Young Adulthood (18-24)",worksheet[[#This Row],[age]]&lt; 35,"2. Early Adulthood (25-34)",worksheet[[#This Row],[age]]&lt; 45,"3. Mid Adulthood (35-44)",worksheet[[#This Row],[age]]&lt; 55,"4. Mature Adulthood (45-54)",TRUE,"5. Late Adulthood/Senior (55+)")</f>
        <v>5. Late Adulthood/Senior (55+)</v>
      </c>
      <c r="D3978" t="s">
        <v>27</v>
      </c>
      <c r="E3978" t="s">
        <v>22</v>
      </c>
      <c r="F3978" s="4">
        <v>2.27</v>
      </c>
      <c r="G3978" s="5">
        <v>27</v>
      </c>
      <c r="H3978" t="s">
        <v>33</v>
      </c>
      <c r="I3978" t="s">
        <v>55</v>
      </c>
      <c r="J3978" s="6">
        <v>13.99</v>
      </c>
      <c r="K3978">
        <v>1</v>
      </c>
      <c r="L3978" t="s">
        <v>61</v>
      </c>
      <c r="M3978" s="5">
        <v>3</v>
      </c>
      <c r="N3978" s="4">
        <v>0.08</v>
      </c>
      <c r="O3978" t="s">
        <v>52</v>
      </c>
    </row>
    <row r="3979" spans="1:15" x14ac:dyDescent="0.3">
      <c r="A3979" t="s">
        <v>1660</v>
      </c>
      <c r="B3979" s="5">
        <v>70</v>
      </c>
      <c r="C3979" s="5" t="str" cm="1">
        <f t="array" ref="C3979">_xlfn.IFS(worksheet[[#This Row],[age]]&lt;25,"1. Young Adulthood (18-24)",worksheet[[#This Row],[age]]&lt; 35,"2. Early Adulthood (25-34)",worksheet[[#This Row],[age]]&lt; 45,"3. Mid Adulthood (35-44)",worksheet[[#This Row],[age]]&lt; 55,"4. Mature Adulthood (45-54)",TRUE,"5. Late Adulthood/Senior (55+)")</f>
        <v>5. Late Adulthood/Senior (55+)</v>
      </c>
      <c r="D3979" t="s">
        <v>15</v>
      </c>
      <c r="E3979" t="s">
        <v>32</v>
      </c>
      <c r="F3979" s="4">
        <v>18.73</v>
      </c>
      <c r="G3979" s="5">
        <v>41</v>
      </c>
      <c r="H3979" t="s">
        <v>28</v>
      </c>
      <c r="I3979" t="s">
        <v>46</v>
      </c>
      <c r="J3979" s="6">
        <v>17.989999999999998</v>
      </c>
      <c r="K3979">
        <v>1</v>
      </c>
      <c r="L3979" t="s">
        <v>29</v>
      </c>
      <c r="M3979" s="5">
        <v>4</v>
      </c>
      <c r="N3979" s="4">
        <v>0.45</v>
      </c>
      <c r="O3979" t="s">
        <v>39</v>
      </c>
    </row>
    <row r="3980" spans="1:15" x14ac:dyDescent="0.3">
      <c r="A3980" t="s">
        <v>1664</v>
      </c>
      <c r="B3980" s="5">
        <v>61</v>
      </c>
      <c r="C3980" s="5" t="str" cm="1">
        <f t="array" ref="C3980">_xlfn.IFS(worksheet[[#This Row],[age]]&lt;25,"1. Young Adulthood (18-24)",worksheet[[#This Row],[age]]&lt; 35,"2. Early Adulthood (25-34)",worksheet[[#This Row],[age]]&lt; 45,"3. Mid Adulthood (35-44)",worksheet[[#This Row],[age]]&lt; 55,"4. Mature Adulthood (45-54)",TRUE,"5. Late Adulthood/Senior (55+)")</f>
        <v>5. Late Adulthood/Senior (55+)</v>
      </c>
      <c r="D3980" t="s">
        <v>41</v>
      </c>
      <c r="E3980" t="s">
        <v>16</v>
      </c>
      <c r="F3980" s="4">
        <v>16.100000000000001</v>
      </c>
      <c r="G3980" s="5">
        <v>0</v>
      </c>
      <c r="H3980" t="s">
        <v>33</v>
      </c>
      <c r="I3980" t="s">
        <v>18</v>
      </c>
      <c r="J3980" s="6">
        <v>8.99</v>
      </c>
      <c r="K3980">
        <v>0</v>
      </c>
      <c r="L3980" t="s">
        <v>37</v>
      </c>
      <c r="M3980" s="5">
        <v>1</v>
      </c>
      <c r="N3980" s="4">
        <v>16.100000000000001</v>
      </c>
      <c r="O3980" t="s">
        <v>20</v>
      </c>
    </row>
    <row r="3981" spans="1:15" x14ac:dyDescent="0.3">
      <c r="A3981" t="s">
        <v>1670</v>
      </c>
      <c r="B3981" s="5">
        <v>65</v>
      </c>
      <c r="C3981" s="5" t="str" cm="1">
        <f t="array" ref="C3981">_xlfn.IFS(worksheet[[#This Row],[age]]&lt;25,"1. Young Adulthood (18-24)",worksheet[[#This Row],[age]]&lt; 35,"2. Early Adulthood (25-34)",worksheet[[#This Row],[age]]&lt; 45,"3. Mid Adulthood (35-44)",worksheet[[#This Row],[age]]&lt; 55,"4. Mature Adulthood (45-54)",TRUE,"5. Late Adulthood/Senior (55+)")</f>
        <v>5. Late Adulthood/Senior (55+)</v>
      </c>
      <c r="D3981" t="s">
        <v>41</v>
      </c>
      <c r="E3981" t="s">
        <v>22</v>
      </c>
      <c r="F3981" s="4">
        <v>5.46</v>
      </c>
      <c r="G3981" s="5">
        <v>55</v>
      </c>
      <c r="H3981" t="s">
        <v>49</v>
      </c>
      <c r="I3981" t="s">
        <v>57</v>
      </c>
      <c r="J3981" s="6">
        <v>13.99</v>
      </c>
      <c r="K3981">
        <v>1</v>
      </c>
      <c r="L3981" t="s">
        <v>43</v>
      </c>
      <c r="M3981" s="5">
        <v>2</v>
      </c>
      <c r="N3981" s="4">
        <v>0.1</v>
      </c>
      <c r="O3981" t="s">
        <v>25</v>
      </c>
    </row>
    <row r="3982" spans="1:15" x14ac:dyDescent="0.3">
      <c r="A3982" t="s">
        <v>1673</v>
      </c>
      <c r="B3982" s="5">
        <v>67</v>
      </c>
      <c r="C3982" s="5" t="str" cm="1">
        <f t="array" ref="C3982">_xlfn.IFS(worksheet[[#This Row],[age]]&lt;25,"1. Young Adulthood (18-24)",worksheet[[#This Row],[age]]&lt; 35,"2. Early Adulthood (25-34)",worksheet[[#This Row],[age]]&lt; 45,"3. Mid Adulthood (35-44)",worksheet[[#This Row],[age]]&lt; 55,"4. Mature Adulthood (45-54)",TRUE,"5. Late Adulthood/Senior (55+)")</f>
        <v>5. Late Adulthood/Senior (55+)</v>
      </c>
      <c r="D3982" t="s">
        <v>27</v>
      </c>
      <c r="E3982" t="s">
        <v>32</v>
      </c>
      <c r="F3982" s="4">
        <v>4.2</v>
      </c>
      <c r="G3982" s="5">
        <v>3</v>
      </c>
      <c r="H3982" t="s">
        <v>49</v>
      </c>
      <c r="I3982" t="s">
        <v>55</v>
      </c>
      <c r="J3982" s="6">
        <v>17.989999999999998</v>
      </c>
      <c r="K3982">
        <v>0</v>
      </c>
      <c r="L3982" t="s">
        <v>29</v>
      </c>
      <c r="M3982" s="5">
        <v>5</v>
      </c>
      <c r="N3982" s="4">
        <v>1.05</v>
      </c>
      <c r="O3982" t="s">
        <v>20</v>
      </c>
    </row>
    <row r="3983" spans="1:15" x14ac:dyDescent="0.3">
      <c r="A3983" t="s">
        <v>1676</v>
      </c>
      <c r="B3983" s="5">
        <v>59</v>
      </c>
      <c r="C3983" s="5" t="str" cm="1">
        <f t="array" ref="C3983">_xlfn.IFS(worksheet[[#This Row],[age]]&lt;25,"1. Young Adulthood (18-24)",worksheet[[#This Row],[age]]&lt; 35,"2. Early Adulthood (25-34)",worksheet[[#This Row],[age]]&lt; 45,"3. Mid Adulthood (35-44)",worksheet[[#This Row],[age]]&lt; 55,"4. Mature Adulthood (45-54)",TRUE,"5. Late Adulthood/Senior (55+)")</f>
        <v>5. Late Adulthood/Senior (55+)</v>
      </c>
      <c r="D3983" t="s">
        <v>15</v>
      </c>
      <c r="E3983" t="s">
        <v>16</v>
      </c>
      <c r="F3983" s="4">
        <v>7.97</v>
      </c>
      <c r="G3983" s="5">
        <v>11</v>
      </c>
      <c r="H3983" t="s">
        <v>28</v>
      </c>
      <c r="I3983" t="s">
        <v>18</v>
      </c>
      <c r="J3983" s="6">
        <v>8.99</v>
      </c>
      <c r="K3983">
        <v>0</v>
      </c>
      <c r="L3983" t="s">
        <v>29</v>
      </c>
      <c r="M3983" s="5">
        <v>1</v>
      </c>
      <c r="N3983" s="4">
        <v>0.66</v>
      </c>
      <c r="O3983" t="s">
        <v>20</v>
      </c>
    </row>
    <row r="3984" spans="1:15" x14ac:dyDescent="0.3">
      <c r="A3984" t="s">
        <v>1680</v>
      </c>
      <c r="B3984" s="5">
        <v>69</v>
      </c>
      <c r="C3984" s="5" t="str" cm="1">
        <f t="array" ref="C3984">_xlfn.IFS(worksheet[[#This Row],[age]]&lt;25,"1. Young Adulthood (18-24)",worksheet[[#This Row],[age]]&lt; 35,"2. Early Adulthood (25-34)",worksheet[[#This Row],[age]]&lt; 45,"3. Mid Adulthood (35-44)",worksheet[[#This Row],[age]]&lt; 55,"4. Mature Adulthood (45-54)",TRUE,"5. Late Adulthood/Senior (55+)")</f>
        <v>5. Late Adulthood/Senior (55+)</v>
      </c>
      <c r="D3984" t="s">
        <v>41</v>
      </c>
      <c r="E3984" t="s">
        <v>32</v>
      </c>
      <c r="F3984" s="4">
        <v>20.29</v>
      </c>
      <c r="G3984" s="5">
        <v>37</v>
      </c>
      <c r="H3984" t="s">
        <v>70</v>
      </c>
      <c r="I3984" t="s">
        <v>18</v>
      </c>
      <c r="J3984" s="6">
        <v>17.989999999999998</v>
      </c>
      <c r="K3984">
        <v>0</v>
      </c>
      <c r="L3984" t="s">
        <v>37</v>
      </c>
      <c r="M3984" s="5">
        <v>5</v>
      </c>
      <c r="N3984" s="4">
        <v>0.53</v>
      </c>
      <c r="O3984" t="s">
        <v>34</v>
      </c>
    </row>
    <row r="3985" spans="1:15" x14ac:dyDescent="0.3">
      <c r="A3985" t="s">
        <v>1682</v>
      </c>
      <c r="B3985" s="5">
        <v>58</v>
      </c>
      <c r="C3985" s="5" t="str" cm="1">
        <f t="array" ref="C3985">_xlfn.IFS(worksheet[[#This Row],[age]]&lt;25,"1. Young Adulthood (18-24)",worksheet[[#This Row],[age]]&lt; 35,"2. Early Adulthood (25-34)",worksheet[[#This Row],[age]]&lt; 45,"3. Mid Adulthood (35-44)",worksheet[[#This Row],[age]]&lt; 55,"4. Mature Adulthood (45-54)",TRUE,"5. Late Adulthood/Senior (55+)")</f>
        <v>5. Late Adulthood/Senior (55+)</v>
      </c>
      <c r="D3985" t="s">
        <v>15</v>
      </c>
      <c r="E3985" t="s">
        <v>22</v>
      </c>
      <c r="F3985" s="4">
        <v>13.23</v>
      </c>
      <c r="G3985" s="5">
        <v>18</v>
      </c>
      <c r="H3985" t="s">
        <v>28</v>
      </c>
      <c r="I3985" t="s">
        <v>46</v>
      </c>
      <c r="J3985" s="6">
        <v>13.99</v>
      </c>
      <c r="K3985">
        <v>0</v>
      </c>
      <c r="L3985" t="s">
        <v>37</v>
      </c>
      <c r="M3985" s="5">
        <v>5</v>
      </c>
      <c r="N3985" s="4">
        <v>0.7</v>
      </c>
      <c r="O3985" t="s">
        <v>47</v>
      </c>
    </row>
    <row r="3986" spans="1:15" x14ac:dyDescent="0.3">
      <c r="A3986" t="s">
        <v>1685</v>
      </c>
      <c r="B3986" s="5">
        <v>66</v>
      </c>
      <c r="C3986" s="5" t="str" cm="1">
        <f t="array" ref="C3986">_xlfn.IFS(worksheet[[#This Row],[age]]&lt;25,"1. Young Adulthood (18-24)",worksheet[[#This Row],[age]]&lt; 35,"2. Early Adulthood (25-34)",worksheet[[#This Row],[age]]&lt; 45,"3. Mid Adulthood (35-44)",worksheet[[#This Row],[age]]&lt; 55,"4. Mature Adulthood (45-54)",TRUE,"5. Late Adulthood/Senior (55+)")</f>
        <v>5. Late Adulthood/Senior (55+)</v>
      </c>
      <c r="D3986" t="s">
        <v>15</v>
      </c>
      <c r="E3986" t="s">
        <v>32</v>
      </c>
      <c r="F3986" s="4">
        <v>14.15</v>
      </c>
      <c r="G3986" s="5">
        <v>14</v>
      </c>
      <c r="H3986" t="s">
        <v>49</v>
      </c>
      <c r="I3986" t="s">
        <v>24</v>
      </c>
      <c r="J3986" s="6">
        <v>17.989999999999998</v>
      </c>
      <c r="K3986">
        <v>0</v>
      </c>
      <c r="L3986" t="s">
        <v>43</v>
      </c>
      <c r="M3986" s="5">
        <v>1</v>
      </c>
      <c r="N3986" s="4">
        <v>0.94</v>
      </c>
      <c r="O3986" t="s">
        <v>20</v>
      </c>
    </row>
    <row r="3987" spans="1:15" x14ac:dyDescent="0.3">
      <c r="A3987" t="s">
        <v>1689</v>
      </c>
      <c r="B3987" s="5">
        <v>61</v>
      </c>
      <c r="C3987" s="5" t="str" cm="1">
        <f t="array" ref="C3987">_xlfn.IFS(worksheet[[#This Row],[age]]&lt;25,"1. Young Adulthood (18-24)",worksheet[[#This Row],[age]]&lt; 35,"2. Early Adulthood (25-34)",worksheet[[#This Row],[age]]&lt; 45,"3. Mid Adulthood (35-44)",worksheet[[#This Row],[age]]&lt; 55,"4. Mature Adulthood (45-54)",TRUE,"5. Late Adulthood/Senior (55+)")</f>
        <v>5. Late Adulthood/Senior (55+)</v>
      </c>
      <c r="D3987" t="s">
        <v>41</v>
      </c>
      <c r="E3987" t="s">
        <v>22</v>
      </c>
      <c r="F3987" s="4">
        <v>4.1399999999999997</v>
      </c>
      <c r="G3987" s="5">
        <v>30</v>
      </c>
      <c r="H3987" t="s">
        <v>28</v>
      </c>
      <c r="I3987" t="s">
        <v>46</v>
      </c>
      <c r="J3987" s="6">
        <v>13.99</v>
      </c>
      <c r="K3987">
        <v>1</v>
      </c>
      <c r="L3987" t="s">
        <v>61</v>
      </c>
      <c r="M3987" s="5">
        <v>2</v>
      </c>
      <c r="N3987" s="4">
        <v>0.13</v>
      </c>
      <c r="O3987" t="s">
        <v>30</v>
      </c>
    </row>
    <row r="3988" spans="1:15" x14ac:dyDescent="0.3">
      <c r="A3988" t="s">
        <v>1691</v>
      </c>
      <c r="B3988" s="5">
        <v>60</v>
      </c>
      <c r="C3988" s="5" t="str" cm="1">
        <f t="array" ref="C3988">_xlfn.IFS(worksheet[[#This Row],[age]]&lt;25,"1. Young Adulthood (18-24)",worksheet[[#This Row],[age]]&lt; 35,"2. Early Adulthood (25-34)",worksheet[[#This Row],[age]]&lt; 45,"3. Mid Adulthood (35-44)",worksheet[[#This Row],[age]]&lt; 55,"4. Mature Adulthood (45-54)",TRUE,"5. Late Adulthood/Senior (55+)")</f>
        <v>5. Late Adulthood/Senior (55+)</v>
      </c>
      <c r="D3988" t="s">
        <v>41</v>
      </c>
      <c r="E3988" t="s">
        <v>22</v>
      </c>
      <c r="F3988" s="4">
        <v>6.23</v>
      </c>
      <c r="G3988" s="5">
        <v>19</v>
      </c>
      <c r="H3988" t="s">
        <v>49</v>
      </c>
      <c r="I3988" t="s">
        <v>55</v>
      </c>
      <c r="J3988" s="6">
        <v>13.99</v>
      </c>
      <c r="K3988">
        <v>0</v>
      </c>
      <c r="L3988" t="s">
        <v>43</v>
      </c>
      <c r="M3988" s="5">
        <v>5</v>
      </c>
      <c r="N3988" s="4">
        <v>0.31</v>
      </c>
      <c r="O3988" t="s">
        <v>52</v>
      </c>
    </row>
    <row r="3989" spans="1:15" x14ac:dyDescent="0.3">
      <c r="A3989" t="s">
        <v>1693</v>
      </c>
      <c r="B3989" s="5">
        <v>57</v>
      </c>
      <c r="C3989" s="5" t="str" cm="1">
        <f t="array" ref="C3989">_xlfn.IFS(worksheet[[#This Row],[age]]&lt;25,"1. Young Adulthood (18-24)",worksheet[[#This Row],[age]]&lt; 35,"2. Early Adulthood (25-34)",worksheet[[#This Row],[age]]&lt; 45,"3. Mid Adulthood (35-44)",worksheet[[#This Row],[age]]&lt; 55,"4. Mature Adulthood (45-54)",TRUE,"5. Late Adulthood/Senior (55+)")</f>
        <v>5. Late Adulthood/Senior (55+)</v>
      </c>
      <c r="D3989" t="s">
        <v>41</v>
      </c>
      <c r="E3989" t="s">
        <v>32</v>
      </c>
      <c r="F3989" s="4">
        <v>7.79</v>
      </c>
      <c r="G3989" s="5">
        <v>46</v>
      </c>
      <c r="H3989" t="s">
        <v>23</v>
      </c>
      <c r="I3989" t="s">
        <v>18</v>
      </c>
      <c r="J3989" s="6">
        <v>17.989999999999998</v>
      </c>
      <c r="K3989">
        <v>1</v>
      </c>
      <c r="L3989" t="s">
        <v>29</v>
      </c>
      <c r="M3989" s="5">
        <v>5</v>
      </c>
      <c r="N3989" s="4">
        <v>0.17</v>
      </c>
      <c r="O3989" t="s">
        <v>52</v>
      </c>
    </row>
    <row r="3990" spans="1:15" x14ac:dyDescent="0.3">
      <c r="A3990" t="s">
        <v>1696</v>
      </c>
      <c r="B3990" s="5">
        <v>57</v>
      </c>
      <c r="C3990" s="5" t="str" cm="1">
        <f t="array" ref="C3990">_xlfn.IFS(worksheet[[#This Row],[age]]&lt;25,"1. Young Adulthood (18-24)",worksheet[[#This Row],[age]]&lt; 35,"2. Early Adulthood (25-34)",worksheet[[#This Row],[age]]&lt; 45,"3. Mid Adulthood (35-44)",worksheet[[#This Row],[age]]&lt; 55,"4. Mature Adulthood (45-54)",TRUE,"5. Late Adulthood/Senior (55+)")</f>
        <v>5. Late Adulthood/Senior (55+)</v>
      </c>
      <c r="D3990" t="s">
        <v>41</v>
      </c>
      <c r="E3990" t="s">
        <v>16</v>
      </c>
      <c r="F3990" s="4">
        <v>3.31</v>
      </c>
      <c r="G3990" s="5">
        <v>57</v>
      </c>
      <c r="H3990" t="s">
        <v>23</v>
      </c>
      <c r="I3990" t="s">
        <v>24</v>
      </c>
      <c r="J3990" s="6">
        <v>8.99</v>
      </c>
      <c r="K3990">
        <v>1</v>
      </c>
      <c r="L3990" t="s">
        <v>19</v>
      </c>
      <c r="M3990" s="5">
        <v>2</v>
      </c>
      <c r="N3990" s="4">
        <v>0.06</v>
      </c>
      <c r="O3990" t="s">
        <v>30</v>
      </c>
    </row>
    <row r="3991" spans="1:15" x14ac:dyDescent="0.3">
      <c r="A3991" t="s">
        <v>1698</v>
      </c>
      <c r="B3991" s="5">
        <v>68</v>
      </c>
      <c r="C3991" s="5" t="str" cm="1">
        <f t="array" ref="C3991">_xlfn.IFS(worksheet[[#This Row],[age]]&lt;25,"1. Young Adulthood (18-24)",worksheet[[#This Row],[age]]&lt; 35,"2. Early Adulthood (25-34)",worksheet[[#This Row],[age]]&lt; 45,"3. Mid Adulthood (35-44)",worksheet[[#This Row],[age]]&lt; 55,"4. Mature Adulthood (45-54)",TRUE,"5. Late Adulthood/Senior (55+)")</f>
        <v>5. Late Adulthood/Senior (55+)</v>
      </c>
      <c r="D3991" t="s">
        <v>27</v>
      </c>
      <c r="E3991" t="s">
        <v>32</v>
      </c>
      <c r="F3991" s="4">
        <v>23.8</v>
      </c>
      <c r="G3991" s="5">
        <v>4</v>
      </c>
      <c r="H3991" t="s">
        <v>33</v>
      </c>
      <c r="I3991" t="s">
        <v>57</v>
      </c>
      <c r="J3991" s="6">
        <v>17.989999999999998</v>
      </c>
      <c r="K3991">
        <v>0</v>
      </c>
      <c r="L3991" t="s">
        <v>29</v>
      </c>
      <c r="M3991" s="5">
        <v>2</v>
      </c>
      <c r="N3991" s="4">
        <v>4.76</v>
      </c>
      <c r="O3991" t="s">
        <v>25</v>
      </c>
    </row>
    <row r="3992" spans="1:15" x14ac:dyDescent="0.3">
      <c r="A3992" t="s">
        <v>1699</v>
      </c>
      <c r="B3992" s="5">
        <v>66</v>
      </c>
      <c r="C3992" s="5" t="str" cm="1">
        <f t="array" ref="C3992">_xlfn.IFS(worksheet[[#This Row],[age]]&lt;25,"1. Young Adulthood (18-24)",worksheet[[#This Row],[age]]&lt; 35,"2. Early Adulthood (25-34)",worksheet[[#This Row],[age]]&lt; 45,"3. Mid Adulthood (35-44)",worksheet[[#This Row],[age]]&lt; 55,"4. Mature Adulthood (45-54)",TRUE,"5. Late Adulthood/Senior (55+)")</f>
        <v>5. Late Adulthood/Senior (55+)</v>
      </c>
      <c r="D3992" t="s">
        <v>27</v>
      </c>
      <c r="E3992" t="s">
        <v>32</v>
      </c>
      <c r="F3992" s="4">
        <v>7.68</v>
      </c>
      <c r="G3992" s="5">
        <v>15</v>
      </c>
      <c r="H3992" t="s">
        <v>49</v>
      </c>
      <c r="I3992" t="s">
        <v>57</v>
      </c>
      <c r="J3992" s="6">
        <v>17.989999999999998</v>
      </c>
      <c r="K3992">
        <v>0</v>
      </c>
      <c r="L3992" t="s">
        <v>29</v>
      </c>
      <c r="M3992" s="5">
        <v>4</v>
      </c>
      <c r="N3992" s="4">
        <v>0.48</v>
      </c>
      <c r="O3992" t="s">
        <v>30</v>
      </c>
    </row>
    <row r="3993" spans="1:15" x14ac:dyDescent="0.3">
      <c r="A3993" t="s">
        <v>1702</v>
      </c>
      <c r="B3993" s="5">
        <v>55</v>
      </c>
      <c r="C3993" s="5" t="str" cm="1">
        <f t="array" ref="C3993">_xlfn.IFS(worksheet[[#This Row],[age]]&lt;25,"1. Young Adulthood (18-24)",worksheet[[#This Row],[age]]&lt; 35,"2. Early Adulthood (25-34)",worksheet[[#This Row],[age]]&lt; 45,"3. Mid Adulthood (35-44)",worksheet[[#This Row],[age]]&lt; 55,"4. Mature Adulthood (45-54)",TRUE,"5. Late Adulthood/Senior (55+)")</f>
        <v>5. Late Adulthood/Senior (55+)</v>
      </c>
      <c r="D3993" t="s">
        <v>15</v>
      </c>
      <c r="E3993" t="s">
        <v>32</v>
      </c>
      <c r="F3993" s="4">
        <v>4.3600000000000003</v>
      </c>
      <c r="G3993" s="5">
        <v>52</v>
      </c>
      <c r="H3993" t="s">
        <v>33</v>
      </c>
      <c r="I3993" t="s">
        <v>55</v>
      </c>
      <c r="J3993" s="6">
        <v>17.989999999999998</v>
      </c>
      <c r="K3993">
        <v>1</v>
      </c>
      <c r="L3993" t="s">
        <v>29</v>
      </c>
      <c r="M3993" s="5">
        <v>2</v>
      </c>
      <c r="N3993" s="4">
        <v>0.08</v>
      </c>
      <c r="O3993" t="s">
        <v>47</v>
      </c>
    </row>
    <row r="3994" spans="1:15" x14ac:dyDescent="0.3">
      <c r="A3994" t="s">
        <v>1705</v>
      </c>
      <c r="B3994" s="5">
        <v>63</v>
      </c>
      <c r="C3994" s="5" t="str" cm="1">
        <f t="array" ref="C3994">_xlfn.IFS(worksheet[[#This Row],[age]]&lt;25,"1. Young Adulthood (18-24)",worksheet[[#This Row],[age]]&lt; 35,"2. Early Adulthood (25-34)",worksheet[[#This Row],[age]]&lt; 45,"3. Mid Adulthood (35-44)",worksheet[[#This Row],[age]]&lt; 55,"4. Mature Adulthood (45-54)",TRUE,"5. Late Adulthood/Senior (55+)")</f>
        <v>5. Late Adulthood/Senior (55+)</v>
      </c>
      <c r="D3994" t="s">
        <v>27</v>
      </c>
      <c r="E3994" t="s">
        <v>22</v>
      </c>
      <c r="F3994" s="4">
        <v>18.489999999999998</v>
      </c>
      <c r="G3994" s="5">
        <v>13</v>
      </c>
      <c r="H3994" t="s">
        <v>23</v>
      </c>
      <c r="I3994" t="s">
        <v>18</v>
      </c>
      <c r="J3994" s="6">
        <v>13.99</v>
      </c>
      <c r="K3994">
        <v>0</v>
      </c>
      <c r="L3994" t="s">
        <v>43</v>
      </c>
      <c r="M3994" s="5">
        <v>1</v>
      </c>
      <c r="N3994" s="4">
        <v>1.32</v>
      </c>
      <c r="O3994" t="s">
        <v>30</v>
      </c>
    </row>
    <row r="3995" spans="1:15" x14ac:dyDescent="0.3">
      <c r="A3995" t="s">
        <v>1709</v>
      </c>
      <c r="B3995" s="5">
        <v>69</v>
      </c>
      <c r="C3995" s="5" t="str" cm="1">
        <f t="array" ref="C3995">_xlfn.IFS(worksheet[[#This Row],[age]]&lt;25,"1. Young Adulthood (18-24)",worksheet[[#This Row],[age]]&lt; 35,"2. Early Adulthood (25-34)",worksheet[[#This Row],[age]]&lt; 45,"3. Mid Adulthood (35-44)",worksheet[[#This Row],[age]]&lt; 55,"4. Mature Adulthood (45-54)",TRUE,"5. Late Adulthood/Senior (55+)")</f>
        <v>5. Late Adulthood/Senior (55+)</v>
      </c>
      <c r="D3995" t="s">
        <v>41</v>
      </c>
      <c r="E3995" t="s">
        <v>16</v>
      </c>
      <c r="F3995" s="4">
        <v>21.53</v>
      </c>
      <c r="G3995" s="5">
        <v>7</v>
      </c>
      <c r="H3995" t="s">
        <v>70</v>
      </c>
      <c r="I3995" t="s">
        <v>46</v>
      </c>
      <c r="J3995" s="6">
        <v>8.99</v>
      </c>
      <c r="K3995">
        <v>0</v>
      </c>
      <c r="L3995" t="s">
        <v>29</v>
      </c>
      <c r="M3995" s="5">
        <v>3</v>
      </c>
      <c r="N3995" s="4">
        <v>2.69</v>
      </c>
      <c r="O3995" t="s">
        <v>47</v>
      </c>
    </row>
    <row r="3996" spans="1:15" x14ac:dyDescent="0.3">
      <c r="A3996" t="s">
        <v>1711</v>
      </c>
      <c r="B3996" s="5">
        <v>69</v>
      </c>
      <c r="C3996" s="5" t="str" cm="1">
        <f t="array" ref="C3996">_xlfn.IFS(worksheet[[#This Row],[age]]&lt;25,"1. Young Adulthood (18-24)",worksheet[[#This Row],[age]]&lt; 35,"2. Early Adulthood (25-34)",worksheet[[#This Row],[age]]&lt; 45,"3. Mid Adulthood (35-44)",worksheet[[#This Row],[age]]&lt; 55,"4. Mature Adulthood (45-54)",TRUE,"5. Late Adulthood/Senior (55+)")</f>
        <v>5. Late Adulthood/Senior (55+)</v>
      </c>
      <c r="D3996" t="s">
        <v>27</v>
      </c>
      <c r="E3996" t="s">
        <v>32</v>
      </c>
      <c r="F3996" s="4">
        <v>6.95</v>
      </c>
      <c r="G3996" s="5">
        <v>54</v>
      </c>
      <c r="H3996" t="s">
        <v>23</v>
      </c>
      <c r="I3996" t="s">
        <v>55</v>
      </c>
      <c r="J3996" s="6">
        <v>17.989999999999998</v>
      </c>
      <c r="K3996">
        <v>0</v>
      </c>
      <c r="L3996" t="s">
        <v>37</v>
      </c>
      <c r="M3996" s="5">
        <v>5</v>
      </c>
      <c r="N3996" s="4">
        <v>0.13</v>
      </c>
      <c r="O3996" t="s">
        <v>20</v>
      </c>
    </row>
    <row r="3997" spans="1:15" x14ac:dyDescent="0.3">
      <c r="A3997" t="s">
        <v>1714</v>
      </c>
      <c r="B3997" s="5">
        <v>56</v>
      </c>
      <c r="C3997" s="5" t="str" cm="1">
        <f t="array" ref="C3997">_xlfn.IFS(worksheet[[#This Row],[age]]&lt;25,"1. Young Adulthood (18-24)",worksheet[[#This Row],[age]]&lt; 35,"2. Early Adulthood (25-34)",worksheet[[#This Row],[age]]&lt; 45,"3. Mid Adulthood (35-44)",worksheet[[#This Row],[age]]&lt; 55,"4. Mature Adulthood (45-54)",TRUE,"5. Late Adulthood/Senior (55+)")</f>
        <v>5. Late Adulthood/Senior (55+)</v>
      </c>
      <c r="D3997" t="s">
        <v>15</v>
      </c>
      <c r="E3997" t="s">
        <v>32</v>
      </c>
      <c r="F3997" s="4">
        <v>0.12</v>
      </c>
      <c r="G3997" s="5">
        <v>10</v>
      </c>
      <c r="H3997" t="s">
        <v>33</v>
      </c>
      <c r="I3997" t="s">
        <v>46</v>
      </c>
      <c r="J3997" s="6">
        <v>17.989999999999998</v>
      </c>
      <c r="K3997">
        <v>1</v>
      </c>
      <c r="L3997" t="s">
        <v>29</v>
      </c>
      <c r="M3997" s="5">
        <v>4</v>
      </c>
      <c r="N3997" s="4">
        <v>0.01</v>
      </c>
      <c r="O3997" t="s">
        <v>34</v>
      </c>
    </row>
    <row r="3998" spans="1:15" x14ac:dyDescent="0.3">
      <c r="A3998" t="s">
        <v>1721</v>
      </c>
      <c r="B3998" s="5">
        <v>66</v>
      </c>
      <c r="C3998" s="5" t="str" cm="1">
        <f t="array" ref="C3998">_xlfn.IFS(worksheet[[#This Row],[age]]&lt;25,"1. Young Adulthood (18-24)",worksheet[[#This Row],[age]]&lt; 35,"2. Early Adulthood (25-34)",worksheet[[#This Row],[age]]&lt; 45,"3. Mid Adulthood (35-44)",worksheet[[#This Row],[age]]&lt; 55,"4. Mature Adulthood (45-54)",TRUE,"5. Late Adulthood/Senior (55+)")</f>
        <v>5. Late Adulthood/Senior (55+)</v>
      </c>
      <c r="D3998" t="s">
        <v>41</v>
      </c>
      <c r="E3998" t="s">
        <v>32</v>
      </c>
      <c r="F3998" s="4">
        <v>5.73</v>
      </c>
      <c r="G3998" s="5">
        <v>58</v>
      </c>
      <c r="H3998" t="s">
        <v>23</v>
      </c>
      <c r="I3998" t="s">
        <v>55</v>
      </c>
      <c r="J3998" s="6">
        <v>17.989999999999998</v>
      </c>
      <c r="K3998">
        <v>1</v>
      </c>
      <c r="L3998" t="s">
        <v>43</v>
      </c>
      <c r="M3998" s="5">
        <v>1</v>
      </c>
      <c r="N3998" s="4">
        <v>0.1</v>
      </c>
      <c r="O3998" t="s">
        <v>20</v>
      </c>
    </row>
    <row r="3999" spans="1:15" x14ac:dyDescent="0.3">
      <c r="A3999" t="s">
        <v>1722</v>
      </c>
      <c r="B3999" s="5">
        <v>55</v>
      </c>
      <c r="C3999" s="5" t="str" cm="1">
        <f t="array" ref="C3999">_xlfn.IFS(worksheet[[#This Row],[age]]&lt;25,"1. Young Adulthood (18-24)",worksheet[[#This Row],[age]]&lt; 35,"2. Early Adulthood (25-34)",worksheet[[#This Row],[age]]&lt; 45,"3. Mid Adulthood (35-44)",worksheet[[#This Row],[age]]&lt; 55,"4. Mature Adulthood (45-54)",TRUE,"5. Late Adulthood/Senior (55+)")</f>
        <v>5. Late Adulthood/Senior (55+)</v>
      </c>
      <c r="D3999" t="s">
        <v>41</v>
      </c>
      <c r="E3999" t="s">
        <v>16</v>
      </c>
      <c r="F3999" s="4">
        <v>10.19</v>
      </c>
      <c r="G3999" s="5">
        <v>5</v>
      </c>
      <c r="H3999" t="s">
        <v>23</v>
      </c>
      <c r="I3999" t="s">
        <v>55</v>
      </c>
      <c r="J3999" s="6">
        <v>8.99</v>
      </c>
      <c r="K3999">
        <v>0</v>
      </c>
      <c r="L3999" t="s">
        <v>43</v>
      </c>
      <c r="M3999" s="5">
        <v>3</v>
      </c>
      <c r="N3999" s="4">
        <v>1.7</v>
      </c>
      <c r="O3999" t="s">
        <v>20</v>
      </c>
    </row>
    <row r="4000" spans="1:15" x14ac:dyDescent="0.3">
      <c r="A4000" t="s">
        <v>1723</v>
      </c>
      <c r="B4000" s="5">
        <v>63</v>
      </c>
      <c r="C4000" s="5" t="str" cm="1">
        <f t="array" ref="C4000">_xlfn.IFS(worksheet[[#This Row],[age]]&lt;25,"1. Young Adulthood (18-24)",worksheet[[#This Row],[age]]&lt; 35,"2. Early Adulthood (25-34)",worksheet[[#This Row],[age]]&lt; 45,"3. Mid Adulthood (35-44)",worksheet[[#This Row],[age]]&lt; 55,"4. Mature Adulthood (45-54)",TRUE,"5. Late Adulthood/Senior (55+)")</f>
        <v>5. Late Adulthood/Senior (55+)</v>
      </c>
      <c r="D4000" t="s">
        <v>41</v>
      </c>
      <c r="E4000" t="s">
        <v>16</v>
      </c>
      <c r="F4000" s="4">
        <v>6.81</v>
      </c>
      <c r="G4000" s="5">
        <v>18</v>
      </c>
      <c r="H4000" t="s">
        <v>23</v>
      </c>
      <c r="I4000" t="s">
        <v>18</v>
      </c>
      <c r="J4000" s="6">
        <v>8.99</v>
      </c>
      <c r="K4000">
        <v>0</v>
      </c>
      <c r="L4000" t="s">
        <v>19</v>
      </c>
      <c r="M4000" s="5">
        <v>4</v>
      </c>
      <c r="N4000" s="4">
        <v>0.36</v>
      </c>
      <c r="O4000" t="s">
        <v>47</v>
      </c>
    </row>
    <row r="4001" spans="1:15" x14ac:dyDescent="0.3">
      <c r="A4001" t="s">
        <v>1730</v>
      </c>
      <c r="B4001" s="5">
        <v>62</v>
      </c>
      <c r="C4001" s="5" t="str" cm="1">
        <f t="array" ref="C4001">_xlfn.IFS(worksheet[[#This Row],[age]]&lt;25,"1. Young Adulthood (18-24)",worksheet[[#This Row],[age]]&lt; 35,"2. Early Adulthood (25-34)",worksheet[[#This Row],[age]]&lt; 45,"3. Mid Adulthood (35-44)",worksheet[[#This Row],[age]]&lt; 55,"4. Mature Adulthood (45-54)",TRUE,"5. Late Adulthood/Senior (55+)")</f>
        <v>5. Late Adulthood/Senior (55+)</v>
      </c>
      <c r="D4001" t="s">
        <v>41</v>
      </c>
      <c r="E4001" t="s">
        <v>16</v>
      </c>
      <c r="F4001" s="4">
        <v>0.9</v>
      </c>
      <c r="G4001" s="5">
        <v>22</v>
      </c>
      <c r="H4001" t="s">
        <v>49</v>
      </c>
      <c r="I4001" t="s">
        <v>57</v>
      </c>
      <c r="J4001" s="6">
        <v>8.99</v>
      </c>
      <c r="K4001">
        <v>1</v>
      </c>
      <c r="L4001" t="s">
        <v>37</v>
      </c>
      <c r="M4001" s="5">
        <v>4</v>
      </c>
      <c r="N4001" s="4">
        <v>0.04</v>
      </c>
      <c r="O4001" t="s">
        <v>39</v>
      </c>
    </row>
    <row r="4002" spans="1:15" x14ac:dyDescent="0.3">
      <c r="A4002" t="s">
        <v>1735</v>
      </c>
      <c r="B4002" s="5">
        <v>62</v>
      </c>
      <c r="C4002" s="5" t="str" cm="1">
        <f t="array" ref="C4002">_xlfn.IFS(worksheet[[#This Row],[age]]&lt;25,"1. Young Adulthood (18-24)",worksheet[[#This Row],[age]]&lt; 35,"2. Early Adulthood (25-34)",worksheet[[#This Row],[age]]&lt; 45,"3. Mid Adulthood (35-44)",worksheet[[#This Row],[age]]&lt; 55,"4. Mature Adulthood (45-54)",TRUE,"5. Late Adulthood/Senior (55+)")</f>
        <v>5. Late Adulthood/Senior (55+)</v>
      </c>
      <c r="D4002" t="s">
        <v>27</v>
      </c>
      <c r="E4002" t="s">
        <v>16</v>
      </c>
      <c r="F4002" s="4">
        <v>79.180000000000007</v>
      </c>
      <c r="G4002" s="5">
        <v>18</v>
      </c>
      <c r="H4002" t="s">
        <v>23</v>
      </c>
      <c r="I4002" t="s">
        <v>18</v>
      </c>
      <c r="J4002" s="6">
        <v>8.99</v>
      </c>
      <c r="K4002">
        <v>0</v>
      </c>
      <c r="L4002" t="s">
        <v>61</v>
      </c>
      <c r="M4002" s="5">
        <v>3</v>
      </c>
      <c r="N4002" s="4">
        <v>4.17</v>
      </c>
      <c r="O4002" t="s">
        <v>52</v>
      </c>
    </row>
    <row r="4003" spans="1:15" x14ac:dyDescent="0.3">
      <c r="A4003" t="s">
        <v>1743</v>
      </c>
      <c r="B4003" s="5">
        <v>58</v>
      </c>
      <c r="C4003" s="5" t="str" cm="1">
        <f t="array" ref="C4003">_xlfn.IFS(worksheet[[#This Row],[age]]&lt;25,"1. Young Adulthood (18-24)",worksheet[[#This Row],[age]]&lt; 35,"2. Early Adulthood (25-34)",worksheet[[#This Row],[age]]&lt; 45,"3. Mid Adulthood (35-44)",worksheet[[#This Row],[age]]&lt; 55,"4. Mature Adulthood (45-54)",TRUE,"5. Late Adulthood/Senior (55+)")</f>
        <v>5. Late Adulthood/Senior (55+)</v>
      </c>
      <c r="D4003" t="s">
        <v>27</v>
      </c>
      <c r="E4003" t="s">
        <v>22</v>
      </c>
      <c r="F4003" s="4">
        <v>2.5299999999999998</v>
      </c>
      <c r="G4003" s="5">
        <v>54</v>
      </c>
      <c r="H4003" t="s">
        <v>23</v>
      </c>
      <c r="I4003" t="s">
        <v>55</v>
      </c>
      <c r="J4003" s="6">
        <v>13.99</v>
      </c>
      <c r="K4003">
        <v>1</v>
      </c>
      <c r="L4003" t="s">
        <v>19</v>
      </c>
      <c r="M4003" s="5">
        <v>5</v>
      </c>
      <c r="N4003" s="4">
        <v>0.05</v>
      </c>
      <c r="O4003" t="s">
        <v>25</v>
      </c>
    </row>
    <row r="4004" spans="1:15" x14ac:dyDescent="0.3">
      <c r="A4004" t="s">
        <v>1745</v>
      </c>
      <c r="B4004" s="5">
        <v>62</v>
      </c>
      <c r="C4004" s="5" t="str" cm="1">
        <f t="array" ref="C4004">_xlfn.IFS(worksheet[[#This Row],[age]]&lt;25,"1. Young Adulthood (18-24)",worksheet[[#This Row],[age]]&lt; 35,"2. Early Adulthood (25-34)",worksheet[[#This Row],[age]]&lt; 45,"3. Mid Adulthood (35-44)",worksheet[[#This Row],[age]]&lt; 55,"4. Mature Adulthood (45-54)",TRUE,"5. Late Adulthood/Senior (55+)")</f>
        <v>5. Late Adulthood/Senior (55+)</v>
      </c>
      <c r="D4004" t="s">
        <v>15</v>
      </c>
      <c r="E4004" t="s">
        <v>22</v>
      </c>
      <c r="F4004" s="4">
        <v>7.36</v>
      </c>
      <c r="G4004" s="5">
        <v>45</v>
      </c>
      <c r="H4004" t="s">
        <v>17</v>
      </c>
      <c r="I4004" t="s">
        <v>46</v>
      </c>
      <c r="J4004" s="6">
        <v>13.99</v>
      </c>
      <c r="K4004">
        <v>1</v>
      </c>
      <c r="L4004" t="s">
        <v>43</v>
      </c>
      <c r="M4004" s="5">
        <v>2</v>
      </c>
      <c r="N4004" s="4">
        <v>0.16</v>
      </c>
      <c r="O4004" t="s">
        <v>34</v>
      </c>
    </row>
    <row r="4005" spans="1:15" x14ac:dyDescent="0.3">
      <c r="A4005" t="s">
        <v>1747</v>
      </c>
      <c r="B4005" s="5">
        <v>59</v>
      </c>
      <c r="C4005" s="5" t="str" cm="1">
        <f t="array" ref="C4005">_xlfn.IFS(worksheet[[#This Row],[age]]&lt;25,"1. Young Adulthood (18-24)",worksheet[[#This Row],[age]]&lt; 35,"2. Early Adulthood (25-34)",worksheet[[#This Row],[age]]&lt; 45,"3. Mid Adulthood (35-44)",worksheet[[#This Row],[age]]&lt; 55,"4. Mature Adulthood (45-54)",TRUE,"5. Late Adulthood/Senior (55+)")</f>
        <v>5. Late Adulthood/Senior (55+)</v>
      </c>
      <c r="D4005" t="s">
        <v>41</v>
      </c>
      <c r="E4005" t="s">
        <v>22</v>
      </c>
      <c r="F4005" s="4">
        <v>1.86</v>
      </c>
      <c r="G4005" s="5">
        <v>40</v>
      </c>
      <c r="H4005" t="s">
        <v>49</v>
      </c>
      <c r="I4005" t="s">
        <v>46</v>
      </c>
      <c r="J4005" s="6">
        <v>13.99</v>
      </c>
      <c r="K4005">
        <v>1</v>
      </c>
      <c r="L4005" t="s">
        <v>29</v>
      </c>
      <c r="M4005" s="5">
        <v>5</v>
      </c>
      <c r="N4005" s="4">
        <v>0.05</v>
      </c>
      <c r="O4005" t="s">
        <v>30</v>
      </c>
    </row>
    <row r="4006" spans="1:15" x14ac:dyDescent="0.3">
      <c r="A4006" t="s">
        <v>1748</v>
      </c>
      <c r="B4006" s="5">
        <v>67</v>
      </c>
      <c r="C4006" s="5" t="str" cm="1">
        <f t="array" ref="C4006">_xlfn.IFS(worksheet[[#This Row],[age]]&lt;25,"1. Young Adulthood (18-24)",worksheet[[#This Row],[age]]&lt; 35,"2. Early Adulthood (25-34)",worksheet[[#This Row],[age]]&lt; 45,"3. Mid Adulthood (35-44)",worksheet[[#This Row],[age]]&lt; 55,"4. Mature Adulthood (45-54)",TRUE,"5. Late Adulthood/Senior (55+)")</f>
        <v>5. Late Adulthood/Senior (55+)</v>
      </c>
      <c r="D4006" t="s">
        <v>41</v>
      </c>
      <c r="E4006" t="s">
        <v>32</v>
      </c>
      <c r="F4006" s="4">
        <v>7.94</v>
      </c>
      <c r="G4006" s="5">
        <v>52</v>
      </c>
      <c r="H4006" t="s">
        <v>49</v>
      </c>
      <c r="I4006" t="s">
        <v>57</v>
      </c>
      <c r="J4006" s="6">
        <v>17.989999999999998</v>
      </c>
      <c r="K4006">
        <v>1</v>
      </c>
      <c r="L4006" t="s">
        <v>29</v>
      </c>
      <c r="M4006" s="5">
        <v>1</v>
      </c>
      <c r="N4006" s="4">
        <v>0.15</v>
      </c>
      <c r="O4006" t="s">
        <v>34</v>
      </c>
    </row>
    <row r="4007" spans="1:15" x14ac:dyDescent="0.3">
      <c r="A4007" t="s">
        <v>1749</v>
      </c>
      <c r="B4007" s="5">
        <v>63</v>
      </c>
      <c r="C4007" s="5" t="str" cm="1">
        <f t="array" ref="C4007">_xlfn.IFS(worksheet[[#This Row],[age]]&lt;25,"1. Young Adulthood (18-24)",worksheet[[#This Row],[age]]&lt; 35,"2. Early Adulthood (25-34)",worksheet[[#This Row],[age]]&lt; 45,"3. Mid Adulthood (35-44)",worksheet[[#This Row],[age]]&lt; 55,"4. Mature Adulthood (45-54)",TRUE,"5. Late Adulthood/Senior (55+)")</f>
        <v>5. Late Adulthood/Senior (55+)</v>
      </c>
      <c r="D4007" t="s">
        <v>27</v>
      </c>
      <c r="E4007" t="s">
        <v>16</v>
      </c>
      <c r="F4007" s="4">
        <v>1.84</v>
      </c>
      <c r="G4007" s="5">
        <v>15</v>
      </c>
      <c r="H4007" t="s">
        <v>49</v>
      </c>
      <c r="I4007" t="s">
        <v>55</v>
      </c>
      <c r="J4007" s="6">
        <v>8.99</v>
      </c>
      <c r="K4007">
        <v>1</v>
      </c>
      <c r="L4007" t="s">
        <v>37</v>
      </c>
      <c r="M4007" s="5">
        <v>3</v>
      </c>
      <c r="N4007" s="4">
        <v>0.12</v>
      </c>
      <c r="O4007" t="s">
        <v>20</v>
      </c>
    </row>
    <row r="4008" spans="1:15" x14ac:dyDescent="0.3">
      <c r="A4008" t="s">
        <v>1751</v>
      </c>
      <c r="B4008" s="5">
        <v>68</v>
      </c>
      <c r="C4008" s="5" t="str" cm="1">
        <f t="array" ref="C4008">_xlfn.IFS(worksheet[[#This Row],[age]]&lt;25,"1. Young Adulthood (18-24)",worksheet[[#This Row],[age]]&lt; 35,"2. Early Adulthood (25-34)",worksheet[[#This Row],[age]]&lt; 45,"3. Mid Adulthood (35-44)",worksheet[[#This Row],[age]]&lt; 55,"4. Mature Adulthood (45-54)",TRUE,"5. Late Adulthood/Senior (55+)")</f>
        <v>5. Late Adulthood/Senior (55+)</v>
      </c>
      <c r="D4008" t="s">
        <v>41</v>
      </c>
      <c r="E4008" t="s">
        <v>16</v>
      </c>
      <c r="F4008" s="4">
        <v>24.34</v>
      </c>
      <c r="G4008" s="5">
        <v>16</v>
      </c>
      <c r="H4008" t="s">
        <v>33</v>
      </c>
      <c r="I4008" t="s">
        <v>55</v>
      </c>
      <c r="J4008" s="6">
        <v>8.99</v>
      </c>
      <c r="K4008">
        <v>0</v>
      </c>
      <c r="L4008" t="s">
        <v>61</v>
      </c>
      <c r="M4008" s="5">
        <v>5</v>
      </c>
      <c r="N4008" s="4">
        <v>1.43</v>
      </c>
      <c r="O4008" t="s">
        <v>52</v>
      </c>
    </row>
    <row r="4009" spans="1:15" x14ac:dyDescent="0.3">
      <c r="A4009" t="s">
        <v>1753</v>
      </c>
      <c r="B4009" s="5">
        <v>61</v>
      </c>
      <c r="C4009" s="5" t="str" cm="1">
        <f t="array" ref="C4009">_xlfn.IFS(worksheet[[#This Row],[age]]&lt;25,"1. Young Adulthood (18-24)",worksheet[[#This Row],[age]]&lt; 35,"2. Early Adulthood (25-34)",worksheet[[#This Row],[age]]&lt; 45,"3. Mid Adulthood (35-44)",worksheet[[#This Row],[age]]&lt; 55,"4. Mature Adulthood (45-54)",TRUE,"5. Late Adulthood/Senior (55+)")</f>
        <v>5. Late Adulthood/Senior (55+)</v>
      </c>
      <c r="D4009" t="s">
        <v>27</v>
      </c>
      <c r="E4009" t="s">
        <v>32</v>
      </c>
      <c r="F4009" s="4">
        <v>6.27</v>
      </c>
      <c r="G4009" s="5">
        <v>42</v>
      </c>
      <c r="H4009" t="s">
        <v>49</v>
      </c>
      <c r="I4009" t="s">
        <v>18</v>
      </c>
      <c r="J4009" s="6">
        <v>17.989999999999998</v>
      </c>
      <c r="K4009">
        <v>1</v>
      </c>
      <c r="L4009" t="s">
        <v>29</v>
      </c>
      <c r="M4009" s="5">
        <v>1</v>
      </c>
      <c r="N4009" s="4">
        <v>0.15</v>
      </c>
      <c r="O4009" t="s">
        <v>20</v>
      </c>
    </row>
    <row r="4010" spans="1:15" x14ac:dyDescent="0.3">
      <c r="A4010" t="s">
        <v>1757</v>
      </c>
      <c r="B4010" s="5">
        <v>64</v>
      </c>
      <c r="C4010" s="5" t="str" cm="1">
        <f t="array" ref="C4010">_xlfn.IFS(worksheet[[#This Row],[age]]&lt;25,"1. Young Adulthood (18-24)",worksheet[[#This Row],[age]]&lt; 35,"2. Early Adulthood (25-34)",worksheet[[#This Row],[age]]&lt; 45,"3. Mid Adulthood (35-44)",worksheet[[#This Row],[age]]&lt; 55,"4. Mature Adulthood (45-54)",TRUE,"5. Late Adulthood/Senior (55+)")</f>
        <v>5. Late Adulthood/Senior (55+)</v>
      </c>
      <c r="D4010" t="s">
        <v>41</v>
      </c>
      <c r="E4010" t="s">
        <v>16</v>
      </c>
      <c r="F4010" s="4">
        <v>15.97</v>
      </c>
      <c r="G4010" s="5">
        <v>6</v>
      </c>
      <c r="H4010" t="s">
        <v>33</v>
      </c>
      <c r="I4010" t="s">
        <v>24</v>
      </c>
      <c r="J4010" s="6">
        <v>8.99</v>
      </c>
      <c r="K4010">
        <v>0</v>
      </c>
      <c r="L4010" t="s">
        <v>61</v>
      </c>
      <c r="M4010" s="5">
        <v>1</v>
      </c>
      <c r="N4010" s="4">
        <v>2.2799999999999998</v>
      </c>
      <c r="O4010" t="s">
        <v>39</v>
      </c>
    </row>
    <row r="4011" spans="1:15" x14ac:dyDescent="0.3">
      <c r="A4011" t="s">
        <v>1764</v>
      </c>
      <c r="B4011" s="5">
        <v>70</v>
      </c>
      <c r="C4011" s="5" t="str" cm="1">
        <f t="array" ref="C4011">_xlfn.IFS(worksheet[[#This Row],[age]]&lt;25,"1. Young Adulthood (18-24)",worksheet[[#This Row],[age]]&lt; 35,"2. Early Adulthood (25-34)",worksheet[[#This Row],[age]]&lt; 45,"3. Mid Adulthood (35-44)",worksheet[[#This Row],[age]]&lt; 55,"4. Mature Adulthood (45-54)",TRUE,"5. Late Adulthood/Senior (55+)")</f>
        <v>5. Late Adulthood/Senior (55+)</v>
      </c>
      <c r="D4011" t="s">
        <v>27</v>
      </c>
      <c r="E4011" t="s">
        <v>16</v>
      </c>
      <c r="F4011" s="4">
        <v>12.25</v>
      </c>
      <c r="G4011" s="5">
        <v>8</v>
      </c>
      <c r="H4011" t="s">
        <v>17</v>
      </c>
      <c r="I4011" t="s">
        <v>55</v>
      </c>
      <c r="J4011" s="6">
        <v>8.99</v>
      </c>
      <c r="K4011">
        <v>0</v>
      </c>
      <c r="L4011" t="s">
        <v>29</v>
      </c>
      <c r="M4011" s="5">
        <v>3</v>
      </c>
      <c r="N4011" s="4">
        <v>1.36</v>
      </c>
      <c r="O4011" t="s">
        <v>34</v>
      </c>
    </row>
    <row r="4012" spans="1:15" x14ac:dyDescent="0.3">
      <c r="A4012" t="s">
        <v>1767</v>
      </c>
      <c r="B4012" s="5">
        <v>55</v>
      </c>
      <c r="C4012" s="5" t="str" cm="1">
        <f t="array" ref="C4012">_xlfn.IFS(worksheet[[#This Row],[age]]&lt;25,"1. Young Adulthood (18-24)",worksheet[[#This Row],[age]]&lt; 35,"2. Early Adulthood (25-34)",worksheet[[#This Row],[age]]&lt; 45,"3. Mid Adulthood (35-44)",worksheet[[#This Row],[age]]&lt; 55,"4. Mature Adulthood (45-54)",TRUE,"5. Late Adulthood/Senior (55+)")</f>
        <v>5. Late Adulthood/Senior (55+)</v>
      </c>
      <c r="D4012" t="s">
        <v>27</v>
      </c>
      <c r="E4012" t="s">
        <v>22</v>
      </c>
      <c r="F4012" s="4">
        <v>50.26</v>
      </c>
      <c r="G4012" s="5">
        <v>53</v>
      </c>
      <c r="H4012" t="s">
        <v>28</v>
      </c>
      <c r="I4012" t="s">
        <v>57</v>
      </c>
      <c r="J4012" s="6">
        <v>13.99</v>
      </c>
      <c r="K4012">
        <v>0</v>
      </c>
      <c r="L4012" t="s">
        <v>61</v>
      </c>
      <c r="M4012" s="5">
        <v>3</v>
      </c>
      <c r="N4012" s="4">
        <v>0.93</v>
      </c>
      <c r="O4012" t="s">
        <v>47</v>
      </c>
    </row>
    <row r="4013" spans="1:15" x14ac:dyDescent="0.3">
      <c r="A4013" t="s">
        <v>1774</v>
      </c>
      <c r="B4013" s="5">
        <v>62</v>
      </c>
      <c r="C4013" s="5" t="str" cm="1">
        <f t="array" ref="C4013">_xlfn.IFS(worksheet[[#This Row],[age]]&lt;25,"1. Young Adulthood (18-24)",worksheet[[#This Row],[age]]&lt; 35,"2. Early Adulthood (25-34)",worksheet[[#This Row],[age]]&lt; 45,"3. Mid Adulthood (35-44)",worksheet[[#This Row],[age]]&lt; 55,"4. Mature Adulthood (45-54)",TRUE,"5. Late Adulthood/Senior (55+)")</f>
        <v>5. Late Adulthood/Senior (55+)</v>
      </c>
      <c r="D4013" t="s">
        <v>41</v>
      </c>
      <c r="E4013" t="s">
        <v>32</v>
      </c>
      <c r="F4013" s="4">
        <v>5.94</v>
      </c>
      <c r="G4013" s="5">
        <v>16</v>
      </c>
      <c r="H4013" t="s">
        <v>23</v>
      </c>
      <c r="I4013" t="s">
        <v>18</v>
      </c>
      <c r="J4013" s="6">
        <v>17.989999999999998</v>
      </c>
      <c r="K4013">
        <v>0</v>
      </c>
      <c r="L4013" t="s">
        <v>61</v>
      </c>
      <c r="M4013" s="5">
        <v>4</v>
      </c>
      <c r="N4013" s="4">
        <v>0.35</v>
      </c>
      <c r="O4013" t="s">
        <v>52</v>
      </c>
    </row>
    <row r="4014" spans="1:15" x14ac:dyDescent="0.3">
      <c r="A4014" t="s">
        <v>1777</v>
      </c>
      <c r="B4014" s="5">
        <v>57</v>
      </c>
      <c r="C4014" s="5" t="str" cm="1">
        <f t="array" ref="C4014">_xlfn.IFS(worksheet[[#This Row],[age]]&lt;25,"1. Young Adulthood (18-24)",worksheet[[#This Row],[age]]&lt; 35,"2. Early Adulthood (25-34)",worksheet[[#This Row],[age]]&lt; 45,"3. Mid Adulthood (35-44)",worksheet[[#This Row],[age]]&lt; 55,"4. Mature Adulthood (45-54)",TRUE,"5. Late Adulthood/Senior (55+)")</f>
        <v>5. Late Adulthood/Senior (55+)</v>
      </c>
      <c r="D4014" t="s">
        <v>15</v>
      </c>
      <c r="E4014" t="s">
        <v>16</v>
      </c>
      <c r="F4014" s="4">
        <v>21.42</v>
      </c>
      <c r="G4014" s="5">
        <v>51</v>
      </c>
      <c r="H4014" t="s">
        <v>49</v>
      </c>
      <c r="I4014" t="s">
        <v>55</v>
      </c>
      <c r="J4014" s="6">
        <v>8.99</v>
      </c>
      <c r="K4014">
        <v>1</v>
      </c>
      <c r="L4014" t="s">
        <v>19</v>
      </c>
      <c r="M4014" s="5">
        <v>4</v>
      </c>
      <c r="N4014" s="4">
        <v>0.41</v>
      </c>
      <c r="O4014" t="s">
        <v>39</v>
      </c>
    </row>
    <row r="4015" spans="1:15" x14ac:dyDescent="0.3">
      <c r="A4015" t="s">
        <v>1781</v>
      </c>
      <c r="B4015" s="5">
        <v>67</v>
      </c>
      <c r="C4015" s="5" t="str" cm="1">
        <f t="array" ref="C4015">_xlfn.IFS(worksheet[[#This Row],[age]]&lt;25,"1. Young Adulthood (18-24)",worksheet[[#This Row],[age]]&lt; 35,"2. Early Adulthood (25-34)",worksheet[[#This Row],[age]]&lt; 45,"3. Mid Adulthood (35-44)",worksheet[[#This Row],[age]]&lt; 55,"4. Mature Adulthood (45-54)",TRUE,"5. Late Adulthood/Senior (55+)")</f>
        <v>5. Late Adulthood/Senior (55+)</v>
      </c>
      <c r="D4015" t="s">
        <v>27</v>
      </c>
      <c r="E4015" t="s">
        <v>16</v>
      </c>
      <c r="F4015" s="4">
        <v>0.34</v>
      </c>
      <c r="G4015" s="5">
        <v>16</v>
      </c>
      <c r="H4015" t="s">
        <v>23</v>
      </c>
      <c r="I4015" t="s">
        <v>24</v>
      </c>
      <c r="J4015" s="6">
        <v>8.99</v>
      </c>
      <c r="K4015">
        <v>1</v>
      </c>
      <c r="L4015" t="s">
        <v>19</v>
      </c>
      <c r="M4015" s="5">
        <v>4</v>
      </c>
      <c r="N4015" s="4">
        <v>0.02</v>
      </c>
      <c r="O4015" t="s">
        <v>34</v>
      </c>
    </row>
    <row r="4016" spans="1:15" x14ac:dyDescent="0.3">
      <c r="A4016" t="s">
        <v>1783</v>
      </c>
      <c r="B4016" s="5">
        <v>63</v>
      </c>
      <c r="C4016" s="5" t="str" cm="1">
        <f t="array" ref="C4016">_xlfn.IFS(worksheet[[#This Row],[age]]&lt;25,"1. Young Adulthood (18-24)",worksheet[[#This Row],[age]]&lt; 35,"2. Early Adulthood (25-34)",worksheet[[#This Row],[age]]&lt; 45,"3. Mid Adulthood (35-44)",worksheet[[#This Row],[age]]&lt; 55,"4. Mature Adulthood (45-54)",TRUE,"5. Late Adulthood/Senior (55+)")</f>
        <v>5. Late Adulthood/Senior (55+)</v>
      </c>
      <c r="D4016" t="s">
        <v>15</v>
      </c>
      <c r="E4016" t="s">
        <v>32</v>
      </c>
      <c r="F4016" s="4">
        <v>13.82</v>
      </c>
      <c r="G4016" s="5">
        <v>38</v>
      </c>
      <c r="H4016" t="s">
        <v>70</v>
      </c>
      <c r="I4016" t="s">
        <v>55</v>
      </c>
      <c r="J4016" s="6">
        <v>17.989999999999998</v>
      </c>
      <c r="K4016">
        <v>1</v>
      </c>
      <c r="L4016" t="s">
        <v>29</v>
      </c>
      <c r="M4016" s="5">
        <v>2</v>
      </c>
      <c r="N4016" s="4">
        <v>0.35</v>
      </c>
      <c r="O4016" t="s">
        <v>25</v>
      </c>
    </row>
    <row r="4017" spans="1:15" x14ac:dyDescent="0.3">
      <c r="A4017" t="s">
        <v>1792</v>
      </c>
      <c r="B4017" s="5">
        <v>67</v>
      </c>
      <c r="C4017" s="5" t="str" cm="1">
        <f t="array" ref="C4017">_xlfn.IFS(worksheet[[#This Row],[age]]&lt;25,"1. Young Adulthood (18-24)",worksheet[[#This Row],[age]]&lt; 35,"2. Early Adulthood (25-34)",worksheet[[#This Row],[age]]&lt; 45,"3. Mid Adulthood (35-44)",worksheet[[#This Row],[age]]&lt; 55,"4. Mature Adulthood (45-54)",TRUE,"5. Late Adulthood/Senior (55+)")</f>
        <v>5. Late Adulthood/Senior (55+)</v>
      </c>
      <c r="D4017" t="s">
        <v>41</v>
      </c>
      <c r="E4017" t="s">
        <v>22</v>
      </c>
      <c r="F4017" s="4">
        <v>1.71</v>
      </c>
      <c r="G4017" s="5">
        <v>47</v>
      </c>
      <c r="H4017" t="s">
        <v>28</v>
      </c>
      <c r="I4017" t="s">
        <v>57</v>
      </c>
      <c r="J4017" s="6">
        <v>13.99</v>
      </c>
      <c r="K4017">
        <v>1</v>
      </c>
      <c r="L4017" t="s">
        <v>29</v>
      </c>
      <c r="M4017" s="5">
        <v>2</v>
      </c>
      <c r="N4017" s="4">
        <v>0.04</v>
      </c>
      <c r="O4017" t="s">
        <v>39</v>
      </c>
    </row>
    <row r="4018" spans="1:15" x14ac:dyDescent="0.3">
      <c r="A4018" t="s">
        <v>1797</v>
      </c>
      <c r="B4018" s="5">
        <v>63</v>
      </c>
      <c r="C4018" s="5" t="str" cm="1">
        <f t="array" ref="C4018">_xlfn.IFS(worksheet[[#This Row],[age]]&lt;25,"1. Young Adulthood (18-24)",worksheet[[#This Row],[age]]&lt; 35,"2. Early Adulthood (25-34)",worksheet[[#This Row],[age]]&lt; 45,"3. Mid Adulthood (35-44)",worksheet[[#This Row],[age]]&lt; 55,"4. Mature Adulthood (45-54)",TRUE,"5. Late Adulthood/Senior (55+)")</f>
        <v>5. Late Adulthood/Senior (55+)</v>
      </c>
      <c r="D4018" t="s">
        <v>41</v>
      </c>
      <c r="E4018" t="s">
        <v>32</v>
      </c>
      <c r="F4018" s="4">
        <v>13.66</v>
      </c>
      <c r="G4018" s="5">
        <v>4</v>
      </c>
      <c r="H4018" t="s">
        <v>28</v>
      </c>
      <c r="I4018" t="s">
        <v>24</v>
      </c>
      <c r="J4018" s="6">
        <v>17.989999999999998</v>
      </c>
      <c r="K4018">
        <v>0</v>
      </c>
      <c r="L4018" t="s">
        <v>43</v>
      </c>
      <c r="M4018" s="5">
        <v>2</v>
      </c>
      <c r="N4018" s="4">
        <v>2.73</v>
      </c>
      <c r="O4018" t="s">
        <v>25</v>
      </c>
    </row>
    <row r="4019" spans="1:15" x14ac:dyDescent="0.3">
      <c r="A4019" t="s">
        <v>1801</v>
      </c>
      <c r="B4019" s="5">
        <v>56</v>
      </c>
      <c r="C4019" s="5" t="str" cm="1">
        <f t="array" ref="C4019">_xlfn.IFS(worksheet[[#This Row],[age]]&lt;25,"1. Young Adulthood (18-24)",worksheet[[#This Row],[age]]&lt; 35,"2. Early Adulthood (25-34)",worksheet[[#This Row],[age]]&lt; 45,"3. Mid Adulthood (35-44)",worksheet[[#This Row],[age]]&lt; 55,"4. Mature Adulthood (45-54)",TRUE,"5. Late Adulthood/Senior (55+)")</f>
        <v>5. Late Adulthood/Senior (55+)</v>
      </c>
      <c r="D4019" t="s">
        <v>15</v>
      </c>
      <c r="E4019" t="s">
        <v>22</v>
      </c>
      <c r="F4019" s="4">
        <v>11</v>
      </c>
      <c r="G4019" s="5">
        <v>21</v>
      </c>
      <c r="H4019" t="s">
        <v>33</v>
      </c>
      <c r="I4019" t="s">
        <v>18</v>
      </c>
      <c r="J4019" s="6">
        <v>13.99</v>
      </c>
      <c r="K4019">
        <v>0</v>
      </c>
      <c r="L4019" t="s">
        <v>37</v>
      </c>
      <c r="M4019" s="5">
        <v>2</v>
      </c>
      <c r="N4019" s="4">
        <v>0.5</v>
      </c>
      <c r="O4019" t="s">
        <v>30</v>
      </c>
    </row>
    <row r="4020" spans="1:15" x14ac:dyDescent="0.3">
      <c r="A4020" t="s">
        <v>1802</v>
      </c>
      <c r="B4020" s="5">
        <v>65</v>
      </c>
      <c r="C4020" s="5" t="str" cm="1">
        <f t="array" ref="C4020">_xlfn.IFS(worksheet[[#This Row],[age]]&lt;25,"1. Young Adulthood (18-24)",worksheet[[#This Row],[age]]&lt; 35,"2. Early Adulthood (25-34)",worksheet[[#This Row],[age]]&lt; 45,"3. Mid Adulthood (35-44)",worksheet[[#This Row],[age]]&lt; 55,"4. Mature Adulthood (45-54)",TRUE,"5. Late Adulthood/Senior (55+)")</f>
        <v>5. Late Adulthood/Senior (55+)</v>
      </c>
      <c r="D4020" t="s">
        <v>15</v>
      </c>
      <c r="E4020" t="s">
        <v>16</v>
      </c>
      <c r="F4020" s="4">
        <v>4.92</v>
      </c>
      <c r="G4020" s="5">
        <v>44</v>
      </c>
      <c r="H4020" t="s">
        <v>33</v>
      </c>
      <c r="I4020" t="s">
        <v>57</v>
      </c>
      <c r="J4020" s="6">
        <v>8.99</v>
      </c>
      <c r="K4020">
        <v>1</v>
      </c>
      <c r="L4020" t="s">
        <v>29</v>
      </c>
      <c r="M4020" s="5">
        <v>5</v>
      </c>
      <c r="N4020" s="4">
        <v>0.11</v>
      </c>
      <c r="O4020" t="s">
        <v>47</v>
      </c>
    </row>
    <row r="4021" spans="1:15" x14ac:dyDescent="0.3">
      <c r="A4021" t="s">
        <v>1806</v>
      </c>
      <c r="B4021" s="5">
        <v>60</v>
      </c>
      <c r="C4021" s="5" t="str" cm="1">
        <f t="array" ref="C4021">_xlfn.IFS(worksheet[[#This Row],[age]]&lt;25,"1. Young Adulthood (18-24)",worksheet[[#This Row],[age]]&lt; 35,"2. Early Adulthood (25-34)",worksheet[[#This Row],[age]]&lt; 45,"3. Mid Adulthood (35-44)",worksheet[[#This Row],[age]]&lt; 55,"4. Mature Adulthood (45-54)",TRUE,"5. Late Adulthood/Senior (55+)")</f>
        <v>5. Late Adulthood/Senior (55+)</v>
      </c>
      <c r="D4021" t="s">
        <v>41</v>
      </c>
      <c r="E4021" t="s">
        <v>32</v>
      </c>
      <c r="F4021" s="4">
        <v>17.14</v>
      </c>
      <c r="G4021" s="5">
        <v>28</v>
      </c>
      <c r="H4021" t="s">
        <v>33</v>
      </c>
      <c r="I4021" t="s">
        <v>55</v>
      </c>
      <c r="J4021" s="6">
        <v>17.989999999999998</v>
      </c>
      <c r="K4021">
        <v>0</v>
      </c>
      <c r="L4021" t="s">
        <v>19</v>
      </c>
      <c r="M4021" s="5">
        <v>5</v>
      </c>
      <c r="N4021" s="4">
        <v>0.59</v>
      </c>
      <c r="O4021" t="s">
        <v>25</v>
      </c>
    </row>
    <row r="4022" spans="1:15" x14ac:dyDescent="0.3">
      <c r="A4022" t="s">
        <v>1815</v>
      </c>
      <c r="B4022" s="5">
        <v>69</v>
      </c>
      <c r="C4022" s="5" t="str" cm="1">
        <f t="array" ref="C4022">_xlfn.IFS(worksheet[[#This Row],[age]]&lt;25,"1. Young Adulthood (18-24)",worksheet[[#This Row],[age]]&lt; 35,"2. Early Adulthood (25-34)",worksheet[[#This Row],[age]]&lt; 45,"3. Mid Adulthood (35-44)",worksheet[[#This Row],[age]]&lt; 55,"4. Mature Adulthood (45-54)",TRUE,"5. Late Adulthood/Senior (55+)")</f>
        <v>5. Late Adulthood/Senior (55+)</v>
      </c>
      <c r="D4022" t="s">
        <v>15</v>
      </c>
      <c r="E4022" t="s">
        <v>22</v>
      </c>
      <c r="F4022" s="4">
        <v>1.33</v>
      </c>
      <c r="G4022" s="5">
        <v>22</v>
      </c>
      <c r="H4022" t="s">
        <v>17</v>
      </c>
      <c r="I4022" t="s">
        <v>46</v>
      </c>
      <c r="J4022" s="6">
        <v>13.99</v>
      </c>
      <c r="K4022">
        <v>1</v>
      </c>
      <c r="L4022" t="s">
        <v>19</v>
      </c>
      <c r="M4022" s="5">
        <v>3</v>
      </c>
      <c r="N4022" s="4">
        <v>0.06</v>
      </c>
      <c r="O4022" t="s">
        <v>34</v>
      </c>
    </row>
    <row r="4023" spans="1:15" x14ac:dyDescent="0.3">
      <c r="A4023" t="s">
        <v>1816</v>
      </c>
      <c r="B4023" s="5">
        <v>69</v>
      </c>
      <c r="C4023" s="5" t="str" cm="1">
        <f t="array" ref="C4023">_xlfn.IFS(worksheet[[#This Row],[age]]&lt;25,"1. Young Adulthood (18-24)",worksheet[[#This Row],[age]]&lt; 35,"2. Early Adulthood (25-34)",worksheet[[#This Row],[age]]&lt; 45,"3. Mid Adulthood (35-44)",worksheet[[#This Row],[age]]&lt; 55,"4. Mature Adulthood (45-54)",TRUE,"5. Late Adulthood/Senior (55+)")</f>
        <v>5. Late Adulthood/Senior (55+)</v>
      </c>
      <c r="D4023" t="s">
        <v>15</v>
      </c>
      <c r="E4023" t="s">
        <v>22</v>
      </c>
      <c r="F4023" s="4">
        <v>77.650000000000006</v>
      </c>
      <c r="G4023" s="5">
        <v>52</v>
      </c>
      <c r="H4023" t="s">
        <v>33</v>
      </c>
      <c r="I4023" t="s">
        <v>18</v>
      </c>
      <c r="J4023" s="6">
        <v>13.99</v>
      </c>
      <c r="K4023">
        <v>0</v>
      </c>
      <c r="L4023" t="s">
        <v>43</v>
      </c>
      <c r="M4023" s="5">
        <v>2</v>
      </c>
      <c r="N4023" s="4">
        <v>1.47</v>
      </c>
      <c r="O4023" t="s">
        <v>34</v>
      </c>
    </row>
    <row r="4024" spans="1:15" x14ac:dyDescent="0.3">
      <c r="A4024" t="s">
        <v>1817</v>
      </c>
      <c r="B4024" s="5">
        <v>67</v>
      </c>
      <c r="C4024" s="5" t="str" cm="1">
        <f t="array" ref="C4024">_xlfn.IFS(worksheet[[#This Row],[age]]&lt;25,"1. Young Adulthood (18-24)",worksheet[[#This Row],[age]]&lt; 35,"2. Early Adulthood (25-34)",worksheet[[#This Row],[age]]&lt; 45,"3. Mid Adulthood (35-44)",worksheet[[#This Row],[age]]&lt; 55,"4. Mature Adulthood (45-54)",TRUE,"5. Late Adulthood/Senior (55+)")</f>
        <v>5. Late Adulthood/Senior (55+)</v>
      </c>
      <c r="D4024" t="s">
        <v>41</v>
      </c>
      <c r="E4024" t="s">
        <v>22</v>
      </c>
      <c r="F4024" s="4">
        <v>5.35</v>
      </c>
      <c r="G4024" s="5">
        <v>46</v>
      </c>
      <c r="H4024" t="s">
        <v>17</v>
      </c>
      <c r="I4024" t="s">
        <v>18</v>
      </c>
      <c r="J4024" s="6">
        <v>13.99</v>
      </c>
      <c r="K4024">
        <v>1</v>
      </c>
      <c r="L4024" t="s">
        <v>29</v>
      </c>
      <c r="M4024" s="5">
        <v>1</v>
      </c>
      <c r="N4024" s="4">
        <v>0.11</v>
      </c>
      <c r="O4024" t="s">
        <v>25</v>
      </c>
    </row>
    <row r="4025" spans="1:15" x14ac:dyDescent="0.3">
      <c r="A4025" t="s">
        <v>1818</v>
      </c>
      <c r="B4025" s="5">
        <v>66</v>
      </c>
      <c r="C4025" s="5" t="str" cm="1">
        <f t="array" ref="C4025">_xlfn.IFS(worksheet[[#This Row],[age]]&lt;25,"1. Young Adulthood (18-24)",worksheet[[#This Row],[age]]&lt; 35,"2. Early Adulthood (25-34)",worksheet[[#This Row],[age]]&lt; 45,"3. Mid Adulthood (35-44)",worksheet[[#This Row],[age]]&lt; 55,"4. Mature Adulthood (45-54)",TRUE,"5. Late Adulthood/Senior (55+)")</f>
        <v>5. Late Adulthood/Senior (55+)</v>
      </c>
      <c r="D4025" t="s">
        <v>27</v>
      </c>
      <c r="E4025" t="s">
        <v>22</v>
      </c>
      <c r="F4025" s="4">
        <v>21.15</v>
      </c>
      <c r="G4025" s="5">
        <v>51</v>
      </c>
      <c r="H4025" t="s">
        <v>70</v>
      </c>
      <c r="I4025" t="s">
        <v>57</v>
      </c>
      <c r="J4025" s="6">
        <v>13.99</v>
      </c>
      <c r="K4025">
        <v>0</v>
      </c>
      <c r="L4025" t="s">
        <v>43</v>
      </c>
      <c r="M4025" s="5">
        <v>5</v>
      </c>
      <c r="N4025" s="4">
        <v>0.41</v>
      </c>
      <c r="O4025" t="s">
        <v>25</v>
      </c>
    </row>
    <row r="4026" spans="1:15" x14ac:dyDescent="0.3">
      <c r="A4026" t="s">
        <v>1820</v>
      </c>
      <c r="B4026" s="5">
        <v>60</v>
      </c>
      <c r="C4026" s="5" t="str" cm="1">
        <f t="array" ref="C4026">_xlfn.IFS(worksheet[[#This Row],[age]]&lt;25,"1. Young Adulthood (18-24)",worksheet[[#This Row],[age]]&lt; 35,"2. Early Adulthood (25-34)",worksheet[[#This Row],[age]]&lt; 45,"3. Mid Adulthood (35-44)",worksheet[[#This Row],[age]]&lt; 55,"4. Mature Adulthood (45-54)",TRUE,"5. Late Adulthood/Senior (55+)")</f>
        <v>5. Late Adulthood/Senior (55+)</v>
      </c>
      <c r="D4026" t="s">
        <v>15</v>
      </c>
      <c r="E4026" t="s">
        <v>22</v>
      </c>
      <c r="F4026" s="4">
        <v>2.38</v>
      </c>
      <c r="G4026" s="5">
        <v>10</v>
      </c>
      <c r="H4026" t="s">
        <v>28</v>
      </c>
      <c r="I4026" t="s">
        <v>46</v>
      </c>
      <c r="J4026" s="6">
        <v>13.99</v>
      </c>
      <c r="K4026">
        <v>0</v>
      </c>
      <c r="L4026" t="s">
        <v>37</v>
      </c>
      <c r="M4026" s="5">
        <v>5</v>
      </c>
      <c r="N4026" s="4">
        <v>0.22</v>
      </c>
      <c r="O4026" t="s">
        <v>20</v>
      </c>
    </row>
    <row r="4027" spans="1:15" x14ac:dyDescent="0.3">
      <c r="A4027" t="s">
        <v>1821</v>
      </c>
      <c r="B4027" s="5">
        <v>69</v>
      </c>
      <c r="C4027" s="5" t="str" cm="1">
        <f t="array" ref="C4027">_xlfn.IFS(worksheet[[#This Row],[age]]&lt;25,"1. Young Adulthood (18-24)",worksheet[[#This Row],[age]]&lt; 35,"2. Early Adulthood (25-34)",worksheet[[#This Row],[age]]&lt; 45,"3. Mid Adulthood (35-44)",worksheet[[#This Row],[age]]&lt; 55,"4. Mature Adulthood (45-54)",TRUE,"5. Late Adulthood/Senior (55+)")</f>
        <v>5. Late Adulthood/Senior (55+)</v>
      </c>
      <c r="D4027" t="s">
        <v>41</v>
      </c>
      <c r="E4027" t="s">
        <v>22</v>
      </c>
      <c r="F4027" s="4">
        <v>0.36</v>
      </c>
      <c r="G4027" s="5">
        <v>50</v>
      </c>
      <c r="H4027" t="s">
        <v>23</v>
      </c>
      <c r="I4027" t="s">
        <v>55</v>
      </c>
      <c r="J4027" s="6">
        <v>13.99</v>
      </c>
      <c r="K4027">
        <v>1</v>
      </c>
      <c r="L4027" t="s">
        <v>61</v>
      </c>
      <c r="M4027" s="5">
        <v>2</v>
      </c>
      <c r="N4027" s="4">
        <v>0.01</v>
      </c>
      <c r="O4027" t="s">
        <v>52</v>
      </c>
    </row>
    <row r="4028" spans="1:15" x14ac:dyDescent="0.3">
      <c r="A4028" t="s">
        <v>1822</v>
      </c>
      <c r="B4028" s="5">
        <v>65</v>
      </c>
      <c r="C4028" s="5" t="str" cm="1">
        <f t="array" ref="C4028">_xlfn.IFS(worksheet[[#This Row],[age]]&lt;25,"1. Young Adulthood (18-24)",worksheet[[#This Row],[age]]&lt; 35,"2. Early Adulthood (25-34)",worksheet[[#This Row],[age]]&lt; 45,"3. Mid Adulthood (35-44)",worksheet[[#This Row],[age]]&lt; 55,"4. Mature Adulthood (45-54)",TRUE,"5. Late Adulthood/Senior (55+)")</f>
        <v>5. Late Adulthood/Senior (55+)</v>
      </c>
      <c r="D4028" t="s">
        <v>27</v>
      </c>
      <c r="E4028" t="s">
        <v>22</v>
      </c>
      <c r="F4028" s="4">
        <v>7.4</v>
      </c>
      <c r="G4028" s="5">
        <v>34</v>
      </c>
      <c r="H4028" t="s">
        <v>49</v>
      </c>
      <c r="I4028" t="s">
        <v>18</v>
      </c>
      <c r="J4028" s="6">
        <v>13.99</v>
      </c>
      <c r="K4028">
        <v>1</v>
      </c>
      <c r="L4028" t="s">
        <v>29</v>
      </c>
      <c r="M4028" s="5">
        <v>3</v>
      </c>
      <c r="N4028" s="4">
        <v>0.21</v>
      </c>
      <c r="O4028" t="s">
        <v>25</v>
      </c>
    </row>
    <row r="4029" spans="1:15" x14ac:dyDescent="0.3">
      <c r="A4029" t="s">
        <v>1826</v>
      </c>
      <c r="B4029" s="5">
        <v>63</v>
      </c>
      <c r="C4029" s="5" t="str" cm="1">
        <f t="array" ref="C4029">_xlfn.IFS(worksheet[[#This Row],[age]]&lt;25,"1. Young Adulthood (18-24)",worksheet[[#This Row],[age]]&lt; 35,"2. Early Adulthood (25-34)",worksheet[[#This Row],[age]]&lt; 45,"3. Mid Adulthood (35-44)",worksheet[[#This Row],[age]]&lt; 55,"4. Mature Adulthood (45-54)",TRUE,"5. Late Adulthood/Senior (55+)")</f>
        <v>5. Late Adulthood/Senior (55+)</v>
      </c>
      <c r="D4029" t="s">
        <v>41</v>
      </c>
      <c r="E4029" t="s">
        <v>16</v>
      </c>
      <c r="F4029" s="4">
        <v>4.09</v>
      </c>
      <c r="G4029" s="5">
        <v>55</v>
      </c>
      <c r="H4029" t="s">
        <v>49</v>
      </c>
      <c r="I4029" t="s">
        <v>55</v>
      </c>
      <c r="J4029" s="6">
        <v>8.99</v>
      </c>
      <c r="K4029">
        <v>1</v>
      </c>
      <c r="L4029" t="s">
        <v>61</v>
      </c>
      <c r="M4029" s="5">
        <v>1</v>
      </c>
      <c r="N4029" s="4">
        <v>7.0000000000000007E-2</v>
      </c>
      <c r="O4029" t="s">
        <v>39</v>
      </c>
    </row>
    <row r="4030" spans="1:15" x14ac:dyDescent="0.3">
      <c r="A4030" t="s">
        <v>1829</v>
      </c>
      <c r="B4030" s="5">
        <v>55</v>
      </c>
      <c r="C4030" s="5" t="str" cm="1">
        <f t="array" ref="C4030">_xlfn.IFS(worksheet[[#This Row],[age]]&lt;25,"1. Young Adulthood (18-24)",worksheet[[#This Row],[age]]&lt; 35,"2. Early Adulthood (25-34)",worksheet[[#This Row],[age]]&lt; 45,"3. Mid Adulthood (35-44)",worksheet[[#This Row],[age]]&lt; 55,"4. Mature Adulthood (45-54)",TRUE,"5. Late Adulthood/Senior (55+)")</f>
        <v>5. Late Adulthood/Senior (55+)</v>
      </c>
      <c r="D4030" t="s">
        <v>27</v>
      </c>
      <c r="E4030" t="s">
        <v>32</v>
      </c>
      <c r="F4030" s="4">
        <v>14.29</v>
      </c>
      <c r="G4030" s="5">
        <v>30</v>
      </c>
      <c r="H4030" t="s">
        <v>49</v>
      </c>
      <c r="I4030" t="s">
        <v>46</v>
      </c>
      <c r="J4030" s="6">
        <v>17.989999999999998</v>
      </c>
      <c r="K4030">
        <v>0</v>
      </c>
      <c r="L4030" t="s">
        <v>29</v>
      </c>
      <c r="M4030" s="5">
        <v>5</v>
      </c>
      <c r="N4030" s="4">
        <v>0.46</v>
      </c>
      <c r="O4030" t="s">
        <v>20</v>
      </c>
    </row>
    <row r="4031" spans="1:15" x14ac:dyDescent="0.3">
      <c r="A4031" t="s">
        <v>1838</v>
      </c>
      <c r="B4031" s="5">
        <v>65</v>
      </c>
      <c r="C4031" s="5" t="str" cm="1">
        <f t="array" ref="C4031">_xlfn.IFS(worksheet[[#This Row],[age]]&lt;25,"1. Young Adulthood (18-24)",worksheet[[#This Row],[age]]&lt; 35,"2. Early Adulthood (25-34)",worksheet[[#This Row],[age]]&lt; 45,"3. Mid Adulthood (35-44)",worksheet[[#This Row],[age]]&lt; 55,"4. Mature Adulthood (45-54)",TRUE,"5. Late Adulthood/Senior (55+)")</f>
        <v>5. Late Adulthood/Senior (55+)</v>
      </c>
      <c r="D4031" t="s">
        <v>15</v>
      </c>
      <c r="E4031" t="s">
        <v>16</v>
      </c>
      <c r="F4031" s="4">
        <v>25.81</v>
      </c>
      <c r="G4031" s="5">
        <v>41</v>
      </c>
      <c r="H4031" t="s">
        <v>17</v>
      </c>
      <c r="I4031" t="s">
        <v>18</v>
      </c>
      <c r="J4031" s="6">
        <v>8.99</v>
      </c>
      <c r="K4031">
        <v>0</v>
      </c>
      <c r="L4031" t="s">
        <v>61</v>
      </c>
      <c r="M4031" s="5">
        <v>1</v>
      </c>
      <c r="N4031" s="4">
        <v>0.61</v>
      </c>
      <c r="O4031" t="s">
        <v>25</v>
      </c>
    </row>
    <row r="4032" spans="1:15" x14ac:dyDescent="0.3">
      <c r="A4032" t="s">
        <v>1847</v>
      </c>
      <c r="B4032" s="5">
        <v>65</v>
      </c>
      <c r="C4032" s="5" t="str" cm="1">
        <f t="array" ref="C4032">_xlfn.IFS(worksheet[[#This Row],[age]]&lt;25,"1. Young Adulthood (18-24)",worksheet[[#This Row],[age]]&lt; 35,"2. Early Adulthood (25-34)",worksheet[[#This Row],[age]]&lt; 45,"3. Mid Adulthood (35-44)",worksheet[[#This Row],[age]]&lt; 55,"4. Mature Adulthood (45-54)",TRUE,"5. Late Adulthood/Senior (55+)")</f>
        <v>5. Late Adulthood/Senior (55+)</v>
      </c>
      <c r="D4032" t="s">
        <v>27</v>
      </c>
      <c r="E4032" t="s">
        <v>16</v>
      </c>
      <c r="F4032" s="4">
        <v>10.94</v>
      </c>
      <c r="G4032" s="5">
        <v>18</v>
      </c>
      <c r="H4032" t="s">
        <v>28</v>
      </c>
      <c r="I4032" t="s">
        <v>46</v>
      </c>
      <c r="J4032" s="6">
        <v>8.99</v>
      </c>
      <c r="K4032">
        <v>0</v>
      </c>
      <c r="L4032" t="s">
        <v>29</v>
      </c>
      <c r="M4032" s="5">
        <v>3</v>
      </c>
      <c r="N4032" s="4">
        <v>0.57999999999999996</v>
      </c>
      <c r="O4032" t="s">
        <v>25</v>
      </c>
    </row>
    <row r="4033" spans="1:15" x14ac:dyDescent="0.3">
      <c r="A4033" t="s">
        <v>1848</v>
      </c>
      <c r="B4033" s="5">
        <v>61</v>
      </c>
      <c r="C4033" s="5" t="str" cm="1">
        <f t="array" ref="C4033">_xlfn.IFS(worksheet[[#This Row],[age]]&lt;25,"1. Young Adulthood (18-24)",worksheet[[#This Row],[age]]&lt; 35,"2. Early Adulthood (25-34)",worksheet[[#This Row],[age]]&lt; 45,"3. Mid Adulthood (35-44)",worksheet[[#This Row],[age]]&lt; 55,"4. Mature Adulthood (45-54)",TRUE,"5. Late Adulthood/Senior (55+)")</f>
        <v>5. Late Adulthood/Senior (55+)</v>
      </c>
      <c r="D4033" t="s">
        <v>15</v>
      </c>
      <c r="E4033" t="s">
        <v>32</v>
      </c>
      <c r="F4033" s="4">
        <v>24.63</v>
      </c>
      <c r="G4033" s="5">
        <v>19</v>
      </c>
      <c r="H4033" t="s">
        <v>17</v>
      </c>
      <c r="I4033" t="s">
        <v>57</v>
      </c>
      <c r="J4033" s="6">
        <v>17.989999999999998</v>
      </c>
      <c r="K4033">
        <v>0</v>
      </c>
      <c r="L4033" t="s">
        <v>29</v>
      </c>
      <c r="M4033" s="5">
        <v>1</v>
      </c>
      <c r="N4033" s="4">
        <v>1.23</v>
      </c>
      <c r="O4033" t="s">
        <v>30</v>
      </c>
    </row>
    <row r="4034" spans="1:15" x14ac:dyDescent="0.3">
      <c r="A4034" t="s">
        <v>1849</v>
      </c>
      <c r="B4034" s="5">
        <v>57</v>
      </c>
      <c r="C4034" s="5" t="str" cm="1">
        <f t="array" ref="C4034">_xlfn.IFS(worksheet[[#This Row],[age]]&lt;25,"1. Young Adulthood (18-24)",worksheet[[#This Row],[age]]&lt; 35,"2. Early Adulthood (25-34)",worksheet[[#This Row],[age]]&lt; 45,"3. Mid Adulthood (35-44)",worksheet[[#This Row],[age]]&lt; 55,"4. Mature Adulthood (45-54)",TRUE,"5. Late Adulthood/Senior (55+)")</f>
        <v>5. Late Adulthood/Senior (55+)</v>
      </c>
      <c r="D4034" t="s">
        <v>15</v>
      </c>
      <c r="E4034" t="s">
        <v>22</v>
      </c>
      <c r="F4034" s="4">
        <v>45.93</v>
      </c>
      <c r="G4034" s="5">
        <v>53</v>
      </c>
      <c r="H4034" t="s">
        <v>70</v>
      </c>
      <c r="I4034" t="s">
        <v>55</v>
      </c>
      <c r="J4034" s="6">
        <v>13.99</v>
      </c>
      <c r="K4034">
        <v>0</v>
      </c>
      <c r="L4034" t="s">
        <v>61</v>
      </c>
      <c r="M4034" s="5">
        <v>2</v>
      </c>
      <c r="N4034" s="4">
        <v>0.85</v>
      </c>
      <c r="O4034" t="s">
        <v>30</v>
      </c>
    </row>
    <row r="4035" spans="1:15" x14ac:dyDescent="0.3">
      <c r="A4035" t="s">
        <v>1857</v>
      </c>
      <c r="B4035" s="5">
        <v>56</v>
      </c>
      <c r="C4035" s="5" t="str" cm="1">
        <f t="array" ref="C4035">_xlfn.IFS(worksheet[[#This Row],[age]]&lt;25,"1. Young Adulthood (18-24)",worksheet[[#This Row],[age]]&lt; 35,"2. Early Adulthood (25-34)",worksheet[[#This Row],[age]]&lt; 45,"3. Mid Adulthood (35-44)",worksheet[[#This Row],[age]]&lt; 55,"4. Mature Adulthood (45-54)",TRUE,"5. Late Adulthood/Senior (55+)")</f>
        <v>5. Late Adulthood/Senior (55+)</v>
      </c>
      <c r="D4035" t="s">
        <v>15</v>
      </c>
      <c r="E4035" t="s">
        <v>16</v>
      </c>
      <c r="F4035" s="4">
        <v>1.62</v>
      </c>
      <c r="G4035" s="5">
        <v>8</v>
      </c>
      <c r="H4035" t="s">
        <v>33</v>
      </c>
      <c r="I4035" t="s">
        <v>57</v>
      </c>
      <c r="J4035" s="6">
        <v>8.99</v>
      </c>
      <c r="K4035">
        <v>1</v>
      </c>
      <c r="L4035" t="s">
        <v>61</v>
      </c>
      <c r="M4035" s="5">
        <v>1</v>
      </c>
      <c r="N4035" s="4">
        <v>0.18</v>
      </c>
      <c r="O4035" t="s">
        <v>25</v>
      </c>
    </row>
    <row r="4036" spans="1:15" x14ac:dyDescent="0.3">
      <c r="A4036" t="s">
        <v>1861</v>
      </c>
      <c r="B4036" s="5">
        <v>68</v>
      </c>
      <c r="C4036" s="5" t="str" cm="1">
        <f t="array" ref="C4036">_xlfn.IFS(worksheet[[#This Row],[age]]&lt;25,"1. Young Adulthood (18-24)",worksheet[[#This Row],[age]]&lt; 35,"2. Early Adulthood (25-34)",worksheet[[#This Row],[age]]&lt; 45,"3. Mid Adulthood (35-44)",worksheet[[#This Row],[age]]&lt; 55,"4. Mature Adulthood (45-54)",TRUE,"5. Late Adulthood/Senior (55+)")</f>
        <v>5. Late Adulthood/Senior (55+)</v>
      </c>
      <c r="D4036" t="s">
        <v>41</v>
      </c>
      <c r="E4036" t="s">
        <v>32</v>
      </c>
      <c r="F4036" s="4">
        <v>18.66</v>
      </c>
      <c r="G4036" s="5">
        <v>57</v>
      </c>
      <c r="H4036" t="s">
        <v>17</v>
      </c>
      <c r="I4036" t="s">
        <v>55</v>
      </c>
      <c r="J4036" s="6">
        <v>17.989999999999998</v>
      </c>
      <c r="K4036">
        <v>1</v>
      </c>
      <c r="L4036" t="s">
        <v>61</v>
      </c>
      <c r="M4036" s="5">
        <v>1</v>
      </c>
      <c r="N4036" s="4">
        <v>0.32</v>
      </c>
      <c r="O4036" t="s">
        <v>30</v>
      </c>
    </row>
    <row r="4037" spans="1:15" x14ac:dyDescent="0.3">
      <c r="A4037" t="s">
        <v>1868</v>
      </c>
      <c r="B4037" s="5">
        <v>63</v>
      </c>
      <c r="C4037" s="5" t="str" cm="1">
        <f t="array" ref="C4037">_xlfn.IFS(worksheet[[#This Row],[age]]&lt;25,"1. Young Adulthood (18-24)",worksheet[[#This Row],[age]]&lt; 35,"2. Early Adulthood (25-34)",worksheet[[#This Row],[age]]&lt; 45,"3. Mid Adulthood (35-44)",worksheet[[#This Row],[age]]&lt; 55,"4. Mature Adulthood (45-54)",TRUE,"5. Late Adulthood/Senior (55+)")</f>
        <v>5. Late Adulthood/Senior (55+)</v>
      </c>
      <c r="D4037" t="s">
        <v>15</v>
      </c>
      <c r="E4037" t="s">
        <v>32</v>
      </c>
      <c r="F4037" s="4">
        <v>16.38</v>
      </c>
      <c r="G4037" s="5">
        <v>27</v>
      </c>
      <c r="H4037" t="s">
        <v>49</v>
      </c>
      <c r="I4037" t="s">
        <v>24</v>
      </c>
      <c r="J4037" s="6">
        <v>17.989999999999998</v>
      </c>
      <c r="K4037">
        <v>0</v>
      </c>
      <c r="L4037" t="s">
        <v>43</v>
      </c>
      <c r="M4037" s="5">
        <v>3</v>
      </c>
      <c r="N4037" s="4">
        <v>0.57999999999999996</v>
      </c>
      <c r="O4037" t="s">
        <v>52</v>
      </c>
    </row>
    <row r="4038" spans="1:15" x14ac:dyDescent="0.3">
      <c r="A4038" t="s">
        <v>1870</v>
      </c>
      <c r="B4038" s="5">
        <v>55</v>
      </c>
      <c r="C4038" s="5" t="str" cm="1">
        <f t="array" ref="C4038">_xlfn.IFS(worksheet[[#This Row],[age]]&lt;25,"1. Young Adulthood (18-24)",worksheet[[#This Row],[age]]&lt; 35,"2. Early Adulthood (25-34)",worksheet[[#This Row],[age]]&lt; 45,"3. Mid Adulthood (35-44)",worksheet[[#This Row],[age]]&lt; 55,"4. Mature Adulthood (45-54)",TRUE,"5. Late Adulthood/Senior (55+)")</f>
        <v>5. Late Adulthood/Senior (55+)</v>
      </c>
      <c r="D4038" t="s">
        <v>27</v>
      </c>
      <c r="E4038" t="s">
        <v>22</v>
      </c>
      <c r="F4038" s="4">
        <v>13.62</v>
      </c>
      <c r="G4038" s="5">
        <v>47</v>
      </c>
      <c r="H4038" t="s">
        <v>28</v>
      </c>
      <c r="I4038" t="s">
        <v>46</v>
      </c>
      <c r="J4038" s="6">
        <v>13.99</v>
      </c>
      <c r="K4038">
        <v>1</v>
      </c>
      <c r="L4038" t="s">
        <v>29</v>
      </c>
      <c r="M4038" s="5">
        <v>4</v>
      </c>
      <c r="N4038" s="4">
        <v>0.28000000000000003</v>
      </c>
      <c r="O4038" t="s">
        <v>39</v>
      </c>
    </row>
    <row r="4039" spans="1:15" x14ac:dyDescent="0.3">
      <c r="A4039" t="s">
        <v>1871</v>
      </c>
      <c r="B4039" s="5">
        <v>62</v>
      </c>
      <c r="C4039" s="5" t="str" cm="1">
        <f t="array" ref="C4039">_xlfn.IFS(worksheet[[#This Row],[age]]&lt;25,"1. Young Adulthood (18-24)",worksheet[[#This Row],[age]]&lt; 35,"2. Early Adulthood (25-34)",worksheet[[#This Row],[age]]&lt; 45,"3. Mid Adulthood (35-44)",worksheet[[#This Row],[age]]&lt; 55,"4. Mature Adulthood (45-54)",TRUE,"5. Late Adulthood/Senior (55+)")</f>
        <v>5. Late Adulthood/Senior (55+)</v>
      </c>
      <c r="D4039" t="s">
        <v>15</v>
      </c>
      <c r="E4039" t="s">
        <v>16</v>
      </c>
      <c r="F4039" s="4">
        <v>4.1399999999999997</v>
      </c>
      <c r="G4039" s="5">
        <v>38</v>
      </c>
      <c r="H4039" t="s">
        <v>70</v>
      </c>
      <c r="I4039" t="s">
        <v>24</v>
      </c>
      <c r="J4039" s="6">
        <v>8.99</v>
      </c>
      <c r="K4039">
        <v>1</v>
      </c>
      <c r="L4039" t="s">
        <v>43</v>
      </c>
      <c r="M4039" s="5">
        <v>1</v>
      </c>
      <c r="N4039" s="4">
        <v>0.11</v>
      </c>
      <c r="O4039" t="s">
        <v>47</v>
      </c>
    </row>
    <row r="4040" spans="1:15" x14ac:dyDescent="0.3">
      <c r="A4040" t="s">
        <v>1873</v>
      </c>
      <c r="B4040" s="5">
        <v>60</v>
      </c>
      <c r="C4040" s="5" t="str" cm="1">
        <f t="array" ref="C4040">_xlfn.IFS(worksheet[[#This Row],[age]]&lt;25,"1. Young Adulthood (18-24)",worksheet[[#This Row],[age]]&lt; 35,"2. Early Adulthood (25-34)",worksheet[[#This Row],[age]]&lt; 45,"3. Mid Adulthood (35-44)",worksheet[[#This Row],[age]]&lt; 55,"4. Mature Adulthood (45-54)",TRUE,"5. Late Adulthood/Senior (55+)")</f>
        <v>5. Late Adulthood/Senior (55+)</v>
      </c>
      <c r="D4040" t="s">
        <v>41</v>
      </c>
      <c r="E4040" t="s">
        <v>22</v>
      </c>
      <c r="F4040" s="4">
        <v>8.17</v>
      </c>
      <c r="G4040" s="5">
        <v>12</v>
      </c>
      <c r="H4040" t="s">
        <v>17</v>
      </c>
      <c r="I4040" t="s">
        <v>57</v>
      </c>
      <c r="J4040" s="6">
        <v>13.99</v>
      </c>
      <c r="K4040">
        <v>0</v>
      </c>
      <c r="L4040" t="s">
        <v>61</v>
      </c>
      <c r="M4040" s="5">
        <v>3</v>
      </c>
      <c r="N4040" s="4">
        <v>0.63</v>
      </c>
      <c r="O4040" t="s">
        <v>39</v>
      </c>
    </row>
    <row r="4041" spans="1:15" x14ac:dyDescent="0.3">
      <c r="A4041" t="s">
        <v>1877</v>
      </c>
      <c r="B4041" s="5">
        <v>69</v>
      </c>
      <c r="C4041" s="5" t="str" cm="1">
        <f t="array" ref="C4041">_xlfn.IFS(worksheet[[#This Row],[age]]&lt;25,"1. Young Adulthood (18-24)",worksheet[[#This Row],[age]]&lt; 35,"2. Early Adulthood (25-34)",worksheet[[#This Row],[age]]&lt; 45,"3. Mid Adulthood (35-44)",worksheet[[#This Row],[age]]&lt; 55,"4. Mature Adulthood (45-54)",TRUE,"5. Late Adulthood/Senior (55+)")</f>
        <v>5. Late Adulthood/Senior (55+)</v>
      </c>
      <c r="D4041" t="s">
        <v>15</v>
      </c>
      <c r="E4041" t="s">
        <v>16</v>
      </c>
      <c r="F4041" s="4">
        <v>1.9</v>
      </c>
      <c r="G4041" s="5">
        <v>7</v>
      </c>
      <c r="H4041" t="s">
        <v>23</v>
      </c>
      <c r="I4041" t="s">
        <v>55</v>
      </c>
      <c r="J4041" s="6">
        <v>8.99</v>
      </c>
      <c r="K4041">
        <v>1</v>
      </c>
      <c r="L4041" t="s">
        <v>61</v>
      </c>
      <c r="M4041" s="5">
        <v>5</v>
      </c>
      <c r="N4041" s="4">
        <v>0.24</v>
      </c>
      <c r="O4041" t="s">
        <v>52</v>
      </c>
    </row>
    <row r="4042" spans="1:15" x14ac:dyDescent="0.3">
      <c r="A4042" t="s">
        <v>1879</v>
      </c>
      <c r="B4042" s="5">
        <v>60</v>
      </c>
      <c r="C4042" s="5" t="str" cm="1">
        <f t="array" ref="C4042">_xlfn.IFS(worksheet[[#This Row],[age]]&lt;25,"1. Young Adulthood (18-24)",worksheet[[#This Row],[age]]&lt; 35,"2. Early Adulthood (25-34)",worksheet[[#This Row],[age]]&lt; 45,"3. Mid Adulthood (35-44)",worksheet[[#This Row],[age]]&lt; 55,"4. Mature Adulthood (45-54)",TRUE,"5. Late Adulthood/Senior (55+)")</f>
        <v>5. Late Adulthood/Senior (55+)</v>
      </c>
      <c r="D4042" t="s">
        <v>41</v>
      </c>
      <c r="E4042" t="s">
        <v>16</v>
      </c>
      <c r="F4042" s="4">
        <v>3.09</v>
      </c>
      <c r="G4042" s="5">
        <v>35</v>
      </c>
      <c r="H4042" t="s">
        <v>49</v>
      </c>
      <c r="I4042" t="s">
        <v>57</v>
      </c>
      <c r="J4042" s="6">
        <v>8.99</v>
      </c>
      <c r="K4042">
        <v>1</v>
      </c>
      <c r="L4042" t="s">
        <v>19</v>
      </c>
      <c r="M4042" s="5">
        <v>2</v>
      </c>
      <c r="N4042" s="4">
        <v>0.09</v>
      </c>
      <c r="O4042" t="s">
        <v>39</v>
      </c>
    </row>
    <row r="4043" spans="1:15" x14ac:dyDescent="0.3">
      <c r="A4043" t="s">
        <v>1881</v>
      </c>
      <c r="B4043" s="5">
        <v>58</v>
      </c>
      <c r="C4043" s="5" t="str" cm="1">
        <f t="array" ref="C4043">_xlfn.IFS(worksheet[[#This Row],[age]]&lt;25,"1. Young Adulthood (18-24)",worksheet[[#This Row],[age]]&lt; 35,"2. Early Adulthood (25-34)",worksheet[[#This Row],[age]]&lt; 45,"3. Mid Adulthood (35-44)",worksheet[[#This Row],[age]]&lt; 55,"4. Mature Adulthood (45-54)",TRUE,"5. Late Adulthood/Senior (55+)")</f>
        <v>5. Late Adulthood/Senior (55+)</v>
      </c>
      <c r="D4043" t="s">
        <v>27</v>
      </c>
      <c r="E4043" t="s">
        <v>22</v>
      </c>
      <c r="F4043" s="4">
        <v>17.899999999999999</v>
      </c>
      <c r="G4043" s="5">
        <v>52</v>
      </c>
      <c r="H4043" t="s">
        <v>33</v>
      </c>
      <c r="I4043" t="s">
        <v>55</v>
      </c>
      <c r="J4043" s="6">
        <v>13.99</v>
      </c>
      <c r="K4043">
        <v>1</v>
      </c>
      <c r="L4043" t="s">
        <v>29</v>
      </c>
      <c r="M4043" s="5">
        <v>4</v>
      </c>
      <c r="N4043" s="4">
        <v>0.34</v>
      </c>
      <c r="O4043" t="s">
        <v>52</v>
      </c>
    </row>
    <row r="4044" spans="1:15" x14ac:dyDescent="0.3">
      <c r="A4044" t="s">
        <v>1883</v>
      </c>
      <c r="B4044" s="5">
        <v>61</v>
      </c>
      <c r="C4044" s="5" t="str" cm="1">
        <f t="array" ref="C4044">_xlfn.IFS(worksheet[[#This Row],[age]]&lt;25,"1. Young Adulthood (18-24)",worksheet[[#This Row],[age]]&lt; 35,"2. Early Adulthood (25-34)",worksheet[[#This Row],[age]]&lt; 45,"3. Mid Adulthood (35-44)",worksheet[[#This Row],[age]]&lt; 55,"4. Mature Adulthood (45-54)",TRUE,"5. Late Adulthood/Senior (55+)")</f>
        <v>5. Late Adulthood/Senior (55+)</v>
      </c>
      <c r="D4044" t="s">
        <v>41</v>
      </c>
      <c r="E4044" t="s">
        <v>22</v>
      </c>
      <c r="F4044" s="4">
        <v>7.28</v>
      </c>
      <c r="G4044" s="5">
        <v>11</v>
      </c>
      <c r="H4044" t="s">
        <v>70</v>
      </c>
      <c r="I4044" t="s">
        <v>46</v>
      </c>
      <c r="J4044" s="6">
        <v>13.99</v>
      </c>
      <c r="K4044">
        <v>0</v>
      </c>
      <c r="L4044" t="s">
        <v>43</v>
      </c>
      <c r="M4044" s="5">
        <v>2</v>
      </c>
      <c r="N4044" s="4">
        <v>0.61</v>
      </c>
      <c r="O4044" t="s">
        <v>39</v>
      </c>
    </row>
    <row r="4045" spans="1:15" x14ac:dyDescent="0.3">
      <c r="A4045" t="s">
        <v>1884</v>
      </c>
      <c r="B4045" s="5">
        <v>68</v>
      </c>
      <c r="C4045" s="5" t="str" cm="1">
        <f t="array" ref="C4045">_xlfn.IFS(worksheet[[#This Row],[age]]&lt;25,"1. Young Adulthood (18-24)",worksheet[[#This Row],[age]]&lt; 35,"2. Early Adulthood (25-34)",worksheet[[#This Row],[age]]&lt; 45,"3. Mid Adulthood (35-44)",worksheet[[#This Row],[age]]&lt; 55,"4. Mature Adulthood (45-54)",TRUE,"5. Late Adulthood/Senior (55+)")</f>
        <v>5. Late Adulthood/Senior (55+)</v>
      </c>
      <c r="D4045" t="s">
        <v>15</v>
      </c>
      <c r="E4045" t="s">
        <v>32</v>
      </c>
      <c r="F4045" s="4">
        <v>7.65</v>
      </c>
      <c r="G4045" s="5">
        <v>50</v>
      </c>
      <c r="H4045" t="s">
        <v>70</v>
      </c>
      <c r="I4045" t="s">
        <v>24</v>
      </c>
      <c r="J4045" s="6">
        <v>17.989999999999998</v>
      </c>
      <c r="K4045">
        <v>0</v>
      </c>
      <c r="L4045" t="s">
        <v>61</v>
      </c>
      <c r="M4045" s="5">
        <v>4</v>
      </c>
      <c r="N4045" s="4">
        <v>0.15</v>
      </c>
      <c r="O4045" t="s">
        <v>30</v>
      </c>
    </row>
    <row r="4046" spans="1:15" x14ac:dyDescent="0.3">
      <c r="A4046" t="s">
        <v>1888</v>
      </c>
      <c r="B4046" s="5">
        <v>63</v>
      </c>
      <c r="C4046" s="5" t="str" cm="1">
        <f t="array" ref="C4046">_xlfn.IFS(worksheet[[#This Row],[age]]&lt;25,"1. Young Adulthood (18-24)",worksheet[[#This Row],[age]]&lt; 35,"2. Early Adulthood (25-34)",worksheet[[#This Row],[age]]&lt; 45,"3. Mid Adulthood (35-44)",worksheet[[#This Row],[age]]&lt; 55,"4. Mature Adulthood (45-54)",TRUE,"5. Late Adulthood/Senior (55+)")</f>
        <v>5. Late Adulthood/Senior (55+)</v>
      </c>
      <c r="D4046" t="s">
        <v>27</v>
      </c>
      <c r="E4046" t="s">
        <v>22</v>
      </c>
      <c r="F4046" s="4">
        <v>9.75</v>
      </c>
      <c r="G4046" s="5">
        <v>21</v>
      </c>
      <c r="H4046" t="s">
        <v>17</v>
      </c>
      <c r="I4046" t="s">
        <v>57</v>
      </c>
      <c r="J4046" s="6">
        <v>13.99</v>
      </c>
      <c r="K4046">
        <v>0</v>
      </c>
      <c r="L4046" t="s">
        <v>37</v>
      </c>
      <c r="M4046" s="5">
        <v>1</v>
      </c>
      <c r="N4046" s="4">
        <v>0.44</v>
      </c>
      <c r="O4046" t="s">
        <v>34</v>
      </c>
    </row>
    <row r="4047" spans="1:15" x14ac:dyDescent="0.3">
      <c r="A4047" t="s">
        <v>1891</v>
      </c>
      <c r="B4047" s="5">
        <v>70</v>
      </c>
      <c r="C4047" s="5" t="str" cm="1">
        <f t="array" ref="C4047">_xlfn.IFS(worksheet[[#This Row],[age]]&lt;25,"1. Young Adulthood (18-24)",worksheet[[#This Row],[age]]&lt; 35,"2. Early Adulthood (25-34)",worksheet[[#This Row],[age]]&lt; 45,"3. Mid Adulthood (35-44)",worksheet[[#This Row],[age]]&lt; 55,"4. Mature Adulthood (45-54)",TRUE,"5. Late Adulthood/Senior (55+)")</f>
        <v>5. Late Adulthood/Senior (55+)</v>
      </c>
      <c r="D4047" t="s">
        <v>27</v>
      </c>
      <c r="E4047" t="s">
        <v>22</v>
      </c>
      <c r="F4047" s="4">
        <v>2.21</v>
      </c>
      <c r="G4047" s="5">
        <v>56</v>
      </c>
      <c r="H4047" t="s">
        <v>23</v>
      </c>
      <c r="I4047" t="s">
        <v>57</v>
      </c>
      <c r="J4047" s="6">
        <v>13.99</v>
      </c>
      <c r="K4047">
        <v>1</v>
      </c>
      <c r="L4047" t="s">
        <v>19</v>
      </c>
      <c r="M4047" s="5">
        <v>5</v>
      </c>
      <c r="N4047" s="4">
        <v>0.04</v>
      </c>
      <c r="O4047" t="s">
        <v>52</v>
      </c>
    </row>
    <row r="4048" spans="1:15" x14ac:dyDescent="0.3">
      <c r="A4048" t="s">
        <v>1895</v>
      </c>
      <c r="B4048" s="5">
        <v>59</v>
      </c>
      <c r="C4048" s="5" t="str" cm="1">
        <f t="array" ref="C4048">_xlfn.IFS(worksheet[[#This Row],[age]]&lt;25,"1. Young Adulthood (18-24)",worksheet[[#This Row],[age]]&lt; 35,"2. Early Adulthood (25-34)",worksheet[[#This Row],[age]]&lt; 45,"3. Mid Adulthood (35-44)",worksheet[[#This Row],[age]]&lt; 55,"4. Mature Adulthood (45-54)",TRUE,"5. Late Adulthood/Senior (55+)")</f>
        <v>5. Late Adulthood/Senior (55+)</v>
      </c>
      <c r="D4048" t="s">
        <v>41</v>
      </c>
      <c r="E4048" t="s">
        <v>32</v>
      </c>
      <c r="F4048" s="4">
        <v>2.83</v>
      </c>
      <c r="G4048" s="5">
        <v>12</v>
      </c>
      <c r="H4048" t="s">
        <v>17</v>
      </c>
      <c r="I4048" t="s">
        <v>46</v>
      </c>
      <c r="J4048" s="6">
        <v>17.989999999999998</v>
      </c>
      <c r="K4048">
        <v>0</v>
      </c>
      <c r="L4048" t="s">
        <v>61</v>
      </c>
      <c r="M4048" s="5">
        <v>5</v>
      </c>
      <c r="N4048" s="4">
        <v>0.22</v>
      </c>
      <c r="O4048" t="s">
        <v>47</v>
      </c>
    </row>
    <row r="4049" spans="1:15" x14ac:dyDescent="0.3">
      <c r="A4049" t="s">
        <v>1899</v>
      </c>
      <c r="B4049" s="5">
        <v>70</v>
      </c>
      <c r="C4049" s="5" t="str" cm="1">
        <f t="array" ref="C4049">_xlfn.IFS(worksheet[[#This Row],[age]]&lt;25,"1. Young Adulthood (18-24)",worksheet[[#This Row],[age]]&lt; 35,"2. Early Adulthood (25-34)",worksheet[[#This Row],[age]]&lt; 45,"3. Mid Adulthood (35-44)",worksheet[[#This Row],[age]]&lt; 55,"4. Mature Adulthood (45-54)",TRUE,"5. Late Adulthood/Senior (55+)")</f>
        <v>5. Late Adulthood/Senior (55+)</v>
      </c>
      <c r="D4049" t="s">
        <v>15</v>
      </c>
      <c r="E4049" t="s">
        <v>16</v>
      </c>
      <c r="F4049" s="4">
        <v>26.98</v>
      </c>
      <c r="G4049" s="5">
        <v>57</v>
      </c>
      <c r="H4049" t="s">
        <v>70</v>
      </c>
      <c r="I4049" t="s">
        <v>18</v>
      </c>
      <c r="J4049" s="6">
        <v>8.99</v>
      </c>
      <c r="K4049">
        <v>1</v>
      </c>
      <c r="L4049" t="s">
        <v>29</v>
      </c>
      <c r="M4049" s="5">
        <v>4</v>
      </c>
      <c r="N4049" s="4">
        <v>0.47</v>
      </c>
      <c r="O4049" t="s">
        <v>34</v>
      </c>
    </row>
    <row r="4050" spans="1:15" x14ac:dyDescent="0.3">
      <c r="A4050" t="s">
        <v>1900</v>
      </c>
      <c r="B4050" s="5">
        <v>56</v>
      </c>
      <c r="C4050" s="5" t="str" cm="1">
        <f t="array" ref="C4050">_xlfn.IFS(worksheet[[#This Row],[age]]&lt;25,"1. Young Adulthood (18-24)",worksheet[[#This Row],[age]]&lt; 35,"2. Early Adulthood (25-34)",worksheet[[#This Row],[age]]&lt; 45,"3. Mid Adulthood (35-44)",worksheet[[#This Row],[age]]&lt; 55,"4. Mature Adulthood (45-54)",TRUE,"5. Late Adulthood/Senior (55+)")</f>
        <v>5. Late Adulthood/Senior (55+)</v>
      </c>
      <c r="D4050" t="s">
        <v>41</v>
      </c>
      <c r="E4050" t="s">
        <v>22</v>
      </c>
      <c r="F4050" s="4">
        <v>0.93</v>
      </c>
      <c r="G4050" s="5">
        <v>2</v>
      </c>
      <c r="H4050" t="s">
        <v>33</v>
      </c>
      <c r="I4050" t="s">
        <v>57</v>
      </c>
      <c r="J4050" s="6">
        <v>13.99</v>
      </c>
      <c r="K4050">
        <v>0</v>
      </c>
      <c r="L4050" t="s">
        <v>61</v>
      </c>
      <c r="M4050" s="5">
        <v>5</v>
      </c>
      <c r="N4050" s="4">
        <v>0.31</v>
      </c>
      <c r="O4050" t="s">
        <v>34</v>
      </c>
    </row>
    <row r="4051" spans="1:15" x14ac:dyDescent="0.3">
      <c r="A4051" t="s">
        <v>1902</v>
      </c>
      <c r="B4051" s="5">
        <v>58</v>
      </c>
      <c r="C4051" s="5" t="str" cm="1">
        <f t="array" ref="C4051">_xlfn.IFS(worksheet[[#This Row],[age]]&lt;25,"1. Young Adulthood (18-24)",worksheet[[#This Row],[age]]&lt; 35,"2. Early Adulthood (25-34)",worksheet[[#This Row],[age]]&lt; 45,"3. Mid Adulthood (35-44)",worksheet[[#This Row],[age]]&lt; 55,"4. Mature Adulthood (45-54)",TRUE,"5. Late Adulthood/Senior (55+)")</f>
        <v>5. Late Adulthood/Senior (55+)</v>
      </c>
      <c r="D4051" t="s">
        <v>15</v>
      </c>
      <c r="E4051" t="s">
        <v>16</v>
      </c>
      <c r="F4051" s="4">
        <v>5.36</v>
      </c>
      <c r="G4051" s="5">
        <v>59</v>
      </c>
      <c r="H4051" t="s">
        <v>33</v>
      </c>
      <c r="I4051" t="s">
        <v>18</v>
      </c>
      <c r="J4051" s="6">
        <v>8.99</v>
      </c>
      <c r="K4051">
        <v>1</v>
      </c>
      <c r="L4051" t="s">
        <v>29</v>
      </c>
      <c r="M4051" s="5">
        <v>1</v>
      </c>
      <c r="N4051" s="4">
        <v>0.09</v>
      </c>
      <c r="O4051" t="s">
        <v>47</v>
      </c>
    </row>
    <row r="4052" spans="1:15" x14ac:dyDescent="0.3">
      <c r="A4052" t="s">
        <v>1912</v>
      </c>
      <c r="B4052" s="5">
        <v>62</v>
      </c>
      <c r="C4052" s="5" t="str" cm="1">
        <f t="array" ref="C4052">_xlfn.IFS(worksheet[[#This Row],[age]]&lt;25,"1. Young Adulthood (18-24)",worksheet[[#This Row],[age]]&lt; 35,"2. Early Adulthood (25-34)",worksheet[[#This Row],[age]]&lt; 45,"3. Mid Adulthood (35-44)",worksheet[[#This Row],[age]]&lt; 55,"4. Mature Adulthood (45-54)",TRUE,"5. Late Adulthood/Senior (55+)")</f>
        <v>5. Late Adulthood/Senior (55+)</v>
      </c>
      <c r="D4052" t="s">
        <v>41</v>
      </c>
      <c r="E4052" t="s">
        <v>22</v>
      </c>
      <c r="F4052" s="4">
        <v>3.58</v>
      </c>
      <c r="G4052" s="5">
        <v>15</v>
      </c>
      <c r="H4052" t="s">
        <v>33</v>
      </c>
      <c r="I4052" t="s">
        <v>57</v>
      </c>
      <c r="J4052" s="6">
        <v>13.99</v>
      </c>
      <c r="K4052">
        <v>0</v>
      </c>
      <c r="L4052" t="s">
        <v>61</v>
      </c>
      <c r="M4052" s="5">
        <v>5</v>
      </c>
      <c r="N4052" s="4">
        <v>0.22</v>
      </c>
      <c r="O4052" t="s">
        <v>34</v>
      </c>
    </row>
    <row r="4053" spans="1:15" x14ac:dyDescent="0.3">
      <c r="A4053" t="s">
        <v>1917</v>
      </c>
      <c r="B4053" s="5">
        <v>55</v>
      </c>
      <c r="C4053" s="5" t="str" cm="1">
        <f t="array" ref="C4053">_xlfn.IFS(worksheet[[#This Row],[age]]&lt;25,"1. Young Adulthood (18-24)",worksheet[[#This Row],[age]]&lt; 35,"2. Early Adulthood (25-34)",worksheet[[#This Row],[age]]&lt; 45,"3. Mid Adulthood (35-44)",worksheet[[#This Row],[age]]&lt; 55,"4. Mature Adulthood (45-54)",TRUE,"5. Late Adulthood/Senior (55+)")</f>
        <v>5. Late Adulthood/Senior (55+)</v>
      </c>
      <c r="D4053" t="s">
        <v>15</v>
      </c>
      <c r="E4053" t="s">
        <v>16</v>
      </c>
      <c r="F4053" s="4">
        <v>1.38</v>
      </c>
      <c r="G4053" s="5">
        <v>52</v>
      </c>
      <c r="H4053" t="s">
        <v>49</v>
      </c>
      <c r="I4053" t="s">
        <v>57</v>
      </c>
      <c r="J4053" s="6">
        <v>8.99</v>
      </c>
      <c r="K4053">
        <v>1</v>
      </c>
      <c r="L4053" t="s">
        <v>19</v>
      </c>
      <c r="M4053" s="5">
        <v>5</v>
      </c>
      <c r="N4053" s="4">
        <v>0.03</v>
      </c>
      <c r="O4053" t="s">
        <v>52</v>
      </c>
    </row>
    <row r="4054" spans="1:15" x14ac:dyDescent="0.3">
      <c r="A4054" t="s">
        <v>1918</v>
      </c>
      <c r="B4054" s="5">
        <v>62</v>
      </c>
      <c r="C4054" s="5" t="str" cm="1">
        <f t="array" ref="C4054">_xlfn.IFS(worksheet[[#This Row],[age]]&lt;25,"1. Young Adulthood (18-24)",worksheet[[#This Row],[age]]&lt; 35,"2. Early Adulthood (25-34)",worksheet[[#This Row],[age]]&lt; 45,"3. Mid Adulthood (35-44)",worksheet[[#This Row],[age]]&lt; 55,"4. Mature Adulthood (45-54)",TRUE,"5. Late Adulthood/Senior (55+)")</f>
        <v>5. Late Adulthood/Senior (55+)</v>
      </c>
      <c r="D4054" t="s">
        <v>41</v>
      </c>
      <c r="E4054" t="s">
        <v>22</v>
      </c>
      <c r="F4054" s="4">
        <v>18.07</v>
      </c>
      <c r="G4054" s="5">
        <v>20</v>
      </c>
      <c r="H4054" t="s">
        <v>17</v>
      </c>
      <c r="I4054" t="s">
        <v>55</v>
      </c>
      <c r="J4054" s="6">
        <v>13.99</v>
      </c>
      <c r="K4054">
        <v>0</v>
      </c>
      <c r="L4054" t="s">
        <v>43</v>
      </c>
      <c r="M4054" s="5">
        <v>2</v>
      </c>
      <c r="N4054" s="4">
        <v>0.86</v>
      </c>
      <c r="O4054" t="s">
        <v>39</v>
      </c>
    </row>
    <row r="4055" spans="1:15" x14ac:dyDescent="0.3">
      <c r="A4055" t="s">
        <v>1919</v>
      </c>
      <c r="B4055" s="5">
        <v>64</v>
      </c>
      <c r="C4055" s="5" t="str" cm="1">
        <f t="array" ref="C4055">_xlfn.IFS(worksheet[[#This Row],[age]]&lt;25,"1. Young Adulthood (18-24)",worksheet[[#This Row],[age]]&lt; 35,"2. Early Adulthood (25-34)",worksheet[[#This Row],[age]]&lt; 45,"3. Mid Adulthood (35-44)",worksheet[[#This Row],[age]]&lt; 55,"4. Mature Adulthood (45-54)",TRUE,"5. Late Adulthood/Senior (55+)")</f>
        <v>5. Late Adulthood/Senior (55+)</v>
      </c>
      <c r="D4055" t="s">
        <v>27</v>
      </c>
      <c r="E4055" t="s">
        <v>32</v>
      </c>
      <c r="F4055" s="4">
        <v>6.41</v>
      </c>
      <c r="G4055" s="5">
        <v>54</v>
      </c>
      <c r="H4055" t="s">
        <v>23</v>
      </c>
      <c r="I4055" t="s">
        <v>24</v>
      </c>
      <c r="J4055" s="6">
        <v>17.989999999999998</v>
      </c>
      <c r="K4055">
        <v>1</v>
      </c>
      <c r="L4055" t="s">
        <v>19</v>
      </c>
      <c r="M4055" s="5">
        <v>1</v>
      </c>
      <c r="N4055" s="4">
        <v>0.12</v>
      </c>
      <c r="O4055" t="s">
        <v>39</v>
      </c>
    </row>
    <row r="4056" spans="1:15" x14ac:dyDescent="0.3">
      <c r="A4056" t="s">
        <v>1923</v>
      </c>
      <c r="B4056" s="5">
        <v>65</v>
      </c>
      <c r="C4056" s="5" t="str" cm="1">
        <f t="array" ref="C4056">_xlfn.IFS(worksheet[[#This Row],[age]]&lt;25,"1. Young Adulthood (18-24)",worksheet[[#This Row],[age]]&lt; 35,"2. Early Adulthood (25-34)",worksheet[[#This Row],[age]]&lt; 45,"3. Mid Adulthood (35-44)",worksheet[[#This Row],[age]]&lt; 55,"4. Mature Adulthood (45-54)",TRUE,"5. Late Adulthood/Senior (55+)")</f>
        <v>5. Late Adulthood/Senior (55+)</v>
      </c>
      <c r="D4056" t="s">
        <v>15</v>
      </c>
      <c r="E4056" t="s">
        <v>22</v>
      </c>
      <c r="F4056" s="4">
        <v>28.86</v>
      </c>
      <c r="G4056" s="5">
        <v>13</v>
      </c>
      <c r="H4056" t="s">
        <v>28</v>
      </c>
      <c r="I4056" t="s">
        <v>46</v>
      </c>
      <c r="J4056" s="6">
        <v>13.99</v>
      </c>
      <c r="K4056">
        <v>0</v>
      </c>
      <c r="L4056" t="s">
        <v>19</v>
      </c>
      <c r="M4056" s="5">
        <v>4</v>
      </c>
      <c r="N4056" s="4">
        <v>2.06</v>
      </c>
      <c r="O4056" t="s">
        <v>34</v>
      </c>
    </row>
    <row r="4057" spans="1:15" x14ac:dyDescent="0.3">
      <c r="A4057" t="s">
        <v>1926</v>
      </c>
      <c r="B4057" s="5">
        <v>67</v>
      </c>
      <c r="C4057" s="5" t="str" cm="1">
        <f t="array" ref="C4057">_xlfn.IFS(worksheet[[#This Row],[age]]&lt;25,"1. Young Adulthood (18-24)",worksheet[[#This Row],[age]]&lt; 35,"2. Early Adulthood (25-34)",worksheet[[#This Row],[age]]&lt; 45,"3. Mid Adulthood (35-44)",worksheet[[#This Row],[age]]&lt; 55,"4. Mature Adulthood (45-54)",TRUE,"5. Late Adulthood/Senior (55+)")</f>
        <v>5. Late Adulthood/Senior (55+)</v>
      </c>
      <c r="D4057" t="s">
        <v>27</v>
      </c>
      <c r="E4057" t="s">
        <v>16</v>
      </c>
      <c r="F4057" s="4">
        <v>11.06</v>
      </c>
      <c r="G4057" s="5">
        <v>16</v>
      </c>
      <c r="H4057" t="s">
        <v>70</v>
      </c>
      <c r="I4057" t="s">
        <v>55</v>
      </c>
      <c r="J4057" s="6">
        <v>8.99</v>
      </c>
      <c r="K4057">
        <v>0</v>
      </c>
      <c r="L4057" t="s">
        <v>61</v>
      </c>
      <c r="M4057" s="5">
        <v>4</v>
      </c>
      <c r="N4057" s="4">
        <v>0.65</v>
      </c>
      <c r="O4057" t="s">
        <v>25</v>
      </c>
    </row>
    <row r="4058" spans="1:15" x14ac:dyDescent="0.3">
      <c r="A4058" t="s">
        <v>1927</v>
      </c>
      <c r="B4058" s="5">
        <v>70</v>
      </c>
      <c r="C4058" s="5" t="str" cm="1">
        <f t="array" ref="C4058">_xlfn.IFS(worksheet[[#This Row],[age]]&lt;25,"1. Young Adulthood (18-24)",worksheet[[#This Row],[age]]&lt; 35,"2. Early Adulthood (25-34)",worksheet[[#This Row],[age]]&lt; 45,"3. Mid Adulthood (35-44)",worksheet[[#This Row],[age]]&lt; 55,"4. Mature Adulthood (45-54)",TRUE,"5. Late Adulthood/Senior (55+)")</f>
        <v>5. Late Adulthood/Senior (55+)</v>
      </c>
      <c r="D4058" t="s">
        <v>41</v>
      </c>
      <c r="E4058" t="s">
        <v>16</v>
      </c>
      <c r="F4058" s="4">
        <v>6.66</v>
      </c>
      <c r="G4058" s="5">
        <v>55</v>
      </c>
      <c r="H4058" t="s">
        <v>33</v>
      </c>
      <c r="I4058" t="s">
        <v>55</v>
      </c>
      <c r="J4058" s="6">
        <v>8.99</v>
      </c>
      <c r="K4058">
        <v>1</v>
      </c>
      <c r="L4058" t="s">
        <v>19</v>
      </c>
      <c r="M4058" s="5">
        <v>4</v>
      </c>
      <c r="N4058" s="4">
        <v>0.12</v>
      </c>
      <c r="O4058" t="s">
        <v>39</v>
      </c>
    </row>
    <row r="4059" spans="1:15" x14ac:dyDescent="0.3">
      <c r="A4059" t="s">
        <v>1928</v>
      </c>
      <c r="B4059" s="5">
        <v>67</v>
      </c>
      <c r="C4059" s="5" t="str" cm="1">
        <f t="array" ref="C4059">_xlfn.IFS(worksheet[[#This Row],[age]]&lt;25,"1. Young Adulthood (18-24)",worksheet[[#This Row],[age]]&lt; 35,"2. Early Adulthood (25-34)",worksheet[[#This Row],[age]]&lt; 45,"3. Mid Adulthood (35-44)",worksheet[[#This Row],[age]]&lt; 55,"4. Mature Adulthood (45-54)",TRUE,"5. Late Adulthood/Senior (55+)")</f>
        <v>5. Late Adulthood/Senior (55+)</v>
      </c>
      <c r="D4059" t="s">
        <v>41</v>
      </c>
      <c r="E4059" t="s">
        <v>16</v>
      </c>
      <c r="F4059" s="4">
        <v>9.5399999999999991</v>
      </c>
      <c r="G4059" s="5">
        <v>40</v>
      </c>
      <c r="H4059" t="s">
        <v>70</v>
      </c>
      <c r="I4059" t="s">
        <v>46</v>
      </c>
      <c r="J4059" s="6">
        <v>8.99</v>
      </c>
      <c r="K4059">
        <v>1</v>
      </c>
      <c r="L4059" t="s">
        <v>29</v>
      </c>
      <c r="M4059" s="5">
        <v>2</v>
      </c>
      <c r="N4059" s="4">
        <v>0.23</v>
      </c>
      <c r="O4059" t="s">
        <v>47</v>
      </c>
    </row>
    <row r="4060" spans="1:15" x14ac:dyDescent="0.3">
      <c r="A4060" t="s">
        <v>1936</v>
      </c>
      <c r="B4060" s="5">
        <v>56</v>
      </c>
      <c r="C4060" s="5" t="str" cm="1">
        <f t="array" ref="C4060">_xlfn.IFS(worksheet[[#This Row],[age]]&lt;25,"1. Young Adulthood (18-24)",worksheet[[#This Row],[age]]&lt; 35,"2. Early Adulthood (25-34)",worksheet[[#This Row],[age]]&lt; 45,"3. Mid Adulthood (35-44)",worksheet[[#This Row],[age]]&lt; 55,"4. Mature Adulthood (45-54)",TRUE,"5. Late Adulthood/Senior (55+)")</f>
        <v>5. Late Adulthood/Senior (55+)</v>
      </c>
      <c r="D4060" t="s">
        <v>27</v>
      </c>
      <c r="E4060" t="s">
        <v>16</v>
      </c>
      <c r="F4060" s="4">
        <v>15.59</v>
      </c>
      <c r="G4060" s="5">
        <v>3</v>
      </c>
      <c r="H4060" t="s">
        <v>49</v>
      </c>
      <c r="I4060" t="s">
        <v>55</v>
      </c>
      <c r="J4060" s="6">
        <v>8.99</v>
      </c>
      <c r="K4060">
        <v>0</v>
      </c>
      <c r="L4060" t="s">
        <v>19</v>
      </c>
      <c r="M4060" s="5">
        <v>3</v>
      </c>
      <c r="N4060" s="4">
        <v>3.9</v>
      </c>
      <c r="O4060" t="s">
        <v>20</v>
      </c>
    </row>
    <row r="4061" spans="1:15" x14ac:dyDescent="0.3">
      <c r="A4061" t="s">
        <v>1939</v>
      </c>
      <c r="B4061" s="5">
        <v>67</v>
      </c>
      <c r="C4061" s="5" t="str" cm="1">
        <f t="array" ref="C4061">_xlfn.IFS(worksheet[[#This Row],[age]]&lt;25,"1. Young Adulthood (18-24)",worksheet[[#This Row],[age]]&lt; 35,"2. Early Adulthood (25-34)",worksheet[[#This Row],[age]]&lt; 45,"3. Mid Adulthood (35-44)",worksheet[[#This Row],[age]]&lt; 55,"4. Mature Adulthood (45-54)",TRUE,"5. Late Adulthood/Senior (55+)")</f>
        <v>5. Late Adulthood/Senior (55+)</v>
      </c>
      <c r="D4061" t="s">
        <v>41</v>
      </c>
      <c r="E4061" t="s">
        <v>22</v>
      </c>
      <c r="F4061" s="4">
        <v>17.3</v>
      </c>
      <c r="G4061" s="5">
        <v>30</v>
      </c>
      <c r="H4061" t="s">
        <v>70</v>
      </c>
      <c r="I4061" t="s">
        <v>55</v>
      </c>
      <c r="J4061" s="6">
        <v>13.99</v>
      </c>
      <c r="K4061">
        <v>0</v>
      </c>
      <c r="L4061" t="s">
        <v>19</v>
      </c>
      <c r="M4061" s="5">
        <v>4</v>
      </c>
      <c r="N4061" s="4">
        <v>0.56000000000000005</v>
      </c>
      <c r="O4061" t="s">
        <v>20</v>
      </c>
    </row>
    <row r="4062" spans="1:15" x14ac:dyDescent="0.3">
      <c r="A4062" t="s">
        <v>1943</v>
      </c>
      <c r="B4062" s="5">
        <v>69</v>
      </c>
      <c r="C4062" s="5" t="str" cm="1">
        <f t="array" ref="C4062">_xlfn.IFS(worksheet[[#This Row],[age]]&lt;25,"1. Young Adulthood (18-24)",worksheet[[#This Row],[age]]&lt; 35,"2. Early Adulthood (25-34)",worksheet[[#This Row],[age]]&lt; 45,"3. Mid Adulthood (35-44)",worksheet[[#This Row],[age]]&lt; 55,"4. Mature Adulthood (45-54)",TRUE,"5. Late Adulthood/Senior (55+)")</f>
        <v>5. Late Adulthood/Senior (55+)</v>
      </c>
      <c r="D4062" t="s">
        <v>41</v>
      </c>
      <c r="E4062" t="s">
        <v>32</v>
      </c>
      <c r="F4062" s="4">
        <v>9.07</v>
      </c>
      <c r="G4062" s="5">
        <v>47</v>
      </c>
      <c r="H4062" t="s">
        <v>17</v>
      </c>
      <c r="I4062" t="s">
        <v>55</v>
      </c>
      <c r="J4062" s="6">
        <v>17.989999999999998</v>
      </c>
      <c r="K4062">
        <v>0</v>
      </c>
      <c r="L4062" t="s">
        <v>43</v>
      </c>
      <c r="M4062" s="5">
        <v>5</v>
      </c>
      <c r="N4062" s="4">
        <v>0.19</v>
      </c>
      <c r="O4062" t="s">
        <v>47</v>
      </c>
    </row>
    <row r="4063" spans="1:15" x14ac:dyDescent="0.3">
      <c r="A4063" t="s">
        <v>1950</v>
      </c>
      <c r="B4063" s="5">
        <v>64</v>
      </c>
      <c r="C4063" s="5" t="str" cm="1">
        <f t="array" ref="C4063">_xlfn.IFS(worksheet[[#This Row],[age]]&lt;25,"1. Young Adulthood (18-24)",worksheet[[#This Row],[age]]&lt; 35,"2. Early Adulthood (25-34)",worksheet[[#This Row],[age]]&lt; 45,"3. Mid Adulthood (35-44)",worksheet[[#This Row],[age]]&lt; 55,"4. Mature Adulthood (45-54)",TRUE,"5. Late Adulthood/Senior (55+)")</f>
        <v>5. Late Adulthood/Senior (55+)</v>
      </c>
      <c r="D4063" t="s">
        <v>41</v>
      </c>
      <c r="E4063" t="s">
        <v>16</v>
      </c>
      <c r="F4063" s="4">
        <v>26.45</v>
      </c>
      <c r="G4063" s="5">
        <v>41</v>
      </c>
      <c r="H4063" t="s">
        <v>17</v>
      </c>
      <c r="I4063" t="s">
        <v>46</v>
      </c>
      <c r="J4063" s="6">
        <v>8.99</v>
      </c>
      <c r="K4063">
        <v>0</v>
      </c>
      <c r="L4063" t="s">
        <v>37</v>
      </c>
      <c r="M4063" s="5">
        <v>1</v>
      </c>
      <c r="N4063" s="4">
        <v>0.63</v>
      </c>
      <c r="O4063" t="s">
        <v>39</v>
      </c>
    </row>
    <row r="4064" spans="1:15" x14ac:dyDescent="0.3">
      <c r="A4064" t="s">
        <v>1951</v>
      </c>
      <c r="B4064" s="5">
        <v>60</v>
      </c>
      <c r="C4064" s="5" t="str" cm="1">
        <f t="array" ref="C4064">_xlfn.IFS(worksheet[[#This Row],[age]]&lt;25,"1. Young Adulthood (18-24)",worksheet[[#This Row],[age]]&lt; 35,"2. Early Adulthood (25-34)",worksheet[[#This Row],[age]]&lt; 45,"3. Mid Adulthood (35-44)",worksheet[[#This Row],[age]]&lt; 55,"4. Mature Adulthood (45-54)",TRUE,"5. Late Adulthood/Senior (55+)")</f>
        <v>5. Late Adulthood/Senior (55+)</v>
      </c>
      <c r="D4064" t="s">
        <v>41</v>
      </c>
      <c r="E4064" t="s">
        <v>22</v>
      </c>
      <c r="F4064" s="4">
        <v>5.77</v>
      </c>
      <c r="G4064" s="5">
        <v>0</v>
      </c>
      <c r="H4064" t="s">
        <v>23</v>
      </c>
      <c r="I4064" t="s">
        <v>57</v>
      </c>
      <c r="J4064" s="6">
        <v>13.99</v>
      </c>
      <c r="K4064">
        <v>0</v>
      </c>
      <c r="L4064" t="s">
        <v>37</v>
      </c>
      <c r="M4064" s="5">
        <v>5</v>
      </c>
      <c r="N4064" s="4">
        <v>5.77</v>
      </c>
      <c r="O4064" t="s">
        <v>47</v>
      </c>
    </row>
    <row r="4065" spans="1:15" x14ac:dyDescent="0.3">
      <c r="A4065" t="s">
        <v>1954</v>
      </c>
      <c r="B4065" s="5">
        <v>67</v>
      </c>
      <c r="C4065" s="5" t="str" cm="1">
        <f t="array" ref="C4065">_xlfn.IFS(worksheet[[#This Row],[age]]&lt;25,"1. Young Adulthood (18-24)",worksheet[[#This Row],[age]]&lt; 35,"2. Early Adulthood (25-34)",worksheet[[#This Row],[age]]&lt; 45,"3. Mid Adulthood (35-44)",worksheet[[#This Row],[age]]&lt; 55,"4. Mature Adulthood (45-54)",TRUE,"5. Late Adulthood/Senior (55+)")</f>
        <v>5. Late Adulthood/Senior (55+)</v>
      </c>
      <c r="D4065" t="s">
        <v>41</v>
      </c>
      <c r="E4065" t="s">
        <v>22</v>
      </c>
      <c r="F4065" s="4">
        <v>26.05</v>
      </c>
      <c r="G4065" s="5">
        <v>21</v>
      </c>
      <c r="H4065" t="s">
        <v>23</v>
      </c>
      <c r="I4065" t="s">
        <v>18</v>
      </c>
      <c r="J4065" s="6">
        <v>13.99</v>
      </c>
      <c r="K4065">
        <v>0</v>
      </c>
      <c r="L4065" t="s">
        <v>43</v>
      </c>
      <c r="M4065" s="5">
        <v>4</v>
      </c>
      <c r="N4065" s="4">
        <v>1.18</v>
      </c>
      <c r="O4065" t="s">
        <v>30</v>
      </c>
    </row>
    <row r="4066" spans="1:15" x14ac:dyDescent="0.3">
      <c r="A4066" t="s">
        <v>1957</v>
      </c>
      <c r="B4066" s="5">
        <v>57</v>
      </c>
      <c r="C4066" s="5" t="str" cm="1">
        <f t="array" ref="C4066">_xlfn.IFS(worksheet[[#This Row],[age]]&lt;25,"1. Young Adulthood (18-24)",worksheet[[#This Row],[age]]&lt; 35,"2. Early Adulthood (25-34)",worksheet[[#This Row],[age]]&lt; 45,"3. Mid Adulthood (35-44)",worksheet[[#This Row],[age]]&lt; 55,"4. Mature Adulthood (45-54)",TRUE,"5. Late Adulthood/Senior (55+)")</f>
        <v>5. Late Adulthood/Senior (55+)</v>
      </c>
      <c r="D4066" t="s">
        <v>27</v>
      </c>
      <c r="E4066" t="s">
        <v>16</v>
      </c>
      <c r="F4066" s="4">
        <v>14.31</v>
      </c>
      <c r="G4066" s="5">
        <v>0</v>
      </c>
      <c r="H4066" t="s">
        <v>33</v>
      </c>
      <c r="I4066" t="s">
        <v>24</v>
      </c>
      <c r="J4066" s="6">
        <v>8.99</v>
      </c>
      <c r="K4066">
        <v>0</v>
      </c>
      <c r="L4066" t="s">
        <v>43</v>
      </c>
      <c r="M4066" s="5">
        <v>5</v>
      </c>
      <c r="N4066" s="4">
        <v>14.31</v>
      </c>
      <c r="O4066" t="s">
        <v>39</v>
      </c>
    </row>
    <row r="4067" spans="1:15" x14ac:dyDescent="0.3">
      <c r="A4067" t="s">
        <v>1959</v>
      </c>
      <c r="B4067" s="5">
        <v>59</v>
      </c>
      <c r="C4067" s="5" t="str" cm="1">
        <f t="array" ref="C4067">_xlfn.IFS(worksheet[[#This Row],[age]]&lt;25,"1. Young Adulthood (18-24)",worksheet[[#This Row],[age]]&lt; 35,"2. Early Adulthood (25-34)",worksheet[[#This Row],[age]]&lt; 45,"3. Mid Adulthood (35-44)",worksheet[[#This Row],[age]]&lt; 55,"4. Mature Adulthood (45-54)",TRUE,"5. Late Adulthood/Senior (55+)")</f>
        <v>5. Late Adulthood/Senior (55+)</v>
      </c>
      <c r="D4067" t="s">
        <v>27</v>
      </c>
      <c r="E4067" t="s">
        <v>22</v>
      </c>
      <c r="F4067" s="4">
        <v>23.07</v>
      </c>
      <c r="G4067" s="5">
        <v>56</v>
      </c>
      <c r="H4067" t="s">
        <v>70</v>
      </c>
      <c r="I4067" t="s">
        <v>18</v>
      </c>
      <c r="J4067" s="6">
        <v>13.99</v>
      </c>
      <c r="K4067">
        <v>0</v>
      </c>
      <c r="L4067" t="s">
        <v>61</v>
      </c>
      <c r="M4067" s="5">
        <v>2</v>
      </c>
      <c r="N4067" s="4">
        <v>0.4</v>
      </c>
      <c r="O4067" t="s">
        <v>39</v>
      </c>
    </row>
    <row r="4068" spans="1:15" x14ac:dyDescent="0.3">
      <c r="A4068" t="s">
        <v>1966</v>
      </c>
      <c r="B4068" s="5">
        <v>64</v>
      </c>
      <c r="C4068" s="5" t="str" cm="1">
        <f t="array" ref="C4068">_xlfn.IFS(worksheet[[#This Row],[age]]&lt;25,"1. Young Adulthood (18-24)",worksheet[[#This Row],[age]]&lt; 35,"2. Early Adulthood (25-34)",worksheet[[#This Row],[age]]&lt; 45,"3. Mid Adulthood (35-44)",worksheet[[#This Row],[age]]&lt; 55,"4. Mature Adulthood (45-54)",TRUE,"5. Late Adulthood/Senior (55+)")</f>
        <v>5. Late Adulthood/Senior (55+)</v>
      </c>
      <c r="D4068" t="s">
        <v>27</v>
      </c>
      <c r="E4068" t="s">
        <v>16</v>
      </c>
      <c r="F4068" s="4">
        <v>3.25</v>
      </c>
      <c r="G4068" s="5">
        <v>44</v>
      </c>
      <c r="H4068" t="s">
        <v>28</v>
      </c>
      <c r="I4068" t="s">
        <v>46</v>
      </c>
      <c r="J4068" s="6">
        <v>8.99</v>
      </c>
      <c r="K4068">
        <v>1</v>
      </c>
      <c r="L4068" t="s">
        <v>61</v>
      </c>
      <c r="M4068" s="5">
        <v>1</v>
      </c>
      <c r="N4068" s="4">
        <v>7.0000000000000007E-2</v>
      </c>
      <c r="O4068" t="s">
        <v>30</v>
      </c>
    </row>
    <row r="4069" spans="1:15" x14ac:dyDescent="0.3">
      <c r="A4069" t="s">
        <v>1967</v>
      </c>
      <c r="B4069" s="5">
        <v>69</v>
      </c>
      <c r="C4069" s="5" t="str" cm="1">
        <f t="array" ref="C4069">_xlfn.IFS(worksheet[[#This Row],[age]]&lt;25,"1. Young Adulthood (18-24)",worksheet[[#This Row],[age]]&lt; 35,"2. Early Adulthood (25-34)",worksheet[[#This Row],[age]]&lt; 45,"3. Mid Adulthood (35-44)",worksheet[[#This Row],[age]]&lt; 55,"4. Mature Adulthood (45-54)",TRUE,"5. Late Adulthood/Senior (55+)")</f>
        <v>5. Late Adulthood/Senior (55+)</v>
      </c>
      <c r="D4069" t="s">
        <v>27</v>
      </c>
      <c r="E4069" t="s">
        <v>16</v>
      </c>
      <c r="F4069" s="4">
        <v>4.8099999999999996</v>
      </c>
      <c r="G4069" s="5">
        <v>46</v>
      </c>
      <c r="H4069" t="s">
        <v>70</v>
      </c>
      <c r="I4069" t="s">
        <v>46</v>
      </c>
      <c r="J4069" s="6">
        <v>8.99</v>
      </c>
      <c r="K4069">
        <v>1</v>
      </c>
      <c r="L4069" t="s">
        <v>37</v>
      </c>
      <c r="M4069" s="5">
        <v>3</v>
      </c>
      <c r="N4069" s="4">
        <v>0.1</v>
      </c>
      <c r="O4069" t="s">
        <v>20</v>
      </c>
    </row>
    <row r="4070" spans="1:15" x14ac:dyDescent="0.3">
      <c r="A4070" t="s">
        <v>1970</v>
      </c>
      <c r="B4070" s="5">
        <v>55</v>
      </c>
      <c r="C4070" s="5" t="str" cm="1">
        <f t="array" ref="C4070">_xlfn.IFS(worksheet[[#This Row],[age]]&lt;25,"1. Young Adulthood (18-24)",worksheet[[#This Row],[age]]&lt; 35,"2. Early Adulthood (25-34)",worksheet[[#This Row],[age]]&lt; 45,"3. Mid Adulthood (35-44)",worksheet[[#This Row],[age]]&lt; 55,"4. Mature Adulthood (45-54)",TRUE,"5. Late Adulthood/Senior (55+)")</f>
        <v>5. Late Adulthood/Senior (55+)</v>
      </c>
      <c r="D4070" t="s">
        <v>27</v>
      </c>
      <c r="E4070" t="s">
        <v>22</v>
      </c>
      <c r="F4070" s="4">
        <v>3.68</v>
      </c>
      <c r="G4070" s="5">
        <v>35</v>
      </c>
      <c r="H4070" t="s">
        <v>70</v>
      </c>
      <c r="I4070" t="s">
        <v>46</v>
      </c>
      <c r="J4070" s="6">
        <v>13.99</v>
      </c>
      <c r="K4070">
        <v>1</v>
      </c>
      <c r="L4070" t="s">
        <v>29</v>
      </c>
      <c r="M4070" s="5">
        <v>5</v>
      </c>
      <c r="N4070" s="4">
        <v>0.1</v>
      </c>
      <c r="O4070" t="s">
        <v>34</v>
      </c>
    </row>
    <row r="4071" spans="1:15" x14ac:dyDescent="0.3">
      <c r="A4071" t="s">
        <v>1972</v>
      </c>
      <c r="B4071" s="5">
        <v>62</v>
      </c>
      <c r="C4071" s="5" t="str" cm="1">
        <f t="array" ref="C4071">_xlfn.IFS(worksheet[[#This Row],[age]]&lt;25,"1. Young Adulthood (18-24)",worksheet[[#This Row],[age]]&lt; 35,"2. Early Adulthood (25-34)",worksheet[[#This Row],[age]]&lt; 45,"3. Mid Adulthood (35-44)",worksheet[[#This Row],[age]]&lt; 55,"4. Mature Adulthood (45-54)",TRUE,"5. Late Adulthood/Senior (55+)")</f>
        <v>5. Late Adulthood/Senior (55+)</v>
      </c>
      <c r="D4071" t="s">
        <v>27</v>
      </c>
      <c r="E4071" t="s">
        <v>32</v>
      </c>
      <c r="F4071" s="4">
        <v>25.53</v>
      </c>
      <c r="G4071" s="5">
        <v>51</v>
      </c>
      <c r="H4071" t="s">
        <v>33</v>
      </c>
      <c r="I4071" t="s">
        <v>46</v>
      </c>
      <c r="J4071" s="6">
        <v>17.989999999999998</v>
      </c>
      <c r="K4071">
        <v>0</v>
      </c>
      <c r="L4071" t="s">
        <v>43</v>
      </c>
      <c r="M4071" s="5">
        <v>3</v>
      </c>
      <c r="N4071" s="4">
        <v>0.49</v>
      </c>
      <c r="O4071" t="s">
        <v>20</v>
      </c>
    </row>
    <row r="4072" spans="1:15" x14ac:dyDescent="0.3">
      <c r="A4072" t="s">
        <v>1975</v>
      </c>
      <c r="B4072" s="5">
        <v>64</v>
      </c>
      <c r="C4072" s="5" t="str" cm="1">
        <f t="array" ref="C4072">_xlfn.IFS(worksheet[[#This Row],[age]]&lt;25,"1. Young Adulthood (18-24)",worksheet[[#This Row],[age]]&lt; 35,"2. Early Adulthood (25-34)",worksheet[[#This Row],[age]]&lt; 45,"3. Mid Adulthood (35-44)",worksheet[[#This Row],[age]]&lt; 55,"4. Mature Adulthood (45-54)",TRUE,"5. Late Adulthood/Senior (55+)")</f>
        <v>5. Late Adulthood/Senior (55+)</v>
      </c>
      <c r="D4072" t="s">
        <v>27</v>
      </c>
      <c r="E4072" t="s">
        <v>32</v>
      </c>
      <c r="F4072" s="4">
        <v>8.24</v>
      </c>
      <c r="G4072" s="5">
        <v>29</v>
      </c>
      <c r="H4072" t="s">
        <v>33</v>
      </c>
      <c r="I4072" t="s">
        <v>24</v>
      </c>
      <c r="J4072" s="6">
        <v>17.989999999999998</v>
      </c>
      <c r="K4072">
        <v>0</v>
      </c>
      <c r="L4072" t="s">
        <v>19</v>
      </c>
      <c r="M4072" s="5">
        <v>5</v>
      </c>
      <c r="N4072" s="4">
        <v>0.27</v>
      </c>
      <c r="O4072" t="s">
        <v>20</v>
      </c>
    </row>
    <row r="4073" spans="1:15" x14ac:dyDescent="0.3">
      <c r="A4073" t="s">
        <v>1977</v>
      </c>
      <c r="B4073" s="5">
        <v>55</v>
      </c>
      <c r="C4073" s="5" t="str" cm="1">
        <f t="array" ref="C4073">_xlfn.IFS(worksheet[[#This Row],[age]]&lt;25,"1. Young Adulthood (18-24)",worksheet[[#This Row],[age]]&lt; 35,"2. Early Adulthood (25-34)",worksheet[[#This Row],[age]]&lt; 45,"3. Mid Adulthood (35-44)",worksheet[[#This Row],[age]]&lt; 55,"4. Mature Adulthood (45-54)",TRUE,"5. Late Adulthood/Senior (55+)")</f>
        <v>5. Late Adulthood/Senior (55+)</v>
      </c>
      <c r="D4073" t="s">
        <v>15</v>
      </c>
      <c r="E4073" t="s">
        <v>32</v>
      </c>
      <c r="F4073" s="4">
        <v>10.130000000000001</v>
      </c>
      <c r="G4073" s="5">
        <v>13</v>
      </c>
      <c r="H4073" t="s">
        <v>33</v>
      </c>
      <c r="I4073" t="s">
        <v>46</v>
      </c>
      <c r="J4073" s="6">
        <v>17.989999999999998</v>
      </c>
      <c r="K4073">
        <v>0</v>
      </c>
      <c r="L4073" t="s">
        <v>43</v>
      </c>
      <c r="M4073" s="5">
        <v>3</v>
      </c>
      <c r="N4073" s="4">
        <v>0.72</v>
      </c>
      <c r="O4073" t="s">
        <v>39</v>
      </c>
    </row>
    <row r="4074" spans="1:15" x14ac:dyDescent="0.3">
      <c r="A4074" t="s">
        <v>1980</v>
      </c>
      <c r="B4074" s="5">
        <v>63</v>
      </c>
      <c r="C4074" s="5" t="str" cm="1">
        <f t="array" ref="C4074">_xlfn.IFS(worksheet[[#This Row],[age]]&lt;25,"1. Young Adulthood (18-24)",worksheet[[#This Row],[age]]&lt; 35,"2. Early Adulthood (25-34)",worksheet[[#This Row],[age]]&lt; 45,"3. Mid Adulthood (35-44)",worksheet[[#This Row],[age]]&lt; 55,"4. Mature Adulthood (45-54)",TRUE,"5. Late Adulthood/Senior (55+)")</f>
        <v>5. Late Adulthood/Senior (55+)</v>
      </c>
      <c r="D4074" t="s">
        <v>15</v>
      </c>
      <c r="E4074" t="s">
        <v>22</v>
      </c>
      <c r="F4074" s="4">
        <v>11.43</v>
      </c>
      <c r="G4074" s="5">
        <v>49</v>
      </c>
      <c r="H4074" t="s">
        <v>23</v>
      </c>
      <c r="I4074" t="s">
        <v>18</v>
      </c>
      <c r="J4074" s="6">
        <v>13.99</v>
      </c>
      <c r="K4074">
        <v>1</v>
      </c>
      <c r="L4074" t="s">
        <v>37</v>
      </c>
      <c r="M4074" s="5">
        <v>1</v>
      </c>
      <c r="N4074" s="4">
        <v>0.23</v>
      </c>
      <c r="O4074" t="s">
        <v>34</v>
      </c>
    </row>
    <row r="4075" spans="1:15" x14ac:dyDescent="0.3">
      <c r="A4075" t="s">
        <v>1986</v>
      </c>
      <c r="B4075" s="5">
        <v>63</v>
      </c>
      <c r="C4075" s="5" t="str" cm="1">
        <f t="array" ref="C4075">_xlfn.IFS(worksheet[[#This Row],[age]]&lt;25,"1. Young Adulthood (18-24)",worksheet[[#This Row],[age]]&lt; 35,"2. Early Adulthood (25-34)",worksheet[[#This Row],[age]]&lt; 45,"3. Mid Adulthood (35-44)",worksheet[[#This Row],[age]]&lt; 55,"4. Mature Adulthood (45-54)",TRUE,"5. Late Adulthood/Senior (55+)")</f>
        <v>5. Late Adulthood/Senior (55+)</v>
      </c>
      <c r="D4075" t="s">
        <v>41</v>
      </c>
      <c r="E4075" t="s">
        <v>22</v>
      </c>
      <c r="F4075" s="4">
        <v>26.63</v>
      </c>
      <c r="G4075" s="5">
        <v>31</v>
      </c>
      <c r="H4075" t="s">
        <v>28</v>
      </c>
      <c r="I4075" t="s">
        <v>18</v>
      </c>
      <c r="J4075" s="6">
        <v>13.99</v>
      </c>
      <c r="K4075">
        <v>0</v>
      </c>
      <c r="L4075" t="s">
        <v>29</v>
      </c>
      <c r="M4075" s="5">
        <v>2</v>
      </c>
      <c r="N4075" s="4">
        <v>0.83</v>
      </c>
      <c r="O4075" t="s">
        <v>34</v>
      </c>
    </row>
    <row r="4076" spans="1:15" x14ac:dyDescent="0.3">
      <c r="A4076" t="s">
        <v>1987</v>
      </c>
      <c r="B4076" s="5">
        <v>55</v>
      </c>
      <c r="C4076" s="5" t="str" cm="1">
        <f t="array" ref="C4076">_xlfn.IFS(worksheet[[#This Row],[age]]&lt;25,"1. Young Adulthood (18-24)",worksheet[[#This Row],[age]]&lt; 35,"2. Early Adulthood (25-34)",worksheet[[#This Row],[age]]&lt; 45,"3. Mid Adulthood (35-44)",worksheet[[#This Row],[age]]&lt; 55,"4. Mature Adulthood (45-54)",TRUE,"5. Late Adulthood/Senior (55+)")</f>
        <v>5. Late Adulthood/Senior (55+)</v>
      </c>
      <c r="D4076" t="s">
        <v>41</v>
      </c>
      <c r="E4076" t="s">
        <v>16</v>
      </c>
      <c r="F4076" s="4">
        <v>3.66</v>
      </c>
      <c r="G4076" s="5">
        <v>11</v>
      </c>
      <c r="H4076" t="s">
        <v>28</v>
      </c>
      <c r="I4076" t="s">
        <v>18</v>
      </c>
      <c r="J4076" s="6">
        <v>8.99</v>
      </c>
      <c r="K4076">
        <v>1</v>
      </c>
      <c r="L4076" t="s">
        <v>61</v>
      </c>
      <c r="M4076" s="5">
        <v>4</v>
      </c>
      <c r="N4076" s="4">
        <v>0.3</v>
      </c>
      <c r="O4076" t="s">
        <v>25</v>
      </c>
    </row>
    <row r="4077" spans="1:15" x14ac:dyDescent="0.3">
      <c r="A4077" t="s">
        <v>1988</v>
      </c>
      <c r="B4077" s="5">
        <v>55</v>
      </c>
      <c r="C4077" s="5" t="str" cm="1">
        <f t="array" ref="C4077">_xlfn.IFS(worksheet[[#This Row],[age]]&lt;25,"1. Young Adulthood (18-24)",worksheet[[#This Row],[age]]&lt; 35,"2. Early Adulthood (25-34)",worksheet[[#This Row],[age]]&lt; 45,"3. Mid Adulthood (35-44)",worksheet[[#This Row],[age]]&lt; 55,"4. Mature Adulthood (45-54)",TRUE,"5. Late Adulthood/Senior (55+)")</f>
        <v>5. Late Adulthood/Senior (55+)</v>
      </c>
      <c r="D4077" t="s">
        <v>15</v>
      </c>
      <c r="E4077" t="s">
        <v>16</v>
      </c>
      <c r="F4077" s="4">
        <v>0.67</v>
      </c>
      <c r="G4077" s="5">
        <v>24</v>
      </c>
      <c r="H4077" t="s">
        <v>23</v>
      </c>
      <c r="I4077" t="s">
        <v>55</v>
      </c>
      <c r="J4077" s="6">
        <v>8.99</v>
      </c>
      <c r="K4077">
        <v>1</v>
      </c>
      <c r="L4077" t="s">
        <v>43</v>
      </c>
      <c r="M4077" s="5">
        <v>3</v>
      </c>
      <c r="N4077" s="4">
        <v>0.03</v>
      </c>
      <c r="O4077" t="s">
        <v>34</v>
      </c>
    </row>
    <row r="4078" spans="1:15" x14ac:dyDescent="0.3">
      <c r="A4078" t="s">
        <v>1989</v>
      </c>
      <c r="B4078" s="5">
        <v>61</v>
      </c>
      <c r="C4078" s="5" t="str" cm="1">
        <f t="array" ref="C4078">_xlfn.IFS(worksheet[[#This Row],[age]]&lt;25,"1. Young Adulthood (18-24)",worksheet[[#This Row],[age]]&lt; 35,"2. Early Adulthood (25-34)",worksheet[[#This Row],[age]]&lt; 45,"3. Mid Adulthood (35-44)",worksheet[[#This Row],[age]]&lt; 55,"4. Mature Adulthood (45-54)",TRUE,"5. Late Adulthood/Senior (55+)")</f>
        <v>5. Late Adulthood/Senior (55+)</v>
      </c>
      <c r="D4078" t="s">
        <v>41</v>
      </c>
      <c r="E4078" t="s">
        <v>22</v>
      </c>
      <c r="F4078" s="4">
        <v>14.57</v>
      </c>
      <c r="G4078" s="5">
        <v>16</v>
      </c>
      <c r="H4078" t="s">
        <v>33</v>
      </c>
      <c r="I4078" t="s">
        <v>24</v>
      </c>
      <c r="J4078" s="6">
        <v>13.99</v>
      </c>
      <c r="K4078">
        <v>0</v>
      </c>
      <c r="L4078" t="s">
        <v>19</v>
      </c>
      <c r="M4078" s="5">
        <v>1</v>
      </c>
      <c r="N4078" s="4">
        <v>0.86</v>
      </c>
      <c r="O4078" t="s">
        <v>34</v>
      </c>
    </row>
    <row r="4079" spans="1:15" x14ac:dyDescent="0.3">
      <c r="A4079" t="s">
        <v>1991</v>
      </c>
      <c r="B4079" s="5">
        <v>62</v>
      </c>
      <c r="C4079" s="5" t="str" cm="1">
        <f t="array" ref="C4079">_xlfn.IFS(worksheet[[#This Row],[age]]&lt;25,"1. Young Adulthood (18-24)",worksheet[[#This Row],[age]]&lt; 35,"2. Early Adulthood (25-34)",worksheet[[#This Row],[age]]&lt; 45,"3. Mid Adulthood (35-44)",worksheet[[#This Row],[age]]&lt; 55,"4. Mature Adulthood (45-54)",TRUE,"5. Late Adulthood/Senior (55+)")</f>
        <v>5. Late Adulthood/Senior (55+)</v>
      </c>
      <c r="D4079" t="s">
        <v>15</v>
      </c>
      <c r="E4079" t="s">
        <v>16</v>
      </c>
      <c r="F4079" s="4">
        <v>21.41</v>
      </c>
      <c r="G4079" s="5">
        <v>22</v>
      </c>
      <c r="H4079" t="s">
        <v>23</v>
      </c>
      <c r="I4079" t="s">
        <v>18</v>
      </c>
      <c r="J4079" s="6">
        <v>8.99</v>
      </c>
      <c r="K4079">
        <v>0</v>
      </c>
      <c r="L4079" t="s">
        <v>43</v>
      </c>
      <c r="M4079" s="5">
        <v>3</v>
      </c>
      <c r="N4079" s="4">
        <v>0.93</v>
      </c>
      <c r="O4079" t="s">
        <v>25</v>
      </c>
    </row>
    <row r="4080" spans="1:15" x14ac:dyDescent="0.3">
      <c r="A4080" t="s">
        <v>1992</v>
      </c>
      <c r="B4080" s="5">
        <v>66</v>
      </c>
      <c r="C4080" s="5" t="str" cm="1">
        <f t="array" ref="C4080">_xlfn.IFS(worksheet[[#This Row],[age]]&lt;25,"1. Young Adulthood (18-24)",worksheet[[#This Row],[age]]&lt; 35,"2. Early Adulthood (25-34)",worksheet[[#This Row],[age]]&lt; 45,"3. Mid Adulthood (35-44)",worksheet[[#This Row],[age]]&lt; 55,"4. Mature Adulthood (45-54)",TRUE,"5. Late Adulthood/Senior (55+)")</f>
        <v>5. Late Adulthood/Senior (55+)</v>
      </c>
      <c r="D4080" t="s">
        <v>15</v>
      </c>
      <c r="E4080" t="s">
        <v>16</v>
      </c>
      <c r="F4080" s="4">
        <v>1.89</v>
      </c>
      <c r="G4080" s="5">
        <v>22</v>
      </c>
      <c r="H4080" t="s">
        <v>17</v>
      </c>
      <c r="I4080" t="s">
        <v>55</v>
      </c>
      <c r="J4080" s="6">
        <v>8.99</v>
      </c>
      <c r="K4080">
        <v>1</v>
      </c>
      <c r="L4080" t="s">
        <v>43</v>
      </c>
      <c r="M4080" s="5">
        <v>2</v>
      </c>
      <c r="N4080" s="4">
        <v>0.08</v>
      </c>
      <c r="O4080" t="s">
        <v>20</v>
      </c>
    </row>
    <row r="4081" spans="1:15" x14ac:dyDescent="0.3">
      <c r="A4081" t="s">
        <v>1993</v>
      </c>
      <c r="B4081" s="5">
        <v>63</v>
      </c>
      <c r="C4081" s="5" t="str" cm="1">
        <f t="array" ref="C4081">_xlfn.IFS(worksheet[[#This Row],[age]]&lt;25,"1. Young Adulthood (18-24)",worksheet[[#This Row],[age]]&lt; 35,"2. Early Adulthood (25-34)",worksheet[[#This Row],[age]]&lt; 45,"3. Mid Adulthood (35-44)",worksheet[[#This Row],[age]]&lt; 55,"4. Mature Adulthood (45-54)",TRUE,"5. Late Adulthood/Senior (55+)")</f>
        <v>5. Late Adulthood/Senior (55+)</v>
      </c>
      <c r="D4081" t="s">
        <v>41</v>
      </c>
      <c r="E4081" t="s">
        <v>16</v>
      </c>
      <c r="F4081" s="4">
        <v>14.4</v>
      </c>
      <c r="G4081" s="5">
        <v>3</v>
      </c>
      <c r="H4081" t="s">
        <v>23</v>
      </c>
      <c r="I4081" t="s">
        <v>55</v>
      </c>
      <c r="J4081" s="6">
        <v>8.99</v>
      </c>
      <c r="K4081">
        <v>0</v>
      </c>
      <c r="L4081" t="s">
        <v>37</v>
      </c>
      <c r="M4081" s="5">
        <v>3</v>
      </c>
      <c r="N4081" s="4">
        <v>3.6</v>
      </c>
      <c r="O4081" t="s">
        <v>52</v>
      </c>
    </row>
    <row r="4082" spans="1:15" x14ac:dyDescent="0.3">
      <c r="A4082" t="s">
        <v>1996</v>
      </c>
      <c r="B4082" s="5">
        <v>56</v>
      </c>
      <c r="C4082" s="5" t="str" cm="1">
        <f t="array" ref="C4082">_xlfn.IFS(worksheet[[#This Row],[age]]&lt;25,"1. Young Adulthood (18-24)",worksheet[[#This Row],[age]]&lt; 35,"2. Early Adulthood (25-34)",worksheet[[#This Row],[age]]&lt; 45,"3. Mid Adulthood (35-44)",worksheet[[#This Row],[age]]&lt; 55,"4. Mature Adulthood (45-54)",TRUE,"5. Late Adulthood/Senior (55+)")</f>
        <v>5. Late Adulthood/Senior (55+)</v>
      </c>
      <c r="D4082" t="s">
        <v>41</v>
      </c>
      <c r="E4082" t="s">
        <v>22</v>
      </c>
      <c r="F4082" s="4">
        <v>5.83</v>
      </c>
      <c r="G4082" s="5">
        <v>59</v>
      </c>
      <c r="H4082" t="s">
        <v>23</v>
      </c>
      <c r="I4082" t="s">
        <v>24</v>
      </c>
      <c r="J4082" s="6">
        <v>13.99</v>
      </c>
      <c r="K4082">
        <v>0</v>
      </c>
      <c r="L4082" t="s">
        <v>43</v>
      </c>
      <c r="M4082" s="5">
        <v>5</v>
      </c>
      <c r="N4082" s="4">
        <v>0.1</v>
      </c>
      <c r="O4082" t="s">
        <v>20</v>
      </c>
    </row>
    <row r="4083" spans="1:15" x14ac:dyDescent="0.3">
      <c r="A4083" t="s">
        <v>2002</v>
      </c>
      <c r="B4083" s="5">
        <v>65</v>
      </c>
      <c r="C4083" s="5" t="str" cm="1">
        <f t="array" ref="C4083">_xlfn.IFS(worksheet[[#This Row],[age]]&lt;25,"1. Young Adulthood (18-24)",worksheet[[#This Row],[age]]&lt; 35,"2. Early Adulthood (25-34)",worksheet[[#This Row],[age]]&lt; 45,"3. Mid Adulthood (35-44)",worksheet[[#This Row],[age]]&lt; 55,"4. Mature Adulthood (45-54)",TRUE,"5. Late Adulthood/Senior (55+)")</f>
        <v>5. Late Adulthood/Senior (55+)</v>
      </c>
      <c r="D4083" t="s">
        <v>15</v>
      </c>
      <c r="E4083" t="s">
        <v>32</v>
      </c>
      <c r="F4083" s="4">
        <v>13.71</v>
      </c>
      <c r="G4083" s="5">
        <v>4</v>
      </c>
      <c r="H4083" t="s">
        <v>49</v>
      </c>
      <c r="I4083" t="s">
        <v>55</v>
      </c>
      <c r="J4083" s="6">
        <v>17.989999999999998</v>
      </c>
      <c r="K4083">
        <v>0</v>
      </c>
      <c r="L4083" t="s">
        <v>29</v>
      </c>
      <c r="M4083" s="5">
        <v>3</v>
      </c>
      <c r="N4083" s="4">
        <v>2.74</v>
      </c>
      <c r="O4083" t="s">
        <v>25</v>
      </c>
    </row>
    <row r="4084" spans="1:15" x14ac:dyDescent="0.3">
      <c r="A4084" t="s">
        <v>2003</v>
      </c>
      <c r="B4084" s="5">
        <v>70</v>
      </c>
      <c r="C4084" s="5" t="str" cm="1">
        <f t="array" ref="C4084">_xlfn.IFS(worksheet[[#This Row],[age]]&lt;25,"1. Young Adulthood (18-24)",worksheet[[#This Row],[age]]&lt; 35,"2. Early Adulthood (25-34)",worksheet[[#This Row],[age]]&lt; 45,"3. Mid Adulthood (35-44)",worksheet[[#This Row],[age]]&lt; 55,"4. Mature Adulthood (45-54)",TRUE,"5. Late Adulthood/Senior (55+)")</f>
        <v>5. Late Adulthood/Senior (55+)</v>
      </c>
      <c r="D4084" t="s">
        <v>27</v>
      </c>
      <c r="E4084" t="s">
        <v>16</v>
      </c>
      <c r="F4084" s="4">
        <v>4.04</v>
      </c>
      <c r="G4084" s="5">
        <v>52</v>
      </c>
      <c r="H4084" t="s">
        <v>28</v>
      </c>
      <c r="I4084" t="s">
        <v>24</v>
      </c>
      <c r="J4084" s="6">
        <v>8.99</v>
      </c>
      <c r="K4084">
        <v>1</v>
      </c>
      <c r="L4084" t="s">
        <v>29</v>
      </c>
      <c r="M4084" s="5">
        <v>3</v>
      </c>
      <c r="N4084" s="4">
        <v>0.08</v>
      </c>
      <c r="O4084" t="s">
        <v>30</v>
      </c>
    </row>
    <row r="4085" spans="1:15" x14ac:dyDescent="0.3">
      <c r="A4085" t="s">
        <v>2008</v>
      </c>
      <c r="B4085" s="5">
        <v>56</v>
      </c>
      <c r="C4085" s="5" t="str" cm="1">
        <f t="array" ref="C4085">_xlfn.IFS(worksheet[[#This Row],[age]]&lt;25,"1. Young Adulthood (18-24)",worksheet[[#This Row],[age]]&lt; 35,"2. Early Adulthood (25-34)",worksheet[[#This Row],[age]]&lt; 45,"3. Mid Adulthood (35-44)",worksheet[[#This Row],[age]]&lt; 55,"4. Mature Adulthood (45-54)",TRUE,"5. Late Adulthood/Senior (55+)")</f>
        <v>5. Late Adulthood/Senior (55+)</v>
      </c>
      <c r="D4085" t="s">
        <v>41</v>
      </c>
      <c r="E4085" t="s">
        <v>16</v>
      </c>
      <c r="F4085" s="4">
        <v>2.02</v>
      </c>
      <c r="G4085" s="5">
        <v>23</v>
      </c>
      <c r="H4085" t="s">
        <v>70</v>
      </c>
      <c r="I4085" t="s">
        <v>18</v>
      </c>
      <c r="J4085" s="6">
        <v>8.99</v>
      </c>
      <c r="K4085">
        <v>1</v>
      </c>
      <c r="L4085" t="s">
        <v>61</v>
      </c>
      <c r="M4085" s="5">
        <v>5</v>
      </c>
      <c r="N4085" s="4">
        <v>0.08</v>
      </c>
      <c r="O4085" t="s">
        <v>52</v>
      </c>
    </row>
    <row r="4086" spans="1:15" x14ac:dyDescent="0.3">
      <c r="A4086" t="s">
        <v>2010</v>
      </c>
      <c r="B4086" s="5">
        <v>56</v>
      </c>
      <c r="C4086" s="5" t="str" cm="1">
        <f t="array" ref="C4086">_xlfn.IFS(worksheet[[#This Row],[age]]&lt;25,"1. Young Adulthood (18-24)",worksheet[[#This Row],[age]]&lt; 35,"2. Early Adulthood (25-34)",worksheet[[#This Row],[age]]&lt; 45,"3. Mid Adulthood (35-44)",worksheet[[#This Row],[age]]&lt; 55,"4. Mature Adulthood (45-54)",TRUE,"5. Late Adulthood/Senior (55+)")</f>
        <v>5. Late Adulthood/Senior (55+)</v>
      </c>
      <c r="D4086" t="s">
        <v>27</v>
      </c>
      <c r="E4086" t="s">
        <v>16</v>
      </c>
      <c r="F4086" s="4">
        <v>0.8</v>
      </c>
      <c r="G4086" s="5">
        <v>18</v>
      </c>
      <c r="H4086" t="s">
        <v>70</v>
      </c>
      <c r="I4086" t="s">
        <v>55</v>
      </c>
      <c r="J4086" s="6">
        <v>8.99</v>
      </c>
      <c r="K4086">
        <v>1</v>
      </c>
      <c r="L4086" t="s">
        <v>43</v>
      </c>
      <c r="M4086" s="5">
        <v>3</v>
      </c>
      <c r="N4086" s="4">
        <v>0.04</v>
      </c>
      <c r="O4086" t="s">
        <v>39</v>
      </c>
    </row>
    <row r="4087" spans="1:15" x14ac:dyDescent="0.3">
      <c r="A4087" t="s">
        <v>2012</v>
      </c>
      <c r="B4087" s="5">
        <v>58</v>
      </c>
      <c r="C4087" s="5" t="str" cm="1">
        <f t="array" ref="C4087">_xlfn.IFS(worksheet[[#This Row],[age]]&lt;25,"1. Young Adulthood (18-24)",worksheet[[#This Row],[age]]&lt; 35,"2. Early Adulthood (25-34)",worksheet[[#This Row],[age]]&lt; 45,"3. Mid Adulthood (35-44)",worksheet[[#This Row],[age]]&lt; 55,"4. Mature Adulthood (45-54)",TRUE,"5. Late Adulthood/Senior (55+)")</f>
        <v>5. Late Adulthood/Senior (55+)</v>
      </c>
      <c r="D4087" t="s">
        <v>41</v>
      </c>
      <c r="E4087" t="s">
        <v>32</v>
      </c>
      <c r="F4087" s="4">
        <v>3.2</v>
      </c>
      <c r="G4087" s="5">
        <v>53</v>
      </c>
      <c r="H4087" t="s">
        <v>17</v>
      </c>
      <c r="I4087" t="s">
        <v>55</v>
      </c>
      <c r="J4087" s="6">
        <v>17.989999999999998</v>
      </c>
      <c r="K4087">
        <v>1</v>
      </c>
      <c r="L4087" t="s">
        <v>29</v>
      </c>
      <c r="M4087" s="5">
        <v>1</v>
      </c>
      <c r="N4087" s="4">
        <v>0.06</v>
      </c>
      <c r="O4087" t="s">
        <v>25</v>
      </c>
    </row>
    <row r="4088" spans="1:15" x14ac:dyDescent="0.3">
      <c r="A4088" t="s">
        <v>2015</v>
      </c>
      <c r="B4088" s="5">
        <v>58</v>
      </c>
      <c r="C4088" s="5" t="str" cm="1">
        <f t="array" ref="C4088">_xlfn.IFS(worksheet[[#This Row],[age]]&lt;25,"1. Young Adulthood (18-24)",worksheet[[#This Row],[age]]&lt; 35,"2. Early Adulthood (25-34)",worksheet[[#This Row],[age]]&lt; 45,"3. Mid Adulthood (35-44)",worksheet[[#This Row],[age]]&lt; 55,"4. Mature Adulthood (45-54)",TRUE,"5. Late Adulthood/Senior (55+)")</f>
        <v>5. Late Adulthood/Senior (55+)</v>
      </c>
      <c r="D4088" t="s">
        <v>15</v>
      </c>
      <c r="E4088" t="s">
        <v>16</v>
      </c>
      <c r="F4088" s="4">
        <v>6.47</v>
      </c>
      <c r="G4088" s="5">
        <v>46</v>
      </c>
      <c r="H4088" t="s">
        <v>17</v>
      </c>
      <c r="I4088" t="s">
        <v>57</v>
      </c>
      <c r="J4088" s="6">
        <v>8.99</v>
      </c>
      <c r="K4088">
        <v>1</v>
      </c>
      <c r="L4088" t="s">
        <v>29</v>
      </c>
      <c r="M4088" s="5">
        <v>1</v>
      </c>
      <c r="N4088" s="4">
        <v>0.14000000000000001</v>
      </c>
      <c r="O4088" t="s">
        <v>34</v>
      </c>
    </row>
    <row r="4089" spans="1:15" x14ac:dyDescent="0.3">
      <c r="A4089" t="s">
        <v>2016</v>
      </c>
      <c r="B4089" s="5">
        <v>58</v>
      </c>
      <c r="C4089" s="5" t="str" cm="1">
        <f t="array" ref="C4089">_xlfn.IFS(worksheet[[#This Row],[age]]&lt;25,"1. Young Adulthood (18-24)",worksheet[[#This Row],[age]]&lt; 35,"2. Early Adulthood (25-34)",worksheet[[#This Row],[age]]&lt; 45,"3. Mid Adulthood (35-44)",worksheet[[#This Row],[age]]&lt; 55,"4. Mature Adulthood (45-54)",TRUE,"5. Late Adulthood/Senior (55+)")</f>
        <v>5. Late Adulthood/Senior (55+)</v>
      </c>
      <c r="D4089" t="s">
        <v>41</v>
      </c>
      <c r="E4089" t="s">
        <v>22</v>
      </c>
      <c r="F4089" s="4">
        <v>19.25</v>
      </c>
      <c r="G4089" s="5">
        <v>2</v>
      </c>
      <c r="H4089" t="s">
        <v>23</v>
      </c>
      <c r="I4089" t="s">
        <v>24</v>
      </c>
      <c r="J4089" s="6">
        <v>13.99</v>
      </c>
      <c r="K4089">
        <v>0</v>
      </c>
      <c r="L4089" t="s">
        <v>61</v>
      </c>
      <c r="M4089" s="5">
        <v>2</v>
      </c>
      <c r="N4089" s="4">
        <v>6.42</v>
      </c>
      <c r="O4089" t="s">
        <v>30</v>
      </c>
    </row>
    <row r="4090" spans="1:15" x14ac:dyDescent="0.3">
      <c r="A4090" t="s">
        <v>2028</v>
      </c>
      <c r="B4090" s="5">
        <v>56</v>
      </c>
      <c r="C4090" s="5" t="str" cm="1">
        <f t="array" ref="C4090">_xlfn.IFS(worksheet[[#This Row],[age]]&lt;25,"1. Young Adulthood (18-24)",worksheet[[#This Row],[age]]&lt; 35,"2. Early Adulthood (25-34)",worksheet[[#This Row],[age]]&lt; 45,"3. Mid Adulthood (35-44)",worksheet[[#This Row],[age]]&lt; 55,"4. Mature Adulthood (45-54)",TRUE,"5. Late Adulthood/Senior (55+)")</f>
        <v>5. Late Adulthood/Senior (55+)</v>
      </c>
      <c r="D4090" t="s">
        <v>41</v>
      </c>
      <c r="E4090" t="s">
        <v>16</v>
      </c>
      <c r="F4090" s="4">
        <v>5.08</v>
      </c>
      <c r="G4090" s="5">
        <v>60</v>
      </c>
      <c r="H4090" t="s">
        <v>49</v>
      </c>
      <c r="I4090" t="s">
        <v>57</v>
      </c>
      <c r="J4090" s="6">
        <v>8.99</v>
      </c>
      <c r="K4090">
        <v>1</v>
      </c>
      <c r="L4090" t="s">
        <v>61</v>
      </c>
      <c r="M4090" s="5">
        <v>4</v>
      </c>
      <c r="N4090" s="4">
        <v>0.08</v>
      </c>
      <c r="O4090" t="s">
        <v>39</v>
      </c>
    </row>
    <row r="4091" spans="1:15" x14ac:dyDescent="0.3">
      <c r="A4091" t="s">
        <v>2031</v>
      </c>
      <c r="B4091" s="5">
        <v>69</v>
      </c>
      <c r="C4091" s="5" t="str" cm="1">
        <f t="array" ref="C4091">_xlfn.IFS(worksheet[[#This Row],[age]]&lt;25,"1. Young Adulthood (18-24)",worksheet[[#This Row],[age]]&lt; 35,"2. Early Adulthood (25-34)",worksheet[[#This Row],[age]]&lt; 45,"3. Mid Adulthood (35-44)",worksheet[[#This Row],[age]]&lt; 55,"4. Mature Adulthood (45-54)",TRUE,"5. Late Adulthood/Senior (55+)")</f>
        <v>5. Late Adulthood/Senior (55+)</v>
      </c>
      <c r="D4091" t="s">
        <v>15</v>
      </c>
      <c r="E4091" t="s">
        <v>32</v>
      </c>
      <c r="F4091" s="4">
        <v>8.09</v>
      </c>
      <c r="G4091" s="5">
        <v>54</v>
      </c>
      <c r="H4091" t="s">
        <v>28</v>
      </c>
      <c r="I4091" t="s">
        <v>55</v>
      </c>
      <c r="J4091" s="6">
        <v>17.989999999999998</v>
      </c>
      <c r="K4091">
        <v>1</v>
      </c>
      <c r="L4091" t="s">
        <v>43</v>
      </c>
      <c r="M4091" s="5">
        <v>2</v>
      </c>
      <c r="N4091" s="4">
        <v>0.15</v>
      </c>
      <c r="O4091" t="s">
        <v>39</v>
      </c>
    </row>
    <row r="4092" spans="1:15" x14ac:dyDescent="0.3">
      <c r="A4092" t="s">
        <v>2032</v>
      </c>
      <c r="B4092" s="5">
        <v>67</v>
      </c>
      <c r="C4092" s="5" t="str" cm="1">
        <f t="array" ref="C4092">_xlfn.IFS(worksheet[[#This Row],[age]]&lt;25,"1. Young Adulthood (18-24)",worksheet[[#This Row],[age]]&lt; 35,"2. Early Adulthood (25-34)",worksheet[[#This Row],[age]]&lt; 45,"3. Mid Adulthood (35-44)",worksheet[[#This Row],[age]]&lt; 55,"4. Mature Adulthood (45-54)",TRUE,"5. Late Adulthood/Senior (55+)")</f>
        <v>5. Late Adulthood/Senior (55+)</v>
      </c>
      <c r="D4092" t="s">
        <v>27</v>
      </c>
      <c r="E4092" t="s">
        <v>22</v>
      </c>
      <c r="F4092" s="4">
        <v>0.28000000000000003</v>
      </c>
      <c r="G4092" s="5">
        <v>51</v>
      </c>
      <c r="H4092" t="s">
        <v>28</v>
      </c>
      <c r="I4092" t="s">
        <v>46</v>
      </c>
      <c r="J4092" s="6">
        <v>13.99</v>
      </c>
      <c r="K4092">
        <v>1</v>
      </c>
      <c r="L4092" t="s">
        <v>19</v>
      </c>
      <c r="M4092" s="5">
        <v>1</v>
      </c>
      <c r="N4092" s="4">
        <v>0.01</v>
      </c>
      <c r="O4092" t="s">
        <v>30</v>
      </c>
    </row>
    <row r="4093" spans="1:15" x14ac:dyDescent="0.3">
      <c r="A4093" t="s">
        <v>2033</v>
      </c>
      <c r="B4093" s="5">
        <v>63</v>
      </c>
      <c r="C4093" s="5" t="str" cm="1">
        <f t="array" ref="C4093">_xlfn.IFS(worksheet[[#This Row],[age]]&lt;25,"1. Young Adulthood (18-24)",worksheet[[#This Row],[age]]&lt; 35,"2. Early Adulthood (25-34)",worksheet[[#This Row],[age]]&lt; 45,"3. Mid Adulthood (35-44)",worksheet[[#This Row],[age]]&lt; 55,"4. Mature Adulthood (45-54)",TRUE,"5. Late Adulthood/Senior (55+)")</f>
        <v>5. Late Adulthood/Senior (55+)</v>
      </c>
      <c r="D4093" t="s">
        <v>15</v>
      </c>
      <c r="E4093" t="s">
        <v>16</v>
      </c>
      <c r="F4093" s="4">
        <v>19.68</v>
      </c>
      <c r="G4093" s="5">
        <v>7</v>
      </c>
      <c r="H4093" t="s">
        <v>33</v>
      </c>
      <c r="I4093" t="s">
        <v>18</v>
      </c>
      <c r="J4093" s="6">
        <v>8.99</v>
      </c>
      <c r="K4093">
        <v>0</v>
      </c>
      <c r="L4093" t="s">
        <v>61</v>
      </c>
      <c r="M4093" s="5">
        <v>3</v>
      </c>
      <c r="N4093" s="4">
        <v>2.46</v>
      </c>
      <c r="O4093" t="s">
        <v>52</v>
      </c>
    </row>
    <row r="4094" spans="1:15" x14ac:dyDescent="0.3">
      <c r="A4094" t="s">
        <v>2037</v>
      </c>
      <c r="B4094" s="5">
        <v>61</v>
      </c>
      <c r="C4094" s="5" t="str" cm="1">
        <f t="array" ref="C4094">_xlfn.IFS(worksheet[[#This Row],[age]]&lt;25,"1. Young Adulthood (18-24)",worksheet[[#This Row],[age]]&lt; 35,"2. Early Adulthood (25-34)",worksheet[[#This Row],[age]]&lt; 45,"3. Mid Adulthood (35-44)",worksheet[[#This Row],[age]]&lt; 55,"4. Mature Adulthood (45-54)",TRUE,"5. Late Adulthood/Senior (55+)")</f>
        <v>5. Late Adulthood/Senior (55+)</v>
      </c>
      <c r="D4094" t="s">
        <v>27</v>
      </c>
      <c r="E4094" t="s">
        <v>32</v>
      </c>
      <c r="F4094" s="4">
        <v>41.68</v>
      </c>
      <c r="G4094" s="5">
        <v>54</v>
      </c>
      <c r="H4094" t="s">
        <v>17</v>
      </c>
      <c r="I4094" t="s">
        <v>46</v>
      </c>
      <c r="J4094" s="6">
        <v>17.989999999999998</v>
      </c>
      <c r="K4094">
        <v>0</v>
      </c>
      <c r="L4094" t="s">
        <v>29</v>
      </c>
      <c r="M4094" s="5">
        <v>3</v>
      </c>
      <c r="N4094" s="4">
        <v>0.76</v>
      </c>
      <c r="O4094" t="s">
        <v>20</v>
      </c>
    </row>
    <row r="4095" spans="1:15" x14ac:dyDescent="0.3">
      <c r="A4095" t="s">
        <v>2039</v>
      </c>
      <c r="B4095" s="5">
        <v>60</v>
      </c>
      <c r="C4095" s="5" t="str" cm="1">
        <f t="array" ref="C4095">_xlfn.IFS(worksheet[[#This Row],[age]]&lt;25,"1. Young Adulthood (18-24)",worksheet[[#This Row],[age]]&lt; 35,"2. Early Adulthood (25-34)",worksheet[[#This Row],[age]]&lt; 45,"3. Mid Adulthood (35-44)",worksheet[[#This Row],[age]]&lt; 55,"4. Mature Adulthood (45-54)",TRUE,"5. Late Adulthood/Senior (55+)")</f>
        <v>5. Late Adulthood/Senior (55+)</v>
      </c>
      <c r="D4095" t="s">
        <v>41</v>
      </c>
      <c r="E4095" t="s">
        <v>32</v>
      </c>
      <c r="F4095" s="4">
        <v>6.21</v>
      </c>
      <c r="G4095" s="5">
        <v>15</v>
      </c>
      <c r="H4095" t="s">
        <v>28</v>
      </c>
      <c r="I4095" t="s">
        <v>24</v>
      </c>
      <c r="J4095" s="6">
        <v>17.989999999999998</v>
      </c>
      <c r="K4095">
        <v>0</v>
      </c>
      <c r="L4095" t="s">
        <v>37</v>
      </c>
      <c r="M4095" s="5">
        <v>3</v>
      </c>
      <c r="N4095" s="4">
        <v>0.39</v>
      </c>
      <c r="O4095" t="s">
        <v>34</v>
      </c>
    </row>
    <row r="4096" spans="1:15" x14ac:dyDescent="0.3">
      <c r="A4096" t="s">
        <v>2042</v>
      </c>
      <c r="B4096" s="5">
        <v>62</v>
      </c>
      <c r="C4096" s="5" t="str" cm="1">
        <f t="array" ref="C4096">_xlfn.IFS(worksheet[[#This Row],[age]]&lt;25,"1. Young Adulthood (18-24)",worksheet[[#This Row],[age]]&lt; 35,"2. Early Adulthood (25-34)",worksheet[[#This Row],[age]]&lt; 45,"3. Mid Adulthood (35-44)",worksheet[[#This Row],[age]]&lt; 55,"4. Mature Adulthood (45-54)",TRUE,"5. Late Adulthood/Senior (55+)")</f>
        <v>5. Late Adulthood/Senior (55+)</v>
      </c>
      <c r="D4096" t="s">
        <v>15</v>
      </c>
      <c r="E4096" t="s">
        <v>32</v>
      </c>
      <c r="F4096" s="4">
        <v>5.98</v>
      </c>
      <c r="G4096" s="5">
        <v>48</v>
      </c>
      <c r="H4096" t="s">
        <v>70</v>
      </c>
      <c r="I4096" t="s">
        <v>57</v>
      </c>
      <c r="J4096" s="6">
        <v>17.989999999999998</v>
      </c>
      <c r="K4096">
        <v>1</v>
      </c>
      <c r="L4096" t="s">
        <v>29</v>
      </c>
      <c r="M4096" s="5">
        <v>5</v>
      </c>
      <c r="N4096" s="4">
        <v>0.12</v>
      </c>
      <c r="O4096" t="s">
        <v>52</v>
      </c>
    </row>
    <row r="4097" spans="1:15" x14ac:dyDescent="0.3">
      <c r="A4097" t="s">
        <v>2054</v>
      </c>
      <c r="B4097" s="5">
        <v>67</v>
      </c>
      <c r="C4097" s="5" t="str" cm="1">
        <f t="array" ref="C4097">_xlfn.IFS(worksheet[[#This Row],[age]]&lt;25,"1. Young Adulthood (18-24)",worksheet[[#This Row],[age]]&lt; 35,"2. Early Adulthood (25-34)",worksheet[[#This Row],[age]]&lt; 45,"3. Mid Adulthood (35-44)",worksheet[[#This Row],[age]]&lt; 55,"4. Mature Adulthood (45-54)",TRUE,"5. Late Adulthood/Senior (55+)")</f>
        <v>5. Late Adulthood/Senior (55+)</v>
      </c>
      <c r="D4097" t="s">
        <v>41</v>
      </c>
      <c r="E4097" t="s">
        <v>16</v>
      </c>
      <c r="F4097" s="4">
        <v>15.98</v>
      </c>
      <c r="G4097" s="5">
        <v>9</v>
      </c>
      <c r="H4097" t="s">
        <v>49</v>
      </c>
      <c r="I4097" t="s">
        <v>18</v>
      </c>
      <c r="J4097" s="6">
        <v>8.99</v>
      </c>
      <c r="K4097">
        <v>0</v>
      </c>
      <c r="L4097" t="s">
        <v>61</v>
      </c>
      <c r="M4097" s="5">
        <v>4</v>
      </c>
      <c r="N4097" s="4">
        <v>1.6</v>
      </c>
      <c r="O4097" t="s">
        <v>25</v>
      </c>
    </row>
    <row r="4098" spans="1:15" x14ac:dyDescent="0.3">
      <c r="A4098" t="s">
        <v>2055</v>
      </c>
      <c r="B4098" s="5">
        <v>60</v>
      </c>
      <c r="C4098" s="5" t="str" cm="1">
        <f t="array" ref="C4098">_xlfn.IFS(worksheet[[#This Row],[age]]&lt;25,"1. Young Adulthood (18-24)",worksheet[[#This Row],[age]]&lt; 35,"2. Early Adulthood (25-34)",worksheet[[#This Row],[age]]&lt; 45,"3. Mid Adulthood (35-44)",worksheet[[#This Row],[age]]&lt; 55,"4. Mature Adulthood (45-54)",TRUE,"5. Late Adulthood/Senior (55+)")</f>
        <v>5. Late Adulthood/Senior (55+)</v>
      </c>
      <c r="D4098" t="s">
        <v>41</v>
      </c>
      <c r="E4098" t="s">
        <v>22</v>
      </c>
      <c r="F4098" s="4">
        <v>1.24</v>
      </c>
      <c r="G4098" s="5">
        <v>4</v>
      </c>
      <c r="H4098" t="s">
        <v>70</v>
      </c>
      <c r="I4098" t="s">
        <v>55</v>
      </c>
      <c r="J4098" s="6">
        <v>13.99</v>
      </c>
      <c r="K4098">
        <v>0</v>
      </c>
      <c r="L4098" t="s">
        <v>43</v>
      </c>
      <c r="M4098" s="5">
        <v>2</v>
      </c>
      <c r="N4098" s="4">
        <v>0.25</v>
      </c>
      <c r="O4098" t="s">
        <v>30</v>
      </c>
    </row>
    <row r="4099" spans="1:15" x14ac:dyDescent="0.3">
      <c r="A4099" t="s">
        <v>2056</v>
      </c>
      <c r="B4099" s="5">
        <v>67</v>
      </c>
      <c r="C4099" s="5" t="str" cm="1">
        <f t="array" ref="C4099">_xlfn.IFS(worksheet[[#This Row],[age]]&lt;25,"1. Young Adulthood (18-24)",worksheet[[#This Row],[age]]&lt; 35,"2. Early Adulthood (25-34)",worksheet[[#This Row],[age]]&lt; 45,"3. Mid Adulthood (35-44)",worksheet[[#This Row],[age]]&lt; 55,"4. Mature Adulthood (45-54)",TRUE,"5. Late Adulthood/Senior (55+)")</f>
        <v>5. Late Adulthood/Senior (55+)</v>
      </c>
      <c r="D4099" t="s">
        <v>27</v>
      </c>
      <c r="E4099" t="s">
        <v>16</v>
      </c>
      <c r="F4099" s="4">
        <v>9.91</v>
      </c>
      <c r="G4099" s="5">
        <v>18</v>
      </c>
      <c r="H4099" t="s">
        <v>70</v>
      </c>
      <c r="I4099" t="s">
        <v>55</v>
      </c>
      <c r="J4099" s="6">
        <v>8.99</v>
      </c>
      <c r="K4099">
        <v>0</v>
      </c>
      <c r="L4099" t="s">
        <v>19</v>
      </c>
      <c r="M4099" s="5">
        <v>5</v>
      </c>
      <c r="N4099" s="4">
        <v>0.52</v>
      </c>
      <c r="O4099" t="s">
        <v>47</v>
      </c>
    </row>
    <row r="4100" spans="1:15" x14ac:dyDescent="0.3">
      <c r="A4100" t="s">
        <v>2059</v>
      </c>
      <c r="B4100" s="5">
        <v>70</v>
      </c>
      <c r="C4100" s="5" t="str" cm="1">
        <f t="array" ref="C4100">_xlfn.IFS(worksheet[[#This Row],[age]]&lt;25,"1. Young Adulthood (18-24)",worksheet[[#This Row],[age]]&lt; 35,"2. Early Adulthood (25-34)",worksheet[[#This Row],[age]]&lt; 45,"3. Mid Adulthood (35-44)",worksheet[[#This Row],[age]]&lt; 55,"4. Mature Adulthood (45-54)",TRUE,"5. Late Adulthood/Senior (55+)")</f>
        <v>5. Late Adulthood/Senior (55+)</v>
      </c>
      <c r="D4100" t="s">
        <v>41</v>
      </c>
      <c r="E4100" t="s">
        <v>22</v>
      </c>
      <c r="F4100" s="4">
        <v>9.5399999999999991</v>
      </c>
      <c r="G4100" s="5">
        <v>60</v>
      </c>
      <c r="H4100" t="s">
        <v>23</v>
      </c>
      <c r="I4100" t="s">
        <v>18</v>
      </c>
      <c r="J4100" s="6">
        <v>13.99</v>
      </c>
      <c r="K4100">
        <v>0</v>
      </c>
      <c r="L4100" t="s">
        <v>43</v>
      </c>
      <c r="M4100" s="5">
        <v>5</v>
      </c>
      <c r="N4100" s="4">
        <v>0.16</v>
      </c>
      <c r="O4100" t="s">
        <v>25</v>
      </c>
    </row>
    <row r="4101" spans="1:15" x14ac:dyDescent="0.3">
      <c r="A4101" t="s">
        <v>2061</v>
      </c>
      <c r="B4101" s="5">
        <v>63</v>
      </c>
      <c r="C4101" s="5" t="str" cm="1">
        <f t="array" ref="C4101">_xlfn.IFS(worksheet[[#This Row],[age]]&lt;25,"1. Young Adulthood (18-24)",worksheet[[#This Row],[age]]&lt; 35,"2. Early Adulthood (25-34)",worksheet[[#This Row],[age]]&lt; 45,"3. Mid Adulthood (35-44)",worksheet[[#This Row],[age]]&lt; 55,"4. Mature Adulthood (45-54)",TRUE,"5. Late Adulthood/Senior (55+)")</f>
        <v>5. Late Adulthood/Senior (55+)</v>
      </c>
      <c r="D4101" t="s">
        <v>41</v>
      </c>
      <c r="E4101" t="s">
        <v>32</v>
      </c>
      <c r="F4101" s="4">
        <v>7.82</v>
      </c>
      <c r="G4101" s="5">
        <v>57</v>
      </c>
      <c r="H4101" t="s">
        <v>49</v>
      </c>
      <c r="I4101" t="s">
        <v>18</v>
      </c>
      <c r="J4101" s="6">
        <v>17.989999999999998</v>
      </c>
      <c r="K4101">
        <v>0</v>
      </c>
      <c r="L4101" t="s">
        <v>37</v>
      </c>
      <c r="M4101" s="5">
        <v>5</v>
      </c>
      <c r="N4101" s="4">
        <v>0.13</v>
      </c>
      <c r="O4101" t="s">
        <v>39</v>
      </c>
    </row>
    <row r="4102" spans="1:15" x14ac:dyDescent="0.3">
      <c r="A4102" t="s">
        <v>2062</v>
      </c>
      <c r="B4102" s="5">
        <v>58</v>
      </c>
      <c r="C4102" s="5" t="str" cm="1">
        <f t="array" ref="C4102">_xlfn.IFS(worksheet[[#This Row],[age]]&lt;25,"1. Young Adulthood (18-24)",worksheet[[#This Row],[age]]&lt; 35,"2. Early Adulthood (25-34)",worksheet[[#This Row],[age]]&lt; 45,"3. Mid Adulthood (35-44)",worksheet[[#This Row],[age]]&lt; 55,"4. Mature Adulthood (45-54)",TRUE,"5. Late Adulthood/Senior (55+)")</f>
        <v>5. Late Adulthood/Senior (55+)</v>
      </c>
      <c r="D4102" t="s">
        <v>27</v>
      </c>
      <c r="E4102" t="s">
        <v>16</v>
      </c>
      <c r="F4102" s="4">
        <v>7.31</v>
      </c>
      <c r="G4102" s="5">
        <v>49</v>
      </c>
      <c r="H4102" t="s">
        <v>70</v>
      </c>
      <c r="I4102" t="s">
        <v>46</v>
      </c>
      <c r="J4102" s="6">
        <v>8.99</v>
      </c>
      <c r="K4102">
        <v>1</v>
      </c>
      <c r="L4102" t="s">
        <v>19</v>
      </c>
      <c r="M4102" s="5">
        <v>2</v>
      </c>
      <c r="N4102" s="4">
        <v>0.15</v>
      </c>
      <c r="O4102" t="s">
        <v>39</v>
      </c>
    </row>
    <row r="4103" spans="1:15" x14ac:dyDescent="0.3">
      <c r="A4103" t="s">
        <v>2064</v>
      </c>
      <c r="B4103" s="5">
        <v>67</v>
      </c>
      <c r="C4103" s="5" t="str" cm="1">
        <f t="array" ref="C4103">_xlfn.IFS(worksheet[[#This Row],[age]]&lt;25,"1. Young Adulthood (18-24)",worksheet[[#This Row],[age]]&lt; 35,"2. Early Adulthood (25-34)",worksheet[[#This Row],[age]]&lt; 45,"3. Mid Adulthood (35-44)",worksheet[[#This Row],[age]]&lt; 55,"4. Mature Adulthood (45-54)",TRUE,"5. Late Adulthood/Senior (55+)")</f>
        <v>5. Late Adulthood/Senior (55+)</v>
      </c>
      <c r="D4103" t="s">
        <v>15</v>
      </c>
      <c r="E4103" t="s">
        <v>32</v>
      </c>
      <c r="F4103" s="4">
        <v>22.63</v>
      </c>
      <c r="G4103" s="5">
        <v>33</v>
      </c>
      <c r="H4103" t="s">
        <v>17</v>
      </c>
      <c r="I4103" t="s">
        <v>46</v>
      </c>
      <c r="J4103" s="6">
        <v>17.989999999999998</v>
      </c>
      <c r="K4103">
        <v>0</v>
      </c>
      <c r="L4103" t="s">
        <v>19</v>
      </c>
      <c r="M4103" s="5">
        <v>2</v>
      </c>
      <c r="N4103" s="4">
        <v>0.67</v>
      </c>
      <c r="O4103" t="s">
        <v>52</v>
      </c>
    </row>
    <row r="4104" spans="1:15" x14ac:dyDescent="0.3">
      <c r="A4104" t="s">
        <v>2066</v>
      </c>
      <c r="B4104" s="5">
        <v>67</v>
      </c>
      <c r="C4104" s="5" t="str" cm="1">
        <f t="array" ref="C4104">_xlfn.IFS(worksheet[[#This Row],[age]]&lt;25,"1. Young Adulthood (18-24)",worksheet[[#This Row],[age]]&lt; 35,"2. Early Adulthood (25-34)",worksheet[[#This Row],[age]]&lt; 45,"3. Mid Adulthood (35-44)",worksheet[[#This Row],[age]]&lt; 55,"4. Mature Adulthood (45-54)",TRUE,"5. Late Adulthood/Senior (55+)")</f>
        <v>5. Late Adulthood/Senior (55+)</v>
      </c>
      <c r="D4104" t="s">
        <v>15</v>
      </c>
      <c r="E4104" t="s">
        <v>32</v>
      </c>
      <c r="F4104" s="4">
        <v>2.5099999999999998</v>
      </c>
      <c r="G4104" s="5">
        <v>25</v>
      </c>
      <c r="H4104" t="s">
        <v>17</v>
      </c>
      <c r="I4104" t="s">
        <v>57</v>
      </c>
      <c r="J4104" s="6">
        <v>17.989999999999998</v>
      </c>
      <c r="K4104">
        <v>1</v>
      </c>
      <c r="L4104" t="s">
        <v>61</v>
      </c>
      <c r="M4104" s="5">
        <v>3</v>
      </c>
      <c r="N4104" s="4">
        <v>0.1</v>
      </c>
      <c r="O4104" t="s">
        <v>39</v>
      </c>
    </row>
    <row r="4105" spans="1:15" x14ac:dyDescent="0.3">
      <c r="A4105" t="s">
        <v>2067</v>
      </c>
      <c r="B4105" s="5">
        <v>64</v>
      </c>
      <c r="C4105" s="5" t="str" cm="1">
        <f t="array" ref="C4105">_xlfn.IFS(worksheet[[#This Row],[age]]&lt;25,"1. Young Adulthood (18-24)",worksheet[[#This Row],[age]]&lt; 35,"2. Early Adulthood (25-34)",worksheet[[#This Row],[age]]&lt; 45,"3. Mid Adulthood (35-44)",worksheet[[#This Row],[age]]&lt; 55,"4. Mature Adulthood (45-54)",TRUE,"5. Late Adulthood/Senior (55+)")</f>
        <v>5. Late Adulthood/Senior (55+)</v>
      </c>
      <c r="D4105" t="s">
        <v>15</v>
      </c>
      <c r="E4105" t="s">
        <v>22</v>
      </c>
      <c r="F4105" s="4">
        <v>8.08</v>
      </c>
      <c r="G4105" s="5">
        <v>12</v>
      </c>
      <c r="H4105" t="s">
        <v>23</v>
      </c>
      <c r="I4105" t="s">
        <v>24</v>
      </c>
      <c r="J4105" s="6">
        <v>13.99</v>
      </c>
      <c r="K4105">
        <v>0</v>
      </c>
      <c r="L4105" t="s">
        <v>43</v>
      </c>
      <c r="M4105" s="5">
        <v>4</v>
      </c>
      <c r="N4105" s="4">
        <v>0.62</v>
      </c>
      <c r="O4105" t="s">
        <v>39</v>
      </c>
    </row>
    <row r="4106" spans="1:15" x14ac:dyDescent="0.3">
      <c r="A4106" t="s">
        <v>2077</v>
      </c>
      <c r="B4106" s="5">
        <v>57</v>
      </c>
      <c r="C4106" s="5" t="str" cm="1">
        <f t="array" ref="C4106">_xlfn.IFS(worksheet[[#This Row],[age]]&lt;25,"1. Young Adulthood (18-24)",worksheet[[#This Row],[age]]&lt; 35,"2. Early Adulthood (25-34)",worksheet[[#This Row],[age]]&lt; 45,"3. Mid Adulthood (35-44)",worksheet[[#This Row],[age]]&lt; 55,"4. Mature Adulthood (45-54)",TRUE,"5. Late Adulthood/Senior (55+)")</f>
        <v>5. Late Adulthood/Senior (55+)</v>
      </c>
      <c r="D4106" t="s">
        <v>15</v>
      </c>
      <c r="E4106" t="s">
        <v>22</v>
      </c>
      <c r="F4106" s="4">
        <v>7.92</v>
      </c>
      <c r="G4106" s="5">
        <v>19</v>
      </c>
      <c r="H4106" t="s">
        <v>33</v>
      </c>
      <c r="I4106" t="s">
        <v>24</v>
      </c>
      <c r="J4106" s="6">
        <v>13.99</v>
      </c>
      <c r="K4106">
        <v>0</v>
      </c>
      <c r="L4106" t="s">
        <v>19</v>
      </c>
      <c r="M4106" s="5">
        <v>2</v>
      </c>
      <c r="N4106" s="4">
        <v>0.4</v>
      </c>
      <c r="O4106" t="s">
        <v>34</v>
      </c>
    </row>
    <row r="4107" spans="1:15" x14ac:dyDescent="0.3">
      <c r="A4107" t="s">
        <v>2080</v>
      </c>
      <c r="B4107" s="5">
        <v>57</v>
      </c>
      <c r="C4107" s="5" t="str" cm="1">
        <f t="array" ref="C4107">_xlfn.IFS(worksheet[[#This Row],[age]]&lt;25,"1. Young Adulthood (18-24)",worksheet[[#This Row],[age]]&lt; 35,"2. Early Adulthood (25-34)",worksheet[[#This Row],[age]]&lt; 45,"3. Mid Adulthood (35-44)",worksheet[[#This Row],[age]]&lt; 55,"4. Mature Adulthood (45-54)",TRUE,"5. Late Adulthood/Senior (55+)")</f>
        <v>5. Late Adulthood/Senior (55+)</v>
      </c>
      <c r="D4107" t="s">
        <v>15</v>
      </c>
      <c r="E4107" t="s">
        <v>22</v>
      </c>
      <c r="F4107" s="4">
        <v>1.1000000000000001</v>
      </c>
      <c r="G4107" s="5">
        <v>26</v>
      </c>
      <c r="H4107" t="s">
        <v>23</v>
      </c>
      <c r="I4107" t="s">
        <v>55</v>
      </c>
      <c r="J4107" s="6">
        <v>13.99</v>
      </c>
      <c r="K4107">
        <v>0</v>
      </c>
      <c r="L4107" t="s">
        <v>61</v>
      </c>
      <c r="M4107" s="5">
        <v>5</v>
      </c>
      <c r="N4107" s="4">
        <v>0.04</v>
      </c>
      <c r="O4107" t="s">
        <v>25</v>
      </c>
    </row>
    <row r="4108" spans="1:15" x14ac:dyDescent="0.3">
      <c r="A4108" t="s">
        <v>2084</v>
      </c>
      <c r="B4108" s="5">
        <v>68</v>
      </c>
      <c r="C4108" s="5" t="str" cm="1">
        <f t="array" ref="C4108">_xlfn.IFS(worksheet[[#This Row],[age]]&lt;25,"1. Young Adulthood (18-24)",worksheet[[#This Row],[age]]&lt; 35,"2. Early Adulthood (25-34)",worksheet[[#This Row],[age]]&lt; 45,"3. Mid Adulthood (35-44)",worksheet[[#This Row],[age]]&lt; 55,"4. Mature Adulthood (45-54)",TRUE,"5. Late Adulthood/Senior (55+)")</f>
        <v>5. Late Adulthood/Senior (55+)</v>
      </c>
      <c r="D4108" t="s">
        <v>27</v>
      </c>
      <c r="E4108" t="s">
        <v>22</v>
      </c>
      <c r="F4108" s="4">
        <v>3.06</v>
      </c>
      <c r="G4108" s="5">
        <v>59</v>
      </c>
      <c r="H4108" t="s">
        <v>23</v>
      </c>
      <c r="I4108" t="s">
        <v>55</v>
      </c>
      <c r="J4108" s="6">
        <v>13.99</v>
      </c>
      <c r="K4108">
        <v>1</v>
      </c>
      <c r="L4108" t="s">
        <v>19</v>
      </c>
      <c r="M4108" s="5">
        <v>5</v>
      </c>
      <c r="N4108" s="4">
        <v>0.05</v>
      </c>
      <c r="O4108" t="s">
        <v>52</v>
      </c>
    </row>
    <row r="4109" spans="1:15" x14ac:dyDescent="0.3">
      <c r="A4109" t="s">
        <v>2088</v>
      </c>
      <c r="B4109" s="5">
        <v>61</v>
      </c>
      <c r="C4109" s="5" t="str" cm="1">
        <f t="array" ref="C4109">_xlfn.IFS(worksheet[[#This Row],[age]]&lt;25,"1. Young Adulthood (18-24)",worksheet[[#This Row],[age]]&lt; 35,"2. Early Adulthood (25-34)",worksheet[[#This Row],[age]]&lt; 45,"3. Mid Adulthood (35-44)",worksheet[[#This Row],[age]]&lt; 55,"4. Mature Adulthood (45-54)",TRUE,"5. Late Adulthood/Senior (55+)")</f>
        <v>5. Late Adulthood/Senior (55+)</v>
      </c>
      <c r="D4109" t="s">
        <v>41</v>
      </c>
      <c r="E4109" t="s">
        <v>32</v>
      </c>
      <c r="F4109" s="4">
        <v>9.7100000000000009</v>
      </c>
      <c r="G4109" s="5">
        <v>36</v>
      </c>
      <c r="H4109" t="s">
        <v>28</v>
      </c>
      <c r="I4109" t="s">
        <v>46</v>
      </c>
      <c r="J4109" s="6">
        <v>17.989999999999998</v>
      </c>
      <c r="K4109">
        <v>1</v>
      </c>
      <c r="L4109" t="s">
        <v>37</v>
      </c>
      <c r="M4109" s="5">
        <v>1</v>
      </c>
      <c r="N4109" s="4">
        <v>0.26</v>
      </c>
      <c r="O4109" t="s">
        <v>30</v>
      </c>
    </row>
    <row r="4110" spans="1:15" x14ac:dyDescent="0.3">
      <c r="A4110" t="s">
        <v>2092</v>
      </c>
      <c r="B4110" s="5">
        <v>62</v>
      </c>
      <c r="C4110" s="5" t="str" cm="1">
        <f t="array" ref="C4110">_xlfn.IFS(worksheet[[#This Row],[age]]&lt;25,"1. Young Adulthood (18-24)",worksheet[[#This Row],[age]]&lt; 35,"2. Early Adulthood (25-34)",worksheet[[#This Row],[age]]&lt; 45,"3. Mid Adulthood (35-44)",worksheet[[#This Row],[age]]&lt; 55,"4. Mature Adulthood (45-54)",TRUE,"5. Late Adulthood/Senior (55+)")</f>
        <v>5. Late Adulthood/Senior (55+)</v>
      </c>
      <c r="D4110" t="s">
        <v>41</v>
      </c>
      <c r="E4110" t="s">
        <v>22</v>
      </c>
      <c r="F4110" s="4">
        <v>8.25</v>
      </c>
      <c r="G4110" s="5">
        <v>37</v>
      </c>
      <c r="H4110" t="s">
        <v>49</v>
      </c>
      <c r="I4110" t="s">
        <v>55</v>
      </c>
      <c r="J4110" s="6">
        <v>13.99</v>
      </c>
      <c r="K4110">
        <v>0</v>
      </c>
      <c r="L4110" t="s">
        <v>43</v>
      </c>
      <c r="M4110" s="5">
        <v>5</v>
      </c>
      <c r="N4110" s="4">
        <v>0.22</v>
      </c>
      <c r="O4110" t="s">
        <v>47</v>
      </c>
    </row>
    <row r="4111" spans="1:15" x14ac:dyDescent="0.3">
      <c r="A4111" t="s">
        <v>2093</v>
      </c>
      <c r="B4111" s="5">
        <v>66</v>
      </c>
      <c r="C4111" s="5" t="str" cm="1">
        <f t="array" ref="C4111">_xlfn.IFS(worksheet[[#This Row],[age]]&lt;25,"1. Young Adulthood (18-24)",worksheet[[#This Row],[age]]&lt; 35,"2. Early Adulthood (25-34)",worksheet[[#This Row],[age]]&lt; 45,"3. Mid Adulthood (35-44)",worksheet[[#This Row],[age]]&lt; 55,"4. Mature Adulthood (45-54)",TRUE,"5. Late Adulthood/Senior (55+)")</f>
        <v>5. Late Adulthood/Senior (55+)</v>
      </c>
      <c r="D4111" t="s">
        <v>27</v>
      </c>
      <c r="E4111" t="s">
        <v>32</v>
      </c>
      <c r="F4111" s="4">
        <v>12.91</v>
      </c>
      <c r="G4111" s="5">
        <v>34</v>
      </c>
      <c r="H4111" t="s">
        <v>28</v>
      </c>
      <c r="I4111" t="s">
        <v>18</v>
      </c>
      <c r="J4111" s="6">
        <v>17.989999999999998</v>
      </c>
      <c r="K4111">
        <v>1</v>
      </c>
      <c r="L4111" t="s">
        <v>29</v>
      </c>
      <c r="M4111" s="5">
        <v>5</v>
      </c>
      <c r="N4111" s="4">
        <v>0.37</v>
      </c>
      <c r="O4111" t="s">
        <v>25</v>
      </c>
    </row>
    <row r="4112" spans="1:15" x14ac:dyDescent="0.3">
      <c r="A4112" t="s">
        <v>2095</v>
      </c>
      <c r="B4112" s="5">
        <v>68</v>
      </c>
      <c r="C4112" s="5" t="str" cm="1">
        <f t="array" ref="C4112">_xlfn.IFS(worksheet[[#This Row],[age]]&lt;25,"1. Young Adulthood (18-24)",worksheet[[#This Row],[age]]&lt; 35,"2. Early Adulthood (25-34)",worksheet[[#This Row],[age]]&lt; 45,"3. Mid Adulthood (35-44)",worksheet[[#This Row],[age]]&lt; 55,"4. Mature Adulthood (45-54)",TRUE,"5. Late Adulthood/Senior (55+)")</f>
        <v>5. Late Adulthood/Senior (55+)</v>
      </c>
      <c r="D4112" t="s">
        <v>15</v>
      </c>
      <c r="E4112" t="s">
        <v>32</v>
      </c>
      <c r="F4112" s="4">
        <v>21.72</v>
      </c>
      <c r="G4112" s="5">
        <v>28</v>
      </c>
      <c r="H4112" t="s">
        <v>23</v>
      </c>
      <c r="I4112" t="s">
        <v>55</v>
      </c>
      <c r="J4112" s="6">
        <v>17.989999999999998</v>
      </c>
      <c r="K4112">
        <v>0</v>
      </c>
      <c r="L4112" t="s">
        <v>29</v>
      </c>
      <c r="M4112" s="5">
        <v>3</v>
      </c>
      <c r="N4112" s="4">
        <v>0.75</v>
      </c>
      <c r="O4112" t="s">
        <v>25</v>
      </c>
    </row>
    <row r="4113" spans="1:15" x14ac:dyDescent="0.3">
      <c r="A4113" t="s">
        <v>2100</v>
      </c>
      <c r="B4113" s="5">
        <v>57</v>
      </c>
      <c r="C4113" s="5" t="str" cm="1">
        <f t="array" ref="C4113">_xlfn.IFS(worksheet[[#This Row],[age]]&lt;25,"1. Young Adulthood (18-24)",worksheet[[#This Row],[age]]&lt; 35,"2. Early Adulthood (25-34)",worksheet[[#This Row],[age]]&lt; 45,"3. Mid Adulthood (35-44)",worksheet[[#This Row],[age]]&lt; 55,"4. Mature Adulthood (45-54)",TRUE,"5. Late Adulthood/Senior (55+)")</f>
        <v>5. Late Adulthood/Senior (55+)</v>
      </c>
      <c r="D4113" t="s">
        <v>41</v>
      </c>
      <c r="E4113" t="s">
        <v>16</v>
      </c>
      <c r="F4113" s="4">
        <v>5.09</v>
      </c>
      <c r="G4113" s="5">
        <v>53</v>
      </c>
      <c r="H4113" t="s">
        <v>23</v>
      </c>
      <c r="I4113" t="s">
        <v>55</v>
      </c>
      <c r="J4113" s="6">
        <v>8.99</v>
      </c>
      <c r="K4113">
        <v>1</v>
      </c>
      <c r="L4113" t="s">
        <v>29</v>
      </c>
      <c r="M4113" s="5">
        <v>2</v>
      </c>
      <c r="N4113" s="4">
        <v>0.09</v>
      </c>
      <c r="O4113" t="s">
        <v>25</v>
      </c>
    </row>
    <row r="4114" spans="1:15" x14ac:dyDescent="0.3">
      <c r="A4114" t="s">
        <v>2102</v>
      </c>
      <c r="B4114" s="5">
        <v>55</v>
      </c>
      <c r="C4114" s="5" t="str" cm="1">
        <f t="array" ref="C4114">_xlfn.IFS(worksheet[[#This Row],[age]]&lt;25,"1. Young Adulthood (18-24)",worksheet[[#This Row],[age]]&lt; 35,"2. Early Adulthood (25-34)",worksheet[[#This Row],[age]]&lt; 45,"3. Mid Adulthood (35-44)",worksheet[[#This Row],[age]]&lt; 55,"4. Mature Adulthood (45-54)",TRUE,"5. Late Adulthood/Senior (55+)")</f>
        <v>5. Late Adulthood/Senior (55+)</v>
      </c>
      <c r="D4114" t="s">
        <v>27</v>
      </c>
      <c r="E4114" t="s">
        <v>22</v>
      </c>
      <c r="F4114" s="4">
        <v>25.31</v>
      </c>
      <c r="G4114" s="5">
        <v>51</v>
      </c>
      <c r="H4114" t="s">
        <v>23</v>
      </c>
      <c r="I4114" t="s">
        <v>18</v>
      </c>
      <c r="J4114" s="6">
        <v>13.99</v>
      </c>
      <c r="K4114">
        <v>0</v>
      </c>
      <c r="L4114" t="s">
        <v>19</v>
      </c>
      <c r="M4114" s="5">
        <v>4</v>
      </c>
      <c r="N4114" s="4">
        <v>0.49</v>
      </c>
      <c r="O4114" t="s">
        <v>34</v>
      </c>
    </row>
    <row r="4115" spans="1:15" x14ac:dyDescent="0.3">
      <c r="A4115" t="s">
        <v>2103</v>
      </c>
      <c r="B4115" s="5">
        <v>63</v>
      </c>
      <c r="C4115" s="5" t="str" cm="1">
        <f t="array" ref="C4115">_xlfn.IFS(worksheet[[#This Row],[age]]&lt;25,"1. Young Adulthood (18-24)",worksheet[[#This Row],[age]]&lt; 35,"2. Early Adulthood (25-34)",worksheet[[#This Row],[age]]&lt; 45,"3. Mid Adulthood (35-44)",worksheet[[#This Row],[age]]&lt; 55,"4. Mature Adulthood (45-54)",TRUE,"5. Late Adulthood/Senior (55+)")</f>
        <v>5. Late Adulthood/Senior (55+)</v>
      </c>
      <c r="D4115" t="s">
        <v>41</v>
      </c>
      <c r="E4115" t="s">
        <v>32</v>
      </c>
      <c r="F4115" s="4">
        <v>13.77</v>
      </c>
      <c r="G4115" s="5">
        <v>51</v>
      </c>
      <c r="H4115" t="s">
        <v>17</v>
      </c>
      <c r="I4115" t="s">
        <v>24</v>
      </c>
      <c r="J4115" s="6">
        <v>17.989999999999998</v>
      </c>
      <c r="K4115">
        <v>1</v>
      </c>
      <c r="L4115" t="s">
        <v>19</v>
      </c>
      <c r="M4115" s="5">
        <v>5</v>
      </c>
      <c r="N4115" s="4">
        <v>0.26</v>
      </c>
      <c r="O4115" t="s">
        <v>39</v>
      </c>
    </row>
    <row r="4116" spans="1:15" x14ac:dyDescent="0.3">
      <c r="A4116" t="s">
        <v>2110</v>
      </c>
      <c r="B4116" s="5">
        <v>68</v>
      </c>
      <c r="C4116" s="5" t="str" cm="1">
        <f t="array" ref="C4116">_xlfn.IFS(worksheet[[#This Row],[age]]&lt;25,"1. Young Adulthood (18-24)",worksheet[[#This Row],[age]]&lt; 35,"2. Early Adulthood (25-34)",worksheet[[#This Row],[age]]&lt; 45,"3. Mid Adulthood (35-44)",worksheet[[#This Row],[age]]&lt; 55,"4. Mature Adulthood (45-54)",TRUE,"5. Late Adulthood/Senior (55+)")</f>
        <v>5. Late Adulthood/Senior (55+)</v>
      </c>
      <c r="D4116" t="s">
        <v>15</v>
      </c>
      <c r="E4116" t="s">
        <v>16</v>
      </c>
      <c r="F4116" s="4">
        <v>20.54</v>
      </c>
      <c r="G4116" s="5">
        <v>14</v>
      </c>
      <c r="H4116" t="s">
        <v>17</v>
      </c>
      <c r="I4116" t="s">
        <v>18</v>
      </c>
      <c r="J4116" s="6">
        <v>8.99</v>
      </c>
      <c r="K4116">
        <v>0</v>
      </c>
      <c r="L4116" t="s">
        <v>43</v>
      </c>
      <c r="M4116" s="5">
        <v>5</v>
      </c>
      <c r="N4116" s="4">
        <v>1.37</v>
      </c>
      <c r="O4116" t="s">
        <v>25</v>
      </c>
    </row>
    <row r="4117" spans="1:15" x14ac:dyDescent="0.3">
      <c r="A4117" t="s">
        <v>2119</v>
      </c>
      <c r="B4117" s="5">
        <v>57</v>
      </c>
      <c r="C4117" s="5" t="str" cm="1">
        <f t="array" ref="C4117">_xlfn.IFS(worksheet[[#This Row],[age]]&lt;25,"1. Young Adulthood (18-24)",worksheet[[#This Row],[age]]&lt; 35,"2. Early Adulthood (25-34)",worksheet[[#This Row],[age]]&lt; 45,"3. Mid Adulthood (35-44)",worksheet[[#This Row],[age]]&lt; 55,"4. Mature Adulthood (45-54)",TRUE,"5. Late Adulthood/Senior (55+)")</f>
        <v>5. Late Adulthood/Senior (55+)</v>
      </c>
      <c r="D4117" t="s">
        <v>27</v>
      </c>
      <c r="E4117" t="s">
        <v>22</v>
      </c>
      <c r="F4117" s="4">
        <v>4.91</v>
      </c>
      <c r="G4117" s="5">
        <v>6</v>
      </c>
      <c r="H4117" t="s">
        <v>70</v>
      </c>
      <c r="I4117" t="s">
        <v>55</v>
      </c>
      <c r="J4117" s="6">
        <v>13.99</v>
      </c>
      <c r="K4117">
        <v>0</v>
      </c>
      <c r="L4117" t="s">
        <v>43</v>
      </c>
      <c r="M4117" s="5">
        <v>1</v>
      </c>
      <c r="N4117" s="4">
        <v>0.7</v>
      </c>
      <c r="O4117" t="s">
        <v>25</v>
      </c>
    </row>
    <row r="4118" spans="1:15" x14ac:dyDescent="0.3">
      <c r="A4118" t="s">
        <v>2120</v>
      </c>
      <c r="B4118" s="5">
        <v>58</v>
      </c>
      <c r="C4118" s="5" t="str" cm="1">
        <f t="array" ref="C4118">_xlfn.IFS(worksheet[[#This Row],[age]]&lt;25,"1. Young Adulthood (18-24)",worksheet[[#This Row],[age]]&lt; 35,"2. Early Adulthood (25-34)",worksheet[[#This Row],[age]]&lt; 45,"3. Mid Adulthood (35-44)",worksheet[[#This Row],[age]]&lt; 55,"4. Mature Adulthood (45-54)",TRUE,"5. Late Adulthood/Senior (55+)")</f>
        <v>5. Late Adulthood/Senior (55+)</v>
      </c>
      <c r="D4118" t="s">
        <v>41</v>
      </c>
      <c r="E4118" t="s">
        <v>22</v>
      </c>
      <c r="F4118" s="4">
        <v>4.83</v>
      </c>
      <c r="G4118" s="5">
        <v>49</v>
      </c>
      <c r="H4118" t="s">
        <v>28</v>
      </c>
      <c r="I4118" t="s">
        <v>18</v>
      </c>
      <c r="J4118" s="6">
        <v>13.99</v>
      </c>
      <c r="K4118">
        <v>1</v>
      </c>
      <c r="L4118" t="s">
        <v>43</v>
      </c>
      <c r="M4118" s="5">
        <v>4</v>
      </c>
      <c r="N4118" s="4">
        <v>0.1</v>
      </c>
      <c r="O4118" t="s">
        <v>52</v>
      </c>
    </row>
    <row r="4119" spans="1:15" x14ac:dyDescent="0.3">
      <c r="A4119" t="s">
        <v>2121</v>
      </c>
      <c r="B4119" s="5">
        <v>65</v>
      </c>
      <c r="C4119" s="5" t="str" cm="1">
        <f t="array" ref="C4119">_xlfn.IFS(worksheet[[#This Row],[age]]&lt;25,"1. Young Adulthood (18-24)",worksheet[[#This Row],[age]]&lt; 35,"2. Early Adulthood (25-34)",worksheet[[#This Row],[age]]&lt; 45,"3. Mid Adulthood (35-44)",worksheet[[#This Row],[age]]&lt; 55,"4. Mature Adulthood (45-54)",TRUE,"5. Late Adulthood/Senior (55+)")</f>
        <v>5. Late Adulthood/Senior (55+)</v>
      </c>
      <c r="D4119" t="s">
        <v>27</v>
      </c>
      <c r="E4119" t="s">
        <v>16</v>
      </c>
      <c r="F4119" s="4">
        <v>4.09</v>
      </c>
      <c r="G4119" s="5">
        <v>18</v>
      </c>
      <c r="H4119" t="s">
        <v>23</v>
      </c>
      <c r="I4119" t="s">
        <v>24</v>
      </c>
      <c r="J4119" s="6">
        <v>8.99</v>
      </c>
      <c r="K4119">
        <v>1</v>
      </c>
      <c r="L4119" t="s">
        <v>61</v>
      </c>
      <c r="M4119" s="5">
        <v>2</v>
      </c>
      <c r="N4119" s="4">
        <v>0.22</v>
      </c>
      <c r="O4119" t="s">
        <v>30</v>
      </c>
    </row>
    <row r="4120" spans="1:15" x14ac:dyDescent="0.3">
      <c r="A4120" t="s">
        <v>2123</v>
      </c>
      <c r="B4120" s="5">
        <v>68</v>
      </c>
      <c r="C4120" s="5" t="str" cm="1">
        <f t="array" ref="C4120">_xlfn.IFS(worksheet[[#This Row],[age]]&lt;25,"1. Young Adulthood (18-24)",worksheet[[#This Row],[age]]&lt; 35,"2. Early Adulthood (25-34)",worksheet[[#This Row],[age]]&lt; 45,"3. Mid Adulthood (35-44)",worksheet[[#This Row],[age]]&lt; 55,"4. Mature Adulthood (45-54)",TRUE,"5. Late Adulthood/Senior (55+)")</f>
        <v>5. Late Adulthood/Senior (55+)</v>
      </c>
      <c r="D4120" t="s">
        <v>27</v>
      </c>
      <c r="E4120" t="s">
        <v>16</v>
      </c>
      <c r="F4120" s="4">
        <v>15.85</v>
      </c>
      <c r="G4120" s="5">
        <v>38</v>
      </c>
      <c r="H4120" t="s">
        <v>49</v>
      </c>
      <c r="I4120" t="s">
        <v>18</v>
      </c>
      <c r="J4120" s="6">
        <v>8.99</v>
      </c>
      <c r="K4120">
        <v>1</v>
      </c>
      <c r="L4120" t="s">
        <v>29</v>
      </c>
      <c r="M4120" s="5">
        <v>2</v>
      </c>
      <c r="N4120" s="4">
        <v>0.41</v>
      </c>
      <c r="O4120" t="s">
        <v>34</v>
      </c>
    </row>
    <row r="4121" spans="1:15" x14ac:dyDescent="0.3">
      <c r="A4121" t="s">
        <v>2124</v>
      </c>
      <c r="B4121" s="5">
        <v>68</v>
      </c>
      <c r="C4121" s="5" t="str" cm="1">
        <f t="array" ref="C4121">_xlfn.IFS(worksheet[[#This Row],[age]]&lt;25,"1. Young Adulthood (18-24)",worksheet[[#This Row],[age]]&lt; 35,"2. Early Adulthood (25-34)",worksheet[[#This Row],[age]]&lt; 45,"3. Mid Adulthood (35-44)",worksheet[[#This Row],[age]]&lt; 55,"4. Mature Adulthood (45-54)",TRUE,"5. Late Adulthood/Senior (55+)")</f>
        <v>5. Late Adulthood/Senior (55+)</v>
      </c>
      <c r="D4121" t="s">
        <v>41</v>
      </c>
      <c r="E4121" t="s">
        <v>16</v>
      </c>
      <c r="F4121" s="4">
        <v>3.01</v>
      </c>
      <c r="G4121" s="5">
        <v>27</v>
      </c>
      <c r="H4121" t="s">
        <v>17</v>
      </c>
      <c r="I4121" t="s">
        <v>57</v>
      </c>
      <c r="J4121" s="6">
        <v>8.99</v>
      </c>
      <c r="K4121">
        <v>1</v>
      </c>
      <c r="L4121" t="s">
        <v>29</v>
      </c>
      <c r="M4121" s="5">
        <v>3</v>
      </c>
      <c r="N4121" s="4">
        <v>0.11</v>
      </c>
      <c r="O4121" t="s">
        <v>30</v>
      </c>
    </row>
    <row r="4122" spans="1:15" x14ac:dyDescent="0.3">
      <c r="A4122" t="s">
        <v>2129</v>
      </c>
      <c r="B4122" s="5">
        <v>68</v>
      </c>
      <c r="C4122" s="5" t="str" cm="1">
        <f t="array" ref="C4122">_xlfn.IFS(worksheet[[#This Row],[age]]&lt;25,"1. Young Adulthood (18-24)",worksheet[[#This Row],[age]]&lt; 35,"2. Early Adulthood (25-34)",worksheet[[#This Row],[age]]&lt; 45,"3. Mid Adulthood (35-44)",worksheet[[#This Row],[age]]&lt; 55,"4. Mature Adulthood (45-54)",TRUE,"5. Late Adulthood/Senior (55+)")</f>
        <v>5. Late Adulthood/Senior (55+)</v>
      </c>
      <c r="D4122" t="s">
        <v>27</v>
      </c>
      <c r="E4122" t="s">
        <v>32</v>
      </c>
      <c r="F4122" s="4">
        <v>5.99</v>
      </c>
      <c r="G4122" s="5">
        <v>19</v>
      </c>
      <c r="H4122" t="s">
        <v>70</v>
      </c>
      <c r="I4122" t="s">
        <v>57</v>
      </c>
      <c r="J4122" s="6">
        <v>17.989999999999998</v>
      </c>
      <c r="K4122">
        <v>0</v>
      </c>
      <c r="L4122" t="s">
        <v>19</v>
      </c>
      <c r="M4122" s="5">
        <v>4</v>
      </c>
      <c r="N4122" s="4">
        <v>0.3</v>
      </c>
      <c r="O4122" t="s">
        <v>39</v>
      </c>
    </row>
    <row r="4123" spans="1:15" x14ac:dyDescent="0.3">
      <c r="A4123" t="s">
        <v>2132</v>
      </c>
      <c r="B4123" s="5">
        <v>56</v>
      </c>
      <c r="C4123" s="5" t="str" cm="1">
        <f t="array" ref="C4123">_xlfn.IFS(worksheet[[#This Row],[age]]&lt;25,"1. Young Adulthood (18-24)",worksheet[[#This Row],[age]]&lt; 35,"2. Early Adulthood (25-34)",worksheet[[#This Row],[age]]&lt; 45,"3. Mid Adulthood (35-44)",worksheet[[#This Row],[age]]&lt; 55,"4. Mature Adulthood (45-54)",TRUE,"5. Late Adulthood/Senior (55+)")</f>
        <v>5. Late Adulthood/Senior (55+)</v>
      </c>
      <c r="D4123" t="s">
        <v>27</v>
      </c>
      <c r="E4123" t="s">
        <v>32</v>
      </c>
      <c r="F4123" s="4">
        <v>19.03</v>
      </c>
      <c r="G4123" s="5">
        <v>37</v>
      </c>
      <c r="H4123" t="s">
        <v>49</v>
      </c>
      <c r="I4123" t="s">
        <v>57</v>
      </c>
      <c r="J4123" s="6">
        <v>17.989999999999998</v>
      </c>
      <c r="K4123">
        <v>0</v>
      </c>
      <c r="L4123" t="s">
        <v>61</v>
      </c>
      <c r="M4123" s="5">
        <v>1</v>
      </c>
      <c r="N4123" s="4">
        <v>0.5</v>
      </c>
      <c r="O4123" t="s">
        <v>39</v>
      </c>
    </row>
    <row r="4124" spans="1:15" x14ac:dyDescent="0.3">
      <c r="A4124" t="s">
        <v>2134</v>
      </c>
      <c r="B4124" s="5">
        <v>57</v>
      </c>
      <c r="C4124" s="5" t="str" cm="1">
        <f t="array" ref="C4124">_xlfn.IFS(worksheet[[#This Row],[age]]&lt;25,"1. Young Adulthood (18-24)",worksheet[[#This Row],[age]]&lt; 35,"2. Early Adulthood (25-34)",worksheet[[#This Row],[age]]&lt; 45,"3. Mid Adulthood (35-44)",worksheet[[#This Row],[age]]&lt; 55,"4. Mature Adulthood (45-54)",TRUE,"5. Late Adulthood/Senior (55+)")</f>
        <v>5. Late Adulthood/Senior (55+)</v>
      </c>
      <c r="D4124" t="s">
        <v>15</v>
      </c>
      <c r="E4124" t="s">
        <v>16</v>
      </c>
      <c r="F4124" s="4">
        <v>27.17</v>
      </c>
      <c r="G4124" s="5">
        <v>38</v>
      </c>
      <c r="H4124" t="s">
        <v>49</v>
      </c>
      <c r="I4124" t="s">
        <v>18</v>
      </c>
      <c r="J4124" s="6">
        <v>8.99</v>
      </c>
      <c r="K4124">
        <v>0</v>
      </c>
      <c r="L4124" t="s">
        <v>43</v>
      </c>
      <c r="M4124" s="5">
        <v>5</v>
      </c>
      <c r="N4124" s="4">
        <v>0.7</v>
      </c>
      <c r="O4124" t="s">
        <v>47</v>
      </c>
    </row>
    <row r="4125" spans="1:15" x14ac:dyDescent="0.3">
      <c r="A4125" t="s">
        <v>2137</v>
      </c>
      <c r="B4125" s="5">
        <v>66</v>
      </c>
      <c r="C4125" s="5" t="str" cm="1">
        <f t="array" ref="C4125">_xlfn.IFS(worksheet[[#This Row],[age]]&lt;25,"1. Young Adulthood (18-24)",worksheet[[#This Row],[age]]&lt; 35,"2. Early Adulthood (25-34)",worksheet[[#This Row],[age]]&lt; 45,"3. Mid Adulthood (35-44)",worksheet[[#This Row],[age]]&lt; 55,"4. Mature Adulthood (45-54)",TRUE,"5. Late Adulthood/Senior (55+)")</f>
        <v>5. Late Adulthood/Senior (55+)</v>
      </c>
      <c r="D4125" t="s">
        <v>15</v>
      </c>
      <c r="E4125" t="s">
        <v>32</v>
      </c>
      <c r="F4125" s="4">
        <v>10.48</v>
      </c>
      <c r="G4125" s="5">
        <v>29</v>
      </c>
      <c r="H4125" t="s">
        <v>23</v>
      </c>
      <c r="I4125" t="s">
        <v>24</v>
      </c>
      <c r="J4125" s="6">
        <v>17.989999999999998</v>
      </c>
      <c r="K4125">
        <v>0</v>
      </c>
      <c r="L4125" t="s">
        <v>43</v>
      </c>
      <c r="M4125" s="5">
        <v>3</v>
      </c>
      <c r="N4125" s="4">
        <v>0.35</v>
      </c>
      <c r="O4125" t="s">
        <v>34</v>
      </c>
    </row>
    <row r="4126" spans="1:15" x14ac:dyDescent="0.3">
      <c r="A4126" t="s">
        <v>2140</v>
      </c>
      <c r="B4126" s="5">
        <v>69</v>
      </c>
      <c r="C4126" s="5" t="str" cm="1">
        <f t="array" ref="C4126">_xlfn.IFS(worksheet[[#This Row],[age]]&lt;25,"1. Young Adulthood (18-24)",worksheet[[#This Row],[age]]&lt; 35,"2. Early Adulthood (25-34)",worksheet[[#This Row],[age]]&lt; 45,"3. Mid Adulthood (35-44)",worksheet[[#This Row],[age]]&lt; 55,"4. Mature Adulthood (45-54)",TRUE,"5. Late Adulthood/Senior (55+)")</f>
        <v>5. Late Adulthood/Senior (55+)</v>
      </c>
      <c r="D4126" t="s">
        <v>41</v>
      </c>
      <c r="E4126" t="s">
        <v>32</v>
      </c>
      <c r="F4126" s="4">
        <v>9.8000000000000007</v>
      </c>
      <c r="G4126" s="5">
        <v>56</v>
      </c>
      <c r="H4126" t="s">
        <v>33</v>
      </c>
      <c r="I4126" t="s">
        <v>18</v>
      </c>
      <c r="J4126" s="6">
        <v>17.989999999999998</v>
      </c>
      <c r="K4126">
        <v>1</v>
      </c>
      <c r="L4126" t="s">
        <v>19</v>
      </c>
      <c r="M4126" s="5">
        <v>2</v>
      </c>
      <c r="N4126" s="4">
        <v>0.17</v>
      </c>
      <c r="O4126" t="s">
        <v>52</v>
      </c>
    </row>
    <row r="4127" spans="1:15" x14ac:dyDescent="0.3">
      <c r="A4127" t="s">
        <v>2143</v>
      </c>
      <c r="B4127" s="5">
        <v>58</v>
      </c>
      <c r="C4127" s="5" t="str" cm="1">
        <f t="array" ref="C4127">_xlfn.IFS(worksheet[[#This Row],[age]]&lt;25,"1. Young Adulthood (18-24)",worksheet[[#This Row],[age]]&lt; 35,"2. Early Adulthood (25-34)",worksheet[[#This Row],[age]]&lt; 45,"3. Mid Adulthood (35-44)",worksheet[[#This Row],[age]]&lt; 55,"4. Mature Adulthood (45-54)",TRUE,"5. Late Adulthood/Senior (55+)")</f>
        <v>5. Late Adulthood/Senior (55+)</v>
      </c>
      <c r="D4127" t="s">
        <v>41</v>
      </c>
      <c r="E4127" t="s">
        <v>32</v>
      </c>
      <c r="F4127" s="4">
        <v>27.98</v>
      </c>
      <c r="G4127" s="5">
        <v>8</v>
      </c>
      <c r="H4127" t="s">
        <v>70</v>
      </c>
      <c r="I4127" t="s">
        <v>24</v>
      </c>
      <c r="J4127" s="6">
        <v>17.989999999999998</v>
      </c>
      <c r="K4127">
        <v>0</v>
      </c>
      <c r="L4127" t="s">
        <v>29</v>
      </c>
      <c r="M4127" s="5">
        <v>1</v>
      </c>
      <c r="N4127" s="4">
        <v>3.11</v>
      </c>
      <c r="O4127" t="s">
        <v>39</v>
      </c>
    </row>
    <row r="4128" spans="1:15" x14ac:dyDescent="0.3">
      <c r="A4128" t="s">
        <v>2147</v>
      </c>
      <c r="B4128" s="5">
        <v>58</v>
      </c>
      <c r="C4128" s="5" t="str" cm="1">
        <f t="array" ref="C4128">_xlfn.IFS(worksheet[[#This Row],[age]]&lt;25,"1. Young Adulthood (18-24)",worksheet[[#This Row],[age]]&lt; 35,"2. Early Adulthood (25-34)",worksheet[[#This Row],[age]]&lt; 45,"3. Mid Adulthood (35-44)",worksheet[[#This Row],[age]]&lt; 55,"4. Mature Adulthood (45-54)",TRUE,"5. Late Adulthood/Senior (55+)")</f>
        <v>5. Late Adulthood/Senior (55+)</v>
      </c>
      <c r="D4128" t="s">
        <v>27</v>
      </c>
      <c r="E4128" t="s">
        <v>32</v>
      </c>
      <c r="F4128" s="4">
        <v>3.44</v>
      </c>
      <c r="G4128" s="5">
        <v>17</v>
      </c>
      <c r="H4128" t="s">
        <v>23</v>
      </c>
      <c r="I4128" t="s">
        <v>46</v>
      </c>
      <c r="J4128" s="6">
        <v>17.989999999999998</v>
      </c>
      <c r="K4128">
        <v>1</v>
      </c>
      <c r="L4128" t="s">
        <v>29</v>
      </c>
      <c r="M4128" s="5">
        <v>3</v>
      </c>
      <c r="N4128" s="4">
        <v>0.19</v>
      </c>
      <c r="O4128" t="s">
        <v>47</v>
      </c>
    </row>
    <row r="4129" spans="1:15" x14ac:dyDescent="0.3">
      <c r="A4129" t="s">
        <v>2148</v>
      </c>
      <c r="B4129" s="5">
        <v>64</v>
      </c>
      <c r="C4129" s="5" t="str" cm="1">
        <f t="array" ref="C4129">_xlfn.IFS(worksheet[[#This Row],[age]]&lt;25,"1. Young Adulthood (18-24)",worksheet[[#This Row],[age]]&lt; 35,"2. Early Adulthood (25-34)",worksheet[[#This Row],[age]]&lt; 45,"3. Mid Adulthood (35-44)",worksheet[[#This Row],[age]]&lt; 55,"4. Mature Adulthood (45-54)",TRUE,"5. Late Adulthood/Senior (55+)")</f>
        <v>5. Late Adulthood/Senior (55+)</v>
      </c>
      <c r="D4129" t="s">
        <v>27</v>
      </c>
      <c r="E4129" t="s">
        <v>16</v>
      </c>
      <c r="F4129" s="4">
        <v>12.14</v>
      </c>
      <c r="G4129" s="5">
        <v>50</v>
      </c>
      <c r="H4129" t="s">
        <v>23</v>
      </c>
      <c r="I4129" t="s">
        <v>55</v>
      </c>
      <c r="J4129" s="6">
        <v>8.99</v>
      </c>
      <c r="K4129">
        <v>1</v>
      </c>
      <c r="L4129" t="s">
        <v>43</v>
      </c>
      <c r="M4129" s="5">
        <v>3</v>
      </c>
      <c r="N4129" s="4">
        <v>0.24</v>
      </c>
      <c r="O4129" t="s">
        <v>34</v>
      </c>
    </row>
    <row r="4130" spans="1:15" x14ac:dyDescent="0.3">
      <c r="A4130" t="s">
        <v>2151</v>
      </c>
      <c r="B4130" s="5">
        <v>57</v>
      </c>
      <c r="C4130" s="5" t="str" cm="1">
        <f t="array" ref="C4130">_xlfn.IFS(worksheet[[#This Row],[age]]&lt;25,"1. Young Adulthood (18-24)",worksheet[[#This Row],[age]]&lt; 35,"2. Early Adulthood (25-34)",worksheet[[#This Row],[age]]&lt; 45,"3. Mid Adulthood (35-44)",worksheet[[#This Row],[age]]&lt; 55,"4. Mature Adulthood (45-54)",TRUE,"5. Late Adulthood/Senior (55+)")</f>
        <v>5. Late Adulthood/Senior (55+)</v>
      </c>
      <c r="D4130" t="s">
        <v>41</v>
      </c>
      <c r="E4130" t="s">
        <v>16</v>
      </c>
      <c r="F4130" s="4">
        <v>0.06</v>
      </c>
      <c r="G4130" s="5">
        <v>39</v>
      </c>
      <c r="H4130" t="s">
        <v>70</v>
      </c>
      <c r="I4130" t="s">
        <v>18</v>
      </c>
      <c r="J4130" s="6">
        <v>8.99</v>
      </c>
      <c r="K4130">
        <v>1</v>
      </c>
      <c r="L4130" t="s">
        <v>29</v>
      </c>
      <c r="M4130" s="5">
        <v>4</v>
      </c>
      <c r="N4130" s="4">
        <v>0</v>
      </c>
      <c r="O4130" t="s">
        <v>25</v>
      </c>
    </row>
    <row r="4131" spans="1:15" x14ac:dyDescent="0.3">
      <c r="A4131" t="s">
        <v>2154</v>
      </c>
      <c r="B4131" s="5">
        <v>63</v>
      </c>
      <c r="C4131" s="5" t="str" cm="1">
        <f t="array" ref="C4131">_xlfn.IFS(worksheet[[#This Row],[age]]&lt;25,"1. Young Adulthood (18-24)",worksheet[[#This Row],[age]]&lt; 35,"2. Early Adulthood (25-34)",worksheet[[#This Row],[age]]&lt; 45,"3. Mid Adulthood (35-44)",worksheet[[#This Row],[age]]&lt; 55,"4. Mature Adulthood (45-54)",TRUE,"5. Late Adulthood/Senior (55+)")</f>
        <v>5. Late Adulthood/Senior (55+)</v>
      </c>
      <c r="D4131" t="s">
        <v>15</v>
      </c>
      <c r="E4131" t="s">
        <v>22</v>
      </c>
      <c r="F4131" s="4">
        <v>0.83</v>
      </c>
      <c r="G4131" s="5">
        <v>41</v>
      </c>
      <c r="H4131" t="s">
        <v>28</v>
      </c>
      <c r="I4131" t="s">
        <v>24</v>
      </c>
      <c r="J4131" s="6">
        <v>13.99</v>
      </c>
      <c r="K4131">
        <v>1</v>
      </c>
      <c r="L4131" t="s">
        <v>19</v>
      </c>
      <c r="M4131" s="5">
        <v>2</v>
      </c>
      <c r="N4131" s="4">
        <v>0.02</v>
      </c>
      <c r="O4131" t="s">
        <v>47</v>
      </c>
    </row>
    <row r="4132" spans="1:15" x14ac:dyDescent="0.3">
      <c r="A4132" t="s">
        <v>2155</v>
      </c>
      <c r="B4132" s="5">
        <v>59</v>
      </c>
      <c r="C4132" s="5" t="str" cm="1">
        <f t="array" ref="C4132">_xlfn.IFS(worksheet[[#This Row],[age]]&lt;25,"1. Young Adulthood (18-24)",worksheet[[#This Row],[age]]&lt; 35,"2. Early Adulthood (25-34)",worksheet[[#This Row],[age]]&lt; 45,"3. Mid Adulthood (35-44)",worksheet[[#This Row],[age]]&lt; 55,"4. Mature Adulthood (45-54)",TRUE,"5. Late Adulthood/Senior (55+)")</f>
        <v>5. Late Adulthood/Senior (55+)</v>
      </c>
      <c r="D4132" t="s">
        <v>27</v>
      </c>
      <c r="E4132" t="s">
        <v>16</v>
      </c>
      <c r="F4132" s="4">
        <v>12.13</v>
      </c>
      <c r="G4132" s="5">
        <v>23</v>
      </c>
      <c r="H4132" t="s">
        <v>28</v>
      </c>
      <c r="I4132" t="s">
        <v>18</v>
      </c>
      <c r="J4132" s="6">
        <v>8.99</v>
      </c>
      <c r="K4132">
        <v>0</v>
      </c>
      <c r="L4132" t="s">
        <v>37</v>
      </c>
      <c r="M4132" s="5">
        <v>5</v>
      </c>
      <c r="N4132" s="4">
        <v>0.51</v>
      </c>
      <c r="O4132" t="s">
        <v>30</v>
      </c>
    </row>
    <row r="4133" spans="1:15" x14ac:dyDescent="0.3">
      <c r="A4133" t="s">
        <v>2156</v>
      </c>
      <c r="B4133" s="5">
        <v>65</v>
      </c>
      <c r="C4133" s="5" t="str" cm="1">
        <f t="array" ref="C4133">_xlfn.IFS(worksheet[[#This Row],[age]]&lt;25,"1. Young Adulthood (18-24)",worksheet[[#This Row],[age]]&lt; 35,"2. Early Adulthood (25-34)",worksheet[[#This Row],[age]]&lt; 45,"3. Mid Adulthood (35-44)",worksheet[[#This Row],[age]]&lt; 55,"4. Mature Adulthood (45-54)",TRUE,"5. Late Adulthood/Senior (55+)")</f>
        <v>5. Late Adulthood/Senior (55+)</v>
      </c>
      <c r="D4133" t="s">
        <v>27</v>
      </c>
      <c r="E4133" t="s">
        <v>16</v>
      </c>
      <c r="F4133" s="4">
        <v>11.25</v>
      </c>
      <c r="G4133" s="5">
        <v>22</v>
      </c>
      <c r="H4133" t="s">
        <v>33</v>
      </c>
      <c r="I4133" t="s">
        <v>55</v>
      </c>
      <c r="J4133" s="6">
        <v>8.99</v>
      </c>
      <c r="K4133">
        <v>1</v>
      </c>
      <c r="L4133" t="s">
        <v>29</v>
      </c>
      <c r="M4133" s="5">
        <v>3</v>
      </c>
      <c r="N4133" s="4">
        <v>0.49</v>
      </c>
      <c r="O4133" t="s">
        <v>30</v>
      </c>
    </row>
    <row r="4134" spans="1:15" x14ac:dyDescent="0.3">
      <c r="A4134" t="s">
        <v>2159</v>
      </c>
      <c r="B4134" s="5">
        <v>59</v>
      </c>
      <c r="C4134" s="5" t="str" cm="1">
        <f t="array" ref="C4134">_xlfn.IFS(worksheet[[#This Row],[age]]&lt;25,"1. Young Adulthood (18-24)",worksheet[[#This Row],[age]]&lt; 35,"2. Early Adulthood (25-34)",worksheet[[#This Row],[age]]&lt; 45,"3. Mid Adulthood (35-44)",worksheet[[#This Row],[age]]&lt; 55,"4. Mature Adulthood (45-54)",TRUE,"5. Late Adulthood/Senior (55+)")</f>
        <v>5. Late Adulthood/Senior (55+)</v>
      </c>
      <c r="D4134" t="s">
        <v>27</v>
      </c>
      <c r="E4134" t="s">
        <v>16</v>
      </c>
      <c r="F4134" s="4">
        <v>17.34</v>
      </c>
      <c r="G4134" s="5">
        <v>40</v>
      </c>
      <c r="H4134" t="s">
        <v>23</v>
      </c>
      <c r="I4134" t="s">
        <v>24</v>
      </c>
      <c r="J4134" s="6">
        <v>8.99</v>
      </c>
      <c r="K4134">
        <v>1</v>
      </c>
      <c r="L4134" t="s">
        <v>37</v>
      </c>
      <c r="M4134" s="5">
        <v>3</v>
      </c>
      <c r="N4134" s="4">
        <v>0.42</v>
      </c>
      <c r="O4134" t="s">
        <v>47</v>
      </c>
    </row>
    <row r="4135" spans="1:15" x14ac:dyDescent="0.3">
      <c r="A4135" t="s">
        <v>2167</v>
      </c>
      <c r="B4135" s="5">
        <v>58</v>
      </c>
      <c r="C4135" s="5" t="str" cm="1">
        <f t="array" ref="C4135">_xlfn.IFS(worksheet[[#This Row],[age]]&lt;25,"1. Young Adulthood (18-24)",worksheet[[#This Row],[age]]&lt; 35,"2. Early Adulthood (25-34)",worksheet[[#This Row],[age]]&lt; 45,"3. Mid Adulthood (35-44)",worksheet[[#This Row],[age]]&lt; 55,"4. Mature Adulthood (45-54)",TRUE,"5. Late Adulthood/Senior (55+)")</f>
        <v>5. Late Adulthood/Senior (55+)</v>
      </c>
      <c r="D4135" t="s">
        <v>41</v>
      </c>
      <c r="E4135" t="s">
        <v>22</v>
      </c>
      <c r="F4135" s="4">
        <v>10.77</v>
      </c>
      <c r="G4135" s="5">
        <v>44</v>
      </c>
      <c r="H4135" t="s">
        <v>33</v>
      </c>
      <c r="I4135" t="s">
        <v>18</v>
      </c>
      <c r="J4135" s="6">
        <v>13.99</v>
      </c>
      <c r="K4135">
        <v>1</v>
      </c>
      <c r="L4135" t="s">
        <v>43</v>
      </c>
      <c r="M4135" s="5">
        <v>1</v>
      </c>
      <c r="N4135" s="4">
        <v>0.24</v>
      </c>
      <c r="O4135" t="s">
        <v>39</v>
      </c>
    </row>
    <row r="4136" spans="1:15" x14ac:dyDescent="0.3">
      <c r="A4136" t="s">
        <v>2168</v>
      </c>
      <c r="B4136" s="5">
        <v>66</v>
      </c>
      <c r="C4136" s="5" t="str" cm="1">
        <f t="array" ref="C4136">_xlfn.IFS(worksheet[[#This Row],[age]]&lt;25,"1. Young Adulthood (18-24)",worksheet[[#This Row],[age]]&lt; 35,"2. Early Adulthood (25-34)",worksheet[[#This Row],[age]]&lt; 45,"3. Mid Adulthood (35-44)",worksheet[[#This Row],[age]]&lt; 55,"4. Mature Adulthood (45-54)",TRUE,"5. Late Adulthood/Senior (55+)")</f>
        <v>5. Late Adulthood/Senior (55+)</v>
      </c>
      <c r="D4136" t="s">
        <v>27</v>
      </c>
      <c r="E4136" t="s">
        <v>32</v>
      </c>
      <c r="F4136" s="4">
        <v>13.36</v>
      </c>
      <c r="G4136" s="5">
        <v>15</v>
      </c>
      <c r="H4136" t="s">
        <v>17</v>
      </c>
      <c r="I4136" t="s">
        <v>55</v>
      </c>
      <c r="J4136" s="6">
        <v>17.989999999999998</v>
      </c>
      <c r="K4136">
        <v>0</v>
      </c>
      <c r="L4136" t="s">
        <v>19</v>
      </c>
      <c r="M4136" s="5">
        <v>5</v>
      </c>
      <c r="N4136" s="4">
        <v>0.83</v>
      </c>
      <c r="O4136" t="s">
        <v>25</v>
      </c>
    </row>
    <row r="4137" spans="1:15" x14ac:dyDescent="0.3">
      <c r="A4137" t="s">
        <v>2174</v>
      </c>
      <c r="B4137" s="5">
        <v>60</v>
      </c>
      <c r="C4137" s="5" t="str" cm="1">
        <f t="array" ref="C4137">_xlfn.IFS(worksheet[[#This Row],[age]]&lt;25,"1. Young Adulthood (18-24)",worksheet[[#This Row],[age]]&lt; 35,"2. Early Adulthood (25-34)",worksheet[[#This Row],[age]]&lt; 45,"3. Mid Adulthood (35-44)",worksheet[[#This Row],[age]]&lt; 55,"4. Mature Adulthood (45-54)",TRUE,"5. Late Adulthood/Senior (55+)")</f>
        <v>5. Late Adulthood/Senior (55+)</v>
      </c>
      <c r="D4137" t="s">
        <v>15</v>
      </c>
      <c r="E4137" t="s">
        <v>16</v>
      </c>
      <c r="F4137" s="4">
        <v>14.45</v>
      </c>
      <c r="G4137" s="5">
        <v>52</v>
      </c>
      <c r="H4137" t="s">
        <v>33</v>
      </c>
      <c r="I4137" t="s">
        <v>18</v>
      </c>
      <c r="J4137" s="6">
        <v>8.99</v>
      </c>
      <c r="K4137">
        <v>1</v>
      </c>
      <c r="L4137" t="s">
        <v>43</v>
      </c>
      <c r="M4137" s="5">
        <v>5</v>
      </c>
      <c r="N4137" s="4">
        <v>0.27</v>
      </c>
      <c r="O4137" t="s">
        <v>30</v>
      </c>
    </row>
    <row r="4138" spans="1:15" x14ac:dyDescent="0.3">
      <c r="A4138" t="s">
        <v>2179</v>
      </c>
      <c r="B4138" s="5">
        <v>67</v>
      </c>
      <c r="C4138" s="5" t="str" cm="1">
        <f t="array" ref="C4138">_xlfn.IFS(worksheet[[#This Row],[age]]&lt;25,"1. Young Adulthood (18-24)",worksheet[[#This Row],[age]]&lt; 35,"2. Early Adulthood (25-34)",worksheet[[#This Row],[age]]&lt; 45,"3. Mid Adulthood (35-44)",worksheet[[#This Row],[age]]&lt; 55,"4. Mature Adulthood (45-54)",TRUE,"5. Late Adulthood/Senior (55+)")</f>
        <v>5. Late Adulthood/Senior (55+)</v>
      </c>
      <c r="D4138" t="s">
        <v>27</v>
      </c>
      <c r="E4138" t="s">
        <v>16</v>
      </c>
      <c r="F4138" s="4">
        <v>19.579999999999998</v>
      </c>
      <c r="G4138" s="5">
        <v>44</v>
      </c>
      <c r="H4138" t="s">
        <v>23</v>
      </c>
      <c r="I4138" t="s">
        <v>57</v>
      </c>
      <c r="J4138" s="6">
        <v>8.99</v>
      </c>
      <c r="K4138">
        <v>1</v>
      </c>
      <c r="L4138" t="s">
        <v>37</v>
      </c>
      <c r="M4138" s="5">
        <v>3</v>
      </c>
      <c r="N4138" s="4">
        <v>0.44</v>
      </c>
      <c r="O4138" t="s">
        <v>39</v>
      </c>
    </row>
    <row r="4139" spans="1:15" x14ac:dyDescent="0.3">
      <c r="A4139" t="s">
        <v>2181</v>
      </c>
      <c r="B4139" s="5">
        <v>55</v>
      </c>
      <c r="C4139" s="5" t="str" cm="1">
        <f t="array" ref="C4139">_xlfn.IFS(worksheet[[#This Row],[age]]&lt;25,"1. Young Adulthood (18-24)",worksheet[[#This Row],[age]]&lt; 35,"2. Early Adulthood (25-34)",worksheet[[#This Row],[age]]&lt; 45,"3. Mid Adulthood (35-44)",worksheet[[#This Row],[age]]&lt; 55,"4. Mature Adulthood (45-54)",TRUE,"5. Late Adulthood/Senior (55+)")</f>
        <v>5. Late Adulthood/Senior (55+)</v>
      </c>
      <c r="D4139" t="s">
        <v>15</v>
      </c>
      <c r="E4139" t="s">
        <v>32</v>
      </c>
      <c r="F4139" s="4">
        <v>18.02</v>
      </c>
      <c r="G4139" s="5">
        <v>36</v>
      </c>
      <c r="H4139" t="s">
        <v>70</v>
      </c>
      <c r="I4139" t="s">
        <v>24</v>
      </c>
      <c r="J4139" s="6">
        <v>17.989999999999998</v>
      </c>
      <c r="K4139">
        <v>0</v>
      </c>
      <c r="L4139" t="s">
        <v>61</v>
      </c>
      <c r="M4139" s="5">
        <v>4</v>
      </c>
      <c r="N4139" s="4">
        <v>0.49</v>
      </c>
      <c r="O4139" t="s">
        <v>39</v>
      </c>
    </row>
    <row r="4140" spans="1:15" x14ac:dyDescent="0.3">
      <c r="A4140" t="s">
        <v>2186</v>
      </c>
      <c r="B4140" s="5">
        <v>68</v>
      </c>
      <c r="C4140" s="5" t="str" cm="1">
        <f t="array" ref="C4140">_xlfn.IFS(worksheet[[#This Row],[age]]&lt;25,"1. Young Adulthood (18-24)",worksheet[[#This Row],[age]]&lt; 35,"2. Early Adulthood (25-34)",worksheet[[#This Row],[age]]&lt; 45,"3. Mid Adulthood (35-44)",worksheet[[#This Row],[age]]&lt; 55,"4. Mature Adulthood (45-54)",TRUE,"5. Late Adulthood/Senior (55+)")</f>
        <v>5. Late Adulthood/Senior (55+)</v>
      </c>
      <c r="D4140" t="s">
        <v>27</v>
      </c>
      <c r="E4140" t="s">
        <v>22</v>
      </c>
      <c r="F4140" s="4">
        <v>20.239999999999998</v>
      </c>
      <c r="G4140" s="5">
        <v>16</v>
      </c>
      <c r="H4140" t="s">
        <v>28</v>
      </c>
      <c r="I4140" t="s">
        <v>55</v>
      </c>
      <c r="J4140" s="6">
        <v>13.99</v>
      </c>
      <c r="K4140">
        <v>0</v>
      </c>
      <c r="L4140" t="s">
        <v>43</v>
      </c>
      <c r="M4140" s="5">
        <v>3</v>
      </c>
      <c r="N4140" s="4">
        <v>1.19</v>
      </c>
      <c r="O4140" t="s">
        <v>47</v>
      </c>
    </row>
    <row r="4141" spans="1:15" x14ac:dyDescent="0.3">
      <c r="A4141" t="s">
        <v>2201</v>
      </c>
      <c r="B4141" s="5">
        <v>64</v>
      </c>
      <c r="C4141" s="5" t="str" cm="1">
        <f t="array" ref="C4141">_xlfn.IFS(worksheet[[#This Row],[age]]&lt;25,"1. Young Adulthood (18-24)",worksheet[[#This Row],[age]]&lt; 35,"2. Early Adulthood (25-34)",worksheet[[#This Row],[age]]&lt; 45,"3. Mid Adulthood (35-44)",worksheet[[#This Row],[age]]&lt; 55,"4. Mature Adulthood (45-54)",TRUE,"5. Late Adulthood/Senior (55+)")</f>
        <v>5. Late Adulthood/Senior (55+)</v>
      </c>
      <c r="D4141" t="s">
        <v>15</v>
      </c>
      <c r="E4141" t="s">
        <v>32</v>
      </c>
      <c r="F4141" s="4">
        <v>23.36</v>
      </c>
      <c r="G4141" s="5">
        <v>52</v>
      </c>
      <c r="H4141" t="s">
        <v>70</v>
      </c>
      <c r="I4141" t="s">
        <v>24</v>
      </c>
      <c r="J4141" s="6">
        <v>17.989999999999998</v>
      </c>
      <c r="K4141">
        <v>0</v>
      </c>
      <c r="L4141" t="s">
        <v>37</v>
      </c>
      <c r="M4141" s="5">
        <v>4</v>
      </c>
      <c r="N4141" s="4">
        <v>0.44</v>
      </c>
      <c r="O4141" t="s">
        <v>30</v>
      </c>
    </row>
    <row r="4142" spans="1:15" x14ac:dyDescent="0.3">
      <c r="A4142" t="s">
        <v>2202</v>
      </c>
      <c r="B4142" s="5">
        <v>58</v>
      </c>
      <c r="C4142" s="5" t="str" cm="1">
        <f t="array" ref="C4142">_xlfn.IFS(worksheet[[#This Row],[age]]&lt;25,"1. Young Adulthood (18-24)",worksheet[[#This Row],[age]]&lt; 35,"2. Early Adulthood (25-34)",worksheet[[#This Row],[age]]&lt; 45,"3. Mid Adulthood (35-44)",worksheet[[#This Row],[age]]&lt; 55,"4. Mature Adulthood (45-54)",TRUE,"5. Late Adulthood/Senior (55+)")</f>
        <v>5. Late Adulthood/Senior (55+)</v>
      </c>
      <c r="D4142" t="s">
        <v>15</v>
      </c>
      <c r="E4142" t="s">
        <v>32</v>
      </c>
      <c r="F4142" s="4">
        <v>15.12</v>
      </c>
      <c r="G4142" s="5">
        <v>59</v>
      </c>
      <c r="H4142" t="s">
        <v>17</v>
      </c>
      <c r="I4142" t="s">
        <v>57</v>
      </c>
      <c r="J4142" s="6">
        <v>17.989999999999998</v>
      </c>
      <c r="K4142">
        <v>0</v>
      </c>
      <c r="L4142" t="s">
        <v>37</v>
      </c>
      <c r="M4142" s="5">
        <v>5</v>
      </c>
      <c r="N4142" s="4">
        <v>0.25</v>
      </c>
      <c r="O4142" t="s">
        <v>20</v>
      </c>
    </row>
    <row r="4143" spans="1:15" x14ac:dyDescent="0.3">
      <c r="A4143" t="s">
        <v>2206</v>
      </c>
      <c r="B4143" s="5">
        <v>57</v>
      </c>
      <c r="C4143" s="5" t="str" cm="1">
        <f t="array" ref="C4143">_xlfn.IFS(worksheet[[#This Row],[age]]&lt;25,"1. Young Adulthood (18-24)",worksheet[[#This Row],[age]]&lt; 35,"2. Early Adulthood (25-34)",worksheet[[#This Row],[age]]&lt; 45,"3. Mid Adulthood (35-44)",worksheet[[#This Row],[age]]&lt; 55,"4. Mature Adulthood (45-54)",TRUE,"5. Late Adulthood/Senior (55+)")</f>
        <v>5. Late Adulthood/Senior (55+)</v>
      </c>
      <c r="D4143" t="s">
        <v>27</v>
      </c>
      <c r="E4143" t="s">
        <v>16</v>
      </c>
      <c r="F4143" s="4">
        <v>0.95</v>
      </c>
      <c r="G4143" s="5">
        <v>58</v>
      </c>
      <c r="H4143" t="s">
        <v>28</v>
      </c>
      <c r="I4143" t="s">
        <v>18</v>
      </c>
      <c r="J4143" s="6">
        <v>8.99</v>
      </c>
      <c r="K4143">
        <v>1</v>
      </c>
      <c r="L4143" t="s">
        <v>61</v>
      </c>
      <c r="M4143" s="5">
        <v>5</v>
      </c>
      <c r="N4143" s="4">
        <v>0.02</v>
      </c>
      <c r="O4143" t="s">
        <v>47</v>
      </c>
    </row>
    <row r="4144" spans="1:15" x14ac:dyDescent="0.3">
      <c r="A4144" t="s">
        <v>2208</v>
      </c>
      <c r="B4144" s="5">
        <v>63</v>
      </c>
      <c r="C4144" s="5" t="str" cm="1">
        <f t="array" ref="C4144">_xlfn.IFS(worksheet[[#This Row],[age]]&lt;25,"1. Young Adulthood (18-24)",worksheet[[#This Row],[age]]&lt; 35,"2. Early Adulthood (25-34)",worksheet[[#This Row],[age]]&lt; 45,"3. Mid Adulthood (35-44)",worksheet[[#This Row],[age]]&lt; 55,"4. Mature Adulthood (45-54)",TRUE,"5. Late Adulthood/Senior (55+)")</f>
        <v>5. Late Adulthood/Senior (55+)</v>
      </c>
      <c r="D4144" t="s">
        <v>41</v>
      </c>
      <c r="E4144" t="s">
        <v>32</v>
      </c>
      <c r="F4144" s="4">
        <v>0.3</v>
      </c>
      <c r="G4144" s="5">
        <v>56</v>
      </c>
      <c r="H4144" t="s">
        <v>33</v>
      </c>
      <c r="I4144" t="s">
        <v>24</v>
      </c>
      <c r="J4144" s="6">
        <v>17.989999999999998</v>
      </c>
      <c r="K4144">
        <v>1</v>
      </c>
      <c r="L4144" t="s">
        <v>29</v>
      </c>
      <c r="M4144" s="5">
        <v>3</v>
      </c>
      <c r="N4144" s="4">
        <v>0.01</v>
      </c>
      <c r="O4144" t="s">
        <v>34</v>
      </c>
    </row>
    <row r="4145" spans="1:15" x14ac:dyDescent="0.3">
      <c r="A4145" t="s">
        <v>2209</v>
      </c>
      <c r="B4145" s="5">
        <v>57</v>
      </c>
      <c r="C4145" s="5" t="str" cm="1">
        <f t="array" ref="C4145">_xlfn.IFS(worksheet[[#This Row],[age]]&lt;25,"1. Young Adulthood (18-24)",worksheet[[#This Row],[age]]&lt; 35,"2. Early Adulthood (25-34)",worksheet[[#This Row],[age]]&lt; 45,"3. Mid Adulthood (35-44)",worksheet[[#This Row],[age]]&lt; 55,"4. Mature Adulthood (45-54)",TRUE,"5. Late Adulthood/Senior (55+)")</f>
        <v>5. Late Adulthood/Senior (55+)</v>
      </c>
      <c r="D4145" t="s">
        <v>27</v>
      </c>
      <c r="E4145" t="s">
        <v>32</v>
      </c>
      <c r="F4145" s="4">
        <v>0.66</v>
      </c>
      <c r="G4145" s="5">
        <v>59</v>
      </c>
      <c r="H4145" t="s">
        <v>33</v>
      </c>
      <c r="I4145" t="s">
        <v>57</v>
      </c>
      <c r="J4145" s="6">
        <v>17.989999999999998</v>
      </c>
      <c r="K4145">
        <v>1</v>
      </c>
      <c r="L4145" t="s">
        <v>43</v>
      </c>
      <c r="M4145" s="5">
        <v>5</v>
      </c>
      <c r="N4145" s="4">
        <v>0.01</v>
      </c>
      <c r="O4145" t="s">
        <v>47</v>
      </c>
    </row>
    <row r="4146" spans="1:15" x14ac:dyDescent="0.3">
      <c r="A4146" t="s">
        <v>2210</v>
      </c>
      <c r="B4146" s="5">
        <v>56</v>
      </c>
      <c r="C4146" s="5" t="str" cm="1">
        <f t="array" ref="C4146">_xlfn.IFS(worksheet[[#This Row],[age]]&lt;25,"1. Young Adulthood (18-24)",worksheet[[#This Row],[age]]&lt; 35,"2. Early Adulthood (25-34)",worksheet[[#This Row],[age]]&lt; 45,"3. Mid Adulthood (35-44)",worksheet[[#This Row],[age]]&lt; 55,"4. Mature Adulthood (45-54)",TRUE,"5. Late Adulthood/Senior (55+)")</f>
        <v>5. Late Adulthood/Senior (55+)</v>
      </c>
      <c r="D4146" t="s">
        <v>41</v>
      </c>
      <c r="E4146" t="s">
        <v>32</v>
      </c>
      <c r="F4146" s="4">
        <v>8.36</v>
      </c>
      <c r="G4146" s="5">
        <v>58</v>
      </c>
      <c r="H4146" t="s">
        <v>70</v>
      </c>
      <c r="I4146" t="s">
        <v>24</v>
      </c>
      <c r="J4146" s="6">
        <v>17.989999999999998</v>
      </c>
      <c r="K4146">
        <v>1</v>
      </c>
      <c r="L4146" t="s">
        <v>19</v>
      </c>
      <c r="M4146" s="5">
        <v>2</v>
      </c>
      <c r="N4146" s="4">
        <v>0.14000000000000001</v>
      </c>
      <c r="O4146" t="s">
        <v>34</v>
      </c>
    </row>
    <row r="4147" spans="1:15" x14ac:dyDescent="0.3">
      <c r="A4147" t="s">
        <v>2212</v>
      </c>
      <c r="B4147" s="5">
        <v>63</v>
      </c>
      <c r="C4147" s="5" t="str" cm="1">
        <f t="array" ref="C4147">_xlfn.IFS(worksheet[[#This Row],[age]]&lt;25,"1. Young Adulthood (18-24)",worksheet[[#This Row],[age]]&lt; 35,"2. Early Adulthood (25-34)",worksheet[[#This Row],[age]]&lt; 45,"3. Mid Adulthood (35-44)",worksheet[[#This Row],[age]]&lt; 55,"4. Mature Adulthood (45-54)",TRUE,"5. Late Adulthood/Senior (55+)")</f>
        <v>5. Late Adulthood/Senior (55+)</v>
      </c>
      <c r="D4147" t="s">
        <v>27</v>
      </c>
      <c r="E4147" t="s">
        <v>22</v>
      </c>
      <c r="F4147" s="4">
        <v>15.97</v>
      </c>
      <c r="G4147" s="5">
        <v>38</v>
      </c>
      <c r="H4147" t="s">
        <v>49</v>
      </c>
      <c r="I4147" t="s">
        <v>57</v>
      </c>
      <c r="J4147" s="6">
        <v>13.99</v>
      </c>
      <c r="K4147">
        <v>1</v>
      </c>
      <c r="L4147" t="s">
        <v>19</v>
      </c>
      <c r="M4147" s="5">
        <v>3</v>
      </c>
      <c r="N4147" s="4">
        <v>0.41</v>
      </c>
      <c r="O4147" t="s">
        <v>30</v>
      </c>
    </row>
    <row r="4148" spans="1:15" x14ac:dyDescent="0.3">
      <c r="A4148" t="s">
        <v>2213</v>
      </c>
      <c r="B4148" s="5">
        <v>62</v>
      </c>
      <c r="C4148" s="5" t="str" cm="1">
        <f t="array" ref="C4148">_xlfn.IFS(worksheet[[#This Row],[age]]&lt;25,"1. Young Adulthood (18-24)",worksheet[[#This Row],[age]]&lt; 35,"2. Early Adulthood (25-34)",worksheet[[#This Row],[age]]&lt; 45,"3. Mid Adulthood (35-44)",worksheet[[#This Row],[age]]&lt; 55,"4. Mature Adulthood (45-54)",TRUE,"5. Late Adulthood/Senior (55+)")</f>
        <v>5. Late Adulthood/Senior (55+)</v>
      </c>
      <c r="D4148" t="s">
        <v>27</v>
      </c>
      <c r="E4148" t="s">
        <v>16</v>
      </c>
      <c r="F4148" s="4">
        <v>4.82</v>
      </c>
      <c r="G4148" s="5">
        <v>10</v>
      </c>
      <c r="H4148" t="s">
        <v>23</v>
      </c>
      <c r="I4148" t="s">
        <v>46</v>
      </c>
      <c r="J4148" s="6">
        <v>8.99</v>
      </c>
      <c r="K4148">
        <v>1</v>
      </c>
      <c r="L4148" t="s">
        <v>37</v>
      </c>
      <c r="M4148" s="5">
        <v>5</v>
      </c>
      <c r="N4148" s="4">
        <v>0.44</v>
      </c>
      <c r="O4148" t="s">
        <v>25</v>
      </c>
    </row>
    <row r="4149" spans="1:15" x14ac:dyDescent="0.3">
      <c r="A4149" t="s">
        <v>2214</v>
      </c>
      <c r="B4149" s="5">
        <v>63</v>
      </c>
      <c r="C4149" s="5" t="str" cm="1">
        <f t="array" ref="C4149">_xlfn.IFS(worksheet[[#This Row],[age]]&lt;25,"1. Young Adulthood (18-24)",worksheet[[#This Row],[age]]&lt; 35,"2. Early Adulthood (25-34)",worksheet[[#This Row],[age]]&lt; 45,"3. Mid Adulthood (35-44)",worksheet[[#This Row],[age]]&lt; 55,"4. Mature Adulthood (45-54)",TRUE,"5. Late Adulthood/Senior (55+)")</f>
        <v>5. Late Adulthood/Senior (55+)</v>
      </c>
      <c r="D4149" t="s">
        <v>15</v>
      </c>
      <c r="E4149" t="s">
        <v>32</v>
      </c>
      <c r="F4149" s="4">
        <v>21.62</v>
      </c>
      <c r="G4149" s="5">
        <v>50</v>
      </c>
      <c r="H4149" t="s">
        <v>33</v>
      </c>
      <c r="I4149" t="s">
        <v>55</v>
      </c>
      <c r="J4149" s="6">
        <v>17.989999999999998</v>
      </c>
      <c r="K4149">
        <v>0</v>
      </c>
      <c r="L4149" t="s">
        <v>19</v>
      </c>
      <c r="M4149" s="5">
        <v>4</v>
      </c>
      <c r="N4149" s="4">
        <v>0.42</v>
      </c>
      <c r="O4149" t="s">
        <v>39</v>
      </c>
    </row>
    <row r="4150" spans="1:15" x14ac:dyDescent="0.3">
      <c r="A4150" t="s">
        <v>2222</v>
      </c>
      <c r="B4150" s="5">
        <v>57</v>
      </c>
      <c r="C4150" s="5" t="str" cm="1">
        <f t="array" ref="C4150">_xlfn.IFS(worksheet[[#This Row],[age]]&lt;25,"1. Young Adulthood (18-24)",worksheet[[#This Row],[age]]&lt; 35,"2. Early Adulthood (25-34)",worksheet[[#This Row],[age]]&lt; 45,"3. Mid Adulthood (35-44)",worksheet[[#This Row],[age]]&lt; 55,"4. Mature Adulthood (45-54)",TRUE,"5. Late Adulthood/Senior (55+)")</f>
        <v>5. Late Adulthood/Senior (55+)</v>
      </c>
      <c r="D4150" t="s">
        <v>15</v>
      </c>
      <c r="E4150" t="s">
        <v>16</v>
      </c>
      <c r="F4150" s="4">
        <v>2.08</v>
      </c>
      <c r="G4150" s="5">
        <v>14</v>
      </c>
      <c r="H4150" t="s">
        <v>70</v>
      </c>
      <c r="I4150" t="s">
        <v>24</v>
      </c>
      <c r="J4150" s="6">
        <v>8.99</v>
      </c>
      <c r="K4150">
        <v>1</v>
      </c>
      <c r="L4150" t="s">
        <v>61</v>
      </c>
      <c r="M4150" s="5">
        <v>5</v>
      </c>
      <c r="N4150" s="4">
        <v>0.14000000000000001</v>
      </c>
      <c r="O4150" t="s">
        <v>20</v>
      </c>
    </row>
    <row r="4151" spans="1:15" x14ac:dyDescent="0.3">
      <c r="A4151" t="s">
        <v>2224</v>
      </c>
      <c r="B4151" s="5">
        <v>62</v>
      </c>
      <c r="C4151" s="5" t="str" cm="1">
        <f t="array" ref="C4151">_xlfn.IFS(worksheet[[#This Row],[age]]&lt;25,"1. Young Adulthood (18-24)",worksheet[[#This Row],[age]]&lt; 35,"2. Early Adulthood (25-34)",worksheet[[#This Row],[age]]&lt; 45,"3. Mid Adulthood (35-44)",worksheet[[#This Row],[age]]&lt; 55,"4. Mature Adulthood (45-54)",TRUE,"5. Late Adulthood/Senior (55+)")</f>
        <v>5. Late Adulthood/Senior (55+)</v>
      </c>
      <c r="D4151" t="s">
        <v>27</v>
      </c>
      <c r="E4151" t="s">
        <v>16</v>
      </c>
      <c r="F4151" s="4">
        <v>16.100000000000001</v>
      </c>
      <c r="G4151" s="5">
        <v>54</v>
      </c>
      <c r="H4151" t="s">
        <v>17</v>
      </c>
      <c r="I4151" t="s">
        <v>18</v>
      </c>
      <c r="J4151" s="6">
        <v>8.99</v>
      </c>
      <c r="K4151">
        <v>1</v>
      </c>
      <c r="L4151" t="s">
        <v>43</v>
      </c>
      <c r="M4151" s="5">
        <v>2</v>
      </c>
      <c r="N4151" s="4">
        <v>0.28999999999999998</v>
      </c>
      <c r="O4151" t="s">
        <v>52</v>
      </c>
    </row>
    <row r="4152" spans="1:15" x14ac:dyDescent="0.3">
      <c r="A4152" t="s">
        <v>2225</v>
      </c>
      <c r="B4152" s="5">
        <v>57</v>
      </c>
      <c r="C4152" s="5" t="str" cm="1">
        <f t="array" ref="C4152">_xlfn.IFS(worksheet[[#This Row],[age]]&lt;25,"1. Young Adulthood (18-24)",worksheet[[#This Row],[age]]&lt; 35,"2. Early Adulthood (25-34)",worksheet[[#This Row],[age]]&lt; 45,"3. Mid Adulthood (35-44)",worksheet[[#This Row],[age]]&lt; 55,"4. Mature Adulthood (45-54)",TRUE,"5. Late Adulthood/Senior (55+)")</f>
        <v>5. Late Adulthood/Senior (55+)</v>
      </c>
      <c r="D4152" t="s">
        <v>27</v>
      </c>
      <c r="E4152" t="s">
        <v>22</v>
      </c>
      <c r="F4152" s="4">
        <v>15.02</v>
      </c>
      <c r="G4152" s="5">
        <v>5</v>
      </c>
      <c r="H4152" t="s">
        <v>49</v>
      </c>
      <c r="I4152" t="s">
        <v>57</v>
      </c>
      <c r="J4152" s="6">
        <v>13.99</v>
      </c>
      <c r="K4152">
        <v>0</v>
      </c>
      <c r="L4152" t="s">
        <v>61</v>
      </c>
      <c r="M4152" s="5">
        <v>2</v>
      </c>
      <c r="N4152" s="4">
        <v>2.5</v>
      </c>
      <c r="O4152" t="s">
        <v>30</v>
      </c>
    </row>
    <row r="4153" spans="1:15" x14ac:dyDescent="0.3">
      <c r="A4153" t="s">
        <v>2228</v>
      </c>
      <c r="B4153" s="5">
        <v>68</v>
      </c>
      <c r="C4153" s="5" t="str" cm="1">
        <f t="array" ref="C4153">_xlfn.IFS(worksheet[[#This Row],[age]]&lt;25,"1. Young Adulthood (18-24)",worksheet[[#This Row],[age]]&lt; 35,"2. Early Adulthood (25-34)",worksheet[[#This Row],[age]]&lt; 45,"3. Mid Adulthood (35-44)",worksheet[[#This Row],[age]]&lt; 55,"4. Mature Adulthood (45-54)",TRUE,"5. Late Adulthood/Senior (55+)")</f>
        <v>5. Late Adulthood/Senior (55+)</v>
      </c>
      <c r="D4153" t="s">
        <v>41</v>
      </c>
      <c r="E4153" t="s">
        <v>16</v>
      </c>
      <c r="F4153" s="4">
        <v>19.16</v>
      </c>
      <c r="G4153" s="5">
        <v>24</v>
      </c>
      <c r="H4153" t="s">
        <v>70</v>
      </c>
      <c r="I4153" t="s">
        <v>18</v>
      </c>
      <c r="J4153" s="6">
        <v>8.99</v>
      </c>
      <c r="K4153">
        <v>0</v>
      </c>
      <c r="L4153" t="s">
        <v>37</v>
      </c>
      <c r="M4153" s="5">
        <v>4</v>
      </c>
      <c r="N4153" s="4">
        <v>0.77</v>
      </c>
      <c r="O4153" t="s">
        <v>47</v>
      </c>
    </row>
    <row r="4154" spans="1:15" x14ac:dyDescent="0.3">
      <c r="A4154" t="s">
        <v>2233</v>
      </c>
      <c r="B4154" s="5">
        <v>59</v>
      </c>
      <c r="C4154" s="5" t="str" cm="1">
        <f t="array" ref="C4154">_xlfn.IFS(worksheet[[#This Row],[age]]&lt;25,"1. Young Adulthood (18-24)",worksheet[[#This Row],[age]]&lt; 35,"2. Early Adulthood (25-34)",worksheet[[#This Row],[age]]&lt; 45,"3. Mid Adulthood (35-44)",worksheet[[#This Row],[age]]&lt; 55,"4. Mature Adulthood (45-54)",TRUE,"5. Late Adulthood/Senior (55+)")</f>
        <v>5. Late Adulthood/Senior (55+)</v>
      </c>
      <c r="D4154" t="s">
        <v>41</v>
      </c>
      <c r="E4154" t="s">
        <v>16</v>
      </c>
      <c r="F4154" s="4">
        <v>14.96</v>
      </c>
      <c r="G4154" s="5">
        <v>8</v>
      </c>
      <c r="H4154" t="s">
        <v>28</v>
      </c>
      <c r="I4154" t="s">
        <v>46</v>
      </c>
      <c r="J4154" s="6">
        <v>8.99</v>
      </c>
      <c r="K4154">
        <v>0</v>
      </c>
      <c r="L4154" t="s">
        <v>61</v>
      </c>
      <c r="M4154" s="5">
        <v>2</v>
      </c>
      <c r="N4154" s="4">
        <v>1.66</v>
      </c>
      <c r="O4154" t="s">
        <v>39</v>
      </c>
    </row>
    <row r="4155" spans="1:15" x14ac:dyDescent="0.3">
      <c r="A4155" t="s">
        <v>2235</v>
      </c>
      <c r="B4155" s="5">
        <v>65</v>
      </c>
      <c r="C4155" s="5" t="str" cm="1">
        <f t="array" ref="C4155">_xlfn.IFS(worksheet[[#This Row],[age]]&lt;25,"1. Young Adulthood (18-24)",worksheet[[#This Row],[age]]&lt; 35,"2. Early Adulthood (25-34)",worksheet[[#This Row],[age]]&lt; 45,"3. Mid Adulthood (35-44)",worksheet[[#This Row],[age]]&lt; 55,"4. Mature Adulthood (45-54)",TRUE,"5. Late Adulthood/Senior (55+)")</f>
        <v>5. Late Adulthood/Senior (55+)</v>
      </c>
      <c r="D4155" t="s">
        <v>41</v>
      </c>
      <c r="E4155" t="s">
        <v>32</v>
      </c>
      <c r="F4155" s="4">
        <v>13.83</v>
      </c>
      <c r="G4155" s="5">
        <v>9</v>
      </c>
      <c r="H4155" t="s">
        <v>49</v>
      </c>
      <c r="I4155" t="s">
        <v>57</v>
      </c>
      <c r="J4155" s="6">
        <v>17.989999999999998</v>
      </c>
      <c r="K4155">
        <v>0</v>
      </c>
      <c r="L4155" t="s">
        <v>61</v>
      </c>
      <c r="M4155" s="5">
        <v>3</v>
      </c>
      <c r="N4155" s="4">
        <v>1.38</v>
      </c>
      <c r="O4155" t="s">
        <v>52</v>
      </c>
    </row>
    <row r="4156" spans="1:15" x14ac:dyDescent="0.3">
      <c r="A4156" t="s">
        <v>2244</v>
      </c>
      <c r="B4156" s="5">
        <v>69</v>
      </c>
      <c r="C4156" s="5" t="str" cm="1">
        <f t="array" ref="C4156">_xlfn.IFS(worksheet[[#This Row],[age]]&lt;25,"1. Young Adulthood (18-24)",worksheet[[#This Row],[age]]&lt; 35,"2. Early Adulthood (25-34)",worksheet[[#This Row],[age]]&lt; 45,"3. Mid Adulthood (35-44)",worksheet[[#This Row],[age]]&lt; 55,"4. Mature Adulthood (45-54)",TRUE,"5. Late Adulthood/Senior (55+)")</f>
        <v>5. Late Adulthood/Senior (55+)</v>
      </c>
      <c r="D4156" t="s">
        <v>27</v>
      </c>
      <c r="E4156" t="s">
        <v>16</v>
      </c>
      <c r="F4156" s="4">
        <v>6.16</v>
      </c>
      <c r="G4156" s="5">
        <v>1</v>
      </c>
      <c r="H4156" t="s">
        <v>49</v>
      </c>
      <c r="I4156" t="s">
        <v>57</v>
      </c>
      <c r="J4156" s="6">
        <v>8.99</v>
      </c>
      <c r="K4156">
        <v>0</v>
      </c>
      <c r="L4156" t="s">
        <v>29</v>
      </c>
      <c r="M4156" s="5">
        <v>1</v>
      </c>
      <c r="N4156" s="4">
        <v>3.08</v>
      </c>
      <c r="O4156" t="s">
        <v>34</v>
      </c>
    </row>
    <row r="4157" spans="1:15" x14ac:dyDescent="0.3">
      <c r="A4157" t="s">
        <v>2258</v>
      </c>
      <c r="B4157" s="5">
        <v>57</v>
      </c>
      <c r="C4157" s="5" t="str" cm="1">
        <f t="array" ref="C4157">_xlfn.IFS(worksheet[[#This Row],[age]]&lt;25,"1. Young Adulthood (18-24)",worksheet[[#This Row],[age]]&lt; 35,"2. Early Adulthood (25-34)",worksheet[[#This Row],[age]]&lt; 45,"3. Mid Adulthood (35-44)",worksheet[[#This Row],[age]]&lt; 55,"4. Mature Adulthood (45-54)",TRUE,"5. Late Adulthood/Senior (55+)")</f>
        <v>5. Late Adulthood/Senior (55+)</v>
      </c>
      <c r="D4157" t="s">
        <v>41</v>
      </c>
      <c r="E4157" t="s">
        <v>32</v>
      </c>
      <c r="F4157" s="4">
        <v>6.13</v>
      </c>
      <c r="G4157" s="5">
        <v>3</v>
      </c>
      <c r="H4157" t="s">
        <v>28</v>
      </c>
      <c r="I4157" t="s">
        <v>55</v>
      </c>
      <c r="J4157" s="6">
        <v>17.989999999999998</v>
      </c>
      <c r="K4157">
        <v>0</v>
      </c>
      <c r="L4157" t="s">
        <v>43</v>
      </c>
      <c r="M4157" s="5">
        <v>3</v>
      </c>
      <c r="N4157" s="4">
        <v>1.53</v>
      </c>
      <c r="O4157" t="s">
        <v>25</v>
      </c>
    </row>
    <row r="4158" spans="1:15" x14ac:dyDescent="0.3">
      <c r="A4158" t="s">
        <v>2262</v>
      </c>
      <c r="B4158" s="5">
        <v>57</v>
      </c>
      <c r="C4158" s="5" t="str" cm="1">
        <f t="array" ref="C4158">_xlfn.IFS(worksheet[[#This Row],[age]]&lt;25,"1. Young Adulthood (18-24)",worksheet[[#This Row],[age]]&lt; 35,"2. Early Adulthood (25-34)",worksheet[[#This Row],[age]]&lt; 45,"3. Mid Adulthood (35-44)",worksheet[[#This Row],[age]]&lt; 55,"4. Mature Adulthood (45-54)",TRUE,"5. Late Adulthood/Senior (55+)")</f>
        <v>5. Late Adulthood/Senior (55+)</v>
      </c>
      <c r="D4158" t="s">
        <v>27</v>
      </c>
      <c r="E4158" t="s">
        <v>32</v>
      </c>
      <c r="F4158" s="4">
        <v>6.49</v>
      </c>
      <c r="G4158" s="5">
        <v>23</v>
      </c>
      <c r="H4158" t="s">
        <v>33</v>
      </c>
      <c r="I4158" t="s">
        <v>46</v>
      </c>
      <c r="J4158" s="6">
        <v>17.989999999999998</v>
      </c>
      <c r="K4158">
        <v>0</v>
      </c>
      <c r="L4158" t="s">
        <v>19</v>
      </c>
      <c r="M4158" s="5">
        <v>1</v>
      </c>
      <c r="N4158" s="4">
        <v>0.27</v>
      </c>
      <c r="O4158" t="s">
        <v>39</v>
      </c>
    </row>
    <row r="4159" spans="1:15" x14ac:dyDescent="0.3">
      <c r="A4159" t="s">
        <v>2266</v>
      </c>
      <c r="B4159" s="5">
        <v>62</v>
      </c>
      <c r="C4159" s="5" t="str" cm="1">
        <f t="array" ref="C4159">_xlfn.IFS(worksheet[[#This Row],[age]]&lt;25,"1. Young Adulthood (18-24)",worksheet[[#This Row],[age]]&lt; 35,"2. Early Adulthood (25-34)",worksheet[[#This Row],[age]]&lt; 45,"3. Mid Adulthood (35-44)",worksheet[[#This Row],[age]]&lt; 55,"4. Mature Adulthood (45-54)",TRUE,"5. Late Adulthood/Senior (55+)")</f>
        <v>5. Late Adulthood/Senior (55+)</v>
      </c>
      <c r="D4159" t="s">
        <v>27</v>
      </c>
      <c r="E4159" t="s">
        <v>16</v>
      </c>
      <c r="F4159" s="4">
        <v>3.62</v>
      </c>
      <c r="G4159" s="5">
        <v>34</v>
      </c>
      <c r="H4159" t="s">
        <v>17</v>
      </c>
      <c r="I4159" t="s">
        <v>24</v>
      </c>
      <c r="J4159" s="6">
        <v>8.99</v>
      </c>
      <c r="K4159">
        <v>1</v>
      </c>
      <c r="L4159" t="s">
        <v>43</v>
      </c>
      <c r="M4159" s="5">
        <v>3</v>
      </c>
      <c r="N4159" s="4">
        <v>0.1</v>
      </c>
      <c r="O4159" t="s">
        <v>30</v>
      </c>
    </row>
    <row r="4160" spans="1:15" x14ac:dyDescent="0.3">
      <c r="A4160" t="s">
        <v>2267</v>
      </c>
      <c r="B4160" s="5">
        <v>56</v>
      </c>
      <c r="C4160" s="5" t="str" cm="1">
        <f t="array" ref="C4160">_xlfn.IFS(worksheet[[#This Row],[age]]&lt;25,"1. Young Adulthood (18-24)",worksheet[[#This Row],[age]]&lt; 35,"2. Early Adulthood (25-34)",worksheet[[#This Row],[age]]&lt; 45,"3. Mid Adulthood (35-44)",worksheet[[#This Row],[age]]&lt; 55,"4. Mature Adulthood (45-54)",TRUE,"5. Late Adulthood/Senior (55+)")</f>
        <v>5. Late Adulthood/Senior (55+)</v>
      </c>
      <c r="D4160" t="s">
        <v>27</v>
      </c>
      <c r="E4160" t="s">
        <v>16</v>
      </c>
      <c r="F4160" s="4">
        <v>2.54</v>
      </c>
      <c r="G4160" s="5">
        <v>39</v>
      </c>
      <c r="H4160" t="s">
        <v>70</v>
      </c>
      <c r="I4160" t="s">
        <v>55</v>
      </c>
      <c r="J4160" s="6">
        <v>8.99</v>
      </c>
      <c r="K4160">
        <v>1</v>
      </c>
      <c r="L4160" t="s">
        <v>43</v>
      </c>
      <c r="M4160" s="5">
        <v>5</v>
      </c>
      <c r="N4160" s="4">
        <v>0.06</v>
      </c>
      <c r="O4160" t="s">
        <v>25</v>
      </c>
    </row>
    <row r="4161" spans="1:15" x14ac:dyDescent="0.3">
      <c r="A4161" t="s">
        <v>2282</v>
      </c>
      <c r="B4161" s="5">
        <v>65</v>
      </c>
      <c r="C4161" s="5" t="str" cm="1">
        <f t="array" ref="C4161">_xlfn.IFS(worksheet[[#This Row],[age]]&lt;25,"1. Young Adulthood (18-24)",worksheet[[#This Row],[age]]&lt; 35,"2. Early Adulthood (25-34)",worksheet[[#This Row],[age]]&lt; 45,"3. Mid Adulthood (35-44)",worksheet[[#This Row],[age]]&lt; 55,"4. Mature Adulthood (45-54)",TRUE,"5. Late Adulthood/Senior (55+)")</f>
        <v>5. Late Adulthood/Senior (55+)</v>
      </c>
      <c r="D4161" t="s">
        <v>41</v>
      </c>
      <c r="E4161" t="s">
        <v>16</v>
      </c>
      <c r="F4161" s="4">
        <v>46.29</v>
      </c>
      <c r="G4161" s="5">
        <v>39</v>
      </c>
      <c r="H4161" t="s">
        <v>70</v>
      </c>
      <c r="I4161" t="s">
        <v>57</v>
      </c>
      <c r="J4161" s="6">
        <v>8.99</v>
      </c>
      <c r="K4161">
        <v>0</v>
      </c>
      <c r="L4161" t="s">
        <v>43</v>
      </c>
      <c r="M4161" s="5">
        <v>5</v>
      </c>
      <c r="N4161" s="4">
        <v>1.1599999999999999</v>
      </c>
      <c r="O4161" t="s">
        <v>30</v>
      </c>
    </row>
    <row r="4162" spans="1:15" x14ac:dyDescent="0.3">
      <c r="A4162" t="s">
        <v>2283</v>
      </c>
      <c r="B4162" s="5">
        <v>58</v>
      </c>
      <c r="C4162" s="5" t="str" cm="1">
        <f t="array" ref="C4162">_xlfn.IFS(worksheet[[#This Row],[age]]&lt;25,"1. Young Adulthood (18-24)",worksheet[[#This Row],[age]]&lt; 35,"2. Early Adulthood (25-34)",worksheet[[#This Row],[age]]&lt; 45,"3. Mid Adulthood (35-44)",worksheet[[#This Row],[age]]&lt; 55,"4. Mature Adulthood (45-54)",TRUE,"5. Late Adulthood/Senior (55+)")</f>
        <v>5. Late Adulthood/Senior (55+)</v>
      </c>
      <c r="D4162" t="s">
        <v>27</v>
      </c>
      <c r="E4162" t="s">
        <v>32</v>
      </c>
      <c r="F4162" s="4">
        <v>59.99</v>
      </c>
      <c r="G4162" s="5">
        <v>11</v>
      </c>
      <c r="H4162" t="s">
        <v>70</v>
      </c>
      <c r="I4162" t="s">
        <v>55</v>
      </c>
      <c r="J4162" s="6">
        <v>17.989999999999998</v>
      </c>
      <c r="K4162">
        <v>0</v>
      </c>
      <c r="L4162" t="s">
        <v>61</v>
      </c>
      <c r="M4162" s="5">
        <v>2</v>
      </c>
      <c r="N4162" s="4">
        <v>5</v>
      </c>
      <c r="O4162" t="s">
        <v>47</v>
      </c>
    </row>
    <row r="4163" spans="1:15" x14ac:dyDescent="0.3">
      <c r="A4163" t="s">
        <v>2285</v>
      </c>
      <c r="B4163" s="5">
        <v>70</v>
      </c>
      <c r="C4163" s="5" t="str" cm="1">
        <f t="array" ref="C4163">_xlfn.IFS(worksheet[[#This Row],[age]]&lt;25,"1. Young Adulthood (18-24)",worksheet[[#This Row],[age]]&lt; 35,"2. Early Adulthood (25-34)",worksheet[[#This Row],[age]]&lt; 45,"3. Mid Adulthood (35-44)",worksheet[[#This Row],[age]]&lt; 55,"4. Mature Adulthood (45-54)",TRUE,"5. Late Adulthood/Senior (55+)")</f>
        <v>5. Late Adulthood/Senior (55+)</v>
      </c>
      <c r="D4163" t="s">
        <v>15</v>
      </c>
      <c r="E4163" t="s">
        <v>16</v>
      </c>
      <c r="F4163" s="4">
        <v>8.26</v>
      </c>
      <c r="G4163" s="5">
        <v>2</v>
      </c>
      <c r="H4163" t="s">
        <v>28</v>
      </c>
      <c r="I4163" t="s">
        <v>18</v>
      </c>
      <c r="J4163" s="6">
        <v>8.99</v>
      </c>
      <c r="K4163">
        <v>0</v>
      </c>
      <c r="L4163" t="s">
        <v>37</v>
      </c>
      <c r="M4163" s="5">
        <v>4</v>
      </c>
      <c r="N4163" s="4">
        <v>2.75</v>
      </c>
      <c r="O4163" t="s">
        <v>47</v>
      </c>
    </row>
    <row r="4164" spans="1:15" x14ac:dyDescent="0.3">
      <c r="A4164" t="s">
        <v>2296</v>
      </c>
      <c r="B4164" s="5">
        <v>57</v>
      </c>
      <c r="C4164" s="5" t="str" cm="1">
        <f t="array" ref="C4164">_xlfn.IFS(worksheet[[#This Row],[age]]&lt;25,"1. Young Adulthood (18-24)",worksheet[[#This Row],[age]]&lt; 35,"2. Early Adulthood (25-34)",worksheet[[#This Row],[age]]&lt; 45,"3. Mid Adulthood (35-44)",worksheet[[#This Row],[age]]&lt; 55,"4. Mature Adulthood (45-54)",TRUE,"5. Late Adulthood/Senior (55+)")</f>
        <v>5. Late Adulthood/Senior (55+)</v>
      </c>
      <c r="D4164" t="s">
        <v>15</v>
      </c>
      <c r="E4164" t="s">
        <v>32</v>
      </c>
      <c r="F4164" s="4">
        <v>27.17</v>
      </c>
      <c r="G4164" s="5">
        <v>41</v>
      </c>
      <c r="H4164" t="s">
        <v>49</v>
      </c>
      <c r="I4164" t="s">
        <v>18</v>
      </c>
      <c r="J4164" s="6">
        <v>17.989999999999998</v>
      </c>
      <c r="K4164">
        <v>0</v>
      </c>
      <c r="L4164" t="s">
        <v>43</v>
      </c>
      <c r="M4164" s="5">
        <v>4</v>
      </c>
      <c r="N4164" s="4">
        <v>0.65</v>
      </c>
      <c r="O4164" t="s">
        <v>25</v>
      </c>
    </row>
    <row r="4165" spans="1:15" x14ac:dyDescent="0.3">
      <c r="A4165" t="s">
        <v>2302</v>
      </c>
      <c r="B4165" s="5">
        <v>63</v>
      </c>
      <c r="C4165" s="5" t="str" cm="1">
        <f t="array" ref="C4165">_xlfn.IFS(worksheet[[#This Row],[age]]&lt;25,"1. Young Adulthood (18-24)",worksheet[[#This Row],[age]]&lt; 35,"2. Early Adulthood (25-34)",worksheet[[#This Row],[age]]&lt; 45,"3. Mid Adulthood (35-44)",worksheet[[#This Row],[age]]&lt; 55,"4. Mature Adulthood (45-54)",TRUE,"5. Late Adulthood/Senior (55+)")</f>
        <v>5. Late Adulthood/Senior (55+)</v>
      </c>
      <c r="D4165" t="s">
        <v>27</v>
      </c>
      <c r="E4165" t="s">
        <v>32</v>
      </c>
      <c r="F4165" s="4">
        <v>21.06</v>
      </c>
      <c r="G4165" s="5">
        <v>17</v>
      </c>
      <c r="H4165" t="s">
        <v>17</v>
      </c>
      <c r="I4165" t="s">
        <v>55</v>
      </c>
      <c r="J4165" s="6">
        <v>17.989999999999998</v>
      </c>
      <c r="K4165">
        <v>0</v>
      </c>
      <c r="L4165" t="s">
        <v>29</v>
      </c>
      <c r="M4165" s="5">
        <v>1</v>
      </c>
      <c r="N4165" s="4">
        <v>1.17</v>
      </c>
      <c r="O4165" t="s">
        <v>47</v>
      </c>
    </row>
    <row r="4166" spans="1:15" x14ac:dyDescent="0.3">
      <c r="A4166" t="s">
        <v>2303</v>
      </c>
      <c r="B4166" s="5">
        <v>64</v>
      </c>
      <c r="C4166" s="5" t="str" cm="1">
        <f t="array" ref="C4166">_xlfn.IFS(worksheet[[#This Row],[age]]&lt;25,"1. Young Adulthood (18-24)",worksheet[[#This Row],[age]]&lt; 35,"2. Early Adulthood (25-34)",worksheet[[#This Row],[age]]&lt; 45,"3. Mid Adulthood (35-44)",worksheet[[#This Row],[age]]&lt; 55,"4. Mature Adulthood (45-54)",TRUE,"5. Late Adulthood/Senior (55+)")</f>
        <v>5. Late Adulthood/Senior (55+)</v>
      </c>
      <c r="D4166" t="s">
        <v>27</v>
      </c>
      <c r="E4166" t="s">
        <v>16</v>
      </c>
      <c r="F4166" s="4">
        <v>11.77</v>
      </c>
      <c r="G4166" s="5">
        <v>9</v>
      </c>
      <c r="H4166" t="s">
        <v>17</v>
      </c>
      <c r="I4166" t="s">
        <v>24</v>
      </c>
      <c r="J4166" s="6">
        <v>8.99</v>
      </c>
      <c r="K4166">
        <v>0</v>
      </c>
      <c r="L4166" t="s">
        <v>29</v>
      </c>
      <c r="M4166" s="5">
        <v>2</v>
      </c>
      <c r="N4166" s="4">
        <v>1.18</v>
      </c>
      <c r="O4166" t="s">
        <v>20</v>
      </c>
    </row>
    <row r="4167" spans="1:15" x14ac:dyDescent="0.3">
      <c r="A4167" s="1" t="s">
        <v>2307</v>
      </c>
      <c r="B4167" s="5">
        <v>65</v>
      </c>
      <c r="C4167" s="5" t="str" cm="1">
        <f t="array" ref="C4167">_xlfn.IFS(worksheet[[#This Row],[age]]&lt;25,"1. Young Adulthood (18-24)",worksheet[[#This Row],[age]]&lt; 35,"2. Early Adulthood (25-34)",worksheet[[#This Row],[age]]&lt; 45,"3. Mid Adulthood (35-44)",worksheet[[#This Row],[age]]&lt; 55,"4. Mature Adulthood (45-54)",TRUE,"5. Late Adulthood/Senior (55+)")</f>
        <v>5. Late Adulthood/Senior (55+)</v>
      </c>
      <c r="D4167" t="s">
        <v>27</v>
      </c>
      <c r="E4167" t="s">
        <v>22</v>
      </c>
      <c r="F4167" s="4">
        <v>15.97</v>
      </c>
      <c r="G4167" s="5">
        <v>2</v>
      </c>
      <c r="H4167" t="s">
        <v>17</v>
      </c>
      <c r="I4167" t="s">
        <v>18</v>
      </c>
      <c r="J4167" s="6">
        <v>13.99</v>
      </c>
      <c r="K4167">
        <v>0</v>
      </c>
      <c r="L4167" t="s">
        <v>29</v>
      </c>
      <c r="M4167" s="5">
        <v>1</v>
      </c>
      <c r="N4167" s="4">
        <v>5.32</v>
      </c>
      <c r="O4167" t="s">
        <v>30</v>
      </c>
    </row>
    <row r="4168" spans="1:15" x14ac:dyDescent="0.3">
      <c r="A4168" t="s">
        <v>2310</v>
      </c>
      <c r="B4168" s="5">
        <v>55</v>
      </c>
      <c r="C4168" s="5" t="str" cm="1">
        <f t="array" ref="C4168">_xlfn.IFS(worksheet[[#This Row],[age]]&lt;25,"1. Young Adulthood (18-24)",worksheet[[#This Row],[age]]&lt; 35,"2. Early Adulthood (25-34)",worksheet[[#This Row],[age]]&lt; 45,"3. Mid Adulthood (35-44)",worksheet[[#This Row],[age]]&lt; 55,"4. Mature Adulthood (45-54)",TRUE,"5. Late Adulthood/Senior (55+)")</f>
        <v>5. Late Adulthood/Senior (55+)</v>
      </c>
      <c r="D4168" t="s">
        <v>27</v>
      </c>
      <c r="E4168" t="s">
        <v>16</v>
      </c>
      <c r="F4168" s="4">
        <v>18.98</v>
      </c>
      <c r="G4168" s="5">
        <v>34</v>
      </c>
      <c r="H4168" t="s">
        <v>49</v>
      </c>
      <c r="I4168" t="s">
        <v>55</v>
      </c>
      <c r="J4168" s="6">
        <v>8.99</v>
      </c>
      <c r="K4168">
        <v>0</v>
      </c>
      <c r="L4168" t="s">
        <v>43</v>
      </c>
      <c r="M4168" s="5">
        <v>5</v>
      </c>
      <c r="N4168" s="4">
        <v>0.54</v>
      </c>
      <c r="O4168" t="s">
        <v>52</v>
      </c>
    </row>
    <row r="4169" spans="1:15" x14ac:dyDescent="0.3">
      <c r="A4169" t="s">
        <v>2311</v>
      </c>
      <c r="B4169" s="5">
        <v>63</v>
      </c>
      <c r="C4169" s="5" t="str" cm="1">
        <f t="array" ref="C4169">_xlfn.IFS(worksheet[[#This Row],[age]]&lt;25,"1. Young Adulthood (18-24)",worksheet[[#This Row],[age]]&lt; 35,"2. Early Adulthood (25-34)",worksheet[[#This Row],[age]]&lt; 45,"3. Mid Adulthood (35-44)",worksheet[[#This Row],[age]]&lt; 55,"4. Mature Adulthood (45-54)",TRUE,"5. Late Adulthood/Senior (55+)")</f>
        <v>5. Late Adulthood/Senior (55+)</v>
      </c>
      <c r="D4169" t="s">
        <v>41</v>
      </c>
      <c r="E4169" t="s">
        <v>32</v>
      </c>
      <c r="F4169" s="4">
        <v>2.96</v>
      </c>
      <c r="G4169" s="5">
        <v>25</v>
      </c>
      <c r="H4169" t="s">
        <v>70</v>
      </c>
      <c r="I4169" t="s">
        <v>55</v>
      </c>
      <c r="J4169" s="6">
        <v>17.989999999999998</v>
      </c>
      <c r="K4169">
        <v>0</v>
      </c>
      <c r="L4169" t="s">
        <v>37</v>
      </c>
      <c r="M4169" s="5">
        <v>4</v>
      </c>
      <c r="N4169" s="4">
        <v>0.11</v>
      </c>
      <c r="O4169" t="s">
        <v>20</v>
      </c>
    </row>
    <row r="4170" spans="1:15" x14ac:dyDescent="0.3">
      <c r="A4170" t="s">
        <v>2312</v>
      </c>
      <c r="B4170" s="5">
        <v>66</v>
      </c>
      <c r="C4170" s="5" t="str" cm="1">
        <f t="array" ref="C4170">_xlfn.IFS(worksheet[[#This Row],[age]]&lt;25,"1. Young Adulthood (18-24)",worksheet[[#This Row],[age]]&lt; 35,"2. Early Adulthood (25-34)",worksheet[[#This Row],[age]]&lt; 45,"3. Mid Adulthood (35-44)",worksheet[[#This Row],[age]]&lt; 55,"4. Mature Adulthood (45-54)",TRUE,"5. Late Adulthood/Senior (55+)")</f>
        <v>5. Late Adulthood/Senior (55+)</v>
      </c>
      <c r="D4170" t="s">
        <v>15</v>
      </c>
      <c r="E4170" t="s">
        <v>32</v>
      </c>
      <c r="F4170" s="4">
        <v>1.4</v>
      </c>
      <c r="G4170" s="5">
        <v>23</v>
      </c>
      <c r="H4170" t="s">
        <v>28</v>
      </c>
      <c r="I4170" t="s">
        <v>46</v>
      </c>
      <c r="J4170" s="6">
        <v>17.989999999999998</v>
      </c>
      <c r="K4170">
        <v>1</v>
      </c>
      <c r="L4170" t="s">
        <v>19</v>
      </c>
      <c r="M4170" s="5">
        <v>2</v>
      </c>
      <c r="N4170" s="4">
        <v>0.06</v>
      </c>
      <c r="O4170" t="s">
        <v>52</v>
      </c>
    </row>
    <row r="4171" spans="1:15" x14ac:dyDescent="0.3">
      <c r="A4171" t="s">
        <v>2316</v>
      </c>
      <c r="B4171" s="5">
        <v>64</v>
      </c>
      <c r="C4171" s="5" t="str" cm="1">
        <f t="array" ref="C4171">_xlfn.IFS(worksheet[[#This Row],[age]]&lt;25,"1. Young Adulthood (18-24)",worksheet[[#This Row],[age]]&lt; 35,"2. Early Adulthood (25-34)",worksheet[[#This Row],[age]]&lt; 45,"3. Mid Adulthood (35-44)",worksheet[[#This Row],[age]]&lt; 55,"4. Mature Adulthood (45-54)",TRUE,"5. Late Adulthood/Senior (55+)")</f>
        <v>5. Late Adulthood/Senior (55+)</v>
      </c>
      <c r="D4171" t="s">
        <v>15</v>
      </c>
      <c r="E4171" t="s">
        <v>32</v>
      </c>
      <c r="F4171" s="4">
        <v>8.4600000000000009</v>
      </c>
      <c r="G4171" s="5">
        <v>20</v>
      </c>
      <c r="H4171" t="s">
        <v>28</v>
      </c>
      <c r="I4171" t="s">
        <v>46</v>
      </c>
      <c r="J4171" s="6">
        <v>17.989999999999998</v>
      </c>
      <c r="K4171">
        <v>0</v>
      </c>
      <c r="L4171" t="s">
        <v>37</v>
      </c>
      <c r="M4171" s="5">
        <v>4</v>
      </c>
      <c r="N4171" s="4">
        <v>0.4</v>
      </c>
      <c r="O4171" t="s">
        <v>39</v>
      </c>
    </row>
    <row r="4172" spans="1:15" x14ac:dyDescent="0.3">
      <c r="A4172" t="s">
        <v>2317</v>
      </c>
      <c r="B4172" s="5">
        <v>67</v>
      </c>
      <c r="C4172" s="5" t="str" cm="1">
        <f t="array" ref="C4172">_xlfn.IFS(worksheet[[#This Row],[age]]&lt;25,"1. Young Adulthood (18-24)",worksheet[[#This Row],[age]]&lt; 35,"2. Early Adulthood (25-34)",worksheet[[#This Row],[age]]&lt; 45,"3. Mid Adulthood (35-44)",worksheet[[#This Row],[age]]&lt; 55,"4. Mature Adulthood (45-54)",TRUE,"5. Late Adulthood/Senior (55+)")</f>
        <v>5. Late Adulthood/Senior (55+)</v>
      </c>
      <c r="D4172" t="s">
        <v>27</v>
      </c>
      <c r="E4172" t="s">
        <v>16</v>
      </c>
      <c r="F4172" s="4">
        <v>3.68</v>
      </c>
      <c r="G4172" s="5">
        <v>34</v>
      </c>
      <c r="H4172" t="s">
        <v>70</v>
      </c>
      <c r="I4172" t="s">
        <v>57</v>
      </c>
      <c r="J4172" s="6">
        <v>8.99</v>
      </c>
      <c r="K4172">
        <v>1</v>
      </c>
      <c r="L4172" t="s">
        <v>43</v>
      </c>
      <c r="M4172" s="5">
        <v>1</v>
      </c>
      <c r="N4172" s="4">
        <v>0.11</v>
      </c>
      <c r="O4172" t="s">
        <v>25</v>
      </c>
    </row>
    <row r="4173" spans="1:15" x14ac:dyDescent="0.3">
      <c r="A4173" t="s">
        <v>2319</v>
      </c>
      <c r="B4173" s="5">
        <v>57</v>
      </c>
      <c r="C4173" s="5" t="str" cm="1">
        <f t="array" ref="C4173">_xlfn.IFS(worksheet[[#This Row],[age]]&lt;25,"1. Young Adulthood (18-24)",worksheet[[#This Row],[age]]&lt; 35,"2. Early Adulthood (25-34)",worksheet[[#This Row],[age]]&lt; 45,"3. Mid Adulthood (35-44)",worksheet[[#This Row],[age]]&lt; 55,"4. Mature Adulthood (45-54)",TRUE,"5. Late Adulthood/Senior (55+)")</f>
        <v>5. Late Adulthood/Senior (55+)</v>
      </c>
      <c r="D4173" t="s">
        <v>27</v>
      </c>
      <c r="E4173" t="s">
        <v>16</v>
      </c>
      <c r="F4173" s="4">
        <v>1.24</v>
      </c>
      <c r="G4173" s="5">
        <v>52</v>
      </c>
      <c r="H4173" t="s">
        <v>23</v>
      </c>
      <c r="I4173" t="s">
        <v>55</v>
      </c>
      <c r="J4173" s="6">
        <v>8.99</v>
      </c>
      <c r="K4173">
        <v>1</v>
      </c>
      <c r="L4173" t="s">
        <v>61</v>
      </c>
      <c r="M4173" s="5">
        <v>4</v>
      </c>
      <c r="N4173" s="4">
        <v>0.02</v>
      </c>
      <c r="O4173" t="s">
        <v>25</v>
      </c>
    </row>
    <row r="4174" spans="1:15" x14ac:dyDescent="0.3">
      <c r="A4174" t="s">
        <v>2322</v>
      </c>
      <c r="B4174" s="5">
        <v>69</v>
      </c>
      <c r="C4174" s="5" t="str" cm="1">
        <f t="array" ref="C4174">_xlfn.IFS(worksheet[[#This Row],[age]]&lt;25,"1. Young Adulthood (18-24)",worksheet[[#This Row],[age]]&lt; 35,"2. Early Adulthood (25-34)",worksheet[[#This Row],[age]]&lt; 45,"3. Mid Adulthood (35-44)",worksheet[[#This Row],[age]]&lt; 55,"4. Mature Adulthood (45-54)",TRUE,"5. Late Adulthood/Senior (55+)")</f>
        <v>5. Late Adulthood/Senior (55+)</v>
      </c>
      <c r="D4174" t="s">
        <v>15</v>
      </c>
      <c r="E4174" t="s">
        <v>32</v>
      </c>
      <c r="F4174" s="4">
        <v>3.66</v>
      </c>
      <c r="G4174" s="5">
        <v>53</v>
      </c>
      <c r="H4174" t="s">
        <v>33</v>
      </c>
      <c r="I4174" t="s">
        <v>18</v>
      </c>
      <c r="J4174" s="6">
        <v>17.989999999999998</v>
      </c>
      <c r="K4174">
        <v>1</v>
      </c>
      <c r="L4174" t="s">
        <v>29</v>
      </c>
      <c r="M4174" s="5">
        <v>4</v>
      </c>
      <c r="N4174" s="4">
        <v>7.0000000000000007E-2</v>
      </c>
      <c r="O4174" t="s">
        <v>25</v>
      </c>
    </row>
    <row r="4175" spans="1:15" x14ac:dyDescent="0.3">
      <c r="A4175" t="s">
        <v>2323</v>
      </c>
      <c r="B4175" s="5">
        <v>55</v>
      </c>
      <c r="C4175" s="5" t="str" cm="1">
        <f t="array" ref="C4175">_xlfn.IFS(worksheet[[#This Row],[age]]&lt;25,"1. Young Adulthood (18-24)",worksheet[[#This Row],[age]]&lt; 35,"2. Early Adulthood (25-34)",worksheet[[#This Row],[age]]&lt; 45,"3. Mid Adulthood (35-44)",worksheet[[#This Row],[age]]&lt; 55,"4. Mature Adulthood (45-54)",TRUE,"5. Late Adulthood/Senior (55+)")</f>
        <v>5. Late Adulthood/Senior (55+)</v>
      </c>
      <c r="D4175" t="s">
        <v>41</v>
      </c>
      <c r="E4175" t="s">
        <v>16</v>
      </c>
      <c r="F4175" s="4">
        <v>9.2799999999999994</v>
      </c>
      <c r="G4175" s="5">
        <v>42</v>
      </c>
      <c r="H4175" t="s">
        <v>28</v>
      </c>
      <c r="I4175" t="s">
        <v>46</v>
      </c>
      <c r="J4175" s="6">
        <v>8.99</v>
      </c>
      <c r="K4175">
        <v>1</v>
      </c>
      <c r="L4175" t="s">
        <v>43</v>
      </c>
      <c r="M4175" s="5">
        <v>2</v>
      </c>
      <c r="N4175" s="4">
        <v>0.22</v>
      </c>
      <c r="O4175" t="s">
        <v>34</v>
      </c>
    </row>
    <row r="4176" spans="1:15" x14ac:dyDescent="0.3">
      <c r="A4176" t="s">
        <v>2326</v>
      </c>
      <c r="B4176" s="5">
        <v>60</v>
      </c>
      <c r="C4176" s="5" t="str" cm="1">
        <f t="array" ref="C4176">_xlfn.IFS(worksheet[[#This Row],[age]]&lt;25,"1. Young Adulthood (18-24)",worksheet[[#This Row],[age]]&lt; 35,"2. Early Adulthood (25-34)",worksheet[[#This Row],[age]]&lt; 45,"3. Mid Adulthood (35-44)",worksheet[[#This Row],[age]]&lt; 55,"4. Mature Adulthood (45-54)",TRUE,"5. Late Adulthood/Senior (55+)")</f>
        <v>5. Late Adulthood/Senior (55+)</v>
      </c>
      <c r="D4176" t="s">
        <v>27</v>
      </c>
      <c r="E4176" t="s">
        <v>32</v>
      </c>
      <c r="F4176" s="4">
        <v>9.31</v>
      </c>
      <c r="G4176" s="5">
        <v>2</v>
      </c>
      <c r="H4176" t="s">
        <v>23</v>
      </c>
      <c r="I4176" t="s">
        <v>55</v>
      </c>
      <c r="J4176" s="6">
        <v>17.989999999999998</v>
      </c>
      <c r="K4176">
        <v>0</v>
      </c>
      <c r="L4176" t="s">
        <v>43</v>
      </c>
      <c r="M4176" s="5">
        <v>5</v>
      </c>
      <c r="N4176" s="4">
        <v>3.1</v>
      </c>
      <c r="O4176" t="s">
        <v>34</v>
      </c>
    </row>
    <row r="4177" spans="1:15" x14ac:dyDescent="0.3">
      <c r="A4177" t="s">
        <v>2331</v>
      </c>
      <c r="B4177" s="5">
        <v>60</v>
      </c>
      <c r="C4177" s="5" t="str" cm="1">
        <f t="array" ref="C4177">_xlfn.IFS(worksheet[[#This Row],[age]]&lt;25,"1. Young Adulthood (18-24)",worksheet[[#This Row],[age]]&lt; 35,"2. Early Adulthood (25-34)",worksheet[[#This Row],[age]]&lt; 45,"3. Mid Adulthood (35-44)",worksheet[[#This Row],[age]]&lt; 55,"4. Mature Adulthood (45-54)",TRUE,"5. Late Adulthood/Senior (55+)")</f>
        <v>5. Late Adulthood/Senior (55+)</v>
      </c>
      <c r="D4177" t="s">
        <v>15</v>
      </c>
      <c r="E4177" t="s">
        <v>16</v>
      </c>
      <c r="F4177" s="4">
        <v>12.11</v>
      </c>
      <c r="G4177" s="5">
        <v>33</v>
      </c>
      <c r="H4177" t="s">
        <v>33</v>
      </c>
      <c r="I4177" t="s">
        <v>55</v>
      </c>
      <c r="J4177" s="6">
        <v>8.99</v>
      </c>
      <c r="K4177">
        <v>1</v>
      </c>
      <c r="L4177" t="s">
        <v>29</v>
      </c>
      <c r="M4177" s="5">
        <v>4</v>
      </c>
      <c r="N4177" s="4">
        <v>0.36</v>
      </c>
      <c r="O4177" t="s">
        <v>47</v>
      </c>
    </row>
    <row r="4178" spans="1:15" x14ac:dyDescent="0.3">
      <c r="A4178" t="s">
        <v>2332</v>
      </c>
      <c r="B4178" s="5">
        <v>68</v>
      </c>
      <c r="C4178" s="5" t="str" cm="1">
        <f t="array" ref="C4178">_xlfn.IFS(worksheet[[#This Row],[age]]&lt;25,"1. Young Adulthood (18-24)",worksheet[[#This Row],[age]]&lt; 35,"2. Early Adulthood (25-34)",worksheet[[#This Row],[age]]&lt; 45,"3. Mid Adulthood (35-44)",worksheet[[#This Row],[age]]&lt; 55,"4. Mature Adulthood (45-54)",TRUE,"5. Late Adulthood/Senior (55+)")</f>
        <v>5. Late Adulthood/Senior (55+)</v>
      </c>
      <c r="D4178" t="s">
        <v>27</v>
      </c>
      <c r="E4178" t="s">
        <v>22</v>
      </c>
      <c r="F4178" s="4">
        <v>2.58</v>
      </c>
      <c r="G4178" s="5">
        <v>37</v>
      </c>
      <c r="H4178" t="s">
        <v>49</v>
      </c>
      <c r="I4178" t="s">
        <v>57</v>
      </c>
      <c r="J4178" s="6">
        <v>13.99</v>
      </c>
      <c r="K4178">
        <v>1</v>
      </c>
      <c r="L4178" t="s">
        <v>37</v>
      </c>
      <c r="M4178" s="5">
        <v>3</v>
      </c>
      <c r="N4178" s="4">
        <v>7.0000000000000007E-2</v>
      </c>
      <c r="O4178" t="s">
        <v>25</v>
      </c>
    </row>
    <row r="4179" spans="1:15" x14ac:dyDescent="0.3">
      <c r="A4179" t="s">
        <v>2334</v>
      </c>
      <c r="B4179" s="5">
        <v>64</v>
      </c>
      <c r="C4179" s="5" t="str" cm="1">
        <f t="array" ref="C4179">_xlfn.IFS(worksheet[[#This Row],[age]]&lt;25,"1. Young Adulthood (18-24)",worksheet[[#This Row],[age]]&lt; 35,"2. Early Adulthood (25-34)",worksheet[[#This Row],[age]]&lt; 45,"3. Mid Adulthood (35-44)",worksheet[[#This Row],[age]]&lt; 55,"4. Mature Adulthood (45-54)",TRUE,"5. Late Adulthood/Senior (55+)")</f>
        <v>5. Late Adulthood/Senior (55+)</v>
      </c>
      <c r="D4179" t="s">
        <v>41</v>
      </c>
      <c r="E4179" t="s">
        <v>22</v>
      </c>
      <c r="F4179" s="4">
        <v>10.46</v>
      </c>
      <c r="G4179" s="5">
        <v>51</v>
      </c>
      <c r="H4179" t="s">
        <v>49</v>
      </c>
      <c r="I4179" t="s">
        <v>46</v>
      </c>
      <c r="J4179" s="6">
        <v>13.99</v>
      </c>
      <c r="K4179">
        <v>1</v>
      </c>
      <c r="L4179" t="s">
        <v>61</v>
      </c>
      <c r="M4179" s="5">
        <v>2</v>
      </c>
      <c r="N4179" s="4">
        <v>0.2</v>
      </c>
      <c r="O4179" t="s">
        <v>47</v>
      </c>
    </row>
    <row r="4180" spans="1:15" x14ac:dyDescent="0.3">
      <c r="A4180" t="s">
        <v>2335</v>
      </c>
      <c r="B4180" s="5">
        <v>56</v>
      </c>
      <c r="C4180" s="5" t="str" cm="1">
        <f t="array" ref="C4180">_xlfn.IFS(worksheet[[#This Row],[age]]&lt;25,"1. Young Adulthood (18-24)",worksheet[[#This Row],[age]]&lt; 35,"2. Early Adulthood (25-34)",worksheet[[#This Row],[age]]&lt; 45,"3. Mid Adulthood (35-44)",worksheet[[#This Row],[age]]&lt; 55,"4. Mature Adulthood (45-54)",TRUE,"5. Late Adulthood/Senior (55+)")</f>
        <v>5. Late Adulthood/Senior (55+)</v>
      </c>
      <c r="D4180" t="s">
        <v>27</v>
      </c>
      <c r="E4180" t="s">
        <v>16</v>
      </c>
      <c r="F4180" s="4">
        <v>2.15</v>
      </c>
      <c r="G4180" s="5">
        <v>12</v>
      </c>
      <c r="H4180" t="s">
        <v>49</v>
      </c>
      <c r="I4180" t="s">
        <v>46</v>
      </c>
      <c r="J4180" s="6">
        <v>8.99</v>
      </c>
      <c r="K4180">
        <v>1</v>
      </c>
      <c r="L4180" t="s">
        <v>43</v>
      </c>
      <c r="M4180" s="5">
        <v>5</v>
      </c>
      <c r="N4180" s="4">
        <v>0.17</v>
      </c>
      <c r="O4180" t="s">
        <v>30</v>
      </c>
    </row>
    <row r="4181" spans="1:15" x14ac:dyDescent="0.3">
      <c r="A4181" t="s">
        <v>2336</v>
      </c>
      <c r="B4181" s="5">
        <v>56</v>
      </c>
      <c r="C4181" s="5" t="str" cm="1">
        <f t="array" ref="C4181">_xlfn.IFS(worksheet[[#This Row],[age]]&lt;25,"1. Young Adulthood (18-24)",worksheet[[#This Row],[age]]&lt; 35,"2. Early Adulthood (25-34)",worksheet[[#This Row],[age]]&lt; 45,"3. Mid Adulthood (35-44)",worksheet[[#This Row],[age]]&lt; 55,"4. Mature Adulthood (45-54)",TRUE,"5. Late Adulthood/Senior (55+)")</f>
        <v>5. Late Adulthood/Senior (55+)</v>
      </c>
      <c r="D4181" t="s">
        <v>15</v>
      </c>
      <c r="E4181" t="s">
        <v>32</v>
      </c>
      <c r="F4181" s="4">
        <v>19.25</v>
      </c>
      <c r="G4181" s="5">
        <v>28</v>
      </c>
      <c r="H4181" t="s">
        <v>70</v>
      </c>
      <c r="I4181" t="s">
        <v>46</v>
      </c>
      <c r="J4181" s="6">
        <v>17.989999999999998</v>
      </c>
      <c r="K4181">
        <v>0</v>
      </c>
      <c r="L4181" t="s">
        <v>61</v>
      </c>
      <c r="M4181" s="5">
        <v>5</v>
      </c>
      <c r="N4181" s="4">
        <v>0.66</v>
      </c>
      <c r="O4181" t="s">
        <v>20</v>
      </c>
    </row>
    <row r="4182" spans="1:15" x14ac:dyDescent="0.3">
      <c r="A4182" t="s">
        <v>2337</v>
      </c>
      <c r="B4182" s="5">
        <v>57</v>
      </c>
      <c r="C4182" s="5" t="str" cm="1">
        <f t="array" ref="C4182">_xlfn.IFS(worksheet[[#This Row],[age]]&lt;25,"1. Young Adulthood (18-24)",worksheet[[#This Row],[age]]&lt; 35,"2. Early Adulthood (25-34)",worksheet[[#This Row],[age]]&lt; 45,"3. Mid Adulthood (35-44)",worksheet[[#This Row],[age]]&lt; 55,"4. Mature Adulthood (45-54)",TRUE,"5. Late Adulthood/Senior (55+)")</f>
        <v>5. Late Adulthood/Senior (55+)</v>
      </c>
      <c r="D4182" t="s">
        <v>15</v>
      </c>
      <c r="E4182" t="s">
        <v>32</v>
      </c>
      <c r="F4182" s="4">
        <v>8.6199999999999992</v>
      </c>
      <c r="G4182" s="5">
        <v>40</v>
      </c>
      <c r="H4182" t="s">
        <v>17</v>
      </c>
      <c r="I4182" t="s">
        <v>55</v>
      </c>
      <c r="J4182" s="6">
        <v>17.989999999999998</v>
      </c>
      <c r="K4182">
        <v>1</v>
      </c>
      <c r="L4182" t="s">
        <v>43</v>
      </c>
      <c r="M4182" s="5">
        <v>2</v>
      </c>
      <c r="N4182" s="4">
        <v>0.21</v>
      </c>
      <c r="O4182" t="s">
        <v>39</v>
      </c>
    </row>
    <row r="4183" spans="1:15" x14ac:dyDescent="0.3">
      <c r="A4183" t="s">
        <v>2341</v>
      </c>
      <c r="B4183" s="5">
        <v>58</v>
      </c>
      <c r="C4183" s="5" t="str" cm="1">
        <f t="array" ref="C4183">_xlfn.IFS(worksheet[[#This Row],[age]]&lt;25,"1. Young Adulthood (18-24)",worksheet[[#This Row],[age]]&lt; 35,"2. Early Adulthood (25-34)",worksheet[[#This Row],[age]]&lt; 45,"3. Mid Adulthood (35-44)",worksheet[[#This Row],[age]]&lt; 55,"4. Mature Adulthood (45-54)",TRUE,"5. Late Adulthood/Senior (55+)")</f>
        <v>5. Late Adulthood/Senior (55+)</v>
      </c>
      <c r="D4183" t="s">
        <v>15</v>
      </c>
      <c r="E4183" t="s">
        <v>22</v>
      </c>
      <c r="F4183" s="4">
        <v>6.62</v>
      </c>
      <c r="G4183" s="5">
        <v>25</v>
      </c>
      <c r="H4183" t="s">
        <v>17</v>
      </c>
      <c r="I4183" t="s">
        <v>18</v>
      </c>
      <c r="J4183" s="6">
        <v>13.99</v>
      </c>
      <c r="K4183">
        <v>0</v>
      </c>
      <c r="L4183" t="s">
        <v>37</v>
      </c>
      <c r="M4183" s="5">
        <v>2</v>
      </c>
      <c r="N4183" s="4">
        <v>0.25</v>
      </c>
      <c r="O4183" t="s">
        <v>30</v>
      </c>
    </row>
    <row r="4184" spans="1:15" x14ac:dyDescent="0.3">
      <c r="A4184" t="s">
        <v>2343</v>
      </c>
      <c r="B4184" s="5">
        <v>69</v>
      </c>
      <c r="C4184" s="5" t="str" cm="1">
        <f t="array" ref="C4184">_xlfn.IFS(worksheet[[#This Row],[age]]&lt;25,"1. Young Adulthood (18-24)",worksheet[[#This Row],[age]]&lt; 35,"2. Early Adulthood (25-34)",worksheet[[#This Row],[age]]&lt; 45,"3. Mid Adulthood (35-44)",worksheet[[#This Row],[age]]&lt; 55,"4. Mature Adulthood (45-54)",TRUE,"5. Late Adulthood/Senior (55+)")</f>
        <v>5. Late Adulthood/Senior (55+)</v>
      </c>
      <c r="D4184" t="s">
        <v>41</v>
      </c>
      <c r="E4184" t="s">
        <v>22</v>
      </c>
      <c r="F4184" s="4">
        <v>4.8600000000000003</v>
      </c>
      <c r="G4184" s="5">
        <v>27</v>
      </c>
      <c r="H4184" t="s">
        <v>70</v>
      </c>
      <c r="I4184" t="s">
        <v>55</v>
      </c>
      <c r="J4184" s="6">
        <v>13.99</v>
      </c>
      <c r="K4184">
        <v>1</v>
      </c>
      <c r="L4184" t="s">
        <v>19</v>
      </c>
      <c r="M4184" s="5">
        <v>3</v>
      </c>
      <c r="N4184" s="4">
        <v>0.17</v>
      </c>
      <c r="O4184" t="s">
        <v>34</v>
      </c>
    </row>
    <row r="4185" spans="1:15" x14ac:dyDescent="0.3">
      <c r="A4185" t="s">
        <v>2351</v>
      </c>
      <c r="B4185" s="5">
        <v>59</v>
      </c>
      <c r="C4185" s="5" t="str" cm="1">
        <f t="array" ref="C4185">_xlfn.IFS(worksheet[[#This Row],[age]]&lt;25,"1. Young Adulthood (18-24)",worksheet[[#This Row],[age]]&lt; 35,"2. Early Adulthood (25-34)",worksheet[[#This Row],[age]]&lt; 45,"3. Mid Adulthood (35-44)",worksheet[[#This Row],[age]]&lt; 55,"4. Mature Adulthood (45-54)",TRUE,"5. Late Adulthood/Senior (55+)")</f>
        <v>5. Late Adulthood/Senior (55+)</v>
      </c>
      <c r="D4185" t="s">
        <v>15</v>
      </c>
      <c r="E4185" t="s">
        <v>32</v>
      </c>
      <c r="F4185" s="4">
        <v>18.05</v>
      </c>
      <c r="G4185" s="5">
        <v>19</v>
      </c>
      <c r="H4185" t="s">
        <v>28</v>
      </c>
      <c r="I4185" t="s">
        <v>18</v>
      </c>
      <c r="J4185" s="6">
        <v>17.989999999999998</v>
      </c>
      <c r="K4185">
        <v>0</v>
      </c>
      <c r="L4185" t="s">
        <v>43</v>
      </c>
      <c r="M4185" s="5">
        <v>3</v>
      </c>
      <c r="N4185" s="4">
        <v>0.9</v>
      </c>
      <c r="O4185" t="s">
        <v>52</v>
      </c>
    </row>
    <row r="4186" spans="1:15" x14ac:dyDescent="0.3">
      <c r="A4186" t="s">
        <v>2352</v>
      </c>
      <c r="B4186" s="5">
        <v>69</v>
      </c>
      <c r="C4186" s="5" t="str" cm="1">
        <f t="array" ref="C4186">_xlfn.IFS(worksheet[[#This Row],[age]]&lt;25,"1. Young Adulthood (18-24)",worksheet[[#This Row],[age]]&lt; 35,"2. Early Adulthood (25-34)",worksheet[[#This Row],[age]]&lt; 45,"3. Mid Adulthood (35-44)",worksheet[[#This Row],[age]]&lt; 55,"4. Mature Adulthood (45-54)",TRUE,"5. Late Adulthood/Senior (55+)")</f>
        <v>5. Late Adulthood/Senior (55+)</v>
      </c>
      <c r="D4186" t="s">
        <v>15</v>
      </c>
      <c r="E4186" t="s">
        <v>16</v>
      </c>
      <c r="F4186" s="4">
        <v>3.12</v>
      </c>
      <c r="G4186" s="5">
        <v>47</v>
      </c>
      <c r="H4186" t="s">
        <v>49</v>
      </c>
      <c r="I4186" t="s">
        <v>24</v>
      </c>
      <c r="J4186" s="6">
        <v>8.99</v>
      </c>
      <c r="K4186">
        <v>1</v>
      </c>
      <c r="L4186" t="s">
        <v>29</v>
      </c>
      <c r="M4186" s="5">
        <v>3</v>
      </c>
      <c r="N4186" s="4">
        <v>7.0000000000000007E-2</v>
      </c>
      <c r="O4186" t="s">
        <v>52</v>
      </c>
    </row>
    <row r="4187" spans="1:15" x14ac:dyDescent="0.3">
      <c r="A4187" t="s">
        <v>2354</v>
      </c>
      <c r="B4187" s="5">
        <v>62</v>
      </c>
      <c r="C4187" s="5" t="str" cm="1">
        <f t="array" ref="C4187">_xlfn.IFS(worksheet[[#This Row],[age]]&lt;25,"1. Young Adulthood (18-24)",worksheet[[#This Row],[age]]&lt; 35,"2. Early Adulthood (25-34)",worksheet[[#This Row],[age]]&lt; 45,"3. Mid Adulthood (35-44)",worksheet[[#This Row],[age]]&lt; 55,"4. Mature Adulthood (45-54)",TRUE,"5. Late Adulthood/Senior (55+)")</f>
        <v>5. Late Adulthood/Senior (55+)</v>
      </c>
      <c r="D4187" t="s">
        <v>15</v>
      </c>
      <c r="E4187" t="s">
        <v>22</v>
      </c>
      <c r="F4187" s="4">
        <v>36.03</v>
      </c>
      <c r="G4187" s="5">
        <v>46</v>
      </c>
      <c r="H4187" t="s">
        <v>70</v>
      </c>
      <c r="I4187" t="s">
        <v>24</v>
      </c>
      <c r="J4187" s="6">
        <v>13.99</v>
      </c>
      <c r="K4187">
        <v>0</v>
      </c>
      <c r="L4187" t="s">
        <v>19</v>
      </c>
      <c r="M4187" s="5">
        <v>2</v>
      </c>
      <c r="N4187" s="4">
        <v>0.77</v>
      </c>
      <c r="O4187" t="s">
        <v>52</v>
      </c>
    </row>
    <row r="4188" spans="1:15" x14ac:dyDescent="0.3">
      <c r="A4188" t="s">
        <v>2355</v>
      </c>
      <c r="B4188" s="5">
        <v>60</v>
      </c>
      <c r="C4188" s="5" t="str" cm="1">
        <f t="array" ref="C4188">_xlfn.IFS(worksheet[[#This Row],[age]]&lt;25,"1. Young Adulthood (18-24)",worksheet[[#This Row],[age]]&lt; 35,"2. Early Adulthood (25-34)",worksheet[[#This Row],[age]]&lt; 45,"3. Mid Adulthood (35-44)",worksheet[[#This Row],[age]]&lt; 55,"4. Mature Adulthood (45-54)",TRUE,"5. Late Adulthood/Senior (55+)")</f>
        <v>5. Late Adulthood/Senior (55+)</v>
      </c>
      <c r="D4188" t="s">
        <v>27</v>
      </c>
      <c r="E4188" t="s">
        <v>22</v>
      </c>
      <c r="F4188" s="4">
        <v>1.85</v>
      </c>
      <c r="G4188" s="5">
        <v>28</v>
      </c>
      <c r="H4188" t="s">
        <v>17</v>
      </c>
      <c r="I4188" t="s">
        <v>24</v>
      </c>
      <c r="J4188" s="6">
        <v>13.99</v>
      </c>
      <c r="K4188">
        <v>1</v>
      </c>
      <c r="L4188" t="s">
        <v>43</v>
      </c>
      <c r="M4188" s="5">
        <v>3</v>
      </c>
      <c r="N4188" s="4">
        <v>0.06</v>
      </c>
      <c r="O4188" t="s">
        <v>47</v>
      </c>
    </row>
    <row r="4189" spans="1:15" x14ac:dyDescent="0.3">
      <c r="A4189" t="s">
        <v>2360</v>
      </c>
      <c r="B4189" s="5">
        <v>62</v>
      </c>
      <c r="C4189" s="5" t="str" cm="1">
        <f t="array" ref="C4189">_xlfn.IFS(worksheet[[#This Row],[age]]&lt;25,"1. Young Adulthood (18-24)",worksheet[[#This Row],[age]]&lt; 35,"2. Early Adulthood (25-34)",worksheet[[#This Row],[age]]&lt; 45,"3. Mid Adulthood (35-44)",worksheet[[#This Row],[age]]&lt; 55,"4. Mature Adulthood (45-54)",TRUE,"5. Late Adulthood/Senior (55+)")</f>
        <v>5. Late Adulthood/Senior (55+)</v>
      </c>
      <c r="D4189" t="s">
        <v>15</v>
      </c>
      <c r="E4189" t="s">
        <v>32</v>
      </c>
      <c r="F4189" s="4">
        <v>9.58</v>
      </c>
      <c r="G4189" s="5">
        <v>25</v>
      </c>
      <c r="H4189" t="s">
        <v>28</v>
      </c>
      <c r="I4189" t="s">
        <v>57</v>
      </c>
      <c r="J4189" s="6">
        <v>17.989999999999998</v>
      </c>
      <c r="K4189">
        <v>0</v>
      </c>
      <c r="L4189" t="s">
        <v>61</v>
      </c>
      <c r="M4189" s="5">
        <v>2</v>
      </c>
      <c r="N4189" s="4">
        <v>0.37</v>
      </c>
      <c r="O4189" t="s">
        <v>47</v>
      </c>
    </row>
    <row r="4190" spans="1:15" x14ac:dyDescent="0.3">
      <c r="A4190" t="s">
        <v>2361</v>
      </c>
      <c r="B4190" s="5">
        <v>56</v>
      </c>
      <c r="C4190" s="5" t="str" cm="1">
        <f t="array" ref="C4190">_xlfn.IFS(worksheet[[#This Row],[age]]&lt;25,"1. Young Adulthood (18-24)",worksheet[[#This Row],[age]]&lt; 35,"2. Early Adulthood (25-34)",worksheet[[#This Row],[age]]&lt; 45,"3. Mid Adulthood (35-44)",worksheet[[#This Row],[age]]&lt; 55,"4. Mature Adulthood (45-54)",TRUE,"5. Late Adulthood/Senior (55+)")</f>
        <v>5. Late Adulthood/Senior (55+)</v>
      </c>
      <c r="D4190" t="s">
        <v>41</v>
      </c>
      <c r="E4190" t="s">
        <v>32</v>
      </c>
      <c r="F4190" s="4">
        <v>6.24</v>
      </c>
      <c r="G4190" s="5">
        <v>2</v>
      </c>
      <c r="H4190" t="s">
        <v>33</v>
      </c>
      <c r="I4190" t="s">
        <v>57</v>
      </c>
      <c r="J4190" s="6">
        <v>17.989999999999998</v>
      </c>
      <c r="K4190">
        <v>0</v>
      </c>
      <c r="L4190" t="s">
        <v>29</v>
      </c>
      <c r="M4190" s="5">
        <v>4</v>
      </c>
      <c r="N4190" s="4">
        <v>2.08</v>
      </c>
      <c r="O4190" t="s">
        <v>25</v>
      </c>
    </row>
    <row r="4191" spans="1:15" x14ac:dyDescent="0.3">
      <c r="A4191" t="s">
        <v>2364</v>
      </c>
      <c r="B4191" s="5">
        <v>60</v>
      </c>
      <c r="C4191" s="5" t="str" cm="1">
        <f t="array" ref="C4191">_xlfn.IFS(worksheet[[#This Row],[age]]&lt;25,"1. Young Adulthood (18-24)",worksheet[[#This Row],[age]]&lt; 35,"2. Early Adulthood (25-34)",worksheet[[#This Row],[age]]&lt; 45,"3. Mid Adulthood (35-44)",worksheet[[#This Row],[age]]&lt; 55,"4. Mature Adulthood (45-54)",TRUE,"5. Late Adulthood/Senior (55+)")</f>
        <v>5. Late Adulthood/Senior (55+)</v>
      </c>
      <c r="D4191" t="s">
        <v>41</v>
      </c>
      <c r="E4191" t="s">
        <v>32</v>
      </c>
      <c r="F4191" s="4">
        <v>7.25</v>
      </c>
      <c r="G4191" s="5">
        <v>35</v>
      </c>
      <c r="H4191" t="s">
        <v>28</v>
      </c>
      <c r="I4191" t="s">
        <v>18</v>
      </c>
      <c r="J4191" s="6">
        <v>17.989999999999998</v>
      </c>
      <c r="K4191">
        <v>0</v>
      </c>
      <c r="L4191" t="s">
        <v>37</v>
      </c>
      <c r="M4191" s="5">
        <v>5</v>
      </c>
      <c r="N4191" s="4">
        <v>0.2</v>
      </c>
      <c r="O4191" t="s">
        <v>25</v>
      </c>
    </row>
    <row r="4192" spans="1:15" x14ac:dyDescent="0.3">
      <c r="A4192" t="s">
        <v>2365</v>
      </c>
      <c r="B4192" s="5">
        <v>64</v>
      </c>
      <c r="C4192" s="5" t="str" cm="1">
        <f t="array" ref="C4192">_xlfn.IFS(worksheet[[#This Row],[age]]&lt;25,"1. Young Adulthood (18-24)",worksheet[[#This Row],[age]]&lt; 35,"2. Early Adulthood (25-34)",worksheet[[#This Row],[age]]&lt; 45,"3. Mid Adulthood (35-44)",worksheet[[#This Row],[age]]&lt; 55,"4. Mature Adulthood (45-54)",TRUE,"5. Late Adulthood/Senior (55+)")</f>
        <v>5. Late Adulthood/Senior (55+)</v>
      </c>
      <c r="D4192" t="s">
        <v>41</v>
      </c>
      <c r="E4192" t="s">
        <v>16</v>
      </c>
      <c r="F4192" s="4">
        <v>6.68</v>
      </c>
      <c r="G4192" s="5">
        <v>24</v>
      </c>
      <c r="H4192" t="s">
        <v>28</v>
      </c>
      <c r="I4192" t="s">
        <v>46</v>
      </c>
      <c r="J4192" s="6">
        <v>8.99</v>
      </c>
      <c r="K4192">
        <v>1</v>
      </c>
      <c r="L4192" t="s">
        <v>29</v>
      </c>
      <c r="M4192" s="5">
        <v>2</v>
      </c>
      <c r="N4192" s="4">
        <v>0.27</v>
      </c>
      <c r="O4192" t="s">
        <v>34</v>
      </c>
    </row>
    <row r="4193" spans="1:15" x14ac:dyDescent="0.3">
      <c r="A4193" t="s">
        <v>2375</v>
      </c>
      <c r="B4193" s="5">
        <v>61</v>
      </c>
      <c r="C4193" s="5" t="str" cm="1">
        <f t="array" ref="C4193">_xlfn.IFS(worksheet[[#This Row],[age]]&lt;25,"1. Young Adulthood (18-24)",worksheet[[#This Row],[age]]&lt; 35,"2. Early Adulthood (25-34)",worksheet[[#This Row],[age]]&lt; 45,"3. Mid Adulthood (35-44)",worksheet[[#This Row],[age]]&lt; 55,"4. Mature Adulthood (45-54)",TRUE,"5. Late Adulthood/Senior (55+)")</f>
        <v>5. Late Adulthood/Senior (55+)</v>
      </c>
      <c r="D4193" t="s">
        <v>41</v>
      </c>
      <c r="E4193" t="s">
        <v>22</v>
      </c>
      <c r="F4193" s="4">
        <v>26.05</v>
      </c>
      <c r="G4193" s="5">
        <v>21</v>
      </c>
      <c r="H4193" t="s">
        <v>70</v>
      </c>
      <c r="I4193" t="s">
        <v>57</v>
      </c>
      <c r="J4193" s="6">
        <v>13.99</v>
      </c>
      <c r="K4193">
        <v>0</v>
      </c>
      <c r="L4193" t="s">
        <v>37</v>
      </c>
      <c r="M4193" s="5">
        <v>1</v>
      </c>
      <c r="N4193" s="4">
        <v>1.18</v>
      </c>
      <c r="O4193" t="s">
        <v>52</v>
      </c>
    </row>
    <row r="4194" spans="1:15" x14ac:dyDescent="0.3">
      <c r="A4194" t="s">
        <v>2376</v>
      </c>
      <c r="B4194" s="5">
        <v>65</v>
      </c>
      <c r="C4194" s="5" t="str" cm="1">
        <f t="array" ref="C4194">_xlfn.IFS(worksheet[[#This Row],[age]]&lt;25,"1. Young Adulthood (18-24)",worksheet[[#This Row],[age]]&lt; 35,"2. Early Adulthood (25-34)",worksheet[[#This Row],[age]]&lt; 45,"3. Mid Adulthood (35-44)",worksheet[[#This Row],[age]]&lt; 55,"4. Mature Adulthood (45-54)",TRUE,"5. Late Adulthood/Senior (55+)")</f>
        <v>5. Late Adulthood/Senior (55+)</v>
      </c>
      <c r="D4194" t="s">
        <v>15</v>
      </c>
      <c r="E4194" t="s">
        <v>32</v>
      </c>
      <c r="F4194" s="4">
        <v>16.68</v>
      </c>
      <c r="G4194" s="5">
        <v>9</v>
      </c>
      <c r="H4194" t="s">
        <v>28</v>
      </c>
      <c r="I4194" t="s">
        <v>24</v>
      </c>
      <c r="J4194" s="6">
        <v>17.989999999999998</v>
      </c>
      <c r="K4194">
        <v>0</v>
      </c>
      <c r="L4194" t="s">
        <v>37</v>
      </c>
      <c r="M4194" s="5">
        <v>2</v>
      </c>
      <c r="N4194" s="4">
        <v>1.67</v>
      </c>
      <c r="O4194" t="s">
        <v>39</v>
      </c>
    </row>
    <row r="4195" spans="1:15" x14ac:dyDescent="0.3">
      <c r="A4195" t="s">
        <v>2379</v>
      </c>
      <c r="B4195" s="5">
        <v>59</v>
      </c>
      <c r="C4195" s="5" t="str" cm="1">
        <f t="array" ref="C4195">_xlfn.IFS(worksheet[[#This Row],[age]]&lt;25,"1. Young Adulthood (18-24)",worksheet[[#This Row],[age]]&lt; 35,"2. Early Adulthood (25-34)",worksheet[[#This Row],[age]]&lt; 45,"3. Mid Adulthood (35-44)",worksheet[[#This Row],[age]]&lt; 55,"4. Mature Adulthood (45-54)",TRUE,"5. Late Adulthood/Senior (55+)")</f>
        <v>5. Late Adulthood/Senior (55+)</v>
      </c>
      <c r="D4195" t="s">
        <v>41</v>
      </c>
      <c r="E4195" t="s">
        <v>32</v>
      </c>
      <c r="F4195" s="4">
        <v>4.9000000000000004</v>
      </c>
      <c r="G4195" s="5">
        <v>56</v>
      </c>
      <c r="H4195" t="s">
        <v>33</v>
      </c>
      <c r="I4195" t="s">
        <v>46</v>
      </c>
      <c r="J4195" s="6">
        <v>17.989999999999998</v>
      </c>
      <c r="K4195">
        <v>1</v>
      </c>
      <c r="L4195" t="s">
        <v>29</v>
      </c>
      <c r="M4195" s="5">
        <v>4</v>
      </c>
      <c r="N4195" s="4">
        <v>0.09</v>
      </c>
      <c r="O4195" t="s">
        <v>52</v>
      </c>
    </row>
    <row r="4196" spans="1:15" x14ac:dyDescent="0.3">
      <c r="A4196" t="s">
        <v>2380</v>
      </c>
      <c r="B4196" s="5">
        <v>64</v>
      </c>
      <c r="C4196" s="5" t="str" cm="1">
        <f t="array" ref="C4196">_xlfn.IFS(worksheet[[#This Row],[age]]&lt;25,"1. Young Adulthood (18-24)",worksheet[[#This Row],[age]]&lt; 35,"2. Early Adulthood (25-34)",worksheet[[#This Row],[age]]&lt; 45,"3. Mid Adulthood (35-44)",worksheet[[#This Row],[age]]&lt; 55,"4. Mature Adulthood (45-54)",TRUE,"5. Late Adulthood/Senior (55+)")</f>
        <v>5. Late Adulthood/Senior (55+)</v>
      </c>
      <c r="D4196" t="s">
        <v>27</v>
      </c>
      <c r="E4196" t="s">
        <v>16</v>
      </c>
      <c r="F4196" s="4">
        <v>3.98</v>
      </c>
      <c r="G4196" s="5">
        <v>58</v>
      </c>
      <c r="H4196" t="s">
        <v>33</v>
      </c>
      <c r="I4196" t="s">
        <v>46</v>
      </c>
      <c r="J4196" s="6">
        <v>8.99</v>
      </c>
      <c r="K4196">
        <v>1</v>
      </c>
      <c r="L4196" t="s">
        <v>43</v>
      </c>
      <c r="M4196" s="5">
        <v>5</v>
      </c>
      <c r="N4196" s="4">
        <v>7.0000000000000007E-2</v>
      </c>
      <c r="O4196" t="s">
        <v>25</v>
      </c>
    </row>
    <row r="4197" spans="1:15" x14ac:dyDescent="0.3">
      <c r="A4197" t="s">
        <v>2389</v>
      </c>
      <c r="B4197" s="5">
        <v>65</v>
      </c>
      <c r="C4197" s="5" t="str" cm="1">
        <f t="array" ref="C4197">_xlfn.IFS(worksheet[[#This Row],[age]]&lt;25,"1. Young Adulthood (18-24)",worksheet[[#This Row],[age]]&lt; 35,"2. Early Adulthood (25-34)",worksheet[[#This Row],[age]]&lt; 45,"3. Mid Adulthood (35-44)",worksheet[[#This Row],[age]]&lt; 55,"4. Mature Adulthood (45-54)",TRUE,"5. Late Adulthood/Senior (55+)")</f>
        <v>5. Late Adulthood/Senior (55+)</v>
      </c>
      <c r="D4197" t="s">
        <v>41</v>
      </c>
      <c r="E4197" t="s">
        <v>32</v>
      </c>
      <c r="F4197" s="4">
        <v>23.31</v>
      </c>
      <c r="G4197" s="5">
        <v>25</v>
      </c>
      <c r="H4197" t="s">
        <v>49</v>
      </c>
      <c r="I4197" t="s">
        <v>57</v>
      </c>
      <c r="J4197" s="6">
        <v>17.989999999999998</v>
      </c>
      <c r="K4197">
        <v>0</v>
      </c>
      <c r="L4197" t="s">
        <v>37</v>
      </c>
      <c r="M4197" s="5">
        <v>2</v>
      </c>
      <c r="N4197" s="4">
        <v>0.9</v>
      </c>
      <c r="O4197" t="s">
        <v>20</v>
      </c>
    </row>
    <row r="4198" spans="1:15" x14ac:dyDescent="0.3">
      <c r="A4198" t="s">
        <v>2391</v>
      </c>
      <c r="B4198" s="5">
        <v>62</v>
      </c>
      <c r="C4198" s="5" t="str" cm="1">
        <f t="array" ref="C4198">_xlfn.IFS(worksheet[[#This Row],[age]]&lt;25,"1. Young Adulthood (18-24)",worksheet[[#This Row],[age]]&lt; 35,"2. Early Adulthood (25-34)",worksheet[[#This Row],[age]]&lt; 45,"3. Mid Adulthood (35-44)",worksheet[[#This Row],[age]]&lt; 55,"4. Mature Adulthood (45-54)",TRUE,"5. Late Adulthood/Senior (55+)")</f>
        <v>5. Late Adulthood/Senior (55+)</v>
      </c>
      <c r="D4198" t="s">
        <v>41</v>
      </c>
      <c r="E4198" t="s">
        <v>32</v>
      </c>
      <c r="F4198" s="4">
        <v>0.99</v>
      </c>
      <c r="G4198" s="5">
        <v>43</v>
      </c>
      <c r="H4198" t="s">
        <v>28</v>
      </c>
      <c r="I4198" t="s">
        <v>24</v>
      </c>
      <c r="J4198" s="6">
        <v>17.989999999999998</v>
      </c>
      <c r="K4198">
        <v>1</v>
      </c>
      <c r="L4198" t="s">
        <v>37</v>
      </c>
      <c r="M4198" s="5">
        <v>5</v>
      </c>
      <c r="N4198" s="4">
        <v>0.02</v>
      </c>
      <c r="O4198" t="s">
        <v>52</v>
      </c>
    </row>
    <row r="4199" spans="1:15" x14ac:dyDescent="0.3">
      <c r="A4199" t="s">
        <v>2396</v>
      </c>
      <c r="B4199" s="5">
        <v>60</v>
      </c>
      <c r="C4199" s="5" t="str" cm="1">
        <f t="array" ref="C4199">_xlfn.IFS(worksheet[[#This Row],[age]]&lt;25,"1. Young Adulthood (18-24)",worksheet[[#This Row],[age]]&lt; 35,"2. Early Adulthood (25-34)",worksheet[[#This Row],[age]]&lt; 45,"3. Mid Adulthood (35-44)",worksheet[[#This Row],[age]]&lt; 55,"4. Mature Adulthood (45-54)",TRUE,"5. Late Adulthood/Senior (55+)")</f>
        <v>5. Late Adulthood/Senior (55+)</v>
      </c>
      <c r="D4199" t="s">
        <v>15</v>
      </c>
      <c r="E4199" t="s">
        <v>16</v>
      </c>
      <c r="F4199" s="4">
        <v>36.07</v>
      </c>
      <c r="G4199" s="5">
        <v>38</v>
      </c>
      <c r="H4199" t="s">
        <v>33</v>
      </c>
      <c r="I4199" t="s">
        <v>18</v>
      </c>
      <c r="J4199" s="6">
        <v>8.99</v>
      </c>
      <c r="K4199">
        <v>0</v>
      </c>
      <c r="L4199" t="s">
        <v>37</v>
      </c>
      <c r="M4199" s="5">
        <v>5</v>
      </c>
      <c r="N4199" s="4">
        <v>0.92</v>
      </c>
      <c r="O4199" t="s">
        <v>39</v>
      </c>
    </row>
    <row r="4200" spans="1:15" x14ac:dyDescent="0.3">
      <c r="A4200" t="s">
        <v>2397</v>
      </c>
      <c r="B4200" s="5">
        <v>57</v>
      </c>
      <c r="C4200" s="5" t="str" cm="1">
        <f t="array" ref="C4200">_xlfn.IFS(worksheet[[#This Row],[age]]&lt;25,"1. Young Adulthood (18-24)",worksheet[[#This Row],[age]]&lt; 35,"2. Early Adulthood (25-34)",worksheet[[#This Row],[age]]&lt; 45,"3. Mid Adulthood (35-44)",worksheet[[#This Row],[age]]&lt; 55,"4. Mature Adulthood (45-54)",TRUE,"5. Late Adulthood/Senior (55+)")</f>
        <v>5. Late Adulthood/Senior (55+)</v>
      </c>
      <c r="D4200" t="s">
        <v>27</v>
      </c>
      <c r="E4200" t="s">
        <v>16</v>
      </c>
      <c r="F4200" s="4">
        <v>2.86</v>
      </c>
      <c r="G4200" s="5">
        <v>49</v>
      </c>
      <c r="H4200" t="s">
        <v>23</v>
      </c>
      <c r="I4200" t="s">
        <v>55</v>
      </c>
      <c r="J4200" s="6">
        <v>8.99</v>
      </c>
      <c r="K4200">
        <v>1</v>
      </c>
      <c r="L4200" t="s">
        <v>37</v>
      </c>
      <c r="M4200" s="5">
        <v>2</v>
      </c>
      <c r="N4200" s="4">
        <v>0.06</v>
      </c>
      <c r="O4200" t="s">
        <v>52</v>
      </c>
    </row>
    <row r="4201" spans="1:15" x14ac:dyDescent="0.3">
      <c r="A4201" t="s">
        <v>2403</v>
      </c>
      <c r="B4201" s="5">
        <v>62</v>
      </c>
      <c r="C4201" s="5" t="str" cm="1">
        <f t="array" ref="C4201">_xlfn.IFS(worksheet[[#This Row],[age]]&lt;25,"1. Young Adulthood (18-24)",worksheet[[#This Row],[age]]&lt; 35,"2. Early Adulthood (25-34)",worksheet[[#This Row],[age]]&lt; 45,"3. Mid Adulthood (35-44)",worksheet[[#This Row],[age]]&lt; 55,"4. Mature Adulthood (45-54)",TRUE,"5. Late Adulthood/Senior (55+)")</f>
        <v>5. Late Adulthood/Senior (55+)</v>
      </c>
      <c r="D4201" t="s">
        <v>15</v>
      </c>
      <c r="E4201" t="s">
        <v>16</v>
      </c>
      <c r="F4201" s="4">
        <v>16.62</v>
      </c>
      <c r="G4201" s="5">
        <v>21</v>
      </c>
      <c r="H4201" t="s">
        <v>49</v>
      </c>
      <c r="I4201" t="s">
        <v>55</v>
      </c>
      <c r="J4201" s="6">
        <v>8.99</v>
      </c>
      <c r="K4201">
        <v>0</v>
      </c>
      <c r="L4201" t="s">
        <v>19</v>
      </c>
      <c r="M4201" s="5">
        <v>3</v>
      </c>
      <c r="N4201" s="4">
        <v>0.76</v>
      </c>
      <c r="O4201" t="s">
        <v>20</v>
      </c>
    </row>
    <row r="4202" spans="1:15" x14ac:dyDescent="0.3">
      <c r="A4202" t="s">
        <v>2407</v>
      </c>
      <c r="B4202" s="5">
        <v>59</v>
      </c>
      <c r="C4202" s="5" t="str" cm="1">
        <f t="array" ref="C4202">_xlfn.IFS(worksheet[[#This Row],[age]]&lt;25,"1. Young Adulthood (18-24)",worksheet[[#This Row],[age]]&lt; 35,"2. Early Adulthood (25-34)",worksheet[[#This Row],[age]]&lt; 45,"3. Mid Adulthood (35-44)",worksheet[[#This Row],[age]]&lt; 55,"4. Mature Adulthood (45-54)",TRUE,"5. Late Adulthood/Senior (55+)")</f>
        <v>5. Late Adulthood/Senior (55+)</v>
      </c>
      <c r="D4202" t="s">
        <v>41</v>
      </c>
      <c r="E4202" t="s">
        <v>22</v>
      </c>
      <c r="F4202" s="4">
        <v>10.64</v>
      </c>
      <c r="G4202" s="5">
        <v>36</v>
      </c>
      <c r="H4202" t="s">
        <v>33</v>
      </c>
      <c r="I4202" t="s">
        <v>55</v>
      </c>
      <c r="J4202" s="6">
        <v>13.99</v>
      </c>
      <c r="K4202">
        <v>1</v>
      </c>
      <c r="L4202" t="s">
        <v>19</v>
      </c>
      <c r="M4202" s="5">
        <v>2</v>
      </c>
      <c r="N4202" s="4">
        <v>0.28999999999999998</v>
      </c>
      <c r="O4202" t="s">
        <v>30</v>
      </c>
    </row>
    <row r="4203" spans="1:15" x14ac:dyDescent="0.3">
      <c r="A4203" t="s">
        <v>2408</v>
      </c>
      <c r="B4203" s="5">
        <v>66</v>
      </c>
      <c r="C4203" s="5" t="str" cm="1">
        <f t="array" ref="C4203">_xlfn.IFS(worksheet[[#This Row],[age]]&lt;25,"1. Young Adulthood (18-24)",worksheet[[#This Row],[age]]&lt; 35,"2. Early Adulthood (25-34)",worksheet[[#This Row],[age]]&lt; 45,"3. Mid Adulthood (35-44)",worksheet[[#This Row],[age]]&lt; 55,"4. Mature Adulthood (45-54)",TRUE,"5. Late Adulthood/Senior (55+)")</f>
        <v>5. Late Adulthood/Senior (55+)</v>
      </c>
      <c r="D4203" t="s">
        <v>41</v>
      </c>
      <c r="E4203" t="s">
        <v>16</v>
      </c>
      <c r="F4203" s="4">
        <v>8.01</v>
      </c>
      <c r="G4203" s="5">
        <v>53</v>
      </c>
      <c r="H4203" t="s">
        <v>23</v>
      </c>
      <c r="I4203" t="s">
        <v>57</v>
      </c>
      <c r="J4203" s="6">
        <v>8.99</v>
      </c>
      <c r="K4203">
        <v>1</v>
      </c>
      <c r="L4203" t="s">
        <v>61</v>
      </c>
      <c r="M4203" s="5">
        <v>1</v>
      </c>
      <c r="N4203" s="4">
        <v>0.15</v>
      </c>
      <c r="O4203" t="s">
        <v>47</v>
      </c>
    </row>
    <row r="4204" spans="1:15" x14ac:dyDescent="0.3">
      <c r="A4204" t="s">
        <v>2412</v>
      </c>
      <c r="B4204" s="5">
        <v>58</v>
      </c>
      <c r="C4204" s="5" t="str" cm="1">
        <f t="array" ref="C4204">_xlfn.IFS(worksheet[[#This Row],[age]]&lt;25,"1. Young Adulthood (18-24)",worksheet[[#This Row],[age]]&lt; 35,"2. Early Adulthood (25-34)",worksheet[[#This Row],[age]]&lt; 45,"3. Mid Adulthood (35-44)",worksheet[[#This Row],[age]]&lt; 55,"4. Mature Adulthood (45-54)",TRUE,"5. Late Adulthood/Senior (55+)")</f>
        <v>5. Late Adulthood/Senior (55+)</v>
      </c>
      <c r="D4204" t="s">
        <v>15</v>
      </c>
      <c r="E4204" t="s">
        <v>32</v>
      </c>
      <c r="F4204" s="4">
        <v>14.44</v>
      </c>
      <c r="G4204" s="5">
        <v>43</v>
      </c>
      <c r="H4204" t="s">
        <v>70</v>
      </c>
      <c r="I4204" t="s">
        <v>57</v>
      </c>
      <c r="J4204" s="6">
        <v>17.989999999999998</v>
      </c>
      <c r="K4204">
        <v>1</v>
      </c>
      <c r="L4204" t="s">
        <v>19</v>
      </c>
      <c r="M4204" s="5">
        <v>3</v>
      </c>
      <c r="N4204" s="4">
        <v>0.33</v>
      </c>
      <c r="O4204" t="s">
        <v>34</v>
      </c>
    </row>
    <row r="4205" spans="1:15" x14ac:dyDescent="0.3">
      <c r="A4205" t="s">
        <v>2415</v>
      </c>
      <c r="B4205" s="5">
        <v>62</v>
      </c>
      <c r="C4205" s="5" t="str" cm="1">
        <f t="array" ref="C4205">_xlfn.IFS(worksheet[[#This Row],[age]]&lt;25,"1. Young Adulthood (18-24)",worksheet[[#This Row],[age]]&lt; 35,"2. Early Adulthood (25-34)",worksheet[[#This Row],[age]]&lt; 45,"3. Mid Adulthood (35-44)",worksheet[[#This Row],[age]]&lt; 55,"4. Mature Adulthood (45-54)",TRUE,"5. Late Adulthood/Senior (55+)")</f>
        <v>5. Late Adulthood/Senior (55+)</v>
      </c>
      <c r="D4205" t="s">
        <v>15</v>
      </c>
      <c r="E4205" t="s">
        <v>22</v>
      </c>
      <c r="F4205" s="4">
        <v>4.16</v>
      </c>
      <c r="G4205" s="5">
        <v>29</v>
      </c>
      <c r="H4205" t="s">
        <v>23</v>
      </c>
      <c r="I4205" t="s">
        <v>55</v>
      </c>
      <c r="J4205" s="6">
        <v>13.99</v>
      </c>
      <c r="K4205">
        <v>1</v>
      </c>
      <c r="L4205" t="s">
        <v>43</v>
      </c>
      <c r="M4205" s="5">
        <v>3</v>
      </c>
      <c r="N4205" s="4">
        <v>0.14000000000000001</v>
      </c>
      <c r="O4205" t="s">
        <v>25</v>
      </c>
    </row>
    <row r="4206" spans="1:15" x14ac:dyDescent="0.3">
      <c r="A4206" t="s">
        <v>2416</v>
      </c>
      <c r="B4206" s="5">
        <v>62</v>
      </c>
      <c r="C4206" s="5" t="str" cm="1">
        <f t="array" ref="C4206">_xlfn.IFS(worksheet[[#This Row],[age]]&lt;25,"1. Young Adulthood (18-24)",worksheet[[#This Row],[age]]&lt; 35,"2. Early Adulthood (25-34)",worksheet[[#This Row],[age]]&lt; 45,"3. Mid Adulthood (35-44)",worksheet[[#This Row],[age]]&lt; 55,"4. Mature Adulthood (45-54)",TRUE,"5. Late Adulthood/Senior (55+)")</f>
        <v>5. Late Adulthood/Senior (55+)</v>
      </c>
      <c r="D4206" t="s">
        <v>15</v>
      </c>
      <c r="E4206" t="s">
        <v>16</v>
      </c>
      <c r="F4206" s="4">
        <v>21.86</v>
      </c>
      <c r="G4206" s="5">
        <v>22</v>
      </c>
      <c r="H4206" t="s">
        <v>33</v>
      </c>
      <c r="I4206" t="s">
        <v>18</v>
      </c>
      <c r="J4206" s="6">
        <v>8.99</v>
      </c>
      <c r="K4206">
        <v>0</v>
      </c>
      <c r="L4206" t="s">
        <v>29</v>
      </c>
      <c r="M4206" s="5">
        <v>5</v>
      </c>
      <c r="N4206" s="4">
        <v>0.95</v>
      </c>
      <c r="O4206" t="s">
        <v>25</v>
      </c>
    </row>
    <row r="4207" spans="1:15" x14ac:dyDescent="0.3">
      <c r="A4207" t="s">
        <v>2417</v>
      </c>
      <c r="B4207" s="5">
        <v>58</v>
      </c>
      <c r="C4207" s="5" t="str" cm="1">
        <f t="array" ref="C4207">_xlfn.IFS(worksheet[[#This Row],[age]]&lt;25,"1. Young Adulthood (18-24)",worksheet[[#This Row],[age]]&lt; 35,"2. Early Adulthood (25-34)",worksheet[[#This Row],[age]]&lt; 45,"3. Mid Adulthood (35-44)",worksheet[[#This Row],[age]]&lt; 55,"4. Mature Adulthood (45-54)",TRUE,"5. Late Adulthood/Senior (55+)")</f>
        <v>5. Late Adulthood/Senior (55+)</v>
      </c>
      <c r="D4207" t="s">
        <v>27</v>
      </c>
      <c r="E4207" t="s">
        <v>16</v>
      </c>
      <c r="F4207" s="4">
        <v>8.4</v>
      </c>
      <c r="G4207" s="5">
        <v>44</v>
      </c>
      <c r="H4207" t="s">
        <v>17</v>
      </c>
      <c r="I4207" t="s">
        <v>46</v>
      </c>
      <c r="J4207" s="6">
        <v>8.99</v>
      </c>
      <c r="K4207">
        <v>1</v>
      </c>
      <c r="L4207" t="s">
        <v>19</v>
      </c>
      <c r="M4207" s="5">
        <v>2</v>
      </c>
      <c r="N4207" s="4">
        <v>0.19</v>
      </c>
      <c r="O4207" t="s">
        <v>52</v>
      </c>
    </row>
    <row r="4208" spans="1:15" x14ac:dyDescent="0.3">
      <c r="A4208" t="s">
        <v>2426</v>
      </c>
      <c r="B4208" s="5">
        <v>60</v>
      </c>
      <c r="C4208" s="5" t="str" cm="1">
        <f t="array" ref="C4208">_xlfn.IFS(worksheet[[#This Row],[age]]&lt;25,"1. Young Adulthood (18-24)",worksheet[[#This Row],[age]]&lt; 35,"2. Early Adulthood (25-34)",worksheet[[#This Row],[age]]&lt; 45,"3. Mid Adulthood (35-44)",worksheet[[#This Row],[age]]&lt; 55,"4. Mature Adulthood (45-54)",TRUE,"5. Late Adulthood/Senior (55+)")</f>
        <v>5. Late Adulthood/Senior (55+)</v>
      </c>
      <c r="D4208" t="s">
        <v>15</v>
      </c>
      <c r="E4208" t="s">
        <v>32</v>
      </c>
      <c r="F4208" s="4">
        <v>7.61</v>
      </c>
      <c r="G4208" s="5">
        <v>20</v>
      </c>
      <c r="H4208" t="s">
        <v>23</v>
      </c>
      <c r="I4208" t="s">
        <v>46</v>
      </c>
      <c r="J4208" s="6">
        <v>17.989999999999998</v>
      </c>
      <c r="K4208">
        <v>0</v>
      </c>
      <c r="L4208" t="s">
        <v>43</v>
      </c>
      <c r="M4208" s="5">
        <v>1</v>
      </c>
      <c r="N4208" s="4">
        <v>0.36</v>
      </c>
      <c r="O4208" t="s">
        <v>20</v>
      </c>
    </row>
    <row r="4209" spans="1:15" x14ac:dyDescent="0.3">
      <c r="A4209" t="s">
        <v>2427</v>
      </c>
      <c r="B4209" s="5">
        <v>55</v>
      </c>
      <c r="C4209" s="5" t="str" cm="1">
        <f t="array" ref="C4209">_xlfn.IFS(worksheet[[#This Row],[age]]&lt;25,"1. Young Adulthood (18-24)",worksheet[[#This Row],[age]]&lt; 35,"2. Early Adulthood (25-34)",worksheet[[#This Row],[age]]&lt; 45,"3. Mid Adulthood (35-44)",worksheet[[#This Row],[age]]&lt; 55,"4. Mature Adulthood (45-54)",TRUE,"5. Late Adulthood/Senior (55+)")</f>
        <v>5. Late Adulthood/Senior (55+)</v>
      </c>
      <c r="D4209" t="s">
        <v>27</v>
      </c>
      <c r="E4209" t="s">
        <v>22</v>
      </c>
      <c r="F4209" s="4">
        <v>14.71</v>
      </c>
      <c r="G4209" s="5">
        <v>20</v>
      </c>
      <c r="H4209" t="s">
        <v>49</v>
      </c>
      <c r="I4209" t="s">
        <v>55</v>
      </c>
      <c r="J4209" s="6">
        <v>13.99</v>
      </c>
      <c r="K4209">
        <v>0</v>
      </c>
      <c r="L4209" t="s">
        <v>61</v>
      </c>
      <c r="M4209" s="5">
        <v>2</v>
      </c>
      <c r="N4209" s="4">
        <v>0.7</v>
      </c>
      <c r="O4209" t="s">
        <v>34</v>
      </c>
    </row>
    <row r="4210" spans="1:15" x14ac:dyDescent="0.3">
      <c r="A4210" t="s">
        <v>2432</v>
      </c>
      <c r="B4210" s="5">
        <v>63</v>
      </c>
      <c r="C4210" s="5" t="str" cm="1">
        <f t="array" ref="C4210">_xlfn.IFS(worksheet[[#This Row],[age]]&lt;25,"1. Young Adulthood (18-24)",worksheet[[#This Row],[age]]&lt; 35,"2. Early Adulthood (25-34)",worksheet[[#This Row],[age]]&lt; 45,"3. Mid Adulthood (35-44)",worksheet[[#This Row],[age]]&lt; 55,"4. Mature Adulthood (45-54)",TRUE,"5. Late Adulthood/Senior (55+)")</f>
        <v>5. Late Adulthood/Senior (55+)</v>
      </c>
      <c r="D4210" t="s">
        <v>41</v>
      </c>
      <c r="E4210" t="s">
        <v>32</v>
      </c>
      <c r="F4210" s="4">
        <v>20.68</v>
      </c>
      <c r="G4210" s="5">
        <v>26</v>
      </c>
      <c r="H4210" t="s">
        <v>28</v>
      </c>
      <c r="I4210" t="s">
        <v>57</v>
      </c>
      <c r="J4210" s="6">
        <v>17.989999999999998</v>
      </c>
      <c r="K4210">
        <v>0</v>
      </c>
      <c r="L4210" t="s">
        <v>29</v>
      </c>
      <c r="M4210" s="5">
        <v>5</v>
      </c>
      <c r="N4210" s="4">
        <v>0.77</v>
      </c>
      <c r="O4210" t="s">
        <v>34</v>
      </c>
    </row>
    <row r="4211" spans="1:15" x14ac:dyDescent="0.3">
      <c r="A4211" t="s">
        <v>2436</v>
      </c>
      <c r="B4211" s="5">
        <v>63</v>
      </c>
      <c r="C4211" s="5" t="str" cm="1">
        <f t="array" ref="C4211">_xlfn.IFS(worksheet[[#This Row],[age]]&lt;25,"1. Young Adulthood (18-24)",worksheet[[#This Row],[age]]&lt; 35,"2. Early Adulthood (25-34)",worksheet[[#This Row],[age]]&lt; 45,"3. Mid Adulthood (35-44)",worksheet[[#This Row],[age]]&lt; 55,"4. Mature Adulthood (45-54)",TRUE,"5. Late Adulthood/Senior (55+)")</f>
        <v>5. Late Adulthood/Senior (55+)</v>
      </c>
      <c r="D4211" t="s">
        <v>41</v>
      </c>
      <c r="E4211" t="s">
        <v>16</v>
      </c>
      <c r="F4211" s="4">
        <v>39.549999999999997</v>
      </c>
      <c r="G4211" s="5">
        <v>42</v>
      </c>
      <c r="H4211" t="s">
        <v>70</v>
      </c>
      <c r="I4211" t="s">
        <v>57</v>
      </c>
      <c r="J4211" s="6">
        <v>8.99</v>
      </c>
      <c r="K4211">
        <v>1</v>
      </c>
      <c r="L4211" t="s">
        <v>19</v>
      </c>
      <c r="M4211" s="5">
        <v>1</v>
      </c>
      <c r="N4211" s="4">
        <v>0.92</v>
      </c>
      <c r="O4211" t="s">
        <v>25</v>
      </c>
    </row>
    <row r="4212" spans="1:15" x14ac:dyDescent="0.3">
      <c r="A4212" t="s">
        <v>2445</v>
      </c>
      <c r="B4212" s="5">
        <v>68</v>
      </c>
      <c r="C4212" s="5" t="str" cm="1">
        <f t="array" ref="C4212">_xlfn.IFS(worksheet[[#This Row],[age]]&lt;25,"1. Young Adulthood (18-24)",worksheet[[#This Row],[age]]&lt; 35,"2. Early Adulthood (25-34)",worksheet[[#This Row],[age]]&lt; 45,"3. Mid Adulthood (35-44)",worksheet[[#This Row],[age]]&lt; 55,"4. Mature Adulthood (45-54)",TRUE,"5. Late Adulthood/Senior (55+)")</f>
        <v>5. Late Adulthood/Senior (55+)</v>
      </c>
      <c r="D4212" t="s">
        <v>15</v>
      </c>
      <c r="E4212" t="s">
        <v>22</v>
      </c>
      <c r="F4212" s="4">
        <v>5.33</v>
      </c>
      <c r="G4212" s="5">
        <v>26</v>
      </c>
      <c r="H4212" t="s">
        <v>70</v>
      </c>
      <c r="I4212" t="s">
        <v>46</v>
      </c>
      <c r="J4212" s="6">
        <v>13.99</v>
      </c>
      <c r="K4212">
        <v>0</v>
      </c>
      <c r="L4212" t="s">
        <v>29</v>
      </c>
      <c r="M4212" s="5">
        <v>5</v>
      </c>
      <c r="N4212" s="4">
        <v>0.2</v>
      </c>
      <c r="O4212" t="s">
        <v>30</v>
      </c>
    </row>
    <row r="4213" spans="1:15" x14ac:dyDescent="0.3">
      <c r="A4213" t="s">
        <v>2447</v>
      </c>
      <c r="B4213" s="5">
        <v>68</v>
      </c>
      <c r="C4213" s="5" t="str" cm="1">
        <f t="array" ref="C4213">_xlfn.IFS(worksheet[[#This Row],[age]]&lt;25,"1. Young Adulthood (18-24)",worksheet[[#This Row],[age]]&lt; 35,"2. Early Adulthood (25-34)",worksheet[[#This Row],[age]]&lt; 45,"3. Mid Adulthood (35-44)",worksheet[[#This Row],[age]]&lt; 55,"4. Mature Adulthood (45-54)",TRUE,"5. Late Adulthood/Senior (55+)")</f>
        <v>5. Late Adulthood/Senior (55+)</v>
      </c>
      <c r="D4213" t="s">
        <v>27</v>
      </c>
      <c r="E4213" t="s">
        <v>22</v>
      </c>
      <c r="F4213" s="4">
        <v>14.65</v>
      </c>
      <c r="G4213" s="5">
        <v>11</v>
      </c>
      <c r="H4213" t="s">
        <v>33</v>
      </c>
      <c r="I4213" t="s">
        <v>57</v>
      </c>
      <c r="J4213" s="6">
        <v>13.99</v>
      </c>
      <c r="K4213">
        <v>0</v>
      </c>
      <c r="L4213" t="s">
        <v>37</v>
      </c>
      <c r="M4213" s="5">
        <v>5</v>
      </c>
      <c r="N4213" s="4">
        <v>1.22</v>
      </c>
      <c r="O4213" t="s">
        <v>25</v>
      </c>
    </row>
    <row r="4214" spans="1:15" x14ac:dyDescent="0.3">
      <c r="A4214" t="s">
        <v>2448</v>
      </c>
      <c r="B4214" s="5">
        <v>58</v>
      </c>
      <c r="C4214" s="5" t="str" cm="1">
        <f t="array" ref="C4214">_xlfn.IFS(worksheet[[#This Row],[age]]&lt;25,"1. Young Adulthood (18-24)",worksheet[[#This Row],[age]]&lt; 35,"2. Early Adulthood (25-34)",worksheet[[#This Row],[age]]&lt; 45,"3. Mid Adulthood (35-44)",worksheet[[#This Row],[age]]&lt; 55,"4. Mature Adulthood (45-54)",TRUE,"5. Late Adulthood/Senior (55+)")</f>
        <v>5. Late Adulthood/Senior (55+)</v>
      </c>
      <c r="D4214" t="s">
        <v>15</v>
      </c>
      <c r="E4214" t="s">
        <v>22</v>
      </c>
      <c r="F4214" s="4">
        <v>0.37</v>
      </c>
      <c r="G4214" s="5">
        <v>60</v>
      </c>
      <c r="H4214" t="s">
        <v>23</v>
      </c>
      <c r="I4214" t="s">
        <v>57</v>
      </c>
      <c r="J4214" s="6">
        <v>13.99</v>
      </c>
      <c r="K4214">
        <v>1</v>
      </c>
      <c r="L4214" t="s">
        <v>37</v>
      </c>
      <c r="M4214" s="5">
        <v>5</v>
      </c>
      <c r="N4214" s="4">
        <v>0.01</v>
      </c>
      <c r="O4214" t="s">
        <v>52</v>
      </c>
    </row>
    <row r="4215" spans="1:15" x14ac:dyDescent="0.3">
      <c r="A4215" t="s">
        <v>2450</v>
      </c>
      <c r="B4215" s="5">
        <v>59</v>
      </c>
      <c r="C4215" s="5" t="str" cm="1">
        <f t="array" ref="C4215">_xlfn.IFS(worksheet[[#This Row],[age]]&lt;25,"1. Young Adulthood (18-24)",worksheet[[#This Row],[age]]&lt; 35,"2. Early Adulthood (25-34)",worksheet[[#This Row],[age]]&lt; 45,"3. Mid Adulthood (35-44)",worksheet[[#This Row],[age]]&lt; 55,"4. Mature Adulthood (45-54)",TRUE,"5. Late Adulthood/Senior (55+)")</f>
        <v>5. Late Adulthood/Senior (55+)</v>
      </c>
      <c r="D4215" t="s">
        <v>41</v>
      </c>
      <c r="E4215" t="s">
        <v>16</v>
      </c>
      <c r="F4215" s="4">
        <v>25</v>
      </c>
      <c r="G4215" s="5">
        <v>44</v>
      </c>
      <c r="H4215" t="s">
        <v>28</v>
      </c>
      <c r="I4215" t="s">
        <v>57</v>
      </c>
      <c r="J4215" s="6">
        <v>8.99</v>
      </c>
      <c r="K4215">
        <v>0</v>
      </c>
      <c r="L4215" t="s">
        <v>29</v>
      </c>
      <c r="M4215" s="5">
        <v>4</v>
      </c>
      <c r="N4215" s="4">
        <v>0.56000000000000005</v>
      </c>
      <c r="O4215" t="s">
        <v>47</v>
      </c>
    </row>
    <row r="4216" spans="1:15" x14ac:dyDescent="0.3">
      <c r="A4216" t="s">
        <v>2454</v>
      </c>
      <c r="B4216" s="5">
        <v>56</v>
      </c>
      <c r="C4216" s="5" t="str" cm="1">
        <f t="array" ref="C4216">_xlfn.IFS(worksheet[[#This Row],[age]]&lt;25,"1. Young Adulthood (18-24)",worksheet[[#This Row],[age]]&lt; 35,"2. Early Adulthood (25-34)",worksheet[[#This Row],[age]]&lt; 45,"3. Mid Adulthood (35-44)",worksheet[[#This Row],[age]]&lt; 55,"4. Mature Adulthood (45-54)",TRUE,"5. Late Adulthood/Senior (55+)")</f>
        <v>5. Late Adulthood/Senior (55+)</v>
      </c>
      <c r="D4216" t="s">
        <v>41</v>
      </c>
      <c r="E4216" t="s">
        <v>16</v>
      </c>
      <c r="F4216" s="4">
        <v>14.36</v>
      </c>
      <c r="G4216" s="5">
        <v>21</v>
      </c>
      <c r="H4216" t="s">
        <v>49</v>
      </c>
      <c r="I4216" t="s">
        <v>57</v>
      </c>
      <c r="J4216" s="6">
        <v>8.99</v>
      </c>
      <c r="K4216">
        <v>0</v>
      </c>
      <c r="L4216" t="s">
        <v>29</v>
      </c>
      <c r="M4216" s="5">
        <v>1</v>
      </c>
      <c r="N4216" s="4">
        <v>0.65</v>
      </c>
      <c r="O4216" t="s">
        <v>39</v>
      </c>
    </row>
    <row r="4217" spans="1:15" x14ac:dyDescent="0.3">
      <c r="A4217" t="s">
        <v>2455</v>
      </c>
      <c r="B4217" s="5">
        <v>56</v>
      </c>
      <c r="C4217" s="5" t="str" cm="1">
        <f t="array" ref="C4217">_xlfn.IFS(worksheet[[#This Row],[age]]&lt;25,"1. Young Adulthood (18-24)",worksheet[[#This Row],[age]]&lt; 35,"2. Early Adulthood (25-34)",worksheet[[#This Row],[age]]&lt; 45,"3. Mid Adulthood (35-44)",worksheet[[#This Row],[age]]&lt; 55,"4. Mature Adulthood (45-54)",TRUE,"5. Late Adulthood/Senior (55+)")</f>
        <v>5. Late Adulthood/Senior (55+)</v>
      </c>
      <c r="D4217" t="s">
        <v>41</v>
      </c>
      <c r="E4217" t="s">
        <v>16</v>
      </c>
      <c r="F4217" s="4">
        <v>3.26</v>
      </c>
      <c r="G4217" s="5">
        <v>20</v>
      </c>
      <c r="H4217" t="s">
        <v>70</v>
      </c>
      <c r="I4217" t="s">
        <v>46</v>
      </c>
      <c r="J4217" s="6">
        <v>8.99</v>
      </c>
      <c r="K4217">
        <v>1</v>
      </c>
      <c r="L4217" t="s">
        <v>43</v>
      </c>
      <c r="M4217" s="5">
        <v>3</v>
      </c>
      <c r="N4217" s="4">
        <v>0.16</v>
      </c>
      <c r="O4217" t="s">
        <v>47</v>
      </c>
    </row>
    <row r="4218" spans="1:15" x14ac:dyDescent="0.3">
      <c r="A4218" t="s">
        <v>2456</v>
      </c>
      <c r="B4218" s="5">
        <v>68</v>
      </c>
      <c r="C4218" s="5" t="str" cm="1">
        <f t="array" ref="C4218">_xlfn.IFS(worksheet[[#This Row],[age]]&lt;25,"1. Young Adulthood (18-24)",worksheet[[#This Row],[age]]&lt; 35,"2. Early Adulthood (25-34)",worksheet[[#This Row],[age]]&lt; 45,"3. Mid Adulthood (35-44)",worksheet[[#This Row],[age]]&lt; 55,"4. Mature Adulthood (45-54)",TRUE,"5. Late Adulthood/Senior (55+)")</f>
        <v>5. Late Adulthood/Senior (55+)</v>
      </c>
      <c r="D4218" t="s">
        <v>41</v>
      </c>
      <c r="E4218" t="s">
        <v>22</v>
      </c>
      <c r="F4218" s="4">
        <v>24.08</v>
      </c>
      <c r="G4218" s="5">
        <v>58</v>
      </c>
      <c r="H4218" t="s">
        <v>49</v>
      </c>
      <c r="I4218" t="s">
        <v>46</v>
      </c>
      <c r="J4218" s="6">
        <v>13.99</v>
      </c>
      <c r="K4218">
        <v>0</v>
      </c>
      <c r="L4218" t="s">
        <v>19</v>
      </c>
      <c r="M4218" s="5">
        <v>2</v>
      </c>
      <c r="N4218" s="4">
        <v>0.41</v>
      </c>
      <c r="O4218" t="s">
        <v>47</v>
      </c>
    </row>
    <row r="4219" spans="1:15" x14ac:dyDescent="0.3">
      <c r="A4219" t="s">
        <v>2457</v>
      </c>
      <c r="B4219" s="5">
        <v>62</v>
      </c>
      <c r="C4219" s="5" t="str" cm="1">
        <f t="array" ref="C4219">_xlfn.IFS(worksheet[[#This Row],[age]]&lt;25,"1. Young Adulthood (18-24)",worksheet[[#This Row],[age]]&lt; 35,"2. Early Adulthood (25-34)",worksheet[[#This Row],[age]]&lt; 45,"3. Mid Adulthood (35-44)",worksheet[[#This Row],[age]]&lt; 55,"4. Mature Adulthood (45-54)",TRUE,"5. Late Adulthood/Senior (55+)")</f>
        <v>5. Late Adulthood/Senior (55+)</v>
      </c>
      <c r="D4219" t="s">
        <v>15</v>
      </c>
      <c r="E4219" t="s">
        <v>32</v>
      </c>
      <c r="F4219" s="4">
        <v>7.68</v>
      </c>
      <c r="G4219" s="5">
        <v>56</v>
      </c>
      <c r="H4219" t="s">
        <v>23</v>
      </c>
      <c r="I4219" t="s">
        <v>46</v>
      </c>
      <c r="J4219" s="6">
        <v>17.989999999999998</v>
      </c>
      <c r="K4219">
        <v>1</v>
      </c>
      <c r="L4219" t="s">
        <v>43</v>
      </c>
      <c r="M4219" s="5">
        <v>2</v>
      </c>
      <c r="N4219" s="4">
        <v>0.13</v>
      </c>
      <c r="O4219" t="s">
        <v>34</v>
      </c>
    </row>
    <row r="4220" spans="1:15" x14ac:dyDescent="0.3">
      <c r="A4220" t="s">
        <v>2465</v>
      </c>
      <c r="B4220" s="5">
        <v>69</v>
      </c>
      <c r="C4220" s="5" t="str" cm="1">
        <f t="array" ref="C4220">_xlfn.IFS(worksheet[[#This Row],[age]]&lt;25,"1. Young Adulthood (18-24)",worksheet[[#This Row],[age]]&lt; 35,"2. Early Adulthood (25-34)",worksheet[[#This Row],[age]]&lt; 45,"3. Mid Adulthood (35-44)",worksheet[[#This Row],[age]]&lt; 55,"4. Mature Adulthood (45-54)",TRUE,"5. Late Adulthood/Senior (55+)")</f>
        <v>5. Late Adulthood/Senior (55+)</v>
      </c>
      <c r="D4220" t="s">
        <v>41</v>
      </c>
      <c r="E4220" t="s">
        <v>16</v>
      </c>
      <c r="F4220" s="4">
        <v>1.1299999999999999</v>
      </c>
      <c r="G4220" s="5">
        <v>24</v>
      </c>
      <c r="H4220" t="s">
        <v>17</v>
      </c>
      <c r="I4220" t="s">
        <v>57</v>
      </c>
      <c r="J4220" s="6">
        <v>8.99</v>
      </c>
      <c r="K4220">
        <v>1</v>
      </c>
      <c r="L4220" t="s">
        <v>61</v>
      </c>
      <c r="M4220" s="5">
        <v>3</v>
      </c>
      <c r="N4220" s="4">
        <v>0.05</v>
      </c>
      <c r="O4220" t="s">
        <v>39</v>
      </c>
    </row>
    <row r="4221" spans="1:15" x14ac:dyDescent="0.3">
      <c r="A4221" t="s">
        <v>2470</v>
      </c>
      <c r="B4221" s="5">
        <v>70</v>
      </c>
      <c r="C4221" s="5" t="str" cm="1">
        <f t="array" ref="C4221">_xlfn.IFS(worksheet[[#This Row],[age]]&lt;25,"1. Young Adulthood (18-24)",worksheet[[#This Row],[age]]&lt; 35,"2. Early Adulthood (25-34)",worksheet[[#This Row],[age]]&lt; 45,"3. Mid Adulthood (35-44)",worksheet[[#This Row],[age]]&lt; 55,"4. Mature Adulthood (45-54)",TRUE,"5. Late Adulthood/Senior (55+)")</f>
        <v>5. Late Adulthood/Senior (55+)</v>
      </c>
      <c r="D4221" t="s">
        <v>15</v>
      </c>
      <c r="E4221" t="s">
        <v>32</v>
      </c>
      <c r="F4221" s="4">
        <v>8.68</v>
      </c>
      <c r="G4221" s="5">
        <v>41</v>
      </c>
      <c r="H4221" t="s">
        <v>49</v>
      </c>
      <c r="I4221" t="s">
        <v>55</v>
      </c>
      <c r="J4221" s="6">
        <v>17.989999999999998</v>
      </c>
      <c r="K4221">
        <v>1</v>
      </c>
      <c r="L4221" t="s">
        <v>43</v>
      </c>
      <c r="M4221" s="5">
        <v>1</v>
      </c>
      <c r="N4221" s="4">
        <v>0.21</v>
      </c>
      <c r="O4221" t="s">
        <v>34</v>
      </c>
    </row>
    <row r="4222" spans="1:15" x14ac:dyDescent="0.3">
      <c r="A4222" t="s">
        <v>2471</v>
      </c>
      <c r="B4222" s="5">
        <v>70</v>
      </c>
      <c r="C4222" s="5" t="str" cm="1">
        <f t="array" ref="C4222">_xlfn.IFS(worksheet[[#This Row],[age]]&lt;25,"1. Young Adulthood (18-24)",worksheet[[#This Row],[age]]&lt; 35,"2. Early Adulthood (25-34)",worksheet[[#This Row],[age]]&lt; 45,"3. Mid Adulthood (35-44)",worksheet[[#This Row],[age]]&lt; 55,"4. Mature Adulthood (45-54)",TRUE,"5. Late Adulthood/Senior (55+)")</f>
        <v>5. Late Adulthood/Senior (55+)</v>
      </c>
      <c r="D4222" t="s">
        <v>15</v>
      </c>
      <c r="E4222" t="s">
        <v>22</v>
      </c>
      <c r="F4222" s="4">
        <v>20.329999999999998</v>
      </c>
      <c r="G4222" s="5">
        <v>42</v>
      </c>
      <c r="H4222" t="s">
        <v>23</v>
      </c>
      <c r="I4222" t="s">
        <v>24</v>
      </c>
      <c r="J4222" s="6">
        <v>13.99</v>
      </c>
      <c r="K4222">
        <v>0</v>
      </c>
      <c r="L4222" t="s">
        <v>29</v>
      </c>
      <c r="M4222" s="5">
        <v>4</v>
      </c>
      <c r="N4222" s="4">
        <v>0.47</v>
      </c>
      <c r="O4222" t="s">
        <v>52</v>
      </c>
    </row>
    <row r="4223" spans="1:15" x14ac:dyDescent="0.3">
      <c r="A4223" t="s">
        <v>2472</v>
      </c>
      <c r="B4223" s="5">
        <v>68</v>
      </c>
      <c r="C4223" s="5" t="str" cm="1">
        <f t="array" ref="C4223">_xlfn.IFS(worksheet[[#This Row],[age]]&lt;25,"1. Young Adulthood (18-24)",worksheet[[#This Row],[age]]&lt; 35,"2. Early Adulthood (25-34)",worksheet[[#This Row],[age]]&lt; 45,"3. Mid Adulthood (35-44)",worksheet[[#This Row],[age]]&lt; 55,"4. Mature Adulthood (45-54)",TRUE,"5. Late Adulthood/Senior (55+)")</f>
        <v>5. Late Adulthood/Senior (55+)</v>
      </c>
      <c r="D4223" t="s">
        <v>41</v>
      </c>
      <c r="E4223" t="s">
        <v>32</v>
      </c>
      <c r="F4223" s="4">
        <v>19.91</v>
      </c>
      <c r="G4223" s="5">
        <v>54</v>
      </c>
      <c r="H4223" t="s">
        <v>23</v>
      </c>
      <c r="I4223" t="s">
        <v>24</v>
      </c>
      <c r="J4223" s="6">
        <v>17.989999999999998</v>
      </c>
      <c r="K4223">
        <v>1</v>
      </c>
      <c r="L4223" t="s">
        <v>19</v>
      </c>
      <c r="M4223" s="5">
        <v>3</v>
      </c>
      <c r="N4223" s="4">
        <v>0.36</v>
      </c>
      <c r="O4223" t="s">
        <v>34</v>
      </c>
    </row>
    <row r="4224" spans="1:15" x14ac:dyDescent="0.3">
      <c r="A4224" s="1" t="s">
        <v>2478</v>
      </c>
      <c r="B4224" s="5">
        <v>59</v>
      </c>
      <c r="C4224" s="5" t="str" cm="1">
        <f t="array" ref="C4224">_xlfn.IFS(worksheet[[#This Row],[age]]&lt;25,"1. Young Adulthood (18-24)",worksheet[[#This Row],[age]]&lt; 35,"2. Early Adulthood (25-34)",worksheet[[#This Row],[age]]&lt; 45,"3. Mid Adulthood (35-44)",worksheet[[#This Row],[age]]&lt; 55,"4. Mature Adulthood (45-54)",TRUE,"5. Late Adulthood/Senior (55+)")</f>
        <v>5. Late Adulthood/Senior (55+)</v>
      </c>
      <c r="D4224" t="s">
        <v>27</v>
      </c>
      <c r="E4224" t="s">
        <v>32</v>
      </c>
      <c r="F4224" s="4">
        <v>23.31</v>
      </c>
      <c r="G4224" s="5">
        <v>50</v>
      </c>
      <c r="H4224" t="s">
        <v>49</v>
      </c>
      <c r="I4224" t="s">
        <v>18</v>
      </c>
      <c r="J4224" s="6">
        <v>17.989999999999998</v>
      </c>
      <c r="K4224">
        <v>0</v>
      </c>
      <c r="L4224" t="s">
        <v>19</v>
      </c>
      <c r="M4224" s="5">
        <v>3</v>
      </c>
      <c r="N4224" s="4">
        <v>0.46</v>
      </c>
      <c r="O4224" t="s">
        <v>47</v>
      </c>
    </row>
    <row r="4225" spans="1:15" x14ac:dyDescent="0.3">
      <c r="A4225" t="s">
        <v>2482</v>
      </c>
      <c r="B4225" s="5">
        <v>61</v>
      </c>
      <c r="C4225" s="5" t="str" cm="1">
        <f t="array" ref="C4225">_xlfn.IFS(worksheet[[#This Row],[age]]&lt;25,"1. Young Adulthood (18-24)",worksheet[[#This Row],[age]]&lt; 35,"2. Early Adulthood (25-34)",worksheet[[#This Row],[age]]&lt; 45,"3. Mid Adulthood (35-44)",worksheet[[#This Row],[age]]&lt; 55,"4. Mature Adulthood (45-54)",TRUE,"5. Late Adulthood/Senior (55+)")</f>
        <v>5. Late Adulthood/Senior (55+)</v>
      </c>
      <c r="D4225" t="s">
        <v>15</v>
      </c>
      <c r="E4225" t="s">
        <v>22</v>
      </c>
      <c r="F4225" s="4">
        <v>19.489999999999998</v>
      </c>
      <c r="G4225" s="5">
        <v>9</v>
      </c>
      <c r="H4225" t="s">
        <v>28</v>
      </c>
      <c r="I4225" t="s">
        <v>18</v>
      </c>
      <c r="J4225" s="6">
        <v>13.99</v>
      </c>
      <c r="K4225">
        <v>0</v>
      </c>
      <c r="L4225" t="s">
        <v>43</v>
      </c>
      <c r="M4225" s="5">
        <v>1</v>
      </c>
      <c r="N4225" s="4">
        <v>1.95</v>
      </c>
      <c r="O4225" t="s">
        <v>30</v>
      </c>
    </row>
    <row r="4226" spans="1:15" x14ac:dyDescent="0.3">
      <c r="A4226" t="s">
        <v>2487</v>
      </c>
      <c r="B4226" s="5">
        <v>65</v>
      </c>
      <c r="C4226" s="5" t="str" cm="1">
        <f t="array" ref="C4226">_xlfn.IFS(worksheet[[#This Row],[age]]&lt;25,"1. Young Adulthood (18-24)",worksheet[[#This Row],[age]]&lt; 35,"2. Early Adulthood (25-34)",worksheet[[#This Row],[age]]&lt; 45,"3. Mid Adulthood (35-44)",worksheet[[#This Row],[age]]&lt; 55,"4. Mature Adulthood (45-54)",TRUE,"5. Late Adulthood/Senior (55+)")</f>
        <v>5. Late Adulthood/Senior (55+)</v>
      </c>
      <c r="D4226" t="s">
        <v>15</v>
      </c>
      <c r="E4226" t="s">
        <v>16</v>
      </c>
      <c r="F4226" s="4">
        <v>0.39</v>
      </c>
      <c r="G4226" s="5">
        <v>3</v>
      </c>
      <c r="H4226" t="s">
        <v>33</v>
      </c>
      <c r="I4226" t="s">
        <v>55</v>
      </c>
      <c r="J4226" s="6">
        <v>8.99</v>
      </c>
      <c r="K4226">
        <v>1</v>
      </c>
      <c r="L4226" t="s">
        <v>43</v>
      </c>
      <c r="M4226" s="5">
        <v>2</v>
      </c>
      <c r="N4226" s="4">
        <v>0.1</v>
      </c>
      <c r="O4226" t="s">
        <v>20</v>
      </c>
    </row>
    <row r="4227" spans="1:15" x14ac:dyDescent="0.3">
      <c r="A4227" t="s">
        <v>2494</v>
      </c>
      <c r="B4227" s="5">
        <v>67</v>
      </c>
      <c r="C4227" s="5" t="str" cm="1">
        <f t="array" ref="C4227">_xlfn.IFS(worksheet[[#This Row],[age]]&lt;25,"1. Young Adulthood (18-24)",worksheet[[#This Row],[age]]&lt; 35,"2. Early Adulthood (25-34)",worksheet[[#This Row],[age]]&lt; 45,"3. Mid Adulthood (35-44)",worksheet[[#This Row],[age]]&lt; 55,"4. Mature Adulthood (45-54)",TRUE,"5. Late Adulthood/Senior (55+)")</f>
        <v>5. Late Adulthood/Senior (55+)</v>
      </c>
      <c r="D4227" t="s">
        <v>27</v>
      </c>
      <c r="E4227" t="s">
        <v>16</v>
      </c>
      <c r="F4227" s="4">
        <v>8.0299999999999994</v>
      </c>
      <c r="G4227" s="5">
        <v>34</v>
      </c>
      <c r="H4227" t="s">
        <v>28</v>
      </c>
      <c r="I4227" t="s">
        <v>55</v>
      </c>
      <c r="J4227" s="6">
        <v>8.99</v>
      </c>
      <c r="K4227">
        <v>1</v>
      </c>
      <c r="L4227" t="s">
        <v>29</v>
      </c>
      <c r="M4227" s="5">
        <v>1</v>
      </c>
      <c r="N4227" s="4">
        <v>0.23</v>
      </c>
      <c r="O4227" t="s">
        <v>39</v>
      </c>
    </row>
    <row r="4228" spans="1:15" x14ac:dyDescent="0.3">
      <c r="A4228" t="s">
        <v>2501</v>
      </c>
      <c r="B4228" s="5">
        <v>61</v>
      </c>
      <c r="C4228" s="5" t="str" cm="1">
        <f t="array" ref="C4228">_xlfn.IFS(worksheet[[#This Row],[age]]&lt;25,"1. Young Adulthood (18-24)",worksheet[[#This Row],[age]]&lt; 35,"2. Early Adulthood (25-34)",worksheet[[#This Row],[age]]&lt; 45,"3. Mid Adulthood (35-44)",worksheet[[#This Row],[age]]&lt; 55,"4. Mature Adulthood (45-54)",TRUE,"5. Late Adulthood/Senior (55+)")</f>
        <v>5. Late Adulthood/Senior (55+)</v>
      </c>
      <c r="D4228" t="s">
        <v>27</v>
      </c>
      <c r="E4228" t="s">
        <v>16</v>
      </c>
      <c r="F4228" s="4">
        <v>14.55</v>
      </c>
      <c r="G4228" s="5">
        <v>37</v>
      </c>
      <c r="H4228" t="s">
        <v>49</v>
      </c>
      <c r="I4228" t="s">
        <v>46</v>
      </c>
      <c r="J4228" s="6">
        <v>8.99</v>
      </c>
      <c r="K4228">
        <v>1</v>
      </c>
      <c r="L4228" t="s">
        <v>19</v>
      </c>
      <c r="M4228" s="5">
        <v>2</v>
      </c>
      <c r="N4228" s="4">
        <v>0.38</v>
      </c>
      <c r="O4228" t="s">
        <v>52</v>
      </c>
    </row>
    <row r="4229" spans="1:15" x14ac:dyDescent="0.3">
      <c r="A4229" t="s">
        <v>2513</v>
      </c>
      <c r="B4229" s="5">
        <v>69</v>
      </c>
      <c r="C4229" s="5" t="str" cm="1">
        <f t="array" ref="C4229">_xlfn.IFS(worksheet[[#This Row],[age]]&lt;25,"1. Young Adulthood (18-24)",worksheet[[#This Row],[age]]&lt; 35,"2. Early Adulthood (25-34)",worksheet[[#This Row],[age]]&lt; 45,"3. Mid Adulthood (35-44)",worksheet[[#This Row],[age]]&lt; 55,"4. Mature Adulthood (45-54)",TRUE,"5. Late Adulthood/Senior (55+)")</f>
        <v>5. Late Adulthood/Senior (55+)</v>
      </c>
      <c r="D4229" t="s">
        <v>15</v>
      </c>
      <c r="E4229" t="s">
        <v>32</v>
      </c>
      <c r="F4229" s="4">
        <v>15.94</v>
      </c>
      <c r="G4229" s="5">
        <v>36</v>
      </c>
      <c r="H4229" t="s">
        <v>49</v>
      </c>
      <c r="I4229" t="s">
        <v>46</v>
      </c>
      <c r="J4229" s="6">
        <v>17.989999999999998</v>
      </c>
      <c r="K4229">
        <v>1</v>
      </c>
      <c r="L4229" t="s">
        <v>37</v>
      </c>
      <c r="M4229" s="5">
        <v>2</v>
      </c>
      <c r="N4229" s="4">
        <v>0.43</v>
      </c>
      <c r="O4229" t="s">
        <v>30</v>
      </c>
    </row>
    <row r="4230" spans="1:15" x14ac:dyDescent="0.3">
      <c r="A4230" t="s">
        <v>2514</v>
      </c>
      <c r="B4230" s="5">
        <v>57</v>
      </c>
      <c r="C4230" s="5" t="str" cm="1">
        <f t="array" ref="C4230">_xlfn.IFS(worksheet[[#This Row],[age]]&lt;25,"1. Young Adulthood (18-24)",worksheet[[#This Row],[age]]&lt; 35,"2. Early Adulthood (25-34)",worksheet[[#This Row],[age]]&lt; 45,"3. Mid Adulthood (35-44)",worksheet[[#This Row],[age]]&lt; 55,"4. Mature Adulthood (45-54)",TRUE,"5. Late Adulthood/Senior (55+)")</f>
        <v>5. Late Adulthood/Senior (55+)</v>
      </c>
      <c r="D4230" t="s">
        <v>27</v>
      </c>
      <c r="E4230" t="s">
        <v>16</v>
      </c>
      <c r="F4230" s="4">
        <v>0.71</v>
      </c>
      <c r="G4230" s="5">
        <v>42</v>
      </c>
      <c r="H4230" t="s">
        <v>70</v>
      </c>
      <c r="I4230" t="s">
        <v>18</v>
      </c>
      <c r="J4230" s="6">
        <v>8.99</v>
      </c>
      <c r="K4230">
        <v>1</v>
      </c>
      <c r="L4230" t="s">
        <v>37</v>
      </c>
      <c r="M4230" s="5">
        <v>4</v>
      </c>
      <c r="N4230" s="4">
        <v>0.02</v>
      </c>
      <c r="O4230" t="s">
        <v>25</v>
      </c>
    </row>
    <row r="4231" spans="1:15" x14ac:dyDescent="0.3">
      <c r="A4231" t="s">
        <v>2516</v>
      </c>
      <c r="B4231" s="5">
        <v>66</v>
      </c>
      <c r="C4231" s="5" t="str" cm="1">
        <f t="array" ref="C4231">_xlfn.IFS(worksheet[[#This Row],[age]]&lt;25,"1. Young Adulthood (18-24)",worksheet[[#This Row],[age]]&lt; 35,"2. Early Adulthood (25-34)",worksheet[[#This Row],[age]]&lt; 45,"3. Mid Adulthood (35-44)",worksheet[[#This Row],[age]]&lt; 55,"4. Mature Adulthood (45-54)",TRUE,"5. Late Adulthood/Senior (55+)")</f>
        <v>5. Late Adulthood/Senior (55+)</v>
      </c>
      <c r="D4231" t="s">
        <v>27</v>
      </c>
      <c r="E4231" t="s">
        <v>16</v>
      </c>
      <c r="F4231" s="4">
        <v>37.6</v>
      </c>
      <c r="G4231" s="5">
        <v>35</v>
      </c>
      <c r="H4231" t="s">
        <v>49</v>
      </c>
      <c r="I4231" t="s">
        <v>24</v>
      </c>
      <c r="J4231" s="6">
        <v>8.99</v>
      </c>
      <c r="K4231">
        <v>0</v>
      </c>
      <c r="L4231" t="s">
        <v>19</v>
      </c>
      <c r="M4231" s="5">
        <v>3</v>
      </c>
      <c r="N4231" s="4">
        <v>1.04</v>
      </c>
      <c r="O4231" t="s">
        <v>47</v>
      </c>
    </row>
    <row r="4232" spans="1:15" x14ac:dyDescent="0.3">
      <c r="A4232" t="s">
        <v>2518</v>
      </c>
      <c r="B4232" s="5">
        <v>66</v>
      </c>
      <c r="C4232" s="5" t="str" cm="1">
        <f t="array" ref="C4232">_xlfn.IFS(worksheet[[#This Row],[age]]&lt;25,"1. Young Adulthood (18-24)",worksheet[[#This Row],[age]]&lt; 35,"2. Early Adulthood (25-34)",worksheet[[#This Row],[age]]&lt; 45,"3. Mid Adulthood (35-44)",worksheet[[#This Row],[age]]&lt; 55,"4. Mature Adulthood (45-54)",TRUE,"5. Late Adulthood/Senior (55+)")</f>
        <v>5. Late Adulthood/Senior (55+)</v>
      </c>
      <c r="D4232" t="s">
        <v>41</v>
      </c>
      <c r="E4232" t="s">
        <v>16</v>
      </c>
      <c r="F4232" s="4">
        <v>5.07</v>
      </c>
      <c r="G4232" s="5">
        <v>38</v>
      </c>
      <c r="H4232" t="s">
        <v>70</v>
      </c>
      <c r="I4232" t="s">
        <v>24</v>
      </c>
      <c r="J4232" s="6">
        <v>8.99</v>
      </c>
      <c r="K4232">
        <v>1</v>
      </c>
      <c r="L4232" t="s">
        <v>43</v>
      </c>
      <c r="M4232" s="5">
        <v>5</v>
      </c>
      <c r="N4232" s="4">
        <v>0.13</v>
      </c>
      <c r="O4232" t="s">
        <v>25</v>
      </c>
    </row>
    <row r="4233" spans="1:15" x14ac:dyDescent="0.3">
      <c r="A4233" t="s">
        <v>2520</v>
      </c>
      <c r="B4233" s="5">
        <v>63</v>
      </c>
      <c r="C4233" s="5" t="str" cm="1">
        <f t="array" ref="C4233">_xlfn.IFS(worksheet[[#This Row],[age]]&lt;25,"1. Young Adulthood (18-24)",worksheet[[#This Row],[age]]&lt; 35,"2. Early Adulthood (25-34)",worksheet[[#This Row],[age]]&lt; 45,"3. Mid Adulthood (35-44)",worksheet[[#This Row],[age]]&lt; 55,"4. Mature Adulthood (45-54)",TRUE,"5. Late Adulthood/Senior (55+)")</f>
        <v>5. Late Adulthood/Senior (55+)</v>
      </c>
      <c r="D4233" t="s">
        <v>27</v>
      </c>
      <c r="E4233" t="s">
        <v>32</v>
      </c>
      <c r="F4233" s="4">
        <v>9.84</v>
      </c>
      <c r="G4233" s="5">
        <v>46</v>
      </c>
      <c r="H4233" t="s">
        <v>49</v>
      </c>
      <c r="I4233" t="s">
        <v>24</v>
      </c>
      <c r="J4233" s="6">
        <v>17.989999999999998</v>
      </c>
      <c r="K4233">
        <v>1</v>
      </c>
      <c r="L4233" t="s">
        <v>43</v>
      </c>
      <c r="M4233" s="5">
        <v>2</v>
      </c>
      <c r="N4233" s="4">
        <v>0.21</v>
      </c>
      <c r="O4233" t="s">
        <v>39</v>
      </c>
    </row>
    <row r="4234" spans="1:15" x14ac:dyDescent="0.3">
      <c r="A4234" t="s">
        <v>2522</v>
      </c>
      <c r="B4234" s="5">
        <v>62</v>
      </c>
      <c r="C4234" s="5" t="str" cm="1">
        <f t="array" ref="C4234">_xlfn.IFS(worksheet[[#This Row],[age]]&lt;25,"1. Young Adulthood (18-24)",worksheet[[#This Row],[age]]&lt; 35,"2. Early Adulthood (25-34)",worksheet[[#This Row],[age]]&lt; 45,"3. Mid Adulthood (35-44)",worksheet[[#This Row],[age]]&lt; 55,"4. Mature Adulthood (45-54)",TRUE,"5. Late Adulthood/Senior (55+)")</f>
        <v>5. Late Adulthood/Senior (55+)</v>
      </c>
      <c r="D4234" t="s">
        <v>41</v>
      </c>
      <c r="E4234" t="s">
        <v>22</v>
      </c>
      <c r="F4234" s="4">
        <v>9.15</v>
      </c>
      <c r="G4234" s="5">
        <v>55</v>
      </c>
      <c r="H4234" t="s">
        <v>70</v>
      </c>
      <c r="I4234" t="s">
        <v>57</v>
      </c>
      <c r="J4234" s="6">
        <v>13.99</v>
      </c>
      <c r="K4234">
        <v>1</v>
      </c>
      <c r="L4234" t="s">
        <v>19</v>
      </c>
      <c r="M4234" s="5">
        <v>5</v>
      </c>
      <c r="N4234" s="4">
        <v>0.16</v>
      </c>
      <c r="O4234" t="s">
        <v>25</v>
      </c>
    </row>
    <row r="4235" spans="1:15" x14ac:dyDescent="0.3">
      <c r="A4235" t="s">
        <v>2523</v>
      </c>
      <c r="B4235" s="5">
        <v>63</v>
      </c>
      <c r="C4235" s="5" t="str" cm="1">
        <f t="array" ref="C4235">_xlfn.IFS(worksheet[[#This Row],[age]]&lt;25,"1. Young Adulthood (18-24)",worksheet[[#This Row],[age]]&lt; 35,"2. Early Adulthood (25-34)",worksheet[[#This Row],[age]]&lt; 45,"3. Mid Adulthood (35-44)",worksheet[[#This Row],[age]]&lt; 55,"4. Mature Adulthood (45-54)",TRUE,"5. Late Adulthood/Senior (55+)")</f>
        <v>5. Late Adulthood/Senior (55+)</v>
      </c>
      <c r="D4235" t="s">
        <v>27</v>
      </c>
      <c r="E4235" t="s">
        <v>22</v>
      </c>
      <c r="F4235" s="4">
        <v>3.86</v>
      </c>
      <c r="G4235" s="5">
        <v>14</v>
      </c>
      <c r="H4235" t="s">
        <v>23</v>
      </c>
      <c r="I4235" t="s">
        <v>24</v>
      </c>
      <c r="J4235" s="6">
        <v>13.99</v>
      </c>
      <c r="K4235">
        <v>1</v>
      </c>
      <c r="L4235" t="s">
        <v>29</v>
      </c>
      <c r="M4235" s="5">
        <v>5</v>
      </c>
      <c r="N4235" s="4">
        <v>0.26</v>
      </c>
      <c r="O4235" t="s">
        <v>52</v>
      </c>
    </row>
    <row r="4236" spans="1:15" x14ac:dyDescent="0.3">
      <c r="A4236" t="s">
        <v>2526</v>
      </c>
      <c r="B4236" s="5">
        <v>68</v>
      </c>
      <c r="C4236" s="5" t="str" cm="1">
        <f t="array" ref="C4236">_xlfn.IFS(worksheet[[#This Row],[age]]&lt;25,"1. Young Adulthood (18-24)",worksheet[[#This Row],[age]]&lt; 35,"2. Early Adulthood (25-34)",worksheet[[#This Row],[age]]&lt; 45,"3. Mid Adulthood (35-44)",worksheet[[#This Row],[age]]&lt; 55,"4. Mature Adulthood (45-54)",TRUE,"5. Late Adulthood/Senior (55+)")</f>
        <v>5. Late Adulthood/Senior (55+)</v>
      </c>
      <c r="D4236" t="s">
        <v>27</v>
      </c>
      <c r="E4236" t="s">
        <v>22</v>
      </c>
      <c r="F4236" s="4">
        <v>6.49</v>
      </c>
      <c r="G4236" s="5">
        <v>6</v>
      </c>
      <c r="H4236" t="s">
        <v>49</v>
      </c>
      <c r="I4236" t="s">
        <v>55</v>
      </c>
      <c r="J4236" s="6">
        <v>13.99</v>
      </c>
      <c r="K4236">
        <v>0</v>
      </c>
      <c r="L4236" t="s">
        <v>61</v>
      </c>
      <c r="M4236" s="5">
        <v>1</v>
      </c>
      <c r="N4236" s="4">
        <v>0.93</v>
      </c>
      <c r="O4236" t="s">
        <v>30</v>
      </c>
    </row>
    <row r="4237" spans="1:15" x14ac:dyDescent="0.3">
      <c r="A4237" t="s">
        <v>2528</v>
      </c>
      <c r="B4237" s="5">
        <v>62</v>
      </c>
      <c r="C4237" s="5" t="str" cm="1">
        <f t="array" ref="C4237">_xlfn.IFS(worksheet[[#This Row],[age]]&lt;25,"1. Young Adulthood (18-24)",worksheet[[#This Row],[age]]&lt; 35,"2. Early Adulthood (25-34)",worksheet[[#This Row],[age]]&lt; 45,"3. Mid Adulthood (35-44)",worksheet[[#This Row],[age]]&lt; 55,"4. Mature Adulthood (45-54)",TRUE,"5. Late Adulthood/Senior (55+)")</f>
        <v>5. Late Adulthood/Senior (55+)</v>
      </c>
      <c r="D4237" t="s">
        <v>15</v>
      </c>
      <c r="E4237" t="s">
        <v>16</v>
      </c>
      <c r="F4237" s="4">
        <v>18.420000000000002</v>
      </c>
      <c r="G4237" s="5">
        <v>45</v>
      </c>
      <c r="H4237" t="s">
        <v>70</v>
      </c>
      <c r="I4237" t="s">
        <v>55</v>
      </c>
      <c r="J4237" s="6">
        <v>8.99</v>
      </c>
      <c r="K4237">
        <v>1</v>
      </c>
      <c r="L4237" t="s">
        <v>37</v>
      </c>
      <c r="M4237" s="5">
        <v>3</v>
      </c>
      <c r="N4237" s="4">
        <v>0.4</v>
      </c>
      <c r="O4237" t="s">
        <v>52</v>
      </c>
    </row>
    <row r="4238" spans="1:15" x14ac:dyDescent="0.3">
      <c r="A4238" t="s">
        <v>2535</v>
      </c>
      <c r="B4238" s="5">
        <v>66</v>
      </c>
      <c r="C4238" s="5" t="str" cm="1">
        <f t="array" ref="C4238">_xlfn.IFS(worksheet[[#This Row],[age]]&lt;25,"1. Young Adulthood (18-24)",worksheet[[#This Row],[age]]&lt; 35,"2. Early Adulthood (25-34)",worksheet[[#This Row],[age]]&lt; 45,"3. Mid Adulthood (35-44)",worksheet[[#This Row],[age]]&lt; 55,"4. Mature Adulthood (45-54)",TRUE,"5. Late Adulthood/Senior (55+)")</f>
        <v>5. Late Adulthood/Senior (55+)</v>
      </c>
      <c r="D4238" t="s">
        <v>15</v>
      </c>
      <c r="E4238" t="s">
        <v>32</v>
      </c>
      <c r="F4238" s="4">
        <v>8.07</v>
      </c>
      <c r="G4238" s="5">
        <v>20</v>
      </c>
      <c r="H4238" t="s">
        <v>17</v>
      </c>
      <c r="I4238" t="s">
        <v>55</v>
      </c>
      <c r="J4238" s="6">
        <v>17.989999999999998</v>
      </c>
      <c r="K4238">
        <v>0</v>
      </c>
      <c r="L4238" t="s">
        <v>19</v>
      </c>
      <c r="M4238" s="5">
        <v>5</v>
      </c>
      <c r="N4238" s="4">
        <v>0.38</v>
      </c>
      <c r="O4238" t="s">
        <v>39</v>
      </c>
    </row>
    <row r="4239" spans="1:15" x14ac:dyDescent="0.3">
      <c r="A4239" t="s">
        <v>2542</v>
      </c>
      <c r="B4239" s="5">
        <v>69</v>
      </c>
      <c r="C4239" s="5" t="str" cm="1">
        <f t="array" ref="C4239">_xlfn.IFS(worksheet[[#This Row],[age]]&lt;25,"1. Young Adulthood (18-24)",worksheet[[#This Row],[age]]&lt; 35,"2. Early Adulthood (25-34)",worksheet[[#This Row],[age]]&lt; 45,"3. Mid Adulthood (35-44)",worksheet[[#This Row],[age]]&lt; 55,"4. Mature Adulthood (45-54)",TRUE,"5. Late Adulthood/Senior (55+)")</f>
        <v>5. Late Adulthood/Senior (55+)</v>
      </c>
      <c r="D4239" t="s">
        <v>27</v>
      </c>
      <c r="E4239" t="s">
        <v>16</v>
      </c>
      <c r="F4239" s="4">
        <v>40.159999999999997</v>
      </c>
      <c r="G4239" s="5">
        <v>16</v>
      </c>
      <c r="H4239" t="s">
        <v>28</v>
      </c>
      <c r="I4239" t="s">
        <v>18</v>
      </c>
      <c r="J4239" s="6">
        <v>8.99</v>
      </c>
      <c r="K4239">
        <v>0</v>
      </c>
      <c r="L4239" t="s">
        <v>37</v>
      </c>
      <c r="M4239" s="5">
        <v>4</v>
      </c>
      <c r="N4239" s="4">
        <v>2.36</v>
      </c>
      <c r="O4239" t="s">
        <v>30</v>
      </c>
    </row>
    <row r="4240" spans="1:15" x14ac:dyDescent="0.3">
      <c r="A4240" t="s">
        <v>2543</v>
      </c>
      <c r="B4240" s="5">
        <v>58</v>
      </c>
      <c r="C4240" s="5" t="str" cm="1">
        <f t="array" ref="C4240">_xlfn.IFS(worksheet[[#This Row],[age]]&lt;25,"1. Young Adulthood (18-24)",worksheet[[#This Row],[age]]&lt; 35,"2. Early Adulthood (25-34)",worksheet[[#This Row],[age]]&lt; 45,"3. Mid Adulthood (35-44)",worksheet[[#This Row],[age]]&lt; 55,"4. Mature Adulthood (45-54)",TRUE,"5. Late Adulthood/Senior (55+)")</f>
        <v>5. Late Adulthood/Senior (55+)</v>
      </c>
      <c r="D4240" t="s">
        <v>27</v>
      </c>
      <c r="E4240" t="s">
        <v>32</v>
      </c>
      <c r="F4240" s="4">
        <v>0.45</v>
      </c>
      <c r="G4240" s="5">
        <v>7</v>
      </c>
      <c r="H4240" t="s">
        <v>33</v>
      </c>
      <c r="I4240" t="s">
        <v>18</v>
      </c>
      <c r="J4240" s="6">
        <v>17.989999999999998</v>
      </c>
      <c r="K4240">
        <v>1</v>
      </c>
      <c r="L4240" t="s">
        <v>29</v>
      </c>
      <c r="M4240" s="5">
        <v>1</v>
      </c>
      <c r="N4240" s="4">
        <v>0.06</v>
      </c>
      <c r="O4240" t="s">
        <v>25</v>
      </c>
    </row>
    <row r="4241" spans="1:15" x14ac:dyDescent="0.3">
      <c r="A4241" t="s">
        <v>2544</v>
      </c>
      <c r="B4241" s="5">
        <v>65</v>
      </c>
      <c r="C4241" s="5" t="str" cm="1">
        <f t="array" ref="C4241">_xlfn.IFS(worksheet[[#This Row],[age]]&lt;25,"1. Young Adulthood (18-24)",worksheet[[#This Row],[age]]&lt; 35,"2. Early Adulthood (25-34)",worksheet[[#This Row],[age]]&lt; 45,"3. Mid Adulthood (35-44)",worksheet[[#This Row],[age]]&lt; 55,"4. Mature Adulthood (45-54)",TRUE,"5. Late Adulthood/Senior (55+)")</f>
        <v>5. Late Adulthood/Senior (55+)</v>
      </c>
      <c r="D4241" t="s">
        <v>27</v>
      </c>
      <c r="E4241" t="s">
        <v>22</v>
      </c>
      <c r="F4241" s="4">
        <v>45.1</v>
      </c>
      <c r="G4241" s="5">
        <v>58</v>
      </c>
      <c r="H4241" t="s">
        <v>17</v>
      </c>
      <c r="I4241" t="s">
        <v>57</v>
      </c>
      <c r="J4241" s="6">
        <v>13.99</v>
      </c>
      <c r="K4241">
        <v>0</v>
      </c>
      <c r="L4241" t="s">
        <v>61</v>
      </c>
      <c r="M4241" s="5">
        <v>3</v>
      </c>
      <c r="N4241" s="4">
        <v>0.76</v>
      </c>
      <c r="O4241" t="s">
        <v>39</v>
      </c>
    </row>
    <row r="4242" spans="1:15" x14ac:dyDescent="0.3">
      <c r="A4242" t="s">
        <v>2546</v>
      </c>
      <c r="B4242" s="5">
        <v>65</v>
      </c>
      <c r="C4242" s="5" t="str" cm="1">
        <f t="array" ref="C4242">_xlfn.IFS(worksheet[[#This Row],[age]]&lt;25,"1. Young Adulthood (18-24)",worksheet[[#This Row],[age]]&lt; 35,"2. Early Adulthood (25-34)",worksheet[[#This Row],[age]]&lt; 45,"3. Mid Adulthood (35-44)",worksheet[[#This Row],[age]]&lt; 55,"4. Mature Adulthood (45-54)",TRUE,"5. Late Adulthood/Senior (55+)")</f>
        <v>5. Late Adulthood/Senior (55+)</v>
      </c>
      <c r="D4242" t="s">
        <v>15</v>
      </c>
      <c r="E4242" t="s">
        <v>22</v>
      </c>
      <c r="F4242" s="4">
        <v>1.64</v>
      </c>
      <c r="G4242" s="5">
        <v>15</v>
      </c>
      <c r="H4242" t="s">
        <v>49</v>
      </c>
      <c r="I4242" t="s">
        <v>57</v>
      </c>
      <c r="J4242" s="6">
        <v>13.99</v>
      </c>
      <c r="K4242">
        <v>1</v>
      </c>
      <c r="L4242" t="s">
        <v>29</v>
      </c>
      <c r="M4242" s="5">
        <v>2</v>
      </c>
      <c r="N4242" s="4">
        <v>0.1</v>
      </c>
      <c r="O4242" t="s">
        <v>34</v>
      </c>
    </row>
    <row r="4243" spans="1:15" x14ac:dyDescent="0.3">
      <c r="A4243" t="s">
        <v>2550</v>
      </c>
      <c r="B4243" s="5">
        <v>63</v>
      </c>
      <c r="C4243" s="5" t="str" cm="1">
        <f t="array" ref="C4243">_xlfn.IFS(worksheet[[#This Row],[age]]&lt;25,"1. Young Adulthood (18-24)",worksheet[[#This Row],[age]]&lt; 35,"2. Early Adulthood (25-34)",worksheet[[#This Row],[age]]&lt; 45,"3. Mid Adulthood (35-44)",worksheet[[#This Row],[age]]&lt; 55,"4. Mature Adulthood (45-54)",TRUE,"5. Late Adulthood/Senior (55+)")</f>
        <v>5. Late Adulthood/Senior (55+)</v>
      </c>
      <c r="D4243" t="s">
        <v>27</v>
      </c>
      <c r="E4243" t="s">
        <v>32</v>
      </c>
      <c r="F4243" s="4">
        <v>2.81</v>
      </c>
      <c r="G4243" s="5">
        <v>0</v>
      </c>
      <c r="H4243" t="s">
        <v>49</v>
      </c>
      <c r="I4243" t="s">
        <v>57</v>
      </c>
      <c r="J4243" s="6">
        <v>17.989999999999998</v>
      </c>
      <c r="K4243">
        <v>0</v>
      </c>
      <c r="L4243" t="s">
        <v>19</v>
      </c>
      <c r="M4243" s="5">
        <v>5</v>
      </c>
      <c r="N4243" s="4">
        <v>2.81</v>
      </c>
      <c r="O4243" t="s">
        <v>30</v>
      </c>
    </row>
    <row r="4244" spans="1:15" x14ac:dyDescent="0.3">
      <c r="A4244" t="s">
        <v>2552</v>
      </c>
      <c r="B4244" s="5">
        <v>62</v>
      </c>
      <c r="C4244" s="5" t="str" cm="1">
        <f t="array" ref="C4244">_xlfn.IFS(worksheet[[#This Row],[age]]&lt;25,"1. Young Adulthood (18-24)",worksheet[[#This Row],[age]]&lt; 35,"2. Early Adulthood (25-34)",worksheet[[#This Row],[age]]&lt; 45,"3. Mid Adulthood (35-44)",worksheet[[#This Row],[age]]&lt; 55,"4. Mature Adulthood (45-54)",TRUE,"5. Late Adulthood/Senior (55+)")</f>
        <v>5. Late Adulthood/Senior (55+)</v>
      </c>
      <c r="D4244" t="s">
        <v>41</v>
      </c>
      <c r="E4244" t="s">
        <v>22</v>
      </c>
      <c r="F4244" s="4">
        <v>27.16</v>
      </c>
      <c r="G4244" s="5">
        <v>45</v>
      </c>
      <c r="H4244" t="s">
        <v>23</v>
      </c>
      <c r="I4244" t="s">
        <v>55</v>
      </c>
      <c r="J4244" s="6">
        <v>13.99</v>
      </c>
      <c r="K4244">
        <v>0</v>
      </c>
      <c r="L4244" t="s">
        <v>61</v>
      </c>
      <c r="M4244" s="5">
        <v>2</v>
      </c>
      <c r="N4244" s="4">
        <v>0.59</v>
      </c>
      <c r="O4244" t="s">
        <v>47</v>
      </c>
    </row>
    <row r="4245" spans="1:15" x14ac:dyDescent="0.3">
      <c r="A4245" t="s">
        <v>2556</v>
      </c>
      <c r="B4245" s="5">
        <v>63</v>
      </c>
      <c r="C4245" s="5" t="str" cm="1">
        <f t="array" ref="C4245">_xlfn.IFS(worksheet[[#This Row],[age]]&lt;25,"1. Young Adulthood (18-24)",worksheet[[#This Row],[age]]&lt; 35,"2. Early Adulthood (25-34)",worksheet[[#This Row],[age]]&lt; 45,"3. Mid Adulthood (35-44)",worksheet[[#This Row],[age]]&lt; 55,"4. Mature Adulthood (45-54)",TRUE,"5. Late Adulthood/Senior (55+)")</f>
        <v>5. Late Adulthood/Senior (55+)</v>
      </c>
      <c r="D4245" t="s">
        <v>15</v>
      </c>
      <c r="E4245" t="s">
        <v>22</v>
      </c>
      <c r="F4245" s="4">
        <v>3.13</v>
      </c>
      <c r="G4245" s="5">
        <v>45</v>
      </c>
      <c r="H4245" t="s">
        <v>70</v>
      </c>
      <c r="I4245" t="s">
        <v>46</v>
      </c>
      <c r="J4245" s="6">
        <v>13.99</v>
      </c>
      <c r="K4245">
        <v>1</v>
      </c>
      <c r="L4245" t="s">
        <v>19</v>
      </c>
      <c r="M4245" s="5">
        <v>2</v>
      </c>
      <c r="N4245" s="4">
        <v>7.0000000000000007E-2</v>
      </c>
      <c r="O4245" t="s">
        <v>25</v>
      </c>
    </row>
    <row r="4246" spans="1:15" x14ac:dyDescent="0.3">
      <c r="A4246" t="s">
        <v>2557</v>
      </c>
      <c r="B4246" s="5">
        <v>65</v>
      </c>
      <c r="C4246" s="5" t="str" cm="1">
        <f t="array" ref="C4246">_xlfn.IFS(worksheet[[#This Row],[age]]&lt;25,"1. Young Adulthood (18-24)",worksheet[[#This Row],[age]]&lt; 35,"2. Early Adulthood (25-34)",worksheet[[#This Row],[age]]&lt; 45,"3. Mid Adulthood (35-44)",worksheet[[#This Row],[age]]&lt; 55,"4. Mature Adulthood (45-54)",TRUE,"5. Late Adulthood/Senior (55+)")</f>
        <v>5. Late Adulthood/Senior (55+)</v>
      </c>
      <c r="D4246" t="s">
        <v>41</v>
      </c>
      <c r="E4246" t="s">
        <v>22</v>
      </c>
      <c r="F4246" s="4">
        <v>15.33</v>
      </c>
      <c r="G4246" s="5">
        <v>17</v>
      </c>
      <c r="H4246" t="s">
        <v>70</v>
      </c>
      <c r="I4246" t="s">
        <v>55</v>
      </c>
      <c r="J4246" s="6">
        <v>13.99</v>
      </c>
      <c r="K4246">
        <v>0</v>
      </c>
      <c r="L4246" t="s">
        <v>19</v>
      </c>
      <c r="M4246" s="5">
        <v>1</v>
      </c>
      <c r="N4246" s="4">
        <v>0.85</v>
      </c>
      <c r="O4246" t="s">
        <v>25</v>
      </c>
    </row>
    <row r="4247" spans="1:15" x14ac:dyDescent="0.3">
      <c r="A4247" t="s">
        <v>2560</v>
      </c>
      <c r="B4247" s="5">
        <v>60</v>
      </c>
      <c r="C4247" s="5" t="str" cm="1">
        <f t="array" ref="C4247">_xlfn.IFS(worksheet[[#This Row],[age]]&lt;25,"1. Young Adulthood (18-24)",worksheet[[#This Row],[age]]&lt; 35,"2. Early Adulthood (25-34)",worksheet[[#This Row],[age]]&lt; 45,"3. Mid Adulthood (35-44)",worksheet[[#This Row],[age]]&lt; 55,"4. Mature Adulthood (45-54)",TRUE,"5. Late Adulthood/Senior (55+)")</f>
        <v>5. Late Adulthood/Senior (55+)</v>
      </c>
      <c r="D4247" t="s">
        <v>41</v>
      </c>
      <c r="E4247" t="s">
        <v>16</v>
      </c>
      <c r="F4247" s="4">
        <v>4.37</v>
      </c>
      <c r="G4247" s="5">
        <v>59</v>
      </c>
      <c r="H4247" t="s">
        <v>70</v>
      </c>
      <c r="I4247" t="s">
        <v>46</v>
      </c>
      <c r="J4247" s="6">
        <v>8.99</v>
      </c>
      <c r="K4247">
        <v>1</v>
      </c>
      <c r="L4247" t="s">
        <v>29</v>
      </c>
      <c r="M4247" s="5">
        <v>2</v>
      </c>
      <c r="N4247" s="4">
        <v>7.0000000000000007E-2</v>
      </c>
      <c r="O4247" t="s">
        <v>25</v>
      </c>
    </row>
    <row r="4248" spans="1:15" x14ac:dyDescent="0.3">
      <c r="A4248" t="s">
        <v>2567</v>
      </c>
      <c r="B4248" s="5">
        <v>61</v>
      </c>
      <c r="C4248" s="5" t="str" cm="1">
        <f t="array" ref="C4248">_xlfn.IFS(worksheet[[#This Row],[age]]&lt;25,"1. Young Adulthood (18-24)",worksheet[[#This Row],[age]]&lt; 35,"2. Early Adulthood (25-34)",worksheet[[#This Row],[age]]&lt; 45,"3. Mid Adulthood (35-44)",worksheet[[#This Row],[age]]&lt; 55,"4. Mature Adulthood (45-54)",TRUE,"5. Late Adulthood/Senior (55+)")</f>
        <v>5. Late Adulthood/Senior (55+)</v>
      </c>
      <c r="D4248" t="s">
        <v>41</v>
      </c>
      <c r="E4248" t="s">
        <v>22</v>
      </c>
      <c r="F4248" s="4">
        <v>2.15</v>
      </c>
      <c r="G4248" s="5">
        <v>33</v>
      </c>
      <c r="H4248" t="s">
        <v>49</v>
      </c>
      <c r="I4248" t="s">
        <v>24</v>
      </c>
      <c r="J4248" s="6">
        <v>13.99</v>
      </c>
      <c r="K4248">
        <v>1</v>
      </c>
      <c r="L4248" t="s">
        <v>29</v>
      </c>
      <c r="M4248" s="5">
        <v>1</v>
      </c>
      <c r="N4248" s="4">
        <v>0.06</v>
      </c>
      <c r="O4248" t="s">
        <v>25</v>
      </c>
    </row>
    <row r="4249" spans="1:15" x14ac:dyDescent="0.3">
      <c r="A4249" t="s">
        <v>2573</v>
      </c>
      <c r="B4249" s="5">
        <v>64</v>
      </c>
      <c r="C4249" s="5" t="str" cm="1">
        <f t="array" ref="C4249">_xlfn.IFS(worksheet[[#This Row],[age]]&lt;25,"1. Young Adulthood (18-24)",worksheet[[#This Row],[age]]&lt; 35,"2. Early Adulthood (25-34)",worksheet[[#This Row],[age]]&lt; 45,"3. Mid Adulthood (35-44)",worksheet[[#This Row],[age]]&lt; 55,"4. Mature Adulthood (45-54)",TRUE,"5. Late Adulthood/Senior (55+)")</f>
        <v>5. Late Adulthood/Senior (55+)</v>
      </c>
      <c r="D4249" t="s">
        <v>41</v>
      </c>
      <c r="E4249" t="s">
        <v>22</v>
      </c>
      <c r="F4249" s="4">
        <v>8.4</v>
      </c>
      <c r="G4249" s="5">
        <v>47</v>
      </c>
      <c r="H4249" t="s">
        <v>49</v>
      </c>
      <c r="I4249" t="s">
        <v>18</v>
      </c>
      <c r="J4249" s="6">
        <v>13.99</v>
      </c>
      <c r="K4249">
        <v>1</v>
      </c>
      <c r="L4249" t="s">
        <v>29</v>
      </c>
      <c r="M4249" s="5">
        <v>4</v>
      </c>
      <c r="N4249" s="4">
        <v>0.18</v>
      </c>
      <c r="O4249" t="s">
        <v>52</v>
      </c>
    </row>
    <row r="4250" spans="1:15" x14ac:dyDescent="0.3">
      <c r="A4250" t="s">
        <v>2577</v>
      </c>
      <c r="B4250" s="5">
        <v>68</v>
      </c>
      <c r="C4250" s="5" t="str" cm="1">
        <f t="array" ref="C4250">_xlfn.IFS(worksheet[[#This Row],[age]]&lt;25,"1. Young Adulthood (18-24)",worksheet[[#This Row],[age]]&lt; 35,"2. Early Adulthood (25-34)",worksheet[[#This Row],[age]]&lt; 45,"3. Mid Adulthood (35-44)",worksheet[[#This Row],[age]]&lt; 55,"4. Mature Adulthood (45-54)",TRUE,"5. Late Adulthood/Senior (55+)")</f>
        <v>5. Late Adulthood/Senior (55+)</v>
      </c>
      <c r="D4250" t="s">
        <v>27</v>
      </c>
      <c r="E4250" t="s">
        <v>16</v>
      </c>
      <c r="F4250" s="4">
        <v>10.14</v>
      </c>
      <c r="G4250" s="5">
        <v>9</v>
      </c>
      <c r="H4250" t="s">
        <v>23</v>
      </c>
      <c r="I4250" t="s">
        <v>18</v>
      </c>
      <c r="J4250" s="6">
        <v>8.99</v>
      </c>
      <c r="K4250">
        <v>0</v>
      </c>
      <c r="L4250" t="s">
        <v>19</v>
      </c>
      <c r="M4250" s="5">
        <v>1</v>
      </c>
      <c r="N4250" s="4">
        <v>1.01</v>
      </c>
      <c r="O4250" t="s">
        <v>25</v>
      </c>
    </row>
    <row r="4251" spans="1:15" x14ac:dyDescent="0.3">
      <c r="A4251" t="s">
        <v>2585</v>
      </c>
      <c r="B4251" s="5">
        <v>61</v>
      </c>
      <c r="C4251" s="5" t="str" cm="1">
        <f t="array" ref="C4251">_xlfn.IFS(worksheet[[#This Row],[age]]&lt;25,"1. Young Adulthood (18-24)",worksheet[[#This Row],[age]]&lt; 35,"2. Early Adulthood (25-34)",worksheet[[#This Row],[age]]&lt; 45,"3. Mid Adulthood (35-44)",worksheet[[#This Row],[age]]&lt; 55,"4. Mature Adulthood (45-54)",TRUE,"5. Late Adulthood/Senior (55+)")</f>
        <v>5. Late Adulthood/Senior (55+)</v>
      </c>
      <c r="D4251" t="s">
        <v>27</v>
      </c>
      <c r="E4251" t="s">
        <v>16</v>
      </c>
      <c r="F4251" s="4">
        <v>4.18</v>
      </c>
      <c r="G4251" s="5">
        <v>47</v>
      </c>
      <c r="H4251" t="s">
        <v>49</v>
      </c>
      <c r="I4251" t="s">
        <v>46</v>
      </c>
      <c r="J4251" s="6">
        <v>8.99</v>
      </c>
      <c r="K4251">
        <v>1</v>
      </c>
      <c r="L4251" t="s">
        <v>37</v>
      </c>
      <c r="M4251" s="5">
        <v>2</v>
      </c>
      <c r="N4251" s="4">
        <v>0.09</v>
      </c>
      <c r="O4251" t="s">
        <v>30</v>
      </c>
    </row>
    <row r="4252" spans="1:15" x14ac:dyDescent="0.3">
      <c r="A4252" t="s">
        <v>2588</v>
      </c>
      <c r="B4252" s="5">
        <v>56</v>
      </c>
      <c r="C4252" s="5" t="str" cm="1">
        <f t="array" ref="C4252">_xlfn.IFS(worksheet[[#This Row],[age]]&lt;25,"1. Young Adulthood (18-24)",worksheet[[#This Row],[age]]&lt; 35,"2. Early Adulthood (25-34)",worksheet[[#This Row],[age]]&lt; 45,"3. Mid Adulthood (35-44)",worksheet[[#This Row],[age]]&lt; 55,"4. Mature Adulthood (45-54)",TRUE,"5. Late Adulthood/Senior (55+)")</f>
        <v>5. Late Adulthood/Senior (55+)</v>
      </c>
      <c r="D4252" t="s">
        <v>27</v>
      </c>
      <c r="E4252" t="s">
        <v>32</v>
      </c>
      <c r="F4252" s="4">
        <v>17.25</v>
      </c>
      <c r="G4252" s="5">
        <v>52</v>
      </c>
      <c r="H4252" t="s">
        <v>33</v>
      </c>
      <c r="I4252" t="s">
        <v>46</v>
      </c>
      <c r="J4252" s="6">
        <v>17.989999999999998</v>
      </c>
      <c r="K4252">
        <v>0</v>
      </c>
      <c r="L4252" t="s">
        <v>43</v>
      </c>
      <c r="M4252" s="5">
        <v>5</v>
      </c>
      <c r="N4252" s="4">
        <v>0.33</v>
      </c>
      <c r="O4252" t="s">
        <v>25</v>
      </c>
    </row>
    <row r="4253" spans="1:15" x14ac:dyDescent="0.3">
      <c r="A4253" t="s">
        <v>2589</v>
      </c>
      <c r="B4253" s="5">
        <v>58</v>
      </c>
      <c r="C4253" s="5" t="str" cm="1">
        <f t="array" ref="C4253">_xlfn.IFS(worksheet[[#This Row],[age]]&lt;25,"1. Young Adulthood (18-24)",worksheet[[#This Row],[age]]&lt; 35,"2. Early Adulthood (25-34)",worksheet[[#This Row],[age]]&lt; 45,"3. Mid Adulthood (35-44)",worksheet[[#This Row],[age]]&lt; 55,"4. Mature Adulthood (45-54)",TRUE,"5. Late Adulthood/Senior (55+)")</f>
        <v>5. Late Adulthood/Senior (55+)</v>
      </c>
      <c r="D4253" t="s">
        <v>41</v>
      </c>
      <c r="E4253" t="s">
        <v>32</v>
      </c>
      <c r="F4253" s="4">
        <v>21.56</v>
      </c>
      <c r="G4253" s="5">
        <v>39</v>
      </c>
      <c r="H4253" t="s">
        <v>23</v>
      </c>
      <c r="I4253" t="s">
        <v>18</v>
      </c>
      <c r="J4253" s="6">
        <v>17.989999999999998</v>
      </c>
      <c r="K4253">
        <v>0</v>
      </c>
      <c r="L4253" t="s">
        <v>29</v>
      </c>
      <c r="M4253" s="5">
        <v>4</v>
      </c>
      <c r="N4253" s="4">
        <v>0.54</v>
      </c>
      <c r="O4253" t="s">
        <v>30</v>
      </c>
    </row>
    <row r="4254" spans="1:15" x14ac:dyDescent="0.3">
      <c r="A4254" t="s">
        <v>2590</v>
      </c>
      <c r="B4254" s="5">
        <v>61</v>
      </c>
      <c r="C4254" s="5" t="str" cm="1">
        <f t="array" ref="C4254">_xlfn.IFS(worksheet[[#This Row],[age]]&lt;25,"1. Young Adulthood (18-24)",worksheet[[#This Row],[age]]&lt; 35,"2. Early Adulthood (25-34)",worksheet[[#This Row],[age]]&lt; 45,"3. Mid Adulthood (35-44)",worksheet[[#This Row],[age]]&lt; 55,"4. Mature Adulthood (45-54)",TRUE,"5. Late Adulthood/Senior (55+)")</f>
        <v>5. Late Adulthood/Senior (55+)</v>
      </c>
      <c r="D4254" t="s">
        <v>15</v>
      </c>
      <c r="E4254" t="s">
        <v>32</v>
      </c>
      <c r="F4254" s="4">
        <v>5.87</v>
      </c>
      <c r="G4254" s="5">
        <v>8</v>
      </c>
      <c r="H4254" t="s">
        <v>17</v>
      </c>
      <c r="I4254" t="s">
        <v>46</v>
      </c>
      <c r="J4254" s="6">
        <v>17.989999999999998</v>
      </c>
      <c r="K4254">
        <v>0</v>
      </c>
      <c r="L4254" t="s">
        <v>29</v>
      </c>
      <c r="M4254" s="5">
        <v>5</v>
      </c>
      <c r="N4254" s="4">
        <v>0.65</v>
      </c>
      <c r="O4254" t="s">
        <v>34</v>
      </c>
    </row>
    <row r="4255" spans="1:15" x14ac:dyDescent="0.3">
      <c r="A4255" t="s">
        <v>2595</v>
      </c>
      <c r="B4255" s="5">
        <v>56</v>
      </c>
      <c r="C4255" s="5" t="str" cm="1">
        <f t="array" ref="C4255">_xlfn.IFS(worksheet[[#This Row],[age]]&lt;25,"1. Young Adulthood (18-24)",worksheet[[#This Row],[age]]&lt; 35,"2. Early Adulthood (25-34)",worksheet[[#This Row],[age]]&lt; 45,"3. Mid Adulthood (35-44)",worksheet[[#This Row],[age]]&lt; 55,"4. Mature Adulthood (45-54)",TRUE,"5. Late Adulthood/Senior (55+)")</f>
        <v>5. Late Adulthood/Senior (55+)</v>
      </c>
      <c r="D4255" t="s">
        <v>15</v>
      </c>
      <c r="E4255" t="s">
        <v>32</v>
      </c>
      <c r="F4255" s="4">
        <v>1.54</v>
      </c>
      <c r="G4255" s="5">
        <v>10</v>
      </c>
      <c r="H4255" t="s">
        <v>17</v>
      </c>
      <c r="I4255" t="s">
        <v>57</v>
      </c>
      <c r="J4255" s="6">
        <v>17.989999999999998</v>
      </c>
      <c r="K4255">
        <v>1</v>
      </c>
      <c r="L4255" t="s">
        <v>61</v>
      </c>
      <c r="M4255" s="5">
        <v>3</v>
      </c>
      <c r="N4255" s="4">
        <v>0.14000000000000001</v>
      </c>
      <c r="O4255" t="s">
        <v>39</v>
      </c>
    </row>
    <row r="4256" spans="1:15" x14ac:dyDescent="0.3">
      <c r="A4256" t="s">
        <v>2599</v>
      </c>
      <c r="B4256" s="5">
        <v>64</v>
      </c>
      <c r="C4256" s="5" t="str" cm="1">
        <f t="array" ref="C4256">_xlfn.IFS(worksheet[[#This Row],[age]]&lt;25,"1. Young Adulthood (18-24)",worksheet[[#This Row],[age]]&lt; 35,"2. Early Adulthood (25-34)",worksheet[[#This Row],[age]]&lt; 45,"3. Mid Adulthood (35-44)",worksheet[[#This Row],[age]]&lt; 55,"4. Mature Adulthood (45-54)",TRUE,"5. Late Adulthood/Senior (55+)")</f>
        <v>5. Late Adulthood/Senior (55+)</v>
      </c>
      <c r="D4256" t="s">
        <v>27</v>
      </c>
      <c r="E4256" t="s">
        <v>16</v>
      </c>
      <c r="F4256" s="4">
        <v>0.65</v>
      </c>
      <c r="G4256" s="5">
        <v>43</v>
      </c>
      <c r="H4256" t="s">
        <v>28</v>
      </c>
      <c r="I4256" t="s">
        <v>46</v>
      </c>
      <c r="J4256" s="6">
        <v>8.99</v>
      </c>
      <c r="K4256">
        <v>1</v>
      </c>
      <c r="L4256" t="s">
        <v>43</v>
      </c>
      <c r="M4256" s="5">
        <v>3</v>
      </c>
      <c r="N4256" s="4">
        <v>0.01</v>
      </c>
      <c r="O4256" t="s">
        <v>30</v>
      </c>
    </row>
    <row r="4257" spans="1:15" x14ac:dyDescent="0.3">
      <c r="A4257" t="s">
        <v>2607</v>
      </c>
      <c r="B4257" s="5">
        <v>58</v>
      </c>
      <c r="C4257" s="5" t="str" cm="1">
        <f t="array" ref="C4257">_xlfn.IFS(worksheet[[#This Row],[age]]&lt;25,"1. Young Adulthood (18-24)",worksheet[[#This Row],[age]]&lt; 35,"2. Early Adulthood (25-34)",worksheet[[#This Row],[age]]&lt; 45,"3. Mid Adulthood (35-44)",worksheet[[#This Row],[age]]&lt; 55,"4. Mature Adulthood (45-54)",TRUE,"5. Late Adulthood/Senior (55+)")</f>
        <v>5. Late Adulthood/Senior (55+)</v>
      </c>
      <c r="D4257" t="s">
        <v>27</v>
      </c>
      <c r="E4257" t="s">
        <v>16</v>
      </c>
      <c r="F4257" s="4">
        <v>34.53</v>
      </c>
      <c r="G4257" s="5">
        <v>0</v>
      </c>
      <c r="H4257" t="s">
        <v>28</v>
      </c>
      <c r="I4257" t="s">
        <v>18</v>
      </c>
      <c r="J4257" s="6">
        <v>8.99</v>
      </c>
      <c r="K4257">
        <v>0</v>
      </c>
      <c r="L4257" t="s">
        <v>19</v>
      </c>
      <c r="M4257" s="5">
        <v>4</v>
      </c>
      <c r="N4257" s="4">
        <v>34.53</v>
      </c>
      <c r="O4257" t="s">
        <v>39</v>
      </c>
    </row>
    <row r="4258" spans="1:15" x14ac:dyDescent="0.3">
      <c r="A4258" t="s">
        <v>2608</v>
      </c>
      <c r="B4258" s="5">
        <v>68</v>
      </c>
      <c r="C4258" s="5" t="str" cm="1">
        <f t="array" ref="C4258">_xlfn.IFS(worksheet[[#This Row],[age]]&lt;25,"1. Young Adulthood (18-24)",worksheet[[#This Row],[age]]&lt; 35,"2. Early Adulthood (25-34)",worksheet[[#This Row],[age]]&lt; 45,"3. Mid Adulthood (35-44)",worksheet[[#This Row],[age]]&lt; 55,"4. Mature Adulthood (45-54)",TRUE,"5. Late Adulthood/Senior (55+)")</f>
        <v>5. Late Adulthood/Senior (55+)</v>
      </c>
      <c r="D4258" t="s">
        <v>15</v>
      </c>
      <c r="E4258" t="s">
        <v>16</v>
      </c>
      <c r="F4258" s="4">
        <v>2.2799999999999998</v>
      </c>
      <c r="G4258" s="5">
        <v>6</v>
      </c>
      <c r="H4258" t="s">
        <v>28</v>
      </c>
      <c r="I4258" t="s">
        <v>55</v>
      </c>
      <c r="J4258" s="6">
        <v>8.99</v>
      </c>
      <c r="K4258">
        <v>1</v>
      </c>
      <c r="L4258" t="s">
        <v>61</v>
      </c>
      <c r="M4258" s="5">
        <v>3</v>
      </c>
      <c r="N4258" s="4">
        <v>0.33</v>
      </c>
      <c r="O4258" t="s">
        <v>39</v>
      </c>
    </row>
    <row r="4259" spans="1:15" x14ac:dyDescent="0.3">
      <c r="A4259" t="s">
        <v>2610</v>
      </c>
      <c r="B4259" s="5">
        <v>57</v>
      </c>
      <c r="C4259" s="5" t="str" cm="1">
        <f t="array" ref="C4259">_xlfn.IFS(worksheet[[#This Row],[age]]&lt;25,"1. Young Adulthood (18-24)",worksheet[[#This Row],[age]]&lt; 35,"2. Early Adulthood (25-34)",worksheet[[#This Row],[age]]&lt; 45,"3. Mid Adulthood (35-44)",worksheet[[#This Row],[age]]&lt; 55,"4. Mature Adulthood (45-54)",TRUE,"5. Late Adulthood/Senior (55+)")</f>
        <v>5. Late Adulthood/Senior (55+)</v>
      </c>
      <c r="D4259" t="s">
        <v>41</v>
      </c>
      <c r="E4259" t="s">
        <v>22</v>
      </c>
      <c r="F4259" s="4">
        <v>14.87</v>
      </c>
      <c r="G4259" s="5">
        <v>46</v>
      </c>
      <c r="H4259" t="s">
        <v>70</v>
      </c>
      <c r="I4259" t="s">
        <v>57</v>
      </c>
      <c r="J4259" s="6">
        <v>13.99</v>
      </c>
      <c r="K4259">
        <v>0</v>
      </c>
      <c r="L4259" t="s">
        <v>37</v>
      </c>
      <c r="M4259" s="5">
        <v>4</v>
      </c>
      <c r="N4259" s="4">
        <v>0.32</v>
      </c>
      <c r="O4259" t="s">
        <v>39</v>
      </c>
    </row>
    <row r="4260" spans="1:15" x14ac:dyDescent="0.3">
      <c r="A4260" t="s">
        <v>2612</v>
      </c>
      <c r="B4260" s="5">
        <v>70</v>
      </c>
      <c r="C4260" s="5" t="str" cm="1">
        <f t="array" ref="C4260">_xlfn.IFS(worksheet[[#This Row],[age]]&lt;25,"1. Young Adulthood (18-24)",worksheet[[#This Row],[age]]&lt; 35,"2. Early Adulthood (25-34)",worksheet[[#This Row],[age]]&lt; 45,"3. Mid Adulthood (35-44)",worksheet[[#This Row],[age]]&lt; 55,"4. Mature Adulthood (45-54)",TRUE,"5. Late Adulthood/Senior (55+)")</f>
        <v>5. Late Adulthood/Senior (55+)</v>
      </c>
      <c r="D4260" t="s">
        <v>27</v>
      </c>
      <c r="E4260" t="s">
        <v>32</v>
      </c>
      <c r="F4260" s="4">
        <v>10.54</v>
      </c>
      <c r="G4260" s="5">
        <v>0</v>
      </c>
      <c r="H4260" t="s">
        <v>23</v>
      </c>
      <c r="I4260" t="s">
        <v>55</v>
      </c>
      <c r="J4260" s="6">
        <v>17.989999999999998</v>
      </c>
      <c r="K4260">
        <v>0</v>
      </c>
      <c r="L4260" t="s">
        <v>29</v>
      </c>
      <c r="M4260" s="5">
        <v>4</v>
      </c>
      <c r="N4260" s="4">
        <v>10.54</v>
      </c>
      <c r="O4260" t="s">
        <v>52</v>
      </c>
    </row>
    <row r="4261" spans="1:15" x14ac:dyDescent="0.3">
      <c r="A4261" t="s">
        <v>2613</v>
      </c>
      <c r="B4261" s="5">
        <v>68</v>
      </c>
      <c r="C4261" s="5" t="str" cm="1">
        <f t="array" ref="C4261">_xlfn.IFS(worksheet[[#This Row],[age]]&lt;25,"1. Young Adulthood (18-24)",worksheet[[#This Row],[age]]&lt; 35,"2. Early Adulthood (25-34)",worksheet[[#This Row],[age]]&lt; 45,"3. Mid Adulthood (35-44)",worksheet[[#This Row],[age]]&lt; 55,"4. Mature Adulthood (45-54)",TRUE,"5. Late Adulthood/Senior (55+)")</f>
        <v>5. Late Adulthood/Senior (55+)</v>
      </c>
      <c r="D4261" t="s">
        <v>27</v>
      </c>
      <c r="E4261" t="s">
        <v>22</v>
      </c>
      <c r="F4261" s="4">
        <v>56.43</v>
      </c>
      <c r="G4261" s="5">
        <v>18</v>
      </c>
      <c r="H4261" t="s">
        <v>28</v>
      </c>
      <c r="I4261" t="s">
        <v>57</v>
      </c>
      <c r="J4261" s="6">
        <v>13.99</v>
      </c>
      <c r="K4261">
        <v>0</v>
      </c>
      <c r="L4261" t="s">
        <v>43</v>
      </c>
      <c r="M4261" s="5">
        <v>2</v>
      </c>
      <c r="N4261" s="4">
        <v>2.97</v>
      </c>
      <c r="O4261" t="s">
        <v>39</v>
      </c>
    </row>
    <row r="4262" spans="1:15" x14ac:dyDescent="0.3">
      <c r="A4262" t="s">
        <v>2616</v>
      </c>
      <c r="B4262" s="5">
        <v>68</v>
      </c>
      <c r="C4262" s="5" t="str" cm="1">
        <f t="array" ref="C4262">_xlfn.IFS(worksheet[[#This Row],[age]]&lt;25,"1. Young Adulthood (18-24)",worksheet[[#This Row],[age]]&lt; 35,"2. Early Adulthood (25-34)",worksheet[[#This Row],[age]]&lt; 45,"3. Mid Adulthood (35-44)",worksheet[[#This Row],[age]]&lt; 55,"4. Mature Adulthood (45-54)",TRUE,"5. Late Adulthood/Senior (55+)")</f>
        <v>5. Late Adulthood/Senior (55+)</v>
      </c>
      <c r="D4262" t="s">
        <v>27</v>
      </c>
      <c r="E4262" t="s">
        <v>22</v>
      </c>
      <c r="F4262" s="4">
        <v>0.22</v>
      </c>
      <c r="G4262" s="5">
        <v>51</v>
      </c>
      <c r="H4262" t="s">
        <v>28</v>
      </c>
      <c r="I4262" t="s">
        <v>55</v>
      </c>
      <c r="J4262" s="6">
        <v>13.99</v>
      </c>
      <c r="K4262">
        <v>1</v>
      </c>
      <c r="L4262" t="s">
        <v>61</v>
      </c>
      <c r="M4262" s="5">
        <v>1</v>
      </c>
      <c r="N4262" s="4">
        <v>0</v>
      </c>
      <c r="O4262" t="s">
        <v>25</v>
      </c>
    </row>
    <row r="4263" spans="1:15" x14ac:dyDescent="0.3">
      <c r="A4263" t="s">
        <v>2617</v>
      </c>
      <c r="B4263" s="5">
        <v>64</v>
      </c>
      <c r="C4263" s="5" t="str" cm="1">
        <f t="array" ref="C4263">_xlfn.IFS(worksheet[[#This Row],[age]]&lt;25,"1. Young Adulthood (18-24)",worksheet[[#This Row],[age]]&lt; 35,"2. Early Adulthood (25-34)",worksheet[[#This Row],[age]]&lt; 45,"3. Mid Adulthood (35-44)",worksheet[[#This Row],[age]]&lt; 55,"4. Mature Adulthood (45-54)",TRUE,"5. Late Adulthood/Senior (55+)")</f>
        <v>5. Late Adulthood/Senior (55+)</v>
      </c>
      <c r="D4263" t="s">
        <v>27</v>
      </c>
      <c r="E4263" t="s">
        <v>22</v>
      </c>
      <c r="F4263" s="4">
        <v>3.92</v>
      </c>
      <c r="G4263" s="5">
        <v>17</v>
      </c>
      <c r="H4263" t="s">
        <v>33</v>
      </c>
      <c r="I4263" t="s">
        <v>55</v>
      </c>
      <c r="J4263" s="6">
        <v>13.99</v>
      </c>
      <c r="K4263">
        <v>0</v>
      </c>
      <c r="L4263" t="s">
        <v>61</v>
      </c>
      <c r="M4263" s="5">
        <v>5</v>
      </c>
      <c r="N4263" s="4">
        <v>0.22</v>
      </c>
      <c r="O4263" t="s">
        <v>34</v>
      </c>
    </row>
    <row r="4264" spans="1:15" x14ac:dyDescent="0.3">
      <c r="A4264" t="s">
        <v>2618</v>
      </c>
      <c r="B4264" s="5">
        <v>65</v>
      </c>
      <c r="C4264" s="5" t="str" cm="1">
        <f t="array" ref="C4264">_xlfn.IFS(worksheet[[#This Row],[age]]&lt;25,"1. Young Adulthood (18-24)",worksheet[[#This Row],[age]]&lt; 35,"2. Early Adulthood (25-34)",worksheet[[#This Row],[age]]&lt; 45,"3. Mid Adulthood (35-44)",worksheet[[#This Row],[age]]&lt; 55,"4. Mature Adulthood (45-54)",TRUE,"5. Late Adulthood/Senior (55+)")</f>
        <v>5. Late Adulthood/Senior (55+)</v>
      </c>
      <c r="D4264" t="s">
        <v>27</v>
      </c>
      <c r="E4264" t="s">
        <v>22</v>
      </c>
      <c r="F4264" s="4">
        <v>2.2599999999999998</v>
      </c>
      <c r="G4264" s="5">
        <v>60</v>
      </c>
      <c r="H4264" t="s">
        <v>49</v>
      </c>
      <c r="I4264" t="s">
        <v>24</v>
      </c>
      <c r="J4264" s="6">
        <v>13.99</v>
      </c>
      <c r="K4264">
        <v>1</v>
      </c>
      <c r="L4264" t="s">
        <v>61</v>
      </c>
      <c r="M4264" s="5">
        <v>2</v>
      </c>
      <c r="N4264" s="4">
        <v>0.04</v>
      </c>
      <c r="O4264" t="s">
        <v>34</v>
      </c>
    </row>
    <row r="4265" spans="1:15" x14ac:dyDescent="0.3">
      <c r="A4265" t="s">
        <v>2621</v>
      </c>
      <c r="B4265" s="5">
        <v>59</v>
      </c>
      <c r="C4265" s="5" t="str" cm="1">
        <f t="array" ref="C4265">_xlfn.IFS(worksheet[[#This Row],[age]]&lt;25,"1. Young Adulthood (18-24)",worksheet[[#This Row],[age]]&lt; 35,"2. Early Adulthood (25-34)",worksheet[[#This Row],[age]]&lt; 45,"3. Mid Adulthood (35-44)",worksheet[[#This Row],[age]]&lt; 55,"4. Mature Adulthood (45-54)",TRUE,"5. Late Adulthood/Senior (55+)")</f>
        <v>5. Late Adulthood/Senior (55+)</v>
      </c>
      <c r="D4265" t="s">
        <v>27</v>
      </c>
      <c r="E4265" t="s">
        <v>22</v>
      </c>
      <c r="F4265" s="4">
        <v>23.59</v>
      </c>
      <c r="G4265" s="5">
        <v>43</v>
      </c>
      <c r="H4265" t="s">
        <v>70</v>
      </c>
      <c r="I4265" t="s">
        <v>55</v>
      </c>
      <c r="J4265" s="6">
        <v>13.99</v>
      </c>
      <c r="K4265">
        <v>0</v>
      </c>
      <c r="L4265" t="s">
        <v>37</v>
      </c>
      <c r="M4265" s="5">
        <v>1</v>
      </c>
      <c r="N4265" s="4">
        <v>0.54</v>
      </c>
      <c r="O4265" t="s">
        <v>39</v>
      </c>
    </row>
    <row r="4266" spans="1:15" x14ac:dyDescent="0.3">
      <c r="A4266" t="s">
        <v>2634</v>
      </c>
      <c r="B4266" s="5">
        <v>55</v>
      </c>
      <c r="C4266" s="5" t="str" cm="1">
        <f t="array" ref="C4266">_xlfn.IFS(worksheet[[#This Row],[age]]&lt;25,"1. Young Adulthood (18-24)",worksheet[[#This Row],[age]]&lt; 35,"2. Early Adulthood (25-34)",worksheet[[#This Row],[age]]&lt; 45,"3. Mid Adulthood (35-44)",worksheet[[#This Row],[age]]&lt; 55,"4. Mature Adulthood (45-54)",TRUE,"5. Late Adulthood/Senior (55+)")</f>
        <v>5. Late Adulthood/Senior (55+)</v>
      </c>
      <c r="D4266" t="s">
        <v>41</v>
      </c>
      <c r="E4266" t="s">
        <v>22</v>
      </c>
      <c r="F4266" s="4">
        <v>10.1</v>
      </c>
      <c r="G4266" s="5">
        <v>4</v>
      </c>
      <c r="H4266" t="s">
        <v>28</v>
      </c>
      <c r="I4266" t="s">
        <v>55</v>
      </c>
      <c r="J4266" s="6">
        <v>13.99</v>
      </c>
      <c r="K4266">
        <v>0</v>
      </c>
      <c r="L4266" t="s">
        <v>37</v>
      </c>
      <c r="M4266" s="5">
        <v>4</v>
      </c>
      <c r="N4266" s="4">
        <v>2.02</v>
      </c>
      <c r="O4266" t="s">
        <v>25</v>
      </c>
    </row>
    <row r="4267" spans="1:15" x14ac:dyDescent="0.3">
      <c r="A4267" t="s">
        <v>2640</v>
      </c>
      <c r="B4267" s="5">
        <v>70</v>
      </c>
      <c r="C4267" s="5" t="str" cm="1">
        <f t="array" ref="C4267">_xlfn.IFS(worksheet[[#This Row],[age]]&lt;25,"1. Young Adulthood (18-24)",worksheet[[#This Row],[age]]&lt; 35,"2. Early Adulthood (25-34)",worksheet[[#This Row],[age]]&lt; 45,"3. Mid Adulthood (35-44)",worksheet[[#This Row],[age]]&lt; 55,"4. Mature Adulthood (45-54)",TRUE,"5. Late Adulthood/Senior (55+)")</f>
        <v>5. Late Adulthood/Senior (55+)</v>
      </c>
      <c r="D4267" t="s">
        <v>27</v>
      </c>
      <c r="E4267" t="s">
        <v>22</v>
      </c>
      <c r="F4267" s="4">
        <v>8.27</v>
      </c>
      <c r="G4267" s="5">
        <v>60</v>
      </c>
      <c r="H4267" t="s">
        <v>23</v>
      </c>
      <c r="I4267" t="s">
        <v>57</v>
      </c>
      <c r="J4267" s="6">
        <v>13.99</v>
      </c>
      <c r="K4267">
        <v>1</v>
      </c>
      <c r="L4267" t="s">
        <v>19</v>
      </c>
      <c r="M4267" s="5">
        <v>3</v>
      </c>
      <c r="N4267" s="4">
        <v>0.14000000000000001</v>
      </c>
      <c r="O4267" t="s">
        <v>47</v>
      </c>
    </row>
    <row r="4268" spans="1:15" x14ac:dyDescent="0.3">
      <c r="A4268" t="s">
        <v>2643</v>
      </c>
      <c r="B4268" s="5">
        <v>63</v>
      </c>
      <c r="C4268" s="5" t="str" cm="1">
        <f t="array" ref="C4268">_xlfn.IFS(worksheet[[#This Row],[age]]&lt;25,"1. Young Adulthood (18-24)",worksheet[[#This Row],[age]]&lt; 35,"2. Early Adulthood (25-34)",worksheet[[#This Row],[age]]&lt; 45,"3. Mid Adulthood (35-44)",worksheet[[#This Row],[age]]&lt; 55,"4. Mature Adulthood (45-54)",TRUE,"5. Late Adulthood/Senior (55+)")</f>
        <v>5. Late Adulthood/Senior (55+)</v>
      </c>
      <c r="D4268" t="s">
        <v>27</v>
      </c>
      <c r="E4268" t="s">
        <v>16</v>
      </c>
      <c r="F4268" s="4">
        <v>0.52</v>
      </c>
      <c r="G4268" s="5">
        <v>1</v>
      </c>
      <c r="H4268" t="s">
        <v>17</v>
      </c>
      <c r="I4268" t="s">
        <v>57</v>
      </c>
      <c r="J4268" s="6">
        <v>8.99</v>
      </c>
      <c r="K4268">
        <v>1</v>
      </c>
      <c r="L4268" t="s">
        <v>43</v>
      </c>
      <c r="M4268" s="5">
        <v>4</v>
      </c>
      <c r="N4268" s="4">
        <v>0.26</v>
      </c>
      <c r="O4268" t="s">
        <v>47</v>
      </c>
    </row>
    <row r="4269" spans="1:15" x14ac:dyDescent="0.3">
      <c r="A4269" t="s">
        <v>2644</v>
      </c>
      <c r="B4269" s="5">
        <v>66</v>
      </c>
      <c r="C4269" s="5" t="str" cm="1">
        <f t="array" ref="C4269">_xlfn.IFS(worksheet[[#This Row],[age]]&lt;25,"1. Young Adulthood (18-24)",worksheet[[#This Row],[age]]&lt; 35,"2. Early Adulthood (25-34)",worksheet[[#This Row],[age]]&lt; 45,"3. Mid Adulthood (35-44)",worksheet[[#This Row],[age]]&lt; 55,"4. Mature Adulthood (45-54)",TRUE,"5. Late Adulthood/Senior (55+)")</f>
        <v>5. Late Adulthood/Senior (55+)</v>
      </c>
      <c r="D4269" t="s">
        <v>41</v>
      </c>
      <c r="E4269" t="s">
        <v>16</v>
      </c>
      <c r="F4269" s="4">
        <v>2.1800000000000002</v>
      </c>
      <c r="G4269" s="5">
        <v>15</v>
      </c>
      <c r="H4269" t="s">
        <v>49</v>
      </c>
      <c r="I4269" t="s">
        <v>46</v>
      </c>
      <c r="J4269" s="6">
        <v>8.99</v>
      </c>
      <c r="K4269">
        <v>1</v>
      </c>
      <c r="L4269" t="s">
        <v>37</v>
      </c>
      <c r="M4269" s="5">
        <v>5</v>
      </c>
      <c r="N4269" s="4">
        <v>0.14000000000000001</v>
      </c>
      <c r="O4269" t="s">
        <v>34</v>
      </c>
    </row>
    <row r="4270" spans="1:15" x14ac:dyDescent="0.3">
      <c r="A4270" t="s">
        <v>2645</v>
      </c>
      <c r="B4270" s="5">
        <v>57</v>
      </c>
      <c r="C4270" s="5" t="str" cm="1">
        <f t="array" ref="C4270">_xlfn.IFS(worksheet[[#This Row],[age]]&lt;25,"1. Young Adulthood (18-24)",worksheet[[#This Row],[age]]&lt; 35,"2. Early Adulthood (25-34)",worksheet[[#This Row],[age]]&lt; 45,"3. Mid Adulthood (35-44)",worksheet[[#This Row],[age]]&lt; 55,"4. Mature Adulthood (45-54)",TRUE,"5. Late Adulthood/Senior (55+)")</f>
        <v>5. Late Adulthood/Senior (55+)</v>
      </c>
      <c r="D4270" t="s">
        <v>15</v>
      </c>
      <c r="E4270" t="s">
        <v>32</v>
      </c>
      <c r="F4270" s="4">
        <v>29.23</v>
      </c>
      <c r="G4270" s="5">
        <v>3</v>
      </c>
      <c r="H4270" t="s">
        <v>49</v>
      </c>
      <c r="I4270" t="s">
        <v>46</v>
      </c>
      <c r="J4270" s="6">
        <v>17.989999999999998</v>
      </c>
      <c r="K4270">
        <v>0</v>
      </c>
      <c r="L4270" t="s">
        <v>61</v>
      </c>
      <c r="M4270" s="5">
        <v>1</v>
      </c>
      <c r="N4270" s="4">
        <v>7.31</v>
      </c>
      <c r="O4270" t="s">
        <v>39</v>
      </c>
    </row>
    <row r="4271" spans="1:15" x14ac:dyDescent="0.3">
      <c r="A4271" t="s">
        <v>2650</v>
      </c>
      <c r="B4271" s="5">
        <v>67</v>
      </c>
      <c r="C4271" s="5" t="str" cm="1">
        <f t="array" ref="C4271">_xlfn.IFS(worksheet[[#This Row],[age]]&lt;25,"1. Young Adulthood (18-24)",worksheet[[#This Row],[age]]&lt; 35,"2. Early Adulthood (25-34)",worksheet[[#This Row],[age]]&lt; 45,"3. Mid Adulthood (35-44)",worksheet[[#This Row],[age]]&lt; 55,"4. Mature Adulthood (45-54)",TRUE,"5. Late Adulthood/Senior (55+)")</f>
        <v>5. Late Adulthood/Senior (55+)</v>
      </c>
      <c r="D4271" t="s">
        <v>27</v>
      </c>
      <c r="E4271" t="s">
        <v>22</v>
      </c>
      <c r="F4271" s="4">
        <v>43.24</v>
      </c>
      <c r="G4271" s="5">
        <v>34</v>
      </c>
      <c r="H4271" t="s">
        <v>17</v>
      </c>
      <c r="I4271" t="s">
        <v>57</v>
      </c>
      <c r="J4271" s="6">
        <v>13.99</v>
      </c>
      <c r="K4271">
        <v>0</v>
      </c>
      <c r="L4271" t="s">
        <v>61</v>
      </c>
      <c r="M4271" s="5">
        <v>3</v>
      </c>
      <c r="N4271" s="4">
        <v>1.24</v>
      </c>
      <c r="O4271" t="s">
        <v>25</v>
      </c>
    </row>
    <row r="4272" spans="1:15" x14ac:dyDescent="0.3">
      <c r="A4272" t="s">
        <v>2656</v>
      </c>
      <c r="B4272" s="5">
        <v>70</v>
      </c>
      <c r="C4272" s="5" t="str" cm="1">
        <f t="array" ref="C4272">_xlfn.IFS(worksheet[[#This Row],[age]]&lt;25,"1. Young Adulthood (18-24)",worksheet[[#This Row],[age]]&lt; 35,"2. Early Adulthood (25-34)",worksheet[[#This Row],[age]]&lt; 45,"3. Mid Adulthood (35-44)",worksheet[[#This Row],[age]]&lt; 55,"4. Mature Adulthood (45-54)",TRUE,"5. Late Adulthood/Senior (55+)")</f>
        <v>5. Late Adulthood/Senior (55+)</v>
      </c>
      <c r="D4272" t="s">
        <v>27</v>
      </c>
      <c r="E4272" t="s">
        <v>16</v>
      </c>
      <c r="F4272" s="4">
        <v>7.47</v>
      </c>
      <c r="G4272" s="5">
        <v>58</v>
      </c>
      <c r="H4272" t="s">
        <v>70</v>
      </c>
      <c r="I4272" t="s">
        <v>55</v>
      </c>
      <c r="J4272" s="6">
        <v>8.99</v>
      </c>
      <c r="K4272">
        <v>1</v>
      </c>
      <c r="L4272" t="s">
        <v>19</v>
      </c>
      <c r="M4272" s="5">
        <v>2</v>
      </c>
      <c r="N4272" s="4">
        <v>0.13</v>
      </c>
      <c r="O4272" t="s">
        <v>39</v>
      </c>
    </row>
    <row r="4273" spans="1:15" x14ac:dyDescent="0.3">
      <c r="A4273" t="s">
        <v>2664</v>
      </c>
      <c r="B4273" s="5">
        <v>57</v>
      </c>
      <c r="C4273" s="5" t="str" cm="1">
        <f t="array" ref="C4273">_xlfn.IFS(worksheet[[#This Row],[age]]&lt;25,"1. Young Adulthood (18-24)",worksheet[[#This Row],[age]]&lt; 35,"2. Early Adulthood (25-34)",worksheet[[#This Row],[age]]&lt; 45,"3. Mid Adulthood (35-44)",worksheet[[#This Row],[age]]&lt; 55,"4. Mature Adulthood (45-54)",TRUE,"5. Late Adulthood/Senior (55+)")</f>
        <v>5. Late Adulthood/Senior (55+)</v>
      </c>
      <c r="D4273" t="s">
        <v>41</v>
      </c>
      <c r="E4273" t="s">
        <v>22</v>
      </c>
      <c r="F4273" s="4">
        <v>12.67</v>
      </c>
      <c r="G4273" s="5">
        <v>50</v>
      </c>
      <c r="H4273" t="s">
        <v>70</v>
      </c>
      <c r="I4273" t="s">
        <v>18</v>
      </c>
      <c r="J4273" s="6">
        <v>13.99</v>
      </c>
      <c r="K4273">
        <v>1</v>
      </c>
      <c r="L4273" t="s">
        <v>29</v>
      </c>
      <c r="M4273" s="5">
        <v>2</v>
      </c>
      <c r="N4273" s="4">
        <v>0.25</v>
      </c>
      <c r="O4273" t="s">
        <v>52</v>
      </c>
    </row>
    <row r="4274" spans="1:15" x14ac:dyDescent="0.3">
      <c r="A4274" t="s">
        <v>2666</v>
      </c>
      <c r="B4274" s="5">
        <v>67</v>
      </c>
      <c r="C4274" s="5" t="str" cm="1">
        <f t="array" ref="C4274">_xlfn.IFS(worksheet[[#This Row],[age]]&lt;25,"1. Young Adulthood (18-24)",worksheet[[#This Row],[age]]&lt; 35,"2. Early Adulthood (25-34)",worksheet[[#This Row],[age]]&lt; 45,"3. Mid Adulthood (35-44)",worksheet[[#This Row],[age]]&lt; 55,"4. Mature Adulthood (45-54)",TRUE,"5. Late Adulthood/Senior (55+)")</f>
        <v>5. Late Adulthood/Senior (55+)</v>
      </c>
      <c r="D4274" t="s">
        <v>15</v>
      </c>
      <c r="E4274" t="s">
        <v>32</v>
      </c>
      <c r="F4274" s="4">
        <v>53.67</v>
      </c>
      <c r="G4274" s="5">
        <v>47</v>
      </c>
      <c r="H4274" t="s">
        <v>17</v>
      </c>
      <c r="I4274" t="s">
        <v>46</v>
      </c>
      <c r="J4274" s="6">
        <v>17.989999999999998</v>
      </c>
      <c r="K4274">
        <v>0</v>
      </c>
      <c r="L4274" t="s">
        <v>43</v>
      </c>
      <c r="M4274" s="5">
        <v>2</v>
      </c>
      <c r="N4274" s="4">
        <v>1.1200000000000001</v>
      </c>
      <c r="O4274" t="s">
        <v>39</v>
      </c>
    </row>
    <row r="4275" spans="1:15" x14ac:dyDescent="0.3">
      <c r="A4275" t="s">
        <v>2667</v>
      </c>
      <c r="B4275" s="5">
        <v>66</v>
      </c>
      <c r="C4275" s="5" t="str" cm="1">
        <f t="array" ref="C4275">_xlfn.IFS(worksheet[[#This Row],[age]]&lt;25,"1. Young Adulthood (18-24)",worksheet[[#This Row],[age]]&lt; 35,"2. Early Adulthood (25-34)",worksheet[[#This Row],[age]]&lt; 45,"3. Mid Adulthood (35-44)",worksheet[[#This Row],[age]]&lt; 55,"4. Mature Adulthood (45-54)",TRUE,"5. Late Adulthood/Senior (55+)")</f>
        <v>5. Late Adulthood/Senior (55+)</v>
      </c>
      <c r="D4275" t="s">
        <v>41</v>
      </c>
      <c r="E4275" t="s">
        <v>32</v>
      </c>
      <c r="F4275" s="4">
        <v>11.94</v>
      </c>
      <c r="G4275" s="5">
        <v>43</v>
      </c>
      <c r="H4275" t="s">
        <v>28</v>
      </c>
      <c r="I4275" t="s">
        <v>57</v>
      </c>
      <c r="J4275" s="6">
        <v>17.989999999999998</v>
      </c>
      <c r="K4275">
        <v>0</v>
      </c>
      <c r="L4275" t="s">
        <v>61</v>
      </c>
      <c r="M4275" s="5">
        <v>4</v>
      </c>
      <c r="N4275" s="4">
        <v>0.27</v>
      </c>
      <c r="O4275" t="s">
        <v>52</v>
      </c>
    </row>
    <row r="4276" spans="1:15" x14ac:dyDescent="0.3">
      <c r="A4276" t="s">
        <v>2670</v>
      </c>
      <c r="B4276" s="5">
        <v>58</v>
      </c>
      <c r="C4276" s="5" t="str" cm="1">
        <f t="array" ref="C4276">_xlfn.IFS(worksheet[[#This Row],[age]]&lt;25,"1. Young Adulthood (18-24)",worksheet[[#This Row],[age]]&lt; 35,"2. Early Adulthood (25-34)",worksheet[[#This Row],[age]]&lt; 45,"3. Mid Adulthood (35-44)",worksheet[[#This Row],[age]]&lt; 55,"4. Mature Adulthood (45-54)",TRUE,"5. Late Adulthood/Senior (55+)")</f>
        <v>5. Late Adulthood/Senior (55+)</v>
      </c>
      <c r="D4276" t="s">
        <v>41</v>
      </c>
      <c r="E4276" t="s">
        <v>22</v>
      </c>
      <c r="F4276" s="4">
        <v>12.42</v>
      </c>
      <c r="G4276" s="5">
        <v>20</v>
      </c>
      <c r="H4276" t="s">
        <v>33</v>
      </c>
      <c r="I4276" t="s">
        <v>57</v>
      </c>
      <c r="J4276" s="6">
        <v>13.99</v>
      </c>
      <c r="K4276">
        <v>0</v>
      </c>
      <c r="L4276" t="s">
        <v>61</v>
      </c>
      <c r="M4276" s="5">
        <v>5</v>
      </c>
      <c r="N4276" s="4">
        <v>0.59</v>
      </c>
      <c r="O4276" t="s">
        <v>39</v>
      </c>
    </row>
    <row r="4277" spans="1:15" x14ac:dyDescent="0.3">
      <c r="A4277" t="s">
        <v>2673</v>
      </c>
      <c r="B4277" s="5">
        <v>57</v>
      </c>
      <c r="C4277" s="5" t="str" cm="1">
        <f t="array" ref="C4277">_xlfn.IFS(worksheet[[#This Row],[age]]&lt;25,"1. Young Adulthood (18-24)",worksheet[[#This Row],[age]]&lt; 35,"2. Early Adulthood (25-34)",worksheet[[#This Row],[age]]&lt; 45,"3. Mid Adulthood (35-44)",worksheet[[#This Row],[age]]&lt; 55,"4. Mature Adulthood (45-54)",TRUE,"5. Late Adulthood/Senior (55+)")</f>
        <v>5. Late Adulthood/Senior (55+)</v>
      </c>
      <c r="D4277" t="s">
        <v>27</v>
      </c>
      <c r="E4277" t="s">
        <v>32</v>
      </c>
      <c r="F4277" s="4">
        <v>23.63</v>
      </c>
      <c r="G4277" s="5">
        <v>34</v>
      </c>
      <c r="H4277" t="s">
        <v>17</v>
      </c>
      <c r="I4277" t="s">
        <v>46</v>
      </c>
      <c r="J4277" s="6">
        <v>17.989999999999998</v>
      </c>
      <c r="K4277">
        <v>0</v>
      </c>
      <c r="L4277" t="s">
        <v>61</v>
      </c>
      <c r="M4277" s="5">
        <v>5</v>
      </c>
      <c r="N4277" s="4">
        <v>0.68</v>
      </c>
      <c r="O4277" t="s">
        <v>30</v>
      </c>
    </row>
    <row r="4278" spans="1:15" x14ac:dyDescent="0.3">
      <c r="A4278" t="s">
        <v>2674</v>
      </c>
      <c r="B4278" s="5">
        <v>61</v>
      </c>
      <c r="C4278" s="5" t="str" cm="1">
        <f t="array" ref="C4278">_xlfn.IFS(worksheet[[#This Row],[age]]&lt;25,"1. Young Adulthood (18-24)",worksheet[[#This Row],[age]]&lt; 35,"2. Early Adulthood (25-34)",worksheet[[#This Row],[age]]&lt; 45,"3. Mid Adulthood (35-44)",worksheet[[#This Row],[age]]&lt; 55,"4. Mature Adulthood (45-54)",TRUE,"5. Late Adulthood/Senior (55+)")</f>
        <v>5. Late Adulthood/Senior (55+)</v>
      </c>
      <c r="D4278" t="s">
        <v>27</v>
      </c>
      <c r="E4278" t="s">
        <v>16</v>
      </c>
      <c r="F4278" s="4">
        <v>4.4800000000000004</v>
      </c>
      <c r="G4278" s="5">
        <v>28</v>
      </c>
      <c r="H4278" t="s">
        <v>70</v>
      </c>
      <c r="I4278" t="s">
        <v>46</v>
      </c>
      <c r="J4278" s="6">
        <v>8.99</v>
      </c>
      <c r="K4278">
        <v>1</v>
      </c>
      <c r="L4278" t="s">
        <v>19</v>
      </c>
      <c r="M4278" s="5">
        <v>5</v>
      </c>
      <c r="N4278" s="4">
        <v>0.15</v>
      </c>
      <c r="O4278" t="s">
        <v>20</v>
      </c>
    </row>
    <row r="4279" spans="1:15" x14ac:dyDescent="0.3">
      <c r="A4279" t="s">
        <v>2676</v>
      </c>
      <c r="B4279" s="5">
        <v>67</v>
      </c>
      <c r="C4279" s="5" t="str" cm="1">
        <f t="array" ref="C4279">_xlfn.IFS(worksheet[[#This Row],[age]]&lt;25,"1. Young Adulthood (18-24)",worksheet[[#This Row],[age]]&lt; 35,"2. Early Adulthood (25-34)",worksheet[[#This Row],[age]]&lt; 45,"3. Mid Adulthood (35-44)",worksheet[[#This Row],[age]]&lt; 55,"4. Mature Adulthood (45-54)",TRUE,"5. Late Adulthood/Senior (55+)")</f>
        <v>5. Late Adulthood/Senior (55+)</v>
      </c>
      <c r="D4279" t="s">
        <v>15</v>
      </c>
      <c r="E4279" t="s">
        <v>16</v>
      </c>
      <c r="F4279" s="4">
        <v>4.3099999999999996</v>
      </c>
      <c r="G4279" s="5">
        <v>37</v>
      </c>
      <c r="H4279" t="s">
        <v>17</v>
      </c>
      <c r="I4279" t="s">
        <v>46</v>
      </c>
      <c r="J4279" s="6">
        <v>8.99</v>
      </c>
      <c r="K4279">
        <v>1</v>
      </c>
      <c r="L4279" t="s">
        <v>37</v>
      </c>
      <c r="M4279" s="5">
        <v>5</v>
      </c>
      <c r="N4279" s="4">
        <v>0.11</v>
      </c>
      <c r="O4279" t="s">
        <v>25</v>
      </c>
    </row>
    <row r="4280" spans="1:15" x14ac:dyDescent="0.3">
      <c r="A4280" t="s">
        <v>2677</v>
      </c>
      <c r="B4280" s="5">
        <v>64</v>
      </c>
      <c r="C4280" s="5" t="str" cm="1">
        <f t="array" ref="C4280">_xlfn.IFS(worksheet[[#This Row],[age]]&lt;25,"1. Young Adulthood (18-24)",worksheet[[#This Row],[age]]&lt; 35,"2. Early Adulthood (25-34)",worksheet[[#This Row],[age]]&lt; 45,"3. Mid Adulthood (35-44)",worksheet[[#This Row],[age]]&lt; 55,"4. Mature Adulthood (45-54)",TRUE,"5. Late Adulthood/Senior (55+)")</f>
        <v>5. Late Adulthood/Senior (55+)</v>
      </c>
      <c r="D4280" t="s">
        <v>27</v>
      </c>
      <c r="E4280" t="s">
        <v>32</v>
      </c>
      <c r="F4280" s="4">
        <v>6.41</v>
      </c>
      <c r="G4280" s="5">
        <v>4</v>
      </c>
      <c r="H4280" t="s">
        <v>70</v>
      </c>
      <c r="I4280" t="s">
        <v>57</v>
      </c>
      <c r="J4280" s="6">
        <v>17.989999999999998</v>
      </c>
      <c r="K4280">
        <v>0</v>
      </c>
      <c r="L4280" t="s">
        <v>61</v>
      </c>
      <c r="M4280" s="5">
        <v>1</v>
      </c>
      <c r="N4280" s="4">
        <v>1.28</v>
      </c>
      <c r="O4280" t="s">
        <v>25</v>
      </c>
    </row>
    <row r="4281" spans="1:15" x14ac:dyDescent="0.3">
      <c r="A4281" t="s">
        <v>2679</v>
      </c>
      <c r="B4281" s="5">
        <v>68</v>
      </c>
      <c r="C4281" s="5" t="str" cm="1">
        <f t="array" ref="C4281">_xlfn.IFS(worksheet[[#This Row],[age]]&lt;25,"1. Young Adulthood (18-24)",worksheet[[#This Row],[age]]&lt; 35,"2. Early Adulthood (25-34)",worksheet[[#This Row],[age]]&lt; 45,"3. Mid Adulthood (35-44)",worksheet[[#This Row],[age]]&lt; 55,"4. Mature Adulthood (45-54)",TRUE,"5. Late Adulthood/Senior (55+)")</f>
        <v>5. Late Adulthood/Senior (55+)</v>
      </c>
      <c r="D4281" t="s">
        <v>27</v>
      </c>
      <c r="E4281" t="s">
        <v>16</v>
      </c>
      <c r="F4281" s="4">
        <v>9.48</v>
      </c>
      <c r="G4281" s="5">
        <v>4</v>
      </c>
      <c r="H4281" t="s">
        <v>33</v>
      </c>
      <c r="I4281" t="s">
        <v>57</v>
      </c>
      <c r="J4281" s="6">
        <v>8.99</v>
      </c>
      <c r="K4281">
        <v>0</v>
      </c>
      <c r="L4281" t="s">
        <v>61</v>
      </c>
      <c r="M4281" s="5">
        <v>2</v>
      </c>
      <c r="N4281" s="4">
        <v>1.9</v>
      </c>
      <c r="O4281" t="s">
        <v>30</v>
      </c>
    </row>
    <row r="4282" spans="1:15" x14ac:dyDescent="0.3">
      <c r="A4282" t="s">
        <v>2686</v>
      </c>
      <c r="B4282" s="5">
        <v>60</v>
      </c>
      <c r="C4282" s="5" t="str" cm="1">
        <f t="array" ref="C4282">_xlfn.IFS(worksheet[[#This Row],[age]]&lt;25,"1. Young Adulthood (18-24)",worksheet[[#This Row],[age]]&lt; 35,"2. Early Adulthood (25-34)",worksheet[[#This Row],[age]]&lt; 45,"3. Mid Adulthood (35-44)",worksheet[[#This Row],[age]]&lt; 55,"4. Mature Adulthood (45-54)",TRUE,"5. Late Adulthood/Senior (55+)")</f>
        <v>5. Late Adulthood/Senior (55+)</v>
      </c>
      <c r="D4282" t="s">
        <v>41</v>
      </c>
      <c r="E4282" t="s">
        <v>22</v>
      </c>
      <c r="F4282" s="4">
        <v>12.22</v>
      </c>
      <c r="G4282" s="5">
        <v>17</v>
      </c>
      <c r="H4282" t="s">
        <v>17</v>
      </c>
      <c r="I4282" t="s">
        <v>18</v>
      </c>
      <c r="J4282" s="6">
        <v>13.99</v>
      </c>
      <c r="K4282">
        <v>0</v>
      </c>
      <c r="L4282" t="s">
        <v>37</v>
      </c>
      <c r="M4282" s="5">
        <v>2</v>
      </c>
      <c r="N4282" s="4">
        <v>0.68</v>
      </c>
      <c r="O4282" t="s">
        <v>30</v>
      </c>
    </row>
    <row r="4283" spans="1:15" x14ac:dyDescent="0.3">
      <c r="A4283" t="s">
        <v>2691</v>
      </c>
      <c r="B4283" s="5">
        <v>69</v>
      </c>
      <c r="C4283" s="5" t="str" cm="1">
        <f t="array" ref="C4283">_xlfn.IFS(worksheet[[#This Row],[age]]&lt;25,"1. Young Adulthood (18-24)",worksheet[[#This Row],[age]]&lt; 35,"2. Early Adulthood (25-34)",worksheet[[#This Row],[age]]&lt; 45,"3. Mid Adulthood (35-44)",worksheet[[#This Row],[age]]&lt; 55,"4. Mature Adulthood (45-54)",TRUE,"5. Late Adulthood/Senior (55+)")</f>
        <v>5. Late Adulthood/Senior (55+)</v>
      </c>
      <c r="D4283" t="s">
        <v>41</v>
      </c>
      <c r="E4283" t="s">
        <v>22</v>
      </c>
      <c r="F4283" s="4">
        <v>32.200000000000003</v>
      </c>
      <c r="G4283" s="5">
        <v>13</v>
      </c>
      <c r="H4283" t="s">
        <v>28</v>
      </c>
      <c r="I4283" t="s">
        <v>24</v>
      </c>
      <c r="J4283" s="6">
        <v>13.99</v>
      </c>
      <c r="K4283">
        <v>0</v>
      </c>
      <c r="L4283" t="s">
        <v>37</v>
      </c>
      <c r="M4283" s="5">
        <v>1</v>
      </c>
      <c r="N4283" s="4">
        <v>2.2999999999999998</v>
      </c>
      <c r="O4283" t="s">
        <v>52</v>
      </c>
    </row>
    <row r="4284" spans="1:15" x14ac:dyDescent="0.3">
      <c r="A4284" t="s">
        <v>2693</v>
      </c>
      <c r="B4284" s="5">
        <v>60</v>
      </c>
      <c r="C4284" s="5" t="str" cm="1">
        <f t="array" ref="C4284">_xlfn.IFS(worksheet[[#This Row],[age]]&lt;25,"1. Young Adulthood (18-24)",worksheet[[#This Row],[age]]&lt; 35,"2. Early Adulthood (25-34)",worksheet[[#This Row],[age]]&lt; 45,"3. Mid Adulthood (35-44)",worksheet[[#This Row],[age]]&lt; 55,"4. Mature Adulthood (45-54)",TRUE,"5. Late Adulthood/Senior (55+)")</f>
        <v>5. Late Adulthood/Senior (55+)</v>
      </c>
      <c r="D4284" t="s">
        <v>27</v>
      </c>
      <c r="E4284" t="s">
        <v>32</v>
      </c>
      <c r="F4284" s="4">
        <v>16.05</v>
      </c>
      <c r="G4284" s="5">
        <v>56</v>
      </c>
      <c r="H4284" t="s">
        <v>70</v>
      </c>
      <c r="I4284" t="s">
        <v>46</v>
      </c>
      <c r="J4284" s="6">
        <v>17.989999999999998</v>
      </c>
      <c r="K4284">
        <v>0</v>
      </c>
      <c r="L4284" t="s">
        <v>43</v>
      </c>
      <c r="M4284" s="5">
        <v>4</v>
      </c>
      <c r="N4284" s="4">
        <v>0.28000000000000003</v>
      </c>
      <c r="O4284" t="s">
        <v>52</v>
      </c>
    </row>
    <row r="4285" spans="1:15" x14ac:dyDescent="0.3">
      <c r="A4285" t="s">
        <v>2695</v>
      </c>
      <c r="B4285" s="5">
        <v>57</v>
      </c>
      <c r="C4285" s="5" t="str" cm="1">
        <f t="array" ref="C4285">_xlfn.IFS(worksheet[[#This Row],[age]]&lt;25,"1. Young Adulthood (18-24)",worksheet[[#This Row],[age]]&lt; 35,"2. Early Adulthood (25-34)",worksheet[[#This Row],[age]]&lt; 45,"3. Mid Adulthood (35-44)",worksheet[[#This Row],[age]]&lt; 55,"4. Mature Adulthood (45-54)",TRUE,"5. Late Adulthood/Senior (55+)")</f>
        <v>5. Late Adulthood/Senior (55+)</v>
      </c>
      <c r="D4285" t="s">
        <v>27</v>
      </c>
      <c r="E4285" t="s">
        <v>16</v>
      </c>
      <c r="F4285" s="4">
        <v>3.81</v>
      </c>
      <c r="G4285" s="5">
        <v>1</v>
      </c>
      <c r="H4285" t="s">
        <v>17</v>
      </c>
      <c r="I4285" t="s">
        <v>55</v>
      </c>
      <c r="J4285" s="6">
        <v>8.99</v>
      </c>
      <c r="K4285">
        <v>1</v>
      </c>
      <c r="L4285" t="s">
        <v>19</v>
      </c>
      <c r="M4285" s="5">
        <v>2</v>
      </c>
      <c r="N4285" s="4">
        <v>1.91</v>
      </c>
      <c r="O4285" t="s">
        <v>30</v>
      </c>
    </row>
    <row r="4286" spans="1:15" x14ac:dyDescent="0.3">
      <c r="A4286" t="s">
        <v>2701</v>
      </c>
      <c r="B4286" s="5">
        <v>59</v>
      </c>
      <c r="C4286" s="5" t="str" cm="1">
        <f t="array" ref="C4286">_xlfn.IFS(worksheet[[#This Row],[age]]&lt;25,"1. Young Adulthood (18-24)",worksheet[[#This Row],[age]]&lt; 35,"2. Early Adulthood (25-34)",worksheet[[#This Row],[age]]&lt; 45,"3. Mid Adulthood (35-44)",worksheet[[#This Row],[age]]&lt; 55,"4. Mature Adulthood (45-54)",TRUE,"5. Late Adulthood/Senior (55+)")</f>
        <v>5. Late Adulthood/Senior (55+)</v>
      </c>
      <c r="D4286" t="s">
        <v>41</v>
      </c>
      <c r="E4286" t="s">
        <v>16</v>
      </c>
      <c r="F4286" s="4">
        <v>14.13</v>
      </c>
      <c r="G4286" s="5">
        <v>4</v>
      </c>
      <c r="H4286" t="s">
        <v>28</v>
      </c>
      <c r="I4286" t="s">
        <v>24</v>
      </c>
      <c r="J4286" s="6">
        <v>8.99</v>
      </c>
      <c r="K4286">
        <v>0</v>
      </c>
      <c r="L4286" t="s">
        <v>43</v>
      </c>
      <c r="M4286" s="5">
        <v>2</v>
      </c>
      <c r="N4286" s="4">
        <v>2.83</v>
      </c>
      <c r="O4286" t="s">
        <v>34</v>
      </c>
    </row>
    <row r="4287" spans="1:15" x14ac:dyDescent="0.3">
      <c r="A4287" t="s">
        <v>2704</v>
      </c>
      <c r="B4287" s="5">
        <v>58</v>
      </c>
      <c r="C4287" s="5" t="str" cm="1">
        <f t="array" ref="C4287">_xlfn.IFS(worksheet[[#This Row],[age]]&lt;25,"1. Young Adulthood (18-24)",worksheet[[#This Row],[age]]&lt; 35,"2. Early Adulthood (25-34)",worksheet[[#This Row],[age]]&lt; 45,"3. Mid Adulthood (35-44)",worksheet[[#This Row],[age]]&lt; 55,"4. Mature Adulthood (45-54)",TRUE,"5. Late Adulthood/Senior (55+)")</f>
        <v>5. Late Adulthood/Senior (55+)</v>
      </c>
      <c r="D4287" t="s">
        <v>41</v>
      </c>
      <c r="E4287" t="s">
        <v>32</v>
      </c>
      <c r="F4287" s="4">
        <v>23.87</v>
      </c>
      <c r="G4287" s="5">
        <v>47</v>
      </c>
      <c r="H4287" t="s">
        <v>33</v>
      </c>
      <c r="I4287" t="s">
        <v>55</v>
      </c>
      <c r="J4287" s="6">
        <v>17.989999999999998</v>
      </c>
      <c r="K4287">
        <v>0</v>
      </c>
      <c r="L4287" t="s">
        <v>29</v>
      </c>
      <c r="M4287" s="5">
        <v>2</v>
      </c>
      <c r="N4287" s="4">
        <v>0.5</v>
      </c>
      <c r="O4287" t="s">
        <v>30</v>
      </c>
    </row>
    <row r="4288" spans="1:15" x14ac:dyDescent="0.3">
      <c r="A4288" t="s">
        <v>2707</v>
      </c>
      <c r="B4288" s="5">
        <v>59</v>
      </c>
      <c r="C4288" s="5" t="str" cm="1">
        <f t="array" ref="C4288">_xlfn.IFS(worksheet[[#This Row],[age]]&lt;25,"1. Young Adulthood (18-24)",worksheet[[#This Row],[age]]&lt; 35,"2. Early Adulthood (25-34)",worksheet[[#This Row],[age]]&lt; 45,"3. Mid Adulthood (35-44)",worksheet[[#This Row],[age]]&lt; 55,"4. Mature Adulthood (45-54)",TRUE,"5. Late Adulthood/Senior (55+)")</f>
        <v>5. Late Adulthood/Senior (55+)</v>
      </c>
      <c r="D4288" t="s">
        <v>41</v>
      </c>
      <c r="E4288" t="s">
        <v>22</v>
      </c>
      <c r="F4288" s="4">
        <v>6.99</v>
      </c>
      <c r="G4288" s="5">
        <v>28</v>
      </c>
      <c r="H4288" t="s">
        <v>28</v>
      </c>
      <c r="I4288" t="s">
        <v>24</v>
      </c>
      <c r="J4288" s="6">
        <v>13.99</v>
      </c>
      <c r="K4288">
        <v>0</v>
      </c>
      <c r="L4288" t="s">
        <v>61</v>
      </c>
      <c r="M4288" s="5">
        <v>3</v>
      </c>
      <c r="N4288" s="4">
        <v>0.24</v>
      </c>
      <c r="O4288" t="s">
        <v>39</v>
      </c>
    </row>
    <row r="4289" spans="1:15" x14ac:dyDescent="0.3">
      <c r="A4289" t="s">
        <v>2709</v>
      </c>
      <c r="B4289" s="5">
        <v>61</v>
      </c>
      <c r="C4289" s="5" t="str" cm="1">
        <f t="array" ref="C4289">_xlfn.IFS(worksheet[[#This Row],[age]]&lt;25,"1. Young Adulthood (18-24)",worksheet[[#This Row],[age]]&lt; 35,"2. Early Adulthood (25-34)",worksheet[[#This Row],[age]]&lt; 45,"3. Mid Adulthood (35-44)",worksheet[[#This Row],[age]]&lt; 55,"4. Mature Adulthood (45-54)",TRUE,"5. Late Adulthood/Senior (55+)")</f>
        <v>5. Late Adulthood/Senior (55+)</v>
      </c>
      <c r="D4289" t="s">
        <v>27</v>
      </c>
      <c r="E4289" t="s">
        <v>22</v>
      </c>
      <c r="F4289" s="4">
        <v>38.549999999999997</v>
      </c>
      <c r="G4289" s="5">
        <v>11</v>
      </c>
      <c r="H4289" t="s">
        <v>23</v>
      </c>
      <c r="I4289" t="s">
        <v>55</v>
      </c>
      <c r="J4289" s="6">
        <v>13.99</v>
      </c>
      <c r="K4289">
        <v>0</v>
      </c>
      <c r="L4289" t="s">
        <v>37</v>
      </c>
      <c r="M4289" s="5">
        <v>4</v>
      </c>
      <c r="N4289" s="4">
        <v>3.21</v>
      </c>
      <c r="O4289" t="s">
        <v>47</v>
      </c>
    </row>
    <row r="4290" spans="1:15" x14ac:dyDescent="0.3">
      <c r="A4290" t="s">
        <v>2718</v>
      </c>
      <c r="B4290" s="5">
        <v>67</v>
      </c>
      <c r="C4290" s="5" t="str" cm="1">
        <f t="array" ref="C4290">_xlfn.IFS(worksheet[[#This Row],[age]]&lt;25,"1. Young Adulthood (18-24)",worksheet[[#This Row],[age]]&lt; 35,"2. Early Adulthood (25-34)",worksheet[[#This Row],[age]]&lt; 45,"3. Mid Adulthood (35-44)",worksheet[[#This Row],[age]]&lt; 55,"4. Mature Adulthood (45-54)",TRUE,"5. Late Adulthood/Senior (55+)")</f>
        <v>5. Late Adulthood/Senior (55+)</v>
      </c>
      <c r="D4290" t="s">
        <v>15</v>
      </c>
      <c r="E4290" t="s">
        <v>32</v>
      </c>
      <c r="F4290" s="4">
        <v>1.54</v>
      </c>
      <c r="G4290" s="5">
        <v>27</v>
      </c>
      <c r="H4290" t="s">
        <v>28</v>
      </c>
      <c r="I4290" t="s">
        <v>55</v>
      </c>
      <c r="J4290" s="6">
        <v>17.989999999999998</v>
      </c>
      <c r="K4290">
        <v>1</v>
      </c>
      <c r="L4290" t="s">
        <v>29</v>
      </c>
      <c r="M4290" s="5">
        <v>2</v>
      </c>
      <c r="N4290" s="4">
        <v>0.06</v>
      </c>
      <c r="O4290" t="s">
        <v>34</v>
      </c>
    </row>
    <row r="4291" spans="1:15" x14ac:dyDescent="0.3">
      <c r="A4291" t="s">
        <v>2725</v>
      </c>
      <c r="B4291" s="5">
        <v>62</v>
      </c>
      <c r="C4291" s="5" t="str" cm="1">
        <f t="array" ref="C4291">_xlfn.IFS(worksheet[[#This Row],[age]]&lt;25,"1. Young Adulthood (18-24)",worksheet[[#This Row],[age]]&lt; 35,"2. Early Adulthood (25-34)",worksheet[[#This Row],[age]]&lt; 45,"3. Mid Adulthood (35-44)",worksheet[[#This Row],[age]]&lt; 55,"4. Mature Adulthood (45-54)",TRUE,"5. Late Adulthood/Senior (55+)")</f>
        <v>5. Late Adulthood/Senior (55+)</v>
      </c>
      <c r="D4291" t="s">
        <v>27</v>
      </c>
      <c r="E4291" t="s">
        <v>16</v>
      </c>
      <c r="F4291" s="4">
        <v>26.62</v>
      </c>
      <c r="G4291" s="5">
        <v>55</v>
      </c>
      <c r="H4291" t="s">
        <v>23</v>
      </c>
      <c r="I4291" t="s">
        <v>18</v>
      </c>
      <c r="J4291" s="6">
        <v>8.99</v>
      </c>
      <c r="K4291">
        <v>0</v>
      </c>
      <c r="L4291" t="s">
        <v>37</v>
      </c>
      <c r="M4291" s="5">
        <v>4</v>
      </c>
      <c r="N4291" s="4">
        <v>0.48</v>
      </c>
      <c r="O4291" t="s">
        <v>20</v>
      </c>
    </row>
    <row r="4292" spans="1:15" x14ac:dyDescent="0.3">
      <c r="A4292" t="s">
        <v>2726</v>
      </c>
      <c r="B4292" s="5">
        <v>62</v>
      </c>
      <c r="C4292" s="5" t="str" cm="1">
        <f t="array" ref="C4292">_xlfn.IFS(worksheet[[#This Row],[age]]&lt;25,"1. Young Adulthood (18-24)",worksheet[[#This Row],[age]]&lt; 35,"2. Early Adulthood (25-34)",worksheet[[#This Row],[age]]&lt; 45,"3. Mid Adulthood (35-44)",worksheet[[#This Row],[age]]&lt; 55,"4. Mature Adulthood (45-54)",TRUE,"5. Late Adulthood/Senior (55+)")</f>
        <v>5. Late Adulthood/Senior (55+)</v>
      </c>
      <c r="D4292" t="s">
        <v>27</v>
      </c>
      <c r="E4292" t="s">
        <v>32</v>
      </c>
      <c r="F4292" s="4">
        <v>1.26</v>
      </c>
      <c r="G4292" s="5">
        <v>34</v>
      </c>
      <c r="H4292" t="s">
        <v>17</v>
      </c>
      <c r="I4292" t="s">
        <v>18</v>
      </c>
      <c r="J4292" s="6">
        <v>17.989999999999998</v>
      </c>
      <c r="K4292">
        <v>1</v>
      </c>
      <c r="L4292" t="s">
        <v>61</v>
      </c>
      <c r="M4292" s="5">
        <v>2</v>
      </c>
      <c r="N4292" s="4">
        <v>0.04</v>
      </c>
      <c r="O4292" t="s">
        <v>52</v>
      </c>
    </row>
    <row r="4293" spans="1:15" x14ac:dyDescent="0.3">
      <c r="A4293" t="s">
        <v>2732</v>
      </c>
      <c r="B4293" s="5">
        <v>68</v>
      </c>
      <c r="C4293" s="5" t="str" cm="1">
        <f t="array" ref="C4293">_xlfn.IFS(worksheet[[#This Row],[age]]&lt;25,"1. Young Adulthood (18-24)",worksheet[[#This Row],[age]]&lt; 35,"2. Early Adulthood (25-34)",worksheet[[#This Row],[age]]&lt; 45,"3. Mid Adulthood (35-44)",worksheet[[#This Row],[age]]&lt; 55,"4. Mature Adulthood (45-54)",TRUE,"5. Late Adulthood/Senior (55+)")</f>
        <v>5. Late Adulthood/Senior (55+)</v>
      </c>
      <c r="D4293" t="s">
        <v>15</v>
      </c>
      <c r="E4293" t="s">
        <v>16</v>
      </c>
      <c r="F4293" s="4">
        <v>0.12</v>
      </c>
      <c r="G4293" s="5">
        <v>26</v>
      </c>
      <c r="H4293" t="s">
        <v>49</v>
      </c>
      <c r="I4293" t="s">
        <v>18</v>
      </c>
      <c r="J4293" s="6">
        <v>8.99</v>
      </c>
      <c r="K4293">
        <v>1</v>
      </c>
      <c r="L4293" t="s">
        <v>29</v>
      </c>
      <c r="M4293" s="5">
        <v>2</v>
      </c>
      <c r="N4293" s="4">
        <v>0</v>
      </c>
      <c r="O4293" t="s">
        <v>52</v>
      </c>
    </row>
    <row r="4294" spans="1:15" x14ac:dyDescent="0.3">
      <c r="A4294" t="s">
        <v>2734</v>
      </c>
      <c r="B4294" s="5">
        <v>61</v>
      </c>
      <c r="C4294" s="5" t="str" cm="1">
        <f t="array" ref="C4294">_xlfn.IFS(worksheet[[#This Row],[age]]&lt;25,"1. Young Adulthood (18-24)",worksheet[[#This Row],[age]]&lt; 35,"2. Early Adulthood (25-34)",worksheet[[#This Row],[age]]&lt; 45,"3. Mid Adulthood (35-44)",worksheet[[#This Row],[age]]&lt; 55,"4. Mature Adulthood (45-54)",TRUE,"5. Late Adulthood/Senior (55+)")</f>
        <v>5. Late Adulthood/Senior (55+)</v>
      </c>
      <c r="D4294" t="s">
        <v>41</v>
      </c>
      <c r="E4294" t="s">
        <v>22</v>
      </c>
      <c r="F4294" s="4">
        <v>27.06</v>
      </c>
      <c r="G4294" s="5">
        <v>32</v>
      </c>
      <c r="H4294" t="s">
        <v>17</v>
      </c>
      <c r="I4294" t="s">
        <v>46</v>
      </c>
      <c r="J4294" s="6">
        <v>13.99</v>
      </c>
      <c r="K4294">
        <v>0</v>
      </c>
      <c r="L4294" t="s">
        <v>37</v>
      </c>
      <c r="M4294" s="5">
        <v>3</v>
      </c>
      <c r="N4294" s="4">
        <v>0.82</v>
      </c>
      <c r="O4294" t="s">
        <v>30</v>
      </c>
    </row>
    <row r="4295" spans="1:15" x14ac:dyDescent="0.3">
      <c r="A4295" t="s">
        <v>2738</v>
      </c>
      <c r="B4295" s="5">
        <v>55</v>
      </c>
      <c r="C4295" s="5" t="str" cm="1">
        <f t="array" ref="C4295">_xlfn.IFS(worksheet[[#This Row],[age]]&lt;25,"1. Young Adulthood (18-24)",worksheet[[#This Row],[age]]&lt; 35,"2. Early Adulthood (25-34)",worksheet[[#This Row],[age]]&lt; 45,"3. Mid Adulthood (35-44)",worksheet[[#This Row],[age]]&lt; 55,"4. Mature Adulthood (45-54)",TRUE,"5. Late Adulthood/Senior (55+)")</f>
        <v>5. Late Adulthood/Senior (55+)</v>
      </c>
      <c r="D4295" t="s">
        <v>41</v>
      </c>
      <c r="E4295" t="s">
        <v>32</v>
      </c>
      <c r="F4295" s="4">
        <v>2.4700000000000002</v>
      </c>
      <c r="G4295" s="5">
        <v>7</v>
      </c>
      <c r="H4295" t="s">
        <v>17</v>
      </c>
      <c r="I4295" t="s">
        <v>55</v>
      </c>
      <c r="J4295" s="6">
        <v>17.989999999999998</v>
      </c>
      <c r="K4295">
        <v>0</v>
      </c>
      <c r="L4295" t="s">
        <v>37</v>
      </c>
      <c r="M4295" s="5">
        <v>4</v>
      </c>
      <c r="N4295" s="4">
        <v>0.31</v>
      </c>
      <c r="O4295" t="s">
        <v>39</v>
      </c>
    </row>
    <row r="4296" spans="1:15" x14ac:dyDescent="0.3">
      <c r="A4296" t="s">
        <v>2740</v>
      </c>
      <c r="B4296" s="5">
        <v>59</v>
      </c>
      <c r="C4296" s="5" t="str" cm="1">
        <f t="array" ref="C4296">_xlfn.IFS(worksheet[[#This Row],[age]]&lt;25,"1. Young Adulthood (18-24)",worksheet[[#This Row],[age]]&lt; 35,"2. Early Adulthood (25-34)",worksheet[[#This Row],[age]]&lt; 45,"3. Mid Adulthood (35-44)",worksheet[[#This Row],[age]]&lt; 55,"4. Mature Adulthood (45-54)",TRUE,"5. Late Adulthood/Senior (55+)")</f>
        <v>5. Late Adulthood/Senior (55+)</v>
      </c>
      <c r="D4296" t="s">
        <v>15</v>
      </c>
      <c r="E4296" t="s">
        <v>16</v>
      </c>
      <c r="F4296" s="4">
        <v>20.49</v>
      </c>
      <c r="G4296" s="5">
        <v>26</v>
      </c>
      <c r="H4296" t="s">
        <v>28</v>
      </c>
      <c r="I4296" t="s">
        <v>57</v>
      </c>
      <c r="J4296" s="6">
        <v>8.99</v>
      </c>
      <c r="K4296">
        <v>0</v>
      </c>
      <c r="L4296" t="s">
        <v>37</v>
      </c>
      <c r="M4296" s="5">
        <v>1</v>
      </c>
      <c r="N4296" s="4">
        <v>0.76</v>
      </c>
      <c r="O4296" t="s">
        <v>34</v>
      </c>
    </row>
    <row r="4297" spans="1:15" x14ac:dyDescent="0.3">
      <c r="A4297" t="s">
        <v>2743</v>
      </c>
      <c r="B4297" s="5">
        <v>56</v>
      </c>
      <c r="C4297" s="5" t="str" cm="1">
        <f t="array" ref="C4297">_xlfn.IFS(worksheet[[#This Row],[age]]&lt;25,"1. Young Adulthood (18-24)",worksheet[[#This Row],[age]]&lt; 35,"2. Early Adulthood (25-34)",worksheet[[#This Row],[age]]&lt; 45,"3. Mid Adulthood (35-44)",worksheet[[#This Row],[age]]&lt; 55,"4. Mature Adulthood (45-54)",TRUE,"5. Late Adulthood/Senior (55+)")</f>
        <v>5. Late Adulthood/Senior (55+)</v>
      </c>
      <c r="D4297" t="s">
        <v>27</v>
      </c>
      <c r="E4297" t="s">
        <v>16</v>
      </c>
      <c r="F4297" s="4">
        <v>0.4</v>
      </c>
      <c r="G4297" s="5">
        <v>38</v>
      </c>
      <c r="H4297" t="s">
        <v>33</v>
      </c>
      <c r="I4297" t="s">
        <v>24</v>
      </c>
      <c r="J4297" s="6">
        <v>8.99</v>
      </c>
      <c r="K4297">
        <v>1</v>
      </c>
      <c r="L4297" t="s">
        <v>37</v>
      </c>
      <c r="M4297" s="5">
        <v>5</v>
      </c>
      <c r="N4297" s="4">
        <v>0.01</v>
      </c>
      <c r="O4297" t="s">
        <v>20</v>
      </c>
    </row>
    <row r="4298" spans="1:15" x14ac:dyDescent="0.3">
      <c r="A4298" t="s">
        <v>2744</v>
      </c>
      <c r="B4298" s="5">
        <v>66</v>
      </c>
      <c r="C4298" s="5" t="str" cm="1">
        <f t="array" ref="C4298">_xlfn.IFS(worksheet[[#This Row],[age]]&lt;25,"1. Young Adulthood (18-24)",worksheet[[#This Row],[age]]&lt; 35,"2. Early Adulthood (25-34)",worksheet[[#This Row],[age]]&lt; 45,"3. Mid Adulthood (35-44)",worksheet[[#This Row],[age]]&lt; 55,"4. Mature Adulthood (45-54)",TRUE,"5. Late Adulthood/Senior (55+)")</f>
        <v>5. Late Adulthood/Senior (55+)</v>
      </c>
      <c r="D4298" t="s">
        <v>41</v>
      </c>
      <c r="E4298" t="s">
        <v>22</v>
      </c>
      <c r="F4298" s="4">
        <v>1.97</v>
      </c>
      <c r="G4298" s="5">
        <v>2</v>
      </c>
      <c r="H4298" t="s">
        <v>23</v>
      </c>
      <c r="I4298" t="s">
        <v>46</v>
      </c>
      <c r="J4298" s="6">
        <v>13.99</v>
      </c>
      <c r="K4298">
        <v>0</v>
      </c>
      <c r="L4298" t="s">
        <v>61</v>
      </c>
      <c r="M4298" s="5">
        <v>4</v>
      </c>
      <c r="N4298" s="4">
        <v>0.66</v>
      </c>
      <c r="O4298" t="s">
        <v>25</v>
      </c>
    </row>
    <row r="4299" spans="1:15" x14ac:dyDescent="0.3">
      <c r="A4299" t="s">
        <v>2747</v>
      </c>
      <c r="B4299" s="5">
        <v>66</v>
      </c>
      <c r="C4299" s="5" t="str" cm="1">
        <f t="array" ref="C4299">_xlfn.IFS(worksheet[[#This Row],[age]]&lt;25,"1. Young Adulthood (18-24)",worksheet[[#This Row],[age]]&lt; 35,"2. Early Adulthood (25-34)",worksheet[[#This Row],[age]]&lt; 45,"3. Mid Adulthood (35-44)",worksheet[[#This Row],[age]]&lt; 55,"4. Mature Adulthood (45-54)",TRUE,"5. Late Adulthood/Senior (55+)")</f>
        <v>5. Late Adulthood/Senior (55+)</v>
      </c>
      <c r="D4299" t="s">
        <v>41</v>
      </c>
      <c r="E4299" t="s">
        <v>22</v>
      </c>
      <c r="F4299" s="4">
        <v>0.8</v>
      </c>
      <c r="G4299" s="5">
        <v>32</v>
      </c>
      <c r="H4299" t="s">
        <v>33</v>
      </c>
      <c r="I4299" t="s">
        <v>18</v>
      </c>
      <c r="J4299" s="6">
        <v>13.99</v>
      </c>
      <c r="K4299">
        <v>1</v>
      </c>
      <c r="L4299" t="s">
        <v>37</v>
      </c>
      <c r="M4299" s="5">
        <v>1</v>
      </c>
      <c r="N4299" s="4">
        <v>0.02</v>
      </c>
      <c r="O4299" t="s">
        <v>30</v>
      </c>
    </row>
    <row r="4300" spans="1:15" x14ac:dyDescent="0.3">
      <c r="A4300" t="s">
        <v>2750</v>
      </c>
      <c r="B4300" s="5">
        <v>63</v>
      </c>
      <c r="C4300" s="5" t="str" cm="1">
        <f t="array" ref="C4300">_xlfn.IFS(worksheet[[#This Row],[age]]&lt;25,"1. Young Adulthood (18-24)",worksheet[[#This Row],[age]]&lt; 35,"2. Early Adulthood (25-34)",worksheet[[#This Row],[age]]&lt; 45,"3. Mid Adulthood (35-44)",worksheet[[#This Row],[age]]&lt; 55,"4. Mature Adulthood (45-54)",TRUE,"5. Late Adulthood/Senior (55+)")</f>
        <v>5. Late Adulthood/Senior (55+)</v>
      </c>
      <c r="D4300" t="s">
        <v>41</v>
      </c>
      <c r="E4300" t="s">
        <v>32</v>
      </c>
      <c r="F4300" s="4">
        <v>9.84</v>
      </c>
      <c r="G4300" s="5">
        <v>3</v>
      </c>
      <c r="H4300" t="s">
        <v>70</v>
      </c>
      <c r="I4300" t="s">
        <v>46</v>
      </c>
      <c r="J4300" s="6">
        <v>17.989999999999998</v>
      </c>
      <c r="K4300">
        <v>0</v>
      </c>
      <c r="L4300" t="s">
        <v>43</v>
      </c>
      <c r="M4300" s="5">
        <v>4</v>
      </c>
      <c r="N4300" s="4">
        <v>2.46</v>
      </c>
      <c r="O4300" t="s">
        <v>47</v>
      </c>
    </row>
    <row r="4301" spans="1:15" x14ac:dyDescent="0.3">
      <c r="A4301" t="s">
        <v>2751</v>
      </c>
      <c r="B4301" s="5">
        <v>69</v>
      </c>
      <c r="C4301" s="5" t="str" cm="1">
        <f t="array" ref="C4301">_xlfn.IFS(worksheet[[#This Row],[age]]&lt;25,"1. Young Adulthood (18-24)",worksheet[[#This Row],[age]]&lt; 35,"2. Early Adulthood (25-34)",worksheet[[#This Row],[age]]&lt; 45,"3. Mid Adulthood (35-44)",worksheet[[#This Row],[age]]&lt; 55,"4. Mature Adulthood (45-54)",TRUE,"5. Late Adulthood/Senior (55+)")</f>
        <v>5. Late Adulthood/Senior (55+)</v>
      </c>
      <c r="D4301" t="s">
        <v>15</v>
      </c>
      <c r="E4301" t="s">
        <v>22</v>
      </c>
      <c r="F4301" s="4">
        <v>31.16</v>
      </c>
      <c r="G4301" s="5">
        <v>47</v>
      </c>
      <c r="H4301" t="s">
        <v>28</v>
      </c>
      <c r="I4301" t="s">
        <v>24</v>
      </c>
      <c r="J4301" s="6">
        <v>13.99</v>
      </c>
      <c r="K4301">
        <v>0</v>
      </c>
      <c r="L4301" t="s">
        <v>37</v>
      </c>
      <c r="M4301" s="5">
        <v>5</v>
      </c>
      <c r="N4301" s="4">
        <v>0.65</v>
      </c>
      <c r="O4301" t="s">
        <v>52</v>
      </c>
    </row>
    <row r="4302" spans="1:15" x14ac:dyDescent="0.3">
      <c r="A4302" t="s">
        <v>2754</v>
      </c>
      <c r="B4302" s="5">
        <v>62</v>
      </c>
      <c r="C4302" s="5" t="str" cm="1">
        <f t="array" ref="C4302">_xlfn.IFS(worksheet[[#This Row],[age]]&lt;25,"1. Young Adulthood (18-24)",worksheet[[#This Row],[age]]&lt; 35,"2. Early Adulthood (25-34)",worksheet[[#This Row],[age]]&lt; 45,"3. Mid Adulthood (35-44)",worksheet[[#This Row],[age]]&lt; 55,"4. Mature Adulthood (45-54)",TRUE,"5. Late Adulthood/Senior (55+)")</f>
        <v>5. Late Adulthood/Senior (55+)</v>
      </c>
      <c r="D4302" t="s">
        <v>27</v>
      </c>
      <c r="E4302" t="s">
        <v>32</v>
      </c>
      <c r="F4302" s="4">
        <v>6.48</v>
      </c>
      <c r="G4302" s="5">
        <v>25</v>
      </c>
      <c r="H4302" t="s">
        <v>23</v>
      </c>
      <c r="I4302" t="s">
        <v>55</v>
      </c>
      <c r="J4302" s="6">
        <v>17.989999999999998</v>
      </c>
      <c r="K4302">
        <v>0</v>
      </c>
      <c r="L4302" t="s">
        <v>29</v>
      </c>
      <c r="M4302" s="5">
        <v>4</v>
      </c>
      <c r="N4302" s="4">
        <v>0.25</v>
      </c>
      <c r="O4302" t="s">
        <v>52</v>
      </c>
    </row>
    <row r="4303" spans="1:15" x14ac:dyDescent="0.3">
      <c r="A4303" t="s">
        <v>2755</v>
      </c>
      <c r="B4303" s="5">
        <v>64</v>
      </c>
      <c r="C4303" s="5" t="str" cm="1">
        <f t="array" ref="C4303">_xlfn.IFS(worksheet[[#This Row],[age]]&lt;25,"1. Young Adulthood (18-24)",worksheet[[#This Row],[age]]&lt; 35,"2. Early Adulthood (25-34)",worksheet[[#This Row],[age]]&lt; 45,"3. Mid Adulthood (35-44)",worksheet[[#This Row],[age]]&lt; 55,"4. Mature Adulthood (45-54)",TRUE,"5. Late Adulthood/Senior (55+)")</f>
        <v>5. Late Adulthood/Senior (55+)</v>
      </c>
      <c r="D4303" t="s">
        <v>41</v>
      </c>
      <c r="E4303" t="s">
        <v>22</v>
      </c>
      <c r="F4303" s="4">
        <v>1.42</v>
      </c>
      <c r="G4303" s="5">
        <v>42</v>
      </c>
      <c r="H4303" t="s">
        <v>33</v>
      </c>
      <c r="I4303" t="s">
        <v>46</v>
      </c>
      <c r="J4303" s="6">
        <v>13.99</v>
      </c>
      <c r="K4303">
        <v>1</v>
      </c>
      <c r="L4303" t="s">
        <v>43</v>
      </c>
      <c r="M4303" s="5">
        <v>3</v>
      </c>
      <c r="N4303" s="4">
        <v>0.03</v>
      </c>
      <c r="O4303" t="s">
        <v>34</v>
      </c>
    </row>
    <row r="4304" spans="1:15" x14ac:dyDescent="0.3">
      <c r="A4304" t="s">
        <v>2756</v>
      </c>
      <c r="B4304" s="5">
        <v>69</v>
      </c>
      <c r="C4304" s="5" t="str" cm="1">
        <f t="array" ref="C4304">_xlfn.IFS(worksheet[[#This Row],[age]]&lt;25,"1. Young Adulthood (18-24)",worksheet[[#This Row],[age]]&lt; 35,"2. Early Adulthood (25-34)",worksheet[[#This Row],[age]]&lt; 45,"3. Mid Adulthood (35-44)",worksheet[[#This Row],[age]]&lt; 55,"4. Mature Adulthood (45-54)",TRUE,"5. Late Adulthood/Senior (55+)")</f>
        <v>5. Late Adulthood/Senior (55+)</v>
      </c>
      <c r="D4304" t="s">
        <v>27</v>
      </c>
      <c r="E4304" t="s">
        <v>16</v>
      </c>
      <c r="F4304" s="4">
        <v>10.1</v>
      </c>
      <c r="G4304" s="5">
        <v>24</v>
      </c>
      <c r="H4304" t="s">
        <v>17</v>
      </c>
      <c r="I4304" t="s">
        <v>18</v>
      </c>
      <c r="J4304" s="6">
        <v>8.99</v>
      </c>
      <c r="K4304">
        <v>0</v>
      </c>
      <c r="L4304" t="s">
        <v>61</v>
      </c>
      <c r="M4304" s="5">
        <v>2</v>
      </c>
      <c r="N4304" s="4">
        <v>0.4</v>
      </c>
      <c r="O4304" t="s">
        <v>25</v>
      </c>
    </row>
    <row r="4305" spans="1:15" x14ac:dyDescent="0.3">
      <c r="A4305" t="s">
        <v>2758</v>
      </c>
      <c r="B4305" s="5">
        <v>67</v>
      </c>
      <c r="C4305" s="5" t="str" cm="1">
        <f t="array" ref="C4305">_xlfn.IFS(worksheet[[#This Row],[age]]&lt;25,"1. Young Adulthood (18-24)",worksheet[[#This Row],[age]]&lt; 35,"2. Early Adulthood (25-34)",worksheet[[#This Row],[age]]&lt; 45,"3. Mid Adulthood (35-44)",worksheet[[#This Row],[age]]&lt; 55,"4. Mature Adulthood (45-54)",TRUE,"5. Late Adulthood/Senior (55+)")</f>
        <v>5. Late Adulthood/Senior (55+)</v>
      </c>
      <c r="D4305" t="s">
        <v>27</v>
      </c>
      <c r="E4305" t="s">
        <v>32</v>
      </c>
      <c r="F4305" s="4">
        <v>0.61</v>
      </c>
      <c r="G4305" s="5">
        <v>12</v>
      </c>
      <c r="H4305" t="s">
        <v>33</v>
      </c>
      <c r="I4305" t="s">
        <v>57</v>
      </c>
      <c r="J4305" s="6">
        <v>17.989999999999998</v>
      </c>
      <c r="K4305">
        <v>1</v>
      </c>
      <c r="L4305" t="s">
        <v>29</v>
      </c>
      <c r="M4305" s="5">
        <v>3</v>
      </c>
      <c r="N4305" s="4">
        <v>0.05</v>
      </c>
      <c r="O4305" t="s">
        <v>52</v>
      </c>
    </row>
    <row r="4306" spans="1:15" x14ac:dyDescent="0.3">
      <c r="A4306" t="s">
        <v>2763</v>
      </c>
      <c r="B4306" s="5">
        <v>56</v>
      </c>
      <c r="C4306" s="5" t="str" cm="1">
        <f t="array" ref="C4306">_xlfn.IFS(worksheet[[#This Row],[age]]&lt;25,"1. Young Adulthood (18-24)",worksheet[[#This Row],[age]]&lt; 35,"2. Early Adulthood (25-34)",worksheet[[#This Row],[age]]&lt; 45,"3. Mid Adulthood (35-44)",worksheet[[#This Row],[age]]&lt; 55,"4. Mature Adulthood (45-54)",TRUE,"5. Late Adulthood/Senior (55+)")</f>
        <v>5. Late Adulthood/Senior (55+)</v>
      </c>
      <c r="D4306" t="s">
        <v>41</v>
      </c>
      <c r="E4306" t="s">
        <v>16</v>
      </c>
      <c r="F4306" s="4">
        <v>27.15</v>
      </c>
      <c r="G4306" s="5">
        <v>15</v>
      </c>
      <c r="H4306" t="s">
        <v>23</v>
      </c>
      <c r="I4306" t="s">
        <v>18</v>
      </c>
      <c r="J4306" s="6">
        <v>8.99</v>
      </c>
      <c r="K4306">
        <v>0</v>
      </c>
      <c r="L4306" t="s">
        <v>61</v>
      </c>
      <c r="M4306" s="5">
        <v>1</v>
      </c>
      <c r="N4306" s="4">
        <v>1.7</v>
      </c>
      <c r="O4306" t="s">
        <v>20</v>
      </c>
    </row>
    <row r="4307" spans="1:15" x14ac:dyDescent="0.3">
      <c r="A4307" t="s">
        <v>2765</v>
      </c>
      <c r="B4307" s="5">
        <v>62</v>
      </c>
      <c r="C4307" s="5" t="str" cm="1">
        <f t="array" ref="C4307">_xlfn.IFS(worksheet[[#This Row],[age]]&lt;25,"1. Young Adulthood (18-24)",worksheet[[#This Row],[age]]&lt; 35,"2. Early Adulthood (25-34)",worksheet[[#This Row],[age]]&lt; 45,"3. Mid Adulthood (35-44)",worksheet[[#This Row],[age]]&lt; 55,"4. Mature Adulthood (45-54)",TRUE,"5. Late Adulthood/Senior (55+)")</f>
        <v>5. Late Adulthood/Senior (55+)</v>
      </c>
      <c r="D4307" t="s">
        <v>41</v>
      </c>
      <c r="E4307" t="s">
        <v>32</v>
      </c>
      <c r="F4307" s="4">
        <v>0.62</v>
      </c>
      <c r="G4307" s="5">
        <v>8</v>
      </c>
      <c r="H4307" t="s">
        <v>28</v>
      </c>
      <c r="I4307" t="s">
        <v>24</v>
      </c>
      <c r="J4307" s="6">
        <v>17.989999999999998</v>
      </c>
      <c r="K4307">
        <v>1</v>
      </c>
      <c r="L4307" t="s">
        <v>43</v>
      </c>
      <c r="M4307" s="5">
        <v>1</v>
      </c>
      <c r="N4307" s="4">
        <v>7.0000000000000007E-2</v>
      </c>
      <c r="O4307" t="s">
        <v>34</v>
      </c>
    </row>
    <row r="4308" spans="1:15" x14ac:dyDescent="0.3">
      <c r="A4308" t="s">
        <v>2768</v>
      </c>
      <c r="B4308" s="5">
        <v>65</v>
      </c>
      <c r="C4308" s="5" t="str" cm="1">
        <f t="array" ref="C4308">_xlfn.IFS(worksheet[[#This Row],[age]]&lt;25,"1. Young Adulthood (18-24)",worksheet[[#This Row],[age]]&lt; 35,"2. Early Adulthood (25-34)",worksheet[[#This Row],[age]]&lt; 45,"3. Mid Adulthood (35-44)",worksheet[[#This Row],[age]]&lt; 55,"4. Mature Adulthood (45-54)",TRUE,"5. Late Adulthood/Senior (55+)")</f>
        <v>5. Late Adulthood/Senior (55+)</v>
      </c>
      <c r="D4308" t="s">
        <v>27</v>
      </c>
      <c r="E4308" t="s">
        <v>22</v>
      </c>
      <c r="F4308" s="4">
        <v>16.100000000000001</v>
      </c>
      <c r="G4308" s="5">
        <v>9</v>
      </c>
      <c r="H4308" t="s">
        <v>17</v>
      </c>
      <c r="I4308" t="s">
        <v>18</v>
      </c>
      <c r="J4308" s="6">
        <v>13.99</v>
      </c>
      <c r="K4308">
        <v>0</v>
      </c>
      <c r="L4308" t="s">
        <v>43</v>
      </c>
      <c r="M4308" s="5">
        <v>4</v>
      </c>
      <c r="N4308" s="4">
        <v>1.61</v>
      </c>
      <c r="O4308" t="s">
        <v>52</v>
      </c>
    </row>
    <row r="4309" spans="1:15" x14ac:dyDescent="0.3">
      <c r="A4309" t="s">
        <v>2774</v>
      </c>
      <c r="B4309" s="5">
        <v>62</v>
      </c>
      <c r="C4309" s="5" t="str" cm="1">
        <f t="array" ref="C4309">_xlfn.IFS(worksheet[[#This Row],[age]]&lt;25,"1. Young Adulthood (18-24)",worksheet[[#This Row],[age]]&lt; 35,"2. Early Adulthood (25-34)",worksheet[[#This Row],[age]]&lt; 45,"3. Mid Adulthood (35-44)",worksheet[[#This Row],[age]]&lt; 55,"4. Mature Adulthood (45-54)",TRUE,"5. Late Adulthood/Senior (55+)")</f>
        <v>5. Late Adulthood/Senior (55+)</v>
      </c>
      <c r="D4309" t="s">
        <v>27</v>
      </c>
      <c r="E4309" t="s">
        <v>32</v>
      </c>
      <c r="F4309" s="4">
        <v>10.68</v>
      </c>
      <c r="G4309" s="5">
        <v>46</v>
      </c>
      <c r="H4309" t="s">
        <v>49</v>
      </c>
      <c r="I4309" t="s">
        <v>57</v>
      </c>
      <c r="J4309" s="6">
        <v>17.989999999999998</v>
      </c>
      <c r="K4309">
        <v>1</v>
      </c>
      <c r="L4309" t="s">
        <v>29</v>
      </c>
      <c r="M4309" s="5">
        <v>1</v>
      </c>
      <c r="N4309" s="4">
        <v>0.23</v>
      </c>
      <c r="O4309" t="s">
        <v>52</v>
      </c>
    </row>
    <row r="4310" spans="1:15" x14ac:dyDescent="0.3">
      <c r="A4310" t="s">
        <v>2776</v>
      </c>
      <c r="B4310" s="5">
        <v>55</v>
      </c>
      <c r="C4310" s="5" t="str" cm="1">
        <f t="array" ref="C4310">_xlfn.IFS(worksheet[[#This Row],[age]]&lt;25,"1. Young Adulthood (18-24)",worksheet[[#This Row],[age]]&lt; 35,"2. Early Adulthood (25-34)",worksheet[[#This Row],[age]]&lt; 45,"3. Mid Adulthood (35-44)",worksheet[[#This Row],[age]]&lt; 55,"4. Mature Adulthood (45-54)",TRUE,"5. Late Adulthood/Senior (55+)")</f>
        <v>5. Late Adulthood/Senior (55+)</v>
      </c>
      <c r="D4310" t="s">
        <v>15</v>
      </c>
      <c r="E4310" t="s">
        <v>32</v>
      </c>
      <c r="F4310" s="4">
        <v>38.31</v>
      </c>
      <c r="G4310" s="5">
        <v>32</v>
      </c>
      <c r="H4310" t="s">
        <v>28</v>
      </c>
      <c r="I4310" t="s">
        <v>24</v>
      </c>
      <c r="J4310" s="6">
        <v>17.989999999999998</v>
      </c>
      <c r="K4310">
        <v>0</v>
      </c>
      <c r="L4310" t="s">
        <v>29</v>
      </c>
      <c r="M4310" s="5">
        <v>1</v>
      </c>
      <c r="N4310" s="4">
        <v>1.1599999999999999</v>
      </c>
      <c r="O4310" t="s">
        <v>25</v>
      </c>
    </row>
    <row r="4311" spans="1:15" x14ac:dyDescent="0.3">
      <c r="A4311" t="s">
        <v>2780</v>
      </c>
      <c r="B4311" s="5">
        <v>59</v>
      </c>
      <c r="C4311" s="5" t="str" cm="1">
        <f t="array" ref="C4311">_xlfn.IFS(worksheet[[#This Row],[age]]&lt;25,"1. Young Adulthood (18-24)",worksheet[[#This Row],[age]]&lt; 35,"2. Early Adulthood (25-34)",worksheet[[#This Row],[age]]&lt; 45,"3. Mid Adulthood (35-44)",worksheet[[#This Row],[age]]&lt; 55,"4. Mature Adulthood (45-54)",TRUE,"5. Late Adulthood/Senior (55+)")</f>
        <v>5. Late Adulthood/Senior (55+)</v>
      </c>
      <c r="D4311" t="s">
        <v>15</v>
      </c>
      <c r="E4311" t="s">
        <v>32</v>
      </c>
      <c r="F4311" s="4">
        <v>4.8</v>
      </c>
      <c r="G4311" s="5">
        <v>1</v>
      </c>
      <c r="H4311" t="s">
        <v>17</v>
      </c>
      <c r="I4311" t="s">
        <v>55</v>
      </c>
      <c r="J4311" s="6">
        <v>17.989999999999998</v>
      </c>
      <c r="K4311">
        <v>0</v>
      </c>
      <c r="L4311" t="s">
        <v>43</v>
      </c>
      <c r="M4311" s="5">
        <v>1</v>
      </c>
      <c r="N4311" s="4">
        <v>2.4</v>
      </c>
      <c r="O4311" t="s">
        <v>30</v>
      </c>
    </row>
    <row r="4312" spans="1:15" x14ac:dyDescent="0.3">
      <c r="A4312" t="s">
        <v>2785</v>
      </c>
      <c r="B4312" s="5">
        <v>62</v>
      </c>
      <c r="C4312" s="5" t="str" cm="1">
        <f t="array" ref="C4312">_xlfn.IFS(worksheet[[#This Row],[age]]&lt;25,"1. Young Adulthood (18-24)",worksheet[[#This Row],[age]]&lt; 35,"2. Early Adulthood (25-34)",worksheet[[#This Row],[age]]&lt; 45,"3. Mid Adulthood (35-44)",worksheet[[#This Row],[age]]&lt; 55,"4. Mature Adulthood (45-54)",TRUE,"5. Late Adulthood/Senior (55+)")</f>
        <v>5. Late Adulthood/Senior (55+)</v>
      </c>
      <c r="D4312" t="s">
        <v>15</v>
      </c>
      <c r="E4312" t="s">
        <v>16</v>
      </c>
      <c r="F4312" s="4">
        <v>1.31</v>
      </c>
      <c r="G4312" s="5">
        <v>46</v>
      </c>
      <c r="H4312" t="s">
        <v>28</v>
      </c>
      <c r="I4312" t="s">
        <v>55</v>
      </c>
      <c r="J4312" s="6">
        <v>8.99</v>
      </c>
      <c r="K4312">
        <v>1</v>
      </c>
      <c r="L4312" t="s">
        <v>29</v>
      </c>
      <c r="M4312" s="5">
        <v>2</v>
      </c>
      <c r="N4312" s="4">
        <v>0.03</v>
      </c>
      <c r="O4312" t="s">
        <v>25</v>
      </c>
    </row>
    <row r="4313" spans="1:15" x14ac:dyDescent="0.3">
      <c r="A4313" t="s">
        <v>2790</v>
      </c>
      <c r="B4313" s="5">
        <v>59</v>
      </c>
      <c r="C4313" s="5" t="str" cm="1">
        <f t="array" ref="C4313">_xlfn.IFS(worksheet[[#This Row],[age]]&lt;25,"1. Young Adulthood (18-24)",worksheet[[#This Row],[age]]&lt; 35,"2. Early Adulthood (25-34)",worksheet[[#This Row],[age]]&lt; 45,"3. Mid Adulthood (35-44)",worksheet[[#This Row],[age]]&lt; 55,"4. Mature Adulthood (45-54)",TRUE,"5. Late Adulthood/Senior (55+)")</f>
        <v>5. Late Adulthood/Senior (55+)</v>
      </c>
      <c r="D4313" t="s">
        <v>27</v>
      </c>
      <c r="E4313" t="s">
        <v>16</v>
      </c>
      <c r="F4313" s="4">
        <v>10.220000000000001</v>
      </c>
      <c r="G4313" s="5">
        <v>53</v>
      </c>
      <c r="H4313" t="s">
        <v>33</v>
      </c>
      <c r="I4313" t="s">
        <v>24</v>
      </c>
      <c r="J4313" s="6">
        <v>8.99</v>
      </c>
      <c r="K4313">
        <v>1</v>
      </c>
      <c r="L4313" t="s">
        <v>61</v>
      </c>
      <c r="M4313" s="5">
        <v>4</v>
      </c>
      <c r="N4313" s="4">
        <v>0.19</v>
      </c>
      <c r="O4313" t="s">
        <v>25</v>
      </c>
    </row>
    <row r="4314" spans="1:15" x14ac:dyDescent="0.3">
      <c r="A4314" t="s">
        <v>2797</v>
      </c>
      <c r="B4314" s="5">
        <v>66</v>
      </c>
      <c r="C4314" s="5" t="str" cm="1">
        <f t="array" ref="C4314">_xlfn.IFS(worksheet[[#This Row],[age]]&lt;25,"1. Young Adulthood (18-24)",worksheet[[#This Row],[age]]&lt; 35,"2. Early Adulthood (25-34)",worksheet[[#This Row],[age]]&lt; 45,"3. Mid Adulthood (35-44)",worksheet[[#This Row],[age]]&lt; 55,"4. Mature Adulthood (45-54)",TRUE,"5. Late Adulthood/Senior (55+)")</f>
        <v>5. Late Adulthood/Senior (55+)</v>
      </c>
      <c r="D4314" t="s">
        <v>41</v>
      </c>
      <c r="E4314" t="s">
        <v>16</v>
      </c>
      <c r="F4314" s="4">
        <v>1.92</v>
      </c>
      <c r="G4314" s="5">
        <v>27</v>
      </c>
      <c r="H4314" t="s">
        <v>49</v>
      </c>
      <c r="I4314" t="s">
        <v>46</v>
      </c>
      <c r="J4314" s="6">
        <v>8.99</v>
      </c>
      <c r="K4314">
        <v>1</v>
      </c>
      <c r="L4314" t="s">
        <v>19</v>
      </c>
      <c r="M4314" s="5">
        <v>5</v>
      </c>
      <c r="N4314" s="4">
        <v>7.0000000000000007E-2</v>
      </c>
      <c r="O4314" t="s">
        <v>34</v>
      </c>
    </row>
    <row r="4315" spans="1:15" x14ac:dyDescent="0.3">
      <c r="A4315" t="s">
        <v>2800</v>
      </c>
      <c r="B4315" s="5">
        <v>66</v>
      </c>
      <c r="C4315" s="5" t="str" cm="1">
        <f t="array" ref="C4315">_xlfn.IFS(worksheet[[#This Row],[age]]&lt;25,"1. Young Adulthood (18-24)",worksheet[[#This Row],[age]]&lt; 35,"2. Early Adulthood (25-34)",worksheet[[#This Row],[age]]&lt; 45,"3. Mid Adulthood (35-44)",worksheet[[#This Row],[age]]&lt; 55,"4. Mature Adulthood (45-54)",TRUE,"5. Late Adulthood/Senior (55+)")</f>
        <v>5. Late Adulthood/Senior (55+)</v>
      </c>
      <c r="D4315" t="s">
        <v>27</v>
      </c>
      <c r="E4315" t="s">
        <v>22</v>
      </c>
      <c r="F4315" s="4">
        <v>7.74</v>
      </c>
      <c r="G4315" s="5">
        <v>6</v>
      </c>
      <c r="H4315" t="s">
        <v>49</v>
      </c>
      <c r="I4315" t="s">
        <v>46</v>
      </c>
      <c r="J4315" s="6">
        <v>13.99</v>
      </c>
      <c r="K4315">
        <v>0</v>
      </c>
      <c r="L4315" t="s">
        <v>61</v>
      </c>
      <c r="M4315" s="5">
        <v>4</v>
      </c>
      <c r="N4315" s="4">
        <v>1.1100000000000001</v>
      </c>
      <c r="O4315" t="s">
        <v>34</v>
      </c>
    </row>
    <row r="4316" spans="1:15" x14ac:dyDescent="0.3">
      <c r="A4316" t="s">
        <v>2802</v>
      </c>
      <c r="B4316" s="5">
        <v>65</v>
      </c>
      <c r="C4316" s="5" t="str" cm="1">
        <f t="array" ref="C4316">_xlfn.IFS(worksheet[[#This Row],[age]]&lt;25,"1. Young Adulthood (18-24)",worksheet[[#This Row],[age]]&lt; 35,"2. Early Adulthood (25-34)",worksheet[[#This Row],[age]]&lt; 45,"3. Mid Adulthood (35-44)",worksheet[[#This Row],[age]]&lt; 55,"4. Mature Adulthood (45-54)",TRUE,"5. Late Adulthood/Senior (55+)")</f>
        <v>5. Late Adulthood/Senior (55+)</v>
      </c>
      <c r="D4316" t="s">
        <v>41</v>
      </c>
      <c r="E4316" t="s">
        <v>22</v>
      </c>
      <c r="F4316" s="4">
        <v>4.3</v>
      </c>
      <c r="G4316" s="5">
        <v>46</v>
      </c>
      <c r="H4316" t="s">
        <v>17</v>
      </c>
      <c r="I4316" t="s">
        <v>24</v>
      </c>
      <c r="J4316" s="6">
        <v>13.99</v>
      </c>
      <c r="K4316">
        <v>1</v>
      </c>
      <c r="L4316" t="s">
        <v>43</v>
      </c>
      <c r="M4316" s="5">
        <v>3</v>
      </c>
      <c r="N4316" s="4">
        <v>0.09</v>
      </c>
      <c r="O4316" t="s">
        <v>47</v>
      </c>
    </row>
    <row r="4317" spans="1:15" x14ac:dyDescent="0.3">
      <c r="A4317" t="s">
        <v>2806</v>
      </c>
      <c r="B4317" s="5">
        <v>59</v>
      </c>
      <c r="C4317" s="5" t="str" cm="1">
        <f t="array" ref="C4317">_xlfn.IFS(worksheet[[#This Row],[age]]&lt;25,"1. Young Adulthood (18-24)",worksheet[[#This Row],[age]]&lt; 35,"2. Early Adulthood (25-34)",worksheet[[#This Row],[age]]&lt; 45,"3. Mid Adulthood (35-44)",worksheet[[#This Row],[age]]&lt; 55,"4. Mature Adulthood (45-54)",TRUE,"5. Late Adulthood/Senior (55+)")</f>
        <v>5. Late Adulthood/Senior (55+)</v>
      </c>
      <c r="D4317" t="s">
        <v>15</v>
      </c>
      <c r="E4317" t="s">
        <v>32</v>
      </c>
      <c r="F4317" s="4">
        <v>0.95</v>
      </c>
      <c r="G4317" s="5">
        <v>55</v>
      </c>
      <c r="H4317" t="s">
        <v>49</v>
      </c>
      <c r="I4317" t="s">
        <v>55</v>
      </c>
      <c r="J4317" s="6">
        <v>17.989999999999998</v>
      </c>
      <c r="K4317">
        <v>1</v>
      </c>
      <c r="L4317" t="s">
        <v>29</v>
      </c>
      <c r="M4317" s="5">
        <v>4</v>
      </c>
      <c r="N4317" s="4">
        <v>0.02</v>
      </c>
      <c r="O4317" t="s">
        <v>47</v>
      </c>
    </row>
    <row r="4318" spans="1:15" x14ac:dyDescent="0.3">
      <c r="A4318" t="s">
        <v>2808</v>
      </c>
      <c r="B4318" s="5">
        <v>62</v>
      </c>
      <c r="C4318" s="5" t="str" cm="1">
        <f t="array" ref="C4318">_xlfn.IFS(worksheet[[#This Row],[age]]&lt;25,"1. Young Adulthood (18-24)",worksheet[[#This Row],[age]]&lt; 35,"2. Early Adulthood (25-34)",worksheet[[#This Row],[age]]&lt; 45,"3. Mid Adulthood (35-44)",worksheet[[#This Row],[age]]&lt; 55,"4. Mature Adulthood (45-54)",TRUE,"5. Late Adulthood/Senior (55+)")</f>
        <v>5. Late Adulthood/Senior (55+)</v>
      </c>
      <c r="D4318" t="s">
        <v>15</v>
      </c>
      <c r="E4318" t="s">
        <v>32</v>
      </c>
      <c r="F4318" s="4">
        <v>12.37</v>
      </c>
      <c r="G4318" s="5">
        <v>30</v>
      </c>
      <c r="H4318" t="s">
        <v>23</v>
      </c>
      <c r="I4318" t="s">
        <v>18</v>
      </c>
      <c r="J4318" s="6">
        <v>17.989999999999998</v>
      </c>
      <c r="K4318">
        <v>0</v>
      </c>
      <c r="L4318" t="s">
        <v>61</v>
      </c>
      <c r="M4318" s="5">
        <v>2</v>
      </c>
      <c r="N4318" s="4">
        <v>0.4</v>
      </c>
      <c r="O4318" t="s">
        <v>20</v>
      </c>
    </row>
    <row r="4319" spans="1:15" x14ac:dyDescent="0.3">
      <c r="A4319" t="s">
        <v>2809</v>
      </c>
      <c r="B4319" s="5">
        <v>55</v>
      </c>
      <c r="C4319" s="5" t="str" cm="1">
        <f t="array" ref="C4319">_xlfn.IFS(worksheet[[#This Row],[age]]&lt;25,"1. Young Adulthood (18-24)",worksheet[[#This Row],[age]]&lt; 35,"2. Early Adulthood (25-34)",worksheet[[#This Row],[age]]&lt; 45,"3. Mid Adulthood (35-44)",worksheet[[#This Row],[age]]&lt; 55,"4. Mature Adulthood (45-54)",TRUE,"5. Late Adulthood/Senior (55+)")</f>
        <v>5. Late Adulthood/Senior (55+)</v>
      </c>
      <c r="D4319" t="s">
        <v>15</v>
      </c>
      <c r="E4319" t="s">
        <v>16</v>
      </c>
      <c r="F4319" s="4">
        <v>17.87</v>
      </c>
      <c r="G4319" s="5">
        <v>4</v>
      </c>
      <c r="H4319" t="s">
        <v>49</v>
      </c>
      <c r="I4319" t="s">
        <v>57</v>
      </c>
      <c r="J4319" s="6">
        <v>8.99</v>
      </c>
      <c r="K4319">
        <v>0</v>
      </c>
      <c r="L4319" t="s">
        <v>61</v>
      </c>
      <c r="M4319" s="5">
        <v>1</v>
      </c>
      <c r="N4319" s="4">
        <v>3.57</v>
      </c>
      <c r="O4319" t="s">
        <v>39</v>
      </c>
    </row>
    <row r="4320" spans="1:15" x14ac:dyDescent="0.3">
      <c r="A4320" t="s">
        <v>2819</v>
      </c>
      <c r="B4320" s="5">
        <v>63</v>
      </c>
      <c r="C4320" s="5" t="str" cm="1">
        <f t="array" ref="C4320">_xlfn.IFS(worksheet[[#This Row],[age]]&lt;25,"1. Young Adulthood (18-24)",worksheet[[#This Row],[age]]&lt; 35,"2. Early Adulthood (25-34)",worksheet[[#This Row],[age]]&lt; 45,"3. Mid Adulthood (35-44)",worksheet[[#This Row],[age]]&lt; 55,"4. Mature Adulthood (45-54)",TRUE,"5. Late Adulthood/Senior (55+)")</f>
        <v>5. Late Adulthood/Senior (55+)</v>
      </c>
      <c r="D4320" t="s">
        <v>15</v>
      </c>
      <c r="E4320" t="s">
        <v>16</v>
      </c>
      <c r="F4320" s="4">
        <v>0.85</v>
      </c>
      <c r="G4320" s="5">
        <v>36</v>
      </c>
      <c r="H4320" t="s">
        <v>70</v>
      </c>
      <c r="I4320" t="s">
        <v>24</v>
      </c>
      <c r="J4320" s="6">
        <v>8.99</v>
      </c>
      <c r="K4320">
        <v>1</v>
      </c>
      <c r="L4320" t="s">
        <v>61</v>
      </c>
      <c r="M4320" s="5">
        <v>3</v>
      </c>
      <c r="N4320" s="4">
        <v>0.02</v>
      </c>
      <c r="O4320" t="s">
        <v>25</v>
      </c>
    </row>
    <row r="4321" spans="1:15" x14ac:dyDescent="0.3">
      <c r="A4321" t="s">
        <v>2822</v>
      </c>
      <c r="B4321" s="5">
        <v>63</v>
      </c>
      <c r="C4321" s="5" t="str" cm="1">
        <f t="array" ref="C4321">_xlfn.IFS(worksheet[[#This Row],[age]]&lt;25,"1. Young Adulthood (18-24)",worksheet[[#This Row],[age]]&lt; 35,"2. Early Adulthood (25-34)",worksheet[[#This Row],[age]]&lt; 45,"3. Mid Adulthood (35-44)",worksheet[[#This Row],[age]]&lt; 55,"4. Mature Adulthood (45-54)",TRUE,"5. Late Adulthood/Senior (55+)")</f>
        <v>5. Late Adulthood/Senior (55+)</v>
      </c>
      <c r="D4321" t="s">
        <v>41</v>
      </c>
      <c r="E4321" t="s">
        <v>16</v>
      </c>
      <c r="F4321" s="4">
        <v>3.01</v>
      </c>
      <c r="G4321" s="5">
        <v>60</v>
      </c>
      <c r="H4321" t="s">
        <v>49</v>
      </c>
      <c r="I4321" t="s">
        <v>18</v>
      </c>
      <c r="J4321" s="6">
        <v>8.99</v>
      </c>
      <c r="K4321">
        <v>1</v>
      </c>
      <c r="L4321" t="s">
        <v>37</v>
      </c>
      <c r="M4321" s="5">
        <v>5</v>
      </c>
      <c r="N4321" s="4">
        <v>0.05</v>
      </c>
      <c r="O4321" t="s">
        <v>30</v>
      </c>
    </row>
    <row r="4322" spans="1:15" x14ac:dyDescent="0.3">
      <c r="A4322" t="s">
        <v>2832</v>
      </c>
      <c r="B4322" s="5">
        <v>69</v>
      </c>
      <c r="C4322" s="5" t="str" cm="1">
        <f t="array" ref="C4322">_xlfn.IFS(worksheet[[#This Row],[age]]&lt;25,"1. Young Adulthood (18-24)",worksheet[[#This Row],[age]]&lt; 35,"2. Early Adulthood (25-34)",worksheet[[#This Row],[age]]&lt; 45,"3. Mid Adulthood (35-44)",worksheet[[#This Row],[age]]&lt; 55,"4. Mature Adulthood (45-54)",TRUE,"5. Late Adulthood/Senior (55+)")</f>
        <v>5. Late Adulthood/Senior (55+)</v>
      </c>
      <c r="D4322" t="s">
        <v>27</v>
      </c>
      <c r="E4322" t="s">
        <v>32</v>
      </c>
      <c r="F4322" s="4">
        <v>1.35</v>
      </c>
      <c r="G4322" s="5">
        <v>8</v>
      </c>
      <c r="H4322" t="s">
        <v>70</v>
      </c>
      <c r="I4322" t="s">
        <v>24</v>
      </c>
      <c r="J4322" s="6">
        <v>17.989999999999998</v>
      </c>
      <c r="K4322">
        <v>1</v>
      </c>
      <c r="L4322" t="s">
        <v>37</v>
      </c>
      <c r="M4322" s="5">
        <v>3</v>
      </c>
      <c r="N4322" s="4">
        <v>0.15</v>
      </c>
      <c r="O4322" t="s">
        <v>30</v>
      </c>
    </row>
    <row r="4323" spans="1:15" x14ac:dyDescent="0.3">
      <c r="A4323" t="s">
        <v>2841</v>
      </c>
      <c r="B4323" s="5">
        <v>58</v>
      </c>
      <c r="C4323" s="5" t="str" cm="1">
        <f t="array" ref="C4323">_xlfn.IFS(worksheet[[#This Row],[age]]&lt;25,"1. Young Adulthood (18-24)",worksheet[[#This Row],[age]]&lt; 35,"2. Early Adulthood (25-34)",worksheet[[#This Row],[age]]&lt; 45,"3. Mid Adulthood (35-44)",worksheet[[#This Row],[age]]&lt; 55,"4. Mature Adulthood (45-54)",TRUE,"5. Late Adulthood/Senior (55+)")</f>
        <v>5. Late Adulthood/Senior (55+)</v>
      </c>
      <c r="D4323" t="s">
        <v>15</v>
      </c>
      <c r="E4323" t="s">
        <v>16</v>
      </c>
      <c r="F4323" s="4">
        <v>0.76</v>
      </c>
      <c r="G4323" s="5">
        <v>44</v>
      </c>
      <c r="H4323" t="s">
        <v>23</v>
      </c>
      <c r="I4323" t="s">
        <v>57</v>
      </c>
      <c r="J4323" s="6">
        <v>8.99</v>
      </c>
      <c r="K4323">
        <v>1</v>
      </c>
      <c r="L4323" t="s">
        <v>19</v>
      </c>
      <c r="M4323" s="5">
        <v>4</v>
      </c>
      <c r="N4323" s="4">
        <v>0.02</v>
      </c>
      <c r="O4323" t="s">
        <v>25</v>
      </c>
    </row>
    <row r="4324" spans="1:15" x14ac:dyDescent="0.3">
      <c r="A4324" t="s">
        <v>2843</v>
      </c>
      <c r="B4324" s="5">
        <v>67</v>
      </c>
      <c r="C4324" s="5" t="str" cm="1">
        <f t="array" ref="C4324">_xlfn.IFS(worksheet[[#This Row],[age]]&lt;25,"1. Young Adulthood (18-24)",worksheet[[#This Row],[age]]&lt; 35,"2. Early Adulthood (25-34)",worksheet[[#This Row],[age]]&lt; 45,"3. Mid Adulthood (35-44)",worksheet[[#This Row],[age]]&lt; 55,"4. Mature Adulthood (45-54)",TRUE,"5. Late Adulthood/Senior (55+)")</f>
        <v>5. Late Adulthood/Senior (55+)</v>
      </c>
      <c r="D4324" t="s">
        <v>27</v>
      </c>
      <c r="E4324" t="s">
        <v>32</v>
      </c>
      <c r="F4324" s="4">
        <v>3.36</v>
      </c>
      <c r="G4324" s="5">
        <v>23</v>
      </c>
      <c r="H4324" t="s">
        <v>70</v>
      </c>
      <c r="I4324" t="s">
        <v>57</v>
      </c>
      <c r="J4324" s="6">
        <v>17.989999999999998</v>
      </c>
      <c r="K4324">
        <v>1</v>
      </c>
      <c r="L4324" t="s">
        <v>61</v>
      </c>
      <c r="M4324" s="5">
        <v>3</v>
      </c>
      <c r="N4324" s="4">
        <v>0.14000000000000001</v>
      </c>
      <c r="O4324" t="s">
        <v>39</v>
      </c>
    </row>
    <row r="4325" spans="1:15" x14ac:dyDescent="0.3">
      <c r="A4325" t="s">
        <v>2847</v>
      </c>
      <c r="B4325" s="5">
        <v>63</v>
      </c>
      <c r="C4325" s="5" t="str" cm="1">
        <f t="array" ref="C4325">_xlfn.IFS(worksheet[[#This Row],[age]]&lt;25,"1. Young Adulthood (18-24)",worksheet[[#This Row],[age]]&lt; 35,"2. Early Adulthood (25-34)",worksheet[[#This Row],[age]]&lt; 45,"3. Mid Adulthood (35-44)",worksheet[[#This Row],[age]]&lt; 55,"4. Mature Adulthood (45-54)",TRUE,"5. Late Adulthood/Senior (55+)")</f>
        <v>5. Late Adulthood/Senior (55+)</v>
      </c>
      <c r="D4325" t="s">
        <v>41</v>
      </c>
      <c r="E4325" t="s">
        <v>22</v>
      </c>
      <c r="F4325" s="4">
        <v>0.88</v>
      </c>
      <c r="G4325" s="5">
        <v>21</v>
      </c>
      <c r="H4325" t="s">
        <v>33</v>
      </c>
      <c r="I4325" t="s">
        <v>24</v>
      </c>
      <c r="J4325" s="6">
        <v>13.99</v>
      </c>
      <c r="K4325">
        <v>1</v>
      </c>
      <c r="L4325" t="s">
        <v>29</v>
      </c>
      <c r="M4325" s="5">
        <v>1</v>
      </c>
      <c r="N4325" s="4">
        <v>0.04</v>
      </c>
      <c r="O4325" t="s">
        <v>20</v>
      </c>
    </row>
    <row r="4326" spans="1:15" x14ac:dyDescent="0.3">
      <c r="A4326" t="s">
        <v>2850</v>
      </c>
      <c r="B4326" s="5">
        <v>57</v>
      </c>
      <c r="C4326" s="5" t="str" cm="1">
        <f t="array" ref="C4326">_xlfn.IFS(worksheet[[#This Row],[age]]&lt;25,"1. Young Adulthood (18-24)",worksheet[[#This Row],[age]]&lt; 35,"2. Early Adulthood (25-34)",worksheet[[#This Row],[age]]&lt; 45,"3. Mid Adulthood (35-44)",worksheet[[#This Row],[age]]&lt; 55,"4. Mature Adulthood (45-54)",TRUE,"5. Late Adulthood/Senior (55+)")</f>
        <v>5. Late Adulthood/Senior (55+)</v>
      </c>
      <c r="D4326" t="s">
        <v>41</v>
      </c>
      <c r="E4326" t="s">
        <v>16</v>
      </c>
      <c r="F4326" s="4">
        <v>4.1500000000000004</v>
      </c>
      <c r="G4326" s="5">
        <v>17</v>
      </c>
      <c r="H4326" t="s">
        <v>17</v>
      </c>
      <c r="I4326" t="s">
        <v>55</v>
      </c>
      <c r="J4326" s="6">
        <v>8.99</v>
      </c>
      <c r="K4326">
        <v>1</v>
      </c>
      <c r="L4326" t="s">
        <v>37</v>
      </c>
      <c r="M4326" s="5">
        <v>5</v>
      </c>
      <c r="N4326" s="4">
        <v>0.23</v>
      </c>
      <c r="O4326" t="s">
        <v>30</v>
      </c>
    </row>
    <row r="4327" spans="1:15" x14ac:dyDescent="0.3">
      <c r="A4327" t="s">
        <v>2851</v>
      </c>
      <c r="B4327" s="5">
        <v>55</v>
      </c>
      <c r="C4327" s="5" t="str" cm="1">
        <f t="array" ref="C4327">_xlfn.IFS(worksheet[[#This Row],[age]]&lt;25,"1. Young Adulthood (18-24)",worksheet[[#This Row],[age]]&lt; 35,"2. Early Adulthood (25-34)",worksheet[[#This Row],[age]]&lt; 45,"3. Mid Adulthood (35-44)",worksheet[[#This Row],[age]]&lt; 55,"4. Mature Adulthood (45-54)",TRUE,"5. Late Adulthood/Senior (55+)")</f>
        <v>5. Late Adulthood/Senior (55+)</v>
      </c>
      <c r="D4327" t="s">
        <v>41</v>
      </c>
      <c r="E4327" t="s">
        <v>32</v>
      </c>
      <c r="F4327" s="4">
        <v>0.42</v>
      </c>
      <c r="G4327" s="5">
        <v>29</v>
      </c>
      <c r="H4327" t="s">
        <v>33</v>
      </c>
      <c r="I4327" t="s">
        <v>57</v>
      </c>
      <c r="J4327" s="6">
        <v>17.989999999999998</v>
      </c>
      <c r="K4327">
        <v>1</v>
      </c>
      <c r="L4327" t="s">
        <v>43</v>
      </c>
      <c r="M4327" s="5">
        <v>2</v>
      </c>
      <c r="N4327" s="4">
        <v>0.01</v>
      </c>
      <c r="O4327" t="s">
        <v>52</v>
      </c>
    </row>
    <row r="4328" spans="1:15" x14ac:dyDescent="0.3">
      <c r="A4328" t="s">
        <v>2855</v>
      </c>
      <c r="B4328" s="5">
        <v>61</v>
      </c>
      <c r="C4328" s="5" t="str" cm="1">
        <f t="array" ref="C4328">_xlfn.IFS(worksheet[[#This Row],[age]]&lt;25,"1. Young Adulthood (18-24)",worksheet[[#This Row],[age]]&lt; 35,"2. Early Adulthood (25-34)",worksheet[[#This Row],[age]]&lt; 45,"3. Mid Adulthood (35-44)",worksheet[[#This Row],[age]]&lt; 55,"4. Mature Adulthood (45-54)",TRUE,"5. Late Adulthood/Senior (55+)")</f>
        <v>5. Late Adulthood/Senior (55+)</v>
      </c>
      <c r="D4328" t="s">
        <v>27</v>
      </c>
      <c r="E4328" t="s">
        <v>16</v>
      </c>
      <c r="F4328" s="4">
        <v>17.59</v>
      </c>
      <c r="G4328" s="5">
        <v>58</v>
      </c>
      <c r="H4328" t="s">
        <v>70</v>
      </c>
      <c r="I4328" t="s">
        <v>46</v>
      </c>
      <c r="J4328" s="6">
        <v>8.99</v>
      </c>
      <c r="K4328">
        <v>1</v>
      </c>
      <c r="L4328" t="s">
        <v>37</v>
      </c>
      <c r="M4328" s="5">
        <v>2</v>
      </c>
      <c r="N4328" s="4">
        <v>0.3</v>
      </c>
      <c r="O4328" t="s">
        <v>34</v>
      </c>
    </row>
    <row r="4329" spans="1:15" x14ac:dyDescent="0.3">
      <c r="A4329" t="s">
        <v>2868</v>
      </c>
      <c r="B4329" s="5">
        <v>62</v>
      </c>
      <c r="C4329" s="5" t="str" cm="1">
        <f t="array" ref="C4329">_xlfn.IFS(worksheet[[#This Row],[age]]&lt;25,"1. Young Adulthood (18-24)",worksheet[[#This Row],[age]]&lt; 35,"2. Early Adulthood (25-34)",worksheet[[#This Row],[age]]&lt; 45,"3. Mid Adulthood (35-44)",worksheet[[#This Row],[age]]&lt; 55,"4. Mature Adulthood (45-54)",TRUE,"5. Late Adulthood/Senior (55+)")</f>
        <v>5. Late Adulthood/Senior (55+)</v>
      </c>
      <c r="D4329" t="s">
        <v>41</v>
      </c>
      <c r="E4329" t="s">
        <v>22</v>
      </c>
      <c r="F4329" s="4">
        <v>25.88</v>
      </c>
      <c r="G4329" s="5">
        <v>49</v>
      </c>
      <c r="H4329" t="s">
        <v>23</v>
      </c>
      <c r="I4329" t="s">
        <v>55</v>
      </c>
      <c r="J4329" s="6">
        <v>13.99</v>
      </c>
      <c r="K4329">
        <v>0</v>
      </c>
      <c r="L4329" t="s">
        <v>43</v>
      </c>
      <c r="M4329" s="5">
        <v>2</v>
      </c>
      <c r="N4329" s="4">
        <v>0.52</v>
      </c>
      <c r="O4329" t="s">
        <v>34</v>
      </c>
    </row>
    <row r="4330" spans="1:15" x14ac:dyDescent="0.3">
      <c r="A4330" t="s">
        <v>2871</v>
      </c>
      <c r="B4330" s="5">
        <v>68</v>
      </c>
      <c r="C4330" s="5" t="str" cm="1">
        <f t="array" ref="C4330">_xlfn.IFS(worksheet[[#This Row],[age]]&lt;25,"1. Young Adulthood (18-24)",worksheet[[#This Row],[age]]&lt; 35,"2. Early Adulthood (25-34)",worksheet[[#This Row],[age]]&lt; 45,"3. Mid Adulthood (35-44)",worksheet[[#This Row],[age]]&lt; 55,"4. Mature Adulthood (45-54)",TRUE,"5. Late Adulthood/Senior (55+)")</f>
        <v>5. Late Adulthood/Senior (55+)</v>
      </c>
      <c r="D4330" t="s">
        <v>27</v>
      </c>
      <c r="E4330" t="s">
        <v>32</v>
      </c>
      <c r="F4330" s="4">
        <v>7.11</v>
      </c>
      <c r="G4330" s="5">
        <v>43</v>
      </c>
      <c r="H4330" t="s">
        <v>49</v>
      </c>
      <c r="I4330" t="s">
        <v>18</v>
      </c>
      <c r="J4330" s="6">
        <v>17.989999999999998</v>
      </c>
      <c r="K4330">
        <v>0</v>
      </c>
      <c r="L4330" t="s">
        <v>61</v>
      </c>
      <c r="M4330" s="5">
        <v>5</v>
      </c>
      <c r="N4330" s="4">
        <v>0.16</v>
      </c>
      <c r="O4330" t="s">
        <v>34</v>
      </c>
    </row>
    <row r="4331" spans="1:15" x14ac:dyDescent="0.3">
      <c r="A4331" t="s">
        <v>2878</v>
      </c>
      <c r="B4331" s="5">
        <v>58</v>
      </c>
      <c r="C4331" s="5" t="str" cm="1">
        <f t="array" ref="C4331">_xlfn.IFS(worksheet[[#This Row],[age]]&lt;25,"1. Young Adulthood (18-24)",worksheet[[#This Row],[age]]&lt; 35,"2. Early Adulthood (25-34)",worksheet[[#This Row],[age]]&lt; 45,"3. Mid Adulthood (35-44)",worksheet[[#This Row],[age]]&lt; 55,"4. Mature Adulthood (45-54)",TRUE,"5. Late Adulthood/Senior (55+)")</f>
        <v>5. Late Adulthood/Senior (55+)</v>
      </c>
      <c r="D4331" t="s">
        <v>41</v>
      </c>
      <c r="E4331" t="s">
        <v>16</v>
      </c>
      <c r="F4331" s="4">
        <v>0.36</v>
      </c>
      <c r="G4331" s="5">
        <v>39</v>
      </c>
      <c r="H4331" t="s">
        <v>17</v>
      </c>
      <c r="I4331" t="s">
        <v>46</v>
      </c>
      <c r="J4331" s="6">
        <v>8.99</v>
      </c>
      <c r="K4331">
        <v>1</v>
      </c>
      <c r="L4331" t="s">
        <v>43</v>
      </c>
      <c r="M4331" s="5">
        <v>3</v>
      </c>
      <c r="N4331" s="4">
        <v>0.01</v>
      </c>
      <c r="O4331" t="s">
        <v>30</v>
      </c>
    </row>
    <row r="4332" spans="1:15" x14ac:dyDescent="0.3">
      <c r="A4332" t="s">
        <v>2882</v>
      </c>
      <c r="B4332" s="5">
        <v>56</v>
      </c>
      <c r="C4332" s="5" t="str" cm="1">
        <f t="array" ref="C4332">_xlfn.IFS(worksheet[[#This Row],[age]]&lt;25,"1. Young Adulthood (18-24)",worksheet[[#This Row],[age]]&lt; 35,"2. Early Adulthood (25-34)",worksheet[[#This Row],[age]]&lt; 45,"3. Mid Adulthood (35-44)",worksheet[[#This Row],[age]]&lt; 55,"4. Mature Adulthood (45-54)",TRUE,"5. Late Adulthood/Senior (55+)")</f>
        <v>5. Late Adulthood/Senior (55+)</v>
      </c>
      <c r="D4332" t="s">
        <v>41</v>
      </c>
      <c r="E4332" t="s">
        <v>16</v>
      </c>
      <c r="F4332" s="4">
        <v>8.25</v>
      </c>
      <c r="G4332" s="5">
        <v>27</v>
      </c>
      <c r="H4332" t="s">
        <v>28</v>
      </c>
      <c r="I4332" t="s">
        <v>18</v>
      </c>
      <c r="J4332" s="6">
        <v>8.99</v>
      </c>
      <c r="K4332">
        <v>0</v>
      </c>
      <c r="L4332" t="s">
        <v>37</v>
      </c>
      <c r="M4332" s="5">
        <v>3</v>
      </c>
      <c r="N4332" s="4">
        <v>0.28999999999999998</v>
      </c>
      <c r="O4332" t="s">
        <v>47</v>
      </c>
    </row>
    <row r="4333" spans="1:15" x14ac:dyDescent="0.3">
      <c r="A4333" t="s">
        <v>2883</v>
      </c>
      <c r="B4333" s="5">
        <v>59</v>
      </c>
      <c r="C4333" s="5" t="str" cm="1">
        <f t="array" ref="C4333">_xlfn.IFS(worksheet[[#This Row],[age]]&lt;25,"1. Young Adulthood (18-24)",worksheet[[#This Row],[age]]&lt; 35,"2. Early Adulthood (25-34)",worksheet[[#This Row],[age]]&lt; 45,"3. Mid Adulthood (35-44)",worksheet[[#This Row],[age]]&lt; 55,"4. Mature Adulthood (45-54)",TRUE,"5. Late Adulthood/Senior (55+)")</f>
        <v>5. Late Adulthood/Senior (55+)</v>
      </c>
      <c r="D4333" t="s">
        <v>41</v>
      </c>
      <c r="E4333" t="s">
        <v>22</v>
      </c>
      <c r="F4333" s="4">
        <v>3.06</v>
      </c>
      <c r="G4333" s="5">
        <v>17</v>
      </c>
      <c r="H4333" t="s">
        <v>23</v>
      </c>
      <c r="I4333" t="s">
        <v>57</v>
      </c>
      <c r="J4333" s="6">
        <v>13.99</v>
      </c>
      <c r="K4333">
        <v>1</v>
      </c>
      <c r="L4333" t="s">
        <v>43</v>
      </c>
      <c r="M4333" s="5">
        <v>2</v>
      </c>
      <c r="N4333" s="4">
        <v>0.17</v>
      </c>
      <c r="O4333" t="s">
        <v>52</v>
      </c>
    </row>
    <row r="4334" spans="1:15" x14ac:dyDescent="0.3">
      <c r="A4334" t="s">
        <v>2886</v>
      </c>
      <c r="B4334" s="5">
        <v>64</v>
      </c>
      <c r="C4334" s="5" t="str" cm="1">
        <f t="array" ref="C4334">_xlfn.IFS(worksheet[[#This Row],[age]]&lt;25,"1. Young Adulthood (18-24)",worksheet[[#This Row],[age]]&lt; 35,"2. Early Adulthood (25-34)",worksheet[[#This Row],[age]]&lt; 45,"3. Mid Adulthood (35-44)",worksheet[[#This Row],[age]]&lt; 55,"4. Mature Adulthood (45-54)",TRUE,"5. Late Adulthood/Senior (55+)")</f>
        <v>5. Late Adulthood/Senior (55+)</v>
      </c>
      <c r="D4334" t="s">
        <v>27</v>
      </c>
      <c r="E4334" t="s">
        <v>32</v>
      </c>
      <c r="F4334" s="4">
        <v>22.92</v>
      </c>
      <c r="G4334" s="5">
        <v>7</v>
      </c>
      <c r="H4334" t="s">
        <v>17</v>
      </c>
      <c r="I4334" t="s">
        <v>55</v>
      </c>
      <c r="J4334" s="6">
        <v>17.989999999999998</v>
      </c>
      <c r="K4334">
        <v>0</v>
      </c>
      <c r="L4334" t="s">
        <v>37</v>
      </c>
      <c r="M4334" s="5">
        <v>1</v>
      </c>
      <c r="N4334" s="4">
        <v>2.87</v>
      </c>
      <c r="O4334" t="s">
        <v>20</v>
      </c>
    </row>
    <row r="4335" spans="1:15" x14ac:dyDescent="0.3">
      <c r="A4335" t="s">
        <v>2887</v>
      </c>
      <c r="B4335" s="5">
        <v>61</v>
      </c>
      <c r="C4335" s="5" t="str" cm="1">
        <f t="array" ref="C4335">_xlfn.IFS(worksheet[[#This Row],[age]]&lt;25,"1. Young Adulthood (18-24)",worksheet[[#This Row],[age]]&lt; 35,"2. Early Adulthood (25-34)",worksheet[[#This Row],[age]]&lt; 45,"3. Mid Adulthood (35-44)",worksheet[[#This Row],[age]]&lt; 55,"4. Mature Adulthood (45-54)",TRUE,"5. Late Adulthood/Senior (55+)")</f>
        <v>5. Late Adulthood/Senior (55+)</v>
      </c>
      <c r="D4335" t="s">
        <v>41</v>
      </c>
      <c r="E4335" t="s">
        <v>16</v>
      </c>
      <c r="F4335" s="4">
        <v>3.99</v>
      </c>
      <c r="G4335" s="5">
        <v>33</v>
      </c>
      <c r="H4335" t="s">
        <v>49</v>
      </c>
      <c r="I4335" t="s">
        <v>24</v>
      </c>
      <c r="J4335" s="6">
        <v>8.99</v>
      </c>
      <c r="K4335">
        <v>1</v>
      </c>
      <c r="L4335" t="s">
        <v>43</v>
      </c>
      <c r="M4335" s="5">
        <v>5</v>
      </c>
      <c r="N4335" s="4">
        <v>0.12</v>
      </c>
      <c r="O4335" t="s">
        <v>39</v>
      </c>
    </row>
    <row r="4336" spans="1:15" x14ac:dyDescent="0.3">
      <c r="A4336" t="s">
        <v>2890</v>
      </c>
      <c r="B4336" s="5">
        <v>58</v>
      </c>
      <c r="C4336" s="5" t="str" cm="1">
        <f t="array" ref="C4336">_xlfn.IFS(worksheet[[#This Row],[age]]&lt;25,"1. Young Adulthood (18-24)",worksheet[[#This Row],[age]]&lt; 35,"2. Early Adulthood (25-34)",worksheet[[#This Row],[age]]&lt; 45,"3. Mid Adulthood (35-44)",worksheet[[#This Row],[age]]&lt; 55,"4. Mature Adulthood (45-54)",TRUE,"5. Late Adulthood/Senior (55+)")</f>
        <v>5. Late Adulthood/Senior (55+)</v>
      </c>
      <c r="D4336" t="s">
        <v>27</v>
      </c>
      <c r="E4336" t="s">
        <v>16</v>
      </c>
      <c r="F4336" s="4">
        <v>3.59</v>
      </c>
      <c r="G4336" s="5">
        <v>29</v>
      </c>
      <c r="H4336" t="s">
        <v>28</v>
      </c>
      <c r="I4336" t="s">
        <v>18</v>
      </c>
      <c r="J4336" s="6">
        <v>8.99</v>
      </c>
      <c r="K4336">
        <v>1</v>
      </c>
      <c r="L4336" t="s">
        <v>43</v>
      </c>
      <c r="M4336" s="5">
        <v>3</v>
      </c>
      <c r="N4336" s="4">
        <v>0.12</v>
      </c>
      <c r="O4336" t="s">
        <v>34</v>
      </c>
    </row>
    <row r="4337" spans="1:15" x14ac:dyDescent="0.3">
      <c r="A4337" t="s">
        <v>2894</v>
      </c>
      <c r="B4337" s="5">
        <v>62</v>
      </c>
      <c r="C4337" s="5" t="str" cm="1">
        <f t="array" ref="C4337">_xlfn.IFS(worksheet[[#This Row],[age]]&lt;25,"1. Young Adulthood (18-24)",worksheet[[#This Row],[age]]&lt; 35,"2. Early Adulthood (25-34)",worksheet[[#This Row],[age]]&lt; 45,"3. Mid Adulthood (35-44)",worksheet[[#This Row],[age]]&lt; 55,"4. Mature Adulthood (45-54)",TRUE,"5. Late Adulthood/Senior (55+)")</f>
        <v>5. Late Adulthood/Senior (55+)</v>
      </c>
      <c r="D4337" t="s">
        <v>41</v>
      </c>
      <c r="E4337" t="s">
        <v>32</v>
      </c>
      <c r="F4337" s="4">
        <v>20.63</v>
      </c>
      <c r="G4337" s="5">
        <v>11</v>
      </c>
      <c r="H4337" t="s">
        <v>17</v>
      </c>
      <c r="I4337" t="s">
        <v>18</v>
      </c>
      <c r="J4337" s="6">
        <v>17.989999999999998</v>
      </c>
      <c r="K4337">
        <v>0</v>
      </c>
      <c r="L4337" t="s">
        <v>43</v>
      </c>
      <c r="M4337" s="5">
        <v>3</v>
      </c>
      <c r="N4337" s="4">
        <v>1.72</v>
      </c>
      <c r="O4337" t="s">
        <v>47</v>
      </c>
    </row>
    <row r="4338" spans="1:15" x14ac:dyDescent="0.3">
      <c r="A4338" t="s">
        <v>2895</v>
      </c>
      <c r="B4338" s="5">
        <v>66</v>
      </c>
      <c r="C4338" s="5" t="str" cm="1">
        <f t="array" ref="C4338">_xlfn.IFS(worksheet[[#This Row],[age]]&lt;25,"1. Young Adulthood (18-24)",worksheet[[#This Row],[age]]&lt; 35,"2. Early Adulthood (25-34)",worksheet[[#This Row],[age]]&lt; 45,"3. Mid Adulthood (35-44)",worksheet[[#This Row],[age]]&lt; 55,"4. Mature Adulthood (45-54)",TRUE,"5. Late Adulthood/Senior (55+)")</f>
        <v>5. Late Adulthood/Senior (55+)</v>
      </c>
      <c r="D4338" t="s">
        <v>27</v>
      </c>
      <c r="E4338" t="s">
        <v>22</v>
      </c>
      <c r="F4338" s="4">
        <v>6.54</v>
      </c>
      <c r="G4338" s="5">
        <v>7</v>
      </c>
      <c r="H4338" t="s">
        <v>17</v>
      </c>
      <c r="I4338" t="s">
        <v>57</v>
      </c>
      <c r="J4338" s="6">
        <v>13.99</v>
      </c>
      <c r="K4338">
        <v>0</v>
      </c>
      <c r="L4338" t="s">
        <v>43</v>
      </c>
      <c r="M4338" s="5">
        <v>2</v>
      </c>
      <c r="N4338" s="4">
        <v>0.82</v>
      </c>
      <c r="O4338" t="s">
        <v>47</v>
      </c>
    </row>
    <row r="4339" spans="1:15" x14ac:dyDescent="0.3">
      <c r="A4339" t="s">
        <v>2897</v>
      </c>
      <c r="B4339" s="5">
        <v>64</v>
      </c>
      <c r="C4339" s="5" t="str" cm="1">
        <f t="array" ref="C4339">_xlfn.IFS(worksheet[[#This Row],[age]]&lt;25,"1. Young Adulthood (18-24)",worksheet[[#This Row],[age]]&lt; 35,"2. Early Adulthood (25-34)",worksheet[[#This Row],[age]]&lt; 45,"3. Mid Adulthood (35-44)",worksheet[[#This Row],[age]]&lt; 55,"4. Mature Adulthood (45-54)",TRUE,"5. Late Adulthood/Senior (55+)")</f>
        <v>5. Late Adulthood/Senior (55+)</v>
      </c>
      <c r="D4339" t="s">
        <v>27</v>
      </c>
      <c r="E4339" t="s">
        <v>32</v>
      </c>
      <c r="F4339" s="4">
        <v>0.19</v>
      </c>
      <c r="G4339" s="5">
        <v>18</v>
      </c>
      <c r="H4339" t="s">
        <v>17</v>
      </c>
      <c r="I4339" t="s">
        <v>46</v>
      </c>
      <c r="J4339" s="6">
        <v>17.989999999999998</v>
      </c>
      <c r="K4339">
        <v>0</v>
      </c>
      <c r="L4339" t="s">
        <v>37</v>
      </c>
      <c r="M4339" s="5">
        <v>5</v>
      </c>
      <c r="N4339" s="4">
        <v>0.01</v>
      </c>
      <c r="O4339" t="s">
        <v>20</v>
      </c>
    </row>
    <row r="4340" spans="1:15" x14ac:dyDescent="0.3">
      <c r="A4340" s="1" t="s">
        <v>2899</v>
      </c>
      <c r="B4340" s="5">
        <v>58</v>
      </c>
      <c r="C4340" s="5" t="str" cm="1">
        <f t="array" ref="C4340">_xlfn.IFS(worksheet[[#This Row],[age]]&lt;25,"1. Young Adulthood (18-24)",worksheet[[#This Row],[age]]&lt; 35,"2. Early Adulthood (25-34)",worksheet[[#This Row],[age]]&lt; 45,"3. Mid Adulthood (35-44)",worksheet[[#This Row],[age]]&lt; 55,"4. Mature Adulthood (45-54)",TRUE,"5. Late Adulthood/Senior (55+)")</f>
        <v>5. Late Adulthood/Senior (55+)</v>
      </c>
      <c r="D4340" t="s">
        <v>41</v>
      </c>
      <c r="E4340" t="s">
        <v>22</v>
      </c>
      <c r="F4340" s="4">
        <v>6.88</v>
      </c>
      <c r="G4340" s="5">
        <v>22</v>
      </c>
      <c r="H4340" t="s">
        <v>28</v>
      </c>
      <c r="I4340" t="s">
        <v>55</v>
      </c>
      <c r="J4340" s="6">
        <v>13.99</v>
      </c>
      <c r="K4340">
        <v>0</v>
      </c>
      <c r="L4340" t="s">
        <v>29</v>
      </c>
      <c r="M4340" s="5">
        <v>3</v>
      </c>
      <c r="N4340" s="4">
        <v>0.3</v>
      </c>
      <c r="O4340" t="s">
        <v>39</v>
      </c>
    </row>
    <row r="4341" spans="1:15" x14ac:dyDescent="0.3">
      <c r="A4341" t="s">
        <v>2903</v>
      </c>
      <c r="B4341" s="5">
        <v>61</v>
      </c>
      <c r="C4341" s="5" t="str" cm="1">
        <f t="array" ref="C4341">_xlfn.IFS(worksheet[[#This Row],[age]]&lt;25,"1. Young Adulthood (18-24)",worksheet[[#This Row],[age]]&lt; 35,"2. Early Adulthood (25-34)",worksheet[[#This Row],[age]]&lt; 45,"3. Mid Adulthood (35-44)",worksheet[[#This Row],[age]]&lt; 55,"4. Mature Adulthood (45-54)",TRUE,"5. Late Adulthood/Senior (55+)")</f>
        <v>5. Late Adulthood/Senior (55+)</v>
      </c>
      <c r="D4341" t="s">
        <v>15</v>
      </c>
      <c r="E4341" t="s">
        <v>32</v>
      </c>
      <c r="F4341" s="4">
        <v>28.65</v>
      </c>
      <c r="G4341" s="5">
        <v>36</v>
      </c>
      <c r="H4341" t="s">
        <v>23</v>
      </c>
      <c r="I4341" t="s">
        <v>46</v>
      </c>
      <c r="J4341" s="6">
        <v>17.989999999999998</v>
      </c>
      <c r="K4341">
        <v>0</v>
      </c>
      <c r="L4341" t="s">
        <v>43</v>
      </c>
      <c r="M4341" s="5">
        <v>5</v>
      </c>
      <c r="N4341" s="4">
        <v>0.77</v>
      </c>
      <c r="O4341" t="s">
        <v>30</v>
      </c>
    </row>
    <row r="4342" spans="1:15" x14ac:dyDescent="0.3">
      <c r="A4342" t="s">
        <v>2908</v>
      </c>
      <c r="B4342" s="5">
        <v>65</v>
      </c>
      <c r="C4342" s="5" t="str" cm="1">
        <f t="array" ref="C4342">_xlfn.IFS(worksheet[[#This Row],[age]]&lt;25,"1. Young Adulthood (18-24)",worksheet[[#This Row],[age]]&lt; 35,"2. Early Adulthood (25-34)",worksheet[[#This Row],[age]]&lt; 45,"3. Mid Adulthood (35-44)",worksheet[[#This Row],[age]]&lt; 55,"4. Mature Adulthood (45-54)",TRUE,"5. Late Adulthood/Senior (55+)")</f>
        <v>5. Late Adulthood/Senior (55+)</v>
      </c>
      <c r="D4342" t="s">
        <v>41</v>
      </c>
      <c r="E4342" t="s">
        <v>16</v>
      </c>
      <c r="F4342" s="4">
        <v>6.36</v>
      </c>
      <c r="G4342" s="5">
        <v>31</v>
      </c>
      <c r="H4342" t="s">
        <v>23</v>
      </c>
      <c r="I4342" t="s">
        <v>57</v>
      </c>
      <c r="J4342" s="6">
        <v>8.99</v>
      </c>
      <c r="K4342">
        <v>1</v>
      </c>
      <c r="L4342" t="s">
        <v>61</v>
      </c>
      <c r="M4342" s="5">
        <v>4</v>
      </c>
      <c r="N4342" s="4">
        <v>0.2</v>
      </c>
      <c r="O4342" t="s">
        <v>25</v>
      </c>
    </row>
    <row r="4343" spans="1:15" x14ac:dyDescent="0.3">
      <c r="A4343" t="s">
        <v>2909</v>
      </c>
      <c r="B4343" s="5">
        <v>57</v>
      </c>
      <c r="C4343" s="5" t="str" cm="1">
        <f t="array" ref="C4343">_xlfn.IFS(worksheet[[#This Row],[age]]&lt;25,"1. Young Adulthood (18-24)",worksheet[[#This Row],[age]]&lt; 35,"2. Early Adulthood (25-34)",worksheet[[#This Row],[age]]&lt; 45,"3. Mid Adulthood (35-44)",worksheet[[#This Row],[age]]&lt; 55,"4. Mature Adulthood (45-54)",TRUE,"5. Late Adulthood/Senior (55+)")</f>
        <v>5. Late Adulthood/Senior (55+)</v>
      </c>
      <c r="D4343" t="s">
        <v>41</v>
      </c>
      <c r="E4343" t="s">
        <v>16</v>
      </c>
      <c r="F4343" s="4">
        <v>12.3</v>
      </c>
      <c r="G4343" s="5">
        <v>26</v>
      </c>
      <c r="H4343" t="s">
        <v>28</v>
      </c>
      <c r="I4343" t="s">
        <v>57</v>
      </c>
      <c r="J4343" s="6">
        <v>8.99</v>
      </c>
      <c r="K4343">
        <v>0</v>
      </c>
      <c r="L4343" t="s">
        <v>37</v>
      </c>
      <c r="M4343" s="5">
        <v>4</v>
      </c>
      <c r="N4343" s="4">
        <v>0.46</v>
      </c>
      <c r="O4343" t="s">
        <v>25</v>
      </c>
    </row>
    <row r="4344" spans="1:15" x14ac:dyDescent="0.3">
      <c r="A4344" t="s">
        <v>2913</v>
      </c>
      <c r="B4344" s="5">
        <v>58</v>
      </c>
      <c r="C4344" s="5" t="str" cm="1">
        <f t="array" ref="C4344">_xlfn.IFS(worksheet[[#This Row],[age]]&lt;25,"1. Young Adulthood (18-24)",worksheet[[#This Row],[age]]&lt; 35,"2. Early Adulthood (25-34)",worksheet[[#This Row],[age]]&lt; 45,"3. Mid Adulthood (35-44)",worksheet[[#This Row],[age]]&lt; 55,"4. Mature Adulthood (45-54)",TRUE,"5. Late Adulthood/Senior (55+)")</f>
        <v>5. Late Adulthood/Senior (55+)</v>
      </c>
      <c r="D4344" t="s">
        <v>41</v>
      </c>
      <c r="E4344" t="s">
        <v>32</v>
      </c>
      <c r="F4344" s="4">
        <v>15.91</v>
      </c>
      <c r="G4344" s="5">
        <v>49</v>
      </c>
      <c r="H4344" t="s">
        <v>49</v>
      </c>
      <c r="I4344" t="s">
        <v>24</v>
      </c>
      <c r="J4344" s="6">
        <v>17.989999999999998</v>
      </c>
      <c r="K4344">
        <v>1</v>
      </c>
      <c r="L4344" t="s">
        <v>19</v>
      </c>
      <c r="M4344" s="5">
        <v>1</v>
      </c>
      <c r="N4344" s="4">
        <v>0.32</v>
      </c>
      <c r="O4344" t="s">
        <v>30</v>
      </c>
    </row>
    <row r="4345" spans="1:15" x14ac:dyDescent="0.3">
      <c r="A4345" t="s">
        <v>2915</v>
      </c>
      <c r="B4345" s="5">
        <v>64</v>
      </c>
      <c r="C4345" s="5" t="str" cm="1">
        <f t="array" ref="C4345">_xlfn.IFS(worksheet[[#This Row],[age]]&lt;25,"1. Young Adulthood (18-24)",worksheet[[#This Row],[age]]&lt; 35,"2. Early Adulthood (25-34)",worksheet[[#This Row],[age]]&lt; 45,"3. Mid Adulthood (35-44)",worksheet[[#This Row],[age]]&lt; 55,"4. Mature Adulthood (45-54)",TRUE,"5. Late Adulthood/Senior (55+)")</f>
        <v>5. Late Adulthood/Senior (55+)</v>
      </c>
      <c r="D4345" t="s">
        <v>27</v>
      </c>
      <c r="E4345" t="s">
        <v>32</v>
      </c>
      <c r="F4345" s="4">
        <v>1.22</v>
      </c>
      <c r="G4345" s="5">
        <v>56</v>
      </c>
      <c r="H4345" t="s">
        <v>28</v>
      </c>
      <c r="I4345" t="s">
        <v>55</v>
      </c>
      <c r="J4345" s="6">
        <v>17.989999999999998</v>
      </c>
      <c r="K4345">
        <v>1</v>
      </c>
      <c r="L4345" t="s">
        <v>29</v>
      </c>
      <c r="M4345" s="5">
        <v>1</v>
      </c>
      <c r="N4345" s="4">
        <v>0.02</v>
      </c>
      <c r="O4345" t="s">
        <v>47</v>
      </c>
    </row>
    <row r="4346" spans="1:15" x14ac:dyDescent="0.3">
      <c r="A4346" t="s">
        <v>2917</v>
      </c>
      <c r="B4346" s="5">
        <v>56</v>
      </c>
      <c r="C4346" s="5" t="str" cm="1">
        <f t="array" ref="C4346">_xlfn.IFS(worksheet[[#This Row],[age]]&lt;25,"1. Young Adulthood (18-24)",worksheet[[#This Row],[age]]&lt; 35,"2. Early Adulthood (25-34)",worksheet[[#This Row],[age]]&lt; 45,"3. Mid Adulthood (35-44)",worksheet[[#This Row],[age]]&lt; 55,"4. Mature Adulthood (45-54)",TRUE,"5. Late Adulthood/Senior (55+)")</f>
        <v>5. Late Adulthood/Senior (55+)</v>
      </c>
      <c r="D4346" t="s">
        <v>27</v>
      </c>
      <c r="E4346" t="s">
        <v>16</v>
      </c>
      <c r="F4346" s="4">
        <v>8.3000000000000007</v>
      </c>
      <c r="G4346" s="5">
        <v>55</v>
      </c>
      <c r="H4346" t="s">
        <v>28</v>
      </c>
      <c r="I4346" t="s">
        <v>18</v>
      </c>
      <c r="J4346" s="6">
        <v>8.99</v>
      </c>
      <c r="K4346">
        <v>1</v>
      </c>
      <c r="L4346" t="s">
        <v>43</v>
      </c>
      <c r="M4346" s="5">
        <v>3</v>
      </c>
      <c r="N4346" s="4">
        <v>0.15</v>
      </c>
      <c r="O4346" t="s">
        <v>47</v>
      </c>
    </row>
    <row r="4347" spans="1:15" x14ac:dyDescent="0.3">
      <c r="A4347" t="s">
        <v>2921</v>
      </c>
      <c r="B4347" s="5">
        <v>69</v>
      </c>
      <c r="C4347" s="5" t="str" cm="1">
        <f t="array" ref="C4347">_xlfn.IFS(worksheet[[#This Row],[age]]&lt;25,"1. Young Adulthood (18-24)",worksheet[[#This Row],[age]]&lt; 35,"2. Early Adulthood (25-34)",worksheet[[#This Row],[age]]&lt; 45,"3. Mid Adulthood (35-44)",worksheet[[#This Row],[age]]&lt; 55,"4. Mature Adulthood (45-54)",TRUE,"5. Late Adulthood/Senior (55+)")</f>
        <v>5. Late Adulthood/Senior (55+)</v>
      </c>
      <c r="D4347" t="s">
        <v>15</v>
      </c>
      <c r="E4347" t="s">
        <v>32</v>
      </c>
      <c r="F4347" s="4">
        <v>3.84</v>
      </c>
      <c r="G4347" s="5">
        <v>30</v>
      </c>
      <c r="H4347" t="s">
        <v>28</v>
      </c>
      <c r="I4347" t="s">
        <v>55</v>
      </c>
      <c r="J4347" s="6">
        <v>17.989999999999998</v>
      </c>
      <c r="K4347">
        <v>1</v>
      </c>
      <c r="L4347" t="s">
        <v>29</v>
      </c>
      <c r="M4347" s="5">
        <v>5</v>
      </c>
      <c r="N4347" s="4">
        <v>0.12</v>
      </c>
      <c r="O4347" t="s">
        <v>52</v>
      </c>
    </row>
    <row r="4348" spans="1:15" x14ac:dyDescent="0.3">
      <c r="A4348" t="s">
        <v>2923</v>
      </c>
      <c r="B4348" s="5">
        <v>65</v>
      </c>
      <c r="C4348" s="5" t="str" cm="1">
        <f t="array" ref="C4348">_xlfn.IFS(worksheet[[#This Row],[age]]&lt;25,"1. Young Adulthood (18-24)",worksheet[[#This Row],[age]]&lt; 35,"2. Early Adulthood (25-34)",worksheet[[#This Row],[age]]&lt; 45,"3. Mid Adulthood (35-44)",worksheet[[#This Row],[age]]&lt; 55,"4. Mature Adulthood (45-54)",TRUE,"5. Late Adulthood/Senior (55+)")</f>
        <v>5. Late Adulthood/Senior (55+)</v>
      </c>
      <c r="D4348" t="s">
        <v>27</v>
      </c>
      <c r="E4348" t="s">
        <v>22</v>
      </c>
      <c r="F4348" s="4">
        <v>8.23</v>
      </c>
      <c r="G4348" s="5">
        <v>57</v>
      </c>
      <c r="H4348" t="s">
        <v>28</v>
      </c>
      <c r="I4348" t="s">
        <v>18</v>
      </c>
      <c r="J4348" s="6">
        <v>13.99</v>
      </c>
      <c r="K4348">
        <v>1</v>
      </c>
      <c r="L4348" t="s">
        <v>29</v>
      </c>
      <c r="M4348" s="5">
        <v>1</v>
      </c>
      <c r="N4348" s="4">
        <v>0.14000000000000001</v>
      </c>
      <c r="O4348" t="s">
        <v>47</v>
      </c>
    </row>
    <row r="4349" spans="1:15" x14ac:dyDescent="0.3">
      <c r="A4349" t="s">
        <v>2925</v>
      </c>
      <c r="B4349" s="5">
        <v>62</v>
      </c>
      <c r="C4349" s="5" t="str" cm="1">
        <f t="array" ref="C4349">_xlfn.IFS(worksheet[[#This Row],[age]]&lt;25,"1. Young Adulthood (18-24)",worksheet[[#This Row],[age]]&lt; 35,"2. Early Adulthood (25-34)",worksheet[[#This Row],[age]]&lt; 45,"3. Mid Adulthood (35-44)",worksheet[[#This Row],[age]]&lt; 55,"4. Mature Adulthood (45-54)",TRUE,"5. Late Adulthood/Senior (55+)")</f>
        <v>5. Late Adulthood/Senior (55+)</v>
      </c>
      <c r="D4349" t="s">
        <v>41</v>
      </c>
      <c r="E4349" t="s">
        <v>32</v>
      </c>
      <c r="F4349" s="4">
        <v>10.76</v>
      </c>
      <c r="G4349" s="5">
        <v>31</v>
      </c>
      <c r="H4349" t="s">
        <v>17</v>
      </c>
      <c r="I4349" t="s">
        <v>55</v>
      </c>
      <c r="J4349" s="6">
        <v>17.989999999999998</v>
      </c>
      <c r="K4349">
        <v>1</v>
      </c>
      <c r="L4349" t="s">
        <v>43</v>
      </c>
      <c r="M4349" s="5">
        <v>1</v>
      </c>
      <c r="N4349" s="4">
        <v>0.34</v>
      </c>
      <c r="O4349" t="s">
        <v>34</v>
      </c>
    </row>
    <row r="4350" spans="1:15" x14ac:dyDescent="0.3">
      <c r="A4350" t="s">
        <v>2927</v>
      </c>
      <c r="B4350" s="5">
        <v>58</v>
      </c>
      <c r="C4350" s="5" t="str" cm="1">
        <f t="array" ref="C4350">_xlfn.IFS(worksheet[[#This Row],[age]]&lt;25,"1. Young Adulthood (18-24)",worksheet[[#This Row],[age]]&lt; 35,"2. Early Adulthood (25-34)",worksheet[[#This Row],[age]]&lt; 45,"3. Mid Adulthood (35-44)",worksheet[[#This Row],[age]]&lt; 55,"4. Mature Adulthood (45-54)",TRUE,"5. Late Adulthood/Senior (55+)")</f>
        <v>5. Late Adulthood/Senior (55+)</v>
      </c>
      <c r="D4350" t="s">
        <v>41</v>
      </c>
      <c r="E4350" t="s">
        <v>32</v>
      </c>
      <c r="F4350" s="4">
        <v>26.15</v>
      </c>
      <c r="G4350" s="5">
        <v>53</v>
      </c>
      <c r="H4350" t="s">
        <v>49</v>
      </c>
      <c r="I4350" t="s">
        <v>55</v>
      </c>
      <c r="J4350" s="6">
        <v>17.989999999999998</v>
      </c>
      <c r="K4350">
        <v>0</v>
      </c>
      <c r="L4350" t="s">
        <v>61</v>
      </c>
      <c r="M4350" s="5">
        <v>1</v>
      </c>
      <c r="N4350" s="4">
        <v>0.48</v>
      </c>
      <c r="O4350" t="s">
        <v>39</v>
      </c>
    </row>
    <row r="4351" spans="1:15" x14ac:dyDescent="0.3">
      <c r="A4351" t="s">
        <v>2930</v>
      </c>
      <c r="B4351" s="5">
        <v>57</v>
      </c>
      <c r="C4351" s="5" t="str" cm="1">
        <f t="array" ref="C4351">_xlfn.IFS(worksheet[[#This Row],[age]]&lt;25,"1. Young Adulthood (18-24)",worksheet[[#This Row],[age]]&lt; 35,"2. Early Adulthood (25-34)",worksheet[[#This Row],[age]]&lt; 45,"3. Mid Adulthood (35-44)",worksheet[[#This Row],[age]]&lt; 55,"4. Mature Adulthood (45-54)",TRUE,"5. Late Adulthood/Senior (55+)")</f>
        <v>5. Late Adulthood/Senior (55+)</v>
      </c>
      <c r="D4351" t="s">
        <v>27</v>
      </c>
      <c r="E4351" t="s">
        <v>16</v>
      </c>
      <c r="F4351" s="4">
        <v>1.76</v>
      </c>
      <c r="G4351" s="5">
        <v>10</v>
      </c>
      <c r="H4351" t="s">
        <v>70</v>
      </c>
      <c r="I4351" t="s">
        <v>57</v>
      </c>
      <c r="J4351" s="6">
        <v>8.99</v>
      </c>
      <c r="K4351">
        <v>1</v>
      </c>
      <c r="L4351" t="s">
        <v>61</v>
      </c>
      <c r="M4351" s="5">
        <v>4</v>
      </c>
      <c r="N4351" s="4">
        <v>0.16</v>
      </c>
      <c r="O4351" t="s">
        <v>47</v>
      </c>
    </row>
    <row r="4352" spans="1:15" x14ac:dyDescent="0.3">
      <c r="A4352" t="s">
        <v>2931</v>
      </c>
      <c r="B4352" s="5">
        <v>58</v>
      </c>
      <c r="C4352" s="5" t="str" cm="1">
        <f t="array" ref="C4352">_xlfn.IFS(worksheet[[#This Row],[age]]&lt;25,"1. Young Adulthood (18-24)",worksheet[[#This Row],[age]]&lt; 35,"2. Early Adulthood (25-34)",worksheet[[#This Row],[age]]&lt; 45,"3. Mid Adulthood (35-44)",worksheet[[#This Row],[age]]&lt; 55,"4. Mature Adulthood (45-54)",TRUE,"5. Late Adulthood/Senior (55+)")</f>
        <v>5. Late Adulthood/Senior (55+)</v>
      </c>
      <c r="D4352" t="s">
        <v>41</v>
      </c>
      <c r="E4352" t="s">
        <v>32</v>
      </c>
      <c r="F4352" s="4">
        <v>8.43</v>
      </c>
      <c r="G4352" s="5">
        <v>49</v>
      </c>
      <c r="H4352" t="s">
        <v>23</v>
      </c>
      <c r="I4352" t="s">
        <v>57</v>
      </c>
      <c r="J4352" s="6">
        <v>17.989999999999998</v>
      </c>
      <c r="K4352">
        <v>1</v>
      </c>
      <c r="L4352" t="s">
        <v>29</v>
      </c>
      <c r="M4352" s="5">
        <v>1</v>
      </c>
      <c r="N4352" s="4">
        <v>0.17</v>
      </c>
      <c r="O4352" t="s">
        <v>39</v>
      </c>
    </row>
    <row r="4353" spans="1:15" x14ac:dyDescent="0.3">
      <c r="A4353" t="s">
        <v>2943</v>
      </c>
      <c r="B4353" s="5">
        <v>61</v>
      </c>
      <c r="C4353" s="5" t="str" cm="1">
        <f t="array" ref="C4353">_xlfn.IFS(worksheet[[#This Row],[age]]&lt;25,"1. Young Adulthood (18-24)",worksheet[[#This Row],[age]]&lt; 35,"2. Early Adulthood (25-34)",worksheet[[#This Row],[age]]&lt; 45,"3. Mid Adulthood (35-44)",worksheet[[#This Row],[age]]&lt; 55,"4. Mature Adulthood (45-54)",TRUE,"5. Late Adulthood/Senior (55+)")</f>
        <v>5. Late Adulthood/Senior (55+)</v>
      </c>
      <c r="D4353" t="s">
        <v>41</v>
      </c>
      <c r="E4353" t="s">
        <v>32</v>
      </c>
      <c r="F4353" s="4">
        <v>4.67</v>
      </c>
      <c r="G4353" s="5">
        <v>43</v>
      </c>
      <c r="H4353" t="s">
        <v>49</v>
      </c>
      <c r="I4353" t="s">
        <v>18</v>
      </c>
      <c r="J4353" s="6">
        <v>17.989999999999998</v>
      </c>
      <c r="K4353">
        <v>1</v>
      </c>
      <c r="L4353" t="s">
        <v>29</v>
      </c>
      <c r="M4353" s="5">
        <v>4</v>
      </c>
      <c r="N4353" s="4">
        <v>0.11</v>
      </c>
      <c r="O4353" t="s">
        <v>39</v>
      </c>
    </row>
    <row r="4354" spans="1:15" x14ac:dyDescent="0.3">
      <c r="A4354" t="s">
        <v>2947</v>
      </c>
      <c r="B4354" s="5">
        <v>67</v>
      </c>
      <c r="C4354" s="5" t="str" cm="1">
        <f t="array" ref="C4354">_xlfn.IFS(worksheet[[#This Row],[age]]&lt;25,"1. Young Adulthood (18-24)",worksheet[[#This Row],[age]]&lt; 35,"2. Early Adulthood (25-34)",worksheet[[#This Row],[age]]&lt; 45,"3. Mid Adulthood (35-44)",worksheet[[#This Row],[age]]&lt; 55,"4. Mature Adulthood (45-54)",TRUE,"5. Late Adulthood/Senior (55+)")</f>
        <v>5. Late Adulthood/Senior (55+)</v>
      </c>
      <c r="D4354" t="s">
        <v>27</v>
      </c>
      <c r="E4354" t="s">
        <v>16</v>
      </c>
      <c r="F4354" s="4">
        <v>8.2799999999999994</v>
      </c>
      <c r="G4354" s="5">
        <v>51</v>
      </c>
      <c r="H4354" t="s">
        <v>17</v>
      </c>
      <c r="I4354" t="s">
        <v>46</v>
      </c>
      <c r="J4354" s="6">
        <v>8.99</v>
      </c>
      <c r="K4354">
        <v>1</v>
      </c>
      <c r="L4354" t="s">
        <v>19</v>
      </c>
      <c r="M4354" s="5">
        <v>2</v>
      </c>
      <c r="N4354" s="4">
        <v>0.16</v>
      </c>
      <c r="O4354" t="s">
        <v>47</v>
      </c>
    </row>
    <row r="4355" spans="1:15" x14ac:dyDescent="0.3">
      <c r="A4355" t="s">
        <v>2948</v>
      </c>
      <c r="B4355" s="5">
        <v>59</v>
      </c>
      <c r="C4355" s="5" t="str" cm="1">
        <f t="array" ref="C4355">_xlfn.IFS(worksheet[[#This Row],[age]]&lt;25,"1. Young Adulthood (18-24)",worksheet[[#This Row],[age]]&lt; 35,"2. Early Adulthood (25-34)",worksheet[[#This Row],[age]]&lt; 45,"3. Mid Adulthood (35-44)",worksheet[[#This Row],[age]]&lt; 55,"4. Mature Adulthood (45-54)",TRUE,"5. Late Adulthood/Senior (55+)")</f>
        <v>5. Late Adulthood/Senior (55+)</v>
      </c>
      <c r="D4355" t="s">
        <v>15</v>
      </c>
      <c r="E4355" t="s">
        <v>16</v>
      </c>
      <c r="F4355" s="4">
        <v>4.96</v>
      </c>
      <c r="G4355" s="5">
        <v>51</v>
      </c>
      <c r="H4355" t="s">
        <v>49</v>
      </c>
      <c r="I4355" t="s">
        <v>24</v>
      </c>
      <c r="J4355" s="6">
        <v>8.99</v>
      </c>
      <c r="K4355">
        <v>1</v>
      </c>
      <c r="L4355" t="s">
        <v>43</v>
      </c>
      <c r="M4355" s="5">
        <v>1</v>
      </c>
      <c r="N4355" s="4">
        <v>0.1</v>
      </c>
      <c r="O4355" t="s">
        <v>47</v>
      </c>
    </row>
    <row r="4356" spans="1:15" x14ac:dyDescent="0.3">
      <c r="A4356" t="s">
        <v>2951</v>
      </c>
      <c r="B4356" s="5">
        <v>65</v>
      </c>
      <c r="C4356" s="5" t="str" cm="1">
        <f t="array" ref="C4356">_xlfn.IFS(worksheet[[#This Row],[age]]&lt;25,"1. Young Adulthood (18-24)",worksheet[[#This Row],[age]]&lt; 35,"2. Early Adulthood (25-34)",worksheet[[#This Row],[age]]&lt; 45,"3. Mid Adulthood (35-44)",worksheet[[#This Row],[age]]&lt; 55,"4. Mature Adulthood (45-54)",TRUE,"5. Late Adulthood/Senior (55+)")</f>
        <v>5. Late Adulthood/Senior (55+)</v>
      </c>
      <c r="D4356" t="s">
        <v>27</v>
      </c>
      <c r="E4356" t="s">
        <v>16</v>
      </c>
      <c r="F4356" s="4">
        <v>1.85</v>
      </c>
      <c r="G4356" s="5">
        <v>34</v>
      </c>
      <c r="H4356" t="s">
        <v>28</v>
      </c>
      <c r="I4356" t="s">
        <v>18</v>
      </c>
      <c r="J4356" s="6">
        <v>8.99</v>
      </c>
      <c r="K4356">
        <v>1</v>
      </c>
      <c r="L4356" t="s">
        <v>43</v>
      </c>
      <c r="M4356" s="5">
        <v>2</v>
      </c>
      <c r="N4356" s="4">
        <v>0.05</v>
      </c>
      <c r="O4356" t="s">
        <v>39</v>
      </c>
    </row>
    <row r="4357" spans="1:15" x14ac:dyDescent="0.3">
      <c r="A4357" t="s">
        <v>2952</v>
      </c>
      <c r="B4357" s="5">
        <v>70</v>
      </c>
      <c r="C4357" s="5" t="str" cm="1">
        <f t="array" ref="C4357">_xlfn.IFS(worksheet[[#This Row],[age]]&lt;25,"1. Young Adulthood (18-24)",worksheet[[#This Row],[age]]&lt; 35,"2. Early Adulthood (25-34)",worksheet[[#This Row],[age]]&lt; 45,"3. Mid Adulthood (35-44)",worksheet[[#This Row],[age]]&lt; 55,"4. Mature Adulthood (45-54)",TRUE,"5. Late Adulthood/Senior (55+)")</f>
        <v>5. Late Adulthood/Senior (55+)</v>
      </c>
      <c r="D4357" t="s">
        <v>41</v>
      </c>
      <c r="E4357" t="s">
        <v>32</v>
      </c>
      <c r="F4357" s="4">
        <v>8.2899999999999991</v>
      </c>
      <c r="G4357" s="5">
        <v>13</v>
      </c>
      <c r="H4357" t="s">
        <v>70</v>
      </c>
      <c r="I4357" t="s">
        <v>24</v>
      </c>
      <c r="J4357" s="6">
        <v>17.989999999999998</v>
      </c>
      <c r="K4357">
        <v>0</v>
      </c>
      <c r="L4357" t="s">
        <v>19</v>
      </c>
      <c r="M4357" s="5">
        <v>1</v>
      </c>
      <c r="N4357" s="4">
        <v>0.59</v>
      </c>
      <c r="O4357" t="s">
        <v>47</v>
      </c>
    </row>
    <row r="4358" spans="1:15" x14ac:dyDescent="0.3">
      <c r="A4358" t="s">
        <v>2954</v>
      </c>
      <c r="B4358" s="5">
        <v>59</v>
      </c>
      <c r="C4358" s="5" t="str" cm="1">
        <f t="array" ref="C4358">_xlfn.IFS(worksheet[[#This Row],[age]]&lt;25,"1. Young Adulthood (18-24)",worksheet[[#This Row],[age]]&lt; 35,"2. Early Adulthood (25-34)",worksheet[[#This Row],[age]]&lt; 45,"3. Mid Adulthood (35-44)",worksheet[[#This Row],[age]]&lt; 55,"4. Mature Adulthood (45-54)",TRUE,"5. Late Adulthood/Senior (55+)")</f>
        <v>5. Late Adulthood/Senior (55+)</v>
      </c>
      <c r="D4358" t="s">
        <v>15</v>
      </c>
      <c r="E4358" t="s">
        <v>22</v>
      </c>
      <c r="F4358" s="4">
        <v>3.7</v>
      </c>
      <c r="G4358" s="5">
        <v>22</v>
      </c>
      <c r="H4358" t="s">
        <v>23</v>
      </c>
      <c r="I4358" t="s">
        <v>57</v>
      </c>
      <c r="J4358" s="6">
        <v>13.99</v>
      </c>
      <c r="K4358">
        <v>1</v>
      </c>
      <c r="L4358" t="s">
        <v>19</v>
      </c>
      <c r="M4358" s="5">
        <v>3</v>
      </c>
      <c r="N4358" s="4">
        <v>0.16</v>
      </c>
      <c r="O4358" t="s">
        <v>47</v>
      </c>
    </row>
    <row r="4359" spans="1:15" x14ac:dyDescent="0.3">
      <c r="A4359" t="s">
        <v>2955</v>
      </c>
      <c r="B4359" s="5">
        <v>58</v>
      </c>
      <c r="C4359" s="5" t="str" cm="1">
        <f t="array" ref="C4359">_xlfn.IFS(worksheet[[#This Row],[age]]&lt;25,"1. Young Adulthood (18-24)",worksheet[[#This Row],[age]]&lt; 35,"2. Early Adulthood (25-34)",worksheet[[#This Row],[age]]&lt; 45,"3. Mid Adulthood (35-44)",worksheet[[#This Row],[age]]&lt; 55,"4. Mature Adulthood (45-54)",TRUE,"5. Late Adulthood/Senior (55+)")</f>
        <v>5. Late Adulthood/Senior (55+)</v>
      </c>
      <c r="D4359" t="s">
        <v>27</v>
      </c>
      <c r="E4359" t="s">
        <v>16</v>
      </c>
      <c r="F4359" s="4">
        <v>5.08</v>
      </c>
      <c r="G4359" s="5">
        <v>48</v>
      </c>
      <c r="H4359" t="s">
        <v>28</v>
      </c>
      <c r="I4359" t="s">
        <v>18</v>
      </c>
      <c r="J4359" s="6">
        <v>8.99</v>
      </c>
      <c r="K4359">
        <v>1</v>
      </c>
      <c r="L4359" t="s">
        <v>43</v>
      </c>
      <c r="M4359" s="5">
        <v>5</v>
      </c>
      <c r="N4359" s="4">
        <v>0.1</v>
      </c>
      <c r="O4359" t="s">
        <v>52</v>
      </c>
    </row>
    <row r="4360" spans="1:15" x14ac:dyDescent="0.3">
      <c r="A4360" t="s">
        <v>2956</v>
      </c>
      <c r="B4360" s="5">
        <v>56</v>
      </c>
      <c r="C4360" s="5" t="str" cm="1">
        <f t="array" ref="C4360">_xlfn.IFS(worksheet[[#This Row],[age]]&lt;25,"1. Young Adulthood (18-24)",worksheet[[#This Row],[age]]&lt; 35,"2. Early Adulthood (25-34)",worksheet[[#This Row],[age]]&lt; 45,"3. Mid Adulthood (35-44)",worksheet[[#This Row],[age]]&lt; 55,"4. Mature Adulthood (45-54)",TRUE,"5. Late Adulthood/Senior (55+)")</f>
        <v>5. Late Adulthood/Senior (55+)</v>
      </c>
      <c r="D4360" t="s">
        <v>27</v>
      </c>
      <c r="E4360" t="s">
        <v>16</v>
      </c>
      <c r="F4360" s="4">
        <v>23.72</v>
      </c>
      <c r="G4360" s="5">
        <v>13</v>
      </c>
      <c r="H4360" t="s">
        <v>49</v>
      </c>
      <c r="I4360" t="s">
        <v>24</v>
      </c>
      <c r="J4360" s="6">
        <v>8.99</v>
      </c>
      <c r="K4360">
        <v>0</v>
      </c>
      <c r="L4360" t="s">
        <v>37</v>
      </c>
      <c r="M4360" s="5">
        <v>1</v>
      </c>
      <c r="N4360" s="4">
        <v>1.69</v>
      </c>
      <c r="O4360" t="s">
        <v>47</v>
      </c>
    </row>
    <row r="4361" spans="1:15" x14ac:dyDescent="0.3">
      <c r="A4361" t="s">
        <v>2961</v>
      </c>
      <c r="B4361" s="5">
        <v>63</v>
      </c>
      <c r="C4361" s="5" t="str" cm="1">
        <f t="array" ref="C4361">_xlfn.IFS(worksheet[[#This Row],[age]]&lt;25,"1. Young Adulthood (18-24)",worksheet[[#This Row],[age]]&lt; 35,"2. Early Adulthood (25-34)",worksheet[[#This Row],[age]]&lt; 45,"3. Mid Adulthood (35-44)",worksheet[[#This Row],[age]]&lt; 55,"4. Mature Adulthood (45-54)",TRUE,"5. Late Adulthood/Senior (55+)")</f>
        <v>5. Late Adulthood/Senior (55+)</v>
      </c>
      <c r="D4361" t="s">
        <v>27</v>
      </c>
      <c r="E4361" t="s">
        <v>32</v>
      </c>
      <c r="F4361" s="4">
        <v>26.19</v>
      </c>
      <c r="G4361" s="5">
        <v>34</v>
      </c>
      <c r="H4361" t="s">
        <v>17</v>
      </c>
      <c r="I4361" t="s">
        <v>46</v>
      </c>
      <c r="J4361" s="6">
        <v>17.989999999999998</v>
      </c>
      <c r="K4361">
        <v>0</v>
      </c>
      <c r="L4361" t="s">
        <v>29</v>
      </c>
      <c r="M4361" s="5">
        <v>1</v>
      </c>
      <c r="N4361" s="4">
        <v>0.75</v>
      </c>
      <c r="O4361" t="s">
        <v>25</v>
      </c>
    </row>
    <row r="4362" spans="1:15" x14ac:dyDescent="0.3">
      <c r="A4362" t="s">
        <v>2963</v>
      </c>
      <c r="B4362" s="5">
        <v>56</v>
      </c>
      <c r="C4362" s="5" t="str" cm="1">
        <f t="array" ref="C4362">_xlfn.IFS(worksheet[[#This Row],[age]]&lt;25,"1. Young Adulthood (18-24)",worksheet[[#This Row],[age]]&lt; 35,"2. Early Adulthood (25-34)",worksheet[[#This Row],[age]]&lt; 45,"3. Mid Adulthood (35-44)",worksheet[[#This Row],[age]]&lt; 55,"4. Mature Adulthood (45-54)",TRUE,"5. Late Adulthood/Senior (55+)")</f>
        <v>5. Late Adulthood/Senior (55+)</v>
      </c>
      <c r="D4362" t="s">
        <v>41</v>
      </c>
      <c r="E4362" t="s">
        <v>32</v>
      </c>
      <c r="F4362" s="4">
        <v>14.15</v>
      </c>
      <c r="G4362" s="5">
        <v>44</v>
      </c>
      <c r="H4362" t="s">
        <v>17</v>
      </c>
      <c r="I4362" t="s">
        <v>24</v>
      </c>
      <c r="J4362" s="6">
        <v>17.989999999999998</v>
      </c>
      <c r="K4362">
        <v>1</v>
      </c>
      <c r="L4362" t="s">
        <v>29</v>
      </c>
      <c r="M4362" s="5">
        <v>3</v>
      </c>
      <c r="N4362" s="4">
        <v>0.31</v>
      </c>
      <c r="O4362" t="s">
        <v>34</v>
      </c>
    </row>
    <row r="4363" spans="1:15" x14ac:dyDescent="0.3">
      <c r="A4363" t="s">
        <v>2964</v>
      </c>
      <c r="B4363" s="5">
        <v>55</v>
      </c>
      <c r="C4363" s="5" t="str" cm="1">
        <f t="array" ref="C4363">_xlfn.IFS(worksheet[[#This Row],[age]]&lt;25,"1. Young Adulthood (18-24)",worksheet[[#This Row],[age]]&lt; 35,"2. Early Adulthood (25-34)",worksheet[[#This Row],[age]]&lt; 45,"3. Mid Adulthood (35-44)",worksheet[[#This Row],[age]]&lt; 55,"4. Mature Adulthood (45-54)",TRUE,"5. Late Adulthood/Senior (55+)")</f>
        <v>5. Late Adulthood/Senior (55+)</v>
      </c>
      <c r="D4363" t="s">
        <v>27</v>
      </c>
      <c r="E4363" t="s">
        <v>32</v>
      </c>
      <c r="F4363" s="4">
        <v>2.0099999999999998</v>
      </c>
      <c r="G4363" s="5">
        <v>24</v>
      </c>
      <c r="H4363" t="s">
        <v>70</v>
      </c>
      <c r="I4363" t="s">
        <v>57</v>
      </c>
      <c r="J4363" s="6">
        <v>17.989999999999998</v>
      </c>
      <c r="K4363">
        <v>1</v>
      </c>
      <c r="L4363" t="s">
        <v>37</v>
      </c>
      <c r="M4363" s="5">
        <v>3</v>
      </c>
      <c r="N4363" s="4">
        <v>0.08</v>
      </c>
      <c r="O4363" t="s">
        <v>25</v>
      </c>
    </row>
    <row r="4364" spans="1:15" x14ac:dyDescent="0.3">
      <c r="A4364" t="s">
        <v>2971</v>
      </c>
      <c r="B4364" s="5">
        <v>62</v>
      </c>
      <c r="C4364" s="5" t="str" cm="1">
        <f t="array" ref="C4364">_xlfn.IFS(worksheet[[#This Row],[age]]&lt;25,"1. Young Adulthood (18-24)",worksheet[[#This Row],[age]]&lt; 35,"2. Early Adulthood (25-34)",worksheet[[#This Row],[age]]&lt; 45,"3. Mid Adulthood (35-44)",worksheet[[#This Row],[age]]&lt; 55,"4. Mature Adulthood (45-54)",TRUE,"5. Late Adulthood/Senior (55+)")</f>
        <v>5. Late Adulthood/Senior (55+)</v>
      </c>
      <c r="D4364" t="s">
        <v>41</v>
      </c>
      <c r="E4364" t="s">
        <v>32</v>
      </c>
      <c r="F4364" s="4">
        <v>10.33</v>
      </c>
      <c r="G4364" s="5">
        <v>3</v>
      </c>
      <c r="H4364" t="s">
        <v>17</v>
      </c>
      <c r="I4364" t="s">
        <v>55</v>
      </c>
      <c r="J4364" s="6">
        <v>17.989999999999998</v>
      </c>
      <c r="K4364">
        <v>0</v>
      </c>
      <c r="L4364" t="s">
        <v>29</v>
      </c>
      <c r="M4364" s="5">
        <v>2</v>
      </c>
      <c r="N4364" s="4">
        <v>2.58</v>
      </c>
      <c r="O4364" t="s">
        <v>52</v>
      </c>
    </row>
    <row r="4365" spans="1:15" x14ac:dyDescent="0.3">
      <c r="A4365" t="s">
        <v>2975</v>
      </c>
      <c r="B4365" s="5">
        <v>61</v>
      </c>
      <c r="C4365" s="5" t="str" cm="1">
        <f t="array" ref="C4365">_xlfn.IFS(worksheet[[#This Row],[age]]&lt;25,"1. Young Adulthood (18-24)",worksheet[[#This Row],[age]]&lt; 35,"2. Early Adulthood (25-34)",worksheet[[#This Row],[age]]&lt; 45,"3. Mid Adulthood (35-44)",worksheet[[#This Row],[age]]&lt; 55,"4. Mature Adulthood (45-54)",TRUE,"5. Late Adulthood/Senior (55+)")</f>
        <v>5. Late Adulthood/Senior (55+)</v>
      </c>
      <c r="D4365" t="s">
        <v>27</v>
      </c>
      <c r="E4365" t="s">
        <v>32</v>
      </c>
      <c r="F4365" s="4">
        <v>55.13</v>
      </c>
      <c r="G4365" s="5">
        <v>59</v>
      </c>
      <c r="H4365" t="s">
        <v>28</v>
      </c>
      <c r="I4365" t="s">
        <v>57</v>
      </c>
      <c r="J4365" s="6">
        <v>17.989999999999998</v>
      </c>
      <c r="K4365">
        <v>0</v>
      </c>
      <c r="L4365" t="s">
        <v>37</v>
      </c>
      <c r="M4365" s="5">
        <v>1</v>
      </c>
      <c r="N4365" s="4">
        <v>0.92</v>
      </c>
      <c r="O4365" t="s">
        <v>34</v>
      </c>
    </row>
    <row r="4366" spans="1:15" x14ac:dyDescent="0.3">
      <c r="A4366" t="s">
        <v>2978</v>
      </c>
      <c r="B4366" s="5">
        <v>57</v>
      </c>
      <c r="C4366" s="5" t="str" cm="1">
        <f t="array" ref="C4366">_xlfn.IFS(worksheet[[#This Row],[age]]&lt;25,"1. Young Adulthood (18-24)",worksheet[[#This Row],[age]]&lt; 35,"2. Early Adulthood (25-34)",worksheet[[#This Row],[age]]&lt; 45,"3. Mid Adulthood (35-44)",worksheet[[#This Row],[age]]&lt; 55,"4. Mature Adulthood (45-54)",TRUE,"5. Late Adulthood/Senior (55+)")</f>
        <v>5. Late Adulthood/Senior (55+)</v>
      </c>
      <c r="D4366" t="s">
        <v>27</v>
      </c>
      <c r="E4366" t="s">
        <v>22</v>
      </c>
      <c r="F4366" s="4">
        <v>3.05</v>
      </c>
      <c r="G4366" s="5">
        <v>26</v>
      </c>
      <c r="H4366" t="s">
        <v>70</v>
      </c>
      <c r="I4366" t="s">
        <v>18</v>
      </c>
      <c r="J4366" s="6">
        <v>13.99</v>
      </c>
      <c r="K4366">
        <v>1</v>
      </c>
      <c r="L4366" t="s">
        <v>43</v>
      </c>
      <c r="M4366" s="5">
        <v>2</v>
      </c>
      <c r="N4366" s="4">
        <v>0.11</v>
      </c>
      <c r="O4366" t="s">
        <v>25</v>
      </c>
    </row>
    <row r="4367" spans="1:15" x14ac:dyDescent="0.3">
      <c r="A4367" t="s">
        <v>2983</v>
      </c>
      <c r="B4367" s="5">
        <v>56</v>
      </c>
      <c r="C4367" s="5" t="str" cm="1">
        <f t="array" ref="C4367">_xlfn.IFS(worksheet[[#This Row],[age]]&lt;25,"1. Young Adulthood (18-24)",worksheet[[#This Row],[age]]&lt; 35,"2. Early Adulthood (25-34)",worksheet[[#This Row],[age]]&lt; 45,"3. Mid Adulthood (35-44)",worksheet[[#This Row],[age]]&lt; 55,"4. Mature Adulthood (45-54)",TRUE,"5. Late Adulthood/Senior (55+)")</f>
        <v>5. Late Adulthood/Senior (55+)</v>
      </c>
      <c r="D4367" t="s">
        <v>41</v>
      </c>
      <c r="E4367" t="s">
        <v>22</v>
      </c>
      <c r="F4367" s="4">
        <v>12.06</v>
      </c>
      <c r="G4367" s="5">
        <v>26</v>
      </c>
      <c r="H4367" t="s">
        <v>49</v>
      </c>
      <c r="I4367" t="s">
        <v>46</v>
      </c>
      <c r="J4367" s="6">
        <v>13.99</v>
      </c>
      <c r="K4367">
        <v>0</v>
      </c>
      <c r="L4367" t="s">
        <v>37</v>
      </c>
      <c r="M4367" s="5">
        <v>1</v>
      </c>
      <c r="N4367" s="4">
        <v>0.45</v>
      </c>
      <c r="O4367" t="s">
        <v>34</v>
      </c>
    </row>
    <row r="4368" spans="1:15" x14ac:dyDescent="0.3">
      <c r="A4368" t="s">
        <v>2984</v>
      </c>
      <c r="B4368" s="5">
        <v>57</v>
      </c>
      <c r="C4368" s="5" t="str" cm="1">
        <f t="array" ref="C4368">_xlfn.IFS(worksheet[[#This Row],[age]]&lt;25,"1. Young Adulthood (18-24)",worksheet[[#This Row],[age]]&lt; 35,"2. Early Adulthood (25-34)",worksheet[[#This Row],[age]]&lt; 45,"3. Mid Adulthood (35-44)",worksheet[[#This Row],[age]]&lt; 55,"4. Mature Adulthood (45-54)",TRUE,"5. Late Adulthood/Senior (55+)")</f>
        <v>5. Late Adulthood/Senior (55+)</v>
      </c>
      <c r="D4368" t="s">
        <v>27</v>
      </c>
      <c r="E4368" t="s">
        <v>22</v>
      </c>
      <c r="F4368" s="4">
        <v>28.5</v>
      </c>
      <c r="G4368" s="5">
        <v>23</v>
      </c>
      <c r="H4368" t="s">
        <v>49</v>
      </c>
      <c r="I4368" t="s">
        <v>55</v>
      </c>
      <c r="J4368" s="6">
        <v>13.99</v>
      </c>
      <c r="K4368">
        <v>0</v>
      </c>
      <c r="L4368" t="s">
        <v>19</v>
      </c>
      <c r="M4368" s="5">
        <v>3</v>
      </c>
      <c r="N4368" s="4">
        <v>1.19</v>
      </c>
      <c r="O4368" t="s">
        <v>52</v>
      </c>
    </row>
    <row r="4369" spans="1:15" x14ac:dyDescent="0.3">
      <c r="A4369" t="s">
        <v>2987</v>
      </c>
      <c r="B4369" s="5">
        <v>62</v>
      </c>
      <c r="C4369" s="5" t="str" cm="1">
        <f t="array" ref="C4369">_xlfn.IFS(worksheet[[#This Row],[age]]&lt;25,"1. Young Adulthood (18-24)",worksheet[[#This Row],[age]]&lt; 35,"2. Early Adulthood (25-34)",worksheet[[#This Row],[age]]&lt; 45,"3. Mid Adulthood (35-44)",worksheet[[#This Row],[age]]&lt; 55,"4. Mature Adulthood (45-54)",TRUE,"5. Late Adulthood/Senior (55+)")</f>
        <v>5. Late Adulthood/Senior (55+)</v>
      </c>
      <c r="D4369" t="s">
        <v>41</v>
      </c>
      <c r="E4369" t="s">
        <v>16</v>
      </c>
      <c r="F4369" s="4">
        <v>12.33</v>
      </c>
      <c r="G4369" s="5">
        <v>47</v>
      </c>
      <c r="H4369" t="s">
        <v>49</v>
      </c>
      <c r="I4369" t="s">
        <v>55</v>
      </c>
      <c r="J4369" s="6">
        <v>8.99</v>
      </c>
      <c r="K4369">
        <v>1</v>
      </c>
      <c r="L4369" t="s">
        <v>19</v>
      </c>
      <c r="M4369" s="5">
        <v>1</v>
      </c>
      <c r="N4369" s="4">
        <v>0.26</v>
      </c>
      <c r="O4369" t="s">
        <v>20</v>
      </c>
    </row>
    <row r="4370" spans="1:15" x14ac:dyDescent="0.3">
      <c r="A4370" t="s">
        <v>2996</v>
      </c>
      <c r="B4370" s="5">
        <v>64</v>
      </c>
      <c r="C4370" s="5" t="str" cm="1">
        <f t="array" ref="C4370">_xlfn.IFS(worksheet[[#This Row],[age]]&lt;25,"1. Young Adulthood (18-24)",worksheet[[#This Row],[age]]&lt; 35,"2. Early Adulthood (25-34)",worksheet[[#This Row],[age]]&lt; 45,"3. Mid Adulthood (35-44)",worksheet[[#This Row],[age]]&lt; 55,"4. Mature Adulthood (45-54)",TRUE,"5. Late Adulthood/Senior (55+)")</f>
        <v>5. Late Adulthood/Senior (55+)</v>
      </c>
      <c r="D4370" t="s">
        <v>41</v>
      </c>
      <c r="E4370" t="s">
        <v>22</v>
      </c>
      <c r="F4370" s="4">
        <v>22.89</v>
      </c>
      <c r="G4370" s="5">
        <v>50</v>
      </c>
      <c r="H4370" t="s">
        <v>17</v>
      </c>
      <c r="I4370" t="s">
        <v>46</v>
      </c>
      <c r="J4370" s="6">
        <v>13.99</v>
      </c>
      <c r="K4370">
        <v>0</v>
      </c>
      <c r="L4370" t="s">
        <v>29</v>
      </c>
      <c r="M4370" s="5">
        <v>3</v>
      </c>
      <c r="N4370" s="4">
        <v>0.45</v>
      </c>
      <c r="O4370" t="s">
        <v>20</v>
      </c>
    </row>
    <row r="4371" spans="1:15" x14ac:dyDescent="0.3">
      <c r="A4371" t="s">
        <v>2999</v>
      </c>
      <c r="B4371" s="5">
        <v>65</v>
      </c>
      <c r="C4371" s="5" t="str" cm="1">
        <f t="array" ref="C4371">_xlfn.IFS(worksheet[[#This Row],[age]]&lt;25,"1. Young Adulthood (18-24)",worksheet[[#This Row],[age]]&lt; 35,"2. Early Adulthood (25-34)",worksheet[[#This Row],[age]]&lt; 45,"3. Mid Adulthood (35-44)",worksheet[[#This Row],[age]]&lt; 55,"4. Mature Adulthood (45-54)",TRUE,"5. Late Adulthood/Senior (55+)")</f>
        <v>5. Late Adulthood/Senior (55+)</v>
      </c>
      <c r="D4371" t="s">
        <v>27</v>
      </c>
      <c r="E4371" t="s">
        <v>22</v>
      </c>
      <c r="F4371" s="4">
        <v>17.309999999999999</v>
      </c>
      <c r="G4371" s="5">
        <v>37</v>
      </c>
      <c r="H4371" t="s">
        <v>17</v>
      </c>
      <c r="I4371" t="s">
        <v>24</v>
      </c>
      <c r="J4371" s="6">
        <v>13.99</v>
      </c>
      <c r="K4371">
        <v>1</v>
      </c>
      <c r="L4371" t="s">
        <v>43</v>
      </c>
      <c r="M4371" s="5">
        <v>1</v>
      </c>
      <c r="N4371" s="4">
        <v>0.46</v>
      </c>
      <c r="O4371" t="s">
        <v>30</v>
      </c>
    </row>
    <row r="4372" spans="1:15" x14ac:dyDescent="0.3">
      <c r="A4372" t="s">
        <v>3001</v>
      </c>
      <c r="B4372" s="5">
        <v>69</v>
      </c>
      <c r="C4372" s="5" t="str" cm="1">
        <f t="array" ref="C4372">_xlfn.IFS(worksheet[[#This Row],[age]]&lt;25,"1. Young Adulthood (18-24)",worksheet[[#This Row],[age]]&lt; 35,"2. Early Adulthood (25-34)",worksheet[[#This Row],[age]]&lt; 45,"3. Mid Adulthood (35-44)",worksheet[[#This Row],[age]]&lt; 55,"4. Mature Adulthood (45-54)",TRUE,"5. Late Adulthood/Senior (55+)")</f>
        <v>5. Late Adulthood/Senior (55+)</v>
      </c>
      <c r="D4372" t="s">
        <v>41</v>
      </c>
      <c r="E4372" t="s">
        <v>22</v>
      </c>
      <c r="F4372" s="4">
        <v>42.32</v>
      </c>
      <c r="G4372" s="5">
        <v>48</v>
      </c>
      <c r="H4372" t="s">
        <v>33</v>
      </c>
      <c r="I4372" t="s">
        <v>18</v>
      </c>
      <c r="J4372" s="6">
        <v>13.99</v>
      </c>
      <c r="K4372">
        <v>0</v>
      </c>
      <c r="L4372" t="s">
        <v>19</v>
      </c>
      <c r="M4372" s="5">
        <v>3</v>
      </c>
      <c r="N4372" s="4">
        <v>0.86</v>
      </c>
      <c r="O4372" t="s">
        <v>20</v>
      </c>
    </row>
    <row r="4373" spans="1:15" x14ac:dyDescent="0.3">
      <c r="A4373" t="s">
        <v>3002</v>
      </c>
      <c r="B4373" s="5">
        <v>61</v>
      </c>
      <c r="C4373" s="5" t="str" cm="1">
        <f t="array" ref="C4373">_xlfn.IFS(worksheet[[#This Row],[age]]&lt;25,"1. Young Adulthood (18-24)",worksheet[[#This Row],[age]]&lt; 35,"2. Early Adulthood (25-34)",worksheet[[#This Row],[age]]&lt; 45,"3. Mid Adulthood (35-44)",worksheet[[#This Row],[age]]&lt; 55,"4. Mature Adulthood (45-54)",TRUE,"5. Late Adulthood/Senior (55+)")</f>
        <v>5. Late Adulthood/Senior (55+)</v>
      </c>
      <c r="D4373" t="s">
        <v>15</v>
      </c>
      <c r="E4373" t="s">
        <v>32</v>
      </c>
      <c r="F4373" s="4">
        <v>31.47</v>
      </c>
      <c r="G4373" s="5">
        <v>52</v>
      </c>
      <c r="H4373" t="s">
        <v>23</v>
      </c>
      <c r="I4373" t="s">
        <v>55</v>
      </c>
      <c r="J4373" s="6">
        <v>17.989999999999998</v>
      </c>
      <c r="K4373">
        <v>0</v>
      </c>
      <c r="L4373" t="s">
        <v>37</v>
      </c>
      <c r="M4373" s="5">
        <v>5</v>
      </c>
      <c r="N4373" s="4">
        <v>0.59</v>
      </c>
      <c r="O4373" t="s">
        <v>52</v>
      </c>
    </row>
    <row r="4374" spans="1:15" x14ac:dyDescent="0.3">
      <c r="A4374" t="s">
        <v>3003</v>
      </c>
      <c r="B4374" s="5">
        <v>59</v>
      </c>
      <c r="C4374" s="5" t="str" cm="1">
        <f t="array" ref="C4374">_xlfn.IFS(worksheet[[#This Row],[age]]&lt;25,"1. Young Adulthood (18-24)",worksheet[[#This Row],[age]]&lt; 35,"2. Early Adulthood (25-34)",worksheet[[#This Row],[age]]&lt; 45,"3. Mid Adulthood (35-44)",worksheet[[#This Row],[age]]&lt; 55,"4. Mature Adulthood (45-54)",TRUE,"5. Late Adulthood/Senior (55+)")</f>
        <v>5. Late Adulthood/Senior (55+)</v>
      </c>
      <c r="D4374" t="s">
        <v>41</v>
      </c>
      <c r="E4374" t="s">
        <v>22</v>
      </c>
      <c r="F4374" s="4">
        <v>16.350000000000001</v>
      </c>
      <c r="G4374" s="5">
        <v>1</v>
      </c>
      <c r="H4374" t="s">
        <v>28</v>
      </c>
      <c r="I4374" t="s">
        <v>18</v>
      </c>
      <c r="J4374" s="6">
        <v>13.99</v>
      </c>
      <c r="K4374">
        <v>0</v>
      </c>
      <c r="L4374" t="s">
        <v>43</v>
      </c>
      <c r="M4374" s="5">
        <v>3</v>
      </c>
      <c r="N4374" s="4">
        <v>8.18</v>
      </c>
      <c r="O4374" t="s">
        <v>20</v>
      </c>
    </row>
    <row r="4375" spans="1:15" x14ac:dyDescent="0.3">
      <c r="A4375" t="s">
        <v>3008</v>
      </c>
      <c r="B4375" s="5">
        <v>66</v>
      </c>
      <c r="C4375" s="5" t="str" cm="1">
        <f t="array" ref="C4375">_xlfn.IFS(worksheet[[#This Row],[age]]&lt;25,"1. Young Adulthood (18-24)",worksheet[[#This Row],[age]]&lt; 35,"2. Early Adulthood (25-34)",worksheet[[#This Row],[age]]&lt; 45,"3. Mid Adulthood (35-44)",worksheet[[#This Row],[age]]&lt; 55,"4. Mature Adulthood (45-54)",TRUE,"5. Late Adulthood/Senior (55+)")</f>
        <v>5. Late Adulthood/Senior (55+)</v>
      </c>
      <c r="D4375" t="s">
        <v>15</v>
      </c>
      <c r="E4375" t="s">
        <v>32</v>
      </c>
      <c r="F4375" s="4">
        <v>0.42</v>
      </c>
      <c r="G4375" s="5">
        <v>28</v>
      </c>
      <c r="H4375" t="s">
        <v>70</v>
      </c>
      <c r="I4375" t="s">
        <v>18</v>
      </c>
      <c r="J4375" s="6">
        <v>17.989999999999998</v>
      </c>
      <c r="K4375">
        <v>1</v>
      </c>
      <c r="L4375" t="s">
        <v>29</v>
      </c>
      <c r="M4375" s="5">
        <v>5</v>
      </c>
      <c r="N4375" s="4">
        <v>0.01</v>
      </c>
      <c r="O4375" t="s">
        <v>30</v>
      </c>
    </row>
    <row r="4376" spans="1:15" x14ac:dyDescent="0.3">
      <c r="A4376" t="s">
        <v>3009</v>
      </c>
      <c r="B4376" s="5">
        <v>64</v>
      </c>
      <c r="C4376" s="5" t="str" cm="1">
        <f t="array" ref="C4376">_xlfn.IFS(worksheet[[#This Row],[age]]&lt;25,"1. Young Adulthood (18-24)",worksheet[[#This Row],[age]]&lt; 35,"2. Early Adulthood (25-34)",worksheet[[#This Row],[age]]&lt; 45,"3. Mid Adulthood (35-44)",worksheet[[#This Row],[age]]&lt; 55,"4. Mature Adulthood (45-54)",TRUE,"5. Late Adulthood/Senior (55+)")</f>
        <v>5. Late Adulthood/Senior (55+)</v>
      </c>
      <c r="D4376" t="s">
        <v>27</v>
      </c>
      <c r="E4376" t="s">
        <v>16</v>
      </c>
      <c r="F4376" s="4">
        <v>5.7</v>
      </c>
      <c r="G4376" s="5">
        <v>9</v>
      </c>
      <c r="H4376" t="s">
        <v>70</v>
      </c>
      <c r="I4376" t="s">
        <v>55</v>
      </c>
      <c r="J4376" s="6">
        <v>8.99</v>
      </c>
      <c r="K4376">
        <v>0</v>
      </c>
      <c r="L4376" t="s">
        <v>61</v>
      </c>
      <c r="M4376" s="5">
        <v>1</v>
      </c>
      <c r="N4376" s="4">
        <v>0.56999999999999995</v>
      </c>
      <c r="O4376" t="s">
        <v>47</v>
      </c>
    </row>
    <row r="4377" spans="1:15" x14ac:dyDescent="0.3">
      <c r="A4377" t="s">
        <v>3011</v>
      </c>
      <c r="B4377" s="5">
        <v>69</v>
      </c>
      <c r="C4377" s="5" t="str" cm="1">
        <f t="array" ref="C4377">_xlfn.IFS(worksheet[[#This Row],[age]]&lt;25,"1. Young Adulthood (18-24)",worksheet[[#This Row],[age]]&lt; 35,"2. Early Adulthood (25-34)",worksheet[[#This Row],[age]]&lt; 45,"3. Mid Adulthood (35-44)",worksheet[[#This Row],[age]]&lt; 55,"4. Mature Adulthood (45-54)",TRUE,"5. Late Adulthood/Senior (55+)")</f>
        <v>5. Late Adulthood/Senior (55+)</v>
      </c>
      <c r="D4377" t="s">
        <v>41</v>
      </c>
      <c r="E4377" t="s">
        <v>16</v>
      </c>
      <c r="F4377" s="4">
        <v>3.45</v>
      </c>
      <c r="G4377" s="5">
        <v>26</v>
      </c>
      <c r="H4377" t="s">
        <v>70</v>
      </c>
      <c r="I4377" t="s">
        <v>24</v>
      </c>
      <c r="J4377" s="6">
        <v>8.99</v>
      </c>
      <c r="K4377">
        <v>1</v>
      </c>
      <c r="L4377" t="s">
        <v>37</v>
      </c>
      <c r="M4377" s="5">
        <v>3</v>
      </c>
      <c r="N4377" s="4">
        <v>0.13</v>
      </c>
      <c r="O4377" t="s">
        <v>30</v>
      </c>
    </row>
    <row r="4378" spans="1:15" x14ac:dyDescent="0.3">
      <c r="A4378" t="s">
        <v>3015</v>
      </c>
      <c r="B4378" s="5">
        <v>64</v>
      </c>
      <c r="C4378" s="5" t="str" cm="1">
        <f t="array" ref="C4378">_xlfn.IFS(worksheet[[#This Row],[age]]&lt;25,"1. Young Adulthood (18-24)",worksheet[[#This Row],[age]]&lt; 35,"2. Early Adulthood (25-34)",worksheet[[#This Row],[age]]&lt; 45,"3. Mid Adulthood (35-44)",worksheet[[#This Row],[age]]&lt; 55,"4. Mature Adulthood (45-54)",TRUE,"5. Late Adulthood/Senior (55+)")</f>
        <v>5. Late Adulthood/Senior (55+)</v>
      </c>
      <c r="D4378" t="s">
        <v>41</v>
      </c>
      <c r="E4378" t="s">
        <v>32</v>
      </c>
      <c r="F4378" s="4">
        <v>0.52</v>
      </c>
      <c r="G4378" s="5">
        <v>20</v>
      </c>
      <c r="H4378" t="s">
        <v>23</v>
      </c>
      <c r="I4378" t="s">
        <v>57</v>
      </c>
      <c r="J4378" s="6">
        <v>17.989999999999998</v>
      </c>
      <c r="K4378">
        <v>1</v>
      </c>
      <c r="L4378" t="s">
        <v>61</v>
      </c>
      <c r="M4378" s="5">
        <v>2</v>
      </c>
      <c r="N4378" s="4">
        <v>0.02</v>
      </c>
      <c r="O4378" t="s">
        <v>25</v>
      </c>
    </row>
    <row r="4379" spans="1:15" x14ac:dyDescent="0.3">
      <c r="A4379" t="s">
        <v>3016</v>
      </c>
      <c r="B4379" s="5">
        <v>59</v>
      </c>
      <c r="C4379" s="5" t="str" cm="1">
        <f t="array" ref="C4379">_xlfn.IFS(worksheet[[#This Row],[age]]&lt;25,"1. Young Adulthood (18-24)",worksheet[[#This Row],[age]]&lt; 35,"2. Early Adulthood (25-34)",worksheet[[#This Row],[age]]&lt; 45,"3. Mid Adulthood (35-44)",worksheet[[#This Row],[age]]&lt; 55,"4. Mature Adulthood (45-54)",TRUE,"5. Late Adulthood/Senior (55+)")</f>
        <v>5. Late Adulthood/Senior (55+)</v>
      </c>
      <c r="D4379" t="s">
        <v>27</v>
      </c>
      <c r="E4379" t="s">
        <v>22</v>
      </c>
      <c r="F4379" s="4">
        <v>6.25</v>
      </c>
      <c r="G4379" s="5">
        <v>56</v>
      </c>
      <c r="H4379" t="s">
        <v>17</v>
      </c>
      <c r="I4379" t="s">
        <v>55</v>
      </c>
      <c r="J4379" s="6">
        <v>13.99</v>
      </c>
      <c r="K4379">
        <v>0</v>
      </c>
      <c r="L4379" t="s">
        <v>37</v>
      </c>
      <c r="M4379" s="5">
        <v>4</v>
      </c>
      <c r="N4379" s="4">
        <v>0.11</v>
      </c>
      <c r="O4379" t="s">
        <v>39</v>
      </c>
    </row>
    <row r="4380" spans="1:15" x14ac:dyDescent="0.3">
      <c r="A4380" t="s">
        <v>3020</v>
      </c>
      <c r="B4380" s="5">
        <v>69</v>
      </c>
      <c r="C4380" s="5" t="str" cm="1">
        <f t="array" ref="C4380">_xlfn.IFS(worksheet[[#This Row],[age]]&lt;25,"1. Young Adulthood (18-24)",worksheet[[#This Row],[age]]&lt; 35,"2. Early Adulthood (25-34)",worksheet[[#This Row],[age]]&lt; 45,"3. Mid Adulthood (35-44)",worksheet[[#This Row],[age]]&lt; 55,"4. Mature Adulthood (45-54)",TRUE,"5. Late Adulthood/Senior (55+)")</f>
        <v>5. Late Adulthood/Senior (55+)</v>
      </c>
      <c r="D4380" t="s">
        <v>41</v>
      </c>
      <c r="E4380" t="s">
        <v>32</v>
      </c>
      <c r="F4380" s="4">
        <v>7.95</v>
      </c>
      <c r="G4380" s="5">
        <v>59</v>
      </c>
      <c r="H4380" t="s">
        <v>70</v>
      </c>
      <c r="I4380" t="s">
        <v>24</v>
      </c>
      <c r="J4380" s="6">
        <v>17.989999999999998</v>
      </c>
      <c r="K4380">
        <v>1</v>
      </c>
      <c r="L4380" t="s">
        <v>29</v>
      </c>
      <c r="M4380" s="5">
        <v>2</v>
      </c>
      <c r="N4380" s="4">
        <v>0.13</v>
      </c>
      <c r="O4380" t="s">
        <v>52</v>
      </c>
    </row>
    <row r="4381" spans="1:15" x14ac:dyDescent="0.3">
      <c r="A4381" t="s">
        <v>3023</v>
      </c>
      <c r="B4381" s="5">
        <v>66</v>
      </c>
      <c r="C4381" s="5" t="str" cm="1">
        <f t="array" ref="C4381">_xlfn.IFS(worksheet[[#This Row],[age]]&lt;25,"1. Young Adulthood (18-24)",worksheet[[#This Row],[age]]&lt; 35,"2. Early Adulthood (25-34)",worksheet[[#This Row],[age]]&lt; 45,"3. Mid Adulthood (35-44)",worksheet[[#This Row],[age]]&lt; 55,"4. Mature Adulthood (45-54)",TRUE,"5. Late Adulthood/Senior (55+)")</f>
        <v>5. Late Adulthood/Senior (55+)</v>
      </c>
      <c r="D4381" t="s">
        <v>27</v>
      </c>
      <c r="E4381" t="s">
        <v>16</v>
      </c>
      <c r="F4381" s="4">
        <v>1.29</v>
      </c>
      <c r="G4381" s="5">
        <v>44</v>
      </c>
      <c r="H4381" t="s">
        <v>33</v>
      </c>
      <c r="I4381" t="s">
        <v>57</v>
      </c>
      <c r="J4381" s="6">
        <v>8.99</v>
      </c>
      <c r="K4381">
        <v>1</v>
      </c>
      <c r="L4381" t="s">
        <v>43</v>
      </c>
      <c r="M4381" s="5">
        <v>3</v>
      </c>
      <c r="N4381" s="4">
        <v>0.03</v>
      </c>
      <c r="O4381" t="s">
        <v>39</v>
      </c>
    </row>
    <row r="4382" spans="1:15" x14ac:dyDescent="0.3">
      <c r="A4382" t="s">
        <v>3026</v>
      </c>
      <c r="B4382" s="5">
        <v>60</v>
      </c>
      <c r="C4382" s="5" t="str" cm="1">
        <f t="array" ref="C4382">_xlfn.IFS(worksheet[[#This Row],[age]]&lt;25,"1. Young Adulthood (18-24)",worksheet[[#This Row],[age]]&lt; 35,"2. Early Adulthood (25-34)",worksheet[[#This Row],[age]]&lt; 45,"3. Mid Adulthood (35-44)",worksheet[[#This Row],[age]]&lt; 55,"4. Mature Adulthood (45-54)",TRUE,"5. Late Adulthood/Senior (55+)")</f>
        <v>5. Late Adulthood/Senior (55+)</v>
      </c>
      <c r="D4382" t="s">
        <v>15</v>
      </c>
      <c r="E4382" t="s">
        <v>32</v>
      </c>
      <c r="F4382" s="4">
        <v>15.16</v>
      </c>
      <c r="G4382" s="5">
        <v>45</v>
      </c>
      <c r="H4382" t="s">
        <v>23</v>
      </c>
      <c r="I4382" t="s">
        <v>46</v>
      </c>
      <c r="J4382" s="6">
        <v>17.989999999999998</v>
      </c>
      <c r="K4382">
        <v>1</v>
      </c>
      <c r="L4382" t="s">
        <v>61</v>
      </c>
      <c r="M4382" s="5">
        <v>2</v>
      </c>
      <c r="N4382" s="4">
        <v>0.33</v>
      </c>
      <c r="O4382" t="s">
        <v>52</v>
      </c>
    </row>
    <row r="4383" spans="1:15" x14ac:dyDescent="0.3">
      <c r="A4383" s="1" t="s">
        <v>3031</v>
      </c>
      <c r="B4383" s="5">
        <v>65</v>
      </c>
      <c r="C4383" s="5" t="str" cm="1">
        <f t="array" ref="C4383">_xlfn.IFS(worksheet[[#This Row],[age]]&lt;25,"1. Young Adulthood (18-24)",worksheet[[#This Row],[age]]&lt; 35,"2. Early Adulthood (25-34)",worksheet[[#This Row],[age]]&lt; 45,"3. Mid Adulthood (35-44)",worksheet[[#This Row],[age]]&lt; 55,"4. Mature Adulthood (45-54)",TRUE,"5. Late Adulthood/Senior (55+)")</f>
        <v>5. Late Adulthood/Senior (55+)</v>
      </c>
      <c r="D4383" t="s">
        <v>27</v>
      </c>
      <c r="E4383" t="s">
        <v>16</v>
      </c>
      <c r="F4383" s="4">
        <v>2.99</v>
      </c>
      <c r="G4383" s="5">
        <v>54</v>
      </c>
      <c r="H4383" t="s">
        <v>49</v>
      </c>
      <c r="I4383" t="s">
        <v>46</v>
      </c>
      <c r="J4383" s="6">
        <v>8.99</v>
      </c>
      <c r="K4383">
        <v>1</v>
      </c>
      <c r="L4383" t="s">
        <v>29</v>
      </c>
      <c r="M4383" s="5">
        <v>1</v>
      </c>
      <c r="N4383" s="4">
        <v>0.05</v>
      </c>
      <c r="O4383" t="s">
        <v>30</v>
      </c>
    </row>
    <row r="4384" spans="1:15" x14ac:dyDescent="0.3">
      <c r="A4384" t="s">
        <v>3039</v>
      </c>
      <c r="B4384" s="5">
        <v>62</v>
      </c>
      <c r="C4384" s="5" t="str" cm="1">
        <f t="array" ref="C4384">_xlfn.IFS(worksheet[[#This Row],[age]]&lt;25,"1. Young Adulthood (18-24)",worksheet[[#This Row],[age]]&lt; 35,"2. Early Adulthood (25-34)",worksheet[[#This Row],[age]]&lt; 45,"3. Mid Adulthood (35-44)",worksheet[[#This Row],[age]]&lt; 55,"4. Mature Adulthood (45-54)",TRUE,"5. Late Adulthood/Senior (55+)")</f>
        <v>5. Late Adulthood/Senior (55+)</v>
      </c>
      <c r="D4384" t="s">
        <v>41</v>
      </c>
      <c r="E4384" t="s">
        <v>32</v>
      </c>
      <c r="F4384" s="4">
        <v>2.15</v>
      </c>
      <c r="G4384" s="5">
        <v>42</v>
      </c>
      <c r="H4384" t="s">
        <v>23</v>
      </c>
      <c r="I4384" t="s">
        <v>46</v>
      </c>
      <c r="J4384" s="6">
        <v>17.989999999999998</v>
      </c>
      <c r="K4384">
        <v>1</v>
      </c>
      <c r="L4384" t="s">
        <v>61</v>
      </c>
      <c r="M4384" s="5">
        <v>2</v>
      </c>
      <c r="N4384" s="4">
        <v>0.05</v>
      </c>
      <c r="O4384" t="s">
        <v>47</v>
      </c>
    </row>
    <row r="4385" spans="1:15" x14ac:dyDescent="0.3">
      <c r="A4385" t="s">
        <v>3041</v>
      </c>
      <c r="B4385" s="5">
        <v>55</v>
      </c>
      <c r="C4385" s="5" t="str" cm="1">
        <f t="array" ref="C4385">_xlfn.IFS(worksheet[[#This Row],[age]]&lt;25,"1. Young Adulthood (18-24)",worksheet[[#This Row],[age]]&lt; 35,"2. Early Adulthood (25-34)",worksheet[[#This Row],[age]]&lt; 45,"3. Mid Adulthood (35-44)",worksheet[[#This Row],[age]]&lt; 55,"4. Mature Adulthood (45-54)",TRUE,"5. Late Adulthood/Senior (55+)")</f>
        <v>5. Late Adulthood/Senior (55+)</v>
      </c>
      <c r="D4385" t="s">
        <v>15</v>
      </c>
      <c r="E4385" t="s">
        <v>22</v>
      </c>
      <c r="F4385" s="4">
        <v>47.76</v>
      </c>
      <c r="G4385" s="5">
        <v>39</v>
      </c>
      <c r="H4385" t="s">
        <v>33</v>
      </c>
      <c r="I4385" t="s">
        <v>55</v>
      </c>
      <c r="J4385" s="6">
        <v>13.99</v>
      </c>
      <c r="K4385">
        <v>0</v>
      </c>
      <c r="L4385" t="s">
        <v>37</v>
      </c>
      <c r="M4385" s="5">
        <v>2</v>
      </c>
      <c r="N4385" s="4">
        <v>1.19</v>
      </c>
      <c r="O4385" t="s">
        <v>34</v>
      </c>
    </row>
    <row r="4386" spans="1:15" x14ac:dyDescent="0.3">
      <c r="A4386" t="s">
        <v>3044</v>
      </c>
      <c r="B4386" s="5">
        <v>56</v>
      </c>
      <c r="C4386" s="5" t="str" cm="1">
        <f t="array" ref="C4386">_xlfn.IFS(worksheet[[#This Row],[age]]&lt;25,"1. Young Adulthood (18-24)",worksheet[[#This Row],[age]]&lt; 35,"2. Early Adulthood (25-34)",worksheet[[#This Row],[age]]&lt; 45,"3. Mid Adulthood (35-44)",worksheet[[#This Row],[age]]&lt; 55,"4. Mature Adulthood (45-54)",TRUE,"5. Late Adulthood/Senior (55+)")</f>
        <v>5. Late Adulthood/Senior (55+)</v>
      </c>
      <c r="D4386" t="s">
        <v>15</v>
      </c>
      <c r="E4386" t="s">
        <v>22</v>
      </c>
      <c r="F4386" s="4">
        <v>4.09</v>
      </c>
      <c r="G4386" s="5">
        <v>56</v>
      </c>
      <c r="H4386" t="s">
        <v>23</v>
      </c>
      <c r="I4386" t="s">
        <v>18</v>
      </c>
      <c r="J4386" s="6">
        <v>13.99</v>
      </c>
      <c r="K4386">
        <v>1</v>
      </c>
      <c r="L4386" t="s">
        <v>43</v>
      </c>
      <c r="M4386" s="5">
        <v>3</v>
      </c>
      <c r="N4386" s="4">
        <v>7.0000000000000007E-2</v>
      </c>
      <c r="O4386" t="s">
        <v>39</v>
      </c>
    </row>
    <row r="4387" spans="1:15" x14ac:dyDescent="0.3">
      <c r="A4387" t="s">
        <v>3046</v>
      </c>
      <c r="B4387" s="5">
        <v>59</v>
      </c>
      <c r="C4387" s="5" t="str" cm="1">
        <f t="array" ref="C4387">_xlfn.IFS(worksheet[[#This Row],[age]]&lt;25,"1. Young Adulthood (18-24)",worksheet[[#This Row],[age]]&lt; 35,"2. Early Adulthood (25-34)",worksheet[[#This Row],[age]]&lt; 45,"3. Mid Adulthood (35-44)",worksheet[[#This Row],[age]]&lt; 55,"4. Mature Adulthood (45-54)",TRUE,"5. Late Adulthood/Senior (55+)")</f>
        <v>5. Late Adulthood/Senior (55+)</v>
      </c>
      <c r="D4387" t="s">
        <v>15</v>
      </c>
      <c r="E4387" t="s">
        <v>22</v>
      </c>
      <c r="F4387" s="4">
        <v>11.65</v>
      </c>
      <c r="G4387" s="5">
        <v>44</v>
      </c>
      <c r="H4387" t="s">
        <v>28</v>
      </c>
      <c r="I4387" t="s">
        <v>24</v>
      </c>
      <c r="J4387" s="6">
        <v>13.99</v>
      </c>
      <c r="K4387">
        <v>1</v>
      </c>
      <c r="L4387" t="s">
        <v>29</v>
      </c>
      <c r="M4387" s="5">
        <v>1</v>
      </c>
      <c r="N4387" s="4">
        <v>0.26</v>
      </c>
      <c r="O4387" t="s">
        <v>39</v>
      </c>
    </row>
    <row r="4388" spans="1:15" x14ac:dyDescent="0.3">
      <c r="A4388" t="s">
        <v>3050</v>
      </c>
      <c r="B4388" s="5">
        <v>67</v>
      </c>
      <c r="C4388" s="5" t="str" cm="1">
        <f t="array" ref="C4388">_xlfn.IFS(worksheet[[#This Row],[age]]&lt;25,"1. Young Adulthood (18-24)",worksheet[[#This Row],[age]]&lt; 35,"2. Early Adulthood (25-34)",worksheet[[#This Row],[age]]&lt; 45,"3. Mid Adulthood (35-44)",worksheet[[#This Row],[age]]&lt; 55,"4. Mature Adulthood (45-54)",TRUE,"5. Late Adulthood/Senior (55+)")</f>
        <v>5. Late Adulthood/Senior (55+)</v>
      </c>
      <c r="D4388" t="s">
        <v>27</v>
      </c>
      <c r="E4388" t="s">
        <v>32</v>
      </c>
      <c r="F4388" s="4">
        <v>2.92</v>
      </c>
      <c r="G4388" s="5">
        <v>38</v>
      </c>
      <c r="H4388" t="s">
        <v>33</v>
      </c>
      <c r="I4388" t="s">
        <v>55</v>
      </c>
      <c r="J4388" s="6">
        <v>17.989999999999998</v>
      </c>
      <c r="K4388">
        <v>1</v>
      </c>
      <c r="L4388" t="s">
        <v>19</v>
      </c>
      <c r="M4388" s="5">
        <v>5</v>
      </c>
      <c r="N4388" s="4">
        <v>7.0000000000000007E-2</v>
      </c>
      <c r="O4388" t="s">
        <v>20</v>
      </c>
    </row>
    <row r="4389" spans="1:15" x14ac:dyDescent="0.3">
      <c r="A4389" t="s">
        <v>3054</v>
      </c>
      <c r="B4389" s="5">
        <v>64</v>
      </c>
      <c r="C4389" s="5" t="str" cm="1">
        <f t="array" ref="C4389">_xlfn.IFS(worksheet[[#This Row],[age]]&lt;25,"1. Young Adulthood (18-24)",worksheet[[#This Row],[age]]&lt; 35,"2. Early Adulthood (25-34)",worksheet[[#This Row],[age]]&lt; 45,"3. Mid Adulthood (35-44)",worksheet[[#This Row],[age]]&lt; 55,"4. Mature Adulthood (45-54)",TRUE,"5. Late Adulthood/Senior (55+)")</f>
        <v>5. Late Adulthood/Senior (55+)</v>
      </c>
      <c r="D4389" t="s">
        <v>41</v>
      </c>
      <c r="E4389" t="s">
        <v>22</v>
      </c>
      <c r="F4389" s="4">
        <v>0.31</v>
      </c>
      <c r="G4389" s="5">
        <v>52</v>
      </c>
      <c r="H4389" t="s">
        <v>23</v>
      </c>
      <c r="I4389" t="s">
        <v>55</v>
      </c>
      <c r="J4389" s="6">
        <v>13.99</v>
      </c>
      <c r="K4389">
        <v>1</v>
      </c>
      <c r="L4389" t="s">
        <v>37</v>
      </c>
      <c r="M4389" s="5">
        <v>1</v>
      </c>
      <c r="N4389" s="4">
        <v>0.01</v>
      </c>
      <c r="O4389" t="s">
        <v>47</v>
      </c>
    </row>
    <row r="4390" spans="1:15" x14ac:dyDescent="0.3">
      <c r="A4390" t="s">
        <v>3055</v>
      </c>
      <c r="B4390" s="5">
        <v>66</v>
      </c>
      <c r="C4390" s="5" t="str" cm="1">
        <f t="array" ref="C4390">_xlfn.IFS(worksheet[[#This Row],[age]]&lt;25,"1. Young Adulthood (18-24)",worksheet[[#This Row],[age]]&lt; 35,"2. Early Adulthood (25-34)",worksheet[[#This Row],[age]]&lt; 45,"3. Mid Adulthood (35-44)",worksheet[[#This Row],[age]]&lt; 55,"4. Mature Adulthood (45-54)",TRUE,"5. Late Adulthood/Senior (55+)")</f>
        <v>5. Late Adulthood/Senior (55+)</v>
      </c>
      <c r="D4390" t="s">
        <v>41</v>
      </c>
      <c r="E4390" t="s">
        <v>16</v>
      </c>
      <c r="F4390" s="4">
        <v>27.65</v>
      </c>
      <c r="G4390" s="5">
        <v>12</v>
      </c>
      <c r="H4390" t="s">
        <v>23</v>
      </c>
      <c r="I4390" t="s">
        <v>46</v>
      </c>
      <c r="J4390" s="6">
        <v>8.99</v>
      </c>
      <c r="K4390">
        <v>0</v>
      </c>
      <c r="L4390" t="s">
        <v>37</v>
      </c>
      <c r="M4390" s="5">
        <v>1</v>
      </c>
      <c r="N4390" s="4">
        <v>2.13</v>
      </c>
      <c r="O4390" t="s">
        <v>25</v>
      </c>
    </row>
    <row r="4391" spans="1:15" x14ac:dyDescent="0.3">
      <c r="A4391" t="s">
        <v>3072</v>
      </c>
      <c r="B4391" s="5">
        <v>67</v>
      </c>
      <c r="C4391" s="5" t="str" cm="1">
        <f t="array" ref="C4391">_xlfn.IFS(worksheet[[#This Row],[age]]&lt;25,"1. Young Adulthood (18-24)",worksheet[[#This Row],[age]]&lt; 35,"2. Early Adulthood (25-34)",worksheet[[#This Row],[age]]&lt; 45,"3. Mid Adulthood (35-44)",worksheet[[#This Row],[age]]&lt; 55,"4. Mature Adulthood (45-54)",TRUE,"5. Late Adulthood/Senior (55+)")</f>
        <v>5. Late Adulthood/Senior (55+)</v>
      </c>
      <c r="D4391" t="s">
        <v>27</v>
      </c>
      <c r="E4391" t="s">
        <v>22</v>
      </c>
      <c r="F4391" s="4">
        <v>21.36</v>
      </c>
      <c r="G4391" s="5">
        <v>19</v>
      </c>
      <c r="H4391" t="s">
        <v>70</v>
      </c>
      <c r="I4391" t="s">
        <v>55</v>
      </c>
      <c r="J4391" s="6">
        <v>13.99</v>
      </c>
      <c r="K4391">
        <v>0</v>
      </c>
      <c r="L4391" t="s">
        <v>43</v>
      </c>
      <c r="M4391" s="5">
        <v>4</v>
      </c>
      <c r="N4391" s="4">
        <v>1.07</v>
      </c>
      <c r="O4391" t="s">
        <v>34</v>
      </c>
    </row>
    <row r="4392" spans="1:15" x14ac:dyDescent="0.3">
      <c r="A4392" t="s">
        <v>3073</v>
      </c>
      <c r="B4392" s="5">
        <v>66</v>
      </c>
      <c r="C4392" s="5" t="str" cm="1">
        <f t="array" ref="C4392">_xlfn.IFS(worksheet[[#This Row],[age]]&lt;25,"1. Young Adulthood (18-24)",worksheet[[#This Row],[age]]&lt; 35,"2. Early Adulthood (25-34)",worksheet[[#This Row],[age]]&lt; 45,"3. Mid Adulthood (35-44)",worksheet[[#This Row],[age]]&lt; 55,"4. Mature Adulthood (45-54)",TRUE,"5. Late Adulthood/Senior (55+)")</f>
        <v>5. Late Adulthood/Senior (55+)</v>
      </c>
      <c r="D4392" t="s">
        <v>27</v>
      </c>
      <c r="E4392" t="s">
        <v>22</v>
      </c>
      <c r="F4392" s="4">
        <v>36.700000000000003</v>
      </c>
      <c r="G4392" s="5">
        <v>48</v>
      </c>
      <c r="H4392" t="s">
        <v>49</v>
      </c>
      <c r="I4392" t="s">
        <v>18</v>
      </c>
      <c r="J4392" s="6">
        <v>13.99</v>
      </c>
      <c r="K4392">
        <v>0</v>
      </c>
      <c r="L4392" t="s">
        <v>29</v>
      </c>
      <c r="M4392" s="5">
        <v>3</v>
      </c>
      <c r="N4392" s="4">
        <v>0.75</v>
      </c>
      <c r="O4392" t="s">
        <v>39</v>
      </c>
    </row>
    <row r="4393" spans="1:15" x14ac:dyDescent="0.3">
      <c r="A4393" t="s">
        <v>3076</v>
      </c>
      <c r="B4393" s="5">
        <v>62</v>
      </c>
      <c r="C4393" s="5" t="str" cm="1">
        <f t="array" ref="C4393">_xlfn.IFS(worksheet[[#This Row],[age]]&lt;25,"1. Young Adulthood (18-24)",worksheet[[#This Row],[age]]&lt; 35,"2. Early Adulthood (25-34)",worksheet[[#This Row],[age]]&lt; 45,"3. Mid Adulthood (35-44)",worksheet[[#This Row],[age]]&lt; 55,"4. Mature Adulthood (45-54)",TRUE,"5. Late Adulthood/Senior (55+)")</f>
        <v>5. Late Adulthood/Senior (55+)</v>
      </c>
      <c r="D4393" t="s">
        <v>41</v>
      </c>
      <c r="E4393" t="s">
        <v>22</v>
      </c>
      <c r="F4393" s="4">
        <v>9.73</v>
      </c>
      <c r="G4393" s="5">
        <v>52</v>
      </c>
      <c r="H4393" t="s">
        <v>70</v>
      </c>
      <c r="I4393" t="s">
        <v>57</v>
      </c>
      <c r="J4393" s="6">
        <v>13.99</v>
      </c>
      <c r="K4393">
        <v>1</v>
      </c>
      <c r="L4393" t="s">
        <v>29</v>
      </c>
      <c r="M4393" s="5">
        <v>1</v>
      </c>
      <c r="N4393" s="4">
        <v>0.18</v>
      </c>
      <c r="O4393" t="s">
        <v>30</v>
      </c>
    </row>
    <row r="4394" spans="1:15" x14ac:dyDescent="0.3">
      <c r="A4394" t="s">
        <v>3078</v>
      </c>
      <c r="B4394" s="5">
        <v>55</v>
      </c>
      <c r="C4394" s="5" t="str" cm="1">
        <f t="array" ref="C4394">_xlfn.IFS(worksheet[[#This Row],[age]]&lt;25,"1. Young Adulthood (18-24)",worksheet[[#This Row],[age]]&lt; 35,"2. Early Adulthood (25-34)",worksheet[[#This Row],[age]]&lt; 45,"3. Mid Adulthood (35-44)",worksheet[[#This Row],[age]]&lt; 55,"4. Mature Adulthood (45-54)",TRUE,"5. Late Adulthood/Senior (55+)")</f>
        <v>5. Late Adulthood/Senior (55+)</v>
      </c>
      <c r="D4394" t="s">
        <v>15</v>
      </c>
      <c r="E4394" t="s">
        <v>16</v>
      </c>
      <c r="F4394" s="4">
        <v>1.92</v>
      </c>
      <c r="G4394" s="5">
        <v>32</v>
      </c>
      <c r="H4394" t="s">
        <v>49</v>
      </c>
      <c r="I4394" t="s">
        <v>46</v>
      </c>
      <c r="J4394" s="6">
        <v>8.99</v>
      </c>
      <c r="K4394">
        <v>1</v>
      </c>
      <c r="L4394" t="s">
        <v>19</v>
      </c>
      <c r="M4394" s="5">
        <v>5</v>
      </c>
      <c r="N4394" s="4">
        <v>0.06</v>
      </c>
      <c r="O4394" t="s">
        <v>34</v>
      </c>
    </row>
    <row r="4395" spans="1:15" x14ac:dyDescent="0.3">
      <c r="A4395" t="s">
        <v>3080</v>
      </c>
      <c r="B4395" s="5">
        <v>63</v>
      </c>
      <c r="C4395" s="5" t="str" cm="1">
        <f t="array" ref="C4395">_xlfn.IFS(worksheet[[#This Row],[age]]&lt;25,"1. Young Adulthood (18-24)",worksheet[[#This Row],[age]]&lt; 35,"2. Early Adulthood (25-34)",worksheet[[#This Row],[age]]&lt; 45,"3. Mid Adulthood (35-44)",worksheet[[#This Row],[age]]&lt; 55,"4. Mature Adulthood (45-54)",TRUE,"5. Late Adulthood/Senior (55+)")</f>
        <v>5. Late Adulthood/Senior (55+)</v>
      </c>
      <c r="D4395" t="s">
        <v>15</v>
      </c>
      <c r="E4395" t="s">
        <v>32</v>
      </c>
      <c r="F4395" s="4">
        <v>27.92</v>
      </c>
      <c r="G4395" s="5">
        <v>14</v>
      </c>
      <c r="H4395" t="s">
        <v>17</v>
      </c>
      <c r="I4395" t="s">
        <v>46</v>
      </c>
      <c r="J4395" s="6">
        <v>17.989999999999998</v>
      </c>
      <c r="K4395">
        <v>0</v>
      </c>
      <c r="L4395" t="s">
        <v>19</v>
      </c>
      <c r="M4395" s="5">
        <v>3</v>
      </c>
      <c r="N4395" s="4">
        <v>1.86</v>
      </c>
      <c r="O4395" t="s">
        <v>30</v>
      </c>
    </row>
    <row r="4396" spans="1:15" x14ac:dyDescent="0.3">
      <c r="A4396" t="s">
        <v>3084</v>
      </c>
      <c r="B4396" s="5">
        <v>66</v>
      </c>
      <c r="C4396" s="5" t="str" cm="1">
        <f t="array" ref="C4396">_xlfn.IFS(worksheet[[#This Row],[age]]&lt;25,"1. Young Adulthood (18-24)",worksheet[[#This Row],[age]]&lt; 35,"2. Early Adulthood (25-34)",worksheet[[#This Row],[age]]&lt; 45,"3. Mid Adulthood (35-44)",worksheet[[#This Row],[age]]&lt; 55,"4. Mature Adulthood (45-54)",TRUE,"5. Late Adulthood/Senior (55+)")</f>
        <v>5. Late Adulthood/Senior (55+)</v>
      </c>
      <c r="D4396" t="s">
        <v>15</v>
      </c>
      <c r="E4396" t="s">
        <v>32</v>
      </c>
      <c r="F4396" s="4">
        <v>6.66</v>
      </c>
      <c r="G4396" s="5">
        <v>39</v>
      </c>
      <c r="H4396" t="s">
        <v>28</v>
      </c>
      <c r="I4396" t="s">
        <v>18</v>
      </c>
      <c r="J4396" s="6">
        <v>17.989999999999998</v>
      </c>
      <c r="K4396">
        <v>1</v>
      </c>
      <c r="L4396" t="s">
        <v>37</v>
      </c>
      <c r="M4396" s="5">
        <v>1</v>
      </c>
      <c r="N4396" s="4">
        <v>0.17</v>
      </c>
      <c r="O4396" t="s">
        <v>25</v>
      </c>
    </row>
    <row r="4397" spans="1:15" x14ac:dyDescent="0.3">
      <c r="A4397" t="s">
        <v>3085</v>
      </c>
      <c r="B4397" s="5">
        <v>65</v>
      </c>
      <c r="C4397" s="5" t="str" cm="1">
        <f t="array" ref="C4397">_xlfn.IFS(worksheet[[#This Row],[age]]&lt;25,"1. Young Adulthood (18-24)",worksheet[[#This Row],[age]]&lt; 35,"2. Early Adulthood (25-34)",worksheet[[#This Row],[age]]&lt; 45,"3. Mid Adulthood (35-44)",worksheet[[#This Row],[age]]&lt; 55,"4. Mature Adulthood (45-54)",TRUE,"5. Late Adulthood/Senior (55+)")</f>
        <v>5. Late Adulthood/Senior (55+)</v>
      </c>
      <c r="D4397" t="s">
        <v>15</v>
      </c>
      <c r="E4397" t="s">
        <v>32</v>
      </c>
      <c r="F4397" s="4">
        <v>0.76</v>
      </c>
      <c r="G4397" s="5">
        <v>2</v>
      </c>
      <c r="H4397" t="s">
        <v>28</v>
      </c>
      <c r="I4397" t="s">
        <v>24</v>
      </c>
      <c r="J4397" s="6">
        <v>17.989999999999998</v>
      </c>
      <c r="K4397">
        <v>0</v>
      </c>
      <c r="L4397" t="s">
        <v>37</v>
      </c>
      <c r="M4397" s="5">
        <v>2</v>
      </c>
      <c r="N4397" s="4">
        <v>0.25</v>
      </c>
      <c r="O4397" t="s">
        <v>47</v>
      </c>
    </row>
    <row r="4398" spans="1:15" x14ac:dyDescent="0.3">
      <c r="A4398" t="s">
        <v>3089</v>
      </c>
      <c r="B4398" s="5">
        <v>66</v>
      </c>
      <c r="C4398" s="5" t="str" cm="1">
        <f t="array" ref="C4398">_xlfn.IFS(worksheet[[#This Row],[age]]&lt;25,"1. Young Adulthood (18-24)",worksheet[[#This Row],[age]]&lt; 35,"2. Early Adulthood (25-34)",worksheet[[#This Row],[age]]&lt; 45,"3. Mid Adulthood (35-44)",worksheet[[#This Row],[age]]&lt; 55,"4. Mature Adulthood (45-54)",TRUE,"5. Late Adulthood/Senior (55+)")</f>
        <v>5. Late Adulthood/Senior (55+)</v>
      </c>
      <c r="D4398" t="s">
        <v>41</v>
      </c>
      <c r="E4398" t="s">
        <v>22</v>
      </c>
      <c r="F4398" s="4">
        <v>17.66</v>
      </c>
      <c r="G4398" s="5">
        <v>19</v>
      </c>
      <c r="H4398" t="s">
        <v>49</v>
      </c>
      <c r="I4398" t="s">
        <v>57</v>
      </c>
      <c r="J4398" s="6">
        <v>13.99</v>
      </c>
      <c r="K4398">
        <v>0</v>
      </c>
      <c r="L4398" t="s">
        <v>37</v>
      </c>
      <c r="M4398" s="5">
        <v>2</v>
      </c>
      <c r="N4398" s="4">
        <v>0.88</v>
      </c>
      <c r="O4398" t="s">
        <v>39</v>
      </c>
    </row>
    <row r="4399" spans="1:15" x14ac:dyDescent="0.3">
      <c r="A4399" t="s">
        <v>3092</v>
      </c>
      <c r="B4399" s="5">
        <v>69</v>
      </c>
      <c r="C4399" s="5" t="str" cm="1">
        <f t="array" ref="C4399">_xlfn.IFS(worksheet[[#This Row],[age]]&lt;25,"1. Young Adulthood (18-24)",worksheet[[#This Row],[age]]&lt; 35,"2. Early Adulthood (25-34)",worksheet[[#This Row],[age]]&lt; 45,"3. Mid Adulthood (35-44)",worksheet[[#This Row],[age]]&lt; 55,"4. Mature Adulthood (45-54)",TRUE,"5. Late Adulthood/Senior (55+)")</f>
        <v>5. Late Adulthood/Senior (55+)</v>
      </c>
      <c r="D4399" t="s">
        <v>27</v>
      </c>
      <c r="E4399" t="s">
        <v>32</v>
      </c>
      <c r="F4399" s="4">
        <v>36.479999999999997</v>
      </c>
      <c r="G4399" s="5">
        <v>33</v>
      </c>
      <c r="H4399" t="s">
        <v>23</v>
      </c>
      <c r="I4399" t="s">
        <v>46</v>
      </c>
      <c r="J4399" s="6">
        <v>17.989999999999998</v>
      </c>
      <c r="K4399">
        <v>0</v>
      </c>
      <c r="L4399" t="s">
        <v>37</v>
      </c>
      <c r="M4399" s="5">
        <v>3</v>
      </c>
      <c r="N4399" s="4">
        <v>1.07</v>
      </c>
      <c r="O4399" t="s">
        <v>30</v>
      </c>
    </row>
    <row r="4400" spans="1:15" x14ac:dyDescent="0.3">
      <c r="A4400" t="s">
        <v>3094</v>
      </c>
      <c r="B4400" s="5">
        <v>67</v>
      </c>
      <c r="C4400" s="5" t="str" cm="1">
        <f t="array" ref="C4400">_xlfn.IFS(worksheet[[#This Row],[age]]&lt;25,"1. Young Adulthood (18-24)",worksheet[[#This Row],[age]]&lt; 35,"2. Early Adulthood (25-34)",worksheet[[#This Row],[age]]&lt; 45,"3. Mid Adulthood (35-44)",worksheet[[#This Row],[age]]&lt; 55,"4. Mature Adulthood (45-54)",TRUE,"5. Late Adulthood/Senior (55+)")</f>
        <v>5. Late Adulthood/Senior (55+)</v>
      </c>
      <c r="D4400" t="s">
        <v>15</v>
      </c>
      <c r="E4400" t="s">
        <v>16</v>
      </c>
      <c r="F4400" s="4">
        <v>10.31</v>
      </c>
      <c r="G4400" s="5">
        <v>14</v>
      </c>
      <c r="H4400" t="s">
        <v>23</v>
      </c>
      <c r="I4400" t="s">
        <v>57</v>
      </c>
      <c r="J4400" s="6">
        <v>8.99</v>
      </c>
      <c r="K4400">
        <v>0</v>
      </c>
      <c r="L4400" t="s">
        <v>43</v>
      </c>
      <c r="M4400" s="5">
        <v>1</v>
      </c>
      <c r="N4400" s="4">
        <v>0.69</v>
      </c>
      <c r="O4400" t="s">
        <v>20</v>
      </c>
    </row>
    <row r="4401" spans="1:15" x14ac:dyDescent="0.3">
      <c r="A4401" t="s">
        <v>3096</v>
      </c>
      <c r="B4401" s="5">
        <v>65</v>
      </c>
      <c r="C4401" s="5" t="str" cm="1">
        <f t="array" ref="C4401">_xlfn.IFS(worksheet[[#This Row],[age]]&lt;25,"1. Young Adulthood (18-24)",worksheet[[#This Row],[age]]&lt; 35,"2. Early Adulthood (25-34)",worksheet[[#This Row],[age]]&lt; 45,"3. Mid Adulthood (35-44)",worksheet[[#This Row],[age]]&lt; 55,"4. Mature Adulthood (45-54)",TRUE,"5. Late Adulthood/Senior (55+)")</f>
        <v>5. Late Adulthood/Senior (55+)</v>
      </c>
      <c r="D4401" t="s">
        <v>27</v>
      </c>
      <c r="E4401" t="s">
        <v>32</v>
      </c>
      <c r="F4401" s="4">
        <v>6.18</v>
      </c>
      <c r="G4401" s="5">
        <v>36</v>
      </c>
      <c r="H4401" t="s">
        <v>23</v>
      </c>
      <c r="I4401" t="s">
        <v>46</v>
      </c>
      <c r="J4401" s="6">
        <v>17.989999999999998</v>
      </c>
      <c r="K4401">
        <v>1</v>
      </c>
      <c r="L4401" t="s">
        <v>29</v>
      </c>
      <c r="M4401" s="5">
        <v>3</v>
      </c>
      <c r="N4401" s="4">
        <v>0.17</v>
      </c>
      <c r="O4401" t="s">
        <v>30</v>
      </c>
    </row>
    <row r="4402" spans="1:15" x14ac:dyDescent="0.3">
      <c r="A4402" t="s">
        <v>3097</v>
      </c>
      <c r="B4402" s="5">
        <v>57</v>
      </c>
      <c r="C4402" s="5" t="str" cm="1">
        <f t="array" ref="C4402">_xlfn.IFS(worksheet[[#This Row],[age]]&lt;25,"1. Young Adulthood (18-24)",worksheet[[#This Row],[age]]&lt; 35,"2. Early Adulthood (25-34)",worksheet[[#This Row],[age]]&lt; 45,"3. Mid Adulthood (35-44)",worksheet[[#This Row],[age]]&lt; 55,"4. Mature Adulthood (45-54)",TRUE,"5. Late Adulthood/Senior (55+)")</f>
        <v>5. Late Adulthood/Senior (55+)</v>
      </c>
      <c r="D4402" t="s">
        <v>15</v>
      </c>
      <c r="E4402" t="s">
        <v>32</v>
      </c>
      <c r="F4402" s="4">
        <v>28.19</v>
      </c>
      <c r="G4402" s="5">
        <v>10</v>
      </c>
      <c r="H4402" t="s">
        <v>23</v>
      </c>
      <c r="I4402" t="s">
        <v>57</v>
      </c>
      <c r="J4402" s="6">
        <v>17.989999999999998</v>
      </c>
      <c r="K4402">
        <v>0</v>
      </c>
      <c r="L4402" t="s">
        <v>37</v>
      </c>
      <c r="M4402" s="5">
        <v>1</v>
      </c>
      <c r="N4402" s="4">
        <v>2.56</v>
      </c>
      <c r="O4402" t="s">
        <v>39</v>
      </c>
    </row>
    <row r="4403" spans="1:15" x14ac:dyDescent="0.3">
      <c r="A4403" t="s">
        <v>3100</v>
      </c>
      <c r="B4403" s="5">
        <v>58</v>
      </c>
      <c r="C4403" s="5" t="str" cm="1">
        <f t="array" ref="C4403">_xlfn.IFS(worksheet[[#This Row],[age]]&lt;25,"1. Young Adulthood (18-24)",worksheet[[#This Row],[age]]&lt; 35,"2. Early Adulthood (25-34)",worksheet[[#This Row],[age]]&lt; 45,"3. Mid Adulthood (35-44)",worksheet[[#This Row],[age]]&lt; 55,"4. Mature Adulthood (45-54)",TRUE,"5. Late Adulthood/Senior (55+)")</f>
        <v>5. Late Adulthood/Senior (55+)</v>
      </c>
      <c r="D4403" t="s">
        <v>27</v>
      </c>
      <c r="E4403" t="s">
        <v>32</v>
      </c>
      <c r="F4403" s="4">
        <v>1.21</v>
      </c>
      <c r="G4403" s="5">
        <v>24</v>
      </c>
      <c r="H4403" t="s">
        <v>28</v>
      </c>
      <c r="I4403" t="s">
        <v>57</v>
      </c>
      <c r="J4403" s="6">
        <v>17.989999999999998</v>
      </c>
      <c r="K4403">
        <v>0</v>
      </c>
      <c r="L4403" t="s">
        <v>37</v>
      </c>
      <c r="M4403" s="5">
        <v>5</v>
      </c>
      <c r="N4403" s="4">
        <v>0.05</v>
      </c>
      <c r="O4403" t="s">
        <v>39</v>
      </c>
    </row>
    <row r="4404" spans="1:15" x14ac:dyDescent="0.3">
      <c r="A4404" t="s">
        <v>3102</v>
      </c>
      <c r="B4404" s="5">
        <v>60</v>
      </c>
      <c r="C4404" s="5" t="str" cm="1">
        <f t="array" ref="C4404">_xlfn.IFS(worksheet[[#This Row],[age]]&lt;25,"1. Young Adulthood (18-24)",worksheet[[#This Row],[age]]&lt; 35,"2. Early Adulthood (25-34)",worksheet[[#This Row],[age]]&lt; 45,"3. Mid Adulthood (35-44)",worksheet[[#This Row],[age]]&lt; 55,"4. Mature Adulthood (45-54)",TRUE,"5. Late Adulthood/Senior (55+)")</f>
        <v>5. Late Adulthood/Senior (55+)</v>
      </c>
      <c r="D4404" t="s">
        <v>15</v>
      </c>
      <c r="E4404" t="s">
        <v>22</v>
      </c>
      <c r="F4404" s="4">
        <v>12.7</v>
      </c>
      <c r="G4404" s="5">
        <v>35</v>
      </c>
      <c r="H4404" t="s">
        <v>17</v>
      </c>
      <c r="I4404" t="s">
        <v>46</v>
      </c>
      <c r="J4404" s="6">
        <v>13.99</v>
      </c>
      <c r="K4404">
        <v>0</v>
      </c>
      <c r="L4404" t="s">
        <v>61</v>
      </c>
      <c r="M4404" s="5">
        <v>5</v>
      </c>
      <c r="N4404" s="4">
        <v>0.35</v>
      </c>
      <c r="O4404" t="s">
        <v>30</v>
      </c>
    </row>
    <row r="4405" spans="1:15" x14ac:dyDescent="0.3">
      <c r="A4405" t="s">
        <v>3103</v>
      </c>
      <c r="B4405" s="5">
        <v>65</v>
      </c>
      <c r="C4405" s="5" t="str" cm="1">
        <f t="array" ref="C4405">_xlfn.IFS(worksheet[[#This Row],[age]]&lt;25,"1. Young Adulthood (18-24)",worksheet[[#This Row],[age]]&lt; 35,"2. Early Adulthood (25-34)",worksheet[[#This Row],[age]]&lt; 45,"3. Mid Adulthood (35-44)",worksheet[[#This Row],[age]]&lt; 55,"4. Mature Adulthood (45-54)",TRUE,"5. Late Adulthood/Senior (55+)")</f>
        <v>5. Late Adulthood/Senior (55+)</v>
      </c>
      <c r="D4405" t="s">
        <v>27</v>
      </c>
      <c r="E4405" t="s">
        <v>22</v>
      </c>
      <c r="F4405" s="4">
        <v>47.81</v>
      </c>
      <c r="G4405" s="5">
        <v>11</v>
      </c>
      <c r="H4405" t="s">
        <v>17</v>
      </c>
      <c r="I4405" t="s">
        <v>55</v>
      </c>
      <c r="J4405" s="6">
        <v>13.99</v>
      </c>
      <c r="K4405">
        <v>0</v>
      </c>
      <c r="L4405" t="s">
        <v>29</v>
      </c>
      <c r="M4405" s="5">
        <v>4</v>
      </c>
      <c r="N4405" s="4">
        <v>3.98</v>
      </c>
      <c r="O4405" t="s">
        <v>20</v>
      </c>
    </row>
    <row r="4406" spans="1:15" x14ac:dyDescent="0.3">
      <c r="A4406" t="s">
        <v>3104</v>
      </c>
      <c r="B4406" s="5">
        <v>59</v>
      </c>
      <c r="C4406" s="5" t="str" cm="1">
        <f t="array" ref="C4406">_xlfn.IFS(worksheet[[#This Row],[age]]&lt;25,"1. Young Adulthood (18-24)",worksheet[[#This Row],[age]]&lt; 35,"2. Early Adulthood (25-34)",worksheet[[#This Row],[age]]&lt; 45,"3. Mid Adulthood (35-44)",worksheet[[#This Row],[age]]&lt; 55,"4. Mature Adulthood (45-54)",TRUE,"5. Late Adulthood/Senior (55+)")</f>
        <v>5. Late Adulthood/Senior (55+)</v>
      </c>
      <c r="D4406" t="s">
        <v>27</v>
      </c>
      <c r="E4406" t="s">
        <v>16</v>
      </c>
      <c r="F4406" s="4">
        <v>2.63</v>
      </c>
      <c r="G4406" s="5">
        <v>42</v>
      </c>
      <c r="H4406" t="s">
        <v>70</v>
      </c>
      <c r="I4406" t="s">
        <v>24</v>
      </c>
      <c r="J4406" s="6">
        <v>8.99</v>
      </c>
      <c r="K4406">
        <v>1</v>
      </c>
      <c r="L4406" t="s">
        <v>19</v>
      </c>
      <c r="M4406" s="5">
        <v>2</v>
      </c>
      <c r="N4406" s="4">
        <v>0.06</v>
      </c>
      <c r="O4406" t="s">
        <v>30</v>
      </c>
    </row>
    <row r="4407" spans="1:15" x14ac:dyDescent="0.3">
      <c r="A4407" t="s">
        <v>3106</v>
      </c>
      <c r="B4407" s="5">
        <v>64</v>
      </c>
      <c r="C4407" s="5" t="str" cm="1">
        <f t="array" ref="C4407">_xlfn.IFS(worksheet[[#This Row],[age]]&lt;25,"1. Young Adulthood (18-24)",worksheet[[#This Row],[age]]&lt; 35,"2. Early Adulthood (25-34)",worksheet[[#This Row],[age]]&lt; 45,"3. Mid Adulthood (35-44)",worksheet[[#This Row],[age]]&lt; 55,"4. Mature Adulthood (45-54)",TRUE,"5. Late Adulthood/Senior (55+)")</f>
        <v>5. Late Adulthood/Senior (55+)</v>
      </c>
      <c r="D4407" t="s">
        <v>27</v>
      </c>
      <c r="E4407" t="s">
        <v>16</v>
      </c>
      <c r="F4407" s="4">
        <v>6.99</v>
      </c>
      <c r="G4407" s="5">
        <v>11</v>
      </c>
      <c r="H4407" t="s">
        <v>33</v>
      </c>
      <c r="I4407" t="s">
        <v>57</v>
      </c>
      <c r="J4407" s="6">
        <v>8.99</v>
      </c>
      <c r="K4407">
        <v>0</v>
      </c>
      <c r="L4407" t="s">
        <v>29</v>
      </c>
      <c r="M4407" s="5">
        <v>1</v>
      </c>
      <c r="N4407" s="4">
        <v>0.57999999999999996</v>
      </c>
      <c r="O4407" t="s">
        <v>25</v>
      </c>
    </row>
    <row r="4408" spans="1:15" x14ac:dyDescent="0.3">
      <c r="A4408" t="s">
        <v>3112</v>
      </c>
      <c r="B4408" s="5">
        <v>61</v>
      </c>
      <c r="C4408" s="5" t="str" cm="1">
        <f t="array" ref="C4408">_xlfn.IFS(worksheet[[#This Row],[age]]&lt;25,"1. Young Adulthood (18-24)",worksheet[[#This Row],[age]]&lt; 35,"2. Early Adulthood (25-34)",worksheet[[#This Row],[age]]&lt; 45,"3. Mid Adulthood (35-44)",worksheet[[#This Row],[age]]&lt; 55,"4. Mature Adulthood (45-54)",TRUE,"5. Late Adulthood/Senior (55+)")</f>
        <v>5. Late Adulthood/Senior (55+)</v>
      </c>
      <c r="D4408" t="s">
        <v>15</v>
      </c>
      <c r="E4408" t="s">
        <v>16</v>
      </c>
      <c r="F4408" s="4">
        <v>9.33</v>
      </c>
      <c r="G4408" s="5">
        <v>51</v>
      </c>
      <c r="H4408" t="s">
        <v>33</v>
      </c>
      <c r="I4408" t="s">
        <v>55</v>
      </c>
      <c r="J4408" s="6">
        <v>8.99</v>
      </c>
      <c r="K4408">
        <v>1</v>
      </c>
      <c r="L4408" t="s">
        <v>19</v>
      </c>
      <c r="M4408" s="5">
        <v>4</v>
      </c>
      <c r="N4408" s="4">
        <v>0.18</v>
      </c>
      <c r="O4408" t="s">
        <v>39</v>
      </c>
    </row>
    <row r="4409" spans="1:15" x14ac:dyDescent="0.3">
      <c r="A4409" t="s">
        <v>3115</v>
      </c>
      <c r="B4409" s="5">
        <v>58</v>
      </c>
      <c r="C4409" s="5" t="str" cm="1">
        <f t="array" ref="C4409">_xlfn.IFS(worksheet[[#This Row],[age]]&lt;25,"1. Young Adulthood (18-24)",worksheet[[#This Row],[age]]&lt; 35,"2. Early Adulthood (25-34)",worksheet[[#This Row],[age]]&lt; 45,"3. Mid Adulthood (35-44)",worksheet[[#This Row],[age]]&lt; 55,"4. Mature Adulthood (45-54)",TRUE,"5. Late Adulthood/Senior (55+)")</f>
        <v>5. Late Adulthood/Senior (55+)</v>
      </c>
      <c r="D4409" t="s">
        <v>27</v>
      </c>
      <c r="E4409" t="s">
        <v>16</v>
      </c>
      <c r="F4409" s="4">
        <v>21.67</v>
      </c>
      <c r="G4409" s="5">
        <v>45</v>
      </c>
      <c r="H4409" t="s">
        <v>23</v>
      </c>
      <c r="I4409" t="s">
        <v>18</v>
      </c>
      <c r="J4409" s="6">
        <v>8.99</v>
      </c>
      <c r="K4409">
        <v>0</v>
      </c>
      <c r="L4409" t="s">
        <v>37</v>
      </c>
      <c r="M4409" s="5">
        <v>4</v>
      </c>
      <c r="N4409" s="4">
        <v>0.47</v>
      </c>
      <c r="O4409" t="s">
        <v>25</v>
      </c>
    </row>
    <row r="4410" spans="1:15" x14ac:dyDescent="0.3">
      <c r="A4410" t="s">
        <v>3122</v>
      </c>
      <c r="B4410" s="5">
        <v>64</v>
      </c>
      <c r="C4410" s="5" t="str" cm="1">
        <f t="array" ref="C4410">_xlfn.IFS(worksheet[[#This Row],[age]]&lt;25,"1. Young Adulthood (18-24)",worksheet[[#This Row],[age]]&lt; 35,"2. Early Adulthood (25-34)",worksheet[[#This Row],[age]]&lt; 45,"3. Mid Adulthood (35-44)",worksheet[[#This Row],[age]]&lt; 55,"4. Mature Adulthood (45-54)",TRUE,"5. Late Adulthood/Senior (55+)")</f>
        <v>5. Late Adulthood/Senior (55+)</v>
      </c>
      <c r="D4410" t="s">
        <v>27</v>
      </c>
      <c r="E4410" t="s">
        <v>22</v>
      </c>
      <c r="F4410" s="4">
        <v>0.91</v>
      </c>
      <c r="G4410" s="5">
        <v>44</v>
      </c>
      <c r="H4410" t="s">
        <v>49</v>
      </c>
      <c r="I4410" t="s">
        <v>18</v>
      </c>
      <c r="J4410" s="6">
        <v>13.99</v>
      </c>
      <c r="K4410">
        <v>1</v>
      </c>
      <c r="L4410" t="s">
        <v>37</v>
      </c>
      <c r="M4410" s="5">
        <v>3</v>
      </c>
      <c r="N4410" s="4">
        <v>0.02</v>
      </c>
      <c r="O4410" t="s">
        <v>34</v>
      </c>
    </row>
    <row r="4411" spans="1:15" x14ac:dyDescent="0.3">
      <c r="A4411" t="s">
        <v>3123</v>
      </c>
      <c r="B4411" s="5">
        <v>58</v>
      </c>
      <c r="C4411" s="5" t="str" cm="1">
        <f t="array" ref="C4411">_xlfn.IFS(worksheet[[#This Row],[age]]&lt;25,"1. Young Adulthood (18-24)",worksheet[[#This Row],[age]]&lt; 35,"2. Early Adulthood (25-34)",worksheet[[#This Row],[age]]&lt; 45,"3. Mid Adulthood (35-44)",worksheet[[#This Row],[age]]&lt; 55,"4. Mature Adulthood (45-54)",TRUE,"5. Late Adulthood/Senior (55+)")</f>
        <v>5. Late Adulthood/Senior (55+)</v>
      </c>
      <c r="D4411" t="s">
        <v>27</v>
      </c>
      <c r="E4411" t="s">
        <v>16</v>
      </c>
      <c r="F4411" s="4">
        <v>26.03</v>
      </c>
      <c r="G4411" s="5">
        <v>26</v>
      </c>
      <c r="H4411" t="s">
        <v>49</v>
      </c>
      <c r="I4411" t="s">
        <v>55</v>
      </c>
      <c r="J4411" s="6">
        <v>8.99</v>
      </c>
      <c r="K4411">
        <v>0</v>
      </c>
      <c r="L4411" t="s">
        <v>19</v>
      </c>
      <c r="M4411" s="5">
        <v>5</v>
      </c>
      <c r="N4411" s="4">
        <v>0.96</v>
      </c>
      <c r="O4411" t="s">
        <v>34</v>
      </c>
    </row>
    <row r="4412" spans="1:15" x14ac:dyDescent="0.3">
      <c r="A4412" t="s">
        <v>3128</v>
      </c>
      <c r="B4412" s="5">
        <v>62</v>
      </c>
      <c r="C4412" s="5" t="str" cm="1">
        <f t="array" ref="C4412">_xlfn.IFS(worksheet[[#This Row],[age]]&lt;25,"1. Young Adulthood (18-24)",worksheet[[#This Row],[age]]&lt; 35,"2. Early Adulthood (25-34)",worksheet[[#This Row],[age]]&lt; 45,"3. Mid Adulthood (35-44)",worksheet[[#This Row],[age]]&lt; 55,"4. Mature Adulthood (45-54)",TRUE,"5. Late Adulthood/Senior (55+)")</f>
        <v>5. Late Adulthood/Senior (55+)</v>
      </c>
      <c r="D4412" t="s">
        <v>27</v>
      </c>
      <c r="E4412" t="s">
        <v>22</v>
      </c>
      <c r="F4412" s="4">
        <v>24.45</v>
      </c>
      <c r="G4412" s="5">
        <v>13</v>
      </c>
      <c r="H4412" t="s">
        <v>17</v>
      </c>
      <c r="I4412" t="s">
        <v>46</v>
      </c>
      <c r="J4412" s="6">
        <v>13.99</v>
      </c>
      <c r="K4412">
        <v>0</v>
      </c>
      <c r="L4412" t="s">
        <v>61</v>
      </c>
      <c r="M4412" s="5">
        <v>3</v>
      </c>
      <c r="N4412" s="4">
        <v>1.75</v>
      </c>
      <c r="O4412" t="s">
        <v>52</v>
      </c>
    </row>
    <row r="4413" spans="1:15" x14ac:dyDescent="0.3">
      <c r="A4413" t="s">
        <v>3137</v>
      </c>
      <c r="B4413" s="5">
        <v>64</v>
      </c>
      <c r="C4413" s="5" t="str" cm="1">
        <f t="array" ref="C4413">_xlfn.IFS(worksheet[[#This Row],[age]]&lt;25,"1. Young Adulthood (18-24)",worksheet[[#This Row],[age]]&lt; 35,"2. Early Adulthood (25-34)",worksheet[[#This Row],[age]]&lt; 45,"3. Mid Adulthood (35-44)",worksheet[[#This Row],[age]]&lt; 55,"4. Mature Adulthood (45-54)",TRUE,"5. Late Adulthood/Senior (55+)")</f>
        <v>5. Late Adulthood/Senior (55+)</v>
      </c>
      <c r="D4413" t="s">
        <v>27</v>
      </c>
      <c r="E4413" t="s">
        <v>16</v>
      </c>
      <c r="F4413" s="4">
        <v>7.82</v>
      </c>
      <c r="G4413" s="5">
        <v>34</v>
      </c>
      <c r="H4413" t="s">
        <v>70</v>
      </c>
      <c r="I4413" t="s">
        <v>24</v>
      </c>
      <c r="J4413" s="6">
        <v>8.99</v>
      </c>
      <c r="K4413">
        <v>1</v>
      </c>
      <c r="L4413" t="s">
        <v>37</v>
      </c>
      <c r="M4413" s="5">
        <v>2</v>
      </c>
      <c r="N4413" s="4">
        <v>0.22</v>
      </c>
      <c r="O4413" t="s">
        <v>47</v>
      </c>
    </row>
    <row r="4414" spans="1:15" x14ac:dyDescent="0.3">
      <c r="A4414" t="s">
        <v>3138</v>
      </c>
      <c r="B4414" s="5">
        <v>67</v>
      </c>
      <c r="C4414" s="5" t="str" cm="1">
        <f t="array" ref="C4414">_xlfn.IFS(worksheet[[#This Row],[age]]&lt;25,"1. Young Adulthood (18-24)",worksheet[[#This Row],[age]]&lt; 35,"2. Early Adulthood (25-34)",worksheet[[#This Row],[age]]&lt; 45,"3. Mid Adulthood (35-44)",worksheet[[#This Row],[age]]&lt; 55,"4. Mature Adulthood (45-54)",TRUE,"5. Late Adulthood/Senior (55+)")</f>
        <v>5. Late Adulthood/Senior (55+)</v>
      </c>
      <c r="D4414" t="s">
        <v>27</v>
      </c>
      <c r="E4414" t="s">
        <v>32</v>
      </c>
      <c r="F4414" s="4">
        <v>4.01</v>
      </c>
      <c r="G4414" s="5">
        <v>55</v>
      </c>
      <c r="H4414" t="s">
        <v>49</v>
      </c>
      <c r="I4414" t="s">
        <v>46</v>
      </c>
      <c r="J4414" s="6">
        <v>17.989999999999998</v>
      </c>
      <c r="K4414">
        <v>1</v>
      </c>
      <c r="L4414" t="s">
        <v>37</v>
      </c>
      <c r="M4414" s="5">
        <v>4</v>
      </c>
      <c r="N4414" s="4">
        <v>7.0000000000000007E-2</v>
      </c>
      <c r="O4414" t="s">
        <v>30</v>
      </c>
    </row>
    <row r="4415" spans="1:15" x14ac:dyDescent="0.3">
      <c r="A4415" t="s">
        <v>3152</v>
      </c>
      <c r="B4415" s="5">
        <v>66</v>
      </c>
      <c r="C4415" s="5" t="str" cm="1">
        <f t="array" ref="C4415">_xlfn.IFS(worksheet[[#This Row],[age]]&lt;25,"1. Young Adulthood (18-24)",worksheet[[#This Row],[age]]&lt; 35,"2. Early Adulthood (25-34)",worksheet[[#This Row],[age]]&lt; 45,"3. Mid Adulthood (35-44)",worksheet[[#This Row],[age]]&lt; 55,"4. Mature Adulthood (45-54)",TRUE,"5. Late Adulthood/Senior (55+)")</f>
        <v>5. Late Adulthood/Senior (55+)</v>
      </c>
      <c r="D4415" t="s">
        <v>41</v>
      </c>
      <c r="E4415" t="s">
        <v>22</v>
      </c>
      <c r="F4415" s="4">
        <v>26.72</v>
      </c>
      <c r="G4415" s="5">
        <v>35</v>
      </c>
      <c r="H4415" t="s">
        <v>33</v>
      </c>
      <c r="I4415" t="s">
        <v>18</v>
      </c>
      <c r="J4415" s="6">
        <v>13.99</v>
      </c>
      <c r="K4415">
        <v>0</v>
      </c>
      <c r="L4415" t="s">
        <v>43</v>
      </c>
      <c r="M4415" s="5">
        <v>5</v>
      </c>
      <c r="N4415" s="4">
        <v>0.74</v>
      </c>
      <c r="O4415" t="s">
        <v>30</v>
      </c>
    </row>
    <row r="4416" spans="1:15" x14ac:dyDescent="0.3">
      <c r="A4416" t="s">
        <v>3153</v>
      </c>
      <c r="B4416" s="5">
        <v>68</v>
      </c>
      <c r="C4416" s="5" t="str" cm="1">
        <f t="array" ref="C4416">_xlfn.IFS(worksheet[[#This Row],[age]]&lt;25,"1. Young Adulthood (18-24)",worksheet[[#This Row],[age]]&lt; 35,"2. Early Adulthood (25-34)",worksheet[[#This Row],[age]]&lt; 45,"3. Mid Adulthood (35-44)",worksheet[[#This Row],[age]]&lt; 55,"4. Mature Adulthood (45-54)",TRUE,"5. Late Adulthood/Senior (55+)")</f>
        <v>5. Late Adulthood/Senior (55+)</v>
      </c>
      <c r="D4416" t="s">
        <v>27</v>
      </c>
      <c r="E4416" t="s">
        <v>22</v>
      </c>
      <c r="F4416" s="4">
        <v>1.45</v>
      </c>
      <c r="G4416" s="5">
        <v>27</v>
      </c>
      <c r="H4416" t="s">
        <v>70</v>
      </c>
      <c r="I4416" t="s">
        <v>55</v>
      </c>
      <c r="J4416" s="6">
        <v>13.99</v>
      </c>
      <c r="K4416">
        <v>0</v>
      </c>
      <c r="L4416" t="s">
        <v>37</v>
      </c>
      <c r="M4416" s="5">
        <v>5</v>
      </c>
      <c r="N4416" s="4">
        <v>0.05</v>
      </c>
      <c r="O4416" t="s">
        <v>39</v>
      </c>
    </row>
    <row r="4417" spans="1:15" x14ac:dyDescent="0.3">
      <c r="A4417" t="s">
        <v>3157</v>
      </c>
      <c r="B4417" s="5">
        <v>63</v>
      </c>
      <c r="C4417" s="5" t="str" cm="1">
        <f t="array" ref="C4417">_xlfn.IFS(worksheet[[#This Row],[age]]&lt;25,"1. Young Adulthood (18-24)",worksheet[[#This Row],[age]]&lt; 35,"2. Early Adulthood (25-34)",worksheet[[#This Row],[age]]&lt; 45,"3. Mid Adulthood (35-44)",worksheet[[#This Row],[age]]&lt; 55,"4. Mature Adulthood (45-54)",TRUE,"5. Late Adulthood/Senior (55+)")</f>
        <v>5. Late Adulthood/Senior (55+)</v>
      </c>
      <c r="D4417" t="s">
        <v>27</v>
      </c>
      <c r="E4417" t="s">
        <v>32</v>
      </c>
      <c r="F4417" s="4">
        <v>6.24</v>
      </c>
      <c r="G4417" s="5">
        <v>17</v>
      </c>
      <c r="H4417" t="s">
        <v>70</v>
      </c>
      <c r="I4417" t="s">
        <v>57</v>
      </c>
      <c r="J4417" s="6">
        <v>17.989999999999998</v>
      </c>
      <c r="K4417">
        <v>0</v>
      </c>
      <c r="L4417" t="s">
        <v>43</v>
      </c>
      <c r="M4417" s="5">
        <v>1</v>
      </c>
      <c r="N4417" s="4">
        <v>0.35</v>
      </c>
      <c r="O4417" t="s">
        <v>30</v>
      </c>
    </row>
    <row r="4418" spans="1:15" x14ac:dyDescent="0.3">
      <c r="A4418" t="s">
        <v>3160</v>
      </c>
      <c r="B4418" s="5">
        <v>66</v>
      </c>
      <c r="C4418" s="5" t="str" cm="1">
        <f t="array" ref="C4418">_xlfn.IFS(worksheet[[#This Row],[age]]&lt;25,"1. Young Adulthood (18-24)",worksheet[[#This Row],[age]]&lt; 35,"2. Early Adulthood (25-34)",worksheet[[#This Row],[age]]&lt; 45,"3. Mid Adulthood (35-44)",worksheet[[#This Row],[age]]&lt; 55,"4. Mature Adulthood (45-54)",TRUE,"5. Late Adulthood/Senior (55+)")</f>
        <v>5. Late Adulthood/Senior (55+)</v>
      </c>
      <c r="D4418" t="s">
        <v>41</v>
      </c>
      <c r="E4418" t="s">
        <v>16</v>
      </c>
      <c r="F4418" s="4">
        <v>7.42</v>
      </c>
      <c r="G4418" s="5">
        <v>22</v>
      </c>
      <c r="H4418" t="s">
        <v>17</v>
      </c>
      <c r="I4418" t="s">
        <v>55</v>
      </c>
      <c r="J4418" s="6">
        <v>8.99</v>
      </c>
      <c r="K4418">
        <v>1</v>
      </c>
      <c r="L4418" t="s">
        <v>43</v>
      </c>
      <c r="M4418" s="5">
        <v>1</v>
      </c>
      <c r="N4418" s="4">
        <v>0.32</v>
      </c>
      <c r="O4418" t="s">
        <v>52</v>
      </c>
    </row>
    <row r="4419" spans="1:15" x14ac:dyDescent="0.3">
      <c r="A4419" t="s">
        <v>3163</v>
      </c>
      <c r="B4419" s="5">
        <v>67</v>
      </c>
      <c r="C4419" s="5" t="str" cm="1">
        <f t="array" ref="C4419">_xlfn.IFS(worksheet[[#This Row],[age]]&lt;25,"1. Young Adulthood (18-24)",worksheet[[#This Row],[age]]&lt; 35,"2. Early Adulthood (25-34)",worksheet[[#This Row],[age]]&lt; 45,"3. Mid Adulthood (35-44)",worksheet[[#This Row],[age]]&lt; 55,"4. Mature Adulthood (45-54)",TRUE,"5. Late Adulthood/Senior (55+)")</f>
        <v>5. Late Adulthood/Senior (55+)</v>
      </c>
      <c r="D4419" t="s">
        <v>27</v>
      </c>
      <c r="E4419" t="s">
        <v>22</v>
      </c>
      <c r="F4419" s="4">
        <v>5.78</v>
      </c>
      <c r="G4419" s="5">
        <v>47</v>
      </c>
      <c r="H4419" t="s">
        <v>17</v>
      </c>
      <c r="I4419" t="s">
        <v>55</v>
      </c>
      <c r="J4419" s="6">
        <v>13.99</v>
      </c>
      <c r="K4419">
        <v>1</v>
      </c>
      <c r="L4419" t="s">
        <v>37</v>
      </c>
      <c r="M4419" s="5">
        <v>3</v>
      </c>
      <c r="N4419" s="4">
        <v>0.12</v>
      </c>
      <c r="O4419" t="s">
        <v>20</v>
      </c>
    </row>
    <row r="4420" spans="1:15" x14ac:dyDescent="0.3">
      <c r="A4420" t="s">
        <v>3168</v>
      </c>
      <c r="B4420" s="5">
        <v>62</v>
      </c>
      <c r="C4420" s="5" t="str" cm="1">
        <f t="array" ref="C4420">_xlfn.IFS(worksheet[[#This Row],[age]]&lt;25,"1. Young Adulthood (18-24)",worksheet[[#This Row],[age]]&lt; 35,"2. Early Adulthood (25-34)",worksheet[[#This Row],[age]]&lt; 45,"3. Mid Adulthood (35-44)",worksheet[[#This Row],[age]]&lt; 55,"4. Mature Adulthood (45-54)",TRUE,"5. Late Adulthood/Senior (55+)")</f>
        <v>5. Late Adulthood/Senior (55+)</v>
      </c>
      <c r="D4420" t="s">
        <v>41</v>
      </c>
      <c r="E4420" t="s">
        <v>16</v>
      </c>
      <c r="F4420" s="4">
        <v>7.6</v>
      </c>
      <c r="G4420" s="5">
        <v>38</v>
      </c>
      <c r="H4420" t="s">
        <v>33</v>
      </c>
      <c r="I4420" t="s">
        <v>46</v>
      </c>
      <c r="J4420" s="6">
        <v>8.99</v>
      </c>
      <c r="K4420">
        <v>1</v>
      </c>
      <c r="L4420" t="s">
        <v>43</v>
      </c>
      <c r="M4420" s="5">
        <v>1</v>
      </c>
      <c r="N4420" s="4">
        <v>0.19</v>
      </c>
      <c r="O4420" t="s">
        <v>39</v>
      </c>
    </row>
    <row r="4421" spans="1:15" x14ac:dyDescent="0.3">
      <c r="A4421" t="s">
        <v>3170</v>
      </c>
      <c r="B4421" s="5">
        <v>68</v>
      </c>
      <c r="C4421" s="5" t="str" cm="1">
        <f t="array" ref="C4421">_xlfn.IFS(worksheet[[#This Row],[age]]&lt;25,"1. Young Adulthood (18-24)",worksheet[[#This Row],[age]]&lt; 35,"2. Early Adulthood (25-34)",worksheet[[#This Row],[age]]&lt; 45,"3. Mid Adulthood (35-44)",worksheet[[#This Row],[age]]&lt; 55,"4. Mature Adulthood (45-54)",TRUE,"5. Late Adulthood/Senior (55+)")</f>
        <v>5. Late Adulthood/Senior (55+)</v>
      </c>
      <c r="D4421" t="s">
        <v>15</v>
      </c>
      <c r="E4421" t="s">
        <v>22</v>
      </c>
      <c r="F4421" s="4">
        <v>35.61</v>
      </c>
      <c r="G4421" s="5">
        <v>40</v>
      </c>
      <c r="H4421" t="s">
        <v>49</v>
      </c>
      <c r="I4421" t="s">
        <v>55</v>
      </c>
      <c r="J4421" s="6">
        <v>13.99</v>
      </c>
      <c r="K4421">
        <v>0</v>
      </c>
      <c r="L4421" t="s">
        <v>37</v>
      </c>
      <c r="M4421" s="5">
        <v>4</v>
      </c>
      <c r="N4421" s="4">
        <v>0.87</v>
      </c>
      <c r="O4421" t="s">
        <v>52</v>
      </c>
    </row>
    <row r="4422" spans="1:15" x14ac:dyDescent="0.3">
      <c r="A4422" t="s">
        <v>3176</v>
      </c>
      <c r="B4422" s="5">
        <v>57</v>
      </c>
      <c r="C4422" s="5" t="str" cm="1">
        <f t="array" ref="C4422">_xlfn.IFS(worksheet[[#This Row],[age]]&lt;25,"1. Young Adulthood (18-24)",worksheet[[#This Row],[age]]&lt; 35,"2. Early Adulthood (25-34)",worksheet[[#This Row],[age]]&lt; 45,"3. Mid Adulthood (35-44)",worksheet[[#This Row],[age]]&lt; 55,"4. Mature Adulthood (45-54)",TRUE,"5. Late Adulthood/Senior (55+)")</f>
        <v>5. Late Adulthood/Senior (55+)</v>
      </c>
      <c r="D4422" t="s">
        <v>27</v>
      </c>
      <c r="E4422" t="s">
        <v>16</v>
      </c>
      <c r="F4422" s="4">
        <v>24.97</v>
      </c>
      <c r="G4422" s="5">
        <v>53</v>
      </c>
      <c r="H4422" t="s">
        <v>28</v>
      </c>
      <c r="I4422" t="s">
        <v>18</v>
      </c>
      <c r="J4422" s="6">
        <v>8.99</v>
      </c>
      <c r="K4422">
        <v>1</v>
      </c>
      <c r="L4422" t="s">
        <v>19</v>
      </c>
      <c r="M4422" s="5">
        <v>5</v>
      </c>
      <c r="N4422" s="4">
        <v>0.46</v>
      </c>
      <c r="O4422" t="s">
        <v>34</v>
      </c>
    </row>
    <row r="4423" spans="1:15" x14ac:dyDescent="0.3">
      <c r="A4423" t="s">
        <v>3183</v>
      </c>
      <c r="B4423" s="5">
        <v>69</v>
      </c>
      <c r="C4423" s="5" t="str" cm="1">
        <f t="array" ref="C4423">_xlfn.IFS(worksheet[[#This Row],[age]]&lt;25,"1. Young Adulthood (18-24)",worksheet[[#This Row],[age]]&lt; 35,"2. Early Adulthood (25-34)",worksheet[[#This Row],[age]]&lt; 45,"3. Mid Adulthood (35-44)",worksheet[[#This Row],[age]]&lt; 55,"4. Mature Adulthood (45-54)",TRUE,"5. Late Adulthood/Senior (55+)")</f>
        <v>5. Late Adulthood/Senior (55+)</v>
      </c>
      <c r="D4423" t="s">
        <v>41</v>
      </c>
      <c r="E4423" t="s">
        <v>32</v>
      </c>
      <c r="F4423" s="4">
        <v>36.44</v>
      </c>
      <c r="G4423" s="5">
        <v>10</v>
      </c>
      <c r="H4423" t="s">
        <v>70</v>
      </c>
      <c r="I4423" t="s">
        <v>46</v>
      </c>
      <c r="J4423" s="6">
        <v>17.989999999999998</v>
      </c>
      <c r="K4423">
        <v>0</v>
      </c>
      <c r="L4423" t="s">
        <v>37</v>
      </c>
      <c r="M4423" s="5">
        <v>4</v>
      </c>
      <c r="N4423" s="4">
        <v>3.31</v>
      </c>
      <c r="O4423" t="s">
        <v>52</v>
      </c>
    </row>
    <row r="4424" spans="1:15" x14ac:dyDescent="0.3">
      <c r="A4424" t="s">
        <v>3186</v>
      </c>
      <c r="B4424" s="5">
        <v>67</v>
      </c>
      <c r="C4424" s="5" t="str" cm="1">
        <f t="array" ref="C4424">_xlfn.IFS(worksheet[[#This Row],[age]]&lt;25,"1. Young Adulthood (18-24)",worksheet[[#This Row],[age]]&lt; 35,"2. Early Adulthood (25-34)",worksheet[[#This Row],[age]]&lt; 45,"3. Mid Adulthood (35-44)",worksheet[[#This Row],[age]]&lt; 55,"4. Mature Adulthood (45-54)",TRUE,"5. Late Adulthood/Senior (55+)")</f>
        <v>5. Late Adulthood/Senior (55+)</v>
      </c>
      <c r="D4424" t="s">
        <v>41</v>
      </c>
      <c r="E4424" t="s">
        <v>32</v>
      </c>
      <c r="F4424" s="4">
        <v>27.23</v>
      </c>
      <c r="G4424" s="5">
        <v>45</v>
      </c>
      <c r="H4424" t="s">
        <v>33</v>
      </c>
      <c r="I4424" t="s">
        <v>24</v>
      </c>
      <c r="J4424" s="6">
        <v>17.989999999999998</v>
      </c>
      <c r="K4424">
        <v>0</v>
      </c>
      <c r="L4424" t="s">
        <v>43</v>
      </c>
      <c r="M4424" s="5">
        <v>2</v>
      </c>
      <c r="N4424" s="4">
        <v>0.59</v>
      </c>
      <c r="O4424" t="s">
        <v>52</v>
      </c>
    </row>
    <row r="4425" spans="1:15" x14ac:dyDescent="0.3">
      <c r="A4425" t="s">
        <v>3192</v>
      </c>
      <c r="B4425" s="5">
        <v>57</v>
      </c>
      <c r="C4425" s="5" t="str" cm="1">
        <f t="array" ref="C4425">_xlfn.IFS(worksheet[[#This Row],[age]]&lt;25,"1. Young Adulthood (18-24)",worksheet[[#This Row],[age]]&lt; 35,"2. Early Adulthood (25-34)",worksheet[[#This Row],[age]]&lt; 45,"3. Mid Adulthood (35-44)",worksheet[[#This Row],[age]]&lt; 55,"4. Mature Adulthood (45-54)",TRUE,"5. Late Adulthood/Senior (55+)")</f>
        <v>5. Late Adulthood/Senior (55+)</v>
      </c>
      <c r="D4425" t="s">
        <v>27</v>
      </c>
      <c r="E4425" t="s">
        <v>32</v>
      </c>
      <c r="F4425" s="4">
        <v>12.51</v>
      </c>
      <c r="G4425" s="5">
        <v>4</v>
      </c>
      <c r="H4425" t="s">
        <v>17</v>
      </c>
      <c r="I4425" t="s">
        <v>18</v>
      </c>
      <c r="J4425" s="6">
        <v>17.989999999999998</v>
      </c>
      <c r="K4425">
        <v>0</v>
      </c>
      <c r="L4425" t="s">
        <v>19</v>
      </c>
      <c r="M4425" s="5">
        <v>2</v>
      </c>
      <c r="N4425" s="4">
        <v>2.5</v>
      </c>
      <c r="O4425" t="s">
        <v>52</v>
      </c>
    </row>
    <row r="4426" spans="1:15" x14ac:dyDescent="0.3">
      <c r="A4426" t="s">
        <v>3195</v>
      </c>
      <c r="B4426" s="5">
        <v>60</v>
      </c>
      <c r="C4426" s="5" t="str" cm="1">
        <f t="array" ref="C4426">_xlfn.IFS(worksheet[[#This Row],[age]]&lt;25,"1. Young Adulthood (18-24)",worksheet[[#This Row],[age]]&lt; 35,"2. Early Adulthood (25-34)",worksheet[[#This Row],[age]]&lt; 45,"3. Mid Adulthood (35-44)",worksheet[[#This Row],[age]]&lt; 55,"4. Mature Adulthood (45-54)",TRUE,"5. Late Adulthood/Senior (55+)")</f>
        <v>5. Late Adulthood/Senior (55+)</v>
      </c>
      <c r="D4426" t="s">
        <v>27</v>
      </c>
      <c r="E4426" t="s">
        <v>32</v>
      </c>
      <c r="F4426" s="4">
        <v>1.0900000000000001</v>
      </c>
      <c r="G4426" s="5">
        <v>6</v>
      </c>
      <c r="H4426" t="s">
        <v>49</v>
      </c>
      <c r="I4426" t="s">
        <v>46</v>
      </c>
      <c r="J4426" s="6">
        <v>17.989999999999998</v>
      </c>
      <c r="K4426">
        <v>1</v>
      </c>
      <c r="L4426" t="s">
        <v>61</v>
      </c>
      <c r="M4426" s="5">
        <v>1</v>
      </c>
      <c r="N4426" s="4">
        <v>0.16</v>
      </c>
      <c r="O4426" t="s">
        <v>34</v>
      </c>
    </row>
    <row r="4427" spans="1:15" x14ac:dyDescent="0.3">
      <c r="A4427" t="s">
        <v>3197</v>
      </c>
      <c r="B4427" s="5">
        <v>70</v>
      </c>
      <c r="C4427" s="5" t="str" cm="1">
        <f t="array" ref="C4427">_xlfn.IFS(worksheet[[#This Row],[age]]&lt;25,"1. Young Adulthood (18-24)",worksheet[[#This Row],[age]]&lt; 35,"2. Early Adulthood (25-34)",worksheet[[#This Row],[age]]&lt; 45,"3. Mid Adulthood (35-44)",worksheet[[#This Row],[age]]&lt; 55,"4. Mature Adulthood (45-54)",TRUE,"5. Late Adulthood/Senior (55+)")</f>
        <v>5. Late Adulthood/Senior (55+)</v>
      </c>
      <c r="D4427" t="s">
        <v>15</v>
      </c>
      <c r="E4427" t="s">
        <v>32</v>
      </c>
      <c r="F4427" s="4">
        <v>5.52</v>
      </c>
      <c r="G4427" s="5">
        <v>29</v>
      </c>
      <c r="H4427" t="s">
        <v>49</v>
      </c>
      <c r="I4427" t="s">
        <v>55</v>
      </c>
      <c r="J4427" s="6">
        <v>17.989999999999998</v>
      </c>
      <c r="K4427">
        <v>0</v>
      </c>
      <c r="L4427" t="s">
        <v>29</v>
      </c>
      <c r="M4427" s="5">
        <v>4</v>
      </c>
      <c r="N4427" s="4">
        <v>0.18</v>
      </c>
      <c r="O4427" t="s">
        <v>52</v>
      </c>
    </row>
    <row r="4428" spans="1:15" x14ac:dyDescent="0.3">
      <c r="A4428" t="s">
        <v>3198</v>
      </c>
      <c r="B4428" s="5">
        <v>69</v>
      </c>
      <c r="C4428" s="5" t="str" cm="1">
        <f t="array" ref="C4428">_xlfn.IFS(worksheet[[#This Row],[age]]&lt;25,"1. Young Adulthood (18-24)",worksheet[[#This Row],[age]]&lt; 35,"2. Early Adulthood (25-34)",worksheet[[#This Row],[age]]&lt; 45,"3. Mid Adulthood (35-44)",worksheet[[#This Row],[age]]&lt; 55,"4. Mature Adulthood (45-54)",TRUE,"5. Late Adulthood/Senior (55+)")</f>
        <v>5. Late Adulthood/Senior (55+)</v>
      </c>
      <c r="D4428" t="s">
        <v>15</v>
      </c>
      <c r="E4428" t="s">
        <v>16</v>
      </c>
      <c r="F4428" s="4">
        <v>22.17</v>
      </c>
      <c r="G4428" s="5">
        <v>51</v>
      </c>
      <c r="H4428" t="s">
        <v>23</v>
      </c>
      <c r="I4428" t="s">
        <v>46</v>
      </c>
      <c r="J4428" s="6">
        <v>8.99</v>
      </c>
      <c r="K4428">
        <v>1</v>
      </c>
      <c r="L4428" t="s">
        <v>19</v>
      </c>
      <c r="M4428" s="5">
        <v>2</v>
      </c>
      <c r="N4428" s="4">
        <v>0.43</v>
      </c>
      <c r="O4428" t="s">
        <v>30</v>
      </c>
    </row>
    <row r="4429" spans="1:15" x14ac:dyDescent="0.3">
      <c r="A4429" t="s">
        <v>3200</v>
      </c>
      <c r="B4429" s="5">
        <v>70</v>
      </c>
      <c r="C4429" s="5" t="str" cm="1">
        <f t="array" ref="C4429">_xlfn.IFS(worksheet[[#This Row],[age]]&lt;25,"1. Young Adulthood (18-24)",worksheet[[#This Row],[age]]&lt; 35,"2. Early Adulthood (25-34)",worksheet[[#This Row],[age]]&lt; 45,"3. Mid Adulthood (35-44)",worksheet[[#This Row],[age]]&lt; 55,"4. Mature Adulthood (45-54)",TRUE,"5. Late Adulthood/Senior (55+)")</f>
        <v>5. Late Adulthood/Senior (55+)</v>
      </c>
      <c r="D4429" t="s">
        <v>15</v>
      </c>
      <c r="E4429" t="s">
        <v>16</v>
      </c>
      <c r="F4429" s="4">
        <v>61.47</v>
      </c>
      <c r="G4429" s="5">
        <v>7</v>
      </c>
      <c r="H4429" t="s">
        <v>23</v>
      </c>
      <c r="I4429" t="s">
        <v>24</v>
      </c>
      <c r="J4429" s="6">
        <v>8.99</v>
      </c>
      <c r="K4429">
        <v>0</v>
      </c>
      <c r="L4429" t="s">
        <v>43</v>
      </c>
      <c r="M4429" s="5">
        <v>1</v>
      </c>
      <c r="N4429" s="4">
        <v>7.68</v>
      </c>
      <c r="O4429" t="s">
        <v>39</v>
      </c>
    </row>
    <row r="4430" spans="1:15" x14ac:dyDescent="0.3">
      <c r="A4430" t="s">
        <v>3208</v>
      </c>
      <c r="B4430" s="5">
        <v>57</v>
      </c>
      <c r="C4430" s="5" t="str" cm="1">
        <f t="array" ref="C4430">_xlfn.IFS(worksheet[[#This Row],[age]]&lt;25,"1. Young Adulthood (18-24)",worksheet[[#This Row],[age]]&lt; 35,"2. Early Adulthood (25-34)",worksheet[[#This Row],[age]]&lt; 45,"3. Mid Adulthood (35-44)",worksheet[[#This Row],[age]]&lt; 55,"4. Mature Adulthood (45-54)",TRUE,"5. Late Adulthood/Senior (55+)")</f>
        <v>5. Late Adulthood/Senior (55+)</v>
      </c>
      <c r="D4430" t="s">
        <v>41</v>
      </c>
      <c r="E4430" t="s">
        <v>16</v>
      </c>
      <c r="F4430" s="4">
        <v>2.89</v>
      </c>
      <c r="G4430" s="5">
        <v>27</v>
      </c>
      <c r="H4430" t="s">
        <v>17</v>
      </c>
      <c r="I4430" t="s">
        <v>24</v>
      </c>
      <c r="J4430" s="6">
        <v>8.99</v>
      </c>
      <c r="K4430">
        <v>1</v>
      </c>
      <c r="L4430" t="s">
        <v>43</v>
      </c>
      <c r="M4430" s="5">
        <v>4</v>
      </c>
      <c r="N4430" s="4">
        <v>0.1</v>
      </c>
      <c r="O4430" t="s">
        <v>34</v>
      </c>
    </row>
    <row r="4431" spans="1:15" x14ac:dyDescent="0.3">
      <c r="A4431" t="s">
        <v>3211</v>
      </c>
      <c r="B4431" s="5">
        <v>57</v>
      </c>
      <c r="C4431" s="5" t="str" cm="1">
        <f t="array" ref="C4431">_xlfn.IFS(worksheet[[#This Row],[age]]&lt;25,"1. Young Adulthood (18-24)",worksheet[[#This Row],[age]]&lt; 35,"2. Early Adulthood (25-34)",worksheet[[#This Row],[age]]&lt; 45,"3. Mid Adulthood (35-44)",worksheet[[#This Row],[age]]&lt; 55,"4. Mature Adulthood (45-54)",TRUE,"5. Late Adulthood/Senior (55+)")</f>
        <v>5. Late Adulthood/Senior (55+)</v>
      </c>
      <c r="D4431" t="s">
        <v>41</v>
      </c>
      <c r="E4431" t="s">
        <v>22</v>
      </c>
      <c r="F4431" s="4">
        <v>18.93</v>
      </c>
      <c r="G4431" s="5">
        <v>42</v>
      </c>
      <c r="H4431" t="s">
        <v>17</v>
      </c>
      <c r="I4431" t="s">
        <v>18</v>
      </c>
      <c r="J4431" s="6">
        <v>13.99</v>
      </c>
      <c r="K4431">
        <v>1</v>
      </c>
      <c r="L4431" t="s">
        <v>19</v>
      </c>
      <c r="M4431" s="5">
        <v>5</v>
      </c>
      <c r="N4431" s="4">
        <v>0.44</v>
      </c>
      <c r="O4431" t="s">
        <v>39</v>
      </c>
    </row>
    <row r="4432" spans="1:15" x14ac:dyDescent="0.3">
      <c r="A4432" t="s">
        <v>3212</v>
      </c>
      <c r="B4432" s="5">
        <v>65</v>
      </c>
      <c r="C4432" s="5" t="str" cm="1">
        <f t="array" ref="C4432">_xlfn.IFS(worksheet[[#This Row],[age]]&lt;25,"1. Young Adulthood (18-24)",worksheet[[#This Row],[age]]&lt; 35,"2. Early Adulthood (25-34)",worksheet[[#This Row],[age]]&lt; 45,"3. Mid Adulthood (35-44)",worksheet[[#This Row],[age]]&lt; 55,"4. Mature Adulthood (45-54)",TRUE,"5. Late Adulthood/Senior (55+)")</f>
        <v>5. Late Adulthood/Senior (55+)</v>
      </c>
      <c r="D4432" t="s">
        <v>15</v>
      </c>
      <c r="E4432" t="s">
        <v>32</v>
      </c>
      <c r="F4432" s="4">
        <v>9.7100000000000009</v>
      </c>
      <c r="G4432" s="5">
        <v>47</v>
      </c>
      <c r="H4432" t="s">
        <v>17</v>
      </c>
      <c r="I4432" t="s">
        <v>55</v>
      </c>
      <c r="J4432" s="6">
        <v>17.989999999999998</v>
      </c>
      <c r="K4432">
        <v>0</v>
      </c>
      <c r="L4432" t="s">
        <v>43</v>
      </c>
      <c r="M4432" s="5">
        <v>4</v>
      </c>
      <c r="N4432" s="4">
        <v>0.2</v>
      </c>
      <c r="O4432" t="s">
        <v>52</v>
      </c>
    </row>
    <row r="4433" spans="1:15" x14ac:dyDescent="0.3">
      <c r="A4433" t="s">
        <v>3214</v>
      </c>
      <c r="B4433" s="5">
        <v>62</v>
      </c>
      <c r="C4433" s="5" t="str" cm="1">
        <f t="array" ref="C4433">_xlfn.IFS(worksheet[[#This Row],[age]]&lt;25,"1. Young Adulthood (18-24)",worksheet[[#This Row],[age]]&lt; 35,"2. Early Adulthood (25-34)",worksheet[[#This Row],[age]]&lt; 45,"3. Mid Adulthood (35-44)",worksheet[[#This Row],[age]]&lt; 55,"4. Mature Adulthood (45-54)",TRUE,"5. Late Adulthood/Senior (55+)")</f>
        <v>5. Late Adulthood/Senior (55+)</v>
      </c>
      <c r="D4433" t="s">
        <v>27</v>
      </c>
      <c r="E4433" t="s">
        <v>32</v>
      </c>
      <c r="F4433" s="4">
        <v>4.2</v>
      </c>
      <c r="G4433" s="5">
        <v>37</v>
      </c>
      <c r="H4433" t="s">
        <v>17</v>
      </c>
      <c r="I4433" t="s">
        <v>46</v>
      </c>
      <c r="J4433" s="6">
        <v>17.989999999999998</v>
      </c>
      <c r="K4433">
        <v>1</v>
      </c>
      <c r="L4433" t="s">
        <v>29</v>
      </c>
      <c r="M4433" s="5">
        <v>1</v>
      </c>
      <c r="N4433" s="4">
        <v>0.11</v>
      </c>
      <c r="O4433" t="s">
        <v>47</v>
      </c>
    </row>
    <row r="4434" spans="1:15" x14ac:dyDescent="0.3">
      <c r="A4434" t="s">
        <v>3215</v>
      </c>
      <c r="B4434" s="5">
        <v>58</v>
      </c>
      <c r="C4434" s="5" t="str" cm="1">
        <f t="array" ref="C4434">_xlfn.IFS(worksheet[[#This Row],[age]]&lt;25,"1. Young Adulthood (18-24)",worksheet[[#This Row],[age]]&lt; 35,"2. Early Adulthood (25-34)",worksheet[[#This Row],[age]]&lt; 45,"3. Mid Adulthood (35-44)",worksheet[[#This Row],[age]]&lt; 55,"4. Mature Adulthood (45-54)",TRUE,"5. Late Adulthood/Senior (55+)")</f>
        <v>5. Late Adulthood/Senior (55+)</v>
      </c>
      <c r="D4434" t="s">
        <v>15</v>
      </c>
      <c r="E4434" t="s">
        <v>16</v>
      </c>
      <c r="F4434" s="4">
        <v>15.24</v>
      </c>
      <c r="G4434" s="5">
        <v>16</v>
      </c>
      <c r="H4434" t="s">
        <v>28</v>
      </c>
      <c r="I4434" t="s">
        <v>57</v>
      </c>
      <c r="J4434" s="6">
        <v>8.99</v>
      </c>
      <c r="K4434">
        <v>0</v>
      </c>
      <c r="L4434" t="s">
        <v>29</v>
      </c>
      <c r="M4434" s="5">
        <v>5</v>
      </c>
      <c r="N4434" s="4">
        <v>0.9</v>
      </c>
      <c r="O4434" t="s">
        <v>47</v>
      </c>
    </row>
    <row r="4435" spans="1:15" x14ac:dyDescent="0.3">
      <c r="A4435" t="s">
        <v>3223</v>
      </c>
      <c r="B4435" s="5">
        <v>69</v>
      </c>
      <c r="C4435" s="5" t="str" cm="1">
        <f t="array" ref="C4435">_xlfn.IFS(worksheet[[#This Row],[age]]&lt;25,"1. Young Adulthood (18-24)",worksheet[[#This Row],[age]]&lt; 35,"2. Early Adulthood (25-34)",worksheet[[#This Row],[age]]&lt; 45,"3. Mid Adulthood (35-44)",worksheet[[#This Row],[age]]&lt; 55,"4. Mature Adulthood (45-54)",TRUE,"5. Late Adulthood/Senior (55+)")</f>
        <v>5. Late Adulthood/Senior (55+)</v>
      </c>
      <c r="D4435" t="s">
        <v>15</v>
      </c>
      <c r="E4435" t="s">
        <v>32</v>
      </c>
      <c r="F4435" s="4">
        <v>26.07</v>
      </c>
      <c r="G4435" s="5">
        <v>5</v>
      </c>
      <c r="H4435" t="s">
        <v>33</v>
      </c>
      <c r="I4435" t="s">
        <v>46</v>
      </c>
      <c r="J4435" s="6">
        <v>17.989999999999998</v>
      </c>
      <c r="K4435">
        <v>0</v>
      </c>
      <c r="L4435" t="s">
        <v>43</v>
      </c>
      <c r="M4435" s="5">
        <v>1</v>
      </c>
      <c r="N4435" s="4">
        <v>4.34</v>
      </c>
      <c r="O4435" t="s">
        <v>39</v>
      </c>
    </row>
    <row r="4436" spans="1:15" x14ac:dyDescent="0.3">
      <c r="A4436" t="s">
        <v>3227</v>
      </c>
      <c r="B4436" s="5">
        <v>65</v>
      </c>
      <c r="C4436" s="5" t="str" cm="1">
        <f t="array" ref="C4436">_xlfn.IFS(worksheet[[#This Row],[age]]&lt;25,"1. Young Adulthood (18-24)",worksheet[[#This Row],[age]]&lt; 35,"2. Early Adulthood (25-34)",worksheet[[#This Row],[age]]&lt; 45,"3. Mid Adulthood (35-44)",worksheet[[#This Row],[age]]&lt; 55,"4. Mature Adulthood (45-54)",TRUE,"5. Late Adulthood/Senior (55+)")</f>
        <v>5. Late Adulthood/Senior (55+)</v>
      </c>
      <c r="D4436" t="s">
        <v>41</v>
      </c>
      <c r="E4436" t="s">
        <v>32</v>
      </c>
      <c r="F4436" s="4">
        <v>0.74</v>
      </c>
      <c r="G4436" s="5">
        <v>20</v>
      </c>
      <c r="H4436" t="s">
        <v>23</v>
      </c>
      <c r="I4436" t="s">
        <v>46</v>
      </c>
      <c r="J4436" s="6">
        <v>17.989999999999998</v>
      </c>
      <c r="K4436">
        <v>1</v>
      </c>
      <c r="L4436" t="s">
        <v>37</v>
      </c>
      <c r="M4436" s="5">
        <v>3</v>
      </c>
      <c r="N4436" s="4">
        <v>0.04</v>
      </c>
      <c r="O4436" t="s">
        <v>25</v>
      </c>
    </row>
    <row r="4437" spans="1:15" x14ac:dyDescent="0.3">
      <c r="A4437" t="s">
        <v>3229</v>
      </c>
      <c r="B4437" s="5">
        <v>63</v>
      </c>
      <c r="C4437" s="5" t="str" cm="1">
        <f t="array" ref="C4437">_xlfn.IFS(worksheet[[#This Row],[age]]&lt;25,"1. Young Adulthood (18-24)",worksheet[[#This Row],[age]]&lt; 35,"2. Early Adulthood (25-34)",worksheet[[#This Row],[age]]&lt; 45,"3. Mid Adulthood (35-44)",worksheet[[#This Row],[age]]&lt; 55,"4. Mature Adulthood (45-54)",TRUE,"5. Late Adulthood/Senior (55+)")</f>
        <v>5. Late Adulthood/Senior (55+)</v>
      </c>
      <c r="D4437" t="s">
        <v>41</v>
      </c>
      <c r="E4437" t="s">
        <v>22</v>
      </c>
      <c r="F4437" s="4">
        <v>5.16</v>
      </c>
      <c r="G4437" s="5">
        <v>53</v>
      </c>
      <c r="H4437" t="s">
        <v>70</v>
      </c>
      <c r="I4437" t="s">
        <v>55</v>
      </c>
      <c r="J4437" s="6">
        <v>13.99</v>
      </c>
      <c r="K4437">
        <v>0</v>
      </c>
      <c r="L4437" t="s">
        <v>37</v>
      </c>
      <c r="M4437" s="5">
        <v>5</v>
      </c>
      <c r="N4437" s="4">
        <v>0.1</v>
      </c>
      <c r="O4437" t="s">
        <v>39</v>
      </c>
    </row>
    <row r="4438" spans="1:15" x14ac:dyDescent="0.3">
      <c r="A4438" t="s">
        <v>3232</v>
      </c>
      <c r="B4438" s="5">
        <v>70</v>
      </c>
      <c r="C4438" s="5" t="str" cm="1">
        <f t="array" ref="C4438">_xlfn.IFS(worksheet[[#This Row],[age]]&lt;25,"1. Young Adulthood (18-24)",worksheet[[#This Row],[age]]&lt; 35,"2. Early Adulthood (25-34)",worksheet[[#This Row],[age]]&lt; 45,"3. Mid Adulthood (35-44)",worksheet[[#This Row],[age]]&lt; 55,"4. Mature Adulthood (45-54)",TRUE,"5. Late Adulthood/Senior (55+)")</f>
        <v>5. Late Adulthood/Senior (55+)</v>
      </c>
      <c r="D4438" t="s">
        <v>41</v>
      </c>
      <c r="E4438" t="s">
        <v>16</v>
      </c>
      <c r="F4438" s="4">
        <v>11.19</v>
      </c>
      <c r="G4438" s="5">
        <v>40</v>
      </c>
      <c r="H4438" t="s">
        <v>23</v>
      </c>
      <c r="I4438" t="s">
        <v>18</v>
      </c>
      <c r="J4438" s="6">
        <v>8.99</v>
      </c>
      <c r="K4438">
        <v>1</v>
      </c>
      <c r="L4438" t="s">
        <v>43</v>
      </c>
      <c r="M4438" s="5">
        <v>2</v>
      </c>
      <c r="N4438" s="4">
        <v>0.27</v>
      </c>
      <c r="O4438" t="s">
        <v>20</v>
      </c>
    </row>
    <row r="4439" spans="1:15" x14ac:dyDescent="0.3">
      <c r="A4439" t="s">
        <v>3238</v>
      </c>
      <c r="B4439" s="5">
        <v>56</v>
      </c>
      <c r="C4439" s="5" t="str" cm="1">
        <f t="array" ref="C4439">_xlfn.IFS(worksheet[[#This Row],[age]]&lt;25,"1. Young Adulthood (18-24)",worksheet[[#This Row],[age]]&lt; 35,"2. Early Adulthood (25-34)",worksheet[[#This Row],[age]]&lt; 45,"3. Mid Adulthood (35-44)",worksheet[[#This Row],[age]]&lt; 55,"4. Mature Adulthood (45-54)",TRUE,"5. Late Adulthood/Senior (55+)")</f>
        <v>5. Late Adulthood/Senior (55+)</v>
      </c>
      <c r="D4439" t="s">
        <v>15</v>
      </c>
      <c r="E4439" t="s">
        <v>16</v>
      </c>
      <c r="F4439" s="4">
        <v>30.55</v>
      </c>
      <c r="G4439" s="5">
        <v>11</v>
      </c>
      <c r="H4439" t="s">
        <v>17</v>
      </c>
      <c r="I4439" t="s">
        <v>18</v>
      </c>
      <c r="J4439" s="6">
        <v>8.99</v>
      </c>
      <c r="K4439">
        <v>0</v>
      </c>
      <c r="L4439" t="s">
        <v>61</v>
      </c>
      <c r="M4439" s="5">
        <v>1</v>
      </c>
      <c r="N4439" s="4">
        <v>2.5499999999999998</v>
      </c>
      <c r="O4439" t="s">
        <v>47</v>
      </c>
    </row>
    <row r="4440" spans="1:15" x14ac:dyDescent="0.3">
      <c r="A4440" t="s">
        <v>3241</v>
      </c>
      <c r="B4440" s="5">
        <v>64</v>
      </c>
      <c r="C4440" s="5" t="str" cm="1">
        <f t="array" ref="C4440">_xlfn.IFS(worksheet[[#This Row],[age]]&lt;25,"1. Young Adulthood (18-24)",worksheet[[#This Row],[age]]&lt; 35,"2. Early Adulthood (25-34)",worksheet[[#This Row],[age]]&lt; 45,"3. Mid Adulthood (35-44)",worksheet[[#This Row],[age]]&lt; 55,"4. Mature Adulthood (45-54)",TRUE,"5. Late Adulthood/Senior (55+)")</f>
        <v>5. Late Adulthood/Senior (55+)</v>
      </c>
      <c r="D4440" t="s">
        <v>27</v>
      </c>
      <c r="E4440" t="s">
        <v>22</v>
      </c>
      <c r="F4440" s="4">
        <v>7.4</v>
      </c>
      <c r="G4440" s="5">
        <v>49</v>
      </c>
      <c r="H4440" t="s">
        <v>17</v>
      </c>
      <c r="I4440" t="s">
        <v>55</v>
      </c>
      <c r="J4440" s="6">
        <v>13.99</v>
      </c>
      <c r="K4440">
        <v>1</v>
      </c>
      <c r="L4440" t="s">
        <v>29</v>
      </c>
      <c r="M4440" s="5">
        <v>2</v>
      </c>
      <c r="N4440" s="4">
        <v>0.15</v>
      </c>
      <c r="O4440" t="s">
        <v>34</v>
      </c>
    </row>
    <row r="4441" spans="1:15" x14ac:dyDescent="0.3">
      <c r="A4441" t="s">
        <v>3261</v>
      </c>
      <c r="B4441" s="5">
        <v>66</v>
      </c>
      <c r="C4441" s="5" t="str" cm="1">
        <f t="array" ref="C4441">_xlfn.IFS(worksheet[[#This Row],[age]]&lt;25,"1. Young Adulthood (18-24)",worksheet[[#This Row],[age]]&lt; 35,"2. Early Adulthood (25-34)",worksheet[[#This Row],[age]]&lt; 45,"3. Mid Adulthood (35-44)",worksheet[[#This Row],[age]]&lt; 55,"4. Mature Adulthood (45-54)",TRUE,"5. Late Adulthood/Senior (55+)")</f>
        <v>5. Late Adulthood/Senior (55+)</v>
      </c>
      <c r="D4441" t="s">
        <v>27</v>
      </c>
      <c r="E4441" t="s">
        <v>32</v>
      </c>
      <c r="F4441" s="4">
        <v>20.010000000000002</v>
      </c>
      <c r="G4441" s="5">
        <v>30</v>
      </c>
      <c r="H4441" t="s">
        <v>17</v>
      </c>
      <c r="I4441" t="s">
        <v>57</v>
      </c>
      <c r="J4441" s="6">
        <v>17.989999999999998</v>
      </c>
      <c r="K4441">
        <v>0</v>
      </c>
      <c r="L4441" t="s">
        <v>43</v>
      </c>
      <c r="M4441" s="5">
        <v>2</v>
      </c>
      <c r="N4441" s="4">
        <v>0.65</v>
      </c>
      <c r="O4441" t="s">
        <v>34</v>
      </c>
    </row>
    <row r="4442" spans="1:15" x14ac:dyDescent="0.3">
      <c r="A4442" t="s">
        <v>3262</v>
      </c>
      <c r="B4442" s="5">
        <v>60</v>
      </c>
      <c r="C4442" s="5" t="str" cm="1">
        <f t="array" ref="C4442">_xlfn.IFS(worksheet[[#This Row],[age]]&lt;25,"1. Young Adulthood (18-24)",worksheet[[#This Row],[age]]&lt; 35,"2. Early Adulthood (25-34)",worksheet[[#This Row],[age]]&lt; 45,"3. Mid Adulthood (35-44)",worksheet[[#This Row],[age]]&lt; 55,"4. Mature Adulthood (45-54)",TRUE,"5. Late Adulthood/Senior (55+)")</f>
        <v>5. Late Adulthood/Senior (55+)</v>
      </c>
      <c r="D4442" t="s">
        <v>15</v>
      </c>
      <c r="E4442" t="s">
        <v>16</v>
      </c>
      <c r="F4442" s="4">
        <v>9.99</v>
      </c>
      <c r="G4442" s="5">
        <v>34</v>
      </c>
      <c r="H4442" t="s">
        <v>23</v>
      </c>
      <c r="I4442" t="s">
        <v>18</v>
      </c>
      <c r="J4442" s="6">
        <v>8.99</v>
      </c>
      <c r="K4442">
        <v>1</v>
      </c>
      <c r="L4442" t="s">
        <v>43</v>
      </c>
      <c r="M4442" s="5">
        <v>3</v>
      </c>
      <c r="N4442" s="4">
        <v>0.28999999999999998</v>
      </c>
      <c r="O4442" t="s">
        <v>30</v>
      </c>
    </row>
    <row r="4443" spans="1:15" x14ac:dyDescent="0.3">
      <c r="A4443" t="s">
        <v>3270</v>
      </c>
      <c r="B4443" s="5">
        <v>64</v>
      </c>
      <c r="C4443" s="5" t="str" cm="1">
        <f t="array" ref="C4443">_xlfn.IFS(worksheet[[#This Row],[age]]&lt;25,"1. Young Adulthood (18-24)",worksheet[[#This Row],[age]]&lt; 35,"2. Early Adulthood (25-34)",worksheet[[#This Row],[age]]&lt; 45,"3. Mid Adulthood (35-44)",worksheet[[#This Row],[age]]&lt; 55,"4. Mature Adulthood (45-54)",TRUE,"5. Late Adulthood/Senior (55+)")</f>
        <v>5. Late Adulthood/Senior (55+)</v>
      </c>
      <c r="D4443" t="s">
        <v>27</v>
      </c>
      <c r="E4443" t="s">
        <v>32</v>
      </c>
      <c r="F4443" s="4">
        <v>9.3699999999999992</v>
      </c>
      <c r="G4443" s="5">
        <v>16</v>
      </c>
      <c r="H4443" t="s">
        <v>49</v>
      </c>
      <c r="I4443" t="s">
        <v>57</v>
      </c>
      <c r="J4443" s="6">
        <v>17.989999999999998</v>
      </c>
      <c r="K4443">
        <v>0</v>
      </c>
      <c r="L4443" t="s">
        <v>29</v>
      </c>
      <c r="M4443" s="5">
        <v>5</v>
      </c>
      <c r="N4443" s="4">
        <v>0.55000000000000004</v>
      </c>
      <c r="O4443" t="s">
        <v>30</v>
      </c>
    </row>
    <row r="4444" spans="1:15" x14ac:dyDescent="0.3">
      <c r="A4444" t="s">
        <v>3271</v>
      </c>
      <c r="B4444" s="5">
        <v>55</v>
      </c>
      <c r="C4444" s="5" t="str" cm="1">
        <f t="array" ref="C4444">_xlfn.IFS(worksheet[[#This Row],[age]]&lt;25,"1. Young Adulthood (18-24)",worksheet[[#This Row],[age]]&lt; 35,"2. Early Adulthood (25-34)",worksheet[[#This Row],[age]]&lt; 45,"3. Mid Adulthood (35-44)",worksheet[[#This Row],[age]]&lt; 55,"4. Mature Adulthood (45-54)",TRUE,"5. Late Adulthood/Senior (55+)")</f>
        <v>5. Late Adulthood/Senior (55+)</v>
      </c>
      <c r="D4444" t="s">
        <v>27</v>
      </c>
      <c r="E4444" t="s">
        <v>16</v>
      </c>
      <c r="F4444" s="4">
        <v>11.36</v>
      </c>
      <c r="G4444" s="5">
        <v>0</v>
      </c>
      <c r="H4444" t="s">
        <v>70</v>
      </c>
      <c r="I4444" t="s">
        <v>46</v>
      </c>
      <c r="J4444" s="6">
        <v>8.99</v>
      </c>
      <c r="K4444">
        <v>0</v>
      </c>
      <c r="L4444" t="s">
        <v>43</v>
      </c>
      <c r="M4444" s="5">
        <v>4</v>
      </c>
      <c r="N4444" s="4">
        <v>11.36</v>
      </c>
      <c r="O4444" t="s">
        <v>47</v>
      </c>
    </row>
    <row r="4445" spans="1:15" x14ac:dyDescent="0.3">
      <c r="A4445" t="s">
        <v>3273</v>
      </c>
      <c r="B4445" s="5">
        <v>66</v>
      </c>
      <c r="C4445" s="5" t="str" cm="1">
        <f t="array" ref="C4445">_xlfn.IFS(worksheet[[#This Row],[age]]&lt;25,"1. Young Adulthood (18-24)",worksheet[[#This Row],[age]]&lt; 35,"2. Early Adulthood (25-34)",worksheet[[#This Row],[age]]&lt; 45,"3. Mid Adulthood (35-44)",worksheet[[#This Row],[age]]&lt; 55,"4. Mature Adulthood (45-54)",TRUE,"5. Late Adulthood/Senior (55+)")</f>
        <v>5. Late Adulthood/Senior (55+)</v>
      </c>
      <c r="D4445" t="s">
        <v>27</v>
      </c>
      <c r="E4445" t="s">
        <v>32</v>
      </c>
      <c r="F4445" s="4">
        <v>1.37</v>
      </c>
      <c r="G4445" s="5">
        <v>36</v>
      </c>
      <c r="H4445" t="s">
        <v>70</v>
      </c>
      <c r="I4445" t="s">
        <v>55</v>
      </c>
      <c r="J4445" s="6">
        <v>17.989999999999998</v>
      </c>
      <c r="K4445">
        <v>1</v>
      </c>
      <c r="L4445" t="s">
        <v>43</v>
      </c>
      <c r="M4445" s="5">
        <v>5</v>
      </c>
      <c r="N4445" s="4">
        <v>0.04</v>
      </c>
      <c r="O4445" t="s">
        <v>20</v>
      </c>
    </row>
    <row r="4446" spans="1:15" x14ac:dyDescent="0.3">
      <c r="A4446" t="s">
        <v>3274</v>
      </c>
      <c r="B4446" s="5">
        <v>57</v>
      </c>
      <c r="C4446" s="5" t="str" cm="1">
        <f t="array" ref="C4446">_xlfn.IFS(worksheet[[#This Row],[age]]&lt;25,"1. Young Adulthood (18-24)",worksheet[[#This Row],[age]]&lt; 35,"2. Early Adulthood (25-34)",worksheet[[#This Row],[age]]&lt; 45,"3. Mid Adulthood (35-44)",worksheet[[#This Row],[age]]&lt; 55,"4. Mature Adulthood (45-54)",TRUE,"5. Late Adulthood/Senior (55+)")</f>
        <v>5. Late Adulthood/Senior (55+)</v>
      </c>
      <c r="D4446" t="s">
        <v>41</v>
      </c>
      <c r="E4446" t="s">
        <v>22</v>
      </c>
      <c r="F4446" s="4">
        <v>8.27</v>
      </c>
      <c r="G4446" s="5">
        <v>59</v>
      </c>
      <c r="H4446" t="s">
        <v>23</v>
      </c>
      <c r="I4446" t="s">
        <v>55</v>
      </c>
      <c r="J4446" s="6">
        <v>13.99</v>
      </c>
      <c r="K4446">
        <v>0</v>
      </c>
      <c r="L4446" t="s">
        <v>37</v>
      </c>
      <c r="M4446" s="5">
        <v>4</v>
      </c>
      <c r="N4446" s="4">
        <v>0.14000000000000001</v>
      </c>
      <c r="O4446" t="s">
        <v>39</v>
      </c>
    </row>
    <row r="4447" spans="1:15" x14ac:dyDescent="0.3">
      <c r="A4447" t="s">
        <v>3275</v>
      </c>
      <c r="B4447" s="5">
        <v>68</v>
      </c>
      <c r="C4447" s="5" t="str" cm="1">
        <f t="array" ref="C4447">_xlfn.IFS(worksheet[[#This Row],[age]]&lt;25,"1. Young Adulthood (18-24)",worksheet[[#This Row],[age]]&lt; 35,"2. Early Adulthood (25-34)",worksheet[[#This Row],[age]]&lt; 45,"3. Mid Adulthood (35-44)",worksheet[[#This Row],[age]]&lt; 55,"4. Mature Adulthood (45-54)",TRUE,"5. Late Adulthood/Senior (55+)")</f>
        <v>5. Late Adulthood/Senior (55+)</v>
      </c>
      <c r="D4447" t="s">
        <v>27</v>
      </c>
      <c r="E4447" t="s">
        <v>22</v>
      </c>
      <c r="F4447" s="4">
        <v>26.58</v>
      </c>
      <c r="G4447" s="5">
        <v>36</v>
      </c>
      <c r="H4447" t="s">
        <v>33</v>
      </c>
      <c r="I4447" t="s">
        <v>55</v>
      </c>
      <c r="J4447" s="6">
        <v>13.99</v>
      </c>
      <c r="K4447">
        <v>0</v>
      </c>
      <c r="L4447" t="s">
        <v>37</v>
      </c>
      <c r="M4447" s="5">
        <v>4</v>
      </c>
      <c r="N4447" s="4">
        <v>0.72</v>
      </c>
      <c r="O4447" t="s">
        <v>39</v>
      </c>
    </row>
    <row r="4448" spans="1:15" x14ac:dyDescent="0.3">
      <c r="A4448" t="s">
        <v>3279</v>
      </c>
      <c r="B4448" s="5">
        <v>63</v>
      </c>
      <c r="C4448" s="5" t="str" cm="1">
        <f t="array" ref="C4448">_xlfn.IFS(worksheet[[#This Row],[age]]&lt;25,"1. Young Adulthood (18-24)",worksheet[[#This Row],[age]]&lt; 35,"2. Early Adulthood (25-34)",worksheet[[#This Row],[age]]&lt; 45,"3. Mid Adulthood (35-44)",worksheet[[#This Row],[age]]&lt; 55,"4. Mature Adulthood (45-54)",TRUE,"5. Late Adulthood/Senior (55+)")</f>
        <v>5. Late Adulthood/Senior (55+)</v>
      </c>
      <c r="D4448" t="s">
        <v>41</v>
      </c>
      <c r="E4448" t="s">
        <v>22</v>
      </c>
      <c r="F4448" s="4">
        <v>8.51</v>
      </c>
      <c r="G4448" s="5">
        <v>55</v>
      </c>
      <c r="H4448" t="s">
        <v>49</v>
      </c>
      <c r="I4448" t="s">
        <v>46</v>
      </c>
      <c r="J4448" s="6">
        <v>13.99</v>
      </c>
      <c r="K4448">
        <v>1</v>
      </c>
      <c r="L4448" t="s">
        <v>19</v>
      </c>
      <c r="M4448" s="5">
        <v>4</v>
      </c>
      <c r="N4448" s="4">
        <v>0.15</v>
      </c>
      <c r="O4448" t="s">
        <v>25</v>
      </c>
    </row>
    <row r="4449" spans="1:15" x14ac:dyDescent="0.3">
      <c r="A4449" t="s">
        <v>3282</v>
      </c>
      <c r="B4449" s="5">
        <v>59</v>
      </c>
      <c r="C4449" s="5" t="str" cm="1">
        <f t="array" ref="C4449">_xlfn.IFS(worksheet[[#This Row],[age]]&lt;25,"1. Young Adulthood (18-24)",worksheet[[#This Row],[age]]&lt; 35,"2. Early Adulthood (25-34)",worksheet[[#This Row],[age]]&lt; 45,"3. Mid Adulthood (35-44)",worksheet[[#This Row],[age]]&lt; 55,"4. Mature Adulthood (45-54)",TRUE,"5. Late Adulthood/Senior (55+)")</f>
        <v>5. Late Adulthood/Senior (55+)</v>
      </c>
      <c r="D4449" t="s">
        <v>15</v>
      </c>
      <c r="E4449" t="s">
        <v>32</v>
      </c>
      <c r="F4449" s="4">
        <v>16.600000000000001</v>
      </c>
      <c r="G4449" s="5">
        <v>23</v>
      </c>
      <c r="H4449" t="s">
        <v>28</v>
      </c>
      <c r="I4449" t="s">
        <v>46</v>
      </c>
      <c r="J4449" s="6">
        <v>17.989999999999998</v>
      </c>
      <c r="K4449">
        <v>0</v>
      </c>
      <c r="L4449" t="s">
        <v>29</v>
      </c>
      <c r="M4449" s="5">
        <v>3</v>
      </c>
      <c r="N4449" s="4">
        <v>0.69</v>
      </c>
      <c r="O4449" t="s">
        <v>30</v>
      </c>
    </row>
    <row r="4450" spans="1:15" x14ac:dyDescent="0.3">
      <c r="A4450" t="s">
        <v>3284</v>
      </c>
      <c r="B4450" s="5">
        <v>55</v>
      </c>
      <c r="C4450" s="5" t="str" cm="1">
        <f t="array" ref="C4450">_xlfn.IFS(worksheet[[#This Row],[age]]&lt;25,"1. Young Adulthood (18-24)",worksheet[[#This Row],[age]]&lt; 35,"2. Early Adulthood (25-34)",worksheet[[#This Row],[age]]&lt; 45,"3. Mid Adulthood (35-44)",worksheet[[#This Row],[age]]&lt; 55,"4. Mature Adulthood (45-54)",TRUE,"5. Late Adulthood/Senior (55+)")</f>
        <v>5. Late Adulthood/Senior (55+)</v>
      </c>
      <c r="D4450" t="s">
        <v>15</v>
      </c>
      <c r="E4450" t="s">
        <v>32</v>
      </c>
      <c r="F4450" s="4">
        <v>0.44</v>
      </c>
      <c r="G4450" s="5">
        <v>27</v>
      </c>
      <c r="H4450" t="s">
        <v>33</v>
      </c>
      <c r="I4450" t="s">
        <v>18</v>
      </c>
      <c r="J4450" s="6">
        <v>17.989999999999998</v>
      </c>
      <c r="K4450">
        <v>1</v>
      </c>
      <c r="L4450" t="s">
        <v>29</v>
      </c>
      <c r="M4450" s="5">
        <v>3</v>
      </c>
      <c r="N4450" s="4">
        <v>0.02</v>
      </c>
      <c r="O4450" t="s">
        <v>30</v>
      </c>
    </row>
    <row r="4451" spans="1:15" x14ac:dyDescent="0.3">
      <c r="A4451" t="s">
        <v>3285</v>
      </c>
      <c r="B4451" s="5">
        <v>58</v>
      </c>
      <c r="C4451" s="5" t="str" cm="1">
        <f t="array" ref="C4451">_xlfn.IFS(worksheet[[#This Row],[age]]&lt;25,"1. Young Adulthood (18-24)",worksheet[[#This Row],[age]]&lt; 35,"2. Early Adulthood (25-34)",worksheet[[#This Row],[age]]&lt; 45,"3. Mid Adulthood (35-44)",worksheet[[#This Row],[age]]&lt; 55,"4. Mature Adulthood (45-54)",TRUE,"5. Late Adulthood/Senior (55+)")</f>
        <v>5. Late Adulthood/Senior (55+)</v>
      </c>
      <c r="D4451" t="s">
        <v>15</v>
      </c>
      <c r="E4451" t="s">
        <v>16</v>
      </c>
      <c r="F4451" s="4">
        <v>37.24</v>
      </c>
      <c r="G4451" s="5">
        <v>8</v>
      </c>
      <c r="H4451" t="s">
        <v>23</v>
      </c>
      <c r="I4451" t="s">
        <v>18</v>
      </c>
      <c r="J4451" s="6">
        <v>8.99</v>
      </c>
      <c r="K4451">
        <v>0</v>
      </c>
      <c r="L4451" t="s">
        <v>19</v>
      </c>
      <c r="M4451" s="5">
        <v>3</v>
      </c>
      <c r="N4451" s="4">
        <v>4.1399999999999997</v>
      </c>
      <c r="O4451" t="s">
        <v>39</v>
      </c>
    </row>
    <row r="4452" spans="1:15" x14ac:dyDescent="0.3">
      <c r="A4452" t="s">
        <v>3286</v>
      </c>
      <c r="B4452" s="5">
        <v>57</v>
      </c>
      <c r="C4452" s="5" t="str" cm="1">
        <f t="array" ref="C4452">_xlfn.IFS(worksheet[[#This Row],[age]]&lt;25,"1. Young Adulthood (18-24)",worksheet[[#This Row],[age]]&lt; 35,"2. Early Adulthood (25-34)",worksheet[[#This Row],[age]]&lt; 45,"3. Mid Adulthood (35-44)",worksheet[[#This Row],[age]]&lt; 55,"4. Mature Adulthood (45-54)",TRUE,"5. Late Adulthood/Senior (55+)")</f>
        <v>5. Late Adulthood/Senior (55+)</v>
      </c>
      <c r="D4452" t="s">
        <v>15</v>
      </c>
      <c r="E4452" t="s">
        <v>16</v>
      </c>
      <c r="F4452" s="4">
        <v>10.24</v>
      </c>
      <c r="G4452" s="5">
        <v>19</v>
      </c>
      <c r="H4452" t="s">
        <v>17</v>
      </c>
      <c r="I4452" t="s">
        <v>18</v>
      </c>
      <c r="J4452" s="6">
        <v>8.99</v>
      </c>
      <c r="K4452">
        <v>0</v>
      </c>
      <c r="L4452" t="s">
        <v>43</v>
      </c>
      <c r="M4452" s="5">
        <v>2</v>
      </c>
      <c r="N4452" s="4">
        <v>0.51</v>
      </c>
      <c r="O4452" t="s">
        <v>47</v>
      </c>
    </row>
    <row r="4453" spans="1:15" x14ac:dyDescent="0.3">
      <c r="A4453" t="s">
        <v>3287</v>
      </c>
      <c r="B4453" s="5">
        <v>67</v>
      </c>
      <c r="C4453" s="5" t="str" cm="1">
        <f t="array" ref="C4453">_xlfn.IFS(worksheet[[#This Row],[age]]&lt;25,"1. Young Adulthood (18-24)",worksheet[[#This Row],[age]]&lt; 35,"2. Early Adulthood (25-34)",worksheet[[#This Row],[age]]&lt; 45,"3. Mid Adulthood (35-44)",worksheet[[#This Row],[age]]&lt; 55,"4. Mature Adulthood (45-54)",TRUE,"5. Late Adulthood/Senior (55+)")</f>
        <v>5. Late Adulthood/Senior (55+)</v>
      </c>
      <c r="D4453" t="s">
        <v>15</v>
      </c>
      <c r="E4453" t="s">
        <v>32</v>
      </c>
      <c r="F4453" s="4">
        <v>28.86</v>
      </c>
      <c r="G4453" s="5">
        <v>1</v>
      </c>
      <c r="H4453" t="s">
        <v>49</v>
      </c>
      <c r="I4453" t="s">
        <v>46</v>
      </c>
      <c r="J4453" s="6">
        <v>17.989999999999998</v>
      </c>
      <c r="K4453">
        <v>0</v>
      </c>
      <c r="L4453" t="s">
        <v>19</v>
      </c>
      <c r="M4453" s="5">
        <v>2</v>
      </c>
      <c r="N4453" s="4">
        <v>14.43</v>
      </c>
      <c r="O4453" t="s">
        <v>30</v>
      </c>
    </row>
    <row r="4454" spans="1:15" x14ac:dyDescent="0.3">
      <c r="A4454" t="s">
        <v>3291</v>
      </c>
      <c r="B4454" s="5">
        <v>60</v>
      </c>
      <c r="C4454" s="5" t="str" cm="1">
        <f t="array" ref="C4454">_xlfn.IFS(worksheet[[#This Row],[age]]&lt;25,"1. Young Adulthood (18-24)",worksheet[[#This Row],[age]]&lt; 35,"2. Early Adulthood (25-34)",worksheet[[#This Row],[age]]&lt; 45,"3. Mid Adulthood (35-44)",worksheet[[#This Row],[age]]&lt; 55,"4. Mature Adulthood (45-54)",TRUE,"5. Late Adulthood/Senior (55+)")</f>
        <v>5. Late Adulthood/Senior (55+)</v>
      </c>
      <c r="D4454" t="s">
        <v>15</v>
      </c>
      <c r="E4454" t="s">
        <v>16</v>
      </c>
      <c r="F4454" s="4">
        <v>6.84</v>
      </c>
      <c r="G4454" s="5">
        <v>40</v>
      </c>
      <c r="H4454" t="s">
        <v>70</v>
      </c>
      <c r="I4454" t="s">
        <v>57</v>
      </c>
      <c r="J4454" s="6">
        <v>8.99</v>
      </c>
      <c r="K4454">
        <v>1</v>
      </c>
      <c r="L4454" t="s">
        <v>29</v>
      </c>
      <c r="M4454" s="5">
        <v>2</v>
      </c>
      <c r="N4454" s="4">
        <v>0.17</v>
      </c>
      <c r="O4454" t="s">
        <v>25</v>
      </c>
    </row>
    <row r="4455" spans="1:15" x14ac:dyDescent="0.3">
      <c r="A4455" t="s">
        <v>3292</v>
      </c>
      <c r="B4455" s="5">
        <v>61</v>
      </c>
      <c r="C4455" s="5" t="str" cm="1">
        <f t="array" ref="C4455">_xlfn.IFS(worksheet[[#This Row],[age]]&lt;25,"1. Young Adulthood (18-24)",worksheet[[#This Row],[age]]&lt; 35,"2. Early Adulthood (25-34)",worksheet[[#This Row],[age]]&lt; 45,"3. Mid Adulthood (35-44)",worksheet[[#This Row],[age]]&lt; 55,"4. Mature Adulthood (45-54)",TRUE,"5. Late Adulthood/Senior (55+)")</f>
        <v>5. Late Adulthood/Senior (55+)</v>
      </c>
      <c r="D4455" t="s">
        <v>27</v>
      </c>
      <c r="E4455" t="s">
        <v>32</v>
      </c>
      <c r="F4455" s="4">
        <v>1.3</v>
      </c>
      <c r="G4455" s="5">
        <v>44</v>
      </c>
      <c r="H4455" t="s">
        <v>70</v>
      </c>
      <c r="I4455" t="s">
        <v>24</v>
      </c>
      <c r="J4455" s="6">
        <v>17.989999999999998</v>
      </c>
      <c r="K4455">
        <v>1</v>
      </c>
      <c r="L4455" t="s">
        <v>43</v>
      </c>
      <c r="M4455" s="5">
        <v>5</v>
      </c>
      <c r="N4455" s="4">
        <v>0.03</v>
      </c>
      <c r="O4455" t="s">
        <v>39</v>
      </c>
    </row>
    <row r="4456" spans="1:15" x14ac:dyDescent="0.3">
      <c r="A4456" t="s">
        <v>3293</v>
      </c>
      <c r="B4456" s="5">
        <v>59</v>
      </c>
      <c r="C4456" s="5" t="str" cm="1">
        <f t="array" ref="C4456">_xlfn.IFS(worksheet[[#This Row],[age]]&lt;25,"1. Young Adulthood (18-24)",worksheet[[#This Row],[age]]&lt; 35,"2. Early Adulthood (25-34)",worksheet[[#This Row],[age]]&lt; 45,"3. Mid Adulthood (35-44)",worksheet[[#This Row],[age]]&lt; 55,"4. Mature Adulthood (45-54)",TRUE,"5. Late Adulthood/Senior (55+)")</f>
        <v>5. Late Adulthood/Senior (55+)</v>
      </c>
      <c r="D4456" t="s">
        <v>41</v>
      </c>
      <c r="E4456" t="s">
        <v>22</v>
      </c>
      <c r="F4456" s="4">
        <v>17.329999999999998</v>
      </c>
      <c r="G4456" s="5">
        <v>59</v>
      </c>
      <c r="H4456" t="s">
        <v>33</v>
      </c>
      <c r="I4456" t="s">
        <v>18</v>
      </c>
      <c r="J4456" s="6">
        <v>13.99</v>
      </c>
      <c r="K4456">
        <v>0</v>
      </c>
      <c r="L4456" t="s">
        <v>37</v>
      </c>
      <c r="M4456" s="5">
        <v>5</v>
      </c>
      <c r="N4456" s="4">
        <v>0.28999999999999998</v>
      </c>
      <c r="O4456" t="s">
        <v>47</v>
      </c>
    </row>
    <row r="4457" spans="1:15" x14ac:dyDescent="0.3">
      <c r="A4457" t="s">
        <v>3296</v>
      </c>
      <c r="B4457" s="5">
        <v>69</v>
      </c>
      <c r="C4457" s="5" t="str" cm="1">
        <f t="array" ref="C4457">_xlfn.IFS(worksheet[[#This Row],[age]]&lt;25,"1. Young Adulthood (18-24)",worksheet[[#This Row],[age]]&lt; 35,"2. Early Adulthood (25-34)",worksheet[[#This Row],[age]]&lt; 45,"3. Mid Adulthood (35-44)",worksheet[[#This Row],[age]]&lt; 55,"4. Mature Adulthood (45-54)",TRUE,"5. Late Adulthood/Senior (55+)")</f>
        <v>5. Late Adulthood/Senior (55+)</v>
      </c>
      <c r="D4457" t="s">
        <v>41</v>
      </c>
      <c r="E4457" t="s">
        <v>16</v>
      </c>
      <c r="F4457" s="4">
        <v>5.31</v>
      </c>
      <c r="G4457" s="5">
        <v>52</v>
      </c>
      <c r="H4457" t="s">
        <v>49</v>
      </c>
      <c r="I4457" t="s">
        <v>24</v>
      </c>
      <c r="J4457" s="6">
        <v>8.99</v>
      </c>
      <c r="K4457">
        <v>1</v>
      </c>
      <c r="L4457" t="s">
        <v>43</v>
      </c>
      <c r="M4457" s="5">
        <v>4</v>
      </c>
      <c r="N4457" s="4">
        <v>0.1</v>
      </c>
      <c r="O4457" t="s">
        <v>20</v>
      </c>
    </row>
    <row r="4458" spans="1:15" x14ac:dyDescent="0.3">
      <c r="A4458" t="s">
        <v>3297</v>
      </c>
      <c r="B4458" s="5">
        <v>65</v>
      </c>
      <c r="C4458" s="5" t="str" cm="1">
        <f t="array" ref="C4458">_xlfn.IFS(worksheet[[#This Row],[age]]&lt;25,"1. Young Adulthood (18-24)",worksheet[[#This Row],[age]]&lt; 35,"2. Early Adulthood (25-34)",worksheet[[#This Row],[age]]&lt; 45,"3. Mid Adulthood (35-44)",worksheet[[#This Row],[age]]&lt; 55,"4. Mature Adulthood (45-54)",TRUE,"5. Late Adulthood/Senior (55+)")</f>
        <v>5. Late Adulthood/Senior (55+)</v>
      </c>
      <c r="D4458" t="s">
        <v>15</v>
      </c>
      <c r="E4458" t="s">
        <v>22</v>
      </c>
      <c r="F4458" s="4">
        <v>28.56</v>
      </c>
      <c r="G4458" s="5">
        <v>18</v>
      </c>
      <c r="H4458" t="s">
        <v>17</v>
      </c>
      <c r="I4458" t="s">
        <v>46</v>
      </c>
      <c r="J4458" s="6">
        <v>13.99</v>
      </c>
      <c r="K4458">
        <v>0</v>
      </c>
      <c r="L4458" t="s">
        <v>29</v>
      </c>
      <c r="M4458" s="5">
        <v>4</v>
      </c>
      <c r="N4458" s="4">
        <v>1.5</v>
      </c>
      <c r="O4458" t="s">
        <v>52</v>
      </c>
    </row>
    <row r="4459" spans="1:15" x14ac:dyDescent="0.3">
      <c r="A4459" t="s">
        <v>3298</v>
      </c>
      <c r="B4459" s="5">
        <v>58</v>
      </c>
      <c r="C4459" s="5" t="str" cm="1">
        <f t="array" ref="C4459">_xlfn.IFS(worksheet[[#This Row],[age]]&lt;25,"1. Young Adulthood (18-24)",worksheet[[#This Row],[age]]&lt; 35,"2. Early Adulthood (25-34)",worksheet[[#This Row],[age]]&lt; 45,"3. Mid Adulthood (35-44)",worksheet[[#This Row],[age]]&lt; 55,"4. Mature Adulthood (45-54)",TRUE,"5. Late Adulthood/Senior (55+)")</f>
        <v>5. Late Adulthood/Senior (55+)</v>
      </c>
      <c r="D4459" t="s">
        <v>27</v>
      </c>
      <c r="E4459" t="s">
        <v>32</v>
      </c>
      <c r="F4459" s="4">
        <v>16.329999999999998</v>
      </c>
      <c r="G4459" s="5">
        <v>43</v>
      </c>
      <c r="H4459" t="s">
        <v>23</v>
      </c>
      <c r="I4459" t="s">
        <v>46</v>
      </c>
      <c r="J4459" s="6">
        <v>17.989999999999998</v>
      </c>
      <c r="K4459">
        <v>1</v>
      </c>
      <c r="L4459" t="s">
        <v>19</v>
      </c>
      <c r="M4459" s="5">
        <v>1</v>
      </c>
      <c r="N4459" s="4">
        <v>0.37</v>
      </c>
      <c r="O4459" t="s">
        <v>47</v>
      </c>
    </row>
    <row r="4460" spans="1:15" x14ac:dyDescent="0.3">
      <c r="A4460" t="s">
        <v>3301</v>
      </c>
      <c r="B4460" s="5">
        <v>63</v>
      </c>
      <c r="C4460" s="5" t="str" cm="1">
        <f t="array" ref="C4460">_xlfn.IFS(worksheet[[#This Row],[age]]&lt;25,"1. Young Adulthood (18-24)",worksheet[[#This Row],[age]]&lt; 35,"2. Early Adulthood (25-34)",worksheet[[#This Row],[age]]&lt; 45,"3. Mid Adulthood (35-44)",worksheet[[#This Row],[age]]&lt; 55,"4. Mature Adulthood (45-54)",TRUE,"5. Late Adulthood/Senior (55+)")</f>
        <v>5. Late Adulthood/Senior (55+)</v>
      </c>
      <c r="D4460" t="s">
        <v>15</v>
      </c>
      <c r="E4460" t="s">
        <v>22</v>
      </c>
      <c r="F4460" s="4">
        <v>1.77</v>
      </c>
      <c r="G4460" s="5">
        <v>56</v>
      </c>
      <c r="H4460" t="s">
        <v>70</v>
      </c>
      <c r="I4460" t="s">
        <v>24</v>
      </c>
      <c r="J4460" s="6">
        <v>13.99</v>
      </c>
      <c r="K4460">
        <v>1</v>
      </c>
      <c r="L4460" t="s">
        <v>37</v>
      </c>
      <c r="M4460" s="5">
        <v>5</v>
      </c>
      <c r="N4460" s="4">
        <v>0.03</v>
      </c>
      <c r="O4460" t="s">
        <v>34</v>
      </c>
    </row>
    <row r="4461" spans="1:15" x14ac:dyDescent="0.3">
      <c r="A4461" t="s">
        <v>3302</v>
      </c>
      <c r="B4461" s="5">
        <v>67</v>
      </c>
      <c r="C4461" s="5" t="str" cm="1">
        <f t="array" ref="C4461">_xlfn.IFS(worksheet[[#This Row],[age]]&lt;25,"1. Young Adulthood (18-24)",worksheet[[#This Row],[age]]&lt; 35,"2. Early Adulthood (25-34)",worksheet[[#This Row],[age]]&lt; 45,"3. Mid Adulthood (35-44)",worksheet[[#This Row],[age]]&lt; 55,"4. Mature Adulthood (45-54)",TRUE,"5. Late Adulthood/Senior (55+)")</f>
        <v>5. Late Adulthood/Senior (55+)</v>
      </c>
      <c r="D4461" t="s">
        <v>15</v>
      </c>
      <c r="E4461" t="s">
        <v>16</v>
      </c>
      <c r="F4461" s="4">
        <v>25.25</v>
      </c>
      <c r="G4461" s="5">
        <v>25</v>
      </c>
      <c r="H4461" t="s">
        <v>28</v>
      </c>
      <c r="I4461" t="s">
        <v>18</v>
      </c>
      <c r="J4461" s="6">
        <v>8.99</v>
      </c>
      <c r="K4461">
        <v>0</v>
      </c>
      <c r="L4461" t="s">
        <v>37</v>
      </c>
      <c r="M4461" s="5">
        <v>3</v>
      </c>
      <c r="N4461" s="4">
        <v>0.97</v>
      </c>
      <c r="O4461" t="s">
        <v>47</v>
      </c>
    </row>
    <row r="4462" spans="1:15" x14ac:dyDescent="0.3">
      <c r="A4462" t="s">
        <v>3305</v>
      </c>
      <c r="B4462" s="5">
        <v>57</v>
      </c>
      <c r="C4462" s="5" t="str" cm="1">
        <f t="array" ref="C4462">_xlfn.IFS(worksheet[[#This Row],[age]]&lt;25,"1. Young Adulthood (18-24)",worksheet[[#This Row],[age]]&lt; 35,"2. Early Adulthood (25-34)",worksheet[[#This Row],[age]]&lt; 45,"3. Mid Adulthood (35-44)",worksheet[[#This Row],[age]]&lt; 55,"4. Mature Adulthood (45-54)",TRUE,"5. Late Adulthood/Senior (55+)")</f>
        <v>5. Late Adulthood/Senior (55+)</v>
      </c>
      <c r="D4462" t="s">
        <v>15</v>
      </c>
      <c r="E4462" t="s">
        <v>22</v>
      </c>
      <c r="F4462" s="4">
        <v>35.520000000000003</v>
      </c>
      <c r="G4462" s="5">
        <v>12</v>
      </c>
      <c r="H4462" t="s">
        <v>33</v>
      </c>
      <c r="I4462" t="s">
        <v>24</v>
      </c>
      <c r="J4462" s="6">
        <v>13.99</v>
      </c>
      <c r="K4462">
        <v>0</v>
      </c>
      <c r="L4462" t="s">
        <v>37</v>
      </c>
      <c r="M4462" s="5">
        <v>4</v>
      </c>
      <c r="N4462" s="4">
        <v>2.73</v>
      </c>
      <c r="O4462" t="s">
        <v>47</v>
      </c>
    </row>
    <row r="4463" spans="1:15" x14ac:dyDescent="0.3">
      <c r="A4463" t="s">
        <v>3307</v>
      </c>
      <c r="B4463" s="5">
        <v>56</v>
      </c>
      <c r="C4463" s="5" t="str" cm="1">
        <f t="array" ref="C4463">_xlfn.IFS(worksheet[[#This Row],[age]]&lt;25,"1. Young Adulthood (18-24)",worksheet[[#This Row],[age]]&lt; 35,"2. Early Adulthood (25-34)",worksheet[[#This Row],[age]]&lt; 45,"3. Mid Adulthood (35-44)",worksheet[[#This Row],[age]]&lt; 55,"4. Mature Adulthood (45-54)",TRUE,"5. Late Adulthood/Senior (55+)")</f>
        <v>5. Late Adulthood/Senior (55+)</v>
      </c>
      <c r="D4463" t="s">
        <v>15</v>
      </c>
      <c r="E4463" t="s">
        <v>32</v>
      </c>
      <c r="F4463" s="4">
        <v>9.9600000000000009</v>
      </c>
      <c r="G4463" s="5">
        <v>51</v>
      </c>
      <c r="H4463" t="s">
        <v>33</v>
      </c>
      <c r="I4463" t="s">
        <v>57</v>
      </c>
      <c r="J4463" s="6">
        <v>17.989999999999998</v>
      </c>
      <c r="K4463">
        <v>1</v>
      </c>
      <c r="L4463" t="s">
        <v>19</v>
      </c>
      <c r="M4463" s="5">
        <v>3</v>
      </c>
      <c r="N4463" s="4">
        <v>0.19</v>
      </c>
      <c r="O4463" t="s">
        <v>30</v>
      </c>
    </row>
    <row r="4464" spans="1:15" x14ac:dyDescent="0.3">
      <c r="A4464" t="s">
        <v>3308</v>
      </c>
      <c r="B4464" s="5">
        <v>64</v>
      </c>
      <c r="C4464" s="5" t="str" cm="1">
        <f t="array" ref="C4464">_xlfn.IFS(worksheet[[#This Row],[age]]&lt;25,"1. Young Adulthood (18-24)",worksheet[[#This Row],[age]]&lt; 35,"2. Early Adulthood (25-34)",worksheet[[#This Row],[age]]&lt; 45,"3. Mid Adulthood (35-44)",worksheet[[#This Row],[age]]&lt; 55,"4. Mature Adulthood (45-54)",TRUE,"5. Late Adulthood/Senior (55+)")</f>
        <v>5. Late Adulthood/Senior (55+)</v>
      </c>
      <c r="D4464" t="s">
        <v>27</v>
      </c>
      <c r="E4464" t="s">
        <v>22</v>
      </c>
      <c r="F4464" s="4">
        <v>0.02</v>
      </c>
      <c r="G4464" s="5">
        <v>36</v>
      </c>
      <c r="H4464" t="s">
        <v>49</v>
      </c>
      <c r="I4464" t="s">
        <v>18</v>
      </c>
      <c r="J4464" s="6">
        <v>13.99</v>
      </c>
      <c r="K4464">
        <v>1</v>
      </c>
      <c r="L4464" t="s">
        <v>19</v>
      </c>
      <c r="M4464" s="5">
        <v>3</v>
      </c>
      <c r="N4464" s="4">
        <v>0</v>
      </c>
      <c r="O4464" t="s">
        <v>52</v>
      </c>
    </row>
    <row r="4465" spans="1:15" x14ac:dyDescent="0.3">
      <c r="A4465" t="s">
        <v>3310</v>
      </c>
      <c r="B4465" s="5">
        <v>62</v>
      </c>
      <c r="C4465" s="5" t="str" cm="1">
        <f t="array" ref="C4465">_xlfn.IFS(worksheet[[#This Row],[age]]&lt;25,"1. Young Adulthood (18-24)",worksheet[[#This Row],[age]]&lt; 35,"2. Early Adulthood (25-34)",worksheet[[#This Row],[age]]&lt; 45,"3. Mid Adulthood (35-44)",worksheet[[#This Row],[age]]&lt; 55,"4. Mature Adulthood (45-54)",TRUE,"5. Late Adulthood/Senior (55+)")</f>
        <v>5. Late Adulthood/Senior (55+)</v>
      </c>
      <c r="D4465" t="s">
        <v>27</v>
      </c>
      <c r="E4465" t="s">
        <v>32</v>
      </c>
      <c r="F4465" s="4">
        <v>3.99</v>
      </c>
      <c r="G4465" s="5">
        <v>25</v>
      </c>
      <c r="H4465" t="s">
        <v>49</v>
      </c>
      <c r="I4465" t="s">
        <v>18</v>
      </c>
      <c r="J4465" s="6">
        <v>17.989999999999998</v>
      </c>
      <c r="K4465">
        <v>1</v>
      </c>
      <c r="L4465" t="s">
        <v>29</v>
      </c>
      <c r="M4465" s="5">
        <v>5</v>
      </c>
      <c r="N4465" s="4">
        <v>0.15</v>
      </c>
      <c r="O4465" t="s">
        <v>52</v>
      </c>
    </row>
    <row r="4466" spans="1:15" x14ac:dyDescent="0.3">
      <c r="A4466" t="s">
        <v>3311</v>
      </c>
      <c r="B4466" s="5">
        <v>63</v>
      </c>
      <c r="C4466" s="5" t="str" cm="1">
        <f t="array" ref="C4466">_xlfn.IFS(worksheet[[#This Row],[age]]&lt;25,"1. Young Adulthood (18-24)",worksheet[[#This Row],[age]]&lt; 35,"2. Early Adulthood (25-34)",worksheet[[#This Row],[age]]&lt; 45,"3. Mid Adulthood (35-44)",worksheet[[#This Row],[age]]&lt; 55,"4. Mature Adulthood (45-54)",TRUE,"5. Late Adulthood/Senior (55+)")</f>
        <v>5. Late Adulthood/Senior (55+)</v>
      </c>
      <c r="D4466" t="s">
        <v>41</v>
      </c>
      <c r="E4466" t="s">
        <v>22</v>
      </c>
      <c r="F4466" s="4">
        <v>2.31</v>
      </c>
      <c r="G4466" s="5">
        <v>29</v>
      </c>
      <c r="H4466" t="s">
        <v>33</v>
      </c>
      <c r="I4466" t="s">
        <v>46</v>
      </c>
      <c r="J4466" s="6">
        <v>13.99</v>
      </c>
      <c r="K4466">
        <v>1</v>
      </c>
      <c r="L4466" t="s">
        <v>19</v>
      </c>
      <c r="M4466" s="5">
        <v>2</v>
      </c>
      <c r="N4466" s="4">
        <v>0.08</v>
      </c>
      <c r="O4466" t="s">
        <v>39</v>
      </c>
    </row>
    <row r="4467" spans="1:15" x14ac:dyDescent="0.3">
      <c r="A4467" t="s">
        <v>3312</v>
      </c>
      <c r="B4467" s="5">
        <v>69</v>
      </c>
      <c r="C4467" s="5" t="str" cm="1">
        <f t="array" ref="C4467">_xlfn.IFS(worksheet[[#This Row],[age]]&lt;25,"1. Young Adulthood (18-24)",worksheet[[#This Row],[age]]&lt; 35,"2. Early Adulthood (25-34)",worksheet[[#This Row],[age]]&lt; 45,"3. Mid Adulthood (35-44)",worksheet[[#This Row],[age]]&lt; 55,"4. Mature Adulthood (45-54)",TRUE,"5. Late Adulthood/Senior (55+)")</f>
        <v>5. Late Adulthood/Senior (55+)</v>
      </c>
      <c r="D4467" t="s">
        <v>27</v>
      </c>
      <c r="E4467" t="s">
        <v>22</v>
      </c>
      <c r="F4467" s="4">
        <v>10.33</v>
      </c>
      <c r="G4467" s="5">
        <v>42</v>
      </c>
      <c r="H4467" t="s">
        <v>23</v>
      </c>
      <c r="I4467" t="s">
        <v>57</v>
      </c>
      <c r="J4467" s="6">
        <v>13.99</v>
      </c>
      <c r="K4467">
        <v>1</v>
      </c>
      <c r="L4467" t="s">
        <v>37</v>
      </c>
      <c r="M4467" s="5">
        <v>3</v>
      </c>
      <c r="N4467" s="4">
        <v>0.24</v>
      </c>
      <c r="O4467" t="s">
        <v>20</v>
      </c>
    </row>
    <row r="4468" spans="1:15" x14ac:dyDescent="0.3">
      <c r="A4468" t="s">
        <v>3314</v>
      </c>
      <c r="B4468" s="5">
        <v>69</v>
      </c>
      <c r="C4468" s="5" t="str" cm="1">
        <f t="array" ref="C4468">_xlfn.IFS(worksheet[[#This Row],[age]]&lt;25,"1. Young Adulthood (18-24)",worksheet[[#This Row],[age]]&lt; 35,"2. Early Adulthood (25-34)",worksheet[[#This Row],[age]]&lt; 45,"3. Mid Adulthood (35-44)",worksheet[[#This Row],[age]]&lt; 55,"4. Mature Adulthood (45-54)",TRUE,"5. Late Adulthood/Senior (55+)")</f>
        <v>5. Late Adulthood/Senior (55+)</v>
      </c>
      <c r="D4468" t="s">
        <v>27</v>
      </c>
      <c r="E4468" t="s">
        <v>22</v>
      </c>
      <c r="F4468" s="4">
        <v>9.14</v>
      </c>
      <c r="G4468" s="5">
        <v>48</v>
      </c>
      <c r="H4468" t="s">
        <v>49</v>
      </c>
      <c r="I4468" t="s">
        <v>46</v>
      </c>
      <c r="J4468" s="6">
        <v>13.99</v>
      </c>
      <c r="K4468">
        <v>0</v>
      </c>
      <c r="L4468" t="s">
        <v>37</v>
      </c>
      <c r="M4468" s="5">
        <v>5</v>
      </c>
      <c r="N4468" s="4">
        <v>0.19</v>
      </c>
      <c r="O4468" t="s">
        <v>20</v>
      </c>
    </row>
    <row r="4469" spans="1:15" x14ac:dyDescent="0.3">
      <c r="A4469" t="s">
        <v>3320</v>
      </c>
      <c r="B4469" s="5">
        <v>70</v>
      </c>
      <c r="C4469" s="5" t="str" cm="1">
        <f t="array" ref="C4469">_xlfn.IFS(worksheet[[#This Row],[age]]&lt;25,"1. Young Adulthood (18-24)",worksheet[[#This Row],[age]]&lt; 35,"2. Early Adulthood (25-34)",worksheet[[#This Row],[age]]&lt; 45,"3. Mid Adulthood (35-44)",worksheet[[#This Row],[age]]&lt; 55,"4. Mature Adulthood (45-54)",TRUE,"5. Late Adulthood/Senior (55+)")</f>
        <v>5. Late Adulthood/Senior (55+)</v>
      </c>
      <c r="D4469" t="s">
        <v>15</v>
      </c>
      <c r="E4469" t="s">
        <v>16</v>
      </c>
      <c r="F4469" s="4">
        <v>9.65</v>
      </c>
      <c r="G4469" s="5">
        <v>12</v>
      </c>
      <c r="H4469" t="s">
        <v>70</v>
      </c>
      <c r="I4469" t="s">
        <v>55</v>
      </c>
      <c r="J4469" s="6">
        <v>8.99</v>
      </c>
      <c r="K4469">
        <v>0</v>
      </c>
      <c r="L4469" t="s">
        <v>29</v>
      </c>
      <c r="M4469" s="5">
        <v>5</v>
      </c>
      <c r="N4469" s="4">
        <v>0.74</v>
      </c>
      <c r="O4469" t="s">
        <v>52</v>
      </c>
    </row>
    <row r="4470" spans="1:15" x14ac:dyDescent="0.3">
      <c r="A4470" t="s">
        <v>3327</v>
      </c>
      <c r="B4470" s="5">
        <v>56</v>
      </c>
      <c r="C4470" s="5" t="str" cm="1">
        <f t="array" ref="C4470">_xlfn.IFS(worksheet[[#This Row],[age]]&lt;25,"1. Young Adulthood (18-24)",worksheet[[#This Row],[age]]&lt; 35,"2. Early Adulthood (25-34)",worksheet[[#This Row],[age]]&lt; 45,"3. Mid Adulthood (35-44)",worksheet[[#This Row],[age]]&lt; 55,"4. Mature Adulthood (45-54)",TRUE,"5. Late Adulthood/Senior (55+)")</f>
        <v>5. Late Adulthood/Senior (55+)</v>
      </c>
      <c r="D4470" t="s">
        <v>41</v>
      </c>
      <c r="E4470" t="s">
        <v>22</v>
      </c>
      <c r="F4470" s="4">
        <v>0.49</v>
      </c>
      <c r="G4470" s="5">
        <v>44</v>
      </c>
      <c r="H4470" t="s">
        <v>23</v>
      </c>
      <c r="I4470" t="s">
        <v>18</v>
      </c>
      <c r="J4470" s="6">
        <v>13.99</v>
      </c>
      <c r="K4470">
        <v>1</v>
      </c>
      <c r="L4470" t="s">
        <v>19</v>
      </c>
      <c r="M4470" s="5">
        <v>3</v>
      </c>
      <c r="N4470" s="4">
        <v>0.01</v>
      </c>
      <c r="O4470" t="s">
        <v>39</v>
      </c>
    </row>
    <row r="4471" spans="1:15" x14ac:dyDescent="0.3">
      <c r="A4471" t="s">
        <v>3328</v>
      </c>
      <c r="B4471" s="5">
        <v>61</v>
      </c>
      <c r="C4471" s="5" t="str" cm="1">
        <f t="array" ref="C4471">_xlfn.IFS(worksheet[[#This Row],[age]]&lt;25,"1. Young Adulthood (18-24)",worksheet[[#This Row],[age]]&lt; 35,"2. Early Adulthood (25-34)",worksheet[[#This Row],[age]]&lt; 45,"3. Mid Adulthood (35-44)",worksheet[[#This Row],[age]]&lt; 55,"4. Mature Adulthood (45-54)",TRUE,"5. Late Adulthood/Senior (55+)")</f>
        <v>5. Late Adulthood/Senior (55+)</v>
      </c>
      <c r="D4471" t="s">
        <v>41</v>
      </c>
      <c r="E4471" t="s">
        <v>22</v>
      </c>
      <c r="F4471" s="4">
        <v>83.55</v>
      </c>
      <c r="G4471" s="5">
        <v>25</v>
      </c>
      <c r="H4471" t="s">
        <v>49</v>
      </c>
      <c r="I4471" t="s">
        <v>55</v>
      </c>
      <c r="J4471" s="6">
        <v>13.99</v>
      </c>
      <c r="K4471">
        <v>0</v>
      </c>
      <c r="L4471" t="s">
        <v>37</v>
      </c>
      <c r="M4471" s="5">
        <v>5</v>
      </c>
      <c r="N4471" s="4">
        <v>3.21</v>
      </c>
      <c r="O4471" t="s">
        <v>39</v>
      </c>
    </row>
    <row r="4472" spans="1:15" x14ac:dyDescent="0.3">
      <c r="A4472" t="s">
        <v>3332</v>
      </c>
      <c r="B4472" s="5">
        <v>66</v>
      </c>
      <c r="C4472" s="5" t="str" cm="1">
        <f t="array" ref="C4472">_xlfn.IFS(worksheet[[#This Row],[age]]&lt;25,"1. Young Adulthood (18-24)",worksheet[[#This Row],[age]]&lt; 35,"2. Early Adulthood (25-34)",worksheet[[#This Row],[age]]&lt; 45,"3. Mid Adulthood (35-44)",worksheet[[#This Row],[age]]&lt; 55,"4. Mature Adulthood (45-54)",TRUE,"5. Late Adulthood/Senior (55+)")</f>
        <v>5. Late Adulthood/Senior (55+)</v>
      </c>
      <c r="D4472" t="s">
        <v>15</v>
      </c>
      <c r="E4472" t="s">
        <v>22</v>
      </c>
      <c r="F4472" s="4">
        <v>4.41</v>
      </c>
      <c r="G4472" s="5">
        <v>48</v>
      </c>
      <c r="H4472" t="s">
        <v>28</v>
      </c>
      <c r="I4472" t="s">
        <v>24</v>
      </c>
      <c r="J4472" s="6">
        <v>13.99</v>
      </c>
      <c r="K4472">
        <v>1</v>
      </c>
      <c r="L4472" t="s">
        <v>19</v>
      </c>
      <c r="M4472" s="5">
        <v>5</v>
      </c>
      <c r="N4472" s="4">
        <v>0.09</v>
      </c>
      <c r="O4472" t="s">
        <v>25</v>
      </c>
    </row>
    <row r="4473" spans="1:15" x14ac:dyDescent="0.3">
      <c r="A4473" t="s">
        <v>3335</v>
      </c>
      <c r="B4473" s="5">
        <v>69</v>
      </c>
      <c r="C4473" s="5" t="str" cm="1">
        <f t="array" ref="C4473">_xlfn.IFS(worksheet[[#This Row],[age]]&lt;25,"1. Young Adulthood (18-24)",worksheet[[#This Row],[age]]&lt; 35,"2. Early Adulthood (25-34)",worksheet[[#This Row],[age]]&lt; 45,"3. Mid Adulthood (35-44)",worksheet[[#This Row],[age]]&lt; 55,"4. Mature Adulthood (45-54)",TRUE,"5. Late Adulthood/Senior (55+)")</f>
        <v>5. Late Adulthood/Senior (55+)</v>
      </c>
      <c r="D4473" t="s">
        <v>27</v>
      </c>
      <c r="E4473" t="s">
        <v>22</v>
      </c>
      <c r="F4473" s="4">
        <v>4.5599999999999996</v>
      </c>
      <c r="G4473" s="5">
        <v>37</v>
      </c>
      <c r="H4473" t="s">
        <v>49</v>
      </c>
      <c r="I4473" t="s">
        <v>18</v>
      </c>
      <c r="J4473" s="6">
        <v>13.99</v>
      </c>
      <c r="K4473">
        <v>1</v>
      </c>
      <c r="L4473" t="s">
        <v>43</v>
      </c>
      <c r="M4473" s="5">
        <v>2</v>
      </c>
      <c r="N4473" s="4">
        <v>0.12</v>
      </c>
      <c r="O4473" t="s">
        <v>30</v>
      </c>
    </row>
    <row r="4474" spans="1:15" x14ac:dyDescent="0.3">
      <c r="A4474" t="s">
        <v>3340</v>
      </c>
      <c r="B4474" s="5">
        <v>70</v>
      </c>
      <c r="C4474" s="5" t="str" cm="1">
        <f t="array" ref="C4474">_xlfn.IFS(worksheet[[#This Row],[age]]&lt;25,"1. Young Adulthood (18-24)",worksheet[[#This Row],[age]]&lt; 35,"2. Early Adulthood (25-34)",worksheet[[#This Row],[age]]&lt; 45,"3. Mid Adulthood (35-44)",worksheet[[#This Row],[age]]&lt; 55,"4. Mature Adulthood (45-54)",TRUE,"5. Late Adulthood/Senior (55+)")</f>
        <v>5. Late Adulthood/Senior (55+)</v>
      </c>
      <c r="D4474" t="s">
        <v>41</v>
      </c>
      <c r="E4474" t="s">
        <v>16</v>
      </c>
      <c r="F4474" s="4">
        <v>2.2200000000000002</v>
      </c>
      <c r="G4474" s="5">
        <v>12</v>
      </c>
      <c r="H4474" t="s">
        <v>28</v>
      </c>
      <c r="I4474" t="s">
        <v>46</v>
      </c>
      <c r="J4474" s="6">
        <v>8.99</v>
      </c>
      <c r="K4474">
        <v>1</v>
      </c>
      <c r="L4474" t="s">
        <v>43</v>
      </c>
      <c r="M4474" s="5">
        <v>3</v>
      </c>
      <c r="N4474" s="4">
        <v>0.17</v>
      </c>
      <c r="O4474" t="s">
        <v>39</v>
      </c>
    </row>
    <row r="4475" spans="1:15" x14ac:dyDescent="0.3">
      <c r="A4475" t="s">
        <v>3342</v>
      </c>
      <c r="B4475" s="5">
        <v>65</v>
      </c>
      <c r="C4475" s="5" t="str" cm="1">
        <f t="array" ref="C4475">_xlfn.IFS(worksheet[[#This Row],[age]]&lt;25,"1. Young Adulthood (18-24)",worksheet[[#This Row],[age]]&lt; 35,"2. Early Adulthood (25-34)",worksheet[[#This Row],[age]]&lt; 45,"3. Mid Adulthood (35-44)",worksheet[[#This Row],[age]]&lt; 55,"4. Mature Adulthood (45-54)",TRUE,"5. Late Adulthood/Senior (55+)")</f>
        <v>5. Late Adulthood/Senior (55+)</v>
      </c>
      <c r="D4475" t="s">
        <v>27</v>
      </c>
      <c r="E4475" t="s">
        <v>22</v>
      </c>
      <c r="F4475" s="4">
        <v>13.88</v>
      </c>
      <c r="G4475" s="5">
        <v>57</v>
      </c>
      <c r="H4475" t="s">
        <v>33</v>
      </c>
      <c r="I4475" t="s">
        <v>46</v>
      </c>
      <c r="J4475" s="6">
        <v>13.99</v>
      </c>
      <c r="K4475">
        <v>1</v>
      </c>
      <c r="L4475" t="s">
        <v>29</v>
      </c>
      <c r="M4475" s="5">
        <v>5</v>
      </c>
      <c r="N4475" s="4">
        <v>0.24</v>
      </c>
      <c r="O4475" t="s">
        <v>47</v>
      </c>
    </row>
    <row r="4476" spans="1:15" x14ac:dyDescent="0.3">
      <c r="A4476" t="s">
        <v>3347</v>
      </c>
      <c r="B4476" s="5">
        <v>58</v>
      </c>
      <c r="C4476" s="5" t="str" cm="1">
        <f t="array" ref="C4476">_xlfn.IFS(worksheet[[#This Row],[age]]&lt;25,"1. Young Adulthood (18-24)",worksheet[[#This Row],[age]]&lt; 35,"2. Early Adulthood (25-34)",worksheet[[#This Row],[age]]&lt; 45,"3. Mid Adulthood (35-44)",worksheet[[#This Row],[age]]&lt; 55,"4. Mature Adulthood (45-54)",TRUE,"5. Late Adulthood/Senior (55+)")</f>
        <v>5. Late Adulthood/Senior (55+)</v>
      </c>
      <c r="D4476" t="s">
        <v>41</v>
      </c>
      <c r="E4476" t="s">
        <v>22</v>
      </c>
      <c r="F4476" s="4">
        <v>4.38</v>
      </c>
      <c r="G4476" s="5">
        <v>25</v>
      </c>
      <c r="H4476" t="s">
        <v>17</v>
      </c>
      <c r="I4476" t="s">
        <v>57</v>
      </c>
      <c r="J4476" s="6">
        <v>13.99</v>
      </c>
      <c r="K4476">
        <v>1</v>
      </c>
      <c r="L4476" t="s">
        <v>61</v>
      </c>
      <c r="M4476" s="5">
        <v>1</v>
      </c>
      <c r="N4476" s="4">
        <v>0.17</v>
      </c>
      <c r="O4476" t="s">
        <v>39</v>
      </c>
    </row>
    <row r="4477" spans="1:15" x14ac:dyDescent="0.3">
      <c r="A4477" t="s">
        <v>3348</v>
      </c>
      <c r="B4477" s="5">
        <v>63</v>
      </c>
      <c r="C4477" s="5" t="str" cm="1">
        <f t="array" ref="C4477">_xlfn.IFS(worksheet[[#This Row],[age]]&lt;25,"1. Young Adulthood (18-24)",worksheet[[#This Row],[age]]&lt; 35,"2. Early Adulthood (25-34)",worksheet[[#This Row],[age]]&lt; 45,"3. Mid Adulthood (35-44)",worksheet[[#This Row],[age]]&lt; 55,"4. Mature Adulthood (45-54)",TRUE,"5. Late Adulthood/Senior (55+)")</f>
        <v>5. Late Adulthood/Senior (55+)</v>
      </c>
      <c r="D4477" t="s">
        <v>15</v>
      </c>
      <c r="E4477" t="s">
        <v>16</v>
      </c>
      <c r="F4477" s="4">
        <v>14.16</v>
      </c>
      <c r="G4477" s="5">
        <v>45</v>
      </c>
      <c r="H4477" t="s">
        <v>23</v>
      </c>
      <c r="I4477" t="s">
        <v>46</v>
      </c>
      <c r="J4477" s="6">
        <v>8.99</v>
      </c>
      <c r="K4477">
        <v>1</v>
      </c>
      <c r="L4477" t="s">
        <v>61</v>
      </c>
      <c r="M4477" s="5">
        <v>4</v>
      </c>
      <c r="N4477" s="4">
        <v>0.31</v>
      </c>
      <c r="O4477" t="s">
        <v>39</v>
      </c>
    </row>
    <row r="4478" spans="1:15" x14ac:dyDescent="0.3">
      <c r="A4478" t="s">
        <v>3353</v>
      </c>
      <c r="B4478" s="5">
        <v>64</v>
      </c>
      <c r="C4478" s="5" t="str" cm="1">
        <f t="array" ref="C4478">_xlfn.IFS(worksheet[[#This Row],[age]]&lt;25,"1. Young Adulthood (18-24)",worksheet[[#This Row],[age]]&lt; 35,"2. Early Adulthood (25-34)",worksheet[[#This Row],[age]]&lt; 45,"3. Mid Adulthood (35-44)",worksheet[[#This Row],[age]]&lt; 55,"4. Mature Adulthood (45-54)",TRUE,"5. Late Adulthood/Senior (55+)")</f>
        <v>5. Late Adulthood/Senior (55+)</v>
      </c>
      <c r="D4478" t="s">
        <v>15</v>
      </c>
      <c r="E4478" t="s">
        <v>22</v>
      </c>
      <c r="F4478" s="4">
        <v>19.87</v>
      </c>
      <c r="G4478" s="5">
        <v>41</v>
      </c>
      <c r="H4478" t="s">
        <v>49</v>
      </c>
      <c r="I4478" t="s">
        <v>24</v>
      </c>
      <c r="J4478" s="6">
        <v>13.99</v>
      </c>
      <c r="K4478">
        <v>0</v>
      </c>
      <c r="L4478" t="s">
        <v>61</v>
      </c>
      <c r="M4478" s="5">
        <v>5</v>
      </c>
      <c r="N4478" s="4">
        <v>0.47</v>
      </c>
      <c r="O4478" t="s">
        <v>39</v>
      </c>
    </row>
    <row r="4479" spans="1:15" x14ac:dyDescent="0.3">
      <c r="A4479" t="s">
        <v>3354</v>
      </c>
      <c r="B4479" s="5">
        <v>59</v>
      </c>
      <c r="C4479" s="5" t="str" cm="1">
        <f t="array" ref="C4479">_xlfn.IFS(worksheet[[#This Row],[age]]&lt;25,"1. Young Adulthood (18-24)",worksheet[[#This Row],[age]]&lt; 35,"2. Early Adulthood (25-34)",worksheet[[#This Row],[age]]&lt; 45,"3. Mid Adulthood (35-44)",worksheet[[#This Row],[age]]&lt; 55,"4. Mature Adulthood (45-54)",TRUE,"5. Late Adulthood/Senior (55+)")</f>
        <v>5. Late Adulthood/Senior (55+)</v>
      </c>
      <c r="D4479" t="s">
        <v>41</v>
      </c>
      <c r="E4479" t="s">
        <v>22</v>
      </c>
      <c r="F4479" s="4">
        <v>25.89</v>
      </c>
      <c r="G4479" s="5">
        <v>58</v>
      </c>
      <c r="H4479" t="s">
        <v>70</v>
      </c>
      <c r="I4479" t="s">
        <v>55</v>
      </c>
      <c r="J4479" s="6">
        <v>13.99</v>
      </c>
      <c r="K4479">
        <v>0</v>
      </c>
      <c r="L4479" t="s">
        <v>37</v>
      </c>
      <c r="M4479" s="5">
        <v>1</v>
      </c>
      <c r="N4479" s="4">
        <v>0.44</v>
      </c>
      <c r="O4479" t="s">
        <v>52</v>
      </c>
    </row>
    <row r="4480" spans="1:15" x14ac:dyDescent="0.3">
      <c r="A4480" t="s">
        <v>3355</v>
      </c>
      <c r="B4480" s="5">
        <v>66</v>
      </c>
      <c r="C4480" s="5" t="str" cm="1">
        <f t="array" ref="C4480">_xlfn.IFS(worksheet[[#This Row],[age]]&lt;25,"1. Young Adulthood (18-24)",worksheet[[#This Row],[age]]&lt; 35,"2. Early Adulthood (25-34)",worksheet[[#This Row],[age]]&lt; 45,"3. Mid Adulthood (35-44)",worksheet[[#This Row],[age]]&lt; 55,"4. Mature Adulthood (45-54)",TRUE,"5. Late Adulthood/Senior (55+)")</f>
        <v>5. Late Adulthood/Senior (55+)</v>
      </c>
      <c r="D4480" t="s">
        <v>15</v>
      </c>
      <c r="E4480" t="s">
        <v>32</v>
      </c>
      <c r="F4480" s="4">
        <v>51.07</v>
      </c>
      <c r="G4480" s="5">
        <v>9</v>
      </c>
      <c r="H4480" t="s">
        <v>17</v>
      </c>
      <c r="I4480" t="s">
        <v>46</v>
      </c>
      <c r="J4480" s="6">
        <v>17.989999999999998</v>
      </c>
      <c r="K4480">
        <v>0</v>
      </c>
      <c r="L4480" t="s">
        <v>29</v>
      </c>
      <c r="M4480" s="5">
        <v>5</v>
      </c>
      <c r="N4480" s="4">
        <v>5.1100000000000003</v>
      </c>
      <c r="O4480" t="s">
        <v>20</v>
      </c>
    </row>
    <row r="4481" spans="1:15" x14ac:dyDescent="0.3">
      <c r="A4481" t="s">
        <v>3358</v>
      </c>
      <c r="B4481" s="5">
        <v>60</v>
      </c>
      <c r="C4481" s="5" t="str" cm="1">
        <f t="array" ref="C4481">_xlfn.IFS(worksheet[[#This Row],[age]]&lt;25,"1. Young Adulthood (18-24)",worksheet[[#This Row],[age]]&lt; 35,"2. Early Adulthood (25-34)",worksheet[[#This Row],[age]]&lt; 45,"3. Mid Adulthood (35-44)",worksheet[[#This Row],[age]]&lt; 55,"4. Mature Adulthood (45-54)",TRUE,"5. Late Adulthood/Senior (55+)")</f>
        <v>5. Late Adulthood/Senior (55+)</v>
      </c>
      <c r="D4481" t="s">
        <v>27</v>
      </c>
      <c r="E4481" t="s">
        <v>22</v>
      </c>
      <c r="F4481" s="4">
        <v>1.1299999999999999</v>
      </c>
      <c r="G4481" s="5">
        <v>12</v>
      </c>
      <c r="H4481" t="s">
        <v>28</v>
      </c>
      <c r="I4481" t="s">
        <v>46</v>
      </c>
      <c r="J4481" s="6">
        <v>13.99</v>
      </c>
      <c r="K4481">
        <v>1</v>
      </c>
      <c r="L4481" t="s">
        <v>61</v>
      </c>
      <c r="M4481" s="5">
        <v>2</v>
      </c>
      <c r="N4481" s="4">
        <v>0.09</v>
      </c>
      <c r="O4481" t="s">
        <v>39</v>
      </c>
    </row>
    <row r="4482" spans="1:15" x14ac:dyDescent="0.3">
      <c r="A4482" t="s">
        <v>3362</v>
      </c>
      <c r="B4482" s="5">
        <v>69</v>
      </c>
      <c r="C4482" s="5" t="str" cm="1">
        <f t="array" ref="C4482">_xlfn.IFS(worksheet[[#This Row],[age]]&lt;25,"1. Young Adulthood (18-24)",worksheet[[#This Row],[age]]&lt; 35,"2. Early Adulthood (25-34)",worksheet[[#This Row],[age]]&lt; 45,"3. Mid Adulthood (35-44)",worksheet[[#This Row],[age]]&lt; 55,"4. Mature Adulthood (45-54)",TRUE,"5. Late Adulthood/Senior (55+)")</f>
        <v>5. Late Adulthood/Senior (55+)</v>
      </c>
      <c r="D4482" t="s">
        <v>15</v>
      </c>
      <c r="E4482" t="s">
        <v>32</v>
      </c>
      <c r="F4482" s="4">
        <v>13.61</v>
      </c>
      <c r="G4482" s="5">
        <v>5</v>
      </c>
      <c r="H4482" t="s">
        <v>23</v>
      </c>
      <c r="I4482" t="s">
        <v>18</v>
      </c>
      <c r="J4482" s="6">
        <v>17.989999999999998</v>
      </c>
      <c r="K4482">
        <v>0</v>
      </c>
      <c r="L4482" t="s">
        <v>61</v>
      </c>
      <c r="M4482" s="5">
        <v>3</v>
      </c>
      <c r="N4482" s="4">
        <v>2.27</v>
      </c>
      <c r="O4482" t="s">
        <v>39</v>
      </c>
    </row>
    <row r="4483" spans="1:15" x14ac:dyDescent="0.3">
      <c r="A4483" t="s">
        <v>3365</v>
      </c>
      <c r="B4483" s="5">
        <v>61</v>
      </c>
      <c r="C4483" s="5" t="str" cm="1">
        <f t="array" ref="C4483">_xlfn.IFS(worksheet[[#This Row],[age]]&lt;25,"1. Young Adulthood (18-24)",worksheet[[#This Row],[age]]&lt; 35,"2. Early Adulthood (25-34)",worksheet[[#This Row],[age]]&lt; 45,"3. Mid Adulthood (35-44)",worksheet[[#This Row],[age]]&lt; 55,"4. Mature Adulthood (45-54)",TRUE,"5. Late Adulthood/Senior (55+)")</f>
        <v>5. Late Adulthood/Senior (55+)</v>
      </c>
      <c r="D4483" t="s">
        <v>41</v>
      </c>
      <c r="E4483" t="s">
        <v>22</v>
      </c>
      <c r="F4483" s="4">
        <v>5.61</v>
      </c>
      <c r="G4483" s="5">
        <v>56</v>
      </c>
      <c r="H4483" t="s">
        <v>23</v>
      </c>
      <c r="I4483" t="s">
        <v>46</v>
      </c>
      <c r="J4483" s="6">
        <v>13.99</v>
      </c>
      <c r="K4483">
        <v>1</v>
      </c>
      <c r="L4483" t="s">
        <v>37</v>
      </c>
      <c r="M4483" s="5">
        <v>1</v>
      </c>
      <c r="N4483" s="4">
        <v>0.1</v>
      </c>
      <c r="O4483" t="s">
        <v>34</v>
      </c>
    </row>
    <row r="4484" spans="1:15" x14ac:dyDescent="0.3">
      <c r="A4484" t="s">
        <v>3367</v>
      </c>
      <c r="B4484" s="5">
        <v>68</v>
      </c>
      <c r="C4484" s="5" t="str" cm="1">
        <f t="array" ref="C4484">_xlfn.IFS(worksheet[[#This Row],[age]]&lt;25,"1. Young Adulthood (18-24)",worksheet[[#This Row],[age]]&lt; 35,"2. Early Adulthood (25-34)",worksheet[[#This Row],[age]]&lt; 45,"3. Mid Adulthood (35-44)",worksheet[[#This Row],[age]]&lt; 55,"4. Mature Adulthood (45-54)",TRUE,"5. Late Adulthood/Senior (55+)")</f>
        <v>5. Late Adulthood/Senior (55+)</v>
      </c>
      <c r="D4484" t="s">
        <v>15</v>
      </c>
      <c r="E4484" t="s">
        <v>22</v>
      </c>
      <c r="F4484" s="4">
        <v>12.66</v>
      </c>
      <c r="G4484" s="5">
        <v>7</v>
      </c>
      <c r="H4484" t="s">
        <v>28</v>
      </c>
      <c r="I4484" t="s">
        <v>57</v>
      </c>
      <c r="J4484" s="6">
        <v>13.99</v>
      </c>
      <c r="K4484">
        <v>0</v>
      </c>
      <c r="L4484" t="s">
        <v>61</v>
      </c>
      <c r="M4484" s="5">
        <v>2</v>
      </c>
      <c r="N4484" s="4">
        <v>1.58</v>
      </c>
      <c r="O4484" t="s">
        <v>39</v>
      </c>
    </row>
    <row r="4485" spans="1:15" x14ac:dyDescent="0.3">
      <c r="A4485" t="s">
        <v>3371</v>
      </c>
      <c r="B4485" s="5">
        <v>55</v>
      </c>
      <c r="C4485" s="5" t="str" cm="1">
        <f t="array" ref="C4485">_xlfn.IFS(worksheet[[#This Row],[age]]&lt;25,"1. Young Adulthood (18-24)",worksheet[[#This Row],[age]]&lt; 35,"2. Early Adulthood (25-34)",worksheet[[#This Row],[age]]&lt; 45,"3. Mid Adulthood (35-44)",worksheet[[#This Row],[age]]&lt; 55,"4. Mature Adulthood (45-54)",TRUE,"5. Late Adulthood/Senior (55+)")</f>
        <v>5. Late Adulthood/Senior (55+)</v>
      </c>
      <c r="D4485" t="s">
        <v>41</v>
      </c>
      <c r="E4485" t="s">
        <v>32</v>
      </c>
      <c r="F4485" s="4">
        <v>0.44</v>
      </c>
      <c r="G4485" s="5">
        <v>45</v>
      </c>
      <c r="H4485" t="s">
        <v>49</v>
      </c>
      <c r="I4485" t="s">
        <v>55</v>
      </c>
      <c r="J4485" s="6">
        <v>17.989999999999998</v>
      </c>
      <c r="K4485">
        <v>1</v>
      </c>
      <c r="L4485" t="s">
        <v>37</v>
      </c>
      <c r="M4485" s="5">
        <v>1</v>
      </c>
      <c r="N4485" s="4">
        <v>0.01</v>
      </c>
      <c r="O4485" t="s">
        <v>25</v>
      </c>
    </row>
    <row r="4486" spans="1:15" x14ac:dyDescent="0.3">
      <c r="A4486" t="s">
        <v>3372</v>
      </c>
      <c r="B4486" s="5">
        <v>65</v>
      </c>
      <c r="C4486" s="5" t="str" cm="1">
        <f t="array" ref="C4486">_xlfn.IFS(worksheet[[#This Row],[age]]&lt;25,"1. Young Adulthood (18-24)",worksheet[[#This Row],[age]]&lt; 35,"2. Early Adulthood (25-34)",worksheet[[#This Row],[age]]&lt; 45,"3. Mid Adulthood (35-44)",worksheet[[#This Row],[age]]&lt; 55,"4. Mature Adulthood (45-54)",TRUE,"5. Late Adulthood/Senior (55+)")</f>
        <v>5. Late Adulthood/Senior (55+)</v>
      </c>
      <c r="D4486" t="s">
        <v>41</v>
      </c>
      <c r="E4486" t="s">
        <v>22</v>
      </c>
      <c r="F4486" s="4">
        <v>4.05</v>
      </c>
      <c r="G4486" s="5">
        <v>45</v>
      </c>
      <c r="H4486" t="s">
        <v>28</v>
      </c>
      <c r="I4486" t="s">
        <v>24</v>
      </c>
      <c r="J4486" s="6">
        <v>13.99</v>
      </c>
      <c r="K4486">
        <v>1</v>
      </c>
      <c r="L4486" t="s">
        <v>19</v>
      </c>
      <c r="M4486" s="5">
        <v>4</v>
      </c>
      <c r="N4486" s="4">
        <v>0.09</v>
      </c>
      <c r="O4486" t="s">
        <v>25</v>
      </c>
    </row>
    <row r="4487" spans="1:15" x14ac:dyDescent="0.3">
      <c r="A4487" t="s">
        <v>3374</v>
      </c>
      <c r="B4487" s="5">
        <v>63</v>
      </c>
      <c r="C4487" s="5" t="str" cm="1">
        <f t="array" ref="C4487">_xlfn.IFS(worksheet[[#This Row],[age]]&lt;25,"1. Young Adulthood (18-24)",worksheet[[#This Row],[age]]&lt; 35,"2. Early Adulthood (25-34)",worksheet[[#This Row],[age]]&lt; 45,"3. Mid Adulthood (35-44)",worksheet[[#This Row],[age]]&lt; 55,"4. Mature Adulthood (45-54)",TRUE,"5. Late Adulthood/Senior (55+)")</f>
        <v>5. Late Adulthood/Senior (55+)</v>
      </c>
      <c r="D4487" t="s">
        <v>27</v>
      </c>
      <c r="E4487" t="s">
        <v>22</v>
      </c>
      <c r="F4487" s="4">
        <v>6.42</v>
      </c>
      <c r="G4487" s="5">
        <v>17</v>
      </c>
      <c r="H4487" t="s">
        <v>23</v>
      </c>
      <c r="I4487" t="s">
        <v>57</v>
      </c>
      <c r="J4487" s="6">
        <v>13.99</v>
      </c>
      <c r="K4487">
        <v>0</v>
      </c>
      <c r="L4487" t="s">
        <v>29</v>
      </c>
      <c r="M4487" s="5">
        <v>4</v>
      </c>
      <c r="N4487" s="4">
        <v>0.36</v>
      </c>
      <c r="O4487" t="s">
        <v>20</v>
      </c>
    </row>
    <row r="4488" spans="1:15" x14ac:dyDescent="0.3">
      <c r="A4488" t="s">
        <v>3375</v>
      </c>
      <c r="B4488" s="5">
        <v>56</v>
      </c>
      <c r="C4488" s="5" t="str" cm="1">
        <f t="array" ref="C4488">_xlfn.IFS(worksheet[[#This Row],[age]]&lt;25,"1. Young Adulthood (18-24)",worksheet[[#This Row],[age]]&lt; 35,"2. Early Adulthood (25-34)",worksheet[[#This Row],[age]]&lt; 45,"3. Mid Adulthood (35-44)",worksheet[[#This Row],[age]]&lt; 55,"4. Mature Adulthood (45-54)",TRUE,"5. Late Adulthood/Senior (55+)")</f>
        <v>5. Late Adulthood/Senior (55+)</v>
      </c>
      <c r="D4488" t="s">
        <v>27</v>
      </c>
      <c r="E4488" t="s">
        <v>32</v>
      </c>
      <c r="F4488" s="4">
        <v>14.39</v>
      </c>
      <c r="G4488" s="5">
        <v>38</v>
      </c>
      <c r="H4488" t="s">
        <v>28</v>
      </c>
      <c r="I4488" t="s">
        <v>57</v>
      </c>
      <c r="J4488" s="6">
        <v>17.989999999999998</v>
      </c>
      <c r="K4488">
        <v>1</v>
      </c>
      <c r="L4488" t="s">
        <v>61</v>
      </c>
      <c r="M4488" s="5">
        <v>3</v>
      </c>
      <c r="N4488" s="4">
        <v>0.37</v>
      </c>
      <c r="O4488" t="s">
        <v>47</v>
      </c>
    </row>
    <row r="4489" spans="1:15" x14ac:dyDescent="0.3">
      <c r="A4489" t="s">
        <v>3390</v>
      </c>
      <c r="B4489" s="5">
        <v>69</v>
      </c>
      <c r="C4489" s="5" t="str" cm="1">
        <f t="array" ref="C4489">_xlfn.IFS(worksheet[[#This Row],[age]]&lt;25,"1. Young Adulthood (18-24)",worksheet[[#This Row],[age]]&lt; 35,"2. Early Adulthood (25-34)",worksheet[[#This Row],[age]]&lt; 45,"3. Mid Adulthood (35-44)",worksheet[[#This Row],[age]]&lt; 55,"4. Mature Adulthood (45-54)",TRUE,"5. Late Adulthood/Senior (55+)")</f>
        <v>5. Late Adulthood/Senior (55+)</v>
      </c>
      <c r="D4489" t="s">
        <v>27</v>
      </c>
      <c r="E4489" t="s">
        <v>22</v>
      </c>
      <c r="F4489" s="4">
        <v>4.53</v>
      </c>
      <c r="G4489" s="5">
        <v>16</v>
      </c>
      <c r="H4489" t="s">
        <v>23</v>
      </c>
      <c r="I4489" t="s">
        <v>46</v>
      </c>
      <c r="J4489" s="6">
        <v>13.99</v>
      </c>
      <c r="K4489">
        <v>1</v>
      </c>
      <c r="L4489" t="s">
        <v>29</v>
      </c>
      <c r="M4489" s="5">
        <v>2</v>
      </c>
      <c r="N4489" s="4">
        <v>0.27</v>
      </c>
      <c r="O4489" t="s">
        <v>34</v>
      </c>
    </row>
    <row r="4490" spans="1:15" x14ac:dyDescent="0.3">
      <c r="A4490" t="s">
        <v>3393</v>
      </c>
      <c r="B4490" s="5">
        <v>59</v>
      </c>
      <c r="C4490" s="5" t="str" cm="1">
        <f t="array" ref="C4490">_xlfn.IFS(worksheet[[#This Row],[age]]&lt;25,"1. Young Adulthood (18-24)",worksheet[[#This Row],[age]]&lt; 35,"2. Early Adulthood (25-34)",worksheet[[#This Row],[age]]&lt; 45,"3. Mid Adulthood (35-44)",worksheet[[#This Row],[age]]&lt; 55,"4. Mature Adulthood (45-54)",TRUE,"5. Late Adulthood/Senior (55+)")</f>
        <v>5. Late Adulthood/Senior (55+)</v>
      </c>
      <c r="D4490" t="s">
        <v>41</v>
      </c>
      <c r="E4490" t="s">
        <v>22</v>
      </c>
      <c r="F4490" s="4">
        <v>2.41</v>
      </c>
      <c r="G4490" s="5">
        <v>4</v>
      </c>
      <c r="H4490" t="s">
        <v>28</v>
      </c>
      <c r="I4490" t="s">
        <v>57</v>
      </c>
      <c r="J4490" s="6">
        <v>13.99</v>
      </c>
      <c r="K4490">
        <v>0</v>
      </c>
      <c r="L4490" t="s">
        <v>37</v>
      </c>
      <c r="M4490" s="5">
        <v>2</v>
      </c>
      <c r="N4490" s="4">
        <v>0.48</v>
      </c>
      <c r="O4490" t="s">
        <v>20</v>
      </c>
    </row>
    <row r="4491" spans="1:15" x14ac:dyDescent="0.3">
      <c r="A4491" t="s">
        <v>3400</v>
      </c>
      <c r="B4491" s="5">
        <v>66</v>
      </c>
      <c r="C4491" s="5" t="str" cm="1">
        <f t="array" ref="C4491">_xlfn.IFS(worksheet[[#This Row],[age]]&lt;25,"1. Young Adulthood (18-24)",worksheet[[#This Row],[age]]&lt; 35,"2. Early Adulthood (25-34)",worksheet[[#This Row],[age]]&lt; 45,"3. Mid Adulthood (35-44)",worksheet[[#This Row],[age]]&lt; 55,"4. Mature Adulthood (45-54)",TRUE,"5. Late Adulthood/Senior (55+)")</f>
        <v>5. Late Adulthood/Senior (55+)</v>
      </c>
      <c r="D4491" t="s">
        <v>41</v>
      </c>
      <c r="E4491" t="s">
        <v>16</v>
      </c>
      <c r="F4491" s="4">
        <v>7</v>
      </c>
      <c r="G4491" s="5">
        <v>39</v>
      </c>
      <c r="H4491" t="s">
        <v>28</v>
      </c>
      <c r="I4491" t="s">
        <v>18</v>
      </c>
      <c r="J4491" s="6">
        <v>8.99</v>
      </c>
      <c r="K4491">
        <v>1</v>
      </c>
      <c r="L4491" t="s">
        <v>37</v>
      </c>
      <c r="M4491" s="5">
        <v>2</v>
      </c>
      <c r="N4491" s="4">
        <v>0.17</v>
      </c>
      <c r="O4491" t="s">
        <v>25</v>
      </c>
    </row>
    <row r="4492" spans="1:15" x14ac:dyDescent="0.3">
      <c r="A4492" t="s">
        <v>3402</v>
      </c>
      <c r="B4492" s="5">
        <v>56</v>
      </c>
      <c r="C4492" s="5" t="str" cm="1">
        <f t="array" ref="C4492">_xlfn.IFS(worksheet[[#This Row],[age]]&lt;25,"1. Young Adulthood (18-24)",worksheet[[#This Row],[age]]&lt; 35,"2. Early Adulthood (25-34)",worksheet[[#This Row],[age]]&lt; 45,"3. Mid Adulthood (35-44)",worksheet[[#This Row],[age]]&lt; 55,"4. Mature Adulthood (45-54)",TRUE,"5. Late Adulthood/Senior (55+)")</f>
        <v>5. Late Adulthood/Senior (55+)</v>
      </c>
      <c r="D4492" t="s">
        <v>27</v>
      </c>
      <c r="E4492" t="s">
        <v>22</v>
      </c>
      <c r="F4492" s="4">
        <v>21.44</v>
      </c>
      <c r="G4492" s="5">
        <v>47</v>
      </c>
      <c r="H4492" t="s">
        <v>23</v>
      </c>
      <c r="I4492" t="s">
        <v>18</v>
      </c>
      <c r="J4492" s="6">
        <v>13.99</v>
      </c>
      <c r="K4492">
        <v>1</v>
      </c>
      <c r="L4492" t="s">
        <v>29</v>
      </c>
      <c r="M4492" s="5">
        <v>1</v>
      </c>
      <c r="N4492" s="4">
        <v>0.45</v>
      </c>
      <c r="O4492" t="s">
        <v>47</v>
      </c>
    </row>
    <row r="4493" spans="1:15" x14ac:dyDescent="0.3">
      <c r="A4493" t="s">
        <v>3410</v>
      </c>
      <c r="B4493" s="5">
        <v>62</v>
      </c>
      <c r="C4493" s="5" t="str" cm="1">
        <f t="array" ref="C4493">_xlfn.IFS(worksheet[[#This Row],[age]]&lt;25,"1. Young Adulthood (18-24)",worksheet[[#This Row],[age]]&lt; 35,"2. Early Adulthood (25-34)",worksheet[[#This Row],[age]]&lt; 45,"3. Mid Adulthood (35-44)",worksheet[[#This Row],[age]]&lt; 55,"4. Mature Adulthood (45-54)",TRUE,"5. Late Adulthood/Senior (55+)")</f>
        <v>5. Late Adulthood/Senior (55+)</v>
      </c>
      <c r="D4493" t="s">
        <v>27</v>
      </c>
      <c r="E4493" t="s">
        <v>22</v>
      </c>
      <c r="F4493" s="4">
        <v>26.88</v>
      </c>
      <c r="G4493" s="5">
        <v>55</v>
      </c>
      <c r="H4493" t="s">
        <v>28</v>
      </c>
      <c r="I4493" t="s">
        <v>18</v>
      </c>
      <c r="J4493" s="6">
        <v>13.99</v>
      </c>
      <c r="K4493">
        <v>0</v>
      </c>
      <c r="L4493" t="s">
        <v>43</v>
      </c>
      <c r="M4493" s="5">
        <v>4</v>
      </c>
      <c r="N4493" s="4">
        <v>0.48</v>
      </c>
      <c r="O4493" t="s">
        <v>39</v>
      </c>
    </row>
    <row r="4494" spans="1:15" x14ac:dyDescent="0.3">
      <c r="A4494" t="s">
        <v>3411</v>
      </c>
      <c r="B4494" s="5">
        <v>63</v>
      </c>
      <c r="C4494" s="5" t="str" cm="1">
        <f t="array" ref="C4494">_xlfn.IFS(worksheet[[#This Row],[age]]&lt;25,"1. Young Adulthood (18-24)",worksheet[[#This Row],[age]]&lt; 35,"2. Early Adulthood (25-34)",worksheet[[#This Row],[age]]&lt; 45,"3. Mid Adulthood (35-44)",worksheet[[#This Row],[age]]&lt; 55,"4. Mature Adulthood (45-54)",TRUE,"5. Late Adulthood/Senior (55+)")</f>
        <v>5. Late Adulthood/Senior (55+)</v>
      </c>
      <c r="D4494" t="s">
        <v>27</v>
      </c>
      <c r="E4494" t="s">
        <v>22</v>
      </c>
      <c r="F4494" s="4">
        <v>2.84</v>
      </c>
      <c r="G4494" s="5">
        <v>18</v>
      </c>
      <c r="H4494" t="s">
        <v>33</v>
      </c>
      <c r="I4494" t="s">
        <v>57</v>
      </c>
      <c r="J4494" s="6">
        <v>13.99</v>
      </c>
      <c r="K4494">
        <v>1</v>
      </c>
      <c r="L4494" t="s">
        <v>19</v>
      </c>
      <c r="M4494" s="5">
        <v>3</v>
      </c>
      <c r="N4494" s="4">
        <v>0.15</v>
      </c>
      <c r="O4494" t="s">
        <v>34</v>
      </c>
    </row>
    <row r="4495" spans="1:15" x14ac:dyDescent="0.3">
      <c r="A4495" t="s">
        <v>3414</v>
      </c>
      <c r="B4495" s="5">
        <v>68</v>
      </c>
      <c r="C4495" s="5" t="str" cm="1">
        <f t="array" ref="C4495">_xlfn.IFS(worksheet[[#This Row],[age]]&lt;25,"1. Young Adulthood (18-24)",worksheet[[#This Row],[age]]&lt; 35,"2. Early Adulthood (25-34)",worksheet[[#This Row],[age]]&lt; 45,"3. Mid Adulthood (35-44)",worksheet[[#This Row],[age]]&lt; 55,"4. Mature Adulthood (45-54)",TRUE,"5. Late Adulthood/Senior (55+)")</f>
        <v>5. Late Adulthood/Senior (55+)</v>
      </c>
      <c r="D4495" t="s">
        <v>41</v>
      </c>
      <c r="E4495" t="s">
        <v>32</v>
      </c>
      <c r="F4495" s="4">
        <v>9.36</v>
      </c>
      <c r="G4495" s="5">
        <v>15</v>
      </c>
      <c r="H4495" t="s">
        <v>23</v>
      </c>
      <c r="I4495" t="s">
        <v>18</v>
      </c>
      <c r="J4495" s="6">
        <v>17.989999999999998</v>
      </c>
      <c r="K4495">
        <v>0</v>
      </c>
      <c r="L4495" t="s">
        <v>29</v>
      </c>
      <c r="M4495" s="5">
        <v>5</v>
      </c>
      <c r="N4495" s="4">
        <v>0.57999999999999996</v>
      </c>
      <c r="O4495" t="s">
        <v>20</v>
      </c>
    </row>
    <row r="4496" spans="1:15" x14ac:dyDescent="0.3">
      <c r="A4496" t="s">
        <v>3418</v>
      </c>
      <c r="B4496" s="5">
        <v>67</v>
      </c>
      <c r="C4496" s="5" t="str" cm="1">
        <f t="array" ref="C4496">_xlfn.IFS(worksheet[[#This Row],[age]]&lt;25,"1. Young Adulthood (18-24)",worksheet[[#This Row],[age]]&lt; 35,"2. Early Adulthood (25-34)",worksheet[[#This Row],[age]]&lt; 45,"3. Mid Adulthood (35-44)",worksheet[[#This Row],[age]]&lt; 55,"4. Mature Adulthood (45-54)",TRUE,"5. Late Adulthood/Senior (55+)")</f>
        <v>5. Late Adulthood/Senior (55+)</v>
      </c>
      <c r="D4496" t="s">
        <v>41</v>
      </c>
      <c r="E4496" t="s">
        <v>32</v>
      </c>
      <c r="F4496" s="4">
        <v>13.19</v>
      </c>
      <c r="G4496" s="5">
        <v>55</v>
      </c>
      <c r="H4496" t="s">
        <v>49</v>
      </c>
      <c r="I4496" t="s">
        <v>55</v>
      </c>
      <c r="J4496" s="6">
        <v>17.989999999999998</v>
      </c>
      <c r="K4496">
        <v>1</v>
      </c>
      <c r="L4496" t="s">
        <v>29</v>
      </c>
      <c r="M4496" s="5">
        <v>3</v>
      </c>
      <c r="N4496" s="4">
        <v>0.24</v>
      </c>
      <c r="O4496" t="s">
        <v>47</v>
      </c>
    </row>
    <row r="4497" spans="1:15" x14ac:dyDescent="0.3">
      <c r="A4497" t="s">
        <v>3419</v>
      </c>
      <c r="B4497" s="5">
        <v>63</v>
      </c>
      <c r="C4497" s="5" t="str" cm="1">
        <f t="array" ref="C4497">_xlfn.IFS(worksheet[[#This Row],[age]]&lt;25,"1. Young Adulthood (18-24)",worksheet[[#This Row],[age]]&lt; 35,"2. Early Adulthood (25-34)",worksheet[[#This Row],[age]]&lt; 45,"3. Mid Adulthood (35-44)",worksheet[[#This Row],[age]]&lt; 55,"4. Mature Adulthood (45-54)",TRUE,"5. Late Adulthood/Senior (55+)")</f>
        <v>5. Late Adulthood/Senior (55+)</v>
      </c>
      <c r="D4497" t="s">
        <v>15</v>
      </c>
      <c r="E4497" t="s">
        <v>16</v>
      </c>
      <c r="F4497" s="4">
        <v>1.25</v>
      </c>
      <c r="G4497" s="5">
        <v>3</v>
      </c>
      <c r="H4497" t="s">
        <v>28</v>
      </c>
      <c r="I4497" t="s">
        <v>57</v>
      </c>
      <c r="J4497" s="6">
        <v>8.99</v>
      </c>
      <c r="K4497">
        <v>1</v>
      </c>
      <c r="L4497" t="s">
        <v>37</v>
      </c>
      <c r="M4497" s="5">
        <v>5</v>
      </c>
      <c r="N4497" s="4">
        <v>0.31</v>
      </c>
      <c r="O4497" t="s">
        <v>47</v>
      </c>
    </row>
    <row r="4498" spans="1:15" x14ac:dyDescent="0.3">
      <c r="A4498" t="s">
        <v>3420</v>
      </c>
      <c r="B4498" s="5">
        <v>59</v>
      </c>
      <c r="C4498" s="5" t="str" cm="1">
        <f t="array" ref="C4498">_xlfn.IFS(worksheet[[#This Row],[age]]&lt;25,"1. Young Adulthood (18-24)",worksheet[[#This Row],[age]]&lt; 35,"2. Early Adulthood (25-34)",worksheet[[#This Row],[age]]&lt; 45,"3. Mid Adulthood (35-44)",worksheet[[#This Row],[age]]&lt; 55,"4. Mature Adulthood (45-54)",TRUE,"5. Late Adulthood/Senior (55+)")</f>
        <v>5. Late Adulthood/Senior (55+)</v>
      </c>
      <c r="D4498" t="s">
        <v>27</v>
      </c>
      <c r="E4498" t="s">
        <v>16</v>
      </c>
      <c r="F4498" s="4">
        <v>1.2</v>
      </c>
      <c r="G4498" s="5">
        <v>32</v>
      </c>
      <c r="H4498" t="s">
        <v>70</v>
      </c>
      <c r="I4498" t="s">
        <v>18</v>
      </c>
      <c r="J4498" s="6">
        <v>8.99</v>
      </c>
      <c r="K4498">
        <v>1</v>
      </c>
      <c r="L4498" t="s">
        <v>61</v>
      </c>
      <c r="M4498" s="5">
        <v>2</v>
      </c>
      <c r="N4498" s="4">
        <v>0.04</v>
      </c>
      <c r="O4498" t="s">
        <v>47</v>
      </c>
    </row>
    <row r="4499" spans="1:15" x14ac:dyDescent="0.3">
      <c r="A4499" t="s">
        <v>3425</v>
      </c>
      <c r="B4499" s="5">
        <v>55</v>
      </c>
      <c r="C4499" s="5" t="str" cm="1">
        <f t="array" ref="C4499">_xlfn.IFS(worksheet[[#This Row],[age]]&lt;25,"1. Young Adulthood (18-24)",worksheet[[#This Row],[age]]&lt; 35,"2. Early Adulthood (25-34)",worksheet[[#This Row],[age]]&lt; 45,"3. Mid Adulthood (35-44)",worksheet[[#This Row],[age]]&lt; 55,"4. Mature Adulthood (45-54)",TRUE,"5. Late Adulthood/Senior (55+)")</f>
        <v>5. Late Adulthood/Senior (55+)</v>
      </c>
      <c r="D4499" t="s">
        <v>41</v>
      </c>
      <c r="E4499" t="s">
        <v>22</v>
      </c>
      <c r="F4499" s="4">
        <v>2.7</v>
      </c>
      <c r="G4499" s="5">
        <v>31</v>
      </c>
      <c r="H4499" t="s">
        <v>28</v>
      </c>
      <c r="I4499" t="s">
        <v>18</v>
      </c>
      <c r="J4499" s="6">
        <v>13.99</v>
      </c>
      <c r="K4499">
        <v>1</v>
      </c>
      <c r="L4499" t="s">
        <v>37</v>
      </c>
      <c r="M4499" s="5">
        <v>4</v>
      </c>
      <c r="N4499" s="4">
        <v>0.08</v>
      </c>
      <c r="O4499" t="s">
        <v>25</v>
      </c>
    </row>
    <row r="4500" spans="1:15" x14ac:dyDescent="0.3">
      <c r="A4500" t="s">
        <v>3428</v>
      </c>
      <c r="B4500" s="5">
        <v>63</v>
      </c>
      <c r="C4500" s="5" t="str" cm="1">
        <f t="array" ref="C4500">_xlfn.IFS(worksheet[[#This Row],[age]]&lt;25,"1. Young Adulthood (18-24)",worksheet[[#This Row],[age]]&lt; 35,"2. Early Adulthood (25-34)",worksheet[[#This Row],[age]]&lt; 45,"3. Mid Adulthood (35-44)",worksheet[[#This Row],[age]]&lt; 55,"4. Mature Adulthood (45-54)",TRUE,"5. Late Adulthood/Senior (55+)")</f>
        <v>5. Late Adulthood/Senior (55+)</v>
      </c>
      <c r="D4500" t="s">
        <v>27</v>
      </c>
      <c r="E4500" t="s">
        <v>22</v>
      </c>
      <c r="F4500" s="4">
        <v>12.08</v>
      </c>
      <c r="G4500" s="5">
        <v>17</v>
      </c>
      <c r="H4500" t="s">
        <v>49</v>
      </c>
      <c r="I4500" t="s">
        <v>55</v>
      </c>
      <c r="J4500" s="6">
        <v>13.99</v>
      </c>
      <c r="K4500">
        <v>0</v>
      </c>
      <c r="L4500" t="s">
        <v>61</v>
      </c>
      <c r="M4500" s="5">
        <v>4</v>
      </c>
      <c r="N4500" s="4">
        <v>0.67</v>
      </c>
      <c r="O4500" t="s">
        <v>34</v>
      </c>
    </row>
    <row r="4501" spans="1:15" x14ac:dyDescent="0.3">
      <c r="A4501" t="s">
        <v>3434</v>
      </c>
      <c r="B4501" s="5">
        <v>60</v>
      </c>
      <c r="C4501" s="5" t="str" cm="1">
        <f t="array" ref="C4501">_xlfn.IFS(worksheet[[#This Row],[age]]&lt;25,"1. Young Adulthood (18-24)",worksheet[[#This Row],[age]]&lt; 35,"2. Early Adulthood (25-34)",worksheet[[#This Row],[age]]&lt; 45,"3. Mid Adulthood (35-44)",worksheet[[#This Row],[age]]&lt; 55,"4. Mature Adulthood (45-54)",TRUE,"5. Late Adulthood/Senior (55+)")</f>
        <v>5. Late Adulthood/Senior (55+)</v>
      </c>
      <c r="D4501" t="s">
        <v>15</v>
      </c>
      <c r="E4501" t="s">
        <v>22</v>
      </c>
      <c r="F4501" s="4">
        <v>82.61</v>
      </c>
      <c r="G4501" s="5">
        <v>33</v>
      </c>
      <c r="H4501" t="s">
        <v>70</v>
      </c>
      <c r="I4501" t="s">
        <v>24</v>
      </c>
      <c r="J4501" s="6">
        <v>13.99</v>
      </c>
      <c r="K4501">
        <v>0</v>
      </c>
      <c r="L4501" t="s">
        <v>43</v>
      </c>
      <c r="M4501" s="5">
        <v>3</v>
      </c>
      <c r="N4501" s="4">
        <v>2.4300000000000002</v>
      </c>
      <c r="O4501" t="s">
        <v>25</v>
      </c>
    </row>
    <row r="4502" spans="1:15" x14ac:dyDescent="0.3">
      <c r="A4502" t="s">
        <v>3437</v>
      </c>
      <c r="B4502" s="5">
        <v>55</v>
      </c>
      <c r="C4502" s="5" t="str" cm="1">
        <f t="array" ref="C4502">_xlfn.IFS(worksheet[[#This Row],[age]]&lt;25,"1. Young Adulthood (18-24)",worksheet[[#This Row],[age]]&lt; 35,"2. Early Adulthood (25-34)",worksheet[[#This Row],[age]]&lt; 45,"3. Mid Adulthood (35-44)",worksheet[[#This Row],[age]]&lt; 55,"4. Mature Adulthood (45-54)",TRUE,"5. Late Adulthood/Senior (55+)")</f>
        <v>5. Late Adulthood/Senior (55+)</v>
      </c>
      <c r="D4502" t="s">
        <v>15</v>
      </c>
      <c r="E4502" t="s">
        <v>16</v>
      </c>
      <c r="F4502" s="4">
        <v>0.21</v>
      </c>
      <c r="G4502" s="5">
        <v>34</v>
      </c>
      <c r="H4502" t="s">
        <v>49</v>
      </c>
      <c r="I4502" t="s">
        <v>46</v>
      </c>
      <c r="J4502" s="6">
        <v>8.99</v>
      </c>
      <c r="K4502">
        <v>1</v>
      </c>
      <c r="L4502" t="s">
        <v>37</v>
      </c>
      <c r="M4502" s="5">
        <v>5</v>
      </c>
      <c r="N4502" s="4">
        <v>0.01</v>
      </c>
      <c r="O4502" t="s">
        <v>34</v>
      </c>
    </row>
    <row r="4503" spans="1:15" x14ac:dyDescent="0.3">
      <c r="A4503" t="s">
        <v>3440</v>
      </c>
      <c r="B4503" s="5">
        <v>55</v>
      </c>
      <c r="C4503" s="5" t="str" cm="1">
        <f t="array" ref="C4503">_xlfn.IFS(worksheet[[#This Row],[age]]&lt;25,"1. Young Adulthood (18-24)",worksheet[[#This Row],[age]]&lt; 35,"2. Early Adulthood (25-34)",worksheet[[#This Row],[age]]&lt; 45,"3. Mid Adulthood (35-44)",worksheet[[#This Row],[age]]&lt; 55,"4. Mature Adulthood (45-54)",TRUE,"5. Late Adulthood/Senior (55+)")</f>
        <v>5. Late Adulthood/Senior (55+)</v>
      </c>
      <c r="D4503" t="s">
        <v>15</v>
      </c>
      <c r="E4503" t="s">
        <v>32</v>
      </c>
      <c r="F4503" s="4">
        <v>3.15</v>
      </c>
      <c r="G4503" s="5">
        <v>51</v>
      </c>
      <c r="H4503" t="s">
        <v>28</v>
      </c>
      <c r="I4503" t="s">
        <v>57</v>
      </c>
      <c r="J4503" s="6">
        <v>17.989999999999998</v>
      </c>
      <c r="K4503">
        <v>1</v>
      </c>
      <c r="L4503" t="s">
        <v>37</v>
      </c>
      <c r="M4503" s="5">
        <v>5</v>
      </c>
      <c r="N4503" s="4">
        <v>0.06</v>
      </c>
      <c r="O4503" t="s">
        <v>25</v>
      </c>
    </row>
    <row r="4504" spans="1:15" x14ac:dyDescent="0.3">
      <c r="A4504" t="s">
        <v>3441</v>
      </c>
      <c r="B4504" s="5">
        <v>61</v>
      </c>
      <c r="C4504" s="5" t="str" cm="1">
        <f t="array" ref="C4504">_xlfn.IFS(worksheet[[#This Row],[age]]&lt;25,"1. Young Adulthood (18-24)",worksheet[[#This Row],[age]]&lt; 35,"2. Early Adulthood (25-34)",worksheet[[#This Row],[age]]&lt; 45,"3. Mid Adulthood (35-44)",worksheet[[#This Row],[age]]&lt; 55,"4. Mature Adulthood (45-54)",TRUE,"5. Late Adulthood/Senior (55+)")</f>
        <v>5. Late Adulthood/Senior (55+)</v>
      </c>
      <c r="D4504" t="s">
        <v>41</v>
      </c>
      <c r="E4504" t="s">
        <v>16</v>
      </c>
      <c r="F4504" s="4">
        <v>1.1000000000000001</v>
      </c>
      <c r="G4504" s="5">
        <v>2</v>
      </c>
      <c r="H4504" t="s">
        <v>49</v>
      </c>
      <c r="I4504" t="s">
        <v>46</v>
      </c>
      <c r="J4504" s="6">
        <v>8.99</v>
      </c>
      <c r="K4504">
        <v>1</v>
      </c>
      <c r="L4504" t="s">
        <v>43</v>
      </c>
      <c r="M4504" s="5">
        <v>5</v>
      </c>
      <c r="N4504" s="4">
        <v>0.37</v>
      </c>
      <c r="O4504" t="s">
        <v>39</v>
      </c>
    </row>
    <row r="4505" spans="1:15" x14ac:dyDescent="0.3">
      <c r="A4505" t="s">
        <v>3444</v>
      </c>
      <c r="B4505" s="5">
        <v>69</v>
      </c>
      <c r="C4505" s="5" t="str" cm="1">
        <f t="array" ref="C4505">_xlfn.IFS(worksheet[[#This Row],[age]]&lt;25,"1. Young Adulthood (18-24)",worksheet[[#This Row],[age]]&lt; 35,"2. Early Adulthood (25-34)",worksheet[[#This Row],[age]]&lt; 45,"3. Mid Adulthood (35-44)",worksheet[[#This Row],[age]]&lt; 55,"4. Mature Adulthood (45-54)",TRUE,"5. Late Adulthood/Senior (55+)")</f>
        <v>5. Late Adulthood/Senior (55+)</v>
      </c>
      <c r="D4505" t="s">
        <v>41</v>
      </c>
      <c r="E4505" t="s">
        <v>16</v>
      </c>
      <c r="F4505" s="4">
        <v>1.07</v>
      </c>
      <c r="G4505" s="5">
        <v>47</v>
      </c>
      <c r="H4505" t="s">
        <v>23</v>
      </c>
      <c r="I4505" t="s">
        <v>24</v>
      </c>
      <c r="J4505" s="6">
        <v>8.99</v>
      </c>
      <c r="K4505">
        <v>1</v>
      </c>
      <c r="L4505" t="s">
        <v>43</v>
      </c>
      <c r="M4505" s="5">
        <v>2</v>
      </c>
      <c r="N4505" s="4">
        <v>0.02</v>
      </c>
      <c r="O4505" t="s">
        <v>20</v>
      </c>
    </row>
    <row r="4506" spans="1:15" x14ac:dyDescent="0.3">
      <c r="A4506" t="s">
        <v>3445</v>
      </c>
      <c r="B4506" s="5">
        <v>59</v>
      </c>
      <c r="C4506" s="5" t="str" cm="1">
        <f t="array" ref="C4506">_xlfn.IFS(worksheet[[#This Row],[age]]&lt;25,"1. Young Adulthood (18-24)",worksheet[[#This Row],[age]]&lt; 35,"2. Early Adulthood (25-34)",worksheet[[#This Row],[age]]&lt; 45,"3. Mid Adulthood (35-44)",worksheet[[#This Row],[age]]&lt; 55,"4. Mature Adulthood (45-54)",TRUE,"5. Late Adulthood/Senior (55+)")</f>
        <v>5. Late Adulthood/Senior (55+)</v>
      </c>
      <c r="D4506" t="s">
        <v>41</v>
      </c>
      <c r="E4506" t="s">
        <v>22</v>
      </c>
      <c r="F4506" s="4">
        <v>14.46</v>
      </c>
      <c r="G4506" s="5">
        <v>28</v>
      </c>
      <c r="H4506" t="s">
        <v>33</v>
      </c>
      <c r="I4506" t="s">
        <v>46</v>
      </c>
      <c r="J4506" s="6">
        <v>13.99</v>
      </c>
      <c r="K4506">
        <v>0</v>
      </c>
      <c r="L4506" t="s">
        <v>29</v>
      </c>
      <c r="M4506" s="5">
        <v>2</v>
      </c>
      <c r="N4506" s="4">
        <v>0.5</v>
      </c>
      <c r="O4506" t="s">
        <v>34</v>
      </c>
    </row>
    <row r="4507" spans="1:15" x14ac:dyDescent="0.3">
      <c r="A4507" t="s">
        <v>3446</v>
      </c>
      <c r="B4507" s="5">
        <v>59</v>
      </c>
      <c r="C4507" s="5" t="str" cm="1">
        <f t="array" ref="C4507">_xlfn.IFS(worksheet[[#This Row],[age]]&lt;25,"1. Young Adulthood (18-24)",worksheet[[#This Row],[age]]&lt; 35,"2. Early Adulthood (25-34)",worksheet[[#This Row],[age]]&lt; 45,"3. Mid Adulthood (35-44)",worksheet[[#This Row],[age]]&lt; 55,"4. Mature Adulthood (45-54)",TRUE,"5. Late Adulthood/Senior (55+)")</f>
        <v>5. Late Adulthood/Senior (55+)</v>
      </c>
      <c r="D4507" t="s">
        <v>27</v>
      </c>
      <c r="E4507" t="s">
        <v>16</v>
      </c>
      <c r="F4507" s="4">
        <v>2.44</v>
      </c>
      <c r="G4507" s="5">
        <v>55</v>
      </c>
      <c r="H4507" t="s">
        <v>17</v>
      </c>
      <c r="I4507" t="s">
        <v>57</v>
      </c>
      <c r="J4507" s="6">
        <v>8.99</v>
      </c>
      <c r="K4507">
        <v>1</v>
      </c>
      <c r="L4507" t="s">
        <v>29</v>
      </c>
      <c r="M4507" s="5">
        <v>1</v>
      </c>
      <c r="N4507" s="4">
        <v>0.04</v>
      </c>
      <c r="O4507" t="s">
        <v>47</v>
      </c>
    </row>
    <row r="4508" spans="1:15" x14ac:dyDescent="0.3">
      <c r="A4508" t="s">
        <v>3448</v>
      </c>
      <c r="B4508" s="5">
        <v>58</v>
      </c>
      <c r="C4508" s="5" t="str" cm="1">
        <f t="array" ref="C4508">_xlfn.IFS(worksheet[[#This Row],[age]]&lt;25,"1. Young Adulthood (18-24)",worksheet[[#This Row],[age]]&lt; 35,"2. Early Adulthood (25-34)",worksheet[[#This Row],[age]]&lt; 45,"3. Mid Adulthood (35-44)",worksheet[[#This Row],[age]]&lt; 55,"4. Mature Adulthood (45-54)",TRUE,"5. Late Adulthood/Senior (55+)")</f>
        <v>5. Late Adulthood/Senior (55+)</v>
      </c>
      <c r="D4508" t="s">
        <v>15</v>
      </c>
      <c r="E4508" t="s">
        <v>32</v>
      </c>
      <c r="F4508" s="4">
        <v>12.9</v>
      </c>
      <c r="G4508" s="5">
        <v>38</v>
      </c>
      <c r="H4508" t="s">
        <v>33</v>
      </c>
      <c r="I4508" t="s">
        <v>46</v>
      </c>
      <c r="J4508" s="6">
        <v>17.989999999999998</v>
      </c>
      <c r="K4508">
        <v>0</v>
      </c>
      <c r="L4508" t="s">
        <v>61</v>
      </c>
      <c r="M4508" s="5">
        <v>4</v>
      </c>
      <c r="N4508" s="4">
        <v>0.33</v>
      </c>
      <c r="O4508" t="s">
        <v>39</v>
      </c>
    </row>
    <row r="4509" spans="1:15" x14ac:dyDescent="0.3">
      <c r="A4509" t="s">
        <v>3451</v>
      </c>
      <c r="B4509" s="5">
        <v>69</v>
      </c>
      <c r="C4509" s="5" t="str" cm="1">
        <f t="array" ref="C4509">_xlfn.IFS(worksheet[[#This Row],[age]]&lt;25,"1. Young Adulthood (18-24)",worksheet[[#This Row],[age]]&lt; 35,"2. Early Adulthood (25-34)",worksheet[[#This Row],[age]]&lt; 45,"3. Mid Adulthood (35-44)",worksheet[[#This Row],[age]]&lt; 55,"4. Mature Adulthood (45-54)",TRUE,"5. Late Adulthood/Senior (55+)")</f>
        <v>5. Late Adulthood/Senior (55+)</v>
      </c>
      <c r="D4509" t="s">
        <v>41</v>
      </c>
      <c r="E4509" t="s">
        <v>32</v>
      </c>
      <c r="F4509" s="4">
        <v>0.24</v>
      </c>
      <c r="G4509" s="5">
        <v>20</v>
      </c>
      <c r="H4509" t="s">
        <v>33</v>
      </c>
      <c r="I4509" t="s">
        <v>18</v>
      </c>
      <c r="J4509" s="6">
        <v>17.989999999999998</v>
      </c>
      <c r="K4509">
        <v>1</v>
      </c>
      <c r="L4509" t="s">
        <v>19</v>
      </c>
      <c r="M4509" s="5">
        <v>1</v>
      </c>
      <c r="N4509" s="4">
        <v>0.01</v>
      </c>
      <c r="O4509" t="s">
        <v>25</v>
      </c>
    </row>
    <row r="4510" spans="1:15" x14ac:dyDescent="0.3">
      <c r="A4510" t="s">
        <v>3452</v>
      </c>
      <c r="B4510" s="5">
        <v>68</v>
      </c>
      <c r="C4510" s="5" t="str" cm="1">
        <f t="array" ref="C4510">_xlfn.IFS(worksheet[[#This Row],[age]]&lt;25,"1. Young Adulthood (18-24)",worksheet[[#This Row],[age]]&lt; 35,"2. Early Adulthood (25-34)",worksheet[[#This Row],[age]]&lt; 45,"3. Mid Adulthood (35-44)",worksheet[[#This Row],[age]]&lt; 55,"4. Mature Adulthood (45-54)",TRUE,"5. Late Adulthood/Senior (55+)")</f>
        <v>5. Late Adulthood/Senior (55+)</v>
      </c>
      <c r="D4510" t="s">
        <v>41</v>
      </c>
      <c r="E4510" t="s">
        <v>32</v>
      </c>
      <c r="F4510" s="4">
        <v>18.88</v>
      </c>
      <c r="G4510" s="5">
        <v>34</v>
      </c>
      <c r="H4510" t="s">
        <v>28</v>
      </c>
      <c r="I4510" t="s">
        <v>18</v>
      </c>
      <c r="J4510" s="6">
        <v>17.989999999999998</v>
      </c>
      <c r="K4510">
        <v>0</v>
      </c>
      <c r="L4510" t="s">
        <v>43</v>
      </c>
      <c r="M4510" s="5">
        <v>4</v>
      </c>
      <c r="N4510" s="4">
        <v>0.54</v>
      </c>
      <c r="O4510" t="s">
        <v>34</v>
      </c>
    </row>
    <row r="4511" spans="1:15" x14ac:dyDescent="0.3">
      <c r="A4511" t="s">
        <v>3454</v>
      </c>
      <c r="B4511" s="5">
        <v>67</v>
      </c>
      <c r="C4511" s="5" t="str" cm="1">
        <f t="array" ref="C4511">_xlfn.IFS(worksheet[[#This Row],[age]]&lt;25,"1. Young Adulthood (18-24)",worksheet[[#This Row],[age]]&lt; 35,"2. Early Adulthood (25-34)",worksheet[[#This Row],[age]]&lt; 45,"3. Mid Adulthood (35-44)",worksheet[[#This Row],[age]]&lt; 55,"4. Mature Adulthood (45-54)",TRUE,"5. Late Adulthood/Senior (55+)")</f>
        <v>5. Late Adulthood/Senior (55+)</v>
      </c>
      <c r="D4511" t="s">
        <v>15</v>
      </c>
      <c r="E4511" t="s">
        <v>32</v>
      </c>
      <c r="F4511" s="4">
        <v>8.2799999999999994</v>
      </c>
      <c r="G4511" s="5">
        <v>59</v>
      </c>
      <c r="H4511" t="s">
        <v>49</v>
      </c>
      <c r="I4511" t="s">
        <v>18</v>
      </c>
      <c r="J4511" s="6">
        <v>17.989999999999998</v>
      </c>
      <c r="K4511">
        <v>1</v>
      </c>
      <c r="L4511" t="s">
        <v>19</v>
      </c>
      <c r="M4511" s="5">
        <v>3</v>
      </c>
      <c r="N4511" s="4">
        <v>0.14000000000000001</v>
      </c>
      <c r="O4511" t="s">
        <v>52</v>
      </c>
    </row>
    <row r="4512" spans="1:15" x14ac:dyDescent="0.3">
      <c r="A4512" t="s">
        <v>3460</v>
      </c>
      <c r="B4512" s="5">
        <v>60</v>
      </c>
      <c r="C4512" s="5" t="str" cm="1">
        <f t="array" ref="C4512">_xlfn.IFS(worksheet[[#This Row],[age]]&lt;25,"1. Young Adulthood (18-24)",worksheet[[#This Row],[age]]&lt; 35,"2. Early Adulthood (25-34)",worksheet[[#This Row],[age]]&lt; 45,"3. Mid Adulthood (35-44)",worksheet[[#This Row],[age]]&lt; 55,"4. Mature Adulthood (45-54)",TRUE,"5. Late Adulthood/Senior (55+)")</f>
        <v>5. Late Adulthood/Senior (55+)</v>
      </c>
      <c r="D4512" t="s">
        <v>27</v>
      </c>
      <c r="E4512" t="s">
        <v>16</v>
      </c>
      <c r="F4512" s="4">
        <v>21.66</v>
      </c>
      <c r="G4512" s="5">
        <v>11</v>
      </c>
      <c r="H4512" t="s">
        <v>49</v>
      </c>
      <c r="I4512" t="s">
        <v>55</v>
      </c>
      <c r="J4512" s="6">
        <v>8.99</v>
      </c>
      <c r="K4512">
        <v>0</v>
      </c>
      <c r="L4512" t="s">
        <v>29</v>
      </c>
      <c r="M4512" s="5">
        <v>2</v>
      </c>
      <c r="N4512" s="4">
        <v>1.8</v>
      </c>
      <c r="O4512" t="s">
        <v>47</v>
      </c>
    </row>
    <row r="4513" spans="1:15" x14ac:dyDescent="0.3">
      <c r="A4513" t="s">
        <v>3464</v>
      </c>
      <c r="B4513" s="5">
        <v>69</v>
      </c>
      <c r="C4513" s="5" t="str" cm="1">
        <f t="array" ref="C4513">_xlfn.IFS(worksheet[[#This Row],[age]]&lt;25,"1. Young Adulthood (18-24)",worksheet[[#This Row],[age]]&lt; 35,"2. Early Adulthood (25-34)",worksheet[[#This Row],[age]]&lt; 45,"3. Mid Adulthood (35-44)",worksheet[[#This Row],[age]]&lt; 55,"4. Mature Adulthood (45-54)",TRUE,"5. Late Adulthood/Senior (55+)")</f>
        <v>5. Late Adulthood/Senior (55+)</v>
      </c>
      <c r="D4513" t="s">
        <v>15</v>
      </c>
      <c r="E4513" t="s">
        <v>32</v>
      </c>
      <c r="F4513" s="4">
        <v>32.54</v>
      </c>
      <c r="G4513" s="5">
        <v>45</v>
      </c>
      <c r="H4513" t="s">
        <v>49</v>
      </c>
      <c r="I4513" t="s">
        <v>57</v>
      </c>
      <c r="J4513" s="6">
        <v>17.989999999999998</v>
      </c>
      <c r="K4513">
        <v>0</v>
      </c>
      <c r="L4513" t="s">
        <v>29</v>
      </c>
      <c r="M4513" s="5">
        <v>4</v>
      </c>
      <c r="N4513" s="4">
        <v>0.71</v>
      </c>
      <c r="O4513" t="s">
        <v>52</v>
      </c>
    </row>
    <row r="4514" spans="1:15" x14ac:dyDescent="0.3">
      <c r="A4514" t="s">
        <v>3469</v>
      </c>
      <c r="B4514" s="5">
        <v>62</v>
      </c>
      <c r="C4514" s="5" t="str" cm="1">
        <f t="array" ref="C4514">_xlfn.IFS(worksheet[[#This Row],[age]]&lt;25,"1. Young Adulthood (18-24)",worksheet[[#This Row],[age]]&lt; 35,"2. Early Adulthood (25-34)",worksheet[[#This Row],[age]]&lt; 45,"3. Mid Adulthood (35-44)",worksheet[[#This Row],[age]]&lt; 55,"4. Mature Adulthood (45-54)",TRUE,"5. Late Adulthood/Senior (55+)")</f>
        <v>5. Late Adulthood/Senior (55+)</v>
      </c>
      <c r="D4514" t="s">
        <v>27</v>
      </c>
      <c r="E4514" t="s">
        <v>16</v>
      </c>
      <c r="F4514" s="4">
        <v>5.64</v>
      </c>
      <c r="G4514" s="5">
        <v>36</v>
      </c>
      <c r="H4514" t="s">
        <v>23</v>
      </c>
      <c r="I4514" t="s">
        <v>57</v>
      </c>
      <c r="J4514" s="6">
        <v>8.99</v>
      </c>
      <c r="K4514">
        <v>1</v>
      </c>
      <c r="L4514" t="s">
        <v>19</v>
      </c>
      <c r="M4514" s="5">
        <v>5</v>
      </c>
      <c r="N4514" s="4">
        <v>0.15</v>
      </c>
      <c r="O4514" t="s">
        <v>34</v>
      </c>
    </row>
    <row r="4515" spans="1:15" x14ac:dyDescent="0.3">
      <c r="A4515" t="s">
        <v>3471</v>
      </c>
      <c r="B4515" s="5">
        <v>64</v>
      </c>
      <c r="C4515" s="5" t="str" cm="1">
        <f t="array" ref="C4515">_xlfn.IFS(worksheet[[#This Row],[age]]&lt;25,"1. Young Adulthood (18-24)",worksheet[[#This Row],[age]]&lt; 35,"2. Early Adulthood (25-34)",worksheet[[#This Row],[age]]&lt; 45,"3. Mid Adulthood (35-44)",worksheet[[#This Row],[age]]&lt; 55,"4. Mature Adulthood (45-54)",TRUE,"5. Late Adulthood/Senior (55+)")</f>
        <v>5. Late Adulthood/Senior (55+)</v>
      </c>
      <c r="D4515" t="s">
        <v>41</v>
      </c>
      <c r="E4515" t="s">
        <v>32</v>
      </c>
      <c r="F4515" s="4">
        <v>0.01</v>
      </c>
      <c r="G4515" s="5">
        <v>16</v>
      </c>
      <c r="H4515" t="s">
        <v>17</v>
      </c>
      <c r="I4515" t="s">
        <v>18</v>
      </c>
      <c r="J4515" s="6">
        <v>17.989999999999998</v>
      </c>
      <c r="K4515">
        <v>0</v>
      </c>
      <c r="L4515" t="s">
        <v>43</v>
      </c>
      <c r="M4515" s="5">
        <v>5</v>
      </c>
      <c r="N4515" s="4">
        <v>0</v>
      </c>
      <c r="O4515" t="s">
        <v>34</v>
      </c>
    </row>
    <row r="4516" spans="1:15" x14ac:dyDescent="0.3">
      <c r="A4516" t="s">
        <v>3472</v>
      </c>
      <c r="B4516" s="5">
        <v>58</v>
      </c>
      <c r="C4516" s="5" t="str" cm="1">
        <f t="array" ref="C4516">_xlfn.IFS(worksheet[[#This Row],[age]]&lt;25,"1. Young Adulthood (18-24)",worksheet[[#This Row],[age]]&lt; 35,"2. Early Adulthood (25-34)",worksheet[[#This Row],[age]]&lt; 45,"3. Mid Adulthood (35-44)",worksheet[[#This Row],[age]]&lt; 55,"4. Mature Adulthood (45-54)",TRUE,"5. Late Adulthood/Senior (55+)")</f>
        <v>5. Late Adulthood/Senior (55+)</v>
      </c>
      <c r="D4516" t="s">
        <v>41</v>
      </c>
      <c r="E4516" t="s">
        <v>32</v>
      </c>
      <c r="F4516" s="4">
        <v>2.83</v>
      </c>
      <c r="G4516" s="5">
        <v>58</v>
      </c>
      <c r="H4516" t="s">
        <v>70</v>
      </c>
      <c r="I4516" t="s">
        <v>18</v>
      </c>
      <c r="J4516" s="6">
        <v>17.989999999999998</v>
      </c>
      <c r="K4516">
        <v>1</v>
      </c>
      <c r="L4516" t="s">
        <v>19</v>
      </c>
      <c r="M4516" s="5">
        <v>4</v>
      </c>
      <c r="N4516" s="4">
        <v>0.05</v>
      </c>
      <c r="O4516" t="s">
        <v>39</v>
      </c>
    </row>
    <row r="4517" spans="1:15" x14ac:dyDescent="0.3">
      <c r="A4517" t="s">
        <v>3474</v>
      </c>
      <c r="B4517" s="5">
        <v>59</v>
      </c>
      <c r="C4517" s="5" t="str" cm="1">
        <f t="array" ref="C4517">_xlfn.IFS(worksheet[[#This Row],[age]]&lt;25,"1. Young Adulthood (18-24)",worksheet[[#This Row],[age]]&lt; 35,"2. Early Adulthood (25-34)",worksheet[[#This Row],[age]]&lt; 45,"3. Mid Adulthood (35-44)",worksheet[[#This Row],[age]]&lt; 55,"4. Mature Adulthood (45-54)",TRUE,"5. Late Adulthood/Senior (55+)")</f>
        <v>5. Late Adulthood/Senior (55+)</v>
      </c>
      <c r="D4517" t="s">
        <v>27</v>
      </c>
      <c r="E4517" t="s">
        <v>22</v>
      </c>
      <c r="F4517" s="4">
        <v>30.59</v>
      </c>
      <c r="G4517" s="5">
        <v>37</v>
      </c>
      <c r="H4517" t="s">
        <v>28</v>
      </c>
      <c r="I4517" t="s">
        <v>57</v>
      </c>
      <c r="J4517" s="6">
        <v>13.99</v>
      </c>
      <c r="K4517">
        <v>0</v>
      </c>
      <c r="L4517" t="s">
        <v>43</v>
      </c>
      <c r="M4517" s="5">
        <v>1</v>
      </c>
      <c r="N4517" s="4">
        <v>0.81</v>
      </c>
      <c r="O4517" t="s">
        <v>47</v>
      </c>
    </row>
    <row r="4518" spans="1:15" x14ac:dyDescent="0.3">
      <c r="A4518" t="s">
        <v>3476</v>
      </c>
      <c r="B4518" s="5">
        <v>60</v>
      </c>
      <c r="C4518" s="5" t="str" cm="1">
        <f t="array" ref="C4518">_xlfn.IFS(worksheet[[#This Row],[age]]&lt;25,"1. Young Adulthood (18-24)",worksheet[[#This Row],[age]]&lt; 35,"2. Early Adulthood (25-34)",worksheet[[#This Row],[age]]&lt; 45,"3. Mid Adulthood (35-44)",worksheet[[#This Row],[age]]&lt; 55,"4. Mature Adulthood (45-54)",TRUE,"5. Late Adulthood/Senior (55+)")</f>
        <v>5. Late Adulthood/Senior (55+)</v>
      </c>
      <c r="D4518" t="s">
        <v>27</v>
      </c>
      <c r="E4518" t="s">
        <v>32</v>
      </c>
      <c r="F4518" s="4">
        <v>3.92</v>
      </c>
      <c r="G4518" s="5">
        <v>7</v>
      </c>
      <c r="H4518" t="s">
        <v>70</v>
      </c>
      <c r="I4518" t="s">
        <v>18</v>
      </c>
      <c r="J4518" s="6">
        <v>17.989999999999998</v>
      </c>
      <c r="K4518">
        <v>1</v>
      </c>
      <c r="L4518" t="s">
        <v>29</v>
      </c>
      <c r="M4518" s="5">
        <v>2</v>
      </c>
      <c r="N4518" s="4">
        <v>0.49</v>
      </c>
      <c r="O4518" t="s">
        <v>47</v>
      </c>
    </row>
    <row r="4519" spans="1:15" x14ac:dyDescent="0.3">
      <c r="A4519" t="s">
        <v>3477</v>
      </c>
      <c r="B4519" s="5">
        <v>65</v>
      </c>
      <c r="C4519" s="5" t="str" cm="1">
        <f t="array" ref="C4519">_xlfn.IFS(worksheet[[#This Row],[age]]&lt;25,"1. Young Adulthood (18-24)",worksheet[[#This Row],[age]]&lt; 35,"2. Early Adulthood (25-34)",worksheet[[#This Row],[age]]&lt; 45,"3. Mid Adulthood (35-44)",worksheet[[#This Row],[age]]&lt; 55,"4. Mature Adulthood (45-54)",TRUE,"5. Late Adulthood/Senior (55+)")</f>
        <v>5. Late Adulthood/Senior (55+)</v>
      </c>
      <c r="D4519" t="s">
        <v>27</v>
      </c>
      <c r="E4519" t="s">
        <v>16</v>
      </c>
      <c r="F4519" s="4">
        <v>4.12</v>
      </c>
      <c r="G4519" s="5">
        <v>9</v>
      </c>
      <c r="H4519" t="s">
        <v>49</v>
      </c>
      <c r="I4519" t="s">
        <v>57</v>
      </c>
      <c r="J4519" s="6">
        <v>8.99</v>
      </c>
      <c r="K4519">
        <v>1</v>
      </c>
      <c r="L4519" t="s">
        <v>61</v>
      </c>
      <c r="M4519" s="5">
        <v>5</v>
      </c>
      <c r="N4519" s="4">
        <v>0.41</v>
      </c>
      <c r="O4519" t="s">
        <v>39</v>
      </c>
    </row>
    <row r="4520" spans="1:15" x14ac:dyDescent="0.3">
      <c r="A4520" t="s">
        <v>3485</v>
      </c>
      <c r="B4520" s="5">
        <v>59</v>
      </c>
      <c r="C4520" s="5" t="str" cm="1">
        <f t="array" ref="C4520">_xlfn.IFS(worksheet[[#This Row],[age]]&lt;25,"1. Young Adulthood (18-24)",worksheet[[#This Row],[age]]&lt; 35,"2. Early Adulthood (25-34)",worksheet[[#This Row],[age]]&lt; 45,"3. Mid Adulthood (35-44)",worksheet[[#This Row],[age]]&lt; 55,"4. Mature Adulthood (45-54)",TRUE,"5. Late Adulthood/Senior (55+)")</f>
        <v>5. Late Adulthood/Senior (55+)</v>
      </c>
      <c r="D4520" t="s">
        <v>27</v>
      </c>
      <c r="E4520" t="s">
        <v>16</v>
      </c>
      <c r="F4520" s="4">
        <v>19.32</v>
      </c>
      <c r="G4520" s="5">
        <v>36</v>
      </c>
      <c r="H4520" t="s">
        <v>70</v>
      </c>
      <c r="I4520" t="s">
        <v>57</v>
      </c>
      <c r="J4520" s="6">
        <v>8.99</v>
      </c>
      <c r="K4520">
        <v>1</v>
      </c>
      <c r="L4520" t="s">
        <v>43</v>
      </c>
      <c r="M4520" s="5">
        <v>3</v>
      </c>
      <c r="N4520" s="4">
        <v>0.52</v>
      </c>
      <c r="O4520" t="s">
        <v>47</v>
      </c>
    </row>
    <row r="4521" spans="1:15" x14ac:dyDescent="0.3">
      <c r="A4521" t="s">
        <v>3486</v>
      </c>
      <c r="B4521" s="5">
        <v>64</v>
      </c>
      <c r="C4521" s="5" t="str" cm="1">
        <f t="array" ref="C4521">_xlfn.IFS(worksheet[[#This Row],[age]]&lt;25,"1. Young Adulthood (18-24)",worksheet[[#This Row],[age]]&lt; 35,"2. Early Adulthood (25-34)",worksheet[[#This Row],[age]]&lt; 45,"3. Mid Adulthood (35-44)",worksheet[[#This Row],[age]]&lt; 55,"4. Mature Adulthood (45-54)",TRUE,"5. Late Adulthood/Senior (55+)")</f>
        <v>5. Late Adulthood/Senior (55+)</v>
      </c>
      <c r="D4521" t="s">
        <v>27</v>
      </c>
      <c r="E4521" t="s">
        <v>22</v>
      </c>
      <c r="F4521" s="4">
        <v>8.5299999999999994</v>
      </c>
      <c r="G4521" s="5">
        <v>48</v>
      </c>
      <c r="H4521" t="s">
        <v>70</v>
      </c>
      <c r="I4521" t="s">
        <v>57</v>
      </c>
      <c r="J4521" s="6">
        <v>13.99</v>
      </c>
      <c r="K4521">
        <v>0</v>
      </c>
      <c r="L4521" t="s">
        <v>37</v>
      </c>
      <c r="M4521" s="5">
        <v>4</v>
      </c>
      <c r="N4521" s="4">
        <v>0.17</v>
      </c>
      <c r="O4521" t="s">
        <v>39</v>
      </c>
    </row>
    <row r="4522" spans="1:15" x14ac:dyDescent="0.3">
      <c r="A4522" t="s">
        <v>3488</v>
      </c>
      <c r="B4522" s="5">
        <v>57</v>
      </c>
      <c r="C4522" s="5" t="str" cm="1">
        <f t="array" ref="C4522">_xlfn.IFS(worksheet[[#This Row],[age]]&lt;25,"1. Young Adulthood (18-24)",worksheet[[#This Row],[age]]&lt; 35,"2. Early Adulthood (25-34)",worksheet[[#This Row],[age]]&lt; 45,"3. Mid Adulthood (35-44)",worksheet[[#This Row],[age]]&lt; 55,"4. Mature Adulthood (45-54)",TRUE,"5. Late Adulthood/Senior (55+)")</f>
        <v>5. Late Adulthood/Senior (55+)</v>
      </c>
      <c r="D4522" t="s">
        <v>41</v>
      </c>
      <c r="E4522" t="s">
        <v>16</v>
      </c>
      <c r="F4522" s="4">
        <v>4.3499999999999996</v>
      </c>
      <c r="G4522" s="5">
        <v>39</v>
      </c>
      <c r="H4522" t="s">
        <v>49</v>
      </c>
      <c r="I4522" t="s">
        <v>46</v>
      </c>
      <c r="J4522" s="6">
        <v>8.99</v>
      </c>
      <c r="K4522">
        <v>1</v>
      </c>
      <c r="L4522" t="s">
        <v>37</v>
      </c>
      <c r="M4522" s="5">
        <v>1</v>
      </c>
      <c r="N4522" s="4">
        <v>0.11</v>
      </c>
      <c r="O4522" t="s">
        <v>20</v>
      </c>
    </row>
    <row r="4523" spans="1:15" x14ac:dyDescent="0.3">
      <c r="A4523" t="s">
        <v>3490</v>
      </c>
      <c r="B4523" s="5">
        <v>65</v>
      </c>
      <c r="C4523" s="5" t="str" cm="1">
        <f t="array" ref="C4523">_xlfn.IFS(worksheet[[#This Row],[age]]&lt;25,"1. Young Adulthood (18-24)",worksheet[[#This Row],[age]]&lt; 35,"2. Early Adulthood (25-34)",worksheet[[#This Row],[age]]&lt; 45,"3. Mid Adulthood (35-44)",worksheet[[#This Row],[age]]&lt; 55,"4. Mature Adulthood (45-54)",TRUE,"5. Late Adulthood/Senior (55+)")</f>
        <v>5. Late Adulthood/Senior (55+)</v>
      </c>
      <c r="D4523" t="s">
        <v>27</v>
      </c>
      <c r="E4523" t="s">
        <v>16</v>
      </c>
      <c r="F4523" s="4">
        <v>2.39</v>
      </c>
      <c r="G4523" s="5">
        <v>26</v>
      </c>
      <c r="H4523" t="s">
        <v>23</v>
      </c>
      <c r="I4523" t="s">
        <v>24</v>
      </c>
      <c r="J4523" s="6">
        <v>8.99</v>
      </c>
      <c r="K4523">
        <v>1</v>
      </c>
      <c r="L4523" t="s">
        <v>19</v>
      </c>
      <c r="M4523" s="5">
        <v>3</v>
      </c>
      <c r="N4523" s="4">
        <v>0.09</v>
      </c>
      <c r="O4523" t="s">
        <v>34</v>
      </c>
    </row>
    <row r="4524" spans="1:15" x14ac:dyDescent="0.3">
      <c r="A4524" t="s">
        <v>3492</v>
      </c>
      <c r="B4524" s="5">
        <v>66</v>
      </c>
      <c r="C4524" s="5" t="str" cm="1">
        <f t="array" ref="C4524">_xlfn.IFS(worksheet[[#This Row],[age]]&lt;25,"1. Young Adulthood (18-24)",worksheet[[#This Row],[age]]&lt; 35,"2. Early Adulthood (25-34)",worksheet[[#This Row],[age]]&lt; 45,"3. Mid Adulthood (35-44)",worksheet[[#This Row],[age]]&lt; 55,"4. Mature Adulthood (45-54)",TRUE,"5. Late Adulthood/Senior (55+)")</f>
        <v>5. Late Adulthood/Senior (55+)</v>
      </c>
      <c r="D4524" t="s">
        <v>15</v>
      </c>
      <c r="E4524" t="s">
        <v>22</v>
      </c>
      <c r="F4524" s="4">
        <v>16.52</v>
      </c>
      <c r="G4524" s="5">
        <v>56</v>
      </c>
      <c r="H4524" t="s">
        <v>28</v>
      </c>
      <c r="I4524" t="s">
        <v>55</v>
      </c>
      <c r="J4524" s="6">
        <v>13.99</v>
      </c>
      <c r="K4524">
        <v>1</v>
      </c>
      <c r="L4524" t="s">
        <v>19</v>
      </c>
      <c r="M4524" s="5">
        <v>5</v>
      </c>
      <c r="N4524" s="4">
        <v>0.28999999999999998</v>
      </c>
      <c r="O4524" t="s">
        <v>25</v>
      </c>
    </row>
    <row r="4525" spans="1:15" x14ac:dyDescent="0.3">
      <c r="A4525" t="s">
        <v>3493</v>
      </c>
      <c r="B4525" s="5">
        <v>69</v>
      </c>
      <c r="C4525" s="5" t="str" cm="1">
        <f t="array" ref="C4525">_xlfn.IFS(worksheet[[#This Row],[age]]&lt;25,"1. Young Adulthood (18-24)",worksheet[[#This Row],[age]]&lt; 35,"2. Early Adulthood (25-34)",worksheet[[#This Row],[age]]&lt; 45,"3. Mid Adulthood (35-44)",worksheet[[#This Row],[age]]&lt; 55,"4. Mature Adulthood (45-54)",TRUE,"5. Late Adulthood/Senior (55+)")</f>
        <v>5. Late Adulthood/Senior (55+)</v>
      </c>
      <c r="D4525" t="s">
        <v>15</v>
      </c>
      <c r="E4525" t="s">
        <v>22</v>
      </c>
      <c r="F4525" s="4">
        <v>8.57</v>
      </c>
      <c r="G4525" s="5">
        <v>40</v>
      </c>
      <c r="H4525" t="s">
        <v>33</v>
      </c>
      <c r="I4525" t="s">
        <v>57</v>
      </c>
      <c r="J4525" s="6">
        <v>13.99</v>
      </c>
      <c r="K4525">
        <v>1</v>
      </c>
      <c r="L4525" t="s">
        <v>43</v>
      </c>
      <c r="M4525" s="5">
        <v>3</v>
      </c>
      <c r="N4525" s="4">
        <v>0.21</v>
      </c>
      <c r="O4525" t="s">
        <v>30</v>
      </c>
    </row>
    <row r="4526" spans="1:15" x14ac:dyDescent="0.3">
      <c r="A4526" t="s">
        <v>3495</v>
      </c>
      <c r="B4526" s="5">
        <v>63</v>
      </c>
      <c r="C4526" s="5" t="str" cm="1">
        <f t="array" ref="C4526">_xlfn.IFS(worksheet[[#This Row],[age]]&lt;25,"1. Young Adulthood (18-24)",worksheet[[#This Row],[age]]&lt; 35,"2. Early Adulthood (25-34)",worksheet[[#This Row],[age]]&lt; 45,"3. Mid Adulthood (35-44)",worksheet[[#This Row],[age]]&lt; 55,"4. Mature Adulthood (45-54)",TRUE,"5. Late Adulthood/Senior (55+)")</f>
        <v>5. Late Adulthood/Senior (55+)</v>
      </c>
      <c r="D4526" t="s">
        <v>27</v>
      </c>
      <c r="E4526" t="s">
        <v>16</v>
      </c>
      <c r="F4526" s="4">
        <v>15.81</v>
      </c>
      <c r="G4526" s="5">
        <v>9</v>
      </c>
      <c r="H4526" t="s">
        <v>23</v>
      </c>
      <c r="I4526" t="s">
        <v>24</v>
      </c>
      <c r="J4526" s="6">
        <v>8.99</v>
      </c>
      <c r="K4526">
        <v>0</v>
      </c>
      <c r="L4526" t="s">
        <v>43</v>
      </c>
      <c r="M4526" s="5">
        <v>3</v>
      </c>
      <c r="N4526" s="4">
        <v>1.58</v>
      </c>
      <c r="O4526" t="s">
        <v>47</v>
      </c>
    </row>
    <row r="4527" spans="1:15" x14ac:dyDescent="0.3">
      <c r="A4527" t="s">
        <v>3499</v>
      </c>
      <c r="B4527" s="5">
        <v>67</v>
      </c>
      <c r="C4527" s="5" t="str" cm="1">
        <f t="array" ref="C4527">_xlfn.IFS(worksheet[[#This Row],[age]]&lt;25,"1. Young Adulthood (18-24)",worksheet[[#This Row],[age]]&lt; 35,"2. Early Adulthood (25-34)",worksheet[[#This Row],[age]]&lt; 45,"3. Mid Adulthood (35-44)",worksheet[[#This Row],[age]]&lt; 55,"4. Mature Adulthood (45-54)",TRUE,"5. Late Adulthood/Senior (55+)")</f>
        <v>5. Late Adulthood/Senior (55+)</v>
      </c>
      <c r="D4527" t="s">
        <v>27</v>
      </c>
      <c r="E4527" t="s">
        <v>22</v>
      </c>
      <c r="F4527" s="4">
        <v>10.88</v>
      </c>
      <c r="G4527" s="5">
        <v>30</v>
      </c>
      <c r="H4527" t="s">
        <v>49</v>
      </c>
      <c r="I4527" t="s">
        <v>18</v>
      </c>
      <c r="J4527" s="6">
        <v>13.99</v>
      </c>
      <c r="K4527">
        <v>0</v>
      </c>
      <c r="L4527" t="s">
        <v>19</v>
      </c>
      <c r="M4527" s="5">
        <v>5</v>
      </c>
      <c r="N4527" s="4">
        <v>0.35</v>
      </c>
      <c r="O4527" t="s">
        <v>39</v>
      </c>
    </row>
    <row r="4528" spans="1:15" x14ac:dyDescent="0.3">
      <c r="A4528" t="s">
        <v>3500</v>
      </c>
      <c r="B4528" s="5">
        <v>70</v>
      </c>
      <c r="C4528" s="5" t="str" cm="1">
        <f t="array" ref="C4528">_xlfn.IFS(worksheet[[#This Row],[age]]&lt;25,"1. Young Adulthood (18-24)",worksheet[[#This Row],[age]]&lt; 35,"2. Early Adulthood (25-34)",worksheet[[#This Row],[age]]&lt; 45,"3. Mid Adulthood (35-44)",worksheet[[#This Row],[age]]&lt; 55,"4. Mature Adulthood (45-54)",TRUE,"5. Late Adulthood/Senior (55+)")</f>
        <v>5. Late Adulthood/Senior (55+)</v>
      </c>
      <c r="D4528" t="s">
        <v>15</v>
      </c>
      <c r="E4528" t="s">
        <v>16</v>
      </c>
      <c r="F4528" s="4">
        <v>5.74</v>
      </c>
      <c r="G4528" s="5">
        <v>48</v>
      </c>
      <c r="H4528" t="s">
        <v>49</v>
      </c>
      <c r="I4528" t="s">
        <v>18</v>
      </c>
      <c r="J4528" s="6">
        <v>8.99</v>
      </c>
      <c r="K4528">
        <v>1</v>
      </c>
      <c r="L4528" t="s">
        <v>19</v>
      </c>
      <c r="M4528" s="5">
        <v>5</v>
      </c>
      <c r="N4528" s="4">
        <v>0.12</v>
      </c>
      <c r="O4528" t="s">
        <v>47</v>
      </c>
    </row>
    <row r="4529" spans="1:15" x14ac:dyDescent="0.3">
      <c r="A4529" t="s">
        <v>3505</v>
      </c>
      <c r="B4529" s="5">
        <v>62</v>
      </c>
      <c r="C4529" s="5" t="str" cm="1">
        <f t="array" ref="C4529">_xlfn.IFS(worksheet[[#This Row],[age]]&lt;25,"1. Young Adulthood (18-24)",worksheet[[#This Row],[age]]&lt; 35,"2. Early Adulthood (25-34)",worksheet[[#This Row],[age]]&lt; 45,"3. Mid Adulthood (35-44)",worksheet[[#This Row],[age]]&lt; 55,"4. Mature Adulthood (45-54)",TRUE,"5. Late Adulthood/Senior (55+)")</f>
        <v>5. Late Adulthood/Senior (55+)</v>
      </c>
      <c r="D4529" t="s">
        <v>27</v>
      </c>
      <c r="E4529" t="s">
        <v>22</v>
      </c>
      <c r="F4529" s="4">
        <v>35.130000000000003</v>
      </c>
      <c r="G4529" s="5">
        <v>4</v>
      </c>
      <c r="H4529" t="s">
        <v>23</v>
      </c>
      <c r="I4529" t="s">
        <v>55</v>
      </c>
      <c r="J4529" s="6">
        <v>13.99</v>
      </c>
      <c r="K4529">
        <v>0</v>
      </c>
      <c r="L4529" t="s">
        <v>29</v>
      </c>
      <c r="M4529" s="5">
        <v>4</v>
      </c>
      <c r="N4529" s="4">
        <v>7.03</v>
      </c>
      <c r="O4529" t="s">
        <v>47</v>
      </c>
    </row>
    <row r="4530" spans="1:15" x14ac:dyDescent="0.3">
      <c r="A4530" t="s">
        <v>3513</v>
      </c>
      <c r="B4530" s="5">
        <v>56</v>
      </c>
      <c r="C4530" s="5" t="str" cm="1">
        <f t="array" ref="C4530">_xlfn.IFS(worksheet[[#This Row],[age]]&lt;25,"1. Young Adulthood (18-24)",worksheet[[#This Row],[age]]&lt; 35,"2. Early Adulthood (25-34)",worksheet[[#This Row],[age]]&lt; 45,"3. Mid Adulthood (35-44)",worksheet[[#This Row],[age]]&lt; 55,"4. Mature Adulthood (45-54)",TRUE,"5. Late Adulthood/Senior (55+)")</f>
        <v>5. Late Adulthood/Senior (55+)</v>
      </c>
      <c r="D4530" t="s">
        <v>15</v>
      </c>
      <c r="E4530" t="s">
        <v>16</v>
      </c>
      <c r="F4530" s="4">
        <v>29</v>
      </c>
      <c r="G4530" s="5">
        <v>23</v>
      </c>
      <c r="H4530" t="s">
        <v>33</v>
      </c>
      <c r="I4530" t="s">
        <v>57</v>
      </c>
      <c r="J4530" s="6">
        <v>8.99</v>
      </c>
      <c r="K4530">
        <v>0</v>
      </c>
      <c r="L4530" t="s">
        <v>19</v>
      </c>
      <c r="M4530" s="5">
        <v>4</v>
      </c>
      <c r="N4530" s="4">
        <v>1.21</v>
      </c>
      <c r="O4530" t="s">
        <v>20</v>
      </c>
    </row>
    <row r="4531" spans="1:15" x14ac:dyDescent="0.3">
      <c r="A4531" t="s">
        <v>3515</v>
      </c>
      <c r="B4531" s="5">
        <v>62</v>
      </c>
      <c r="C4531" s="5" t="str" cm="1">
        <f t="array" ref="C4531">_xlfn.IFS(worksheet[[#This Row],[age]]&lt;25,"1. Young Adulthood (18-24)",worksheet[[#This Row],[age]]&lt; 35,"2. Early Adulthood (25-34)",worksheet[[#This Row],[age]]&lt; 45,"3. Mid Adulthood (35-44)",worksheet[[#This Row],[age]]&lt; 55,"4. Mature Adulthood (45-54)",TRUE,"5. Late Adulthood/Senior (55+)")</f>
        <v>5. Late Adulthood/Senior (55+)</v>
      </c>
      <c r="D4531" t="s">
        <v>27</v>
      </c>
      <c r="E4531" t="s">
        <v>32</v>
      </c>
      <c r="F4531" s="4">
        <v>5.81</v>
      </c>
      <c r="G4531" s="5">
        <v>29</v>
      </c>
      <c r="H4531" t="s">
        <v>28</v>
      </c>
      <c r="I4531" t="s">
        <v>46</v>
      </c>
      <c r="J4531" s="6">
        <v>17.989999999999998</v>
      </c>
      <c r="K4531">
        <v>0</v>
      </c>
      <c r="L4531" t="s">
        <v>43</v>
      </c>
      <c r="M4531" s="5">
        <v>2</v>
      </c>
      <c r="N4531" s="4">
        <v>0.19</v>
      </c>
      <c r="O4531" t="s">
        <v>30</v>
      </c>
    </row>
    <row r="4532" spans="1:15" x14ac:dyDescent="0.3">
      <c r="A4532" t="s">
        <v>3518</v>
      </c>
      <c r="B4532" s="5">
        <v>63</v>
      </c>
      <c r="C4532" s="5" t="str" cm="1">
        <f t="array" ref="C4532">_xlfn.IFS(worksheet[[#This Row],[age]]&lt;25,"1. Young Adulthood (18-24)",worksheet[[#This Row],[age]]&lt; 35,"2. Early Adulthood (25-34)",worksheet[[#This Row],[age]]&lt; 45,"3. Mid Adulthood (35-44)",worksheet[[#This Row],[age]]&lt; 55,"4. Mature Adulthood (45-54)",TRUE,"5. Late Adulthood/Senior (55+)")</f>
        <v>5. Late Adulthood/Senior (55+)</v>
      </c>
      <c r="D4532" t="s">
        <v>27</v>
      </c>
      <c r="E4532" t="s">
        <v>16</v>
      </c>
      <c r="F4532" s="4">
        <v>24.97</v>
      </c>
      <c r="G4532" s="5">
        <v>23</v>
      </c>
      <c r="H4532" t="s">
        <v>49</v>
      </c>
      <c r="I4532" t="s">
        <v>24</v>
      </c>
      <c r="J4532" s="6">
        <v>8.99</v>
      </c>
      <c r="K4532">
        <v>0</v>
      </c>
      <c r="L4532" t="s">
        <v>61</v>
      </c>
      <c r="M4532" s="5">
        <v>1</v>
      </c>
      <c r="N4532" s="4">
        <v>1.04</v>
      </c>
      <c r="O4532" t="s">
        <v>25</v>
      </c>
    </row>
    <row r="4533" spans="1:15" x14ac:dyDescent="0.3">
      <c r="A4533" t="s">
        <v>3526</v>
      </c>
      <c r="B4533" s="5">
        <v>62</v>
      </c>
      <c r="C4533" s="5" t="str" cm="1">
        <f t="array" ref="C4533">_xlfn.IFS(worksheet[[#This Row],[age]]&lt;25,"1. Young Adulthood (18-24)",worksheet[[#This Row],[age]]&lt; 35,"2. Early Adulthood (25-34)",worksheet[[#This Row],[age]]&lt; 45,"3. Mid Adulthood (35-44)",worksheet[[#This Row],[age]]&lt; 55,"4. Mature Adulthood (45-54)",TRUE,"5. Late Adulthood/Senior (55+)")</f>
        <v>5. Late Adulthood/Senior (55+)</v>
      </c>
      <c r="D4533" t="s">
        <v>27</v>
      </c>
      <c r="E4533" t="s">
        <v>32</v>
      </c>
      <c r="F4533" s="4">
        <v>6.17</v>
      </c>
      <c r="G4533" s="5">
        <v>1</v>
      </c>
      <c r="H4533" t="s">
        <v>28</v>
      </c>
      <c r="I4533" t="s">
        <v>18</v>
      </c>
      <c r="J4533" s="6">
        <v>17.989999999999998</v>
      </c>
      <c r="K4533">
        <v>0</v>
      </c>
      <c r="L4533" t="s">
        <v>37</v>
      </c>
      <c r="M4533" s="5">
        <v>2</v>
      </c>
      <c r="N4533" s="4">
        <v>3.08</v>
      </c>
      <c r="O4533" t="s">
        <v>47</v>
      </c>
    </row>
    <row r="4534" spans="1:15" x14ac:dyDescent="0.3">
      <c r="A4534" t="s">
        <v>3528</v>
      </c>
      <c r="B4534" s="5">
        <v>68</v>
      </c>
      <c r="C4534" s="5" t="str" cm="1">
        <f t="array" ref="C4534">_xlfn.IFS(worksheet[[#This Row],[age]]&lt;25,"1. Young Adulthood (18-24)",worksheet[[#This Row],[age]]&lt; 35,"2. Early Adulthood (25-34)",worksheet[[#This Row],[age]]&lt; 45,"3. Mid Adulthood (35-44)",worksheet[[#This Row],[age]]&lt; 55,"4. Mature Adulthood (45-54)",TRUE,"5. Late Adulthood/Senior (55+)")</f>
        <v>5. Late Adulthood/Senior (55+)</v>
      </c>
      <c r="D4534" t="s">
        <v>15</v>
      </c>
      <c r="E4534" t="s">
        <v>32</v>
      </c>
      <c r="F4534" s="4">
        <v>25.21</v>
      </c>
      <c r="G4534" s="5">
        <v>50</v>
      </c>
      <c r="H4534" t="s">
        <v>23</v>
      </c>
      <c r="I4534" t="s">
        <v>24</v>
      </c>
      <c r="J4534" s="6">
        <v>17.989999999999998</v>
      </c>
      <c r="K4534">
        <v>0</v>
      </c>
      <c r="L4534" t="s">
        <v>61</v>
      </c>
      <c r="M4534" s="5">
        <v>4</v>
      </c>
      <c r="N4534" s="4">
        <v>0.49</v>
      </c>
      <c r="O4534" t="s">
        <v>30</v>
      </c>
    </row>
    <row r="4535" spans="1:15" x14ac:dyDescent="0.3">
      <c r="A4535" t="s">
        <v>3529</v>
      </c>
      <c r="B4535" s="5">
        <v>59</v>
      </c>
      <c r="C4535" s="5" t="str" cm="1">
        <f t="array" ref="C4535">_xlfn.IFS(worksheet[[#This Row],[age]]&lt;25,"1. Young Adulthood (18-24)",worksheet[[#This Row],[age]]&lt; 35,"2. Early Adulthood (25-34)",worksheet[[#This Row],[age]]&lt; 45,"3. Mid Adulthood (35-44)",worksheet[[#This Row],[age]]&lt; 55,"4. Mature Adulthood (45-54)",TRUE,"5. Late Adulthood/Senior (55+)")</f>
        <v>5. Late Adulthood/Senior (55+)</v>
      </c>
      <c r="D4535" t="s">
        <v>15</v>
      </c>
      <c r="E4535" t="s">
        <v>32</v>
      </c>
      <c r="F4535" s="4">
        <v>2.4500000000000002</v>
      </c>
      <c r="G4535" s="5">
        <v>51</v>
      </c>
      <c r="H4535" t="s">
        <v>49</v>
      </c>
      <c r="I4535" t="s">
        <v>46</v>
      </c>
      <c r="J4535" s="6">
        <v>17.989999999999998</v>
      </c>
      <c r="K4535">
        <v>1</v>
      </c>
      <c r="L4535" t="s">
        <v>37</v>
      </c>
      <c r="M4535" s="5">
        <v>5</v>
      </c>
      <c r="N4535" s="4">
        <v>0.05</v>
      </c>
      <c r="O4535" t="s">
        <v>20</v>
      </c>
    </row>
    <row r="4536" spans="1:15" x14ac:dyDescent="0.3">
      <c r="A4536" t="s">
        <v>3533</v>
      </c>
      <c r="B4536" s="5">
        <v>64</v>
      </c>
      <c r="C4536" s="5" t="str" cm="1">
        <f t="array" ref="C4536">_xlfn.IFS(worksheet[[#This Row],[age]]&lt;25,"1. Young Adulthood (18-24)",worksheet[[#This Row],[age]]&lt; 35,"2. Early Adulthood (25-34)",worksheet[[#This Row],[age]]&lt; 45,"3. Mid Adulthood (35-44)",worksheet[[#This Row],[age]]&lt; 55,"4. Mature Adulthood (45-54)",TRUE,"5. Late Adulthood/Senior (55+)")</f>
        <v>5. Late Adulthood/Senior (55+)</v>
      </c>
      <c r="D4536" t="s">
        <v>41</v>
      </c>
      <c r="E4536" t="s">
        <v>16</v>
      </c>
      <c r="F4536" s="4">
        <v>22.69</v>
      </c>
      <c r="G4536" s="5">
        <v>43</v>
      </c>
      <c r="H4536" t="s">
        <v>49</v>
      </c>
      <c r="I4536" t="s">
        <v>24</v>
      </c>
      <c r="J4536" s="6">
        <v>8.99</v>
      </c>
      <c r="K4536">
        <v>0</v>
      </c>
      <c r="L4536" t="s">
        <v>43</v>
      </c>
      <c r="M4536" s="5">
        <v>2</v>
      </c>
      <c r="N4536" s="4">
        <v>0.52</v>
      </c>
      <c r="O4536" t="s">
        <v>30</v>
      </c>
    </row>
    <row r="4537" spans="1:15" x14ac:dyDescent="0.3">
      <c r="A4537" t="s">
        <v>3534</v>
      </c>
      <c r="B4537" s="5">
        <v>55</v>
      </c>
      <c r="C4537" s="5" t="str" cm="1">
        <f t="array" ref="C4537">_xlfn.IFS(worksheet[[#This Row],[age]]&lt;25,"1. Young Adulthood (18-24)",worksheet[[#This Row],[age]]&lt; 35,"2. Early Adulthood (25-34)",worksheet[[#This Row],[age]]&lt; 45,"3. Mid Adulthood (35-44)",worksheet[[#This Row],[age]]&lt; 55,"4. Mature Adulthood (45-54)",TRUE,"5. Late Adulthood/Senior (55+)")</f>
        <v>5. Late Adulthood/Senior (55+)</v>
      </c>
      <c r="D4537" t="s">
        <v>41</v>
      </c>
      <c r="E4537" t="s">
        <v>22</v>
      </c>
      <c r="F4537" s="4">
        <v>0.53</v>
      </c>
      <c r="G4537" s="5">
        <v>32</v>
      </c>
      <c r="H4537" t="s">
        <v>28</v>
      </c>
      <c r="I4537" t="s">
        <v>24</v>
      </c>
      <c r="J4537" s="6">
        <v>13.99</v>
      </c>
      <c r="K4537">
        <v>1</v>
      </c>
      <c r="L4537" t="s">
        <v>61</v>
      </c>
      <c r="M4537" s="5">
        <v>5</v>
      </c>
      <c r="N4537" s="4">
        <v>0.02</v>
      </c>
      <c r="O4537" t="s">
        <v>30</v>
      </c>
    </row>
    <row r="4538" spans="1:15" x14ac:dyDescent="0.3">
      <c r="A4538" t="s">
        <v>3535</v>
      </c>
      <c r="B4538" s="5">
        <v>55</v>
      </c>
      <c r="C4538" s="5" t="str" cm="1">
        <f t="array" ref="C4538">_xlfn.IFS(worksheet[[#This Row],[age]]&lt;25,"1. Young Adulthood (18-24)",worksheet[[#This Row],[age]]&lt; 35,"2. Early Adulthood (25-34)",worksheet[[#This Row],[age]]&lt; 45,"3. Mid Adulthood (35-44)",worksheet[[#This Row],[age]]&lt; 55,"4. Mature Adulthood (45-54)",TRUE,"5. Late Adulthood/Senior (55+)")</f>
        <v>5. Late Adulthood/Senior (55+)</v>
      </c>
      <c r="D4538" t="s">
        <v>15</v>
      </c>
      <c r="E4538" t="s">
        <v>16</v>
      </c>
      <c r="F4538" s="4">
        <v>12.26</v>
      </c>
      <c r="G4538" s="5">
        <v>1</v>
      </c>
      <c r="H4538" t="s">
        <v>33</v>
      </c>
      <c r="I4538" t="s">
        <v>55</v>
      </c>
      <c r="J4538" s="6">
        <v>8.99</v>
      </c>
      <c r="K4538">
        <v>0</v>
      </c>
      <c r="L4538" t="s">
        <v>43</v>
      </c>
      <c r="M4538" s="5">
        <v>1</v>
      </c>
      <c r="N4538" s="4">
        <v>6.13</v>
      </c>
      <c r="O4538" t="s">
        <v>47</v>
      </c>
    </row>
    <row r="4539" spans="1:15" x14ac:dyDescent="0.3">
      <c r="A4539" s="1" t="s">
        <v>3536</v>
      </c>
      <c r="B4539" s="5">
        <v>56</v>
      </c>
      <c r="C4539" s="5" t="str" cm="1">
        <f t="array" ref="C4539">_xlfn.IFS(worksheet[[#This Row],[age]]&lt;25,"1. Young Adulthood (18-24)",worksheet[[#This Row],[age]]&lt; 35,"2. Early Adulthood (25-34)",worksheet[[#This Row],[age]]&lt; 45,"3. Mid Adulthood (35-44)",worksheet[[#This Row],[age]]&lt; 55,"4. Mature Adulthood (45-54)",TRUE,"5. Late Adulthood/Senior (55+)")</f>
        <v>5. Late Adulthood/Senior (55+)</v>
      </c>
      <c r="D4539" t="s">
        <v>41</v>
      </c>
      <c r="E4539" t="s">
        <v>22</v>
      </c>
      <c r="F4539" s="4">
        <v>9.9700000000000006</v>
      </c>
      <c r="G4539" s="5">
        <v>10</v>
      </c>
      <c r="H4539" t="s">
        <v>28</v>
      </c>
      <c r="I4539" t="s">
        <v>24</v>
      </c>
      <c r="J4539" s="6">
        <v>13.99</v>
      </c>
      <c r="K4539">
        <v>0</v>
      </c>
      <c r="L4539" t="s">
        <v>61</v>
      </c>
      <c r="M4539" s="5">
        <v>5</v>
      </c>
      <c r="N4539" s="4">
        <v>0.91</v>
      </c>
      <c r="O4539" t="s">
        <v>20</v>
      </c>
    </row>
    <row r="4540" spans="1:15" x14ac:dyDescent="0.3">
      <c r="A4540" t="s">
        <v>3538</v>
      </c>
      <c r="B4540" s="5">
        <v>56</v>
      </c>
      <c r="C4540" s="5" t="str" cm="1">
        <f t="array" ref="C4540">_xlfn.IFS(worksheet[[#This Row],[age]]&lt;25,"1. Young Adulthood (18-24)",worksheet[[#This Row],[age]]&lt; 35,"2. Early Adulthood (25-34)",worksheet[[#This Row],[age]]&lt; 45,"3. Mid Adulthood (35-44)",worksheet[[#This Row],[age]]&lt; 55,"4. Mature Adulthood (45-54)",TRUE,"5. Late Adulthood/Senior (55+)")</f>
        <v>5. Late Adulthood/Senior (55+)</v>
      </c>
      <c r="D4540" t="s">
        <v>15</v>
      </c>
      <c r="E4540" t="s">
        <v>32</v>
      </c>
      <c r="F4540" s="4">
        <v>18.149999999999999</v>
      </c>
      <c r="G4540" s="5">
        <v>40</v>
      </c>
      <c r="H4540" t="s">
        <v>70</v>
      </c>
      <c r="I4540" t="s">
        <v>24</v>
      </c>
      <c r="J4540" s="6">
        <v>17.989999999999998</v>
      </c>
      <c r="K4540">
        <v>0</v>
      </c>
      <c r="L4540" t="s">
        <v>43</v>
      </c>
      <c r="M4540" s="5">
        <v>4</v>
      </c>
      <c r="N4540" s="4">
        <v>0.44</v>
      </c>
      <c r="O4540" t="s">
        <v>30</v>
      </c>
    </row>
    <row r="4541" spans="1:15" x14ac:dyDescent="0.3">
      <c r="A4541" t="s">
        <v>3539</v>
      </c>
      <c r="B4541" s="5">
        <v>63</v>
      </c>
      <c r="C4541" s="5" t="str" cm="1">
        <f t="array" ref="C4541">_xlfn.IFS(worksheet[[#This Row],[age]]&lt;25,"1. Young Adulthood (18-24)",worksheet[[#This Row],[age]]&lt; 35,"2. Early Adulthood (25-34)",worksheet[[#This Row],[age]]&lt; 45,"3. Mid Adulthood (35-44)",worksheet[[#This Row],[age]]&lt; 55,"4. Mature Adulthood (45-54)",TRUE,"5. Late Adulthood/Senior (55+)")</f>
        <v>5. Late Adulthood/Senior (55+)</v>
      </c>
      <c r="D4541" t="s">
        <v>27</v>
      </c>
      <c r="E4541" t="s">
        <v>22</v>
      </c>
      <c r="F4541" s="4">
        <v>32.06</v>
      </c>
      <c r="G4541" s="5">
        <v>24</v>
      </c>
      <c r="H4541" t="s">
        <v>23</v>
      </c>
      <c r="I4541" t="s">
        <v>55</v>
      </c>
      <c r="J4541" s="6">
        <v>13.99</v>
      </c>
      <c r="K4541">
        <v>0</v>
      </c>
      <c r="L4541" t="s">
        <v>37</v>
      </c>
      <c r="M4541" s="5">
        <v>3</v>
      </c>
      <c r="N4541" s="4">
        <v>1.28</v>
      </c>
      <c r="O4541" t="s">
        <v>52</v>
      </c>
    </row>
    <row r="4542" spans="1:15" x14ac:dyDescent="0.3">
      <c r="A4542" t="s">
        <v>3549</v>
      </c>
      <c r="B4542" s="5">
        <v>63</v>
      </c>
      <c r="C4542" s="5" t="str" cm="1">
        <f t="array" ref="C4542">_xlfn.IFS(worksheet[[#This Row],[age]]&lt;25,"1. Young Adulthood (18-24)",worksheet[[#This Row],[age]]&lt; 35,"2. Early Adulthood (25-34)",worksheet[[#This Row],[age]]&lt; 45,"3. Mid Adulthood (35-44)",worksheet[[#This Row],[age]]&lt; 55,"4. Mature Adulthood (45-54)",TRUE,"5. Late Adulthood/Senior (55+)")</f>
        <v>5. Late Adulthood/Senior (55+)</v>
      </c>
      <c r="D4542" t="s">
        <v>27</v>
      </c>
      <c r="E4542" t="s">
        <v>16</v>
      </c>
      <c r="F4542" s="4">
        <v>1.07</v>
      </c>
      <c r="G4542" s="5">
        <v>5</v>
      </c>
      <c r="H4542" t="s">
        <v>49</v>
      </c>
      <c r="I4542" t="s">
        <v>18</v>
      </c>
      <c r="J4542" s="6">
        <v>8.99</v>
      </c>
      <c r="K4542">
        <v>1</v>
      </c>
      <c r="L4542" t="s">
        <v>61</v>
      </c>
      <c r="M4542" s="5">
        <v>4</v>
      </c>
      <c r="N4542" s="4">
        <v>0.18</v>
      </c>
      <c r="O4542" t="s">
        <v>20</v>
      </c>
    </row>
    <row r="4543" spans="1:15" x14ac:dyDescent="0.3">
      <c r="A4543" t="s">
        <v>3550</v>
      </c>
      <c r="B4543" s="5">
        <v>66</v>
      </c>
      <c r="C4543" s="5" t="str" cm="1">
        <f t="array" ref="C4543">_xlfn.IFS(worksheet[[#This Row],[age]]&lt;25,"1. Young Adulthood (18-24)",worksheet[[#This Row],[age]]&lt; 35,"2. Early Adulthood (25-34)",worksheet[[#This Row],[age]]&lt; 45,"3. Mid Adulthood (35-44)",worksheet[[#This Row],[age]]&lt; 55,"4. Mature Adulthood (45-54)",TRUE,"5. Late Adulthood/Senior (55+)")</f>
        <v>5. Late Adulthood/Senior (55+)</v>
      </c>
      <c r="D4543" t="s">
        <v>15</v>
      </c>
      <c r="E4543" t="s">
        <v>22</v>
      </c>
      <c r="F4543" s="4">
        <v>9.8800000000000008</v>
      </c>
      <c r="G4543" s="5">
        <v>25</v>
      </c>
      <c r="H4543" t="s">
        <v>23</v>
      </c>
      <c r="I4543" t="s">
        <v>24</v>
      </c>
      <c r="J4543" s="6">
        <v>13.99</v>
      </c>
      <c r="K4543">
        <v>0</v>
      </c>
      <c r="L4543" t="s">
        <v>61</v>
      </c>
      <c r="M4543" s="5">
        <v>3</v>
      </c>
      <c r="N4543" s="4">
        <v>0.38</v>
      </c>
      <c r="O4543" t="s">
        <v>20</v>
      </c>
    </row>
    <row r="4544" spans="1:15" x14ac:dyDescent="0.3">
      <c r="A4544" t="s">
        <v>3551</v>
      </c>
      <c r="B4544" s="5">
        <v>62</v>
      </c>
      <c r="C4544" s="5" t="str" cm="1">
        <f t="array" ref="C4544">_xlfn.IFS(worksheet[[#This Row],[age]]&lt;25,"1. Young Adulthood (18-24)",worksheet[[#This Row],[age]]&lt; 35,"2. Early Adulthood (25-34)",worksheet[[#This Row],[age]]&lt; 45,"3. Mid Adulthood (35-44)",worksheet[[#This Row],[age]]&lt; 55,"4. Mature Adulthood (45-54)",TRUE,"5. Late Adulthood/Senior (55+)")</f>
        <v>5. Late Adulthood/Senior (55+)</v>
      </c>
      <c r="D4544" t="s">
        <v>15</v>
      </c>
      <c r="E4544" t="s">
        <v>32</v>
      </c>
      <c r="F4544" s="4">
        <v>3.8</v>
      </c>
      <c r="G4544" s="5">
        <v>58</v>
      </c>
      <c r="H4544" t="s">
        <v>17</v>
      </c>
      <c r="I4544" t="s">
        <v>55</v>
      </c>
      <c r="J4544" s="6">
        <v>17.989999999999998</v>
      </c>
      <c r="K4544">
        <v>1</v>
      </c>
      <c r="L4544" t="s">
        <v>37</v>
      </c>
      <c r="M4544" s="5">
        <v>4</v>
      </c>
      <c r="N4544" s="4">
        <v>0.06</v>
      </c>
      <c r="O4544" t="s">
        <v>47</v>
      </c>
    </row>
    <row r="4545" spans="1:15" x14ac:dyDescent="0.3">
      <c r="A4545" t="s">
        <v>3552</v>
      </c>
      <c r="B4545" s="5">
        <v>57</v>
      </c>
      <c r="C4545" s="5" t="str" cm="1">
        <f t="array" ref="C4545">_xlfn.IFS(worksheet[[#This Row],[age]]&lt;25,"1. Young Adulthood (18-24)",worksheet[[#This Row],[age]]&lt; 35,"2. Early Adulthood (25-34)",worksheet[[#This Row],[age]]&lt; 45,"3. Mid Adulthood (35-44)",worksheet[[#This Row],[age]]&lt; 55,"4. Mature Adulthood (45-54)",TRUE,"5. Late Adulthood/Senior (55+)")</f>
        <v>5. Late Adulthood/Senior (55+)</v>
      </c>
      <c r="D4545" t="s">
        <v>27</v>
      </c>
      <c r="E4545" t="s">
        <v>22</v>
      </c>
      <c r="F4545" s="4">
        <v>3.47</v>
      </c>
      <c r="G4545" s="5">
        <v>36</v>
      </c>
      <c r="H4545" t="s">
        <v>49</v>
      </c>
      <c r="I4545" t="s">
        <v>57</v>
      </c>
      <c r="J4545" s="6">
        <v>13.99</v>
      </c>
      <c r="K4545">
        <v>1</v>
      </c>
      <c r="L4545" t="s">
        <v>29</v>
      </c>
      <c r="M4545" s="5">
        <v>4</v>
      </c>
      <c r="N4545" s="4">
        <v>0.09</v>
      </c>
      <c r="O4545" t="s">
        <v>39</v>
      </c>
    </row>
    <row r="4546" spans="1:15" x14ac:dyDescent="0.3">
      <c r="A4546" t="s">
        <v>3556</v>
      </c>
      <c r="B4546" s="5">
        <v>57</v>
      </c>
      <c r="C4546" s="5" t="str" cm="1">
        <f t="array" ref="C4546">_xlfn.IFS(worksheet[[#This Row],[age]]&lt;25,"1. Young Adulthood (18-24)",worksheet[[#This Row],[age]]&lt; 35,"2. Early Adulthood (25-34)",worksheet[[#This Row],[age]]&lt; 45,"3. Mid Adulthood (35-44)",worksheet[[#This Row],[age]]&lt; 55,"4. Mature Adulthood (45-54)",TRUE,"5. Late Adulthood/Senior (55+)")</f>
        <v>5. Late Adulthood/Senior (55+)</v>
      </c>
      <c r="D4546" t="s">
        <v>15</v>
      </c>
      <c r="E4546" t="s">
        <v>32</v>
      </c>
      <c r="F4546" s="4">
        <v>16.09</v>
      </c>
      <c r="G4546" s="5">
        <v>30</v>
      </c>
      <c r="H4546" t="s">
        <v>23</v>
      </c>
      <c r="I4546" t="s">
        <v>55</v>
      </c>
      <c r="J4546" s="6">
        <v>17.989999999999998</v>
      </c>
      <c r="K4546">
        <v>0</v>
      </c>
      <c r="L4546" t="s">
        <v>29</v>
      </c>
      <c r="M4546" s="5">
        <v>1</v>
      </c>
      <c r="N4546" s="4">
        <v>0.52</v>
      </c>
      <c r="O4546" t="s">
        <v>34</v>
      </c>
    </row>
    <row r="4547" spans="1:15" x14ac:dyDescent="0.3">
      <c r="A4547" t="s">
        <v>3557</v>
      </c>
      <c r="B4547" s="5">
        <v>63</v>
      </c>
      <c r="C4547" s="5" t="str" cm="1">
        <f t="array" ref="C4547">_xlfn.IFS(worksheet[[#This Row],[age]]&lt;25,"1. Young Adulthood (18-24)",worksheet[[#This Row],[age]]&lt; 35,"2. Early Adulthood (25-34)",worksheet[[#This Row],[age]]&lt; 45,"3. Mid Adulthood (35-44)",worksheet[[#This Row],[age]]&lt; 55,"4. Mature Adulthood (45-54)",TRUE,"5. Late Adulthood/Senior (55+)")</f>
        <v>5. Late Adulthood/Senior (55+)</v>
      </c>
      <c r="D4547" t="s">
        <v>41</v>
      </c>
      <c r="E4547" t="s">
        <v>22</v>
      </c>
      <c r="F4547" s="4">
        <v>11.89</v>
      </c>
      <c r="G4547" s="5">
        <v>52</v>
      </c>
      <c r="H4547" t="s">
        <v>23</v>
      </c>
      <c r="I4547" t="s">
        <v>46</v>
      </c>
      <c r="J4547" s="6">
        <v>13.99</v>
      </c>
      <c r="K4547">
        <v>1</v>
      </c>
      <c r="L4547" t="s">
        <v>37</v>
      </c>
      <c r="M4547" s="5">
        <v>1</v>
      </c>
      <c r="N4547" s="4">
        <v>0.22</v>
      </c>
      <c r="O4547" t="s">
        <v>39</v>
      </c>
    </row>
    <row r="4548" spans="1:15" x14ac:dyDescent="0.3">
      <c r="A4548" t="s">
        <v>3558</v>
      </c>
      <c r="B4548" s="5">
        <v>69</v>
      </c>
      <c r="C4548" s="5" t="str" cm="1">
        <f t="array" ref="C4548">_xlfn.IFS(worksheet[[#This Row],[age]]&lt;25,"1. Young Adulthood (18-24)",worksheet[[#This Row],[age]]&lt; 35,"2. Early Adulthood (25-34)",worksheet[[#This Row],[age]]&lt; 45,"3. Mid Adulthood (35-44)",worksheet[[#This Row],[age]]&lt; 55,"4. Mature Adulthood (45-54)",TRUE,"5. Late Adulthood/Senior (55+)")</f>
        <v>5. Late Adulthood/Senior (55+)</v>
      </c>
      <c r="D4548" t="s">
        <v>15</v>
      </c>
      <c r="E4548" t="s">
        <v>16</v>
      </c>
      <c r="F4548" s="4">
        <v>2.95</v>
      </c>
      <c r="G4548" s="5">
        <v>40</v>
      </c>
      <c r="H4548" t="s">
        <v>70</v>
      </c>
      <c r="I4548" t="s">
        <v>24</v>
      </c>
      <c r="J4548" s="6">
        <v>8.99</v>
      </c>
      <c r="K4548">
        <v>1</v>
      </c>
      <c r="L4548" t="s">
        <v>29</v>
      </c>
      <c r="M4548" s="5">
        <v>1</v>
      </c>
      <c r="N4548" s="4">
        <v>7.0000000000000007E-2</v>
      </c>
      <c r="O4548" t="s">
        <v>52</v>
      </c>
    </row>
    <row r="4549" spans="1:15" x14ac:dyDescent="0.3">
      <c r="A4549" t="s">
        <v>3560</v>
      </c>
      <c r="B4549" s="5">
        <v>64</v>
      </c>
      <c r="C4549" s="5" t="str" cm="1">
        <f t="array" ref="C4549">_xlfn.IFS(worksheet[[#This Row],[age]]&lt;25,"1. Young Adulthood (18-24)",worksheet[[#This Row],[age]]&lt; 35,"2. Early Adulthood (25-34)",worksheet[[#This Row],[age]]&lt; 45,"3. Mid Adulthood (35-44)",worksheet[[#This Row],[age]]&lt; 55,"4. Mature Adulthood (45-54)",TRUE,"5. Late Adulthood/Senior (55+)")</f>
        <v>5. Late Adulthood/Senior (55+)</v>
      </c>
      <c r="D4549" t="s">
        <v>41</v>
      </c>
      <c r="E4549" t="s">
        <v>32</v>
      </c>
      <c r="F4549" s="4">
        <v>14.53</v>
      </c>
      <c r="G4549" s="5">
        <v>29</v>
      </c>
      <c r="H4549" t="s">
        <v>49</v>
      </c>
      <c r="I4549" t="s">
        <v>18</v>
      </c>
      <c r="J4549" s="6">
        <v>17.989999999999998</v>
      </c>
      <c r="K4549">
        <v>0</v>
      </c>
      <c r="L4549" t="s">
        <v>61</v>
      </c>
      <c r="M4549" s="5">
        <v>2</v>
      </c>
      <c r="N4549" s="4">
        <v>0.48</v>
      </c>
      <c r="O4549" t="s">
        <v>34</v>
      </c>
    </row>
    <row r="4550" spans="1:15" x14ac:dyDescent="0.3">
      <c r="A4550" t="s">
        <v>3571</v>
      </c>
      <c r="B4550" s="5">
        <v>70</v>
      </c>
      <c r="C4550" s="5" t="str" cm="1">
        <f t="array" ref="C4550">_xlfn.IFS(worksheet[[#This Row],[age]]&lt;25,"1. Young Adulthood (18-24)",worksheet[[#This Row],[age]]&lt; 35,"2. Early Adulthood (25-34)",worksheet[[#This Row],[age]]&lt; 45,"3. Mid Adulthood (35-44)",worksheet[[#This Row],[age]]&lt; 55,"4. Mature Adulthood (45-54)",TRUE,"5. Late Adulthood/Senior (55+)")</f>
        <v>5. Late Adulthood/Senior (55+)</v>
      </c>
      <c r="D4550" t="s">
        <v>41</v>
      </c>
      <c r="E4550" t="s">
        <v>22</v>
      </c>
      <c r="F4550" s="4">
        <v>10.5</v>
      </c>
      <c r="G4550" s="5">
        <v>55</v>
      </c>
      <c r="H4550" t="s">
        <v>49</v>
      </c>
      <c r="I4550" t="s">
        <v>24</v>
      </c>
      <c r="J4550" s="6">
        <v>13.99</v>
      </c>
      <c r="K4550">
        <v>0</v>
      </c>
      <c r="L4550" t="s">
        <v>37</v>
      </c>
      <c r="M4550" s="5">
        <v>5</v>
      </c>
      <c r="N4550" s="4">
        <v>0.19</v>
      </c>
      <c r="O4550" t="s">
        <v>34</v>
      </c>
    </row>
    <row r="4551" spans="1:15" x14ac:dyDescent="0.3">
      <c r="A4551" t="s">
        <v>3572</v>
      </c>
      <c r="B4551" s="5">
        <v>60</v>
      </c>
      <c r="C4551" s="5" t="str" cm="1">
        <f t="array" ref="C4551">_xlfn.IFS(worksheet[[#This Row],[age]]&lt;25,"1. Young Adulthood (18-24)",worksheet[[#This Row],[age]]&lt; 35,"2. Early Adulthood (25-34)",worksheet[[#This Row],[age]]&lt; 45,"3. Mid Adulthood (35-44)",worksheet[[#This Row],[age]]&lt; 55,"4. Mature Adulthood (45-54)",TRUE,"5. Late Adulthood/Senior (55+)")</f>
        <v>5. Late Adulthood/Senior (55+)</v>
      </c>
      <c r="D4551" t="s">
        <v>15</v>
      </c>
      <c r="E4551" t="s">
        <v>16</v>
      </c>
      <c r="F4551" s="4">
        <v>28.75</v>
      </c>
      <c r="G4551" s="5">
        <v>39</v>
      </c>
      <c r="H4551" t="s">
        <v>23</v>
      </c>
      <c r="I4551" t="s">
        <v>57</v>
      </c>
      <c r="J4551" s="6">
        <v>8.99</v>
      </c>
      <c r="K4551">
        <v>0</v>
      </c>
      <c r="L4551" t="s">
        <v>37</v>
      </c>
      <c r="M4551" s="5">
        <v>4</v>
      </c>
      <c r="N4551" s="4">
        <v>0.72</v>
      </c>
      <c r="O4551" t="s">
        <v>20</v>
      </c>
    </row>
    <row r="4552" spans="1:15" x14ac:dyDescent="0.3">
      <c r="A4552" t="s">
        <v>3574</v>
      </c>
      <c r="B4552" s="5">
        <v>56</v>
      </c>
      <c r="C4552" s="5" t="str" cm="1">
        <f t="array" ref="C4552">_xlfn.IFS(worksheet[[#This Row],[age]]&lt;25,"1. Young Adulthood (18-24)",worksheet[[#This Row],[age]]&lt; 35,"2. Early Adulthood (25-34)",worksheet[[#This Row],[age]]&lt; 45,"3. Mid Adulthood (35-44)",worksheet[[#This Row],[age]]&lt; 55,"4. Mature Adulthood (45-54)",TRUE,"5. Late Adulthood/Senior (55+)")</f>
        <v>5. Late Adulthood/Senior (55+)</v>
      </c>
      <c r="D4552" t="s">
        <v>15</v>
      </c>
      <c r="E4552" t="s">
        <v>22</v>
      </c>
      <c r="F4552" s="4">
        <v>4.4400000000000004</v>
      </c>
      <c r="G4552" s="5">
        <v>29</v>
      </c>
      <c r="H4552" t="s">
        <v>49</v>
      </c>
      <c r="I4552" t="s">
        <v>57</v>
      </c>
      <c r="J4552" s="6">
        <v>13.99</v>
      </c>
      <c r="K4552">
        <v>0</v>
      </c>
      <c r="L4552" t="s">
        <v>37</v>
      </c>
      <c r="M4552" s="5">
        <v>4</v>
      </c>
      <c r="N4552" s="4">
        <v>0.15</v>
      </c>
      <c r="O4552" t="s">
        <v>20</v>
      </c>
    </row>
    <row r="4553" spans="1:15" x14ac:dyDescent="0.3">
      <c r="A4553" t="s">
        <v>3578</v>
      </c>
      <c r="B4553" s="5">
        <v>56</v>
      </c>
      <c r="C4553" s="5" t="str" cm="1">
        <f t="array" ref="C4553">_xlfn.IFS(worksheet[[#This Row],[age]]&lt;25,"1. Young Adulthood (18-24)",worksheet[[#This Row],[age]]&lt; 35,"2. Early Adulthood (25-34)",worksheet[[#This Row],[age]]&lt; 45,"3. Mid Adulthood (35-44)",worksheet[[#This Row],[age]]&lt; 55,"4. Mature Adulthood (45-54)",TRUE,"5. Late Adulthood/Senior (55+)")</f>
        <v>5. Late Adulthood/Senior (55+)</v>
      </c>
      <c r="D4553" t="s">
        <v>41</v>
      </c>
      <c r="E4553" t="s">
        <v>16</v>
      </c>
      <c r="F4553" s="4">
        <v>10.45</v>
      </c>
      <c r="G4553" s="5">
        <v>38</v>
      </c>
      <c r="H4553" t="s">
        <v>23</v>
      </c>
      <c r="I4553" t="s">
        <v>57</v>
      </c>
      <c r="J4553" s="6">
        <v>8.99</v>
      </c>
      <c r="K4553">
        <v>1</v>
      </c>
      <c r="L4553" t="s">
        <v>43</v>
      </c>
      <c r="M4553" s="5">
        <v>4</v>
      </c>
      <c r="N4553" s="4">
        <v>0.27</v>
      </c>
      <c r="O4553" t="s">
        <v>25</v>
      </c>
    </row>
    <row r="4554" spans="1:15" x14ac:dyDescent="0.3">
      <c r="A4554" t="s">
        <v>3584</v>
      </c>
      <c r="B4554" s="5">
        <v>55</v>
      </c>
      <c r="C4554" s="5" t="str" cm="1">
        <f t="array" ref="C4554">_xlfn.IFS(worksheet[[#This Row],[age]]&lt;25,"1. Young Adulthood (18-24)",worksheet[[#This Row],[age]]&lt; 35,"2. Early Adulthood (25-34)",worksheet[[#This Row],[age]]&lt; 45,"3. Mid Adulthood (35-44)",worksheet[[#This Row],[age]]&lt; 55,"4. Mature Adulthood (45-54)",TRUE,"5. Late Adulthood/Senior (55+)")</f>
        <v>5. Late Adulthood/Senior (55+)</v>
      </c>
      <c r="D4554" t="s">
        <v>15</v>
      </c>
      <c r="E4554" t="s">
        <v>32</v>
      </c>
      <c r="F4554" s="4">
        <v>1.43</v>
      </c>
      <c r="G4554" s="5">
        <v>60</v>
      </c>
      <c r="H4554" t="s">
        <v>28</v>
      </c>
      <c r="I4554" t="s">
        <v>46</v>
      </c>
      <c r="J4554" s="6">
        <v>17.989999999999998</v>
      </c>
      <c r="K4554">
        <v>1</v>
      </c>
      <c r="L4554" t="s">
        <v>37</v>
      </c>
      <c r="M4554" s="5">
        <v>1</v>
      </c>
      <c r="N4554" s="4">
        <v>0.02</v>
      </c>
      <c r="O4554" t="s">
        <v>39</v>
      </c>
    </row>
    <row r="4555" spans="1:15" x14ac:dyDescent="0.3">
      <c r="A4555" t="s">
        <v>3585</v>
      </c>
      <c r="B4555" s="5">
        <v>68</v>
      </c>
      <c r="C4555" s="5" t="str" cm="1">
        <f t="array" ref="C4555">_xlfn.IFS(worksheet[[#This Row],[age]]&lt;25,"1. Young Adulthood (18-24)",worksheet[[#This Row],[age]]&lt; 35,"2. Early Adulthood (25-34)",worksheet[[#This Row],[age]]&lt; 45,"3. Mid Adulthood (35-44)",worksheet[[#This Row],[age]]&lt; 55,"4. Mature Adulthood (45-54)",TRUE,"5. Late Adulthood/Senior (55+)")</f>
        <v>5. Late Adulthood/Senior (55+)</v>
      </c>
      <c r="D4555" t="s">
        <v>27</v>
      </c>
      <c r="E4555" t="s">
        <v>32</v>
      </c>
      <c r="F4555" s="4">
        <v>5.94</v>
      </c>
      <c r="G4555" s="5">
        <v>23</v>
      </c>
      <c r="H4555" t="s">
        <v>33</v>
      </c>
      <c r="I4555" t="s">
        <v>24</v>
      </c>
      <c r="J4555" s="6">
        <v>17.989999999999998</v>
      </c>
      <c r="K4555">
        <v>0</v>
      </c>
      <c r="L4555" t="s">
        <v>19</v>
      </c>
      <c r="M4555" s="5">
        <v>5</v>
      </c>
      <c r="N4555" s="4">
        <v>0.25</v>
      </c>
      <c r="O4555" t="s">
        <v>34</v>
      </c>
    </row>
    <row r="4556" spans="1:15" x14ac:dyDescent="0.3">
      <c r="A4556" t="s">
        <v>3586</v>
      </c>
      <c r="B4556" s="5">
        <v>57</v>
      </c>
      <c r="C4556" s="5" t="str" cm="1">
        <f t="array" ref="C4556">_xlfn.IFS(worksheet[[#This Row],[age]]&lt;25,"1. Young Adulthood (18-24)",worksheet[[#This Row],[age]]&lt; 35,"2. Early Adulthood (25-34)",worksheet[[#This Row],[age]]&lt; 45,"3. Mid Adulthood (35-44)",worksheet[[#This Row],[age]]&lt; 55,"4. Mature Adulthood (45-54)",TRUE,"5. Late Adulthood/Senior (55+)")</f>
        <v>5. Late Adulthood/Senior (55+)</v>
      </c>
      <c r="D4556" t="s">
        <v>15</v>
      </c>
      <c r="E4556" t="s">
        <v>32</v>
      </c>
      <c r="F4556" s="4">
        <v>10.89</v>
      </c>
      <c r="G4556" s="5">
        <v>3</v>
      </c>
      <c r="H4556" t="s">
        <v>70</v>
      </c>
      <c r="I4556" t="s">
        <v>55</v>
      </c>
      <c r="J4556" s="6">
        <v>17.989999999999998</v>
      </c>
      <c r="K4556">
        <v>0</v>
      </c>
      <c r="L4556" t="s">
        <v>29</v>
      </c>
      <c r="M4556" s="5">
        <v>5</v>
      </c>
      <c r="N4556" s="4">
        <v>2.72</v>
      </c>
      <c r="O4556" t="s">
        <v>25</v>
      </c>
    </row>
    <row r="4557" spans="1:15" x14ac:dyDescent="0.3">
      <c r="A4557" t="s">
        <v>3588</v>
      </c>
      <c r="B4557" s="5">
        <v>65</v>
      </c>
      <c r="C4557" s="5" t="str" cm="1">
        <f t="array" ref="C4557">_xlfn.IFS(worksheet[[#This Row],[age]]&lt;25,"1. Young Adulthood (18-24)",worksheet[[#This Row],[age]]&lt; 35,"2. Early Adulthood (25-34)",worksheet[[#This Row],[age]]&lt; 45,"3. Mid Adulthood (35-44)",worksheet[[#This Row],[age]]&lt; 55,"4. Mature Adulthood (45-54)",TRUE,"5. Late Adulthood/Senior (55+)")</f>
        <v>5. Late Adulthood/Senior (55+)</v>
      </c>
      <c r="D4557" t="s">
        <v>41</v>
      </c>
      <c r="E4557" t="s">
        <v>16</v>
      </c>
      <c r="F4557" s="4">
        <v>8.06</v>
      </c>
      <c r="G4557" s="5">
        <v>24</v>
      </c>
      <c r="H4557" t="s">
        <v>17</v>
      </c>
      <c r="I4557" t="s">
        <v>18</v>
      </c>
      <c r="J4557" s="6">
        <v>8.99</v>
      </c>
      <c r="K4557">
        <v>0</v>
      </c>
      <c r="L4557" t="s">
        <v>43</v>
      </c>
      <c r="M4557" s="5">
        <v>4</v>
      </c>
      <c r="N4557" s="4">
        <v>0.32</v>
      </c>
      <c r="O4557" t="s">
        <v>25</v>
      </c>
    </row>
    <row r="4558" spans="1:15" x14ac:dyDescent="0.3">
      <c r="A4558" t="s">
        <v>3589</v>
      </c>
      <c r="B4558" s="5">
        <v>60</v>
      </c>
      <c r="C4558" s="5" t="str" cm="1">
        <f t="array" ref="C4558">_xlfn.IFS(worksheet[[#This Row],[age]]&lt;25,"1. Young Adulthood (18-24)",worksheet[[#This Row],[age]]&lt; 35,"2. Early Adulthood (25-34)",worksheet[[#This Row],[age]]&lt; 45,"3. Mid Adulthood (35-44)",worksheet[[#This Row],[age]]&lt; 55,"4. Mature Adulthood (45-54)",TRUE,"5. Late Adulthood/Senior (55+)")</f>
        <v>5. Late Adulthood/Senior (55+)</v>
      </c>
      <c r="D4558" t="s">
        <v>15</v>
      </c>
      <c r="E4558" t="s">
        <v>32</v>
      </c>
      <c r="F4558" s="4">
        <v>11.77</v>
      </c>
      <c r="G4558" s="5">
        <v>18</v>
      </c>
      <c r="H4558" t="s">
        <v>49</v>
      </c>
      <c r="I4558" t="s">
        <v>46</v>
      </c>
      <c r="J4558" s="6">
        <v>17.989999999999998</v>
      </c>
      <c r="K4558">
        <v>0</v>
      </c>
      <c r="L4558" t="s">
        <v>29</v>
      </c>
      <c r="M4558" s="5">
        <v>1</v>
      </c>
      <c r="N4558" s="4">
        <v>0.62</v>
      </c>
      <c r="O4558" t="s">
        <v>47</v>
      </c>
    </row>
    <row r="4559" spans="1:15" x14ac:dyDescent="0.3">
      <c r="A4559" t="s">
        <v>3594</v>
      </c>
      <c r="B4559" s="5">
        <v>67</v>
      </c>
      <c r="C4559" s="5" t="str" cm="1">
        <f t="array" ref="C4559">_xlfn.IFS(worksheet[[#This Row],[age]]&lt;25,"1. Young Adulthood (18-24)",worksheet[[#This Row],[age]]&lt; 35,"2. Early Adulthood (25-34)",worksheet[[#This Row],[age]]&lt; 45,"3. Mid Adulthood (35-44)",worksheet[[#This Row],[age]]&lt; 55,"4. Mature Adulthood (45-54)",TRUE,"5. Late Adulthood/Senior (55+)")</f>
        <v>5. Late Adulthood/Senior (55+)</v>
      </c>
      <c r="D4559" t="s">
        <v>27</v>
      </c>
      <c r="E4559" t="s">
        <v>32</v>
      </c>
      <c r="F4559" s="4">
        <v>2.34</v>
      </c>
      <c r="G4559" s="5">
        <v>54</v>
      </c>
      <c r="H4559" t="s">
        <v>49</v>
      </c>
      <c r="I4559" t="s">
        <v>24</v>
      </c>
      <c r="J4559" s="6">
        <v>17.989999999999998</v>
      </c>
      <c r="K4559">
        <v>1</v>
      </c>
      <c r="L4559" t="s">
        <v>61</v>
      </c>
      <c r="M4559" s="5">
        <v>4</v>
      </c>
      <c r="N4559" s="4">
        <v>0.04</v>
      </c>
      <c r="O4559" t="s">
        <v>52</v>
      </c>
    </row>
    <row r="4560" spans="1:15" x14ac:dyDescent="0.3">
      <c r="A4560" t="s">
        <v>3595</v>
      </c>
      <c r="B4560" s="5">
        <v>67</v>
      </c>
      <c r="C4560" s="5" t="str" cm="1">
        <f t="array" ref="C4560">_xlfn.IFS(worksheet[[#This Row],[age]]&lt;25,"1. Young Adulthood (18-24)",worksheet[[#This Row],[age]]&lt; 35,"2. Early Adulthood (25-34)",worksheet[[#This Row],[age]]&lt; 45,"3. Mid Adulthood (35-44)",worksheet[[#This Row],[age]]&lt; 55,"4. Mature Adulthood (45-54)",TRUE,"5. Late Adulthood/Senior (55+)")</f>
        <v>5. Late Adulthood/Senior (55+)</v>
      </c>
      <c r="D4560" t="s">
        <v>15</v>
      </c>
      <c r="E4560" t="s">
        <v>32</v>
      </c>
      <c r="F4560" s="4">
        <v>16.71</v>
      </c>
      <c r="G4560" s="5">
        <v>9</v>
      </c>
      <c r="H4560" t="s">
        <v>23</v>
      </c>
      <c r="I4560" t="s">
        <v>18</v>
      </c>
      <c r="J4560" s="6">
        <v>17.989999999999998</v>
      </c>
      <c r="K4560">
        <v>0</v>
      </c>
      <c r="L4560" t="s">
        <v>29</v>
      </c>
      <c r="M4560" s="5">
        <v>4</v>
      </c>
      <c r="N4560" s="4">
        <v>1.67</v>
      </c>
      <c r="O4560" t="s">
        <v>39</v>
      </c>
    </row>
    <row r="4561" spans="1:15" x14ac:dyDescent="0.3">
      <c r="A4561" t="s">
        <v>3599</v>
      </c>
      <c r="B4561" s="5">
        <v>64</v>
      </c>
      <c r="C4561" s="5" t="str" cm="1">
        <f t="array" ref="C4561">_xlfn.IFS(worksheet[[#This Row],[age]]&lt;25,"1. Young Adulthood (18-24)",worksheet[[#This Row],[age]]&lt; 35,"2. Early Adulthood (25-34)",worksheet[[#This Row],[age]]&lt; 45,"3. Mid Adulthood (35-44)",worksheet[[#This Row],[age]]&lt; 55,"4. Mature Adulthood (45-54)",TRUE,"5. Late Adulthood/Senior (55+)")</f>
        <v>5. Late Adulthood/Senior (55+)</v>
      </c>
      <c r="D4561" t="s">
        <v>41</v>
      </c>
      <c r="E4561" t="s">
        <v>16</v>
      </c>
      <c r="F4561" s="4">
        <v>7.29</v>
      </c>
      <c r="G4561" s="5">
        <v>18</v>
      </c>
      <c r="H4561" t="s">
        <v>28</v>
      </c>
      <c r="I4561" t="s">
        <v>46</v>
      </c>
      <c r="J4561" s="6">
        <v>8.99</v>
      </c>
      <c r="K4561">
        <v>0</v>
      </c>
      <c r="L4561" t="s">
        <v>43</v>
      </c>
      <c r="M4561" s="5">
        <v>2</v>
      </c>
      <c r="N4561" s="4">
        <v>0.38</v>
      </c>
      <c r="O4561" t="s">
        <v>25</v>
      </c>
    </row>
    <row r="4562" spans="1:15" x14ac:dyDescent="0.3">
      <c r="A4562" t="s">
        <v>3600</v>
      </c>
      <c r="B4562" s="5">
        <v>64</v>
      </c>
      <c r="C4562" s="5" t="str" cm="1">
        <f t="array" ref="C4562">_xlfn.IFS(worksheet[[#This Row],[age]]&lt;25,"1. Young Adulthood (18-24)",worksheet[[#This Row],[age]]&lt; 35,"2. Early Adulthood (25-34)",worksheet[[#This Row],[age]]&lt; 45,"3. Mid Adulthood (35-44)",worksheet[[#This Row],[age]]&lt; 55,"4. Mature Adulthood (45-54)",TRUE,"5. Late Adulthood/Senior (55+)")</f>
        <v>5. Late Adulthood/Senior (55+)</v>
      </c>
      <c r="D4562" t="s">
        <v>41</v>
      </c>
      <c r="E4562" t="s">
        <v>22</v>
      </c>
      <c r="F4562" s="4">
        <v>54.34</v>
      </c>
      <c r="G4562" s="5">
        <v>9</v>
      </c>
      <c r="H4562" t="s">
        <v>28</v>
      </c>
      <c r="I4562" t="s">
        <v>55</v>
      </c>
      <c r="J4562" s="6">
        <v>13.99</v>
      </c>
      <c r="K4562">
        <v>0</v>
      </c>
      <c r="L4562" t="s">
        <v>37</v>
      </c>
      <c r="M4562" s="5">
        <v>3</v>
      </c>
      <c r="N4562" s="4">
        <v>5.43</v>
      </c>
      <c r="O4562" t="s">
        <v>52</v>
      </c>
    </row>
    <row r="4563" spans="1:15" x14ac:dyDescent="0.3">
      <c r="A4563" t="s">
        <v>3604</v>
      </c>
      <c r="B4563" s="5">
        <v>64</v>
      </c>
      <c r="C4563" s="5" t="str" cm="1">
        <f t="array" ref="C4563">_xlfn.IFS(worksheet[[#This Row],[age]]&lt;25,"1. Young Adulthood (18-24)",worksheet[[#This Row],[age]]&lt; 35,"2. Early Adulthood (25-34)",worksheet[[#This Row],[age]]&lt; 45,"3. Mid Adulthood (35-44)",worksheet[[#This Row],[age]]&lt; 55,"4. Mature Adulthood (45-54)",TRUE,"5. Late Adulthood/Senior (55+)")</f>
        <v>5. Late Adulthood/Senior (55+)</v>
      </c>
      <c r="D4563" t="s">
        <v>41</v>
      </c>
      <c r="E4563" t="s">
        <v>16</v>
      </c>
      <c r="F4563" s="4">
        <v>24.36</v>
      </c>
      <c r="G4563" s="5">
        <v>32</v>
      </c>
      <c r="H4563" t="s">
        <v>33</v>
      </c>
      <c r="I4563" t="s">
        <v>46</v>
      </c>
      <c r="J4563" s="6">
        <v>8.99</v>
      </c>
      <c r="K4563">
        <v>0</v>
      </c>
      <c r="L4563" t="s">
        <v>29</v>
      </c>
      <c r="M4563" s="5">
        <v>3</v>
      </c>
      <c r="N4563" s="4">
        <v>0.74</v>
      </c>
      <c r="O4563" t="s">
        <v>25</v>
      </c>
    </row>
    <row r="4564" spans="1:15" x14ac:dyDescent="0.3">
      <c r="A4564" t="s">
        <v>3606</v>
      </c>
      <c r="B4564" s="5">
        <v>69</v>
      </c>
      <c r="C4564" s="5" t="str" cm="1">
        <f t="array" ref="C4564">_xlfn.IFS(worksheet[[#This Row],[age]]&lt;25,"1. Young Adulthood (18-24)",worksheet[[#This Row],[age]]&lt; 35,"2. Early Adulthood (25-34)",worksheet[[#This Row],[age]]&lt; 45,"3. Mid Adulthood (35-44)",worksheet[[#This Row],[age]]&lt; 55,"4. Mature Adulthood (45-54)",TRUE,"5. Late Adulthood/Senior (55+)")</f>
        <v>5. Late Adulthood/Senior (55+)</v>
      </c>
      <c r="D4564" t="s">
        <v>41</v>
      </c>
      <c r="E4564" t="s">
        <v>22</v>
      </c>
      <c r="F4564" s="4">
        <v>17.010000000000002</v>
      </c>
      <c r="G4564" s="5">
        <v>47</v>
      </c>
      <c r="H4564" t="s">
        <v>49</v>
      </c>
      <c r="I4564" t="s">
        <v>46</v>
      </c>
      <c r="J4564" s="6">
        <v>13.99</v>
      </c>
      <c r="K4564">
        <v>1</v>
      </c>
      <c r="L4564" t="s">
        <v>29</v>
      </c>
      <c r="M4564" s="5">
        <v>2</v>
      </c>
      <c r="N4564" s="4">
        <v>0.35</v>
      </c>
      <c r="O4564" t="s">
        <v>30</v>
      </c>
    </row>
    <row r="4565" spans="1:15" x14ac:dyDescent="0.3">
      <c r="A4565" t="s">
        <v>3607</v>
      </c>
      <c r="B4565" s="5">
        <v>65</v>
      </c>
      <c r="C4565" s="5" t="str" cm="1">
        <f t="array" ref="C4565">_xlfn.IFS(worksheet[[#This Row],[age]]&lt;25,"1. Young Adulthood (18-24)",worksheet[[#This Row],[age]]&lt; 35,"2. Early Adulthood (25-34)",worksheet[[#This Row],[age]]&lt; 45,"3. Mid Adulthood (35-44)",worksheet[[#This Row],[age]]&lt; 55,"4. Mature Adulthood (45-54)",TRUE,"5. Late Adulthood/Senior (55+)")</f>
        <v>5. Late Adulthood/Senior (55+)</v>
      </c>
      <c r="D4565" t="s">
        <v>41</v>
      </c>
      <c r="E4565" t="s">
        <v>16</v>
      </c>
      <c r="F4565" s="4">
        <v>0.14000000000000001</v>
      </c>
      <c r="G4565" s="5">
        <v>16</v>
      </c>
      <c r="H4565" t="s">
        <v>49</v>
      </c>
      <c r="I4565" t="s">
        <v>24</v>
      </c>
      <c r="J4565" s="6">
        <v>8.99</v>
      </c>
      <c r="K4565">
        <v>1</v>
      </c>
      <c r="L4565" t="s">
        <v>19</v>
      </c>
      <c r="M4565" s="5">
        <v>1</v>
      </c>
      <c r="N4565" s="4">
        <v>0.01</v>
      </c>
      <c r="O4565" t="s">
        <v>30</v>
      </c>
    </row>
    <row r="4566" spans="1:15" x14ac:dyDescent="0.3">
      <c r="A4566" t="s">
        <v>3608</v>
      </c>
      <c r="B4566" s="5">
        <v>58</v>
      </c>
      <c r="C4566" s="5" t="str" cm="1">
        <f t="array" ref="C4566">_xlfn.IFS(worksheet[[#This Row],[age]]&lt;25,"1. Young Adulthood (18-24)",worksheet[[#This Row],[age]]&lt; 35,"2. Early Adulthood (25-34)",worksheet[[#This Row],[age]]&lt; 45,"3. Mid Adulthood (35-44)",worksheet[[#This Row],[age]]&lt; 55,"4. Mature Adulthood (45-54)",TRUE,"5. Late Adulthood/Senior (55+)")</f>
        <v>5. Late Adulthood/Senior (55+)</v>
      </c>
      <c r="D4566" t="s">
        <v>15</v>
      </c>
      <c r="E4566" t="s">
        <v>32</v>
      </c>
      <c r="F4566" s="4">
        <v>23.9</v>
      </c>
      <c r="G4566" s="5">
        <v>38</v>
      </c>
      <c r="H4566" t="s">
        <v>70</v>
      </c>
      <c r="I4566" t="s">
        <v>18</v>
      </c>
      <c r="J4566" s="6">
        <v>17.989999999999998</v>
      </c>
      <c r="K4566">
        <v>0</v>
      </c>
      <c r="L4566" t="s">
        <v>37</v>
      </c>
      <c r="M4566" s="5">
        <v>1</v>
      </c>
      <c r="N4566" s="4">
        <v>0.61</v>
      </c>
      <c r="O4566" t="s">
        <v>39</v>
      </c>
    </row>
    <row r="4567" spans="1:15" x14ac:dyDescent="0.3">
      <c r="A4567" t="s">
        <v>3611</v>
      </c>
      <c r="B4567" s="5">
        <v>70</v>
      </c>
      <c r="C4567" s="5" t="str" cm="1">
        <f t="array" ref="C4567">_xlfn.IFS(worksheet[[#This Row],[age]]&lt;25,"1. Young Adulthood (18-24)",worksheet[[#This Row],[age]]&lt; 35,"2. Early Adulthood (25-34)",worksheet[[#This Row],[age]]&lt; 45,"3. Mid Adulthood (35-44)",worksheet[[#This Row],[age]]&lt; 55,"4. Mature Adulthood (45-54)",TRUE,"5. Late Adulthood/Senior (55+)")</f>
        <v>5. Late Adulthood/Senior (55+)</v>
      </c>
      <c r="D4567" t="s">
        <v>27</v>
      </c>
      <c r="E4567" t="s">
        <v>32</v>
      </c>
      <c r="F4567" s="4">
        <v>7.13</v>
      </c>
      <c r="G4567" s="5">
        <v>29</v>
      </c>
      <c r="H4567" t="s">
        <v>17</v>
      </c>
      <c r="I4567" t="s">
        <v>55</v>
      </c>
      <c r="J4567" s="6">
        <v>17.989999999999998</v>
      </c>
      <c r="K4567">
        <v>0</v>
      </c>
      <c r="L4567" t="s">
        <v>43</v>
      </c>
      <c r="M4567" s="5">
        <v>5</v>
      </c>
      <c r="N4567" s="4">
        <v>0.24</v>
      </c>
      <c r="O4567" t="s">
        <v>20</v>
      </c>
    </row>
    <row r="4568" spans="1:15" x14ac:dyDescent="0.3">
      <c r="A4568" t="s">
        <v>3612</v>
      </c>
      <c r="B4568" s="5">
        <v>69</v>
      </c>
      <c r="C4568" s="5" t="str" cm="1">
        <f t="array" ref="C4568">_xlfn.IFS(worksheet[[#This Row],[age]]&lt;25,"1. Young Adulthood (18-24)",worksheet[[#This Row],[age]]&lt; 35,"2. Early Adulthood (25-34)",worksheet[[#This Row],[age]]&lt; 45,"3. Mid Adulthood (35-44)",worksheet[[#This Row],[age]]&lt; 55,"4. Mature Adulthood (45-54)",TRUE,"5. Late Adulthood/Senior (55+)")</f>
        <v>5. Late Adulthood/Senior (55+)</v>
      </c>
      <c r="D4568" t="s">
        <v>15</v>
      </c>
      <c r="E4568" t="s">
        <v>16</v>
      </c>
      <c r="F4568" s="4">
        <v>9.77</v>
      </c>
      <c r="G4568" s="5">
        <v>12</v>
      </c>
      <c r="H4568" t="s">
        <v>33</v>
      </c>
      <c r="I4568" t="s">
        <v>55</v>
      </c>
      <c r="J4568" s="6">
        <v>8.99</v>
      </c>
      <c r="K4568">
        <v>0</v>
      </c>
      <c r="L4568" t="s">
        <v>61</v>
      </c>
      <c r="M4568" s="5">
        <v>3</v>
      </c>
      <c r="N4568" s="4">
        <v>0.75</v>
      </c>
      <c r="O4568" t="s">
        <v>39</v>
      </c>
    </row>
    <row r="4569" spans="1:15" x14ac:dyDescent="0.3">
      <c r="A4569" t="s">
        <v>3619</v>
      </c>
      <c r="B4569" s="5">
        <v>57</v>
      </c>
      <c r="C4569" s="5" t="str" cm="1">
        <f t="array" ref="C4569">_xlfn.IFS(worksheet[[#This Row],[age]]&lt;25,"1. Young Adulthood (18-24)",worksheet[[#This Row],[age]]&lt; 35,"2. Early Adulthood (25-34)",worksheet[[#This Row],[age]]&lt; 45,"3. Mid Adulthood (35-44)",worksheet[[#This Row],[age]]&lt; 55,"4. Mature Adulthood (45-54)",TRUE,"5. Late Adulthood/Senior (55+)")</f>
        <v>5. Late Adulthood/Senior (55+)</v>
      </c>
      <c r="D4569" t="s">
        <v>27</v>
      </c>
      <c r="E4569" t="s">
        <v>16</v>
      </c>
      <c r="F4569" s="4">
        <v>7.46</v>
      </c>
      <c r="G4569" s="5">
        <v>10</v>
      </c>
      <c r="H4569" t="s">
        <v>28</v>
      </c>
      <c r="I4569" t="s">
        <v>55</v>
      </c>
      <c r="J4569" s="6">
        <v>8.99</v>
      </c>
      <c r="K4569">
        <v>0</v>
      </c>
      <c r="L4569" t="s">
        <v>37</v>
      </c>
      <c r="M4569" s="5">
        <v>1</v>
      </c>
      <c r="N4569" s="4">
        <v>0.68</v>
      </c>
      <c r="O4569" t="s">
        <v>47</v>
      </c>
    </row>
    <row r="4570" spans="1:15" x14ac:dyDescent="0.3">
      <c r="A4570" t="s">
        <v>3620</v>
      </c>
      <c r="B4570" s="5">
        <v>69</v>
      </c>
      <c r="C4570" s="5" t="str" cm="1">
        <f t="array" ref="C4570">_xlfn.IFS(worksheet[[#This Row],[age]]&lt;25,"1. Young Adulthood (18-24)",worksheet[[#This Row],[age]]&lt; 35,"2. Early Adulthood (25-34)",worksheet[[#This Row],[age]]&lt; 45,"3. Mid Adulthood (35-44)",worksheet[[#This Row],[age]]&lt; 55,"4. Mature Adulthood (45-54)",TRUE,"5. Late Adulthood/Senior (55+)")</f>
        <v>5. Late Adulthood/Senior (55+)</v>
      </c>
      <c r="D4570" t="s">
        <v>41</v>
      </c>
      <c r="E4570" t="s">
        <v>16</v>
      </c>
      <c r="F4570" s="4">
        <v>24.18</v>
      </c>
      <c r="G4570" s="5">
        <v>56</v>
      </c>
      <c r="H4570" t="s">
        <v>23</v>
      </c>
      <c r="I4570" t="s">
        <v>46</v>
      </c>
      <c r="J4570" s="6">
        <v>8.99</v>
      </c>
      <c r="K4570">
        <v>1</v>
      </c>
      <c r="L4570" t="s">
        <v>19</v>
      </c>
      <c r="M4570" s="5">
        <v>2</v>
      </c>
      <c r="N4570" s="4">
        <v>0.42</v>
      </c>
      <c r="O4570" t="s">
        <v>39</v>
      </c>
    </row>
    <row r="4571" spans="1:15" x14ac:dyDescent="0.3">
      <c r="A4571" t="s">
        <v>3622</v>
      </c>
      <c r="B4571" s="5">
        <v>55</v>
      </c>
      <c r="C4571" s="5" t="str" cm="1">
        <f t="array" ref="C4571">_xlfn.IFS(worksheet[[#This Row],[age]]&lt;25,"1. Young Adulthood (18-24)",worksheet[[#This Row],[age]]&lt; 35,"2. Early Adulthood (25-34)",worksheet[[#This Row],[age]]&lt; 45,"3. Mid Adulthood (35-44)",worksheet[[#This Row],[age]]&lt; 55,"4. Mature Adulthood (45-54)",TRUE,"5. Late Adulthood/Senior (55+)")</f>
        <v>5. Late Adulthood/Senior (55+)</v>
      </c>
      <c r="D4571" t="s">
        <v>27</v>
      </c>
      <c r="E4571" t="s">
        <v>32</v>
      </c>
      <c r="F4571" s="4">
        <v>3.72</v>
      </c>
      <c r="G4571" s="5">
        <v>54</v>
      </c>
      <c r="H4571" t="s">
        <v>70</v>
      </c>
      <c r="I4571" t="s">
        <v>46</v>
      </c>
      <c r="J4571" s="6">
        <v>17.989999999999998</v>
      </c>
      <c r="K4571">
        <v>1</v>
      </c>
      <c r="L4571" t="s">
        <v>29</v>
      </c>
      <c r="M4571" s="5">
        <v>5</v>
      </c>
      <c r="N4571" s="4">
        <v>7.0000000000000007E-2</v>
      </c>
      <c r="O4571" t="s">
        <v>20</v>
      </c>
    </row>
    <row r="4572" spans="1:15" x14ac:dyDescent="0.3">
      <c r="A4572" t="s">
        <v>3626</v>
      </c>
      <c r="B4572" s="5">
        <v>70</v>
      </c>
      <c r="C4572" s="5" t="str" cm="1">
        <f t="array" ref="C4572">_xlfn.IFS(worksheet[[#This Row],[age]]&lt;25,"1. Young Adulthood (18-24)",worksheet[[#This Row],[age]]&lt; 35,"2. Early Adulthood (25-34)",worksheet[[#This Row],[age]]&lt; 45,"3. Mid Adulthood (35-44)",worksheet[[#This Row],[age]]&lt; 55,"4. Mature Adulthood (45-54)",TRUE,"5. Late Adulthood/Senior (55+)")</f>
        <v>5. Late Adulthood/Senior (55+)</v>
      </c>
      <c r="D4572" t="s">
        <v>15</v>
      </c>
      <c r="E4572" t="s">
        <v>16</v>
      </c>
      <c r="F4572" s="4">
        <v>13.74</v>
      </c>
      <c r="G4572" s="5">
        <v>44</v>
      </c>
      <c r="H4572" t="s">
        <v>49</v>
      </c>
      <c r="I4572" t="s">
        <v>24</v>
      </c>
      <c r="J4572" s="6">
        <v>8.99</v>
      </c>
      <c r="K4572">
        <v>1</v>
      </c>
      <c r="L4572" t="s">
        <v>43</v>
      </c>
      <c r="M4572" s="5">
        <v>3</v>
      </c>
      <c r="N4572" s="4">
        <v>0.31</v>
      </c>
      <c r="O4572" t="s">
        <v>39</v>
      </c>
    </row>
    <row r="4573" spans="1:15" x14ac:dyDescent="0.3">
      <c r="A4573" t="s">
        <v>3631</v>
      </c>
      <c r="B4573" s="5">
        <v>69</v>
      </c>
      <c r="C4573" s="5" t="str" cm="1">
        <f t="array" ref="C4573">_xlfn.IFS(worksheet[[#This Row],[age]]&lt;25,"1. Young Adulthood (18-24)",worksheet[[#This Row],[age]]&lt; 35,"2. Early Adulthood (25-34)",worksheet[[#This Row],[age]]&lt; 45,"3. Mid Adulthood (35-44)",worksheet[[#This Row],[age]]&lt; 55,"4. Mature Adulthood (45-54)",TRUE,"5. Late Adulthood/Senior (55+)")</f>
        <v>5. Late Adulthood/Senior (55+)</v>
      </c>
      <c r="D4573" t="s">
        <v>27</v>
      </c>
      <c r="E4573" t="s">
        <v>22</v>
      </c>
      <c r="F4573" s="4">
        <v>9.43</v>
      </c>
      <c r="G4573" s="5">
        <v>1</v>
      </c>
      <c r="H4573" t="s">
        <v>23</v>
      </c>
      <c r="I4573" t="s">
        <v>55</v>
      </c>
      <c r="J4573" s="6">
        <v>13.99</v>
      </c>
      <c r="K4573">
        <v>0</v>
      </c>
      <c r="L4573" t="s">
        <v>61</v>
      </c>
      <c r="M4573" s="5">
        <v>3</v>
      </c>
      <c r="N4573" s="4">
        <v>4.71</v>
      </c>
      <c r="O4573" t="s">
        <v>20</v>
      </c>
    </row>
    <row r="4574" spans="1:15" x14ac:dyDescent="0.3">
      <c r="A4574" t="s">
        <v>3635</v>
      </c>
      <c r="B4574" s="5">
        <v>62</v>
      </c>
      <c r="C4574" s="5" t="str" cm="1">
        <f t="array" ref="C4574">_xlfn.IFS(worksheet[[#This Row],[age]]&lt;25,"1. Young Adulthood (18-24)",worksheet[[#This Row],[age]]&lt; 35,"2. Early Adulthood (25-34)",worksheet[[#This Row],[age]]&lt; 45,"3. Mid Adulthood (35-44)",worksheet[[#This Row],[age]]&lt; 55,"4. Mature Adulthood (45-54)",TRUE,"5. Late Adulthood/Senior (55+)")</f>
        <v>5. Late Adulthood/Senior (55+)</v>
      </c>
      <c r="D4574" t="s">
        <v>27</v>
      </c>
      <c r="E4574" t="s">
        <v>22</v>
      </c>
      <c r="F4574" s="4">
        <v>24.14</v>
      </c>
      <c r="G4574" s="5">
        <v>2</v>
      </c>
      <c r="H4574" t="s">
        <v>17</v>
      </c>
      <c r="I4574" t="s">
        <v>55</v>
      </c>
      <c r="J4574" s="6">
        <v>13.99</v>
      </c>
      <c r="K4574">
        <v>0</v>
      </c>
      <c r="L4574" t="s">
        <v>29</v>
      </c>
      <c r="M4574" s="5">
        <v>4</v>
      </c>
      <c r="N4574" s="4">
        <v>8.0500000000000007</v>
      </c>
      <c r="O4574" t="s">
        <v>34</v>
      </c>
    </row>
    <row r="4575" spans="1:15" x14ac:dyDescent="0.3">
      <c r="A4575" t="s">
        <v>3638</v>
      </c>
      <c r="B4575" s="5">
        <v>64</v>
      </c>
      <c r="C4575" s="5" t="str" cm="1">
        <f t="array" ref="C4575">_xlfn.IFS(worksheet[[#This Row],[age]]&lt;25,"1. Young Adulthood (18-24)",worksheet[[#This Row],[age]]&lt; 35,"2. Early Adulthood (25-34)",worksheet[[#This Row],[age]]&lt; 45,"3. Mid Adulthood (35-44)",worksheet[[#This Row],[age]]&lt; 55,"4. Mature Adulthood (45-54)",TRUE,"5. Late Adulthood/Senior (55+)")</f>
        <v>5. Late Adulthood/Senior (55+)</v>
      </c>
      <c r="D4575" t="s">
        <v>27</v>
      </c>
      <c r="E4575" t="s">
        <v>32</v>
      </c>
      <c r="F4575" s="4">
        <v>31.88</v>
      </c>
      <c r="G4575" s="5">
        <v>16</v>
      </c>
      <c r="H4575" t="s">
        <v>23</v>
      </c>
      <c r="I4575" t="s">
        <v>24</v>
      </c>
      <c r="J4575" s="6">
        <v>17.989999999999998</v>
      </c>
      <c r="K4575">
        <v>0</v>
      </c>
      <c r="L4575" t="s">
        <v>43</v>
      </c>
      <c r="M4575" s="5">
        <v>4</v>
      </c>
      <c r="N4575" s="4">
        <v>1.88</v>
      </c>
      <c r="O4575" t="s">
        <v>47</v>
      </c>
    </row>
    <row r="4576" spans="1:15" x14ac:dyDescent="0.3">
      <c r="A4576" t="s">
        <v>3641</v>
      </c>
      <c r="B4576" s="5">
        <v>60</v>
      </c>
      <c r="C4576" s="5" t="str" cm="1">
        <f t="array" ref="C4576">_xlfn.IFS(worksheet[[#This Row],[age]]&lt;25,"1. Young Adulthood (18-24)",worksheet[[#This Row],[age]]&lt; 35,"2. Early Adulthood (25-34)",worksheet[[#This Row],[age]]&lt; 45,"3. Mid Adulthood (35-44)",worksheet[[#This Row],[age]]&lt; 55,"4. Mature Adulthood (45-54)",TRUE,"5. Late Adulthood/Senior (55+)")</f>
        <v>5. Late Adulthood/Senior (55+)</v>
      </c>
      <c r="D4576" t="s">
        <v>15</v>
      </c>
      <c r="E4576" t="s">
        <v>32</v>
      </c>
      <c r="F4576" s="4">
        <v>14.41</v>
      </c>
      <c r="G4576" s="5">
        <v>41</v>
      </c>
      <c r="H4576" t="s">
        <v>70</v>
      </c>
      <c r="I4576" t="s">
        <v>57</v>
      </c>
      <c r="J4576" s="6">
        <v>17.989999999999998</v>
      </c>
      <c r="K4576">
        <v>0</v>
      </c>
      <c r="L4576" t="s">
        <v>37</v>
      </c>
      <c r="M4576" s="5">
        <v>4</v>
      </c>
      <c r="N4576" s="4">
        <v>0.34</v>
      </c>
      <c r="O4576" t="s">
        <v>25</v>
      </c>
    </row>
    <row r="4577" spans="1:15" x14ac:dyDescent="0.3">
      <c r="A4577" t="s">
        <v>3647</v>
      </c>
      <c r="B4577" s="5">
        <v>67</v>
      </c>
      <c r="C4577" s="5" t="str" cm="1">
        <f t="array" ref="C4577">_xlfn.IFS(worksheet[[#This Row],[age]]&lt;25,"1. Young Adulthood (18-24)",worksheet[[#This Row],[age]]&lt; 35,"2. Early Adulthood (25-34)",worksheet[[#This Row],[age]]&lt; 45,"3. Mid Adulthood (35-44)",worksheet[[#This Row],[age]]&lt; 55,"4. Mature Adulthood (45-54)",TRUE,"5. Late Adulthood/Senior (55+)")</f>
        <v>5. Late Adulthood/Senior (55+)</v>
      </c>
      <c r="D4577" t="s">
        <v>41</v>
      </c>
      <c r="E4577" t="s">
        <v>16</v>
      </c>
      <c r="F4577" s="4">
        <v>7.17</v>
      </c>
      <c r="G4577" s="5">
        <v>41</v>
      </c>
      <c r="H4577" t="s">
        <v>23</v>
      </c>
      <c r="I4577" t="s">
        <v>18</v>
      </c>
      <c r="J4577" s="6">
        <v>8.99</v>
      </c>
      <c r="K4577">
        <v>1</v>
      </c>
      <c r="L4577" t="s">
        <v>29</v>
      </c>
      <c r="M4577" s="5">
        <v>4</v>
      </c>
      <c r="N4577" s="4">
        <v>0.17</v>
      </c>
      <c r="O4577" t="s">
        <v>47</v>
      </c>
    </row>
    <row r="4578" spans="1:15" x14ac:dyDescent="0.3">
      <c r="A4578" t="s">
        <v>3648</v>
      </c>
      <c r="B4578" s="5">
        <v>59</v>
      </c>
      <c r="C4578" s="5" t="str" cm="1">
        <f t="array" ref="C4578">_xlfn.IFS(worksheet[[#This Row],[age]]&lt;25,"1. Young Adulthood (18-24)",worksheet[[#This Row],[age]]&lt; 35,"2. Early Adulthood (25-34)",worksheet[[#This Row],[age]]&lt; 45,"3. Mid Adulthood (35-44)",worksheet[[#This Row],[age]]&lt; 55,"4. Mature Adulthood (45-54)",TRUE,"5. Late Adulthood/Senior (55+)")</f>
        <v>5. Late Adulthood/Senior (55+)</v>
      </c>
      <c r="D4578" t="s">
        <v>27</v>
      </c>
      <c r="E4578" t="s">
        <v>32</v>
      </c>
      <c r="F4578" s="4">
        <v>19.86</v>
      </c>
      <c r="G4578" s="5">
        <v>37</v>
      </c>
      <c r="H4578" t="s">
        <v>23</v>
      </c>
      <c r="I4578" t="s">
        <v>24</v>
      </c>
      <c r="J4578" s="6">
        <v>17.989999999999998</v>
      </c>
      <c r="K4578">
        <v>0</v>
      </c>
      <c r="L4578" t="s">
        <v>19</v>
      </c>
      <c r="M4578" s="5">
        <v>3</v>
      </c>
      <c r="N4578" s="4">
        <v>0.52</v>
      </c>
      <c r="O4578" t="s">
        <v>25</v>
      </c>
    </row>
    <row r="4579" spans="1:15" x14ac:dyDescent="0.3">
      <c r="A4579" t="s">
        <v>3651</v>
      </c>
      <c r="B4579" s="5">
        <v>55</v>
      </c>
      <c r="C4579" s="5" t="str" cm="1">
        <f t="array" ref="C4579">_xlfn.IFS(worksheet[[#This Row],[age]]&lt;25,"1. Young Adulthood (18-24)",worksheet[[#This Row],[age]]&lt; 35,"2. Early Adulthood (25-34)",worksheet[[#This Row],[age]]&lt; 45,"3. Mid Adulthood (35-44)",worksheet[[#This Row],[age]]&lt; 55,"4. Mature Adulthood (45-54)",TRUE,"5. Late Adulthood/Senior (55+)")</f>
        <v>5. Late Adulthood/Senior (55+)</v>
      </c>
      <c r="D4579" t="s">
        <v>15</v>
      </c>
      <c r="E4579" t="s">
        <v>16</v>
      </c>
      <c r="F4579" s="4">
        <v>22.18</v>
      </c>
      <c r="G4579" s="5">
        <v>29</v>
      </c>
      <c r="H4579" t="s">
        <v>33</v>
      </c>
      <c r="I4579" t="s">
        <v>24</v>
      </c>
      <c r="J4579" s="6">
        <v>8.99</v>
      </c>
      <c r="K4579">
        <v>0</v>
      </c>
      <c r="L4579" t="s">
        <v>61</v>
      </c>
      <c r="M4579" s="5">
        <v>3</v>
      </c>
      <c r="N4579" s="4">
        <v>0.74</v>
      </c>
      <c r="O4579" t="s">
        <v>20</v>
      </c>
    </row>
    <row r="4580" spans="1:15" x14ac:dyDescent="0.3">
      <c r="A4580" t="s">
        <v>3654</v>
      </c>
      <c r="B4580" s="5">
        <v>67</v>
      </c>
      <c r="C4580" s="5" t="str" cm="1">
        <f t="array" ref="C4580">_xlfn.IFS(worksheet[[#This Row],[age]]&lt;25,"1. Young Adulthood (18-24)",worksheet[[#This Row],[age]]&lt; 35,"2. Early Adulthood (25-34)",worksheet[[#This Row],[age]]&lt; 45,"3. Mid Adulthood (35-44)",worksheet[[#This Row],[age]]&lt; 55,"4. Mature Adulthood (45-54)",TRUE,"5. Late Adulthood/Senior (55+)")</f>
        <v>5. Late Adulthood/Senior (55+)</v>
      </c>
      <c r="D4580" t="s">
        <v>15</v>
      </c>
      <c r="E4580" t="s">
        <v>32</v>
      </c>
      <c r="F4580" s="4">
        <v>6.7</v>
      </c>
      <c r="G4580" s="5">
        <v>30</v>
      </c>
      <c r="H4580" t="s">
        <v>17</v>
      </c>
      <c r="I4580" t="s">
        <v>24</v>
      </c>
      <c r="J4580" s="6">
        <v>17.989999999999998</v>
      </c>
      <c r="K4580">
        <v>0</v>
      </c>
      <c r="L4580" t="s">
        <v>61</v>
      </c>
      <c r="M4580" s="5">
        <v>5</v>
      </c>
      <c r="N4580" s="4">
        <v>0.22</v>
      </c>
      <c r="O4580" t="s">
        <v>47</v>
      </c>
    </row>
    <row r="4581" spans="1:15" x14ac:dyDescent="0.3">
      <c r="A4581" t="s">
        <v>3656</v>
      </c>
      <c r="B4581" s="5">
        <v>58</v>
      </c>
      <c r="C4581" s="5" t="str" cm="1">
        <f t="array" ref="C4581">_xlfn.IFS(worksheet[[#This Row],[age]]&lt;25,"1. Young Adulthood (18-24)",worksheet[[#This Row],[age]]&lt; 35,"2. Early Adulthood (25-34)",worksheet[[#This Row],[age]]&lt; 45,"3. Mid Adulthood (35-44)",worksheet[[#This Row],[age]]&lt; 55,"4. Mature Adulthood (45-54)",TRUE,"5. Late Adulthood/Senior (55+)")</f>
        <v>5. Late Adulthood/Senior (55+)</v>
      </c>
      <c r="D4581" t="s">
        <v>15</v>
      </c>
      <c r="E4581" t="s">
        <v>22</v>
      </c>
      <c r="F4581" s="4">
        <v>4.6900000000000004</v>
      </c>
      <c r="G4581" s="5">
        <v>49</v>
      </c>
      <c r="H4581" t="s">
        <v>17</v>
      </c>
      <c r="I4581" t="s">
        <v>18</v>
      </c>
      <c r="J4581" s="6">
        <v>13.99</v>
      </c>
      <c r="K4581">
        <v>1</v>
      </c>
      <c r="L4581" t="s">
        <v>29</v>
      </c>
      <c r="M4581" s="5">
        <v>1</v>
      </c>
      <c r="N4581" s="4">
        <v>0.09</v>
      </c>
      <c r="O4581" t="s">
        <v>39</v>
      </c>
    </row>
    <row r="4582" spans="1:15" x14ac:dyDescent="0.3">
      <c r="A4582" t="s">
        <v>3657</v>
      </c>
      <c r="B4582" s="5">
        <v>59</v>
      </c>
      <c r="C4582" s="5" t="str" cm="1">
        <f t="array" ref="C4582">_xlfn.IFS(worksheet[[#This Row],[age]]&lt;25,"1. Young Adulthood (18-24)",worksheet[[#This Row],[age]]&lt; 35,"2. Early Adulthood (25-34)",worksheet[[#This Row],[age]]&lt; 45,"3. Mid Adulthood (35-44)",worksheet[[#This Row],[age]]&lt; 55,"4. Mature Adulthood (45-54)",TRUE,"5. Late Adulthood/Senior (55+)")</f>
        <v>5. Late Adulthood/Senior (55+)</v>
      </c>
      <c r="D4582" t="s">
        <v>15</v>
      </c>
      <c r="E4582" t="s">
        <v>16</v>
      </c>
      <c r="F4582" s="4">
        <v>7.17</v>
      </c>
      <c r="G4582" s="5">
        <v>31</v>
      </c>
      <c r="H4582" t="s">
        <v>49</v>
      </c>
      <c r="I4582" t="s">
        <v>24</v>
      </c>
      <c r="J4582" s="6">
        <v>8.99</v>
      </c>
      <c r="K4582">
        <v>1</v>
      </c>
      <c r="L4582" t="s">
        <v>19</v>
      </c>
      <c r="M4582" s="5">
        <v>3</v>
      </c>
      <c r="N4582" s="4">
        <v>0.22</v>
      </c>
      <c r="O4582" t="s">
        <v>34</v>
      </c>
    </row>
    <row r="4583" spans="1:15" x14ac:dyDescent="0.3">
      <c r="A4583" t="s">
        <v>3660</v>
      </c>
      <c r="B4583" s="5">
        <v>63</v>
      </c>
      <c r="C4583" s="5" t="str" cm="1">
        <f t="array" ref="C4583">_xlfn.IFS(worksheet[[#This Row],[age]]&lt;25,"1. Young Adulthood (18-24)",worksheet[[#This Row],[age]]&lt; 35,"2. Early Adulthood (25-34)",worksheet[[#This Row],[age]]&lt; 45,"3. Mid Adulthood (35-44)",worksheet[[#This Row],[age]]&lt; 55,"4. Mature Adulthood (45-54)",TRUE,"5. Late Adulthood/Senior (55+)")</f>
        <v>5. Late Adulthood/Senior (55+)</v>
      </c>
      <c r="D4583" t="s">
        <v>41</v>
      </c>
      <c r="E4583" t="s">
        <v>32</v>
      </c>
      <c r="F4583" s="4">
        <v>1.43</v>
      </c>
      <c r="G4583" s="5">
        <v>57</v>
      </c>
      <c r="H4583" t="s">
        <v>28</v>
      </c>
      <c r="I4583" t="s">
        <v>18</v>
      </c>
      <c r="J4583" s="6">
        <v>17.989999999999998</v>
      </c>
      <c r="K4583">
        <v>1</v>
      </c>
      <c r="L4583" t="s">
        <v>19</v>
      </c>
      <c r="M4583" s="5">
        <v>5</v>
      </c>
      <c r="N4583" s="4">
        <v>0.02</v>
      </c>
      <c r="O4583" t="s">
        <v>47</v>
      </c>
    </row>
    <row r="4584" spans="1:15" x14ac:dyDescent="0.3">
      <c r="A4584" t="s">
        <v>3661</v>
      </c>
      <c r="B4584" s="5">
        <v>57</v>
      </c>
      <c r="C4584" s="5" t="str" cm="1">
        <f t="array" ref="C4584">_xlfn.IFS(worksheet[[#This Row],[age]]&lt;25,"1. Young Adulthood (18-24)",worksheet[[#This Row],[age]]&lt; 35,"2. Early Adulthood (25-34)",worksheet[[#This Row],[age]]&lt; 45,"3. Mid Adulthood (35-44)",worksheet[[#This Row],[age]]&lt; 55,"4. Mature Adulthood (45-54)",TRUE,"5. Late Adulthood/Senior (55+)")</f>
        <v>5. Late Adulthood/Senior (55+)</v>
      </c>
      <c r="D4584" t="s">
        <v>41</v>
      </c>
      <c r="E4584" t="s">
        <v>22</v>
      </c>
      <c r="F4584" s="4">
        <v>2.34</v>
      </c>
      <c r="G4584" s="5">
        <v>0</v>
      </c>
      <c r="H4584" t="s">
        <v>70</v>
      </c>
      <c r="I4584" t="s">
        <v>55</v>
      </c>
      <c r="J4584" s="6">
        <v>13.99</v>
      </c>
      <c r="K4584">
        <v>0</v>
      </c>
      <c r="L4584" t="s">
        <v>37</v>
      </c>
      <c r="M4584" s="5">
        <v>5</v>
      </c>
      <c r="N4584" s="4">
        <v>2.34</v>
      </c>
      <c r="O4584" t="s">
        <v>25</v>
      </c>
    </row>
    <row r="4585" spans="1:15" x14ac:dyDescent="0.3">
      <c r="A4585" t="s">
        <v>3663</v>
      </c>
      <c r="B4585" s="5">
        <v>55</v>
      </c>
      <c r="C4585" s="5" t="str" cm="1">
        <f t="array" ref="C4585">_xlfn.IFS(worksheet[[#This Row],[age]]&lt;25,"1. Young Adulthood (18-24)",worksheet[[#This Row],[age]]&lt; 35,"2. Early Adulthood (25-34)",worksheet[[#This Row],[age]]&lt; 45,"3. Mid Adulthood (35-44)",worksheet[[#This Row],[age]]&lt; 55,"4. Mature Adulthood (45-54)",TRUE,"5. Late Adulthood/Senior (55+)")</f>
        <v>5. Late Adulthood/Senior (55+)</v>
      </c>
      <c r="D4585" t="s">
        <v>27</v>
      </c>
      <c r="E4585" t="s">
        <v>22</v>
      </c>
      <c r="F4585" s="4">
        <v>5.36</v>
      </c>
      <c r="G4585" s="5">
        <v>42</v>
      </c>
      <c r="H4585" t="s">
        <v>17</v>
      </c>
      <c r="I4585" t="s">
        <v>55</v>
      </c>
      <c r="J4585" s="6">
        <v>13.99</v>
      </c>
      <c r="K4585">
        <v>0</v>
      </c>
      <c r="L4585" t="s">
        <v>37</v>
      </c>
      <c r="M4585" s="5">
        <v>5</v>
      </c>
      <c r="N4585" s="4">
        <v>0.12</v>
      </c>
      <c r="O4585" t="s">
        <v>34</v>
      </c>
    </row>
    <row r="4586" spans="1:15" x14ac:dyDescent="0.3">
      <c r="A4586" t="s">
        <v>3665</v>
      </c>
      <c r="B4586" s="5">
        <v>64</v>
      </c>
      <c r="C4586" s="5" t="str" cm="1">
        <f t="array" ref="C4586">_xlfn.IFS(worksheet[[#This Row],[age]]&lt;25,"1. Young Adulthood (18-24)",worksheet[[#This Row],[age]]&lt; 35,"2. Early Adulthood (25-34)",worksheet[[#This Row],[age]]&lt; 45,"3. Mid Adulthood (35-44)",worksheet[[#This Row],[age]]&lt; 55,"4. Mature Adulthood (45-54)",TRUE,"5. Late Adulthood/Senior (55+)")</f>
        <v>5. Late Adulthood/Senior (55+)</v>
      </c>
      <c r="D4586" t="s">
        <v>15</v>
      </c>
      <c r="E4586" t="s">
        <v>32</v>
      </c>
      <c r="F4586" s="4">
        <v>11.09</v>
      </c>
      <c r="G4586" s="5">
        <v>26</v>
      </c>
      <c r="H4586" t="s">
        <v>17</v>
      </c>
      <c r="I4586" t="s">
        <v>55</v>
      </c>
      <c r="J4586" s="6">
        <v>17.989999999999998</v>
      </c>
      <c r="K4586">
        <v>0</v>
      </c>
      <c r="L4586" t="s">
        <v>37</v>
      </c>
      <c r="M4586" s="5">
        <v>5</v>
      </c>
      <c r="N4586" s="4">
        <v>0.41</v>
      </c>
      <c r="O4586" t="s">
        <v>30</v>
      </c>
    </row>
    <row r="4587" spans="1:15" x14ac:dyDescent="0.3">
      <c r="A4587" t="s">
        <v>3666</v>
      </c>
      <c r="B4587" s="5">
        <v>61</v>
      </c>
      <c r="C4587" s="5" t="str" cm="1">
        <f t="array" ref="C4587">_xlfn.IFS(worksheet[[#This Row],[age]]&lt;25,"1. Young Adulthood (18-24)",worksheet[[#This Row],[age]]&lt; 35,"2. Early Adulthood (25-34)",worksheet[[#This Row],[age]]&lt; 45,"3. Mid Adulthood (35-44)",worksheet[[#This Row],[age]]&lt; 55,"4. Mature Adulthood (45-54)",TRUE,"5. Late Adulthood/Senior (55+)")</f>
        <v>5. Late Adulthood/Senior (55+)</v>
      </c>
      <c r="D4587" t="s">
        <v>27</v>
      </c>
      <c r="E4587" t="s">
        <v>32</v>
      </c>
      <c r="F4587" s="4">
        <v>1.91</v>
      </c>
      <c r="G4587" s="5">
        <v>52</v>
      </c>
      <c r="H4587" t="s">
        <v>70</v>
      </c>
      <c r="I4587" t="s">
        <v>18</v>
      </c>
      <c r="J4587" s="6">
        <v>17.989999999999998</v>
      </c>
      <c r="K4587">
        <v>1</v>
      </c>
      <c r="L4587" t="s">
        <v>37</v>
      </c>
      <c r="M4587" s="5">
        <v>1</v>
      </c>
      <c r="N4587" s="4">
        <v>0.04</v>
      </c>
      <c r="O4587" t="s">
        <v>39</v>
      </c>
    </row>
    <row r="4588" spans="1:15" x14ac:dyDescent="0.3">
      <c r="A4588" t="s">
        <v>3672</v>
      </c>
      <c r="B4588" s="5">
        <v>69</v>
      </c>
      <c r="C4588" s="5" t="str" cm="1">
        <f t="array" ref="C4588">_xlfn.IFS(worksheet[[#This Row],[age]]&lt;25,"1. Young Adulthood (18-24)",worksheet[[#This Row],[age]]&lt; 35,"2. Early Adulthood (25-34)",worksheet[[#This Row],[age]]&lt; 45,"3. Mid Adulthood (35-44)",worksheet[[#This Row],[age]]&lt; 55,"4. Mature Adulthood (45-54)",TRUE,"5. Late Adulthood/Senior (55+)")</f>
        <v>5. Late Adulthood/Senior (55+)</v>
      </c>
      <c r="D4588" t="s">
        <v>27</v>
      </c>
      <c r="E4588" t="s">
        <v>16</v>
      </c>
      <c r="F4588" s="4">
        <v>20.61</v>
      </c>
      <c r="G4588" s="5">
        <v>37</v>
      </c>
      <c r="H4588" t="s">
        <v>49</v>
      </c>
      <c r="I4588" t="s">
        <v>57</v>
      </c>
      <c r="J4588" s="6">
        <v>8.99</v>
      </c>
      <c r="K4588">
        <v>0</v>
      </c>
      <c r="L4588" t="s">
        <v>29</v>
      </c>
      <c r="M4588" s="5">
        <v>5</v>
      </c>
      <c r="N4588" s="4">
        <v>0.54</v>
      </c>
      <c r="O4588" t="s">
        <v>39</v>
      </c>
    </row>
    <row r="4589" spans="1:15" x14ac:dyDescent="0.3">
      <c r="A4589" t="s">
        <v>3678</v>
      </c>
      <c r="B4589" s="5">
        <v>67</v>
      </c>
      <c r="C4589" s="5" t="str" cm="1">
        <f t="array" ref="C4589">_xlfn.IFS(worksheet[[#This Row],[age]]&lt;25,"1. Young Adulthood (18-24)",worksheet[[#This Row],[age]]&lt; 35,"2. Early Adulthood (25-34)",worksheet[[#This Row],[age]]&lt; 45,"3. Mid Adulthood (35-44)",worksheet[[#This Row],[age]]&lt; 55,"4. Mature Adulthood (45-54)",TRUE,"5. Late Adulthood/Senior (55+)")</f>
        <v>5. Late Adulthood/Senior (55+)</v>
      </c>
      <c r="D4589" t="s">
        <v>41</v>
      </c>
      <c r="E4589" t="s">
        <v>32</v>
      </c>
      <c r="F4589" s="4">
        <v>2.2400000000000002</v>
      </c>
      <c r="G4589" s="5">
        <v>34</v>
      </c>
      <c r="H4589" t="s">
        <v>17</v>
      </c>
      <c r="I4589" t="s">
        <v>18</v>
      </c>
      <c r="J4589" s="6">
        <v>17.989999999999998</v>
      </c>
      <c r="K4589">
        <v>1</v>
      </c>
      <c r="L4589" t="s">
        <v>29</v>
      </c>
      <c r="M4589" s="5">
        <v>2</v>
      </c>
      <c r="N4589" s="4">
        <v>0.06</v>
      </c>
      <c r="O4589" t="s">
        <v>20</v>
      </c>
    </row>
    <row r="4590" spans="1:15" x14ac:dyDescent="0.3">
      <c r="A4590" t="s">
        <v>3679</v>
      </c>
      <c r="B4590" s="5">
        <v>63</v>
      </c>
      <c r="C4590" s="5" t="str" cm="1">
        <f t="array" ref="C4590">_xlfn.IFS(worksheet[[#This Row],[age]]&lt;25,"1. Young Adulthood (18-24)",worksheet[[#This Row],[age]]&lt; 35,"2. Early Adulthood (25-34)",worksheet[[#This Row],[age]]&lt; 45,"3. Mid Adulthood (35-44)",worksheet[[#This Row],[age]]&lt; 55,"4. Mature Adulthood (45-54)",TRUE,"5. Late Adulthood/Senior (55+)")</f>
        <v>5. Late Adulthood/Senior (55+)</v>
      </c>
      <c r="D4590" t="s">
        <v>15</v>
      </c>
      <c r="E4590" t="s">
        <v>22</v>
      </c>
      <c r="F4590" s="4">
        <v>3.8</v>
      </c>
      <c r="G4590" s="5">
        <v>57</v>
      </c>
      <c r="H4590" t="s">
        <v>70</v>
      </c>
      <c r="I4590" t="s">
        <v>18</v>
      </c>
      <c r="J4590" s="6">
        <v>13.99</v>
      </c>
      <c r="K4590">
        <v>1</v>
      </c>
      <c r="L4590" t="s">
        <v>29</v>
      </c>
      <c r="M4590" s="5">
        <v>3</v>
      </c>
      <c r="N4590" s="4">
        <v>7.0000000000000007E-2</v>
      </c>
      <c r="O4590" t="s">
        <v>20</v>
      </c>
    </row>
    <row r="4591" spans="1:15" x14ac:dyDescent="0.3">
      <c r="A4591" t="s">
        <v>3680</v>
      </c>
      <c r="B4591" s="5">
        <v>69</v>
      </c>
      <c r="C4591" s="5" t="str" cm="1">
        <f t="array" ref="C4591">_xlfn.IFS(worksheet[[#This Row],[age]]&lt;25,"1. Young Adulthood (18-24)",worksheet[[#This Row],[age]]&lt; 35,"2. Early Adulthood (25-34)",worksheet[[#This Row],[age]]&lt; 45,"3. Mid Adulthood (35-44)",worksheet[[#This Row],[age]]&lt; 55,"4. Mature Adulthood (45-54)",TRUE,"5. Late Adulthood/Senior (55+)")</f>
        <v>5. Late Adulthood/Senior (55+)</v>
      </c>
      <c r="D4591" t="s">
        <v>15</v>
      </c>
      <c r="E4591" t="s">
        <v>16</v>
      </c>
      <c r="F4591" s="4">
        <v>32.42</v>
      </c>
      <c r="G4591" s="5">
        <v>43</v>
      </c>
      <c r="H4591" t="s">
        <v>70</v>
      </c>
      <c r="I4591" t="s">
        <v>55</v>
      </c>
      <c r="J4591" s="6">
        <v>8.99</v>
      </c>
      <c r="K4591">
        <v>0</v>
      </c>
      <c r="L4591" t="s">
        <v>61</v>
      </c>
      <c r="M4591" s="5">
        <v>3</v>
      </c>
      <c r="N4591" s="4">
        <v>0.74</v>
      </c>
      <c r="O4591" t="s">
        <v>20</v>
      </c>
    </row>
    <row r="4592" spans="1:15" x14ac:dyDescent="0.3">
      <c r="A4592" t="s">
        <v>3682</v>
      </c>
      <c r="B4592" s="5">
        <v>68</v>
      </c>
      <c r="C4592" s="5" t="str" cm="1">
        <f t="array" ref="C4592">_xlfn.IFS(worksheet[[#This Row],[age]]&lt;25,"1. Young Adulthood (18-24)",worksheet[[#This Row],[age]]&lt; 35,"2. Early Adulthood (25-34)",worksheet[[#This Row],[age]]&lt; 45,"3. Mid Adulthood (35-44)",worksheet[[#This Row],[age]]&lt; 55,"4. Mature Adulthood (45-54)",TRUE,"5. Late Adulthood/Senior (55+)")</f>
        <v>5. Late Adulthood/Senior (55+)</v>
      </c>
      <c r="D4592" t="s">
        <v>15</v>
      </c>
      <c r="E4592" t="s">
        <v>22</v>
      </c>
      <c r="F4592" s="4">
        <v>3.68</v>
      </c>
      <c r="G4592" s="5">
        <v>53</v>
      </c>
      <c r="H4592" t="s">
        <v>49</v>
      </c>
      <c r="I4592" t="s">
        <v>57</v>
      </c>
      <c r="J4592" s="6">
        <v>13.99</v>
      </c>
      <c r="K4592">
        <v>1</v>
      </c>
      <c r="L4592" t="s">
        <v>61</v>
      </c>
      <c r="M4592" s="5">
        <v>3</v>
      </c>
      <c r="N4592" s="4">
        <v>7.0000000000000007E-2</v>
      </c>
      <c r="O4592" t="s">
        <v>34</v>
      </c>
    </row>
    <row r="4593" spans="1:15" x14ac:dyDescent="0.3">
      <c r="A4593" t="s">
        <v>3686</v>
      </c>
      <c r="B4593" s="5">
        <v>59</v>
      </c>
      <c r="C4593" s="5" t="str" cm="1">
        <f t="array" ref="C4593">_xlfn.IFS(worksheet[[#This Row],[age]]&lt;25,"1. Young Adulthood (18-24)",worksheet[[#This Row],[age]]&lt; 35,"2. Early Adulthood (25-34)",worksheet[[#This Row],[age]]&lt; 45,"3. Mid Adulthood (35-44)",worksheet[[#This Row],[age]]&lt; 55,"4. Mature Adulthood (45-54)",TRUE,"5. Late Adulthood/Senior (55+)")</f>
        <v>5. Late Adulthood/Senior (55+)</v>
      </c>
      <c r="D4593" t="s">
        <v>15</v>
      </c>
      <c r="E4593" t="s">
        <v>16</v>
      </c>
      <c r="F4593" s="4">
        <v>5.65</v>
      </c>
      <c r="G4593" s="5">
        <v>37</v>
      </c>
      <c r="H4593" t="s">
        <v>17</v>
      </c>
      <c r="I4593" t="s">
        <v>57</v>
      </c>
      <c r="J4593" s="6">
        <v>8.99</v>
      </c>
      <c r="K4593">
        <v>1</v>
      </c>
      <c r="L4593" t="s">
        <v>37</v>
      </c>
      <c r="M4593" s="5">
        <v>2</v>
      </c>
      <c r="N4593" s="4">
        <v>0.15</v>
      </c>
      <c r="O4593" t="s">
        <v>47</v>
      </c>
    </row>
    <row r="4594" spans="1:15" x14ac:dyDescent="0.3">
      <c r="A4594" t="s">
        <v>3690</v>
      </c>
      <c r="B4594" s="5">
        <v>57</v>
      </c>
      <c r="C4594" s="5" t="str" cm="1">
        <f t="array" ref="C4594">_xlfn.IFS(worksheet[[#This Row],[age]]&lt;25,"1. Young Adulthood (18-24)",worksheet[[#This Row],[age]]&lt; 35,"2. Early Adulthood (25-34)",worksheet[[#This Row],[age]]&lt; 45,"3. Mid Adulthood (35-44)",worksheet[[#This Row],[age]]&lt; 55,"4. Mature Adulthood (45-54)",TRUE,"5. Late Adulthood/Senior (55+)")</f>
        <v>5. Late Adulthood/Senior (55+)</v>
      </c>
      <c r="D4594" t="s">
        <v>27</v>
      </c>
      <c r="E4594" t="s">
        <v>16</v>
      </c>
      <c r="F4594" s="4">
        <v>1.22</v>
      </c>
      <c r="G4594" s="5">
        <v>8</v>
      </c>
      <c r="H4594" t="s">
        <v>33</v>
      </c>
      <c r="I4594" t="s">
        <v>18</v>
      </c>
      <c r="J4594" s="6">
        <v>8.99</v>
      </c>
      <c r="K4594">
        <v>1</v>
      </c>
      <c r="L4594" t="s">
        <v>61</v>
      </c>
      <c r="M4594" s="5">
        <v>5</v>
      </c>
      <c r="N4594" s="4">
        <v>0.14000000000000001</v>
      </c>
      <c r="O4594" t="s">
        <v>34</v>
      </c>
    </row>
    <row r="4595" spans="1:15" x14ac:dyDescent="0.3">
      <c r="A4595" t="s">
        <v>3693</v>
      </c>
      <c r="B4595" s="5">
        <v>63</v>
      </c>
      <c r="C4595" s="5" t="str" cm="1">
        <f t="array" ref="C4595">_xlfn.IFS(worksheet[[#This Row],[age]]&lt;25,"1. Young Adulthood (18-24)",worksheet[[#This Row],[age]]&lt; 35,"2. Early Adulthood (25-34)",worksheet[[#This Row],[age]]&lt; 45,"3. Mid Adulthood (35-44)",worksheet[[#This Row],[age]]&lt; 55,"4. Mature Adulthood (45-54)",TRUE,"5. Late Adulthood/Senior (55+)")</f>
        <v>5. Late Adulthood/Senior (55+)</v>
      </c>
      <c r="D4595" t="s">
        <v>41</v>
      </c>
      <c r="E4595" t="s">
        <v>16</v>
      </c>
      <c r="F4595" s="4">
        <v>0.24</v>
      </c>
      <c r="G4595" s="5">
        <v>21</v>
      </c>
      <c r="H4595" t="s">
        <v>23</v>
      </c>
      <c r="I4595" t="s">
        <v>46</v>
      </c>
      <c r="J4595" s="6">
        <v>8.99</v>
      </c>
      <c r="K4595">
        <v>1</v>
      </c>
      <c r="L4595" t="s">
        <v>61</v>
      </c>
      <c r="M4595" s="5">
        <v>5</v>
      </c>
      <c r="N4595" s="4">
        <v>0.01</v>
      </c>
      <c r="O4595" t="s">
        <v>20</v>
      </c>
    </row>
    <row r="4596" spans="1:15" x14ac:dyDescent="0.3">
      <c r="A4596" t="s">
        <v>3696</v>
      </c>
      <c r="B4596" s="5">
        <v>66</v>
      </c>
      <c r="C4596" s="5" t="str" cm="1">
        <f t="array" ref="C4596">_xlfn.IFS(worksheet[[#This Row],[age]]&lt;25,"1. Young Adulthood (18-24)",worksheet[[#This Row],[age]]&lt; 35,"2. Early Adulthood (25-34)",worksheet[[#This Row],[age]]&lt; 45,"3. Mid Adulthood (35-44)",worksheet[[#This Row],[age]]&lt; 55,"4. Mature Adulthood (45-54)",TRUE,"5. Late Adulthood/Senior (55+)")</f>
        <v>5. Late Adulthood/Senior (55+)</v>
      </c>
      <c r="D4596" t="s">
        <v>41</v>
      </c>
      <c r="E4596" t="s">
        <v>22</v>
      </c>
      <c r="F4596" s="4">
        <v>7.95</v>
      </c>
      <c r="G4596" s="5">
        <v>47</v>
      </c>
      <c r="H4596" t="s">
        <v>28</v>
      </c>
      <c r="I4596" t="s">
        <v>55</v>
      </c>
      <c r="J4596" s="6">
        <v>13.99</v>
      </c>
      <c r="K4596">
        <v>1</v>
      </c>
      <c r="L4596" t="s">
        <v>19</v>
      </c>
      <c r="M4596" s="5">
        <v>2</v>
      </c>
      <c r="N4596" s="4">
        <v>0.17</v>
      </c>
      <c r="O4596" t="s">
        <v>52</v>
      </c>
    </row>
    <row r="4597" spans="1:15" x14ac:dyDescent="0.3">
      <c r="A4597" t="s">
        <v>3702</v>
      </c>
      <c r="B4597" s="5">
        <v>58</v>
      </c>
      <c r="C4597" s="5" t="str" cm="1">
        <f t="array" ref="C4597">_xlfn.IFS(worksheet[[#This Row],[age]]&lt;25,"1. Young Adulthood (18-24)",worksheet[[#This Row],[age]]&lt; 35,"2. Early Adulthood (25-34)",worksheet[[#This Row],[age]]&lt; 45,"3. Mid Adulthood (35-44)",worksheet[[#This Row],[age]]&lt; 55,"4. Mature Adulthood (45-54)",TRUE,"5. Late Adulthood/Senior (55+)")</f>
        <v>5. Late Adulthood/Senior (55+)</v>
      </c>
      <c r="D4597" t="s">
        <v>15</v>
      </c>
      <c r="E4597" t="s">
        <v>16</v>
      </c>
      <c r="F4597" s="4">
        <v>20.100000000000001</v>
      </c>
      <c r="G4597" s="5">
        <v>25</v>
      </c>
      <c r="H4597" t="s">
        <v>49</v>
      </c>
      <c r="I4597" t="s">
        <v>24</v>
      </c>
      <c r="J4597" s="6">
        <v>8.99</v>
      </c>
      <c r="K4597">
        <v>0</v>
      </c>
      <c r="L4597" t="s">
        <v>43</v>
      </c>
      <c r="M4597" s="5">
        <v>2</v>
      </c>
      <c r="N4597" s="4">
        <v>0.77</v>
      </c>
      <c r="O4597" t="s">
        <v>20</v>
      </c>
    </row>
    <row r="4598" spans="1:15" x14ac:dyDescent="0.3">
      <c r="A4598" t="s">
        <v>3709</v>
      </c>
      <c r="B4598" s="5">
        <v>65</v>
      </c>
      <c r="C4598" s="5" t="str" cm="1">
        <f t="array" ref="C4598">_xlfn.IFS(worksheet[[#This Row],[age]]&lt;25,"1. Young Adulthood (18-24)",worksheet[[#This Row],[age]]&lt; 35,"2. Early Adulthood (25-34)",worksheet[[#This Row],[age]]&lt; 45,"3. Mid Adulthood (35-44)",worksheet[[#This Row],[age]]&lt; 55,"4. Mature Adulthood (45-54)",TRUE,"5. Late Adulthood/Senior (55+)")</f>
        <v>5. Late Adulthood/Senior (55+)</v>
      </c>
      <c r="D4598" t="s">
        <v>41</v>
      </c>
      <c r="E4598" t="s">
        <v>16</v>
      </c>
      <c r="F4598" s="4">
        <v>0.71</v>
      </c>
      <c r="G4598" s="5">
        <v>54</v>
      </c>
      <c r="H4598" t="s">
        <v>33</v>
      </c>
      <c r="I4598" t="s">
        <v>46</v>
      </c>
      <c r="J4598" s="6">
        <v>8.99</v>
      </c>
      <c r="K4598">
        <v>1</v>
      </c>
      <c r="L4598" t="s">
        <v>29</v>
      </c>
      <c r="M4598" s="5">
        <v>3</v>
      </c>
      <c r="N4598" s="4">
        <v>0.01</v>
      </c>
      <c r="O4598" t="s">
        <v>52</v>
      </c>
    </row>
    <row r="4599" spans="1:15" x14ac:dyDescent="0.3">
      <c r="A4599" t="s">
        <v>3710</v>
      </c>
      <c r="B4599" s="5">
        <v>63</v>
      </c>
      <c r="C4599" s="5" t="str" cm="1">
        <f t="array" ref="C4599">_xlfn.IFS(worksheet[[#This Row],[age]]&lt;25,"1. Young Adulthood (18-24)",worksheet[[#This Row],[age]]&lt; 35,"2. Early Adulthood (25-34)",worksheet[[#This Row],[age]]&lt; 45,"3. Mid Adulthood (35-44)",worksheet[[#This Row],[age]]&lt; 55,"4. Mature Adulthood (45-54)",TRUE,"5. Late Adulthood/Senior (55+)")</f>
        <v>5. Late Adulthood/Senior (55+)</v>
      </c>
      <c r="D4599" t="s">
        <v>41</v>
      </c>
      <c r="E4599" t="s">
        <v>32</v>
      </c>
      <c r="F4599" s="4">
        <v>45.68</v>
      </c>
      <c r="G4599" s="5">
        <v>52</v>
      </c>
      <c r="H4599" t="s">
        <v>49</v>
      </c>
      <c r="I4599" t="s">
        <v>55</v>
      </c>
      <c r="J4599" s="6">
        <v>17.989999999999998</v>
      </c>
      <c r="K4599">
        <v>0</v>
      </c>
      <c r="L4599" t="s">
        <v>19</v>
      </c>
      <c r="M4599" s="5">
        <v>1</v>
      </c>
      <c r="N4599" s="4">
        <v>0.86</v>
      </c>
      <c r="O4599" t="s">
        <v>25</v>
      </c>
    </row>
    <row r="4600" spans="1:15" x14ac:dyDescent="0.3">
      <c r="A4600" t="s">
        <v>3713</v>
      </c>
      <c r="B4600" s="5">
        <v>69</v>
      </c>
      <c r="C4600" s="5" t="str" cm="1">
        <f t="array" ref="C4600">_xlfn.IFS(worksheet[[#This Row],[age]]&lt;25,"1. Young Adulthood (18-24)",worksheet[[#This Row],[age]]&lt; 35,"2. Early Adulthood (25-34)",worksheet[[#This Row],[age]]&lt; 45,"3. Mid Adulthood (35-44)",worksheet[[#This Row],[age]]&lt; 55,"4. Mature Adulthood (45-54)",TRUE,"5. Late Adulthood/Senior (55+)")</f>
        <v>5. Late Adulthood/Senior (55+)</v>
      </c>
      <c r="D4600" t="s">
        <v>41</v>
      </c>
      <c r="E4600" t="s">
        <v>32</v>
      </c>
      <c r="F4600" s="4">
        <v>11.8</v>
      </c>
      <c r="G4600" s="5">
        <v>53</v>
      </c>
      <c r="H4600" t="s">
        <v>33</v>
      </c>
      <c r="I4600" t="s">
        <v>57</v>
      </c>
      <c r="J4600" s="6">
        <v>17.989999999999998</v>
      </c>
      <c r="K4600">
        <v>1</v>
      </c>
      <c r="L4600" t="s">
        <v>29</v>
      </c>
      <c r="M4600" s="5">
        <v>5</v>
      </c>
      <c r="N4600" s="4">
        <v>0.22</v>
      </c>
      <c r="O4600" t="s">
        <v>47</v>
      </c>
    </row>
    <row r="4601" spans="1:15" x14ac:dyDescent="0.3">
      <c r="A4601" t="s">
        <v>3717</v>
      </c>
      <c r="B4601" s="5">
        <v>58</v>
      </c>
      <c r="C4601" s="5" t="str" cm="1">
        <f t="array" ref="C4601">_xlfn.IFS(worksheet[[#This Row],[age]]&lt;25,"1. Young Adulthood (18-24)",worksheet[[#This Row],[age]]&lt; 35,"2. Early Adulthood (25-34)",worksheet[[#This Row],[age]]&lt; 45,"3. Mid Adulthood (35-44)",worksheet[[#This Row],[age]]&lt; 55,"4. Mature Adulthood (45-54)",TRUE,"5. Late Adulthood/Senior (55+)")</f>
        <v>5. Late Adulthood/Senior (55+)</v>
      </c>
      <c r="D4601" t="s">
        <v>27</v>
      </c>
      <c r="E4601" t="s">
        <v>32</v>
      </c>
      <c r="F4601" s="4">
        <v>24.06</v>
      </c>
      <c r="G4601" s="5">
        <v>38</v>
      </c>
      <c r="H4601" t="s">
        <v>70</v>
      </c>
      <c r="I4601" t="s">
        <v>24</v>
      </c>
      <c r="J4601" s="6">
        <v>17.989999999999998</v>
      </c>
      <c r="K4601">
        <v>0</v>
      </c>
      <c r="L4601" t="s">
        <v>43</v>
      </c>
      <c r="M4601" s="5">
        <v>5</v>
      </c>
      <c r="N4601" s="4">
        <v>0.62</v>
      </c>
      <c r="O4601" t="s">
        <v>34</v>
      </c>
    </row>
    <row r="4602" spans="1:15" x14ac:dyDescent="0.3">
      <c r="A4602" t="s">
        <v>3720</v>
      </c>
      <c r="B4602" s="5">
        <v>57</v>
      </c>
      <c r="C4602" s="5" t="str" cm="1">
        <f t="array" ref="C4602">_xlfn.IFS(worksheet[[#This Row],[age]]&lt;25,"1. Young Adulthood (18-24)",worksheet[[#This Row],[age]]&lt; 35,"2. Early Adulthood (25-34)",worksheet[[#This Row],[age]]&lt; 45,"3. Mid Adulthood (35-44)",worksheet[[#This Row],[age]]&lt; 55,"4. Mature Adulthood (45-54)",TRUE,"5. Late Adulthood/Senior (55+)")</f>
        <v>5. Late Adulthood/Senior (55+)</v>
      </c>
      <c r="D4602" t="s">
        <v>27</v>
      </c>
      <c r="E4602" t="s">
        <v>32</v>
      </c>
      <c r="F4602" s="4">
        <v>0.98</v>
      </c>
      <c r="G4602" s="5">
        <v>59</v>
      </c>
      <c r="H4602" t="s">
        <v>17</v>
      </c>
      <c r="I4602" t="s">
        <v>46</v>
      </c>
      <c r="J4602" s="6">
        <v>17.989999999999998</v>
      </c>
      <c r="K4602">
        <v>1</v>
      </c>
      <c r="L4602" t="s">
        <v>37</v>
      </c>
      <c r="M4602" s="5">
        <v>2</v>
      </c>
      <c r="N4602" s="4">
        <v>0.02</v>
      </c>
      <c r="O4602" t="s">
        <v>52</v>
      </c>
    </row>
    <row r="4603" spans="1:15" x14ac:dyDescent="0.3">
      <c r="A4603" t="s">
        <v>3721</v>
      </c>
      <c r="B4603" s="5">
        <v>59</v>
      </c>
      <c r="C4603" s="5" t="str" cm="1">
        <f t="array" ref="C4603">_xlfn.IFS(worksheet[[#This Row],[age]]&lt;25,"1. Young Adulthood (18-24)",worksheet[[#This Row],[age]]&lt; 35,"2. Early Adulthood (25-34)",worksheet[[#This Row],[age]]&lt; 45,"3. Mid Adulthood (35-44)",worksheet[[#This Row],[age]]&lt; 55,"4. Mature Adulthood (45-54)",TRUE,"5. Late Adulthood/Senior (55+)")</f>
        <v>5. Late Adulthood/Senior (55+)</v>
      </c>
      <c r="D4603" t="s">
        <v>27</v>
      </c>
      <c r="E4603" t="s">
        <v>32</v>
      </c>
      <c r="F4603" s="4">
        <v>0.1</v>
      </c>
      <c r="G4603" s="5">
        <v>20</v>
      </c>
      <c r="H4603" t="s">
        <v>70</v>
      </c>
      <c r="I4603" t="s">
        <v>46</v>
      </c>
      <c r="J4603" s="6">
        <v>17.989999999999998</v>
      </c>
      <c r="K4603">
        <v>1</v>
      </c>
      <c r="L4603" t="s">
        <v>29</v>
      </c>
      <c r="M4603" s="5">
        <v>1</v>
      </c>
      <c r="N4603" s="4">
        <v>0</v>
      </c>
      <c r="O4603" t="s">
        <v>25</v>
      </c>
    </row>
    <row r="4604" spans="1:15" x14ac:dyDescent="0.3">
      <c r="A4604" t="s">
        <v>3723</v>
      </c>
      <c r="B4604" s="5">
        <v>66</v>
      </c>
      <c r="C4604" s="5" t="str" cm="1">
        <f t="array" ref="C4604">_xlfn.IFS(worksheet[[#This Row],[age]]&lt;25,"1. Young Adulthood (18-24)",worksheet[[#This Row],[age]]&lt; 35,"2. Early Adulthood (25-34)",worksheet[[#This Row],[age]]&lt; 45,"3. Mid Adulthood (35-44)",worksheet[[#This Row],[age]]&lt; 55,"4. Mature Adulthood (45-54)",TRUE,"5. Late Adulthood/Senior (55+)")</f>
        <v>5. Late Adulthood/Senior (55+)</v>
      </c>
      <c r="D4604" t="s">
        <v>41</v>
      </c>
      <c r="E4604" t="s">
        <v>22</v>
      </c>
      <c r="F4604" s="4">
        <v>3.46</v>
      </c>
      <c r="G4604" s="5">
        <v>44</v>
      </c>
      <c r="H4604" t="s">
        <v>33</v>
      </c>
      <c r="I4604" t="s">
        <v>57</v>
      </c>
      <c r="J4604" s="6">
        <v>13.99</v>
      </c>
      <c r="K4604">
        <v>1</v>
      </c>
      <c r="L4604" t="s">
        <v>29</v>
      </c>
      <c r="M4604" s="5">
        <v>4</v>
      </c>
      <c r="N4604" s="4">
        <v>0.08</v>
      </c>
      <c r="O4604" t="s">
        <v>47</v>
      </c>
    </row>
    <row r="4605" spans="1:15" x14ac:dyDescent="0.3">
      <c r="A4605" t="s">
        <v>3724</v>
      </c>
      <c r="B4605" s="5">
        <v>55</v>
      </c>
      <c r="C4605" s="5" t="str" cm="1">
        <f t="array" ref="C4605">_xlfn.IFS(worksheet[[#This Row],[age]]&lt;25,"1. Young Adulthood (18-24)",worksheet[[#This Row],[age]]&lt; 35,"2. Early Adulthood (25-34)",worksheet[[#This Row],[age]]&lt; 45,"3. Mid Adulthood (35-44)",worksheet[[#This Row],[age]]&lt; 55,"4. Mature Adulthood (45-54)",TRUE,"5. Late Adulthood/Senior (55+)")</f>
        <v>5. Late Adulthood/Senior (55+)</v>
      </c>
      <c r="D4605" t="s">
        <v>41</v>
      </c>
      <c r="E4605" t="s">
        <v>16</v>
      </c>
      <c r="F4605" s="4">
        <v>2.74</v>
      </c>
      <c r="G4605" s="5">
        <v>44</v>
      </c>
      <c r="H4605" t="s">
        <v>49</v>
      </c>
      <c r="I4605" t="s">
        <v>46</v>
      </c>
      <c r="J4605" s="6">
        <v>8.99</v>
      </c>
      <c r="K4605">
        <v>1</v>
      </c>
      <c r="L4605" t="s">
        <v>61</v>
      </c>
      <c r="M4605" s="5">
        <v>4</v>
      </c>
      <c r="N4605" s="4">
        <v>0.06</v>
      </c>
      <c r="O4605" t="s">
        <v>52</v>
      </c>
    </row>
    <row r="4606" spans="1:15" x14ac:dyDescent="0.3">
      <c r="A4606" t="s">
        <v>3727</v>
      </c>
      <c r="B4606" s="5">
        <v>57</v>
      </c>
      <c r="C4606" s="5" t="str" cm="1">
        <f t="array" ref="C4606">_xlfn.IFS(worksheet[[#This Row],[age]]&lt;25,"1. Young Adulthood (18-24)",worksheet[[#This Row],[age]]&lt; 35,"2. Early Adulthood (25-34)",worksheet[[#This Row],[age]]&lt; 45,"3. Mid Adulthood (35-44)",worksheet[[#This Row],[age]]&lt; 55,"4. Mature Adulthood (45-54)",TRUE,"5. Late Adulthood/Senior (55+)")</f>
        <v>5. Late Adulthood/Senior (55+)</v>
      </c>
      <c r="D4606" t="s">
        <v>27</v>
      </c>
      <c r="E4606" t="s">
        <v>22</v>
      </c>
      <c r="F4606" s="4">
        <v>1.41</v>
      </c>
      <c r="G4606" s="5">
        <v>11</v>
      </c>
      <c r="H4606" t="s">
        <v>23</v>
      </c>
      <c r="I4606" t="s">
        <v>57</v>
      </c>
      <c r="J4606" s="6">
        <v>13.99</v>
      </c>
      <c r="K4606">
        <v>0</v>
      </c>
      <c r="L4606" t="s">
        <v>43</v>
      </c>
      <c r="M4606" s="5">
        <v>5</v>
      </c>
      <c r="N4606" s="4">
        <v>0.12</v>
      </c>
      <c r="O4606" t="s">
        <v>39</v>
      </c>
    </row>
    <row r="4607" spans="1:15" x14ac:dyDescent="0.3">
      <c r="A4607" t="s">
        <v>3733</v>
      </c>
      <c r="B4607" s="5">
        <v>55</v>
      </c>
      <c r="C4607" s="5" t="str" cm="1">
        <f t="array" ref="C4607">_xlfn.IFS(worksheet[[#This Row],[age]]&lt;25,"1. Young Adulthood (18-24)",worksheet[[#This Row],[age]]&lt; 35,"2. Early Adulthood (25-34)",worksheet[[#This Row],[age]]&lt; 45,"3. Mid Adulthood (35-44)",worksheet[[#This Row],[age]]&lt; 55,"4. Mature Adulthood (45-54)",TRUE,"5. Late Adulthood/Senior (55+)")</f>
        <v>5. Late Adulthood/Senior (55+)</v>
      </c>
      <c r="D4607" t="s">
        <v>41</v>
      </c>
      <c r="E4607" t="s">
        <v>16</v>
      </c>
      <c r="F4607" s="4">
        <v>7.22</v>
      </c>
      <c r="G4607" s="5">
        <v>3</v>
      </c>
      <c r="H4607" t="s">
        <v>70</v>
      </c>
      <c r="I4607" t="s">
        <v>57</v>
      </c>
      <c r="J4607" s="6">
        <v>8.99</v>
      </c>
      <c r="K4607">
        <v>0</v>
      </c>
      <c r="L4607" t="s">
        <v>19</v>
      </c>
      <c r="M4607" s="5">
        <v>2</v>
      </c>
      <c r="N4607" s="4">
        <v>1.8</v>
      </c>
      <c r="O4607" t="s">
        <v>39</v>
      </c>
    </row>
    <row r="4608" spans="1:15" x14ac:dyDescent="0.3">
      <c r="A4608" t="s">
        <v>3736</v>
      </c>
      <c r="B4608" s="5">
        <v>70</v>
      </c>
      <c r="C4608" s="5" t="str" cm="1">
        <f t="array" ref="C4608">_xlfn.IFS(worksheet[[#This Row],[age]]&lt;25,"1. Young Adulthood (18-24)",worksheet[[#This Row],[age]]&lt; 35,"2. Early Adulthood (25-34)",worksheet[[#This Row],[age]]&lt; 45,"3. Mid Adulthood (35-44)",worksheet[[#This Row],[age]]&lt; 55,"4. Mature Adulthood (45-54)",TRUE,"5. Late Adulthood/Senior (55+)")</f>
        <v>5. Late Adulthood/Senior (55+)</v>
      </c>
      <c r="D4608" t="s">
        <v>15</v>
      </c>
      <c r="E4608" t="s">
        <v>16</v>
      </c>
      <c r="F4608" s="4">
        <v>18.36</v>
      </c>
      <c r="G4608" s="5">
        <v>46</v>
      </c>
      <c r="H4608" t="s">
        <v>70</v>
      </c>
      <c r="I4608" t="s">
        <v>46</v>
      </c>
      <c r="J4608" s="6">
        <v>8.99</v>
      </c>
      <c r="K4608">
        <v>1</v>
      </c>
      <c r="L4608" t="s">
        <v>19</v>
      </c>
      <c r="M4608" s="5">
        <v>2</v>
      </c>
      <c r="N4608" s="4">
        <v>0.39</v>
      </c>
      <c r="O4608" t="s">
        <v>34</v>
      </c>
    </row>
    <row r="4609" spans="1:15" x14ac:dyDescent="0.3">
      <c r="A4609" t="s">
        <v>3737</v>
      </c>
      <c r="B4609" s="5">
        <v>70</v>
      </c>
      <c r="C4609" s="5" t="str" cm="1">
        <f t="array" ref="C4609">_xlfn.IFS(worksheet[[#This Row],[age]]&lt;25,"1. Young Adulthood (18-24)",worksheet[[#This Row],[age]]&lt; 35,"2. Early Adulthood (25-34)",worksheet[[#This Row],[age]]&lt; 45,"3. Mid Adulthood (35-44)",worksheet[[#This Row],[age]]&lt; 55,"4. Mature Adulthood (45-54)",TRUE,"5. Late Adulthood/Senior (55+)")</f>
        <v>5. Late Adulthood/Senior (55+)</v>
      </c>
      <c r="D4609" t="s">
        <v>27</v>
      </c>
      <c r="E4609" t="s">
        <v>16</v>
      </c>
      <c r="F4609" s="4">
        <v>1.26</v>
      </c>
      <c r="G4609" s="5">
        <v>20</v>
      </c>
      <c r="H4609" t="s">
        <v>17</v>
      </c>
      <c r="I4609" t="s">
        <v>18</v>
      </c>
      <c r="J4609" s="6">
        <v>8.99</v>
      </c>
      <c r="K4609">
        <v>1</v>
      </c>
      <c r="L4609" t="s">
        <v>37</v>
      </c>
      <c r="M4609" s="5">
        <v>5</v>
      </c>
      <c r="N4609" s="4">
        <v>0.06</v>
      </c>
      <c r="O4609" t="s">
        <v>30</v>
      </c>
    </row>
    <row r="4610" spans="1:15" x14ac:dyDescent="0.3">
      <c r="A4610" t="s">
        <v>3738</v>
      </c>
      <c r="B4610" s="5">
        <v>66</v>
      </c>
      <c r="C4610" s="5" t="str" cm="1">
        <f t="array" ref="C4610">_xlfn.IFS(worksheet[[#This Row],[age]]&lt;25,"1. Young Adulthood (18-24)",worksheet[[#This Row],[age]]&lt; 35,"2. Early Adulthood (25-34)",worksheet[[#This Row],[age]]&lt; 45,"3. Mid Adulthood (35-44)",worksheet[[#This Row],[age]]&lt; 55,"4. Mature Adulthood (45-54)",TRUE,"5. Late Adulthood/Senior (55+)")</f>
        <v>5. Late Adulthood/Senior (55+)</v>
      </c>
      <c r="D4610" t="s">
        <v>41</v>
      </c>
      <c r="E4610" t="s">
        <v>22</v>
      </c>
      <c r="F4610" s="4">
        <v>0.28999999999999998</v>
      </c>
      <c r="G4610" s="5">
        <v>2</v>
      </c>
      <c r="H4610" t="s">
        <v>33</v>
      </c>
      <c r="I4610" t="s">
        <v>46</v>
      </c>
      <c r="J4610" s="6">
        <v>13.99</v>
      </c>
      <c r="K4610">
        <v>1</v>
      </c>
      <c r="L4610" t="s">
        <v>19</v>
      </c>
      <c r="M4610" s="5">
        <v>2</v>
      </c>
      <c r="N4610" s="4">
        <v>0.1</v>
      </c>
      <c r="O4610" t="s">
        <v>20</v>
      </c>
    </row>
    <row r="4611" spans="1:15" x14ac:dyDescent="0.3">
      <c r="A4611" t="s">
        <v>3739</v>
      </c>
      <c r="B4611" s="5">
        <v>55</v>
      </c>
      <c r="C4611" s="5" t="str" cm="1">
        <f t="array" ref="C4611">_xlfn.IFS(worksheet[[#This Row],[age]]&lt;25,"1. Young Adulthood (18-24)",worksheet[[#This Row],[age]]&lt; 35,"2. Early Adulthood (25-34)",worksheet[[#This Row],[age]]&lt; 45,"3. Mid Adulthood (35-44)",worksheet[[#This Row],[age]]&lt; 55,"4. Mature Adulthood (45-54)",TRUE,"5. Late Adulthood/Senior (55+)")</f>
        <v>5. Late Adulthood/Senior (55+)</v>
      </c>
      <c r="D4611" t="s">
        <v>27</v>
      </c>
      <c r="E4611" t="s">
        <v>32</v>
      </c>
      <c r="F4611" s="4">
        <v>13.7</v>
      </c>
      <c r="G4611" s="5">
        <v>59</v>
      </c>
      <c r="H4611" t="s">
        <v>49</v>
      </c>
      <c r="I4611" t="s">
        <v>55</v>
      </c>
      <c r="J4611" s="6">
        <v>17.989999999999998</v>
      </c>
      <c r="K4611">
        <v>1</v>
      </c>
      <c r="L4611" t="s">
        <v>43</v>
      </c>
      <c r="M4611" s="5">
        <v>3</v>
      </c>
      <c r="N4611" s="4">
        <v>0.23</v>
      </c>
      <c r="O4611" t="s">
        <v>20</v>
      </c>
    </row>
    <row r="4612" spans="1:15" x14ac:dyDescent="0.3">
      <c r="A4612" t="s">
        <v>3743</v>
      </c>
      <c r="B4612" s="5">
        <v>63</v>
      </c>
      <c r="C4612" s="5" t="str" cm="1">
        <f t="array" ref="C4612">_xlfn.IFS(worksheet[[#This Row],[age]]&lt;25,"1. Young Adulthood (18-24)",worksheet[[#This Row],[age]]&lt; 35,"2. Early Adulthood (25-34)",worksheet[[#This Row],[age]]&lt; 45,"3. Mid Adulthood (35-44)",worksheet[[#This Row],[age]]&lt; 55,"4. Mature Adulthood (45-54)",TRUE,"5. Late Adulthood/Senior (55+)")</f>
        <v>5. Late Adulthood/Senior (55+)</v>
      </c>
      <c r="D4612" t="s">
        <v>15</v>
      </c>
      <c r="E4612" t="s">
        <v>32</v>
      </c>
      <c r="F4612" s="4">
        <v>26.2</v>
      </c>
      <c r="G4612" s="5">
        <v>52</v>
      </c>
      <c r="H4612" t="s">
        <v>70</v>
      </c>
      <c r="I4612" t="s">
        <v>46</v>
      </c>
      <c r="J4612" s="6">
        <v>17.989999999999998</v>
      </c>
      <c r="K4612">
        <v>0</v>
      </c>
      <c r="L4612" t="s">
        <v>19</v>
      </c>
      <c r="M4612" s="5">
        <v>2</v>
      </c>
      <c r="N4612" s="4">
        <v>0.49</v>
      </c>
      <c r="O4612" t="s">
        <v>34</v>
      </c>
    </row>
    <row r="4613" spans="1:15" x14ac:dyDescent="0.3">
      <c r="A4613" t="s">
        <v>3747</v>
      </c>
      <c r="B4613" s="5">
        <v>58</v>
      </c>
      <c r="C4613" s="5" t="str" cm="1">
        <f t="array" ref="C4613">_xlfn.IFS(worksheet[[#This Row],[age]]&lt;25,"1. Young Adulthood (18-24)",worksheet[[#This Row],[age]]&lt; 35,"2. Early Adulthood (25-34)",worksheet[[#This Row],[age]]&lt; 45,"3. Mid Adulthood (35-44)",worksheet[[#This Row],[age]]&lt; 55,"4. Mature Adulthood (45-54)",TRUE,"5. Late Adulthood/Senior (55+)")</f>
        <v>5. Late Adulthood/Senior (55+)</v>
      </c>
      <c r="D4613" t="s">
        <v>27</v>
      </c>
      <c r="E4613" t="s">
        <v>16</v>
      </c>
      <c r="F4613" s="4">
        <v>10.42</v>
      </c>
      <c r="G4613" s="5">
        <v>6</v>
      </c>
      <c r="H4613" t="s">
        <v>33</v>
      </c>
      <c r="I4613" t="s">
        <v>57</v>
      </c>
      <c r="J4613" s="6">
        <v>8.99</v>
      </c>
      <c r="K4613">
        <v>0</v>
      </c>
      <c r="L4613" t="s">
        <v>37</v>
      </c>
      <c r="M4613" s="5">
        <v>2</v>
      </c>
      <c r="N4613" s="4">
        <v>1.49</v>
      </c>
      <c r="O4613" t="s">
        <v>52</v>
      </c>
    </row>
    <row r="4614" spans="1:15" x14ac:dyDescent="0.3">
      <c r="A4614" t="s">
        <v>3749</v>
      </c>
      <c r="B4614" s="5">
        <v>63</v>
      </c>
      <c r="C4614" s="5" t="str" cm="1">
        <f t="array" ref="C4614">_xlfn.IFS(worksheet[[#This Row],[age]]&lt;25,"1. Young Adulthood (18-24)",worksheet[[#This Row],[age]]&lt; 35,"2. Early Adulthood (25-34)",worksheet[[#This Row],[age]]&lt; 45,"3. Mid Adulthood (35-44)",worksheet[[#This Row],[age]]&lt; 55,"4. Mature Adulthood (45-54)",TRUE,"5. Late Adulthood/Senior (55+)")</f>
        <v>5. Late Adulthood/Senior (55+)</v>
      </c>
      <c r="D4614" t="s">
        <v>41</v>
      </c>
      <c r="E4614" t="s">
        <v>32</v>
      </c>
      <c r="F4614" s="4">
        <v>3.17</v>
      </c>
      <c r="G4614" s="5">
        <v>14</v>
      </c>
      <c r="H4614" t="s">
        <v>33</v>
      </c>
      <c r="I4614" t="s">
        <v>57</v>
      </c>
      <c r="J4614" s="6">
        <v>17.989999999999998</v>
      </c>
      <c r="K4614">
        <v>1</v>
      </c>
      <c r="L4614" t="s">
        <v>19</v>
      </c>
      <c r="M4614" s="5">
        <v>5</v>
      </c>
      <c r="N4614" s="4">
        <v>0.21</v>
      </c>
      <c r="O4614" t="s">
        <v>47</v>
      </c>
    </row>
    <row r="4615" spans="1:15" x14ac:dyDescent="0.3">
      <c r="A4615" t="s">
        <v>3753</v>
      </c>
      <c r="B4615" s="5">
        <v>64</v>
      </c>
      <c r="C4615" s="5" t="str" cm="1">
        <f t="array" ref="C4615">_xlfn.IFS(worksheet[[#This Row],[age]]&lt;25,"1. Young Adulthood (18-24)",worksheet[[#This Row],[age]]&lt; 35,"2. Early Adulthood (25-34)",worksheet[[#This Row],[age]]&lt; 45,"3. Mid Adulthood (35-44)",worksheet[[#This Row],[age]]&lt; 55,"4. Mature Adulthood (45-54)",TRUE,"5. Late Adulthood/Senior (55+)")</f>
        <v>5. Late Adulthood/Senior (55+)</v>
      </c>
      <c r="D4615" t="s">
        <v>27</v>
      </c>
      <c r="E4615" t="s">
        <v>16</v>
      </c>
      <c r="F4615" s="4">
        <v>6.74</v>
      </c>
      <c r="G4615" s="5">
        <v>46</v>
      </c>
      <c r="H4615" t="s">
        <v>70</v>
      </c>
      <c r="I4615" t="s">
        <v>57</v>
      </c>
      <c r="J4615" s="6">
        <v>8.99</v>
      </c>
      <c r="K4615">
        <v>1</v>
      </c>
      <c r="L4615" t="s">
        <v>61</v>
      </c>
      <c r="M4615" s="5">
        <v>5</v>
      </c>
      <c r="N4615" s="4">
        <v>0.14000000000000001</v>
      </c>
      <c r="O4615" t="s">
        <v>52</v>
      </c>
    </row>
    <row r="4616" spans="1:15" x14ac:dyDescent="0.3">
      <c r="A4616" t="s">
        <v>3759</v>
      </c>
      <c r="B4616" s="5">
        <v>60</v>
      </c>
      <c r="C4616" s="5" t="str" cm="1">
        <f t="array" ref="C4616">_xlfn.IFS(worksheet[[#This Row],[age]]&lt;25,"1. Young Adulthood (18-24)",worksheet[[#This Row],[age]]&lt; 35,"2. Early Adulthood (25-34)",worksheet[[#This Row],[age]]&lt; 45,"3. Mid Adulthood (35-44)",worksheet[[#This Row],[age]]&lt; 55,"4. Mature Adulthood (45-54)",TRUE,"5. Late Adulthood/Senior (55+)")</f>
        <v>5. Late Adulthood/Senior (55+)</v>
      </c>
      <c r="D4616" t="s">
        <v>27</v>
      </c>
      <c r="E4616" t="s">
        <v>16</v>
      </c>
      <c r="F4616" s="4">
        <v>15.01</v>
      </c>
      <c r="G4616" s="5">
        <v>20</v>
      </c>
      <c r="H4616" t="s">
        <v>49</v>
      </c>
      <c r="I4616" t="s">
        <v>24</v>
      </c>
      <c r="J4616" s="6">
        <v>8.99</v>
      </c>
      <c r="K4616">
        <v>0</v>
      </c>
      <c r="L4616" t="s">
        <v>29</v>
      </c>
      <c r="M4616" s="5">
        <v>1</v>
      </c>
      <c r="N4616" s="4">
        <v>0.71</v>
      </c>
      <c r="O4616" t="s">
        <v>25</v>
      </c>
    </row>
    <row r="4617" spans="1:15" x14ac:dyDescent="0.3">
      <c r="A4617" t="s">
        <v>3760</v>
      </c>
      <c r="B4617" s="5">
        <v>61</v>
      </c>
      <c r="C4617" s="5" t="str" cm="1">
        <f t="array" ref="C4617">_xlfn.IFS(worksheet[[#This Row],[age]]&lt;25,"1. Young Adulthood (18-24)",worksheet[[#This Row],[age]]&lt; 35,"2. Early Adulthood (25-34)",worksheet[[#This Row],[age]]&lt; 45,"3. Mid Adulthood (35-44)",worksheet[[#This Row],[age]]&lt; 55,"4. Mature Adulthood (45-54)",TRUE,"5. Late Adulthood/Senior (55+)")</f>
        <v>5. Late Adulthood/Senior (55+)</v>
      </c>
      <c r="D4617" t="s">
        <v>15</v>
      </c>
      <c r="E4617" t="s">
        <v>32</v>
      </c>
      <c r="F4617" s="4">
        <v>12.59</v>
      </c>
      <c r="G4617" s="5">
        <v>11</v>
      </c>
      <c r="H4617" t="s">
        <v>70</v>
      </c>
      <c r="I4617" t="s">
        <v>18</v>
      </c>
      <c r="J4617" s="6">
        <v>17.989999999999998</v>
      </c>
      <c r="K4617">
        <v>0</v>
      </c>
      <c r="L4617" t="s">
        <v>29</v>
      </c>
      <c r="M4617" s="5">
        <v>5</v>
      </c>
      <c r="N4617" s="4">
        <v>1.05</v>
      </c>
      <c r="O4617" t="s">
        <v>39</v>
      </c>
    </row>
    <row r="4618" spans="1:15" x14ac:dyDescent="0.3">
      <c r="A4618" t="s">
        <v>3761</v>
      </c>
      <c r="B4618" s="5">
        <v>68</v>
      </c>
      <c r="C4618" s="5" t="str" cm="1">
        <f t="array" ref="C4618">_xlfn.IFS(worksheet[[#This Row],[age]]&lt;25,"1. Young Adulthood (18-24)",worksheet[[#This Row],[age]]&lt; 35,"2. Early Adulthood (25-34)",worksheet[[#This Row],[age]]&lt; 45,"3. Mid Adulthood (35-44)",worksheet[[#This Row],[age]]&lt; 55,"4. Mature Adulthood (45-54)",TRUE,"5. Late Adulthood/Senior (55+)")</f>
        <v>5. Late Adulthood/Senior (55+)</v>
      </c>
      <c r="D4618" t="s">
        <v>27</v>
      </c>
      <c r="E4618" t="s">
        <v>16</v>
      </c>
      <c r="F4618" s="4">
        <v>6.43</v>
      </c>
      <c r="G4618" s="5">
        <v>38</v>
      </c>
      <c r="H4618" t="s">
        <v>28</v>
      </c>
      <c r="I4618" t="s">
        <v>55</v>
      </c>
      <c r="J4618" s="6">
        <v>8.99</v>
      </c>
      <c r="K4618">
        <v>1</v>
      </c>
      <c r="L4618" t="s">
        <v>29</v>
      </c>
      <c r="M4618" s="5">
        <v>3</v>
      </c>
      <c r="N4618" s="4">
        <v>0.16</v>
      </c>
      <c r="O4618" t="s">
        <v>47</v>
      </c>
    </row>
    <row r="4619" spans="1:15" x14ac:dyDescent="0.3">
      <c r="A4619" t="s">
        <v>3762</v>
      </c>
      <c r="B4619" s="5">
        <v>55</v>
      </c>
      <c r="C4619" s="5" t="str" cm="1">
        <f t="array" ref="C4619">_xlfn.IFS(worksheet[[#This Row],[age]]&lt;25,"1. Young Adulthood (18-24)",worksheet[[#This Row],[age]]&lt; 35,"2. Early Adulthood (25-34)",worksheet[[#This Row],[age]]&lt; 45,"3. Mid Adulthood (35-44)",worksheet[[#This Row],[age]]&lt; 55,"4. Mature Adulthood (45-54)",TRUE,"5. Late Adulthood/Senior (55+)")</f>
        <v>5. Late Adulthood/Senior (55+)</v>
      </c>
      <c r="D4619" t="s">
        <v>41</v>
      </c>
      <c r="E4619" t="s">
        <v>22</v>
      </c>
      <c r="F4619" s="4">
        <v>22.74</v>
      </c>
      <c r="G4619" s="5">
        <v>5</v>
      </c>
      <c r="H4619" t="s">
        <v>23</v>
      </c>
      <c r="I4619" t="s">
        <v>24</v>
      </c>
      <c r="J4619" s="6">
        <v>13.99</v>
      </c>
      <c r="K4619">
        <v>0</v>
      </c>
      <c r="L4619" t="s">
        <v>43</v>
      </c>
      <c r="M4619" s="5">
        <v>3</v>
      </c>
      <c r="N4619" s="4">
        <v>3.79</v>
      </c>
      <c r="O4619" t="s">
        <v>34</v>
      </c>
    </row>
    <row r="4620" spans="1:15" x14ac:dyDescent="0.3">
      <c r="A4620" t="s">
        <v>3765</v>
      </c>
      <c r="B4620" s="5">
        <v>56</v>
      </c>
      <c r="C4620" s="5" t="str" cm="1">
        <f t="array" ref="C4620">_xlfn.IFS(worksheet[[#This Row],[age]]&lt;25,"1. Young Adulthood (18-24)",worksheet[[#This Row],[age]]&lt; 35,"2. Early Adulthood (25-34)",worksheet[[#This Row],[age]]&lt; 45,"3. Mid Adulthood (35-44)",worksheet[[#This Row],[age]]&lt; 55,"4. Mature Adulthood (45-54)",TRUE,"5. Late Adulthood/Senior (55+)")</f>
        <v>5. Late Adulthood/Senior (55+)</v>
      </c>
      <c r="D4620" t="s">
        <v>15</v>
      </c>
      <c r="E4620" t="s">
        <v>32</v>
      </c>
      <c r="F4620" s="4">
        <v>0.85</v>
      </c>
      <c r="G4620" s="5">
        <v>29</v>
      </c>
      <c r="H4620" t="s">
        <v>33</v>
      </c>
      <c r="I4620" t="s">
        <v>18</v>
      </c>
      <c r="J4620" s="6">
        <v>17.989999999999998</v>
      </c>
      <c r="K4620">
        <v>1</v>
      </c>
      <c r="L4620" t="s">
        <v>29</v>
      </c>
      <c r="M4620" s="5">
        <v>5</v>
      </c>
      <c r="N4620" s="4">
        <v>0.03</v>
      </c>
      <c r="O4620" t="s">
        <v>25</v>
      </c>
    </row>
    <row r="4621" spans="1:15" x14ac:dyDescent="0.3">
      <c r="A4621" t="s">
        <v>3771</v>
      </c>
      <c r="B4621" s="5">
        <v>59</v>
      </c>
      <c r="C4621" s="5" t="str" cm="1">
        <f t="array" ref="C4621">_xlfn.IFS(worksheet[[#This Row],[age]]&lt;25,"1. Young Adulthood (18-24)",worksheet[[#This Row],[age]]&lt; 35,"2. Early Adulthood (25-34)",worksheet[[#This Row],[age]]&lt; 45,"3. Mid Adulthood (35-44)",worksheet[[#This Row],[age]]&lt; 55,"4. Mature Adulthood (45-54)",TRUE,"5. Late Adulthood/Senior (55+)")</f>
        <v>5. Late Adulthood/Senior (55+)</v>
      </c>
      <c r="D4621" t="s">
        <v>41</v>
      </c>
      <c r="E4621" t="s">
        <v>22</v>
      </c>
      <c r="F4621" s="4">
        <v>7.33</v>
      </c>
      <c r="G4621" s="5">
        <v>21</v>
      </c>
      <c r="H4621" t="s">
        <v>33</v>
      </c>
      <c r="I4621" t="s">
        <v>24</v>
      </c>
      <c r="J4621" s="6">
        <v>13.99</v>
      </c>
      <c r="K4621">
        <v>0</v>
      </c>
      <c r="L4621" t="s">
        <v>43</v>
      </c>
      <c r="M4621" s="5">
        <v>4</v>
      </c>
      <c r="N4621" s="4">
        <v>0.33</v>
      </c>
      <c r="O4621" t="s">
        <v>52</v>
      </c>
    </row>
    <row r="4622" spans="1:15" x14ac:dyDescent="0.3">
      <c r="A4622" t="s">
        <v>3777</v>
      </c>
      <c r="B4622" s="5">
        <v>66</v>
      </c>
      <c r="C4622" s="5" t="str" cm="1">
        <f t="array" ref="C4622">_xlfn.IFS(worksheet[[#This Row],[age]]&lt;25,"1. Young Adulthood (18-24)",worksheet[[#This Row],[age]]&lt; 35,"2. Early Adulthood (25-34)",worksheet[[#This Row],[age]]&lt; 45,"3. Mid Adulthood (35-44)",worksheet[[#This Row],[age]]&lt; 55,"4. Mature Adulthood (45-54)",TRUE,"5. Late Adulthood/Senior (55+)")</f>
        <v>5. Late Adulthood/Senior (55+)</v>
      </c>
      <c r="D4622" t="s">
        <v>27</v>
      </c>
      <c r="E4622" t="s">
        <v>22</v>
      </c>
      <c r="F4622" s="4">
        <v>0.06</v>
      </c>
      <c r="G4622" s="5">
        <v>58</v>
      </c>
      <c r="H4622" t="s">
        <v>23</v>
      </c>
      <c r="I4622" t="s">
        <v>24</v>
      </c>
      <c r="J4622" s="6">
        <v>13.99</v>
      </c>
      <c r="K4622">
        <v>1</v>
      </c>
      <c r="L4622" t="s">
        <v>43</v>
      </c>
      <c r="M4622" s="5">
        <v>2</v>
      </c>
      <c r="N4622" s="4">
        <v>0</v>
      </c>
      <c r="O4622" t="s">
        <v>52</v>
      </c>
    </row>
    <row r="4623" spans="1:15" x14ac:dyDescent="0.3">
      <c r="A4623" t="s">
        <v>3778</v>
      </c>
      <c r="B4623" s="5">
        <v>64</v>
      </c>
      <c r="C4623" s="5" t="str" cm="1">
        <f t="array" ref="C4623">_xlfn.IFS(worksheet[[#This Row],[age]]&lt;25,"1. Young Adulthood (18-24)",worksheet[[#This Row],[age]]&lt; 35,"2. Early Adulthood (25-34)",worksheet[[#This Row],[age]]&lt; 45,"3. Mid Adulthood (35-44)",worksheet[[#This Row],[age]]&lt; 55,"4. Mature Adulthood (45-54)",TRUE,"5. Late Adulthood/Senior (55+)")</f>
        <v>5. Late Adulthood/Senior (55+)</v>
      </c>
      <c r="D4623" t="s">
        <v>27</v>
      </c>
      <c r="E4623" t="s">
        <v>22</v>
      </c>
      <c r="F4623" s="4">
        <v>31.14</v>
      </c>
      <c r="G4623" s="5">
        <v>39</v>
      </c>
      <c r="H4623" t="s">
        <v>33</v>
      </c>
      <c r="I4623" t="s">
        <v>46</v>
      </c>
      <c r="J4623" s="6">
        <v>13.99</v>
      </c>
      <c r="K4623">
        <v>0</v>
      </c>
      <c r="L4623" t="s">
        <v>37</v>
      </c>
      <c r="M4623" s="5">
        <v>3</v>
      </c>
      <c r="N4623" s="4">
        <v>0.78</v>
      </c>
      <c r="O4623" t="s">
        <v>52</v>
      </c>
    </row>
    <row r="4624" spans="1:15" x14ac:dyDescent="0.3">
      <c r="A4624" t="s">
        <v>3782</v>
      </c>
      <c r="B4624" s="5">
        <v>69</v>
      </c>
      <c r="C4624" s="5" t="str" cm="1">
        <f t="array" ref="C4624">_xlfn.IFS(worksheet[[#This Row],[age]]&lt;25,"1. Young Adulthood (18-24)",worksheet[[#This Row],[age]]&lt; 35,"2. Early Adulthood (25-34)",worksheet[[#This Row],[age]]&lt; 45,"3. Mid Adulthood (35-44)",worksheet[[#This Row],[age]]&lt; 55,"4. Mature Adulthood (45-54)",TRUE,"5. Late Adulthood/Senior (55+)")</f>
        <v>5. Late Adulthood/Senior (55+)</v>
      </c>
      <c r="D4624" t="s">
        <v>41</v>
      </c>
      <c r="E4624" t="s">
        <v>16</v>
      </c>
      <c r="F4624" s="4">
        <v>4.88</v>
      </c>
      <c r="G4624" s="5">
        <v>29</v>
      </c>
      <c r="H4624" t="s">
        <v>49</v>
      </c>
      <c r="I4624" t="s">
        <v>55</v>
      </c>
      <c r="J4624" s="6">
        <v>8.99</v>
      </c>
      <c r="K4624">
        <v>1</v>
      </c>
      <c r="L4624" t="s">
        <v>43</v>
      </c>
      <c r="M4624" s="5">
        <v>1</v>
      </c>
      <c r="N4624" s="4">
        <v>0.16</v>
      </c>
      <c r="O4624" t="s">
        <v>47</v>
      </c>
    </row>
    <row r="4625" spans="1:15" x14ac:dyDescent="0.3">
      <c r="A4625" t="s">
        <v>3783</v>
      </c>
      <c r="B4625" s="5">
        <v>61</v>
      </c>
      <c r="C4625" s="5" t="str" cm="1">
        <f t="array" ref="C4625">_xlfn.IFS(worksheet[[#This Row],[age]]&lt;25,"1. Young Adulthood (18-24)",worksheet[[#This Row],[age]]&lt; 35,"2. Early Adulthood (25-34)",worksheet[[#This Row],[age]]&lt; 45,"3. Mid Adulthood (35-44)",worksheet[[#This Row],[age]]&lt; 55,"4. Mature Adulthood (45-54)",TRUE,"5. Late Adulthood/Senior (55+)")</f>
        <v>5. Late Adulthood/Senior (55+)</v>
      </c>
      <c r="D4625" t="s">
        <v>41</v>
      </c>
      <c r="E4625" t="s">
        <v>22</v>
      </c>
      <c r="F4625" s="4">
        <v>8.85</v>
      </c>
      <c r="G4625" s="5">
        <v>13</v>
      </c>
      <c r="H4625" t="s">
        <v>17</v>
      </c>
      <c r="I4625" t="s">
        <v>57</v>
      </c>
      <c r="J4625" s="6">
        <v>13.99</v>
      </c>
      <c r="K4625">
        <v>0</v>
      </c>
      <c r="L4625" t="s">
        <v>29</v>
      </c>
      <c r="M4625" s="5">
        <v>2</v>
      </c>
      <c r="N4625" s="4">
        <v>0.63</v>
      </c>
      <c r="O4625" t="s">
        <v>47</v>
      </c>
    </row>
    <row r="4626" spans="1:15" x14ac:dyDescent="0.3">
      <c r="A4626" t="s">
        <v>3789</v>
      </c>
      <c r="B4626" s="5">
        <v>69</v>
      </c>
      <c r="C4626" s="5" t="str" cm="1">
        <f t="array" ref="C4626">_xlfn.IFS(worksheet[[#This Row],[age]]&lt;25,"1. Young Adulthood (18-24)",worksheet[[#This Row],[age]]&lt; 35,"2. Early Adulthood (25-34)",worksheet[[#This Row],[age]]&lt; 45,"3. Mid Adulthood (35-44)",worksheet[[#This Row],[age]]&lt; 55,"4. Mature Adulthood (45-54)",TRUE,"5. Late Adulthood/Senior (55+)")</f>
        <v>5. Late Adulthood/Senior (55+)</v>
      </c>
      <c r="D4626" t="s">
        <v>27</v>
      </c>
      <c r="E4626" t="s">
        <v>16</v>
      </c>
      <c r="F4626" s="4">
        <v>9.9499999999999993</v>
      </c>
      <c r="G4626" s="5">
        <v>34</v>
      </c>
      <c r="H4626" t="s">
        <v>17</v>
      </c>
      <c r="I4626" t="s">
        <v>46</v>
      </c>
      <c r="J4626" s="6">
        <v>8.99</v>
      </c>
      <c r="K4626">
        <v>1</v>
      </c>
      <c r="L4626" t="s">
        <v>29</v>
      </c>
      <c r="M4626" s="5">
        <v>4</v>
      </c>
      <c r="N4626" s="4">
        <v>0.28000000000000003</v>
      </c>
      <c r="O4626" t="s">
        <v>52</v>
      </c>
    </row>
    <row r="4627" spans="1:15" x14ac:dyDescent="0.3">
      <c r="A4627" t="s">
        <v>3791</v>
      </c>
      <c r="B4627" s="5">
        <v>55</v>
      </c>
      <c r="C4627" s="5" t="str" cm="1">
        <f t="array" ref="C4627">_xlfn.IFS(worksheet[[#This Row],[age]]&lt;25,"1. Young Adulthood (18-24)",worksheet[[#This Row],[age]]&lt; 35,"2. Early Adulthood (25-34)",worksheet[[#This Row],[age]]&lt; 45,"3. Mid Adulthood (35-44)",worksheet[[#This Row],[age]]&lt; 55,"4. Mature Adulthood (45-54)",TRUE,"5. Late Adulthood/Senior (55+)")</f>
        <v>5. Late Adulthood/Senior (55+)</v>
      </c>
      <c r="D4627" t="s">
        <v>27</v>
      </c>
      <c r="E4627" t="s">
        <v>32</v>
      </c>
      <c r="F4627" s="4">
        <v>2.59</v>
      </c>
      <c r="G4627" s="5">
        <v>17</v>
      </c>
      <c r="H4627" t="s">
        <v>70</v>
      </c>
      <c r="I4627" t="s">
        <v>24</v>
      </c>
      <c r="J4627" s="6">
        <v>17.989999999999998</v>
      </c>
      <c r="K4627">
        <v>0</v>
      </c>
      <c r="L4627" t="s">
        <v>43</v>
      </c>
      <c r="M4627" s="5">
        <v>5</v>
      </c>
      <c r="N4627" s="4">
        <v>0.14000000000000001</v>
      </c>
      <c r="O4627" t="s">
        <v>30</v>
      </c>
    </row>
    <row r="4628" spans="1:15" x14ac:dyDescent="0.3">
      <c r="A4628" t="s">
        <v>3793</v>
      </c>
      <c r="B4628" s="5">
        <v>68</v>
      </c>
      <c r="C4628" s="5" t="str" cm="1">
        <f t="array" ref="C4628">_xlfn.IFS(worksheet[[#This Row],[age]]&lt;25,"1. Young Adulthood (18-24)",worksheet[[#This Row],[age]]&lt; 35,"2. Early Adulthood (25-34)",worksheet[[#This Row],[age]]&lt; 45,"3. Mid Adulthood (35-44)",worksheet[[#This Row],[age]]&lt; 55,"4. Mature Adulthood (45-54)",TRUE,"5. Late Adulthood/Senior (55+)")</f>
        <v>5. Late Adulthood/Senior (55+)</v>
      </c>
      <c r="D4628" t="s">
        <v>15</v>
      </c>
      <c r="E4628" t="s">
        <v>16</v>
      </c>
      <c r="F4628" s="4">
        <v>2.39</v>
      </c>
      <c r="G4628" s="5">
        <v>47</v>
      </c>
      <c r="H4628" t="s">
        <v>33</v>
      </c>
      <c r="I4628" t="s">
        <v>24</v>
      </c>
      <c r="J4628" s="6">
        <v>8.99</v>
      </c>
      <c r="K4628">
        <v>1</v>
      </c>
      <c r="L4628" t="s">
        <v>61</v>
      </c>
      <c r="M4628" s="5">
        <v>5</v>
      </c>
      <c r="N4628" s="4">
        <v>0.05</v>
      </c>
      <c r="O4628" t="s">
        <v>25</v>
      </c>
    </row>
    <row r="4629" spans="1:15" x14ac:dyDescent="0.3">
      <c r="A4629" t="s">
        <v>3795</v>
      </c>
      <c r="B4629" s="5">
        <v>64</v>
      </c>
      <c r="C4629" s="5" t="str" cm="1">
        <f t="array" ref="C4629">_xlfn.IFS(worksheet[[#This Row],[age]]&lt;25,"1. Young Adulthood (18-24)",worksheet[[#This Row],[age]]&lt; 35,"2. Early Adulthood (25-34)",worksheet[[#This Row],[age]]&lt; 45,"3. Mid Adulthood (35-44)",worksheet[[#This Row],[age]]&lt; 55,"4. Mature Adulthood (45-54)",TRUE,"5. Late Adulthood/Senior (55+)")</f>
        <v>5. Late Adulthood/Senior (55+)</v>
      </c>
      <c r="D4629" t="s">
        <v>41</v>
      </c>
      <c r="E4629" t="s">
        <v>16</v>
      </c>
      <c r="F4629" s="4">
        <v>15.08</v>
      </c>
      <c r="G4629" s="5">
        <v>36</v>
      </c>
      <c r="H4629" t="s">
        <v>23</v>
      </c>
      <c r="I4629" t="s">
        <v>55</v>
      </c>
      <c r="J4629" s="6">
        <v>8.99</v>
      </c>
      <c r="K4629">
        <v>1</v>
      </c>
      <c r="L4629" t="s">
        <v>61</v>
      </c>
      <c r="M4629" s="5">
        <v>3</v>
      </c>
      <c r="N4629" s="4">
        <v>0.41</v>
      </c>
      <c r="O4629" t="s">
        <v>39</v>
      </c>
    </row>
    <row r="4630" spans="1:15" x14ac:dyDescent="0.3">
      <c r="A4630" t="s">
        <v>3799</v>
      </c>
      <c r="B4630" s="5">
        <v>57</v>
      </c>
      <c r="C4630" s="5" t="str" cm="1">
        <f t="array" ref="C4630">_xlfn.IFS(worksheet[[#This Row],[age]]&lt;25,"1. Young Adulthood (18-24)",worksheet[[#This Row],[age]]&lt; 35,"2. Early Adulthood (25-34)",worksheet[[#This Row],[age]]&lt; 45,"3. Mid Adulthood (35-44)",worksheet[[#This Row],[age]]&lt; 55,"4. Mature Adulthood (45-54)",TRUE,"5. Late Adulthood/Senior (55+)")</f>
        <v>5. Late Adulthood/Senior (55+)</v>
      </c>
      <c r="D4630" t="s">
        <v>15</v>
      </c>
      <c r="E4630" t="s">
        <v>16</v>
      </c>
      <c r="F4630" s="4">
        <v>6.73</v>
      </c>
      <c r="G4630" s="5">
        <v>51</v>
      </c>
      <c r="H4630" t="s">
        <v>70</v>
      </c>
      <c r="I4630" t="s">
        <v>55</v>
      </c>
      <c r="J4630" s="6">
        <v>8.99</v>
      </c>
      <c r="K4630">
        <v>1</v>
      </c>
      <c r="L4630" t="s">
        <v>37</v>
      </c>
      <c r="M4630" s="5">
        <v>1</v>
      </c>
      <c r="N4630" s="4">
        <v>0.13</v>
      </c>
      <c r="O4630" t="s">
        <v>39</v>
      </c>
    </row>
    <row r="4631" spans="1:15" x14ac:dyDescent="0.3">
      <c r="A4631" t="s">
        <v>3802</v>
      </c>
      <c r="B4631" s="5">
        <v>66</v>
      </c>
      <c r="C4631" s="5" t="str" cm="1">
        <f t="array" ref="C4631">_xlfn.IFS(worksheet[[#This Row],[age]]&lt;25,"1. Young Adulthood (18-24)",worksheet[[#This Row],[age]]&lt; 35,"2. Early Adulthood (25-34)",worksheet[[#This Row],[age]]&lt; 45,"3. Mid Adulthood (35-44)",worksheet[[#This Row],[age]]&lt; 55,"4. Mature Adulthood (45-54)",TRUE,"5. Late Adulthood/Senior (55+)")</f>
        <v>5. Late Adulthood/Senior (55+)</v>
      </c>
      <c r="D4631" t="s">
        <v>27</v>
      </c>
      <c r="E4631" t="s">
        <v>32</v>
      </c>
      <c r="F4631" s="4">
        <v>19.190000000000001</v>
      </c>
      <c r="G4631" s="5">
        <v>40</v>
      </c>
      <c r="H4631" t="s">
        <v>17</v>
      </c>
      <c r="I4631" t="s">
        <v>55</v>
      </c>
      <c r="J4631" s="6">
        <v>17.989999999999998</v>
      </c>
      <c r="K4631">
        <v>1</v>
      </c>
      <c r="L4631" t="s">
        <v>61</v>
      </c>
      <c r="M4631" s="5">
        <v>3</v>
      </c>
      <c r="N4631" s="4">
        <v>0.47</v>
      </c>
      <c r="O4631" t="s">
        <v>52</v>
      </c>
    </row>
    <row r="4632" spans="1:15" x14ac:dyDescent="0.3">
      <c r="A4632" t="s">
        <v>3804</v>
      </c>
      <c r="B4632" s="5">
        <v>55</v>
      </c>
      <c r="C4632" s="5" t="str" cm="1">
        <f t="array" ref="C4632">_xlfn.IFS(worksheet[[#This Row],[age]]&lt;25,"1. Young Adulthood (18-24)",worksheet[[#This Row],[age]]&lt; 35,"2. Early Adulthood (25-34)",worksheet[[#This Row],[age]]&lt; 45,"3. Mid Adulthood (35-44)",worksheet[[#This Row],[age]]&lt; 55,"4. Mature Adulthood (45-54)",TRUE,"5. Late Adulthood/Senior (55+)")</f>
        <v>5. Late Adulthood/Senior (55+)</v>
      </c>
      <c r="D4632" t="s">
        <v>15</v>
      </c>
      <c r="E4632" t="s">
        <v>32</v>
      </c>
      <c r="F4632" s="4">
        <v>1.63</v>
      </c>
      <c r="G4632" s="5">
        <v>52</v>
      </c>
      <c r="H4632" t="s">
        <v>17</v>
      </c>
      <c r="I4632" t="s">
        <v>57</v>
      </c>
      <c r="J4632" s="6">
        <v>17.989999999999998</v>
      </c>
      <c r="K4632">
        <v>1</v>
      </c>
      <c r="L4632" t="s">
        <v>19</v>
      </c>
      <c r="M4632" s="5">
        <v>1</v>
      </c>
      <c r="N4632" s="4">
        <v>0.03</v>
      </c>
      <c r="O4632" t="s">
        <v>20</v>
      </c>
    </row>
    <row r="4633" spans="1:15" x14ac:dyDescent="0.3">
      <c r="A4633" t="s">
        <v>3806</v>
      </c>
      <c r="B4633" s="5">
        <v>66</v>
      </c>
      <c r="C4633" s="5" t="str" cm="1">
        <f t="array" ref="C4633">_xlfn.IFS(worksheet[[#This Row],[age]]&lt;25,"1. Young Adulthood (18-24)",worksheet[[#This Row],[age]]&lt; 35,"2. Early Adulthood (25-34)",worksheet[[#This Row],[age]]&lt; 45,"3. Mid Adulthood (35-44)",worksheet[[#This Row],[age]]&lt; 55,"4. Mature Adulthood (45-54)",TRUE,"5. Late Adulthood/Senior (55+)")</f>
        <v>5. Late Adulthood/Senior (55+)</v>
      </c>
      <c r="D4633" t="s">
        <v>27</v>
      </c>
      <c r="E4633" t="s">
        <v>32</v>
      </c>
      <c r="F4633" s="4">
        <v>2.29</v>
      </c>
      <c r="G4633" s="5">
        <v>52</v>
      </c>
      <c r="H4633" t="s">
        <v>23</v>
      </c>
      <c r="I4633" t="s">
        <v>55</v>
      </c>
      <c r="J4633" s="6">
        <v>17.989999999999998</v>
      </c>
      <c r="K4633">
        <v>1</v>
      </c>
      <c r="L4633" t="s">
        <v>29</v>
      </c>
      <c r="M4633" s="5">
        <v>2</v>
      </c>
      <c r="N4633" s="4">
        <v>0.04</v>
      </c>
      <c r="O4633" t="s">
        <v>39</v>
      </c>
    </row>
    <row r="4634" spans="1:15" x14ac:dyDescent="0.3">
      <c r="A4634" t="s">
        <v>3807</v>
      </c>
      <c r="B4634" s="5">
        <v>60</v>
      </c>
      <c r="C4634" s="5" t="str" cm="1">
        <f t="array" ref="C4634">_xlfn.IFS(worksheet[[#This Row],[age]]&lt;25,"1. Young Adulthood (18-24)",worksheet[[#This Row],[age]]&lt; 35,"2. Early Adulthood (25-34)",worksheet[[#This Row],[age]]&lt; 45,"3. Mid Adulthood (35-44)",worksheet[[#This Row],[age]]&lt; 55,"4. Mature Adulthood (45-54)",TRUE,"5. Late Adulthood/Senior (55+)")</f>
        <v>5. Late Adulthood/Senior (55+)</v>
      </c>
      <c r="D4634" t="s">
        <v>27</v>
      </c>
      <c r="E4634" t="s">
        <v>32</v>
      </c>
      <c r="F4634" s="4">
        <v>2.09</v>
      </c>
      <c r="G4634" s="5">
        <v>14</v>
      </c>
      <c r="H4634" t="s">
        <v>70</v>
      </c>
      <c r="I4634" t="s">
        <v>46</v>
      </c>
      <c r="J4634" s="6">
        <v>17.989999999999998</v>
      </c>
      <c r="K4634">
        <v>1</v>
      </c>
      <c r="L4634" t="s">
        <v>19</v>
      </c>
      <c r="M4634" s="5">
        <v>2</v>
      </c>
      <c r="N4634" s="4">
        <v>0.14000000000000001</v>
      </c>
      <c r="O4634" t="s">
        <v>47</v>
      </c>
    </row>
    <row r="4635" spans="1:15" x14ac:dyDescent="0.3">
      <c r="A4635" t="s">
        <v>3812</v>
      </c>
      <c r="B4635" s="5">
        <v>65</v>
      </c>
      <c r="C4635" s="5" t="str" cm="1">
        <f t="array" ref="C4635">_xlfn.IFS(worksheet[[#This Row],[age]]&lt;25,"1. Young Adulthood (18-24)",worksheet[[#This Row],[age]]&lt; 35,"2. Early Adulthood (25-34)",worksheet[[#This Row],[age]]&lt; 45,"3. Mid Adulthood (35-44)",worksheet[[#This Row],[age]]&lt; 55,"4. Mature Adulthood (45-54)",TRUE,"5. Late Adulthood/Senior (55+)")</f>
        <v>5. Late Adulthood/Senior (55+)</v>
      </c>
      <c r="D4635" t="s">
        <v>15</v>
      </c>
      <c r="E4635" t="s">
        <v>22</v>
      </c>
      <c r="F4635" s="4">
        <v>10.38</v>
      </c>
      <c r="G4635" s="5">
        <v>10</v>
      </c>
      <c r="H4635" t="s">
        <v>33</v>
      </c>
      <c r="I4635" t="s">
        <v>55</v>
      </c>
      <c r="J4635" s="6">
        <v>13.99</v>
      </c>
      <c r="K4635">
        <v>0</v>
      </c>
      <c r="L4635" t="s">
        <v>43</v>
      </c>
      <c r="M4635" s="5">
        <v>4</v>
      </c>
      <c r="N4635" s="4">
        <v>0.94</v>
      </c>
      <c r="O4635" t="s">
        <v>34</v>
      </c>
    </row>
    <row r="4636" spans="1:15" x14ac:dyDescent="0.3">
      <c r="A4636" t="s">
        <v>3820</v>
      </c>
      <c r="B4636" s="5">
        <v>59</v>
      </c>
      <c r="C4636" s="5" t="str" cm="1">
        <f t="array" ref="C4636">_xlfn.IFS(worksheet[[#This Row],[age]]&lt;25,"1. Young Adulthood (18-24)",worksheet[[#This Row],[age]]&lt; 35,"2. Early Adulthood (25-34)",worksheet[[#This Row],[age]]&lt; 45,"3. Mid Adulthood (35-44)",worksheet[[#This Row],[age]]&lt; 55,"4. Mature Adulthood (45-54)",TRUE,"5. Late Adulthood/Senior (55+)")</f>
        <v>5. Late Adulthood/Senior (55+)</v>
      </c>
      <c r="D4636" t="s">
        <v>41</v>
      </c>
      <c r="E4636" t="s">
        <v>32</v>
      </c>
      <c r="F4636" s="4">
        <v>9.49</v>
      </c>
      <c r="G4636" s="5">
        <v>42</v>
      </c>
      <c r="H4636" t="s">
        <v>33</v>
      </c>
      <c r="I4636" t="s">
        <v>55</v>
      </c>
      <c r="J4636" s="6">
        <v>17.989999999999998</v>
      </c>
      <c r="K4636">
        <v>1</v>
      </c>
      <c r="L4636" t="s">
        <v>37</v>
      </c>
      <c r="M4636" s="5">
        <v>2</v>
      </c>
      <c r="N4636" s="4">
        <v>0.22</v>
      </c>
      <c r="O4636" t="s">
        <v>20</v>
      </c>
    </row>
    <row r="4637" spans="1:15" x14ac:dyDescent="0.3">
      <c r="A4637" s="1" t="s">
        <v>3830</v>
      </c>
      <c r="B4637" s="5">
        <v>61</v>
      </c>
      <c r="C4637" s="5" t="str" cm="1">
        <f t="array" ref="C4637">_xlfn.IFS(worksheet[[#This Row],[age]]&lt;25,"1. Young Adulthood (18-24)",worksheet[[#This Row],[age]]&lt; 35,"2. Early Adulthood (25-34)",worksheet[[#This Row],[age]]&lt; 45,"3. Mid Adulthood (35-44)",worksheet[[#This Row],[age]]&lt; 55,"4. Mature Adulthood (45-54)",TRUE,"5. Late Adulthood/Senior (55+)")</f>
        <v>5. Late Adulthood/Senior (55+)</v>
      </c>
      <c r="D4637" t="s">
        <v>27</v>
      </c>
      <c r="E4637" t="s">
        <v>22</v>
      </c>
      <c r="F4637" s="4">
        <v>6.67</v>
      </c>
      <c r="G4637" s="5">
        <v>6</v>
      </c>
      <c r="H4637" t="s">
        <v>49</v>
      </c>
      <c r="I4637" t="s">
        <v>57</v>
      </c>
      <c r="J4637" s="6">
        <v>13.99</v>
      </c>
      <c r="K4637">
        <v>0</v>
      </c>
      <c r="L4637" t="s">
        <v>19</v>
      </c>
      <c r="M4637" s="5">
        <v>1</v>
      </c>
      <c r="N4637" s="4">
        <v>0.95</v>
      </c>
      <c r="O4637" t="s">
        <v>25</v>
      </c>
    </row>
    <row r="4638" spans="1:15" x14ac:dyDescent="0.3">
      <c r="A4638" t="s">
        <v>3831</v>
      </c>
      <c r="B4638" s="5">
        <v>67</v>
      </c>
      <c r="C4638" s="5" t="str" cm="1">
        <f t="array" ref="C4638">_xlfn.IFS(worksheet[[#This Row],[age]]&lt;25,"1. Young Adulthood (18-24)",worksheet[[#This Row],[age]]&lt; 35,"2. Early Adulthood (25-34)",worksheet[[#This Row],[age]]&lt; 45,"3. Mid Adulthood (35-44)",worksheet[[#This Row],[age]]&lt; 55,"4. Mature Adulthood (45-54)",TRUE,"5. Late Adulthood/Senior (55+)")</f>
        <v>5. Late Adulthood/Senior (55+)</v>
      </c>
      <c r="D4638" t="s">
        <v>27</v>
      </c>
      <c r="E4638" t="s">
        <v>16</v>
      </c>
      <c r="F4638" s="4">
        <v>35.369999999999997</v>
      </c>
      <c r="G4638" s="5">
        <v>27</v>
      </c>
      <c r="H4638" t="s">
        <v>49</v>
      </c>
      <c r="I4638" t="s">
        <v>55</v>
      </c>
      <c r="J4638" s="6">
        <v>8.99</v>
      </c>
      <c r="K4638">
        <v>0</v>
      </c>
      <c r="L4638" t="s">
        <v>37</v>
      </c>
      <c r="M4638" s="5">
        <v>4</v>
      </c>
      <c r="N4638" s="4">
        <v>1.26</v>
      </c>
      <c r="O4638" t="s">
        <v>25</v>
      </c>
    </row>
    <row r="4639" spans="1:15" x14ac:dyDescent="0.3">
      <c r="A4639" t="s">
        <v>3835</v>
      </c>
      <c r="B4639" s="5">
        <v>60</v>
      </c>
      <c r="C4639" s="5" t="str" cm="1">
        <f t="array" ref="C4639">_xlfn.IFS(worksheet[[#This Row],[age]]&lt;25,"1. Young Adulthood (18-24)",worksheet[[#This Row],[age]]&lt; 35,"2. Early Adulthood (25-34)",worksheet[[#This Row],[age]]&lt; 45,"3. Mid Adulthood (35-44)",worksheet[[#This Row],[age]]&lt; 55,"4. Mature Adulthood (45-54)",TRUE,"5. Late Adulthood/Senior (55+)")</f>
        <v>5. Late Adulthood/Senior (55+)</v>
      </c>
      <c r="D4639" t="s">
        <v>15</v>
      </c>
      <c r="E4639" t="s">
        <v>22</v>
      </c>
      <c r="F4639" s="4">
        <v>10.1</v>
      </c>
      <c r="G4639" s="5">
        <v>28</v>
      </c>
      <c r="H4639" t="s">
        <v>70</v>
      </c>
      <c r="I4639" t="s">
        <v>24</v>
      </c>
      <c r="J4639" s="6">
        <v>13.99</v>
      </c>
      <c r="K4639">
        <v>0</v>
      </c>
      <c r="L4639" t="s">
        <v>29</v>
      </c>
      <c r="M4639" s="5">
        <v>5</v>
      </c>
      <c r="N4639" s="4">
        <v>0.35</v>
      </c>
      <c r="O4639" t="s">
        <v>39</v>
      </c>
    </row>
    <row r="4640" spans="1:15" x14ac:dyDescent="0.3">
      <c r="A4640" t="s">
        <v>3841</v>
      </c>
      <c r="B4640" s="5">
        <v>67</v>
      </c>
      <c r="C4640" s="5" t="str" cm="1">
        <f t="array" ref="C4640">_xlfn.IFS(worksheet[[#This Row],[age]]&lt;25,"1. Young Adulthood (18-24)",worksheet[[#This Row],[age]]&lt; 35,"2. Early Adulthood (25-34)",worksheet[[#This Row],[age]]&lt; 45,"3. Mid Adulthood (35-44)",worksheet[[#This Row],[age]]&lt; 55,"4. Mature Adulthood (45-54)",TRUE,"5. Late Adulthood/Senior (55+)")</f>
        <v>5. Late Adulthood/Senior (55+)</v>
      </c>
      <c r="D4640" t="s">
        <v>15</v>
      </c>
      <c r="E4640" t="s">
        <v>22</v>
      </c>
      <c r="F4640" s="4">
        <v>17.13</v>
      </c>
      <c r="G4640" s="5">
        <v>42</v>
      </c>
      <c r="H4640" t="s">
        <v>70</v>
      </c>
      <c r="I4640" t="s">
        <v>57</v>
      </c>
      <c r="J4640" s="6">
        <v>13.99</v>
      </c>
      <c r="K4640">
        <v>0</v>
      </c>
      <c r="L4640" t="s">
        <v>43</v>
      </c>
      <c r="M4640" s="5">
        <v>4</v>
      </c>
      <c r="N4640" s="4">
        <v>0.4</v>
      </c>
      <c r="O4640" t="s">
        <v>30</v>
      </c>
    </row>
    <row r="4641" spans="1:15" x14ac:dyDescent="0.3">
      <c r="A4641" t="s">
        <v>3847</v>
      </c>
      <c r="B4641" s="5">
        <v>56</v>
      </c>
      <c r="C4641" s="5" t="str" cm="1">
        <f t="array" ref="C4641">_xlfn.IFS(worksheet[[#This Row],[age]]&lt;25,"1. Young Adulthood (18-24)",worksheet[[#This Row],[age]]&lt; 35,"2. Early Adulthood (25-34)",worksheet[[#This Row],[age]]&lt; 45,"3. Mid Adulthood (35-44)",worksheet[[#This Row],[age]]&lt; 55,"4. Mature Adulthood (45-54)",TRUE,"5. Late Adulthood/Senior (55+)")</f>
        <v>5. Late Adulthood/Senior (55+)</v>
      </c>
      <c r="D4641" t="s">
        <v>15</v>
      </c>
      <c r="E4641" t="s">
        <v>32</v>
      </c>
      <c r="F4641" s="4">
        <v>3.41</v>
      </c>
      <c r="G4641" s="5">
        <v>53</v>
      </c>
      <c r="H4641" t="s">
        <v>28</v>
      </c>
      <c r="I4641" t="s">
        <v>57</v>
      </c>
      <c r="J4641" s="6">
        <v>17.989999999999998</v>
      </c>
      <c r="K4641">
        <v>1</v>
      </c>
      <c r="L4641" t="s">
        <v>43</v>
      </c>
      <c r="M4641" s="5">
        <v>4</v>
      </c>
      <c r="N4641" s="4">
        <v>0.06</v>
      </c>
      <c r="O4641" t="s">
        <v>34</v>
      </c>
    </row>
    <row r="4642" spans="1:15" x14ac:dyDescent="0.3">
      <c r="A4642" t="s">
        <v>3856</v>
      </c>
      <c r="B4642" s="5">
        <v>69</v>
      </c>
      <c r="C4642" s="5" t="str" cm="1">
        <f t="array" ref="C4642">_xlfn.IFS(worksheet[[#This Row],[age]]&lt;25,"1. Young Adulthood (18-24)",worksheet[[#This Row],[age]]&lt; 35,"2. Early Adulthood (25-34)",worksheet[[#This Row],[age]]&lt; 45,"3. Mid Adulthood (35-44)",worksheet[[#This Row],[age]]&lt; 55,"4. Mature Adulthood (45-54)",TRUE,"5. Late Adulthood/Senior (55+)")</f>
        <v>5. Late Adulthood/Senior (55+)</v>
      </c>
      <c r="D4642" t="s">
        <v>41</v>
      </c>
      <c r="E4642" t="s">
        <v>22</v>
      </c>
      <c r="F4642" s="4">
        <v>11.83</v>
      </c>
      <c r="G4642" s="5">
        <v>7</v>
      </c>
      <c r="H4642" t="s">
        <v>33</v>
      </c>
      <c r="I4642" t="s">
        <v>18</v>
      </c>
      <c r="J4642" s="6">
        <v>13.99</v>
      </c>
      <c r="K4642">
        <v>0</v>
      </c>
      <c r="L4642" t="s">
        <v>37</v>
      </c>
      <c r="M4642" s="5">
        <v>4</v>
      </c>
      <c r="N4642" s="4">
        <v>1.48</v>
      </c>
      <c r="O4642" t="s">
        <v>52</v>
      </c>
    </row>
    <row r="4643" spans="1:15" x14ac:dyDescent="0.3">
      <c r="A4643" t="s">
        <v>3858</v>
      </c>
      <c r="B4643" s="5">
        <v>58</v>
      </c>
      <c r="C4643" s="5" t="str" cm="1">
        <f t="array" ref="C4643">_xlfn.IFS(worksheet[[#This Row],[age]]&lt;25,"1. Young Adulthood (18-24)",worksheet[[#This Row],[age]]&lt; 35,"2. Early Adulthood (25-34)",worksheet[[#This Row],[age]]&lt; 45,"3. Mid Adulthood (35-44)",worksheet[[#This Row],[age]]&lt; 55,"4. Mature Adulthood (45-54)",TRUE,"5. Late Adulthood/Senior (55+)")</f>
        <v>5. Late Adulthood/Senior (55+)</v>
      </c>
      <c r="D4643" t="s">
        <v>27</v>
      </c>
      <c r="E4643" t="s">
        <v>32</v>
      </c>
      <c r="F4643" s="4">
        <v>25.6</v>
      </c>
      <c r="G4643" s="5">
        <v>55</v>
      </c>
      <c r="H4643" t="s">
        <v>28</v>
      </c>
      <c r="I4643" t="s">
        <v>57</v>
      </c>
      <c r="J4643" s="6">
        <v>17.989999999999998</v>
      </c>
      <c r="K4643">
        <v>0</v>
      </c>
      <c r="L4643" t="s">
        <v>43</v>
      </c>
      <c r="M4643" s="5">
        <v>1</v>
      </c>
      <c r="N4643" s="4">
        <v>0.46</v>
      </c>
      <c r="O4643" t="s">
        <v>20</v>
      </c>
    </row>
    <row r="4644" spans="1:15" x14ac:dyDescent="0.3">
      <c r="A4644" t="s">
        <v>3861</v>
      </c>
      <c r="B4644" s="5">
        <v>61</v>
      </c>
      <c r="C4644" s="5" t="str" cm="1">
        <f t="array" ref="C4644">_xlfn.IFS(worksheet[[#This Row],[age]]&lt;25,"1. Young Adulthood (18-24)",worksheet[[#This Row],[age]]&lt; 35,"2. Early Adulthood (25-34)",worksheet[[#This Row],[age]]&lt; 45,"3. Mid Adulthood (35-44)",worksheet[[#This Row],[age]]&lt; 55,"4. Mature Adulthood (45-54)",TRUE,"5. Late Adulthood/Senior (55+)")</f>
        <v>5. Late Adulthood/Senior (55+)</v>
      </c>
      <c r="D4644" t="s">
        <v>27</v>
      </c>
      <c r="E4644" t="s">
        <v>32</v>
      </c>
      <c r="F4644" s="4">
        <v>16.440000000000001</v>
      </c>
      <c r="G4644" s="5">
        <v>22</v>
      </c>
      <c r="H4644" t="s">
        <v>23</v>
      </c>
      <c r="I4644" t="s">
        <v>24</v>
      </c>
      <c r="J4644" s="6">
        <v>17.989999999999998</v>
      </c>
      <c r="K4644">
        <v>0</v>
      </c>
      <c r="L4644" t="s">
        <v>61</v>
      </c>
      <c r="M4644" s="5">
        <v>2</v>
      </c>
      <c r="N4644" s="4">
        <v>0.71</v>
      </c>
      <c r="O4644" t="s">
        <v>25</v>
      </c>
    </row>
    <row r="4645" spans="1:15" x14ac:dyDescent="0.3">
      <c r="A4645" t="s">
        <v>3863</v>
      </c>
      <c r="B4645" s="5">
        <v>65</v>
      </c>
      <c r="C4645" s="5" t="str" cm="1">
        <f t="array" ref="C4645">_xlfn.IFS(worksheet[[#This Row],[age]]&lt;25,"1. Young Adulthood (18-24)",worksheet[[#This Row],[age]]&lt; 35,"2. Early Adulthood (25-34)",worksheet[[#This Row],[age]]&lt; 45,"3. Mid Adulthood (35-44)",worksheet[[#This Row],[age]]&lt; 55,"4. Mature Adulthood (45-54)",TRUE,"5. Late Adulthood/Senior (55+)")</f>
        <v>5. Late Adulthood/Senior (55+)</v>
      </c>
      <c r="D4645" t="s">
        <v>41</v>
      </c>
      <c r="E4645" t="s">
        <v>22</v>
      </c>
      <c r="F4645" s="4">
        <v>19.079999999999998</v>
      </c>
      <c r="G4645" s="5">
        <v>52</v>
      </c>
      <c r="H4645" t="s">
        <v>28</v>
      </c>
      <c r="I4645" t="s">
        <v>57</v>
      </c>
      <c r="J4645" s="6">
        <v>13.99</v>
      </c>
      <c r="K4645">
        <v>1</v>
      </c>
      <c r="L4645" t="s">
        <v>43</v>
      </c>
      <c r="M4645" s="5">
        <v>2</v>
      </c>
      <c r="N4645" s="4">
        <v>0.36</v>
      </c>
      <c r="O4645" t="s">
        <v>30</v>
      </c>
    </row>
    <row r="4646" spans="1:15" x14ac:dyDescent="0.3">
      <c r="A4646" t="s">
        <v>3870</v>
      </c>
      <c r="B4646" s="5">
        <v>62</v>
      </c>
      <c r="C4646" s="5" t="str" cm="1">
        <f t="array" ref="C4646">_xlfn.IFS(worksheet[[#This Row],[age]]&lt;25,"1. Young Adulthood (18-24)",worksheet[[#This Row],[age]]&lt; 35,"2. Early Adulthood (25-34)",worksheet[[#This Row],[age]]&lt; 45,"3. Mid Adulthood (35-44)",worksheet[[#This Row],[age]]&lt; 55,"4. Mature Adulthood (45-54)",TRUE,"5. Late Adulthood/Senior (55+)")</f>
        <v>5. Late Adulthood/Senior (55+)</v>
      </c>
      <c r="D4646" t="s">
        <v>27</v>
      </c>
      <c r="E4646" t="s">
        <v>16</v>
      </c>
      <c r="F4646" s="4">
        <v>1.8</v>
      </c>
      <c r="G4646" s="5">
        <v>4</v>
      </c>
      <c r="H4646" t="s">
        <v>49</v>
      </c>
      <c r="I4646" t="s">
        <v>24</v>
      </c>
      <c r="J4646" s="6">
        <v>8.99</v>
      </c>
      <c r="K4646">
        <v>1</v>
      </c>
      <c r="L4646" t="s">
        <v>29</v>
      </c>
      <c r="M4646" s="5">
        <v>5</v>
      </c>
      <c r="N4646" s="4">
        <v>0.36</v>
      </c>
      <c r="O4646" t="s">
        <v>30</v>
      </c>
    </row>
    <row r="4647" spans="1:15" x14ac:dyDescent="0.3">
      <c r="A4647" t="s">
        <v>3872</v>
      </c>
      <c r="B4647" s="5">
        <v>63</v>
      </c>
      <c r="C4647" s="5" t="str" cm="1">
        <f t="array" ref="C4647">_xlfn.IFS(worksheet[[#This Row],[age]]&lt;25,"1. Young Adulthood (18-24)",worksheet[[#This Row],[age]]&lt; 35,"2. Early Adulthood (25-34)",worksheet[[#This Row],[age]]&lt; 45,"3. Mid Adulthood (35-44)",worksheet[[#This Row],[age]]&lt; 55,"4. Mature Adulthood (45-54)",TRUE,"5. Late Adulthood/Senior (55+)")</f>
        <v>5. Late Adulthood/Senior (55+)</v>
      </c>
      <c r="D4647" t="s">
        <v>15</v>
      </c>
      <c r="E4647" t="s">
        <v>32</v>
      </c>
      <c r="F4647" s="4">
        <v>20.27</v>
      </c>
      <c r="G4647" s="5">
        <v>57</v>
      </c>
      <c r="H4647" t="s">
        <v>49</v>
      </c>
      <c r="I4647" t="s">
        <v>24</v>
      </c>
      <c r="J4647" s="6">
        <v>17.989999999999998</v>
      </c>
      <c r="K4647">
        <v>0</v>
      </c>
      <c r="L4647" t="s">
        <v>43</v>
      </c>
      <c r="M4647" s="5">
        <v>4</v>
      </c>
      <c r="N4647" s="4">
        <v>0.35</v>
      </c>
      <c r="O4647" t="s">
        <v>52</v>
      </c>
    </row>
    <row r="4648" spans="1:15" x14ac:dyDescent="0.3">
      <c r="A4648" t="s">
        <v>3874</v>
      </c>
      <c r="B4648" s="5">
        <v>63</v>
      </c>
      <c r="C4648" s="5" t="str" cm="1">
        <f t="array" ref="C4648">_xlfn.IFS(worksheet[[#This Row],[age]]&lt;25,"1. Young Adulthood (18-24)",worksheet[[#This Row],[age]]&lt; 35,"2. Early Adulthood (25-34)",worksheet[[#This Row],[age]]&lt; 45,"3. Mid Adulthood (35-44)",worksheet[[#This Row],[age]]&lt; 55,"4. Mature Adulthood (45-54)",TRUE,"5. Late Adulthood/Senior (55+)")</f>
        <v>5. Late Adulthood/Senior (55+)</v>
      </c>
      <c r="D4648" t="s">
        <v>41</v>
      </c>
      <c r="E4648" t="s">
        <v>22</v>
      </c>
      <c r="F4648" s="4">
        <v>3.82</v>
      </c>
      <c r="G4648" s="5">
        <v>31</v>
      </c>
      <c r="H4648" t="s">
        <v>33</v>
      </c>
      <c r="I4648" t="s">
        <v>57</v>
      </c>
      <c r="J4648" s="6">
        <v>13.99</v>
      </c>
      <c r="K4648">
        <v>1</v>
      </c>
      <c r="L4648" t="s">
        <v>43</v>
      </c>
      <c r="M4648" s="5">
        <v>4</v>
      </c>
      <c r="N4648" s="4">
        <v>0.12</v>
      </c>
      <c r="O4648" t="s">
        <v>20</v>
      </c>
    </row>
    <row r="4649" spans="1:15" x14ac:dyDescent="0.3">
      <c r="A4649" t="s">
        <v>3879</v>
      </c>
      <c r="B4649" s="5">
        <v>61</v>
      </c>
      <c r="C4649" s="5" t="str" cm="1">
        <f t="array" ref="C4649">_xlfn.IFS(worksheet[[#This Row],[age]]&lt;25,"1. Young Adulthood (18-24)",worksheet[[#This Row],[age]]&lt; 35,"2. Early Adulthood (25-34)",worksheet[[#This Row],[age]]&lt; 45,"3. Mid Adulthood (35-44)",worksheet[[#This Row],[age]]&lt; 55,"4. Mature Adulthood (45-54)",TRUE,"5. Late Adulthood/Senior (55+)")</f>
        <v>5. Late Adulthood/Senior (55+)</v>
      </c>
      <c r="D4649" t="s">
        <v>27</v>
      </c>
      <c r="E4649" t="s">
        <v>22</v>
      </c>
      <c r="F4649" s="4">
        <v>5.84</v>
      </c>
      <c r="G4649" s="5">
        <v>58</v>
      </c>
      <c r="H4649" t="s">
        <v>70</v>
      </c>
      <c r="I4649" t="s">
        <v>55</v>
      </c>
      <c r="J4649" s="6">
        <v>13.99</v>
      </c>
      <c r="K4649">
        <v>0</v>
      </c>
      <c r="L4649" t="s">
        <v>43</v>
      </c>
      <c r="M4649" s="5">
        <v>5</v>
      </c>
      <c r="N4649" s="4">
        <v>0.1</v>
      </c>
      <c r="O4649" t="s">
        <v>34</v>
      </c>
    </row>
    <row r="4650" spans="1:15" x14ac:dyDescent="0.3">
      <c r="A4650" t="s">
        <v>3882</v>
      </c>
      <c r="B4650" s="5">
        <v>56</v>
      </c>
      <c r="C4650" s="5" t="str" cm="1">
        <f t="array" ref="C4650">_xlfn.IFS(worksheet[[#This Row],[age]]&lt;25,"1. Young Adulthood (18-24)",worksheet[[#This Row],[age]]&lt; 35,"2. Early Adulthood (25-34)",worksheet[[#This Row],[age]]&lt; 45,"3. Mid Adulthood (35-44)",worksheet[[#This Row],[age]]&lt; 55,"4. Mature Adulthood (45-54)",TRUE,"5. Late Adulthood/Senior (55+)")</f>
        <v>5. Late Adulthood/Senior (55+)</v>
      </c>
      <c r="D4650" t="s">
        <v>15</v>
      </c>
      <c r="E4650" t="s">
        <v>32</v>
      </c>
      <c r="F4650" s="4">
        <v>2.04</v>
      </c>
      <c r="G4650" s="5">
        <v>27</v>
      </c>
      <c r="H4650" t="s">
        <v>33</v>
      </c>
      <c r="I4650" t="s">
        <v>18</v>
      </c>
      <c r="J4650" s="6">
        <v>17.989999999999998</v>
      </c>
      <c r="K4650">
        <v>1</v>
      </c>
      <c r="L4650" t="s">
        <v>37</v>
      </c>
      <c r="M4650" s="5">
        <v>1</v>
      </c>
      <c r="N4650" s="4">
        <v>7.0000000000000007E-2</v>
      </c>
      <c r="O4650" t="s">
        <v>39</v>
      </c>
    </row>
    <row r="4651" spans="1:15" x14ac:dyDescent="0.3">
      <c r="A4651" t="s">
        <v>3884</v>
      </c>
      <c r="B4651" s="5">
        <v>61</v>
      </c>
      <c r="C4651" s="5" t="str" cm="1">
        <f t="array" ref="C4651">_xlfn.IFS(worksheet[[#This Row],[age]]&lt;25,"1. Young Adulthood (18-24)",worksheet[[#This Row],[age]]&lt; 35,"2. Early Adulthood (25-34)",worksheet[[#This Row],[age]]&lt; 45,"3. Mid Adulthood (35-44)",worksheet[[#This Row],[age]]&lt; 55,"4. Mature Adulthood (45-54)",TRUE,"5. Late Adulthood/Senior (55+)")</f>
        <v>5. Late Adulthood/Senior (55+)</v>
      </c>
      <c r="D4651" t="s">
        <v>15</v>
      </c>
      <c r="E4651" t="s">
        <v>22</v>
      </c>
      <c r="F4651" s="4">
        <v>12.41</v>
      </c>
      <c r="G4651" s="5">
        <v>10</v>
      </c>
      <c r="H4651" t="s">
        <v>23</v>
      </c>
      <c r="I4651" t="s">
        <v>18</v>
      </c>
      <c r="J4651" s="6">
        <v>13.99</v>
      </c>
      <c r="K4651">
        <v>0</v>
      </c>
      <c r="L4651" t="s">
        <v>29</v>
      </c>
      <c r="M4651" s="5">
        <v>2</v>
      </c>
      <c r="N4651" s="4">
        <v>1.1299999999999999</v>
      </c>
      <c r="O4651" t="s">
        <v>39</v>
      </c>
    </row>
    <row r="4652" spans="1:15" x14ac:dyDescent="0.3">
      <c r="A4652" t="s">
        <v>3886</v>
      </c>
      <c r="B4652" s="5">
        <v>57</v>
      </c>
      <c r="C4652" s="5" t="str" cm="1">
        <f t="array" ref="C4652">_xlfn.IFS(worksheet[[#This Row],[age]]&lt;25,"1. Young Adulthood (18-24)",worksheet[[#This Row],[age]]&lt; 35,"2. Early Adulthood (25-34)",worksheet[[#This Row],[age]]&lt; 45,"3. Mid Adulthood (35-44)",worksheet[[#This Row],[age]]&lt; 55,"4. Mature Adulthood (45-54)",TRUE,"5. Late Adulthood/Senior (55+)")</f>
        <v>5. Late Adulthood/Senior (55+)</v>
      </c>
      <c r="D4652" t="s">
        <v>15</v>
      </c>
      <c r="E4652" t="s">
        <v>22</v>
      </c>
      <c r="F4652" s="4">
        <v>4.99</v>
      </c>
      <c r="G4652" s="5">
        <v>9</v>
      </c>
      <c r="H4652" t="s">
        <v>70</v>
      </c>
      <c r="I4652" t="s">
        <v>57</v>
      </c>
      <c r="J4652" s="6">
        <v>13.99</v>
      </c>
      <c r="K4652">
        <v>0</v>
      </c>
      <c r="L4652" t="s">
        <v>29</v>
      </c>
      <c r="M4652" s="5">
        <v>5</v>
      </c>
      <c r="N4652" s="4">
        <v>0.5</v>
      </c>
      <c r="O4652" t="s">
        <v>39</v>
      </c>
    </row>
    <row r="4653" spans="1:15" x14ac:dyDescent="0.3">
      <c r="A4653" t="s">
        <v>3888</v>
      </c>
      <c r="B4653" s="5">
        <v>55</v>
      </c>
      <c r="C4653" s="5" t="str" cm="1">
        <f t="array" ref="C4653">_xlfn.IFS(worksheet[[#This Row],[age]]&lt;25,"1. Young Adulthood (18-24)",worksheet[[#This Row],[age]]&lt; 35,"2. Early Adulthood (25-34)",worksheet[[#This Row],[age]]&lt; 45,"3. Mid Adulthood (35-44)",worksheet[[#This Row],[age]]&lt; 55,"4. Mature Adulthood (45-54)",TRUE,"5. Late Adulthood/Senior (55+)")</f>
        <v>5. Late Adulthood/Senior (55+)</v>
      </c>
      <c r="D4653" t="s">
        <v>27</v>
      </c>
      <c r="E4653" t="s">
        <v>32</v>
      </c>
      <c r="F4653" s="4">
        <v>9.52</v>
      </c>
      <c r="G4653" s="5">
        <v>15</v>
      </c>
      <c r="H4653" t="s">
        <v>28</v>
      </c>
      <c r="I4653" t="s">
        <v>57</v>
      </c>
      <c r="J4653" s="6">
        <v>17.989999999999998</v>
      </c>
      <c r="K4653">
        <v>0</v>
      </c>
      <c r="L4653" t="s">
        <v>43</v>
      </c>
      <c r="M4653" s="5">
        <v>2</v>
      </c>
      <c r="N4653" s="4">
        <v>0.59</v>
      </c>
      <c r="O4653" t="s">
        <v>47</v>
      </c>
    </row>
    <row r="4654" spans="1:15" x14ac:dyDescent="0.3">
      <c r="A4654" t="s">
        <v>3893</v>
      </c>
      <c r="B4654" s="5">
        <v>70</v>
      </c>
      <c r="C4654" s="5" t="str" cm="1">
        <f t="array" ref="C4654">_xlfn.IFS(worksheet[[#This Row],[age]]&lt;25,"1. Young Adulthood (18-24)",worksheet[[#This Row],[age]]&lt; 35,"2. Early Adulthood (25-34)",worksheet[[#This Row],[age]]&lt; 45,"3. Mid Adulthood (35-44)",worksheet[[#This Row],[age]]&lt; 55,"4. Mature Adulthood (45-54)",TRUE,"5. Late Adulthood/Senior (55+)")</f>
        <v>5. Late Adulthood/Senior (55+)</v>
      </c>
      <c r="D4654" t="s">
        <v>41</v>
      </c>
      <c r="E4654" t="s">
        <v>32</v>
      </c>
      <c r="F4654" s="4">
        <v>15.73</v>
      </c>
      <c r="G4654" s="5">
        <v>56</v>
      </c>
      <c r="H4654" t="s">
        <v>70</v>
      </c>
      <c r="I4654" t="s">
        <v>24</v>
      </c>
      <c r="J4654" s="6">
        <v>17.989999999999998</v>
      </c>
      <c r="K4654">
        <v>1</v>
      </c>
      <c r="L4654" t="s">
        <v>29</v>
      </c>
      <c r="M4654" s="5">
        <v>3</v>
      </c>
      <c r="N4654" s="4">
        <v>0.28000000000000003</v>
      </c>
      <c r="O4654" t="s">
        <v>30</v>
      </c>
    </row>
    <row r="4655" spans="1:15" x14ac:dyDescent="0.3">
      <c r="A4655" t="s">
        <v>3898</v>
      </c>
      <c r="B4655" s="5">
        <v>67</v>
      </c>
      <c r="C4655" s="5" t="str" cm="1">
        <f t="array" ref="C4655">_xlfn.IFS(worksheet[[#This Row],[age]]&lt;25,"1. Young Adulthood (18-24)",worksheet[[#This Row],[age]]&lt; 35,"2. Early Adulthood (25-34)",worksheet[[#This Row],[age]]&lt; 45,"3. Mid Adulthood (35-44)",worksheet[[#This Row],[age]]&lt; 55,"4. Mature Adulthood (45-54)",TRUE,"5. Late Adulthood/Senior (55+)")</f>
        <v>5. Late Adulthood/Senior (55+)</v>
      </c>
      <c r="D4655" t="s">
        <v>27</v>
      </c>
      <c r="E4655" t="s">
        <v>16</v>
      </c>
      <c r="F4655" s="4">
        <v>6.88</v>
      </c>
      <c r="G4655" s="5">
        <v>44</v>
      </c>
      <c r="H4655" t="s">
        <v>17</v>
      </c>
      <c r="I4655" t="s">
        <v>46</v>
      </c>
      <c r="J4655" s="6">
        <v>8.99</v>
      </c>
      <c r="K4655">
        <v>1</v>
      </c>
      <c r="L4655" t="s">
        <v>19</v>
      </c>
      <c r="M4655" s="5">
        <v>4</v>
      </c>
      <c r="N4655" s="4">
        <v>0.15</v>
      </c>
      <c r="O4655" t="s">
        <v>34</v>
      </c>
    </row>
    <row r="4656" spans="1:15" x14ac:dyDescent="0.3">
      <c r="A4656" t="s">
        <v>3906</v>
      </c>
      <c r="B4656" s="5">
        <v>65</v>
      </c>
      <c r="C4656" s="5" t="str" cm="1">
        <f t="array" ref="C4656">_xlfn.IFS(worksheet[[#This Row],[age]]&lt;25,"1. Young Adulthood (18-24)",worksheet[[#This Row],[age]]&lt; 35,"2. Early Adulthood (25-34)",worksheet[[#This Row],[age]]&lt; 45,"3. Mid Adulthood (35-44)",worksheet[[#This Row],[age]]&lt; 55,"4. Mature Adulthood (45-54)",TRUE,"5. Late Adulthood/Senior (55+)")</f>
        <v>5. Late Adulthood/Senior (55+)</v>
      </c>
      <c r="D4656" t="s">
        <v>15</v>
      </c>
      <c r="E4656" t="s">
        <v>22</v>
      </c>
      <c r="F4656" s="4">
        <v>3.26</v>
      </c>
      <c r="G4656" s="5">
        <v>41</v>
      </c>
      <c r="H4656" t="s">
        <v>28</v>
      </c>
      <c r="I4656" t="s">
        <v>55</v>
      </c>
      <c r="J4656" s="6">
        <v>13.99</v>
      </c>
      <c r="K4656">
        <v>1</v>
      </c>
      <c r="L4656" t="s">
        <v>43</v>
      </c>
      <c r="M4656" s="5">
        <v>5</v>
      </c>
      <c r="N4656" s="4">
        <v>0.08</v>
      </c>
      <c r="O4656" t="s">
        <v>20</v>
      </c>
    </row>
    <row r="4657" spans="1:15" x14ac:dyDescent="0.3">
      <c r="A4657" t="s">
        <v>3907</v>
      </c>
      <c r="B4657" s="5">
        <v>64</v>
      </c>
      <c r="C4657" s="5" t="str" cm="1">
        <f t="array" ref="C4657">_xlfn.IFS(worksheet[[#This Row],[age]]&lt;25,"1. Young Adulthood (18-24)",worksheet[[#This Row],[age]]&lt; 35,"2. Early Adulthood (25-34)",worksheet[[#This Row],[age]]&lt; 45,"3. Mid Adulthood (35-44)",worksheet[[#This Row],[age]]&lt; 55,"4. Mature Adulthood (45-54)",TRUE,"5. Late Adulthood/Senior (55+)")</f>
        <v>5. Late Adulthood/Senior (55+)</v>
      </c>
      <c r="D4657" t="s">
        <v>41</v>
      </c>
      <c r="E4657" t="s">
        <v>22</v>
      </c>
      <c r="F4657" s="4">
        <v>1.24</v>
      </c>
      <c r="G4657" s="5">
        <v>9</v>
      </c>
      <c r="H4657" t="s">
        <v>17</v>
      </c>
      <c r="I4657" t="s">
        <v>24</v>
      </c>
      <c r="J4657" s="6">
        <v>13.99</v>
      </c>
      <c r="K4657">
        <v>0</v>
      </c>
      <c r="L4657" t="s">
        <v>61</v>
      </c>
      <c r="M4657" s="5">
        <v>4</v>
      </c>
      <c r="N4657" s="4">
        <v>0.12</v>
      </c>
      <c r="O4657" t="s">
        <v>25</v>
      </c>
    </row>
    <row r="4658" spans="1:15" x14ac:dyDescent="0.3">
      <c r="A4658" t="s">
        <v>3909</v>
      </c>
      <c r="B4658" s="5">
        <v>56</v>
      </c>
      <c r="C4658" s="5" t="str" cm="1">
        <f t="array" ref="C4658">_xlfn.IFS(worksheet[[#This Row],[age]]&lt;25,"1. Young Adulthood (18-24)",worksheet[[#This Row],[age]]&lt; 35,"2. Early Adulthood (25-34)",worksheet[[#This Row],[age]]&lt; 45,"3. Mid Adulthood (35-44)",worksheet[[#This Row],[age]]&lt; 55,"4. Mature Adulthood (45-54)",TRUE,"5. Late Adulthood/Senior (55+)")</f>
        <v>5. Late Adulthood/Senior (55+)</v>
      </c>
      <c r="D4658" t="s">
        <v>27</v>
      </c>
      <c r="E4658" t="s">
        <v>16</v>
      </c>
      <c r="F4658" s="4">
        <v>20.91</v>
      </c>
      <c r="G4658" s="5">
        <v>35</v>
      </c>
      <c r="H4658" t="s">
        <v>70</v>
      </c>
      <c r="I4658" t="s">
        <v>57</v>
      </c>
      <c r="J4658" s="6">
        <v>8.99</v>
      </c>
      <c r="K4658">
        <v>0</v>
      </c>
      <c r="L4658" t="s">
        <v>61</v>
      </c>
      <c r="M4658" s="5">
        <v>4</v>
      </c>
      <c r="N4658" s="4">
        <v>0.57999999999999996</v>
      </c>
      <c r="O4658" t="s">
        <v>52</v>
      </c>
    </row>
    <row r="4659" spans="1:15" x14ac:dyDescent="0.3">
      <c r="A4659" t="s">
        <v>3915</v>
      </c>
      <c r="B4659" s="5">
        <v>56</v>
      </c>
      <c r="C4659" s="5" t="str" cm="1">
        <f t="array" ref="C4659">_xlfn.IFS(worksheet[[#This Row],[age]]&lt;25,"1. Young Adulthood (18-24)",worksheet[[#This Row],[age]]&lt; 35,"2. Early Adulthood (25-34)",worksheet[[#This Row],[age]]&lt; 45,"3. Mid Adulthood (35-44)",worksheet[[#This Row],[age]]&lt; 55,"4. Mature Adulthood (45-54)",TRUE,"5. Late Adulthood/Senior (55+)")</f>
        <v>5. Late Adulthood/Senior (55+)</v>
      </c>
      <c r="D4659" t="s">
        <v>15</v>
      </c>
      <c r="E4659" t="s">
        <v>16</v>
      </c>
      <c r="F4659" s="4">
        <v>2.19</v>
      </c>
      <c r="G4659" s="5">
        <v>35</v>
      </c>
      <c r="H4659" t="s">
        <v>28</v>
      </c>
      <c r="I4659" t="s">
        <v>46</v>
      </c>
      <c r="J4659" s="6">
        <v>8.99</v>
      </c>
      <c r="K4659">
        <v>1</v>
      </c>
      <c r="L4659" t="s">
        <v>61</v>
      </c>
      <c r="M4659" s="5">
        <v>5</v>
      </c>
      <c r="N4659" s="4">
        <v>0.06</v>
      </c>
      <c r="O4659" t="s">
        <v>52</v>
      </c>
    </row>
    <row r="4660" spans="1:15" x14ac:dyDescent="0.3">
      <c r="A4660" t="s">
        <v>3918</v>
      </c>
      <c r="B4660" s="5">
        <v>62</v>
      </c>
      <c r="C4660" s="5" t="str" cm="1">
        <f t="array" ref="C4660">_xlfn.IFS(worksheet[[#This Row],[age]]&lt;25,"1. Young Adulthood (18-24)",worksheet[[#This Row],[age]]&lt; 35,"2. Early Adulthood (25-34)",worksheet[[#This Row],[age]]&lt; 45,"3. Mid Adulthood (35-44)",worksheet[[#This Row],[age]]&lt; 55,"4. Mature Adulthood (45-54)",TRUE,"5. Late Adulthood/Senior (55+)")</f>
        <v>5. Late Adulthood/Senior (55+)</v>
      </c>
      <c r="D4660" t="s">
        <v>41</v>
      </c>
      <c r="E4660" t="s">
        <v>22</v>
      </c>
      <c r="F4660" s="4">
        <v>21.13</v>
      </c>
      <c r="G4660" s="5">
        <v>36</v>
      </c>
      <c r="H4660" t="s">
        <v>28</v>
      </c>
      <c r="I4660" t="s">
        <v>24</v>
      </c>
      <c r="J4660" s="6">
        <v>13.99</v>
      </c>
      <c r="K4660">
        <v>0</v>
      </c>
      <c r="L4660" t="s">
        <v>43</v>
      </c>
      <c r="M4660" s="5">
        <v>2</v>
      </c>
      <c r="N4660" s="4">
        <v>0.56999999999999995</v>
      </c>
      <c r="O4660" t="s">
        <v>52</v>
      </c>
    </row>
    <row r="4661" spans="1:15" x14ac:dyDescent="0.3">
      <c r="A4661" t="s">
        <v>3919</v>
      </c>
      <c r="B4661" s="5">
        <v>60</v>
      </c>
      <c r="C4661" s="5" t="str" cm="1">
        <f t="array" ref="C4661">_xlfn.IFS(worksheet[[#This Row],[age]]&lt;25,"1. Young Adulthood (18-24)",worksheet[[#This Row],[age]]&lt; 35,"2. Early Adulthood (25-34)",worksheet[[#This Row],[age]]&lt; 45,"3. Mid Adulthood (35-44)",worksheet[[#This Row],[age]]&lt; 55,"4. Mature Adulthood (45-54)",TRUE,"5. Late Adulthood/Senior (55+)")</f>
        <v>5. Late Adulthood/Senior (55+)</v>
      </c>
      <c r="D4661" t="s">
        <v>15</v>
      </c>
      <c r="E4661" t="s">
        <v>22</v>
      </c>
      <c r="F4661" s="4">
        <v>13.86</v>
      </c>
      <c r="G4661" s="5">
        <v>8</v>
      </c>
      <c r="H4661" t="s">
        <v>23</v>
      </c>
      <c r="I4661" t="s">
        <v>55</v>
      </c>
      <c r="J4661" s="6">
        <v>13.99</v>
      </c>
      <c r="K4661">
        <v>0</v>
      </c>
      <c r="L4661" t="s">
        <v>37</v>
      </c>
      <c r="M4661" s="5">
        <v>1</v>
      </c>
      <c r="N4661" s="4">
        <v>1.54</v>
      </c>
      <c r="O4661" t="s">
        <v>52</v>
      </c>
    </row>
    <row r="4662" spans="1:15" x14ac:dyDescent="0.3">
      <c r="A4662" t="s">
        <v>3922</v>
      </c>
      <c r="B4662" s="5">
        <v>70</v>
      </c>
      <c r="C4662" s="5" t="str" cm="1">
        <f t="array" ref="C4662">_xlfn.IFS(worksheet[[#This Row],[age]]&lt;25,"1. Young Adulthood (18-24)",worksheet[[#This Row],[age]]&lt; 35,"2. Early Adulthood (25-34)",worksheet[[#This Row],[age]]&lt; 45,"3. Mid Adulthood (35-44)",worksheet[[#This Row],[age]]&lt; 55,"4. Mature Adulthood (45-54)",TRUE,"5. Late Adulthood/Senior (55+)")</f>
        <v>5. Late Adulthood/Senior (55+)</v>
      </c>
      <c r="D4662" t="s">
        <v>41</v>
      </c>
      <c r="E4662" t="s">
        <v>16</v>
      </c>
      <c r="F4662" s="4">
        <v>1.69</v>
      </c>
      <c r="G4662" s="5">
        <v>23</v>
      </c>
      <c r="H4662" t="s">
        <v>33</v>
      </c>
      <c r="I4662" t="s">
        <v>57</v>
      </c>
      <c r="J4662" s="6">
        <v>8.99</v>
      </c>
      <c r="K4662">
        <v>1</v>
      </c>
      <c r="L4662" t="s">
        <v>29</v>
      </c>
      <c r="M4662" s="5">
        <v>3</v>
      </c>
      <c r="N4662" s="4">
        <v>7.0000000000000007E-2</v>
      </c>
      <c r="O4662" t="s">
        <v>25</v>
      </c>
    </row>
    <row r="4663" spans="1:15" x14ac:dyDescent="0.3">
      <c r="A4663" t="s">
        <v>3930</v>
      </c>
      <c r="B4663" s="5">
        <v>62</v>
      </c>
      <c r="C4663" s="5" t="str" cm="1">
        <f t="array" ref="C4663">_xlfn.IFS(worksheet[[#This Row],[age]]&lt;25,"1. Young Adulthood (18-24)",worksheet[[#This Row],[age]]&lt; 35,"2. Early Adulthood (25-34)",worksheet[[#This Row],[age]]&lt; 45,"3. Mid Adulthood (35-44)",worksheet[[#This Row],[age]]&lt; 55,"4. Mature Adulthood (45-54)",TRUE,"5. Late Adulthood/Senior (55+)")</f>
        <v>5. Late Adulthood/Senior (55+)</v>
      </c>
      <c r="D4663" t="s">
        <v>15</v>
      </c>
      <c r="E4663" t="s">
        <v>16</v>
      </c>
      <c r="F4663" s="4">
        <v>6.72</v>
      </c>
      <c r="G4663" s="5">
        <v>19</v>
      </c>
      <c r="H4663" t="s">
        <v>33</v>
      </c>
      <c r="I4663" t="s">
        <v>57</v>
      </c>
      <c r="J4663" s="6">
        <v>8.99</v>
      </c>
      <c r="K4663">
        <v>0</v>
      </c>
      <c r="L4663" t="s">
        <v>37</v>
      </c>
      <c r="M4663" s="5">
        <v>5</v>
      </c>
      <c r="N4663" s="4">
        <v>0.34</v>
      </c>
      <c r="O4663" t="s">
        <v>39</v>
      </c>
    </row>
    <row r="4664" spans="1:15" x14ac:dyDescent="0.3">
      <c r="A4664" t="s">
        <v>3934</v>
      </c>
      <c r="B4664" s="5">
        <v>59</v>
      </c>
      <c r="C4664" s="5" t="str" cm="1">
        <f t="array" ref="C4664">_xlfn.IFS(worksheet[[#This Row],[age]]&lt;25,"1. Young Adulthood (18-24)",worksheet[[#This Row],[age]]&lt; 35,"2. Early Adulthood (25-34)",worksheet[[#This Row],[age]]&lt; 45,"3. Mid Adulthood (35-44)",worksheet[[#This Row],[age]]&lt; 55,"4. Mature Adulthood (45-54)",TRUE,"5. Late Adulthood/Senior (55+)")</f>
        <v>5. Late Adulthood/Senior (55+)</v>
      </c>
      <c r="D4664" t="s">
        <v>41</v>
      </c>
      <c r="E4664" t="s">
        <v>32</v>
      </c>
      <c r="F4664" s="4">
        <v>6.27</v>
      </c>
      <c r="G4664" s="5">
        <v>12</v>
      </c>
      <c r="H4664" t="s">
        <v>70</v>
      </c>
      <c r="I4664" t="s">
        <v>24</v>
      </c>
      <c r="J4664" s="6">
        <v>17.989999999999998</v>
      </c>
      <c r="K4664">
        <v>0</v>
      </c>
      <c r="L4664" t="s">
        <v>37</v>
      </c>
      <c r="M4664" s="5">
        <v>3</v>
      </c>
      <c r="N4664" s="4">
        <v>0.48</v>
      </c>
      <c r="O4664" t="s">
        <v>39</v>
      </c>
    </row>
    <row r="4665" spans="1:15" x14ac:dyDescent="0.3">
      <c r="A4665" t="s">
        <v>3936</v>
      </c>
      <c r="B4665" s="5">
        <v>65</v>
      </c>
      <c r="C4665" s="5" t="str" cm="1">
        <f t="array" ref="C4665">_xlfn.IFS(worksheet[[#This Row],[age]]&lt;25,"1. Young Adulthood (18-24)",worksheet[[#This Row],[age]]&lt; 35,"2. Early Adulthood (25-34)",worksheet[[#This Row],[age]]&lt; 45,"3. Mid Adulthood (35-44)",worksheet[[#This Row],[age]]&lt; 55,"4. Mature Adulthood (45-54)",TRUE,"5. Late Adulthood/Senior (55+)")</f>
        <v>5. Late Adulthood/Senior (55+)</v>
      </c>
      <c r="D4665" t="s">
        <v>15</v>
      </c>
      <c r="E4665" t="s">
        <v>22</v>
      </c>
      <c r="F4665" s="4">
        <v>10.07</v>
      </c>
      <c r="G4665" s="5">
        <v>20</v>
      </c>
      <c r="H4665" t="s">
        <v>17</v>
      </c>
      <c r="I4665" t="s">
        <v>24</v>
      </c>
      <c r="J4665" s="6">
        <v>13.99</v>
      </c>
      <c r="K4665">
        <v>0</v>
      </c>
      <c r="L4665" t="s">
        <v>61</v>
      </c>
      <c r="M4665" s="5">
        <v>1</v>
      </c>
      <c r="N4665" s="4">
        <v>0.48</v>
      </c>
      <c r="O4665" t="s">
        <v>39</v>
      </c>
    </row>
    <row r="4666" spans="1:15" x14ac:dyDescent="0.3">
      <c r="A4666" t="s">
        <v>3941</v>
      </c>
      <c r="B4666" s="5">
        <v>60</v>
      </c>
      <c r="C4666" s="5" t="str" cm="1">
        <f t="array" ref="C4666">_xlfn.IFS(worksheet[[#This Row],[age]]&lt;25,"1. Young Adulthood (18-24)",worksheet[[#This Row],[age]]&lt; 35,"2. Early Adulthood (25-34)",worksheet[[#This Row],[age]]&lt; 45,"3. Mid Adulthood (35-44)",worksheet[[#This Row],[age]]&lt; 55,"4. Mature Adulthood (45-54)",TRUE,"5. Late Adulthood/Senior (55+)")</f>
        <v>5. Late Adulthood/Senior (55+)</v>
      </c>
      <c r="D4666" t="s">
        <v>27</v>
      </c>
      <c r="E4666" t="s">
        <v>32</v>
      </c>
      <c r="F4666" s="4">
        <v>15.94</v>
      </c>
      <c r="G4666" s="5">
        <v>4</v>
      </c>
      <c r="H4666" t="s">
        <v>49</v>
      </c>
      <c r="I4666" t="s">
        <v>55</v>
      </c>
      <c r="J4666" s="6">
        <v>17.989999999999998</v>
      </c>
      <c r="K4666">
        <v>0</v>
      </c>
      <c r="L4666" t="s">
        <v>43</v>
      </c>
      <c r="M4666" s="5">
        <v>3</v>
      </c>
      <c r="N4666" s="4">
        <v>3.19</v>
      </c>
      <c r="O4666" t="s">
        <v>20</v>
      </c>
    </row>
    <row r="4667" spans="1:15" x14ac:dyDescent="0.3">
      <c r="A4667" t="s">
        <v>3945</v>
      </c>
      <c r="B4667" s="5">
        <v>64</v>
      </c>
      <c r="C4667" s="5" t="str" cm="1">
        <f t="array" ref="C4667">_xlfn.IFS(worksheet[[#This Row],[age]]&lt;25,"1. Young Adulthood (18-24)",worksheet[[#This Row],[age]]&lt; 35,"2. Early Adulthood (25-34)",worksheet[[#This Row],[age]]&lt; 45,"3. Mid Adulthood (35-44)",worksheet[[#This Row],[age]]&lt; 55,"4. Mature Adulthood (45-54)",TRUE,"5. Late Adulthood/Senior (55+)")</f>
        <v>5. Late Adulthood/Senior (55+)</v>
      </c>
      <c r="D4667" t="s">
        <v>27</v>
      </c>
      <c r="E4667" t="s">
        <v>22</v>
      </c>
      <c r="F4667" s="4">
        <v>12.5</v>
      </c>
      <c r="G4667" s="5">
        <v>33</v>
      </c>
      <c r="H4667" t="s">
        <v>28</v>
      </c>
      <c r="I4667" t="s">
        <v>18</v>
      </c>
      <c r="J4667" s="6">
        <v>13.99</v>
      </c>
      <c r="K4667">
        <v>0</v>
      </c>
      <c r="L4667" t="s">
        <v>37</v>
      </c>
      <c r="M4667" s="5">
        <v>5</v>
      </c>
      <c r="N4667" s="4">
        <v>0.37</v>
      </c>
      <c r="O4667" t="s">
        <v>39</v>
      </c>
    </row>
    <row r="4668" spans="1:15" x14ac:dyDescent="0.3">
      <c r="A4668" t="s">
        <v>3947</v>
      </c>
      <c r="B4668" s="5">
        <v>55</v>
      </c>
      <c r="C4668" s="5" t="str" cm="1">
        <f t="array" ref="C4668">_xlfn.IFS(worksheet[[#This Row],[age]]&lt;25,"1. Young Adulthood (18-24)",worksheet[[#This Row],[age]]&lt; 35,"2. Early Adulthood (25-34)",worksheet[[#This Row],[age]]&lt; 45,"3. Mid Adulthood (35-44)",worksheet[[#This Row],[age]]&lt; 55,"4. Mature Adulthood (45-54)",TRUE,"5. Late Adulthood/Senior (55+)")</f>
        <v>5. Late Adulthood/Senior (55+)</v>
      </c>
      <c r="D4668" t="s">
        <v>27</v>
      </c>
      <c r="E4668" t="s">
        <v>32</v>
      </c>
      <c r="F4668" s="4">
        <v>17.760000000000002</v>
      </c>
      <c r="G4668" s="5">
        <v>49</v>
      </c>
      <c r="H4668" t="s">
        <v>23</v>
      </c>
      <c r="I4668" t="s">
        <v>57</v>
      </c>
      <c r="J4668" s="6">
        <v>17.989999999999998</v>
      </c>
      <c r="K4668">
        <v>1</v>
      </c>
      <c r="L4668" t="s">
        <v>61</v>
      </c>
      <c r="M4668" s="5">
        <v>3</v>
      </c>
      <c r="N4668" s="4">
        <v>0.36</v>
      </c>
      <c r="O4668" t="s">
        <v>30</v>
      </c>
    </row>
    <row r="4669" spans="1:15" x14ac:dyDescent="0.3">
      <c r="A4669" t="s">
        <v>3955</v>
      </c>
      <c r="B4669" s="5">
        <v>59</v>
      </c>
      <c r="C4669" s="5" t="str" cm="1">
        <f t="array" ref="C4669">_xlfn.IFS(worksheet[[#This Row],[age]]&lt;25,"1. Young Adulthood (18-24)",worksheet[[#This Row],[age]]&lt; 35,"2. Early Adulthood (25-34)",worksheet[[#This Row],[age]]&lt; 45,"3. Mid Adulthood (35-44)",worksheet[[#This Row],[age]]&lt; 55,"4. Mature Adulthood (45-54)",TRUE,"5. Late Adulthood/Senior (55+)")</f>
        <v>5. Late Adulthood/Senior (55+)</v>
      </c>
      <c r="D4669" t="s">
        <v>27</v>
      </c>
      <c r="E4669" t="s">
        <v>32</v>
      </c>
      <c r="F4669" s="4">
        <v>26.54</v>
      </c>
      <c r="G4669" s="5">
        <v>33</v>
      </c>
      <c r="H4669" t="s">
        <v>33</v>
      </c>
      <c r="I4669" t="s">
        <v>46</v>
      </c>
      <c r="J4669" s="6">
        <v>17.989999999999998</v>
      </c>
      <c r="K4669">
        <v>0</v>
      </c>
      <c r="L4669" t="s">
        <v>29</v>
      </c>
      <c r="M4669" s="5">
        <v>3</v>
      </c>
      <c r="N4669" s="4">
        <v>0.78</v>
      </c>
      <c r="O4669" t="s">
        <v>25</v>
      </c>
    </row>
    <row r="4670" spans="1:15" x14ac:dyDescent="0.3">
      <c r="A4670" t="s">
        <v>3958</v>
      </c>
      <c r="B4670" s="5">
        <v>63</v>
      </c>
      <c r="C4670" s="5" t="str" cm="1">
        <f t="array" ref="C4670">_xlfn.IFS(worksheet[[#This Row],[age]]&lt;25,"1. Young Adulthood (18-24)",worksheet[[#This Row],[age]]&lt; 35,"2. Early Adulthood (25-34)",worksheet[[#This Row],[age]]&lt; 45,"3. Mid Adulthood (35-44)",worksheet[[#This Row],[age]]&lt; 55,"4. Mature Adulthood (45-54)",TRUE,"5. Late Adulthood/Senior (55+)")</f>
        <v>5. Late Adulthood/Senior (55+)</v>
      </c>
      <c r="D4670" t="s">
        <v>15</v>
      </c>
      <c r="E4670" t="s">
        <v>22</v>
      </c>
      <c r="F4670" s="4">
        <v>5.1100000000000003</v>
      </c>
      <c r="G4670" s="5">
        <v>18</v>
      </c>
      <c r="H4670" t="s">
        <v>28</v>
      </c>
      <c r="I4670" t="s">
        <v>57</v>
      </c>
      <c r="J4670" s="6">
        <v>13.99</v>
      </c>
      <c r="K4670">
        <v>0</v>
      </c>
      <c r="L4670" t="s">
        <v>29</v>
      </c>
      <c r="M4670" s="5">
        <v>1</v>
      </c>
      <c r="N4670" s="4">
        <v>0.27</v>
      </c>
      <c r="O4670" t="s">
        <v>34</v>
      </c>
    </row>
    <row r="4671" spans="1:15" x14ac:dyDescent="0.3">
      <c r="A4671" t="s">
        <v>3962</v>
      </c>
      <c r="B4671" s="5">
        <v>60</v>
      </c>
      <c r="C4671" s="5" t="str" cm="1">
        <f t="array" ref="C4671">_xlfn.IFS(worksheet[[#This Row],[age]]&lt;25,"1. Young Adulthood (18-24)",worksheet[[#This Row],[age]]&lt; 35,"2. Early Adulthood (25-34)",worksheet[[#This Row],[age]]&lt; 45,"3. Mid Adulthood (35-44)",worksheet[[#This Row],[age]]&lt; 55,"4. Mature Adulthood (45-54)",TRUE,"5. Late Adulthood/Senior (55+)")</f>
        <v>5. Late Adulthood/Senior (55+)</v>
      </c>
      <c r="D4671" t="s">
        <v>15</v>
      </c>
      <c r="E4671" t="s">
        <v>32</v>
      </c>
      <c r="F4671" s="4">
        <v>2.56</v>
      </c>
      <c r="G4671" s="5">
        <v>22</v>
      </c>
      <c r="H4671" t="s">
        <v>28</v>
      </c>
      <c r="I4671" t="s">
        <v>24</v>
      </c>
      <c r="J4671" s="6">
        <v>17.989999999999998</v>
      </c>
      <c r="K4671">
        <v>1</v>
      </c>
      <c r="L4671" t="s">
        <v>29</v>
      </c>
      <c r="M4671" s="5">
        <v>2</v>
      </c>
      <c r="N4671" s="4">
        <v>0.11</v>
      </c>
      <c r="O4671" t="s">
        <v>25</v>
      </c>
    </row>
    <row r="4672" spans="1:15" x14ac:dyDescent="0.3">
      <c r="A4672" t="s">
        <v>3971</v>
      </c>
      <c r="B4672" s="5">
        <v>67</v>
      </c>
      <c r="C4672" s="5" t="str" cm="1">
        <f t="array" ref="C4672">_xlfn.IFS(worksheet[[#This Row],[age]]&lt;25,"1. Young Adulthood (18-24)",worksheet[[#This Row],[age]]&lt; 35,"2. Early Adulthood (25-34)",worksheet[[#This Row],[age]]&lt; 45,"3. Mid Adulthood (35-44)",worksheet[[#This Row],[age]]&lt; 55,"4. Mature Adulthood (45-54)",TRUE,"5. Late Adulthood/Senior (55+)")</f>
        <v>5. Late Adulthood/Senior (55+)</v>
      </c>
      <c r="D4672" t="s">
        <v>15</v>
      </c>
      <c r="E4672" t="s">
        <v>16</v>
      </c>
      <c r="F4672" s="4">
        <v>10.17</v>
      </c>
      <c r="G4672" s="5">
        <v>18</v>
      </c>
      <c r="H4672" t="s">
        <v>70</v>
      </c>
      <c r="I4672" t="s">
        <v>57</v>
      </c>
      <c r="J4672" s="6">
        <v>8.99</v>
      </c>
      <c r="K4672">
        <v>0</v>
      </c>
      <c r="L4672" t="s">
        <v>19</v>
      </c>
      <c r="M4672" s="5">
        <v>2</v>
      </c>
      <c r="N4672" s="4">
        <v>0.54</v>
      </c>
      <c r="O4672" t="s">
        <v>20</v>
      </c>
    </row>
    <row r="4673" spans="1:15" x14ac:dyDescent="0.3">
      <c r="A4673" t="s">
        <v>3972</v>
      </c>
      <c r="B4673" s="5">
        <v>55</v>
      </c>
      <c r="C4673" s="5" t="str" cm="1">
        <f t="array" ref="C4673">_xlfn.IFS(worksheet[[#This Row],[age]]&lt;25,"1. Young Adulthood (18-24)",worksheet[[#This Row],[age]]&lt; 35,"2. Early Adulthood (25-34)",worksheet[[#This Row],[age]]&lt; 45,"3. Mid Adulthood (35-44)",worksheet[[#This Row],[age]]&lt; 55,"4. Mature Adulthood (45-54)",TRUE,"5. Late Adulthood/Senior (55+)")</f>
        <v>5. Late Adulthood/Senior (55+)</v>
      </c>
      <c r="D4673" t="s">
        <v>41</v>
      </c>
      <c r="E4673" t="s">
        <v>22</v>
      </c>
      <c r="F4673" s="4">
        <v>1.88</v>
      </c>
      <c r="G4673" s="5">
        <v>44</v>
      </c>
      <c r="H4673" t="s">
        <v>23</v>
      </c>
      <c r="I4673" t="s">
        <v>57</v>
      </c>
      <c r="J4673" s="6">
        <v>13.99</v>
      </c>
      <c r="K4673">
        <v>1</v>
      </c>
      <c r="L4673" t="s">
        <v>43</v>
      </c>
      <c r="M4673" s="5">
        <v>4</v>
      </c>
      <c r="N4673" s="4">
        <v>0.04</v>
      </c>
      <c r="O4673" t="s">
        <v>20</v>
      </c>
    </row>
    <row r="4674" spans="1:15" x14ac:dyDescent="0.3">
      <c r="A4674" t="s">
        <v>3974</v>
      </c>
      <c r="B4674" s="5">
        <v>59</v>
      </c>
      <c r="C4674" s="5" t="str" cm="1">
        <f t="array" ref="C4674">_xlfn.IFS(worksheet[[#This Row],[age]]&lt;25,"1. Young Adulthood (18-24)",worksheet[[#This Row],[age]]&lt; 35,"2. Early Adulthood (25-34)",worksheet[[#This Row],[age]]&lt; 45,"3. Mid Adulthood (35-44)",worksheet[[#This Row],[age]]&lt; 55,"4. Mature Adulthood (45-54)",TRUE,"5. Late Adulthood/Senior (55+)")</f>
        <v>5. Late Adulthood/Senior (55+)</v>
      </c>
      <c r="D4674" t="s">
        <v>27</v>
      </c>
      <c r="E4674" t="s">
        <v>32</v>
      </c>
      <c r="F4674" s="4">
        <v>0.61</v>
      </c>
      <c r="G4674" s="5">
        <v>17</v>
      </c>
      <c r="H4674" t="s">
        <v>17</v>
      </c>
      <c r="I4674" t="s">
        <v>57</v>
      </c>
      <c r="J4674" s="6">
        <v>17.989999999999998</v>
      </c>
      <c r="K4674">
        <v>0</v>
      </c>
      <c r="L4674" t="s">
        <v>37</v>
      </c>
      <c r="M4674" s="5">
        <v>5</v>
      </c>
      <c r="N4674" s="4">
        <v>0.03</v>
      </c>
      <c r="O4674" t="s">
        <v>52</v>
      </c>
    </row>
    <row r="4675" spans="1:15" x14ac:dyDescent="0.3">
      <c r="A4675" t="s">
        <v>3976</v>
      </c>
      <c r="B4675" s="5">
        <v>58</v>
      </c>
      <c r="C4675" s="5" t="str" cm="1">
        <f t="array" ref="C4675">_xlfn.IFS(worksheet[[#This Row],[age]]&lt;25,"1. Young Adulthood (18-24)",worksheet[[#This Row],[age]]&lt; 35,"2. Early Adulthood (25-34)",worksheet[[#This Row],[age]]&lt; 45,"3. Mid Adulthood (35-44)",worksheet[[#This Row],[age]]&lt; 55,"4. Mature Adulthood (45-54)",TRUE,"5. Late Adulthood/Senior (55+)")</f>
        <v>5. Late Adulthood/Senior (55+)</v>
      </c>
      <c r="D4675" t="s">
        <v>27</v>
      </c>
      <c r="E4675" t="s">
        <v>22</v>
      </c>
      <c r="F4675" s="4">
        <v>76.290000000000006</v>
      </c>
      <c r="G4675" s="5">
        <v>5</v>
      </c>
      <c r="H4675" t="s">
        <v>23</v>
      </c>
      <c r="I4675" t="s">
        <v>24</v>
      </c>
      <c r="J4675" s="6">
        <v>13.99</v>
      </c>
      <c r="K4675">
        <v>0</v>
      </c>
      <c r="L4675" t="s">
        <v>29</v>
      </c>
      <c r="M4675" s="5">
        <v>5</v>
      </c>
      <c r="N4675" s="4">
        <v>12.72</v>
      </c>
      <c r="O4675" t="s">
        <v>25</v>
      </c>
    </row>
    <row r="4676" spans="1:15" x14ac:dyDescent="0.3">
      <c r="A4676" t="s">
        <v>3978</v>
      </c>
      <c r="B4676" s="5">
        <v>59</v>
      </c>
      <c r="C4676" s="5" t="str" cm="1">
        <f t="array" ref="C4676">_xlfn.IFS(worksheet[[#This Row],[age]]&lt;25,"1. Young Adulthood (18-24)",worksheet[[#This Row],[age]]&lt; 35,"2. Early Adulthood (25-34)",worksheet[[#This Row],[age]]&lt; 45,"3. Mid Adulthood (35-44)",worksheet[[#This Row],[age]]&lt; 55,"4. Mature Adulthood (45-54)",TRUE,"5. Late Adulthood/Senior (55+)")</f>
        <v>5. Late Adulthood/Senior (55+)</v>
      </c>
      <c r="D4676" t="s">
        <v>15</v>
      </c>
      <c r="E4676" t="s">
        <v>16</v>
      </c>
      <c r="F4676" s="4">
        <v>8.48</v>
      </c>
      <c r="G4676" s="5">
        <v>24</v>
      </c>
      <c r="H4676" t="s">
        <v>70</v>
      </c>
      <c r="I4676" t="s">
        <v>18</v>
      </c>
      <c r="J4676" s="6">
        <v>8.99</v>
      </c>
      <c r="K4676">
        <v>1</v>
      </c>
      <c r="L4676" t="s">
        <v>29</v>
      </c>
      <c r="M4676" s="5">
        <v>1</v>
      </c>
      <c r="N4676" s="4">
        <v>0.34</v>
      </c>
      <c r="O4676" t="s">
        <v>30</v>
      </c>
    </row>
    <row r="4677" spans="1:15" x14ac:dyDescent="0.3">
      <c r="A4677" t="s">
        <v>3982</v>
      </c>
      <c r="B4677" s="5">
        <v>56</v>
      </c>
      <c r="C4677" s="5" t="str" cm="1">
        <f t="array" ref="C4677">_xlfn.IFS(worksheet[[#This Row],[age]]&lt;25,"1. Young Adulthood (18-24)",worksheet[[#This Row],[age]]&lt; 35,"2. Early Adulthood (25-34)",worksheet[[#This Row],[age]]&lt; 45,"3. Mid Adulthood (35-44)",worksheet[[#This Row],[age]]&lt; 55,"4. Mature Adulthood (45-54)",TRUE,"5. Late Adulthood/Senior (55+)")</f>
        <v>5. Late Adulthood/Senior (55+)</v>
      </c>
      <c r="D4677" t="s">
        <v>15</v>
      </c>
      <c r="E4677" t="s">
        <v>22</v>
      </c>
      <c r="F4677" s="4">
        <v>3.62</v>
      </c>
      <c r="G4677" s="5">
        <v>22</v>
      </c>
      <c r="H4677" t="s">
        <v>28</v>
      </c>
      <c r="I4677" t="s">
        <v>18</v>
      </c>
      <c r="J4677" s="6">
        <v>13.99</v>
      </c>
      <c r="K4677">
        <v>1</v>
      </c>
      <c r="L4677" t="s">
        <v>29</v>
      </c>
      <c r="M4677" s="5">
        <v>1</v>
      </c>
      <c r="N4677" s="4">
        <v>0.16</v>
      </c>
      <c r="O4677" t="s">
        <v>34</v>
      </c>
    </row>
    <row r="4678" spans="1:15" x14ac:dyDescent="0.3">
      <c r="A4678" t="s">
        <v>3986</v>
      </c>
      <c r="B4678" s="5">
        <v>56</v>
      </c>
      <c r="C4678" s="5" t="str" cm="1">
        <f t="array" ref="C4678">_xlfn.IFS(worksheet[[#This Row],[age]]&lt;25,"1. Young Adulthood (18-24)",worksheet[[#This Row],[age]]&lt; 35,"2. Early Adulthood (25-34)",worksheet[[#This Row],[age]]&lt; 45,"3. Mid Adulthood (35-44)",worksheet[[#This Row],[age]]&lt; 55,"4. Mature Adulthood (45-54)",TRUE,"5. Late Adulthood/Senior (55+)")</f>
        <v>5. Late Adulthood/Senior (55+)</v>
      </c>
      <c r="D4678" t="s">
        <v>27</v>
      </c>
      <c r="E4678" t="s">
        <v>22</v>
      </c>
      <c r="F4678" s="4">
        <v>30.05</v>
      </c>
      <c r="G4678" s="5">
        <v>14</v>
      </c>
      <c r="H4678" t="s">
        <v>17</v>
      </c>
      <c r="I4678" t="s">
        <v>24</v>
      </c>
      <c r="J4678" s="6">
        <v>13.99</v>
      </c>
      <c r="K4678">
        <v>0</v>
      </c>
      <c r="L4678" t="s">
        <v>19</v>
      </c>
      <c r="M4678" s="5">
        <v>1</v>
      </c>
      <c r="N4678" s="4">
        <v>2</v>
      </c>
      <c r="O4678" t="s">
        <v>34</v>
      </c>
    </row>
    <row r="4679" spans="1:15" x14ac:dyDescent="0.3">
      <c r="A4679" t="s">
        <v>3990</v>
      </c>
      <c r="B4679" s="5">
        <v>68</v>
      </c>
      <c r="C4679" s="5" t="str" cm="1">
        <f t="array" ref="C4679">_xlfn.IFS(worksheet[[#This Row],[age]]&lt;25,"1. Young Adulthood (18-24)",worksheet[[#This Row],[age]]&lt; 35,"2. Early Adulthood (25-34)",worksheet[[#This Row],[age]]&lt; 45,"3. Mid Adulthood (35-44)",worksheet[[#This Row],[age]]&lt; 55,"4. Mature Adulthood (45-54)",TRUE,"5. Late Adulthood/Senior (55+)")</f>
        <v>5. Late Adulthood/Senior (55+)</v>
      </c>
      <c r="D4679" t="s">
        <v>27</v>
      </c>
      <c r="E4679" t="s">
        <v>22</v>
      </c>
      <c r="F4679" s="4">
        <v>36.44</v>
      </c>
      <c r="G4679" s="5">
        <v>49</v>
      </c>
      <c r="H4679" t="s">
        <v>33</v>
      </c>
      <c r="I4679" t="s">
        <v>24</v>
      </c>
      <c r="J4679" s="6">
        <v>13.99</v>
      </c>
      <c r="K4679">
        <v>0</v>
      </c>
      <c r="L4679" t="s">
        <v>19</v>
      </c>
      <c r="M4679" s="5">
        <v>3</v>
      </c>
      <c r="N4679" s="4">
        <v>0.73</v>
      </c>
      <c r="O4679" t="s">
        <v>25</v>
      </c>
    </row>
    <row r="4680" spans="1:15" x14ac:dyDescent="0.3">
      <c r="A4680" t="s">
        <v>3993</v>
      </c>
      <c r="B4680" s="5">
        <v>64</v>
      </c>
      <c r="C4680" s="5" t="str" cm="1">
        <f t="array" ref="C4680">_xlfn.IFS(worksheet[[#This Row],[age]]&lt;25,"1. Young Adulthood (18-24)",worksheet[[#This Row],[age]]&lt; 35,"2. Early Adulthood (25-34)",worksheet[[#This Row],[age]]&lt; 45,"3. Mid Adulthood (35-44)",worksheet[[#This Row],[age]]&lt; 55,"4. Mature Adulthood (45-54)",TRUE,"5. Late Adulthood/Senior (55+)")</f>
        <v>5. Late Adulthood/Senior (55+)</v>
      </c>
      <c r="D4680" t="s">
        <v>41</v>
      </c>
      <c r="E4680" t="s">
        <v>16</v>
      </c>
      <c r="F4680" s="4">
        <v>1.84</v>
      </c>
      <c r="G4680" s="5">
        <v>30</v>
      </c>
      <c r="H4680" t="s">
        <v>33</v>
      </c>
      <c r="I4680" t="s">
        <v>57</v>
      </c>
      <c r="J4680" s="6">
        <v>8.99</v>
      </c>
      <c r="K4680">
        <v>1</v>
      </c>
      <c r="L4680" t="s">
        <v>61</v>
      </c>
      <c r="M4680" s="5">
        <v>4</v>
      </c>
      <c r="N4680" s="4">
        <v>0.06</v>
      </c>
      <c r="O4680" t="s">
        <v>25</v>
      </c>
    </row>
    <row r="4681" spans="1:15" x14ac:dyDescent="0.3">
      <c r="A4681" t="s">
        <v>3994</v>
      </c>
      <c r="B4681" s="5">
        <v>57</v>
      </c>
      <c r="C4681" s="5" t="str" cm="1">
        <f t="array" ref="C4681">_xlfn.IFS(worksheet[[#This Row],[age]]&lt;25,"1. Young Adulthood (18-24)",worksheet[[#This Row],[age]]&lt; 35,"2. Early Adulthood (25-34)",worksheet[[#This Row],[age]]&lt; 45,"3. Mid Adulthood (35-44)",worksheet[[#This Row],[age]]&lt; 55,"4. Mature Adulthood (45-54)",TRUE,"5. Late Adulthood/Senior (55+)")</f>
        <v>5. Late Adulthood/Senior (55+)</v>
      </c>
      <c r="D4681" t="s">
        <v>15</v>
      </c>
      <c r="E4681" t="s">
        <v>22</v>
      </c>
      <c r="F4681" s="4">
        <v>2.93</v>
      </c>
      <c r="G4681" s="5">
        <v>35</v>
      </c>
      <c r="H4681" t="s">
        <v>49</v>
      </c>
      <c r="I4681" t="s">
        <v>46</v>
      </c>
      <c r="J4681" s="6">
        <v>13.99</v>
      </c>
      <c r="K4681">
        <v>1</v>
      </c>
      <c r="L4681" t="s">
        <v>43</v>
      </c>
      <c r="M4681" s="5">
        <v>5</v>
      </c>
      <c r="N4681" s="4">
        <v>0.08</v>
      </c>
      <c r="O4681" t="s">
        <v>30</v>
      </c>
    </row>
    <row r="4682" spans="1:15" x14ac:dyDescent="0.3">
      <c r="A4682" t="s">
        <v>3997</v>
      </c>
      <c r="B4682" s="5">
        <v>69</v>
      </c>
      <c r="C4682" s="5" t="str" cm="1">
        <f t="array" ref="C4682">_xlfn.IFS(worksheet[[#This Row],[age]]&lt;25,"1. Young Adulthood (18-24)",worksheet[[#This Row],[age]]&lt; 35,"2. Early Adulthood (25-34)",worksheet[[#This Row],[age]]&lt; 45,"3. Mid Adulthood (35-44)",worksheet[[#This Row],[age]]&lt; 55,"4. Mature Adulthood (45-54)",TRUE,"5. Late Adulthood/Senior (55+)")</f>
        <v>5. Late Adulthood/Senior (55+)</v>
      </c>
      <c r="D4682" t="s">
        <v>27</v>
      </c>
      <c r="E4682" t="s">
        <v>22</v>
      </c>
      <c r="F4682" s="4">
        <v>5.7</v>
      </c>
      <c r="G4682" s="5">
        <v>27</v>
      </c>
      <c r="H4682" t="s">
        <v>49</v>
      </c>
      <c r="I4682" t="s">
        <v>46</v>
      </c>
      <c r="J4682" s="6">
        <v>13.99</v>
      </c>
      <c r="K4682">
        <v>0</v>
      </c>
      <c r="L4682" t="s">
        <v>29</v>
      </c>
      <c r="M4682" s="5">
        <v>1</v>
      </c>
      <c r="N4682" s="4">
        <v>0.2</v>
      </c>
      <c r="O4682" t="s">
        <v>34</v>
      </c>
    </row>
    <row r="4683" spans="1:15" x14ac:dyDescent="0.3">
      <c r="A4683" t="s">
        <v>3999</v>
      </c>
      <c r="B4683" s="5">
        <v>66</v>
      </c>
      <c r="C4683" s="5" t="str" cm="1">
        <f t="array" ref="C4683">_xlfn.IFS(worksheet[[#This Row],[age]]&lt;25,"1. Young Adulthood (18-24)",worksheet[[#This Row],[age]]&lt; 35,"2. Early Adulthood (25-34)",worksheet[[#This Row],[age]]&lt; 45,"3. Mid Adulthood (35-44)",worksheet[[#This Row],[age]]&lt; 55,"4. Mature Adulthood (45-54)",TRUE,"5. Late Adulthood/Senior (55+)")</f>
        <v>5. Late Adulthood/Senior (55+)</v>
      </c>
      <c r="D4683" t="s">
        <v>27</v>
      </c>
      <c r="E4683" t="s">
        <v>22</v>
      </c>
      <c r="F4683" s="4">
        <v>32.75</v>
      </c>
      <c r="G4683" s="5">
        <v>41</v>
      </c>
      <c r="H4683" t="s">
        <v>17</v>
      </c>
      <c r="I4683" t="s">
        <v>57</v>
      </c>
      <c r="J4683" s="6">
        <v>13.99</v>
      </c>
      <c r="K4683">
        <v>0</v>
      </c>
      <c r="L4683" t="s">
        <v>61</v>
      </c>
      <c r="M4683" s="5">
        <v>1</v>
      </c>
      <c r="N4683" s="4">
        <v>0.78</v>
      </c>
      <c r="O4683" t="s">
        <v>39</v>
      </c>
    </row>
    <row r="4684" spans="1:15" x14ac:dyDescent="0.3">
      <c r="A4684" t="s">
        <v>4006</v>
      </c>
      <c r="B4684" s="5">
        <v>64</v>
      </c>
      <c r="C4684" s="5" t="str" cm="1">
        <f t="array" ref="C4684">_xlfn.IFS(worksheet[[#This Row],[age]]&lt;25,"1. Young Adulthood (18-24)",worksheet[[#This Row],[age]]&lt; 35,"2. Early Adulthood (25-34)",worksheet[[#This Row],[age]]&lt; 45,"3. Mid Adulthood (35-44)",worksheet[[#This Row],[age]]&lt; 55,"4. Mature Adulthood (45-54)",TRUE,"5. Late Adulthood/Senior (55+)")</f>
        <v>5. Late Adulthood/Senior (55+)</v>
      </c>
      <c r="D4684" t="s">
        <v>15</v>
      </c>
      <c r="E4684" t="s">
        <v>32</v>
      </c>
      <c r="F4684" s="4">
        <v>1.83</v>
      </c>
      <c r="G4684" s="5">
        <v>0</v>
      </c>
      <c r="H4684" t="s">
        <v>17</v>
      </c>
      <c r="I4684" t="s">
        <v>57</v>
      </c>
      <c r="J4684" s="6">
        <v>17.989999999999998</v>
      </c>
      <c r="K4684">
        <v>0</v>
      </c>
      <c r="L4684" t="s">
        <v>43</v>
      </c>
      <c r="M4684" s="5">
        <v>1</v>
      </c>
      <c r="N4684" s="4">
        <v>1.83</v>
      </c>
      <c r="O4684" t="s">
        <v>39</v>
      </c>
    </row>
    <row r="4685" spans="1:15" x14ac:dyDescent="0.3">
      <c r="A4685" t="s">
        <v>4008</v>
      </c>
      <c r="B4685" s="5">
        <v>63</v>
      </c>
      <c r="C4685" s="5" t="str" cm="1">
        <f t="array" ref="C4685">_xlfn.IFS(worksheet[[#This Row],[age]]&lt;25,"1. Young Adulthood (18-24)",worksheet[[#This Row],[age]]&lt; 35,"2. Early Adulthood (25-34)",worksheet[[#This Row],[age]]&lt; 45,"3. Mid Adulthood (35-44)",worksheet[[#This Row],[age]]&lt; 55,"4. Mature Adulthood (45-54)",TRUE,"5. Late Adulthood/Senior (55+)")</f>
        <v>5. Late Adulthood/Senior (55+)</v>
      </c>
      <c r="D4685" t="s">
        <v>41</v>
      </c>
      <c r="E4685" t="s">
        <v>32</v>
      </c>
      <c r="F4685" s="4">
        <v>50.34</v>
      </c>
      <c r="G4685" s="5">
        <v>16</v>
      </c>
      <c r="H4685" t="s">
        <v>23</v>
      </c>
      <c r="I4685" t="s">
        <v>18</v>
      </c>
      <c r="J4685" s="6">
        <v>17.989999999999998</v>
      </c>
      <c r="K4685">
        <v>0</v>
      </c>
      <c r="L4685" t="s">
        <v>29</v>
      </c>
      <c r="M4685" s="5">
        <v>5</v>
      </c>
      <c r="N4685" s="4">
        <v>2.96</v>
      </c>
      <c r="O4685" t="s">
        <v>39</v>
      </c>
    </row>
    <row r="4686" spans="1:15" x14ac:dyDescent="0.3">
      <c r="A4686" t="s">
        <v>4010</v>
      </c>
      <c r="B4686" s="5">
        <v>60</v>
      </c>
      <c r="C4686" s="5" t="str" cm="1">
        <f t="array" ref="C4686">_xlfn.IFS(worksheet[[#This Row],[age]]&lt;25,"1. Young Adulthood (18-24)",worksheet[[#This Row],[age]]&lt; 35,"2. Early Adulthood (25-34)",worksheet[[#This Row],[age]]&lt; 45,"3. Mid Adulthood (35-44)",worksheet[[#This Row],[age]]&lt; 55,"4. Mature Adulthood (45-54)",TRUE,"5. Late Adulthood/Senior (55+)")</f>
        <v>5. Late Adulthood/Senior (55+)</v>
      </c>
      <c r="D4686" t="s">
        <v>41</v>
      </c>
      <c r="E4686" t="s">
        <v>16</v>
      </c>
      <c r="F4686" s="4">
        <v>5.34</v>
      </c>
      <c r="G4686" s="5">
        <v>18</v>
      </c>
      <c r="H4686" t="s">
        <v>28</v>
      </c>
      <c r="I4686" t="s">
        <v>18</v>
      </c>
      <c r="J4686" s="6">
        <v>8.99</v>
      </c>
      <c r="K4686">
        <v>0</v>
      </c>
      <c r="L4686" t="s">
        <v>61</v>
      </c>
      <c r="M4686" s="5">
        <v>2</v>
      </c>
      <c r="N4686" s="4">
        <v>0.28000000000000003</v>
      </c>
      <c r="O4686" t="s">
        <v>30</v>
      </c>
    </row>
    <row r="4687" spans="1:15" x14ac:dyDescent="0.3">
      <c r="A4687" t="s">
        <v>4011</v>
      </c>
      <c r="B4687" s="5">
        <v>64</v>
      </c>
      <c r="C4687" s="5" t="str" cm="1">
        <f t="array" ref="C4687">_xlfn.IFS(worksheet[[#This Row],[age]]&lt;25,"1. Young Adulthood (18-24)",worksheet[[#This Row],[age]]&lt; 35,"2. Early Adulthood (25-34)",worksheet[[#This Row],[age]]&lt; 45,"3. Mid Adulthood (35-44)",worksheet[[#This Row],[age]]&lt; 55,"4. Mature Adulthood (45-54)",TRUE,"5. Late Adulthood/Senior (55+)")</f>
        <v>5. Late Adulthood/Senior (55+)</v>
      </c>
      <c r="D4687" t="s">
        <v>41</v>
      </c>
      <c r="E4687" t="s">
        <v>16</v>
      </c>
      <c r="F4687" s="4">
        <v>19.100000000000001</v>
      </c>
      <c r="G4687" s="5">
        <v>30</v>
      </c>
      <c r="H4687" t="s">
        <v>23</v>
      </c>
      <c r="I4687" t="s">
        <v>57</v>
      </c>
      <c r="J4687" s="6">
        <v>8.99</v>
      </c>
      <c r="K4687">
        <v>0</v>
      </c>
      <c r="L4687" t="s">
        <v>61</v>
      </c>
      <c r="M4687" s="5">
        <v>4</v>
      </c>
      <c r="N4687" s="4">
        <v>0.62</v>
      </c>
      <c r="O4687" t="s">
        <v>52</v>
      </c>
    </row>
    <row r="4688" spans="1:15" x14ac:dyDescent="0.3">
      <c r="A4688" t="s">
        <v>4013</v>
      </c>
      <c r="B4688" s="5">
        <v>61</v>
      </c>
      <c r="C4688" s="5" t="str" cm="1">
        <f t="array" ref="C4688">_xlfn.IFS(worksheet[[#This Row],[age]]&lt;25,"1. Young Adulthood (18-24)",worksheet[[#This Row],[age]]&lt; 35,"2. Early Adulthood (25-34)",worksheet[[#This Row],[age]]&lt; 45,"3. Mid Adulthood (35-44)",worksheet[[#This Row],[age]]&lt; 55,"4. Mature Adulthood (45-54)",TRUE,"5. Late Adulthood/Senior (55+)")</f>
        <v>5. Late Adulthood/Senior (55+)</v>
      </c>
      <c r="D4688" t="s">
        <v>27</v>
      </c>
      <c r="E4688" t="s">
        <v>22</v>
      </c>
      <c r="F4688" s="4">
        <v>2.54</v>
      </c>
      <c r="G4688" s="5">
        <v>49</v>
      </c>
      <c r="H4688" t="s">
        <v>49</v>
      </c>
      <c r="I4688" t="s">
        <v>18</v>
      </c>
      <c r="J4688" s="6">
        <v>13.99</v>
      </c>
      <c r="K4688">
        <v>1</v>
      </c>
      <c r="L4688" t="s">
        <v>19</v>
      </c>
      <c r="M4688" s="5">
        <v>3</v>
      </c>
      <c r="N4688" s="4">
        <v>0.05</v>
      </c>
      <c r="O4688" t="s">
        <v>30</v>
      </c>
    </row>
    <row r="4689" spans="1:15" x14ac:dyDescent="0.3">
      <c r="A4689" t="s">
        <v>4014</v>
      </c>
      <c r="B4689" s="5">
        <v>70</v>
      </c>
      <c r="C4689" s="5" t="str" cm="1">
        <f t="array" ref="C4689">_xlfn.IFS(worksheet[[#This Row],[age]]&lt;25,"1. Young Adulthood (18-24)",worksheet[[#This Row],[age]]&lt; 35,"2. Early Adulthood (25-34)",worksheet[[#This Row],[age]]&lt; 45,"3. Mid Adulthood (35-44)",worksheet[[#This Row],[age]]&lt; 55,"4. Mature Adulthood (45-54)",TRUE,"5. Late Adulthood/Senior (55+)")</f>
        <v>5. Late Adulthood/Senior (55+)</v>
      </c>
      <c r="D4689" t="s">
        <v>15</v>
      </c>
      <c r="E4689" t="s">
        <v>16</v>
      </c>
      <c r="F4689" s="4">
        <v>13.09</v>
      </c>
      <c r="G4689" s="5">
        <v>13</v>
      </c>
      <c r="H4689" t="s">
        <v>28</v>
      </c>
      <c r="I4689" t="s">
        <v>57</v>
      </c>
      <c r="J4689" s="6">
        <v>8.99</v>
      </c>
      <c r="K4689">
        <v>0</v>
      </c>
      <c r="L4689" t="s">
        <v>37</v>
      </c>
      <c r="M4689" s="5">
        <v>2</v>
      </c>
      <c r="N4689" s="4">
        <v>0.93</v>
      </c>
      <c r="O4689" t="s">
        <v>47</v>
      </c>
    </row>
    <row r="4690" spans="1:15" x14ac:dyDescent="0.3">
      <c r="A4690" t="s">
        <v>4019</v>
      </c>
      <c r="B4690" s="5">
        <v>63</v>
      </c>
      <c r="C4690" s="5" t="str" cm="1">
        <f t="array" ref="C4690">_xlfn.IFS(worksheet[[#This Row],[age]]&lt;25,"1. Young Adulthood (18-24)",worksheet[[#This Row],[age]]&lt; 35,"2. Early Adulthood (25-34)",worksheet[[#This Row],[age]]&lt; 45,"3. Mid Adulthood (35-44)",worksheet[[#This Row],[age]]&lt; 55,"4. Mature Adulthood (45-54)",TRUE,"5. Late Adulthood/Senior (55+)")</f>
        <v>5. Late Adulthood/Senior (55+)</v>
      </c>
      <c r="D4690" t="s">
        <v>41</v>
      </c>
      <c r="E4690" t="s">
        <v>16</v>
      </c>
      <c r="F4690" s="4">
        <v>2.2400000000000002</v>
      </c>
      <c r="G4690" s="5">
        <v>27</v>
      </c>
      <c r="H4690" t="s">
        <v>17</v>
      </c>
      <c r="I4690" t="s">
        <v>24</v>
      </c>
      <c r="J4690" s="6">
        <v>8.99</v>
      </c>
      <c r="K4690">
        <v>1</v>
      </c>
      <c r="L4690" t="s">
        <v>61</v>
      </c>
      <c r="M4690" s="5">
        <v>4</v>
      </c>
      <c r="N4690" s="4">
        <v>0.08</v>
      </c>
      <c r="O4690" t="s">
        <v>30</v>
      </c>
    </row>
    <row r="4691" spans="1:15" x14ac:dyDescent="0.3">
      <c r="A4691" t="s">
        <v>4024</v>
      </c>
      <c r="B4691" s="5">
        <v>70</v>
      </c>
      <c r="C4691" s="5" t="str" cm="1">
        <f t="array" ref="C4691">_xlfn.IFS(worksheet[[#This Row],[age]]&lt;25,"1. Young Adulthood (18-24)",worksheet[[#This Row],[age]]&lt; 35,"2. Early Adulthood (25-34)",worksheet[[#This Row],[age]]&lt; 45,"3. Mid Adulthood (35-44)",worksheet[[#This Row],[age]]&lt; 55,"4. Mature Adulthood (45-54)",TRUE,"5. Late Adulthood/Senior (55+)")</f>
        <v>5. Late Adulthood/Senior (55+)</v>
      </c>
      <c r="D4691" t="s">
        <v>41</v>
      </c>
      <c r="E4691" t="s">
        <v>22</v>
      </c>
      <c r="F4691" s="4">
        <v>13.92</v>
      </c>
      <c r="G4691" s="5">
        <v>57</v>
      </c>
      <c r="H4691" t="s">
        <v>70</v>
      </c>
      <c r="I4691" t="s">
        <v>46</v>
      </c>
      <c r="J4691" s="6">
        <v>13.99</v>
      </c>
      <c r="K4691">
        <v>1</v>
      </c>
      <c r="L4691" t="s">
        <v>29</v>
      </c>
      <c r="M4691" s="5">
        <v>1</v>
      </c>
      <c r="N4691" s="4">
        <v>0.24</v>
      </c>
      <c r="O4691" t="s">
        <v>20</v>
      </c>
    </row>
    <row r="4692" spans="1:15" x14ac:dyDescent="0.3">
      <c r="A4692" t="s">
        <v>4030</v>
      </c>
      <c r="B4692" s="5">
        <v>70</v>
      </c>
      <c r="C4692" s="5" t="str" cm="1">
        <f t="array" ref="C4692">_xlfn.IFS(worksheet[[#This Row],[age]]&lt;25,"1. Young Adulthood (18-24)",worksheet[[#This Row],[age]]&lt; 35,"2. Early Adulthood (25-34)",worksheet[[#This Row],[age]]&lt; 45,"3. Mid Adulthood (35-44)",worksheet[[#This Row],[age]]&lt; 55,"4. Mature Adulthood (45-54)",TRUE,"5. Late Adulthood/Senior (55+)")</f>
        <v>5. Late Adulthood/Senior (55+)</v>
      </c>
      <c r="D4692" t="s">
        <v>41</v>
      </c>
      <c r="E4692" t="s">
        <v>16</v>
      </c>
      <c r="F4692" s="4">
        <v>110.4</v>
      </c>
      <c r="G4692" s="5">
        <v>33</v>
      </c>
      <c r="H4692" t="s">
        <v>17</v>
      </c>
      <c r="I4692" t="s">
        <v>55</v>
      </c>
      <c r="J4692" s="6">
        <v>8.99</v>
      </c>
      <c r="K4692">
        <v>0</v>
      </c>
      <c r="L4692" t="s">
        <v>43</v>
      </c>
      <c r="M4692" s="5">
        <v>5</v>
      </c>
      <c r="N4692" s="4">
        <v>3.25</v>
      </c>
      <c r="O4692" t="s">
        <v>34</v>
      </c>
    </row>
    <row r="4693" spans="1:15" x14ac:dyDescent="0.3">
      <c r="A4693" t="s">
        <v>4032</v>
      </c>
      <c r="B4693" s="5">
        <v>58</v>
      </c>
      <c r="C4693" s="5" t="str" cm="1">
        <f t="array" ref="C4693">_xlfn.IFS(worksheet[[#This Row],[age]]&lt;25,"1. Young Adulthood (18-24)",worksheet[[#This Row],[age]]&lt; 35,"2. Early Adulthood (25-34)",worksheet[[#This Row],[age]]&lt; 45,"3. Mid Adulthood (35-44)",worksheet[[#This Row],[age]]&lt; 55,"4. Mature Adulthood (45-54)",TRUE,"5. Late Adulthood/Senior (55+)")</f>
        <v>5. Late Adulthood/Senior (55+)</v>
      </c>
      <c r="D4693" t="s">
        <v>27</v>
      </c>
      <c r="E4693" t="s">
        <v>22</v>
      </c>
      <c r="F4693" s="4">
        <v>2.5099999999999998</v>
      </c>
      <c r="G4693" s="5">
        <v>31</v>
      </c>
      <c r="H4693" t="s">
        <v>70</v>
      </c>
      <c r="I4693" t="s">
        <v>55</v>
      </c>
      <c r="J4693" s="6">
        <v>13.99</v>
      </c>
      <c r="K4693">
        <v>1</v>
      </c>
      <c r="L4693" t="s">
        <v>43</v>
      </c>
      <c r="M4693" s="5">
        <v>5</v>
      </c>
      <c r="N4693" s="4">
        <v>0.08</v>
      </c>
      <c r="O4693" t="s">
        <v>30</v>
      </c>
    </row>
    <row r="4694" spans="1:15" x14ac:dyDescent="0.3">
      <c r="A4694" t="s">
        <v>4033</v>
      </c>
      <c r="B4694" s="5">
        <v>57</v>
      </c>
      <c r="C4694" s="5" t="str" cm="1">
        <f t="array" ref="C4694">_xlfn.IFS(worksheet[[#This Row],[age]]&lt;25,"1. Young Adulthood (18-24)",worksheet[[#This Row],[age]]&lt; 35,"2. Early Adulthood (25-34)",worksheet[[#This Row],[age]]&lt; 45,"3. Mid Adulthood (35-44)",worksheet[[#This Row],[age]]&lt; 55,"4. Mature Adulthood (45-54)",TRUE,"5. Late Adulthood/Senior (55+)")</f>
        <v>5. Late Adulthood/Senior (55+)</v>
      </c>
      <c r="D4694" t="s">
        <v>41</v>
      </c>
      <c r="E4694" t="s">
        <v>32</v>
      </c>
      <c r="F4694" s="4">
        <v>44.65</v>
      </c>
      <c r="G4694" s="5">
        <v>52</v>
      </c>
      <c r="H4694" t="s">
        <v>33</v>
      </c>
      <c r="I4694" t="s">
        <v>57</v>
      </c>
      <c r="J4694" s="6">
        <v>17.989999999999998</v>
      </c>
      <c r="K4694">
        <v>0</v>
      </c>
      <c r="L4694" t="s">
        <v>61</v>
      </c>
      <c r="M4694" s="5">
        <v>5</v>
      </c>
      <c r="N4694" s="4">
        <v>0.84</v>
      </c>
      <c r="O4694" t="s">
        <v>47</v>
      </c>
    </row>
    <row r="4695" spans="1:15" x14ac:dyDescent="0.3">
      <c r="A4695" t="s">
        <v>4041</v>
      </c>
      <c r="B4695" s="5">
        <v>59</v>
      </c>
      <c r="C4695" s="5" t="str" cm="1">
        <f t="array" ref="C4695">_xlfn.IFS(worksheet[[#This Row],[age]]&lt;25,"1. Young Adulthood (18-24)",worksheet[[#This Row],[age]]&lt; 35,"2. Early Adulthood (25-34)",worksheet[[#This Row],[age]]&lt; 45,"3. Mid Adulthood (35-44)",worksheet[[#This Row],[age]]&lt; 55,"4. Mature Adulthood (45-54)",TRUE,"5. Late Adulthood/Senior (55+)")</f>
        <v>5. Late Adulthood/Senior (55+)</v>
      </c>
      <c r="D4695" t="s">
        <v>15</v>
      </c>
      <c r="E4695" t="s">
        <v>16</v>
      </c>
      <c r="F4695" s="4">
        <v>10.68</v>
      </c>
      <c r="G4695" s="5">
        <v>13</v>
      </c>
      <c r="H4695" t="s">
        <v>28</v>
      </c>
      <c r="I4695" t="s">
        <v>18</v>
      </c>
      <c r="J4695" s="6">
        <v>8.99</v>
      </c>
      <c r="K4695">
        <v>0</v>
      </c>
      <c r="L4695" t="s">
        <v>37</v>
      </c>
      <c r="M4695" s="5">
        <v>1</v>
      </c>
      <c r="N4695" s="4">
        <v>0.76</v>
      </c>
      <c r="O4695" t="s">
        <v>39</v>
      </c>
    </row>
    <row r="4696" spans="1:15" x14ac:dyDescent="0.3">
      <c r="A4696" t="s">
        <v>4052</v>
      </c>
      <c r="B4696" s="5">
        <v>64</v>
      </c>
      <c r="C4696" s="5" t="str" cm="1">
        <f t="array" ref="C4696">_xlfn.IFS(worksheet[[#This Row],[age]]&lt;25,"1. Young Adulthood (18-24)",worksheet[[#This Row],[age]]&lt; 35,"2. Early Adulthood (25-34)",worksheet[[#This Row],[age]]&lt; 45,"3. Mid Adulthood (35-44)",worksheet[[#This Row],[age]]&lt; 55,"4. Mature Adulthood (45-54)",TRUE,"5. Late Adulthood/Senior (55+)")</f>
        <v>5. Late Adulthood/Senior (55+)</v>
      </c>
      <c r="D4696" t="s">
        <v>41</v>
      </c>
      <c r="E4696" t="s">
        <v>32</v>
      </c>
      <c r="F4696" s="4">
        <v>2.66</v>
      </c>
      <c r="G4696" s="5">
        <v>57</v>
      </c>
      <c r="H4696" t="s">
        <v>70</v>
      </c>
      <c r="I4696" t="s">
        <v>55</v>
      </c>
      <c r="J4696" s="6">
        <v>17.989999999999998</v>
      </c>
      <c r="K4696">
        <v>1</v>
      </c>
      <c r="L4696" t="s">
        <v>61</v>
      </c>
      <c r="M4696" s="5">
        <v>2</v>
      </c>
      <c r="N4696" s="4">
        <v>0.05</v>
      </c>
      <c r="O4696" t="s">
        <v>39</v>
      </c>
    </row>
    <row r="4697" spans="1:15" x14ac:dyDescent="0.3">
      <c r="A4697" t="s">
        <v>4068</v>
      </c>
      <c r="B4697" s="5">
        <v>68</v>
      </c>
      <c r="C4697" s="5" t="str" cm="1">
        <f t="array" ref="C4697">_xlfn.IFS(worksheet[[#This Row],[age]]&lt;25,"1. Young Adulthood (18-24)",worksheet[[#This Row],[age]]&lt; 35,"2. Early Adulthood (25-34)",worksheet[[#This Row],[age]]&lt; 45,"3. Mid Adulthood (35-44)",worksheet[[#This Row],[age]]&lt; 55,"4. Mature Adulthood (45-54)",TRUE,"5. Late Adulthood/Senior (55+)")</f>
        <v>5. Late Adulthood/Senior (55+)</v>
      </c>
      <c r="D4697" t="s">
        <v>27</v>
      </c>
      <c r="E4697" t="s">
        <v>32</v>
      </c>
      <c r="F4697" s="4">
        <v>1.85</v>
      </c>
      <c r="G4697" s="5">
        <v>3</v>
      </c>
      <c r="H4697" t="s">
        <v>23</v>
      </c>
      <c r="I4697" t="s">
        <v>57</v>
      </c>
      <c r="J4697" s="6">
        <v>17.989999999999998</v>
      </c>
      <c r="K4697">
        <v>0</v>
      </c>
      <c r="L4697" t="s">
        <v>19</v>
      </c>
      <c r="M4697" s="5">
        <v>5</v>
      </c>
      <c r="N4697" s="4">
        <v>0.46</v>
      </c>
      <c r="O4697" t="s">
        <v>39</v>
      </c>
    </row>
    <row r="4698" spans="1:15" x14ac:dyDescent="0.3">
      <c r="A4698" t="s">
        <v>4069</v>
      </c>
      <c r="B4698" s="5">
        <v>58</v>
      </c>
      <c r="C4698" s="5" t="str" cm="1">
        <f t="array" ref="C4698">_xlfn.IFS(worksheet[[#This Row],[age]]&lt;25,"1. Young Adulthood (18-24)",worksheet[[#This Row],[age]]&lt; 35,"2. Early Adulthood (25-34)",worksheet[[#This Row],[age]]&lt; 45,"3. Mid Adulthood (35-44)",worksheet[[#This Row],[age]]&lt; 55,"4. Mature Adulthood (45-54)",TRUE,"5. Late Adulthood/Senior (55+)")</f>
        <v>5. Late Adulthood/Senior (55+)</v>
      </c>
      <c r="D4698" t="s">
        <v>15</v>
      </c>
      <c r="E4698" t="s">
        <v>22</v>
      </c>
      <c r="F4698" s="4">
        <v>1.32</v>
      </c>
      <c r="G4698" s="5">
        <v>29</v>
      </c>
      <c r="H4698" t="s">
        <v>33</v>
      </c>
      <c r="I4698" t="s">
        <v>24</v>
      </c>
      <c r="J4698" s="6">
        <v>13.99</v>
      </c>
      <c r="K4698">
        <v>1</v>
      </c>
      <c r="L4698" t="s">
        <v>43</v>
      </c>
      <c r="M4698" s="5">
        <v>2</v>
      </c>
      <c r="N4698" s="4">
        <v>0.04</v>
      </c>
      <c r="O4698" t="s">
        <v>52</v>
      </c>
    </row>
    <row r="4699" spans="1:15" x14ac:dyDescent="0.3">
      <c r="A4699" t="s">
        <v>4072</v>
      </c>
      <c r="B4699" s="5">
        <v>66</v>
      </c>
      <c r="C4699" s="5" t="str" cm="1">
        <f t="array" ref="C4699">_xlfn.IFS(worksheet[[#This Row],[age]]&lt;25,"1. Young Adulthood (18-24)",worksheet[[#This Row],[age]]&lt; 35,"2. Early Adulthood (25-34)",worksheet[[#This Row],[age]]&lt; 45,"3. Mid Adulthood (35-44)",worksheet[[#This Row],[age]]&lt; 55,"4. Mature Adulthood (45-54)",TRUE,"5. Late Adulthood/Senior (55+)")</f>
        <v>5. Late Adulthood/Senior (55+)</v>
      </c>
      <c r="D4699" t="s">
        <v>15</v>
      </c>
      <c r="E4699" t="s">
        <v>22</v>
      </c>
      <c r="F4699" s="4">
        <v>26.89</v>
      </c>
      <c r="G4699" s="5">
        <v>17</v>
      </c>
      <c r="H4699" t="s">
        <v>17</v>
      </c>
      <c r="I4699" t="s">
        <v>55</v>
      </c>
      <c r="J4699" s="6">
        <v>13.99</v>
      </c>
      <c r="K4699">
        <v>0</v>
      </c>
      <c r="L4699" t="s">
        <v>19</v>
      </c>
      <c r="M4699" s="5">
        <v>1</v>
      </c>
      <c r="N4699" s="4">
        <v>1.49</v>
      </c>
      <c r="O4699" t="s">
        <v>52</v>
      </c>
    </row>
    <row r="4700" spans="1:15" x14ac:dyDescent="0.3">
      <c r="A4700" t="s">
        <v>4077</v>
      </c>
      <c r="B4700" s="5">
        <v>59</v>
      </c>
      <c r="C4700" s="5" t="str" cm="1">
        <f t="array" ref="C4700">_xlfn.IFS(worksheet[[#This Row],[age]]&lt;25,"1. Young Adulthood (18-24)",worksheet[[#This Row],[age]]&lt; 35,"2. Early Adulthood (25-34)",worksheet[[#This Row],[age]]&lt; 45,"3. Mid Adulthood (35-44)",worksheet[[#This Row],[age]]&lt; 55,"4. Mature Adulthood (45-54)",TRUE,"5. Late Adulthood/Senior (55+)")</f>
        <v>5. Late Adulthood/Senior (55+)</v>
      </c>
      <c r="D4700" t="s">
        <v>15</v>
      </c>
      <c r="E4700" t="s">
        <v>32</v>
      </c>
      <c r="F4700" s="4">
        <v>8.8800000000000008</v>
      </c>
      <c r="G4700" s="5">
        <v>16</v>
      </c>
      <c r="H4700" t="s">
        <v>49</v>
      </c>
      <c r="I4700" t="s">
        <v>24</v>
      </c>
      <c r="J4700" s="6">
        <v>17.989999999999998</v>
      </c>
      <c r="K4700">
        <v>0</v>
      </c>
      <c r="L4700" t="s">
        <v>37</v>
      </c>
      <c r="M4700" s="5">
        <v>1</v>
      </c>
      <c r="N4700" s="4">
        <v>0.52</v>
      </c>
      <c r="O4700" t="s">
        <v>39</v>
      </c>
    </row>
    <row r="4701" spans="1:15" x14ac:dyDescent="0.3">
      <c r="A4701" t="s">
        <v>4078</v>
      </c>
      <c r="B4701" s="5">
        <v>67</v>
      </c>
      <c r="C4701" s="5" t="str" cm="1">
        <f t="array" ref="C4701">_xlfn.IFS(worksheet[[#This Row],[age]]&lt;25,"1. Young Adulthood (18-24)",worksheet[[#This Row],[age]]&lt; 35,"2. Early Adulthood (25-34)",worksheet[[#This Row],[age]]&lt; 45,"3. Mid Adulthood (35-44)",worksheet[[#This Row],[age]]&lt; 55,"4. Mature Adulthood (45-54)",TRUE,"5. Late Adulthood/Senior (55+)")</f>
        <v>5. Late Adulthood/Senior (55+)</v>
      </c>
      <c r="D4701" t="s">
        <v>15</v>
      </c>
      <c r="E4701" t="s">
        <v>16</v>
      </c>
      <c r="F4701" s="4">
        <v>17.079999999999998</v>
      </c>
      <c r="G4701" s="5">
        <v>33</v>
      </c>
      <c r="H4701" t="s">
        <v>49</v>
      </c>
      <c r="I4701" t="s">
        <v>18</v>
      </c>
      <c r="J4701" s="6">
        <v>8.99</v>
      </c>
      <c r="K4701">
        <v>0</v>
      </c>
      <c r="L4701" t="s">
        <v>61</v>
      </c>
      <c r="M4701" s="5">
        <v>5</v>
      </c>
      <c r="N4701" s="4">
        <v>0.5</v>
      </c>
      <c r="O4701" t="s">
        <v>30</v>
      </c>
    </row>
    <row r="4702" spans="1:15" x14ac:dyDescent="0.3">
      <c r="A4702" t="s">
        <v>4079</v>
      </c>
      <c r="B4702" s="5">
        <v>61</v>
      </c>
      <c r="C4702" s="5" t="str" cm="1">
        <f t="array" ref="C4702">_xlfn.IFS(worksheet[[#This Row],[age]]&lt;25,"1. Young Adulthood (18-24)",worksheet[[#This Row],[age]]&lt; 35,"2. Early Adulthood (25-34)",worksheet[[#This Row],[age]]&lt; 45,"3. Mid Adulthood (35-44)",worksheet[[#This Row],[age]]&lt; 55,"4. Mature Adulthood (45-54)",TRUE,"5. Late Adulthood/Senior (55+)")</f>
        <v>5. Late Adulthood/Senior (55+)</v>
      </c>
      <c r="D4702" t="s">
        <v>27</v>
      </c>
      <c r="E4702" t="s">
        <v>16</v>
      </c>
      <c r="F4702" s="4">
        <v>12.55</v>
      </c>
      <c r="G4702" s="5">
        <v>8</v>
      </c>
      <c r="H4702" t="s">
        <v>17</v>
      </c>
      <c r="I4702" t="s">
        <v>18</v>
      </c>
      <c r="J4702" s="6">
        <v>8.99</v>
      </c>
      <c r="K4702">
        <v>0</v>
      </c>
      <c r="L4702" t="s">
        <v>43</v>
      </c>
      <c r="M4702" s="5">
        <v>3</v>
      </c>
      <c r="N4702" s="4">
        <v>1.39</v>
      </c>
      <c r="O4702" t="s">
        <v>39</v>
      </c>
    </row>
    <row r="4703" spans="1:15" x14ac:dyDescent="0.3">
      <c r="A4703" t="s">
        <v>4082</v>
      </c>
      <c r="B4703" s="5">
        <v>61</v>
      </c>
      <c r="C4703" s="5" t="str" cm="1">
        <f t="array" ref="C4703">_xlfn.IFS(worksheet[[#This Row],[age]]&lt;25,"1. Young Adulthood (18-24)",worksheet[[#This Row],[age]]&lt; 35,"2. Early Adulthood (25-34)",worksheet[[#This Row],[age]]&lt; 45,"3. Mid Adulthood (35-44)",worksheet[[#This Row],[age]]&lt; 55,"4. Mature Adulthood (45-54)",TRUE,"5. Late Adulthood/Senior (55+)")</f>
        <v>5. Late Adulthood/Senior (55+)</v>
      </c>
      <c r="D4703" t="s">
        <v>27</v>
      </c>
      <c r="E4703" t="s">
        <v>22</v>
      </c>
      <c r="F4703" s="4">
        <v>16.829999999999998</v>
      </c>
      <c r="G4703" s="5">
        <v>46</v>
      </c>
      <c r="H4703" t="s">
        <v>49</v>
      </c>
      <c r="I4703" t="s">
        <v>24</v>
      </c>
      <c r="J4703" s="6">
        <v>13.99</v>
      </c>
      <c r="K4703">
        <v>0</v>
      </c>
      <c r="L4703" t="s">
        <v>43</v>
      </c>
      <c r="M4703" s="5">
        <v>5</v>
      </c>
      <c r="N4703" s="4">
        <v>0.36</v>
      </c>
      <c r="O4703" t="s">
        <v>39</v>
      </c>
    </row>
    <row r="4704" spans="1:15" x14ac:dyDescent="0.3">
      <c r="A4704" t="s">
        <v>4083</v>
      </c>
      <c r="B4704" s="5">
        <v>66</v>
      </c>
      <c r="C4704" s="5" t="str" cm="1">
        <f t="array" ref="C4704">_xlfn.IFS(worksheet[[#This Row],[age]]&lt;25,"1. Young Adulthood (18-24)",worksheet[[#This Row],[age]]&lt; 35,"2. Early Adulthood (25-34)",worksheet[[#This Row],[age]]&lt; 45,"3. Mid Adulthood (35-44)",worksheet[[#This Row],[age]]&lt; 55,"4. Mature Adulthood (45-54)",TRUE,"5. Late Adulthood/Senior (55+)")</f>
        <v>5. Late Adulthood/Senior (55+)</v>
      </c>
      <c r="D4704" t="s">
        <v>41</v>
      </c>
      <c r="E4704" t="s">
        <v>22</v>
      </c>
      <c r="F4704" s="4">
        <v>1.65</v>
      </c>
      <c r="G4704" s="5">
        <v>44</v>
      </c>
      <c r="H4704" t="s">
        <v>17</v>
      </c>
      <c r="I4704" t="s">
        <v>18</v>
      </c>
      <c r="J4704" s="6">
        <v>13.99</v>
      </c>
      <c r="K4704">
        <v>1</v>
      </c>
      <c r="L4704" t="s">
        <v>43</v>
      </c>
      <c r="M4704" s="5">
        <v>2</v>
      </c>
      <c r="N4704" s="4">
        <v>0.04</v>
      </c>
      <c r="O4704" t="s">
        <v>39</v>
      </c>
    </row>
    <row r="4705" spans="1:15" x14ac:dyDescent="0.3">
      <c r="A4705" t="s">
        <v>4085</v>
      </c>
      <c r="B4705" s="5">
        <v>68</v>
      </c>
      <c r="C4705" s="5" t="str" cm="1">
        <f t="array" ref="C4705">_xlfn.IFS(worksheet[[#This Row],[age]]&lt;25,"1. Young Adulthood (18-24)",worksheet[[#This Row],[age]]&lt; 35,"2. Early Adulthood (25-34)",worksheet[[#This Row],[age]]&lt; 45,"3. Mid Adulthood (35-44)",worksheet[[#This Row],[age]]&lt; 55,"4. Mature Adulthood (45-54)",TRUE,"5. Late Adulthood/Senior (55+)")</f>
        <v>5. Late Adulthood/Senior (55+)</v>
      </c>
      <c r="D4705" t="s">
        <v>15</v>
      </c>
      <c r="E4705" t="s">
        <v>32</v>
      </c>
      <c r="F4705" s="4">
        <v>1.23</v>
      </c>
      <c r="G4705" s="5">
        <v>12</v>
      </c>
      <c r="H4705" t="s">
        <v>28</v>
      </c>
      <c r="I4705" t="s">
        <v>24</v>
      </c>
      <c r="J4705" s="6">
        <v>17.989999999999998</v>
      </c>
      <c r="K4705">
        <v>1</v>
      </c>
      <c r="L4705" t="s">
        <v>29</v>
      </c>
      <c r="M4705" s="5">
        <v>5</v>
      </c>
      <c r="N4705" s="4">
        <v>0.09</v>
      </c>
      <c r="O4705" t="s">
        <v>34</v>
      </c>
    </row>
    <row r="4706" spans="1:15" x14ac:dyDescent="0.3">
      <c r="A4706" t="s">
        <v>4089</v>
      </c>
      <c r="B4706" s="5">
        <v>68</v>
      </c>
      <c r="C4706" s="5" t="str" cm="1">
        <f t="array" ref="C4706">_xlfn.IFS(worksheet[[#This Row],[age]]&lt;25,"1. Young Adulthood (18-24)",worksheet[[#This Row],[age]]&lt; 35,"2. Early Adulthood (25-34)",worksheet[[#This Row],[age]]&lt; 45,"3. Mid Adulthood (35-44)",worksheet[[#This Row],[age]]&lt; 55,"4. Mature Adulthood (45-54)",TRUE,"5. Late Adulthood/Senior (55+)")</f>
        <v>5. Late Adulthood/Senior (55+)</v>
      </c>
      <c r="D4706" t="s">
        <v>41</v>
      </c>
      <c r="E4706" t="s">
        <v>16</v>
      </c>
      <c r="F4706" s="4">
        <v>5.26</v>
      </c>
      <c r="G4706" s="5">
        <v>45</v>
      </c>
      <c r="H4706" t="s">
        <v>28</v>
      </c>
      <c r="I4706" t="s">
        <v>55</v>
      </c>
      <c r="J4706" s="6">
        <v>8.99</v>
      </c>
      <c r="K4706">
        <v>1</v>
      </c>
      <c r="L4706" t="s">
        <v>19</v>
      </c>
      <c r="M4706" s="5">
        <v>1</v>
      </c>
      <c r="N4706" s="4">
        <v>0.11</v>
      </c>
      <c r="O4706" t="s">
        <v>20</v>
      </c>
    </row>
    <row r="4707" spans="1:15" x14ac:dyDescent="0.3">
      <c r="A4707" t="s">
        <v>4096</v>
      </c>
      <c r="B4707" s="5">
        <v>66</v>
      </c>
      <c r="C4707" s="5" t="str" cm="1">
        <f t="array" ref="C4707">_xlfn.IFS(worksheet[[#This Row],[age]]&lt;25,"1. Young Adulthood (18-24)",worksheet[[#This Row],[age]]&lt; 35,"2. Early Adulthood (25-34)",worksheet[[#This Row],[age]]&lt; 45,"3. Mid Adulthood (35-44)",worksheet[[#This Row],[age]]&lt; 55,"4. Mature Adulthood (45-54)",TRUE,"5. Late Adulthood/Senior (55+)")</f>
        <v>5. Late Adulthood/Senior (55+)</v>
      </c>
      <c r="D4707" t="s">
        <v>15</v>
      </c>
      <c r="E4707" t="s">
        <v>16</v>
      </c>
      <c r="F4707" s="4">
        <v>12.76</v>
      </c>
      <c r="G4707" s="5">
        <v>0</v>
      </c>
      <c r="H4707" t="s">
        <v>70</v>
      </c>
      <c r="I4707" t="s">
        <v>57</v>
      </c>
      <c r="J4707" s="6">
        <v>8.99</v>
      </c>
      <c r="K4707">
        <v>0</v>
      </c>
      <c r="L4707" t="s">
        <v>61</v>
      </c>
      <c r="M4707" s="5">
        <v>1</v>
      </c>
      <c r="N4707" s="4">
        <v>12.76</v>
      </c>
      <c r="O4707" t="s">
        <v>25</v>
      </c>
    </row>
    <row r="4708" spans="1:15" x14ac:dyDescent="0.3">
      <c r="A4708" t="s">
        <v>4104</v>
      </c>
      <c r="B4708" s="5">
        <v>69</v>
      </c>
      <c r="C4708" s="5" t="str" cm="1">
        <f t="array" ref="C4708">_xlfn.IFS(worksheet[[#This Row],[age]]&lt;25,"1. Young Adulthood (18-24)",worksheet[[#This Row],[age]]&lt; 35,"2. Early Adulthood (25-34)",worksheet[[#This Row],[age]]&lt; 45,"3. Mid Adulthood (35-44)",worksheet[[#This Row],[age]]&lt; 55,"4. Mature Adulthood (45-54)",TRUE,"5. Late Adulthood/Senior (55+)")</f>
        <v>5. Late Adulthood/Senior (55+)</v>
      </c>
      <c r="D4708" t="s">
        <v>15</v>
      </c>
      <c r="E4708" t="s">
        <v>16</v>
      </c>
      <c r="F4708" s="4">
        <v>2.86</v>
      </c>
      <c r="G4708" s="5">
        <v>1</v>
      </c>
      <c r="H4708" t="s">
        <v>49</v>
      </c>
      <c r="I4708" t="s">
        <v>46</v>
      </c>
      <c r="J4708" s="6">
        <v>8.99</v>
      </c>
      <c r="K4708">
        <v>0</v>
      </c>
      <c r="L4708" t="s">
        <v>19</v>
      </c>
      <c r="M4708" s="5">
        <v>4</v>
      </c>
      <c r="N4708" s="4">
        <v>1.43</v>
      </c>
      <c r="O4708" t="s">
        <v>20</v>
      </c>
    </row>
    <row r="4709" spans="1:15" x14ac:dyDescent="0.3">
      <c r="A4709" t="s">
        <v>4106</v>
      </c>
      <c r="B4709" s="5">
        <v>59</v>
      </c>
      <c r="C4709" s="5" t="str" cm="1">
        <f t="array" ref="C4709">_xlfn.IFS(worksheet[[#This Row],[age]]&lt;25,"1. Young Adulthood (18-24)",worksheet[[#This Row],[age]]&lt; 35,"2. Early Adulthood (25-34)",worksheet[[#This Row],[age]]&lt; 45,"3. Mid Adulthood (35-44)",worksheet[[#This Row],[age]]&lt; 55,"4. Mature Adulthood (45-54)",TRUE,"5. Late Adulthood/Senior (55+)")</f>
        <v>5. Late Adulthood/Senior (55+)</v>
      </c>
      <c r="D4709" t="s">
        <v>41</v>
      </c>
      <c r="E4709" t="s">
        <v>22</v>
      </c>
      <c r="F4709" s="4">
        <v>4.1399999999999997</v>
      </c>
      <c r="G4709" s="5">
        <v>55</v>
      </c>
      <c r="H4709" t="s">
        <v>49</v>
      </c>
      <c r="I4709" t="s">
        <v>55</v>
      </c>
      <c r="J4709" s="6">
        <v>13.99</v>
      </c>
      <c r="K4709">
        <v>1</v>
      </c>
      <c r="L4709" t="s">
        <v>29</v>
      </c>
      <c r="M4709" s="5">
        <v>5</v>
      </c>
      <c r="N4709" s="4">
        <v>7.0000000000000007E-2</v>
      </c>
      <c r="O4709" t="s">
        <v>34</v>
      </c>
    </row>
    <row r="4710" spans="1:15" x14ac:dyDescent="0.3">
      <c r="A4710" t="s">
        <v>4113</v>
      </c>
      <c r="B4710" s="5">
        <v>65</v>
      </c>
      <c r="C4710" s="5" t="str" cm="1">
        <f t="array" ref="C4710">_xlfn.IFS(worksheet[[#This Row],[age]]&lt;25,"1. Young Adulthood (18-24)",worksheet[[#This Row],[age]]&lt; 35,"2. Early Adulthood (25-34)",worksheet[[#This Row],[age]]&lt; 45,"3. Mid Adulthood (35-44)",worksheet[[#This Row],[age]]&lt; 55,"4. Mature Adulthood (45-54)",TRUE,"5. Late Adulthood/Senior (55+)")</f>
        <v>5. Late Adulthood/Senior (55+)</v>
      </c>
      <c r="D4710" t="s">
        <v>15</v>
      </c>
      <c r="E4710" t="s">
        <v>16</v>
      </c>
      <c r="F4710" s="4">
        <v>9.9499999999999993</v>
      </c>
      <c r="G4710" s="5">
        <v>8</v>
      </c>
      <c r="H4710" t="s">
        <v>70</v>
      </c>
      <c r="I4710" t="s">
        <v>46</v>
      </c>
      <c r="J4710" s="6">
        <v>8.99</v>
      </c>
      <c r="K4710">
        <v>0</v>
      </c>
      <c r="L4710" t="s">
        <v>29</v>
      </c>
      <c r="M4710" s="5">
        <v>5</v>
      </c>
      <c r="N4710" s="4">
        <v>1.1100000000000001</v>
      </c>
      <c r="O4710" t="s">
        <v>47</v>
      </c>
    </row>
    <row r="4711" spans="1:15" x14ac:dyDescent="0.3">
      <c r="A4711" s="1" t="s">
        <v>4114</v>
      </c>
      <c r="B4711" s="5">
        <v>70</v>
      </c>
      <c r="C4711" s="5" t="str" cm="1">
        <f t="array" ref="C4711">_xlfn.IFS(worksheet[[#This Row],[age]]&lt;25,"1. Young Adulthood (18-24)",worksheet[[#This Row],[age]]&lt; 35,"2. Early Adulthood (25-34)",worksheet[[#This Row],[age]]&lt; 45,"3. Mid Adulthood (35-44)",worksheet[[#This Row],[age]]&lt; 55,"4. Mature Adulthood (45-54)",TRUE,"5. Late Adulthood/Senior (55+)")</f>
        <v>5. Late Adulthood/Senior (55+)</v>
      </c>
      <c r="D4711" t="s">
        <v>27</v>
      </c>
      <c r="E4711" t="s">
        <v>32</v>
      </c>
      <c r="F4711" s="4">
        <v>9.25</v>
      </c>
      <c r="G4711" s="5">
        <v>8</v>
      </c>
      <c r="H4711" t="s">
        <v>49</v>
      </c>
      <c r="I4711" t="s">
        <v>57</v>
      </c>
      <c r="J4711" s="6">
        <v>17.989999999999998</v>
      </c>
      <c r="K4711">
        <v>0</v>
      </c>
      <c r="L4711" t="s">
        <v>43</v>
      </c>
      <c r="M4711" s="5">
        <v>5</v>
      </c>
      <c r="N4711" s="4">
        <v>1.03</v>
      </c>
      <c r="O4711" t="s">
        <v>52</v>
      </c>
    </row>
    <row r="4712" spans="1:15" x14ac:dyDescent="0.3">
      <c r="A4712" t="s">
        <v>4117</v>
      </c>
      <c r="B4712" s="5">
        <v>70</v>
      </c>
      <c r="C4712" s="5" t="str" cm="1">
        <f t="array" ref="C4712">_xlfn.IFS(worksheet[[#This Row],[age]]&lt;25,"1. Young Adulthood (18-24)",worksheet[[#This Row],[age]]&lt; 35,"2. Early Adulthood (25-34)",worksheet[[#This Row],[age]]&lt; 45,"3. Mid Adulthood (35-44)",worksheet[[#This Row],[age]]&lt; 55,"4. Mature Adulthood (45-54)",TRUE,"5. Late Adulthood/Senior (55+)")</f>
        <v>5. Late Adulthood/Senior (55+)</v>
      </c>
      <c r="D4712" t="s">
        <v>15</v>
      </c>
      <c r="E4712" t="s">
        <v>22</v>
      </c>
      <c r="F4712" s="4">
        <v>1.34</v>
      </c>
      <c r="G4712" s="5">
        <v>0</v>
      </c>
      <c r="H4712" t="s">
        <v>28</v>
      </c>
      <c r="I4712" t="s">
        <v>18</v>
      </c>
      <c r="J4712" s="6">
        <v>13.99</v>
      </c>
      <c r="K4712">
        <v>0</v>
      </c>
      <c r="L4712" t="s">
        <v>37</v>
      </c>
      <c r="M4712" s="5">
        <v>1</v>
      </c>
      <c r="N4712" s="4">
        <v>1.34</v>
      </c>
      <c r="O4712" t="s">
        <v>52</v>
      </c>
    </row>
    <row r="4713" spans="1:15" x14ac:dyDescent="0.3">
      <c r="A4713" t="s">
        <v>4119</v>
      </c>
      <c r="B4713" s="5">
        <v>64</v>
      </c>
      <c r="C4713" s="5" t="str" cm="1">
        <f t="array" ref="C4713">_xlfn.IFS(worksheet[[#This Row],[age]]&lt;25,"1. Young Adulthood (18-24)",worksheet[[#This Row],[age]]&lt; 35,"2. Early Adulthood (25-34)",worksheet[[#This Row],[age]]&lt; 45,"3. Mid Adulthood (35-44)",worksheet[[#This Row],[age]]&lt; 55,"4. Mature Adulthood (45-54)",TRUE,"5. Late Adulthood/Senior (55+)")</f>
        <v>5. Late Adulthood/Senior (55+)</v>
      </c>
      <c r="D4713" t="s">
        <v>41</v>
      </c>
      <c r="E4713" t="s">
        <v>32</v>
      </c>
      <c r="F4713" s="4">
        <v>3.74</v>
      </c>
      <c r="G4713" s="5">
        <v>32</v>
      </c>
      <c r="H4713" t="s">
        <v>70</v>
      </c>
      <c r="I4713" t="s">
        <v>57</v>
      </c>
      <c r="J4713" s="6">
        <v>17.989999999999998</v>
      </c>
      <c r="K4713">
        <v>1</v>
      </c>
      <c r="L4713" t="s">
        <v>43</v>
      </c>
      <c r="M4713" s="5">
        <v>3</v>
      </c>
      <c r="N4713" s="4">
        <v>0.11</v>
      </c>
      <c r="O4713" t="s">
        <v>30</v>
      </c>
    </row>
    <row r="4714" spans="1:15" x14ac:dyDescent="0.3">
      <c r="A4714" t="s">
        <v>4121</v>
      </c>
      <c r="B4714" s="5">
        <v>59</v>
      </c>
      <c r="C4714" s="5" t="str" cm="1">
        <f t="array" ref="C4714">_xlfn.IFS(worksheet[[#This Row],[age]]&lt;25,"1. Young Adulthood (18-24)",worksheet[[#This Row],[age]]&lt; 35,"2. Early Adulthood (25-34)",worksheet[[#This Row],[age]]&lt; 45,"3. Mid Adulthood (35-44)",worksheet[[#This Row],[age]]&lt; 55,"4. Mature Adulthood (45-54)",TRUE,"5. Late Adulthood/Senior (55+)")</f>
        <v>5. Late Adulthood/Senior (55+)</v>
      </c>
      <c r="D4714" t="s">
        <v>15</v>
      </c>
      <c r="E4714" t="s">
        <v>32</v>
      </c>
      <c r="F4714" s="4">
        <v>32.81</v>
      </c>
      <c r="G4714" s="5">
        <v>0</v>
      </c>
      <c r="H4714" t="s">
        <v>70</v>
      </c>
      <c r="I4714" t="s">
        <v>46</v>
      </c>
      <c r="J4714" s="6">
        <v>17.989999999999998</v>
      </c>
      <c r="K4714">
        <v>0</v>
      </c>
      <c r="L4714" t="s">
        <v>37</v>
      </c>
      <c r="M4714" s="5">
        <v>3</v>
      </c>
      <c r="N4714" s="4">
        <v>32.81</v>
      </c>
      <c r="O4714" t="s">
        <v>25</v>
      </c>
    </row>
    <row r="4715" spans="1:15" x14ac:dyDescent="0.3">
      <c r="A4715" t="s">
        <v>4122</v>
      </c>
      <c r="B4715" s="5">
        <v>60</v>
      </c>
      <c r="C4715" s="5" t="str" cm="1">
        <f t="array" ref="C4715">_xlfn.IFS(worksheet[[#This Row],[age]]&lt;25,"1. Young Adulthood (18-24)",worksheet[[#This Row],[age]]&lt; 35,"2. Early Adulthood (25-34)",worksheet[[#This Row],[age]]&lt; 45,"3. Mid Adulthood (35-44)",worksheet[[#This Row],[age]]&lt; 55,"4. Mature Adulthood (45-54)",TRUE,"5. Late Adulthood/Senior (55+)")</f>
        <v>5. Late Adulthood/Senior (55+)</v>
      </c>
      <c r="D4715" t="s">
        <v>41</v>
      </c>
      <c r="E4715" t="s">
        <v>32</v>
      </c>
      <c r="F4715" s="4">
        <v>6.91</v>
      </c>
      <c r="G4715" s="5">
        <v>46</v>
      </c>
      <c r="H4715" t="s">
        <v>70</v>
      </c>
      <c r="I4715" t="s">
        <v>57</v>
      </c>
      <c r="J4715" s="6">
        <v>17.989999999999998</v>
      </c>
      <c r="K4715">
        <v>1</v>
      </c>
      <c r="L4715" t="s">
        <v>37</v>
      </c>
      <c r="M4715" s="5">
        <v>1</v>
      </c>
      <c r="N4715" s="4">
        <v>0.15</v>
      </c>
      <c r="O4715" t="s">
        <v>20</v>
      </c>
    </row>
    <row r="4716" spans="1:15" x14ac:dyDescent="0.3">
      <c r="A4716" t="s">
        <v>4123</v>
      </c>
      <c r="B4716" s="5">
        <v>60</v>
      </c>
      <c r="C4716" s="5" t="str" cm="1">
        <f t="array" ref="C4716">_xlfn.IFS(worksheet[[#This Row],[age]]&lt;25,"1. Young Adulthood (18-24)",worksheet[[#This Row],[age]]&lt; 35,"2. Early Adulthood (25-34)",worksheet[[#This Row],[age]]&lt; 45,"3. Mid Adulthood (35-44)",worksheet[[#This Row],[age]]&lt; 55,"4. Mature Adulthood (45-54)",TRUE,"5. Late Adulthood/Senior (55+)")</f>
        <v>5. Late Adulthood/Senior (55+)</v>
      </c>
      <c r="D4716" t="s">
        <v>27</v>
      </c>
      <c r="E4716" t="s">
        <v>16</v>
      </c>
      <c r="F4716" s="4">
        <v>4.46</v>
      </c>
      <c r="G4716" s="5">
        <v>10</v>
      </c>
      <c r="H4716" t="s">
        <v>23</v>
      </c>
      <c r="I4716" t="s">
        <v>46</v>
      </c>
      <c r="J4716" s="6">
        <v>8.99</v>
      </c>
      <c r="K4716">
        <v>1</v>
      </c>
      <c r="L4716" t="s">
        <v>19</v>
      </c>
      <c r="M4716" s="5">
        <v>5</v>
      </c>
      <c r="N4716" s="4">
        <v>0.41</v>
      </c>
      <c r="O4716" t="s">
        <v>20</v>
      </c>
    </row>
    <row r="4717" spans="1:15" x14ac:dyDescent="0.3">
      <c r="A4717" t="s">
        <v>4124</v>
      </c>
      <c r="B4717" s="5">
        <v>69</v>
      </c>
      <c r="C4717" s="5" t="str" cm="1">
        <f t="array" ref="C4717">_xlfn.IFS(worksheet[[#This Row],[age]]&lt;25,"1. Young Adulthood (18-24)",worksheet[[#This Row],[age]]&lt; 35,"2. Early Adulthood (25-34)",worksheet[[#This Row],[age]]&lt; 45,"3. Mid Adulthood (35-44)",worksheet[[#This Row],[age]]&lt; 55,"4. Mature Adulthood (45-54)",TRUE,"5. Late Adulthood/Senior (55+)")</f>
        <v>5. Late Adulthood/Senior (55+)</v>
      </c>
      <c r="D4717" t="s">
        <v>15</v>
      </c>
      <c r="E4717" t="s">
        <v>16</v>
      </c>
      <c r="F4717" s="4">
        <v>2.16</v>
      </c>
      <c r="G4717" s="5">
        <v>57</v>
      </c>
      <c r="H4717" t="s">
        <v>23</v>
      </c>
      <c r="I4717" t="s">
        <v>57</v>
      </c>
      <c r="J4717" s="6">
        <v>8.99</v>
      </c>
      <c r="K4717">
        <v>1</v>
      </c>
      <c r="L4717" t="s">
        <v>29</v>
      </c>
      <c r="M4717" s="5">
        <v>2</v>
      </c>
      <c r="N4717" s="4">
        <v>0.04</v>
      </c>
      <c r="O4717" t="s">
        <v>20</v>
      </c>
    </row>
    <row r="4718" spans="1:15" x14ac:dyDescent="0.3">
      <c r="A4718" t="s">
        <v>4130</v>
      </c>
      <c r="B4718" s="5">
        <v>69</v>
      </c>
      <c r="C4718" s="5" t="str" cm="1">
        <f t="array" ref="C4718">_xlfn.IFS(worksheet[[#This Row],[age]]&lt;25,"1. Young Adulthood (18-24)",worksheet[[#This Row],[age]]&lt; 35,"2. Early Adulthood (25-34)",worksheet[[#This Row],[age]]&lt; 45,"3. Mid Adulthood (35-44)",worksheet[[#This Row],[age]]&lt; 55,"4. Mature Adulthood (45-54)",TRUE,"5. Late Adulthood/Senior (55+)")</f>
        <v>5. Late Adulthood/Senior (55+)</v>
      </c>
      <c r="D4718" t="s">
        <v>27</v>
      </c>
      <c r="E4718" t="s">
        <v>32</v>
      </c>
      <c r="F4718" s="4">
        <v>1.75</v>
      </c>
      <c r="G4718" s="5">
        <v>6</v>
      </c>
      <c r="H4718" t="s">
        <v>33</v>
      </c>
      <c r="I4718" t="s">
        <v>24</v>
      </c>
      <c r="J4718" s="6">
        <v>17.989999999999998</v>
      </c>
      <c r="K4718">
        <v>0</v>
      </c>
      <c r="L4718" t="s">
        <v>43</v>
      </c>
      <c r="M4718" s="5">
        <v>5</v>
      </c>
      <c r="N4718" s="4">
        <v>0.25</v>
      </c>
      <c r="O4718" t="s">
        <v>39</v>
      </c>
    </row>
    <row r="4719" spans="1:15" x14ac:dyDescent="0.3">
      <c r="A4719" t="s">
        <v>4139</v>
      </c>
      <c r="B4719" s="5">
        <v>68</v>
      </c>
      <c r="C4719" s="5" t="str" cm="1">
        <f t="array" ref="C4719">_xlfn.IFS(worksheet[[#This Row],[age]]&lt;25,"1. Young Adulthood (18-24)",worksheet[[#This Row],[age]]&lt; 35,"2. Early Adulthood (25-34)",worksheet[[#This Row],[age]]&lt; 45,"3. Mid Adulthood (35-44)",worksheet[[#This Row],[age]]&lt; 55,"4. Mature Adulthood (45-54)",TRUE,"5. Late Adulthood/Senior (55+)")</f>
        <v>5. Late Adulthood/Senior (55+)</v>
      </c>
      <c r="D4719" t="s">
        <v>41</v>
      </c>
      <c r="E4719" t="s">
        <v>32</v>
      </c>
      <c r="F4719" s="4">
        <v>10</v>
      </c>
      <c r="G4719" s="5">
        <v>60</v>
      </c>
      <c r="H4719" t="s">
        <v>70</v>
      </c>
      <c r="I4719" t="s">
        <v>55</v>
      </c>
      <c r="J4719" s="6">
        <v>17.989999999999998</v>
      </c>
      <c r="K4719">
        <v>1</v>
      </c>
      <c r="L4719" t="s">
        <v>29</v>
      </c>
      <c r="M4719" s="5">
        <v>4</v>
      </c>
      <c r="N4719" s="4">
        <v>0.16</v>
      </c>
      <c r="O4719" t="s">
        <v>34</v>
      </c>
    </row>
    <row r="4720" spans="1:15" x14ac:dyDescent="0.3">
      <c r="A4720" t="s">
        <v>4141</v>
      </c>
      <c r="B4720" s="5">
        <v>55</v>
      </c>
      <c r="C4720" s="5" t="str" cm="1">
        <f t="array" ref="C4720">_xlfn.IFS(worksheet[[#This Row],[age]]&lt;25,"1. Young Adulthood (18-24)",worksheet[[#This Row],[age]]&lt; 35,"2. Early Adulthood (25-34)",worksheet[[#This Row],[age]]&lt; 45,"3. Mid Adulthood (35-44)",worksheet[[#This Row],[age]]&lt; 55,"4. Mature Adulthood (45-54)",TRUE,"5. Late Adulthood/Senior (55+)")</f>
        <v>5. Late Adulthood/Senior (55+)</v>
      </c>
      <c r="D4720" t="s">
        <v>15</v>
      </c>
      <c r="E4720" t="s">
        <v>32</v>
      </c>
      <c r="F4720" s="4">
        <v>2.69</v>
      </c>
      <c r="G4720" s="5">
        <v>37</v>
      </c>
      <c r="H4720" t="s">
        <v>17</v>
      </c>
      <c r="I4720" t="s">
        <v>18</v>
      </c>
      <c r="J4720" s="6">
        <v>17.989999999999998</v>
      </c>
      <c r="K4720">
        <v>1</v>
      </c>
      <c r="L4720" t="s">
        <v>37</v>
      </c>
      <c r="M4720" s="5">
        <v>2</v>
      </c>
      <c r="N4720" s="4">
        <v>7.0000000000000007E-2</v>
      </c>
      <c r="O4720" t="s">
        <v>25</v>
      </c>
    </row>
    <row r="4721" spans="1:15" x14ac:dyDescent="0.3">
      <c r="A4721" t="s">
        <v>4142</v>
      </c>
      <c r="B4721" s="5">
        <v>70</v>
      </c>
      <c r="C4721" s="5" t="str" cm="1">
        <f t="array" ref="C4721">_xlfn.IFS(worksheet[[#This Row],[age]]&lt;25,"1. Young Adulthood (18-24)",worksheet[[#This Row],[age]]&lt; 35,"2. Early Adulthood (25-34)",worksheet[[#This Row],[age]]&lt; 45,"3. Mid Adulthood (35-44)",worksheet[[#This Row],[age]]&lt; 55,"4. Mature Adulthood (45-54)",TRUE,"5. Late Adulthood/Senior (55+)")</f>
        <v>5. Late Adulthood/Senior (55+)</v>
      </c>
      <c r="D4721" t="s">
        <v>41</v>
      </c>
      <c r="E4721" t="s">
        <v>22</v>
      </c>
      <c r="F4721" s="4">
        <v>17.8</v>
      </c>
      <c r="G4721" s="5">
        <v>48</v>
      </c>
      <c r="H4721" t="s">
        <v>70</v>
      </c>
      <c r="I4721" t="s">
        <v>24</v>
      </c>
      <c r="J4721" s="6">
        <v>13.99</v>
      </c>
      <c r="K4721">
        <v>1</v>
      </c>
      <c r="L4721" t="s">
        <v>19</v>
      </c>
      <c r="M4721" s="5">
        <v>2</v>
      </c>
      <c r="N4721" s="4">
        <v>0.36</v>
      </c>
      <c r="O4721" t="s">
        <v>30</v>
      </c>
    </row>
    <row r="4722" spans="1:15" x14ac:dyDescent="0.3">
      <c r="A4722" t="s">
        <v>4143</v>
      </c>
      <c r="B4722" s="5">
        <v>56</v>
      </c>
      <c r="C4722" s="5" t="str" cm="1">
        <f t="array" ref="C4722">_xlfn.IFS(worksheet[[#This Row],[age]]&lt;25,"1. Young Adulthood (18-24)",worksheet[[#This Row],[age]]&lt; 35,"2. Early Adulthood (25-34)",worksheet[[#This Row],[age]]&lt; 45,"3. Mid Adulthood (35-44)",worksheet[[#This Row],[age]]&lt; 55,"4. Mature Adulthood (45-54)",TRUE,"5. Late Adulthood/Senior (55+)")</f>
        <v>5. Late Adulthood/Senior (55+)</v>
      </c>
      <c r="D4722" t="s">
        <v>15</v>
      </c>
      <c r="E4722" t="s">
        <v>32</v>
      </c>
      <c r="F4722" s="4">
        <v>36.200000000000003</v>
      </c>
      <c r="G4722" s="5">
        <v>3</v>
      </c>
      <c r="H4722" t="s">
        <v>23</v>
      </c>
      <c r="I4722" t="s">
        <v>24</v>
      </c>
      <c r="J4722" s="6">
        <v>17.989999999999998</v>
      </c>
      <c r="K4722">
        <v>0</v>
      </c>
      <c r="L4722" t="s">
        <v>19</v>
      </c>
      <c r="M4722" s="5">
        <v>5</v>
      </c>
      <c r="N4722" s="4">
        <v>9.0500000000000007</v>
      </c>
      <c r="O4722" t="s">
        <v>25</v>
      </c>
    </row>
    <row r="4723" spans="1:15" x14ac:dyDescent="0.3">
      <c r="A4723" s="1" t="s">
        <v>4145</v>
      </c>
      <c r="B4723" s="5">
        <v>68</v>
      </c>
      <c r="C4723" s="5" t="str" cm="1">
        <f t="array" ref="C4723">_xlfn.IFS(worksheet[[#This Row],[age]]&lt;25,"1. Young Adulthood (18-24)",worksheet[[#This Row],[age]]&lt; 35,"2. Early Adulthood (25-34)",worksheet[[#This Row],[age]]&lt; 45,"3. Mid Adulthood (35-44)",worksheet[[#This Row],[age]]&lt; 55,"4. Mature Adulthood (45-54)",TRUE,"5. Late Adulthood/Senior (55+)")</f>
        <v>5. Late Adulthood/Senior (55+)</v>
      </c>
      <c r="D4723" t="s">
        <v>41</v>
      </c>
      <c r="E4723" t="s">
        <v>22</v>
      </c>
      <c r="F4723" s="4">
        <v>0.88</v>
      </c>
      <c r="G4723" s="5">
        <v>32</v>
      </c>
      <c r="H4723" t="s">
        <v>23</v>
      </c>
      <c r="I4723" t="s">
        <v>46</v>
      </c>
      <c r="J4723" s="6">
        <v>13.99</v>
      </c>
      <c r="K4723">
        <v>1</v>
      </c>
      <c r="L4723" t="s">
        <v>61</v>
      </c>
      <c r="M4723" s="5">
        <v>3</v>
      </c>
      <c r="N4723" s="4">
        <v>0.03</v>
      </c>
      <c r="O4723" t="s">
        <v>52</v>
      </c>
    </row>
    <row r="4724" spans="1:15" x14ac:dyDescent="0.3">
      <c r="A4724" t="s">
        <v>4146</v>
      </c>
      <c r="B4724" s="5">
        <v>59</v>
      </c>
      <c r="C4724" s="5" t="str" cm="1">
        <f t="array" ref="C4724">_xlfn.IFS(worksheet[[#This Row],[age]]&lt;25,"1. Young Adulthood (18-24)",worksheet[[#This Row],[age]]&lt; 35,"2. Early Adulthood (25-34)",worksheet[[#This Row],[age]]&lt; 45,"3. Mid Adulthood (35-44)",worksheet[[#This Row],[age]]&lt; 55,"4. Mature Adulthood (45-54)",TRUE,"5. Late Adulthood/Senior (55+)")</f>
        <v>5. Late Adulthood/Senior (55+)</v>
      </c>
      <c r="D4724" t="s">
        <v>15</v>
      </c>
      <c r="E4724" t="s">
        <v>16</v>
      </c>
      <c r="F4724" s="4">
        <v>12.02</v>
      </c>
      <c r="G4724" s="5">
        <v>4</v>
      </c>
      <c r="H4724" t="s">
        <v>70</v>
      </c>
      <c r="I4724" t="s">
        <v>24</v>
      </c>
      <c r="J4724" s="6">
        <v>8.99</v>
      </c>
      <c r="K4724">
        <v>0</v>
      </c>
      <c r="L4724" t="s">
        <v>29</v>
      </c>
      <c r="M4724" s="5">
        <v>2</v>
      </c>
      <c r="N4724" s="4">
        <v>2.4</v>
      </c>
      <c r="O4724" t="s">
        <v>20</v>
      </c>
    </row>
    <row r="4725" spans="1:15" x14ac:dyDescent="0.3">
      <c r="A4725" t="s">
        <v>4152</v>
      </c>
      <c r="B4725" s="5">
        <v>58</v>
      </c>
      <c r="C4725" s="5" t="str" cm="1">
        <f t="array" ref="C4725">_xlfn.IFS(worksheet[[#This Row],[age]]&lt;25,"1. Young Adulthood (18-24)",worksheet[[#This Row],[age]]&lt; 35,"2. Early Adulthood (25-34)",worksheet[[#This Row],[age]]&lt; 45,"3. Mid Adulthood (35-44)",worksheet[[#This Row],[age]]&lt; 55,"4. Mature Adulthood (45-54)",TRUE,"5. Late Adulthood/Senior (55+)")</f>
        <v>5. Late Adulthood/Senior (55+)</v>
      </c>
      <c r="D4725" t="s">
        <v>41</v>
      </c>
      <c r="E4725" t="s">
        <v>16</v>
      </c>
      <c r="F4725" s="4">
        <v>14.69</v>
      </c>
      <c r="G4725" s="5">
        <v>30</v>
      </c>
      <c r="H4725" t="s">
        <v>23</v>
      </c>
      <c r="I4725" t="s">
        <v>18</v>
      </c>
      <c r="J4725" s="6">
        <v>8.99</v>
      </c>
      <c r="K4725">
        <v>1</v>
      </c>
      <c r="L4725" t="s">
        <v>29</v>
      </c>
      <c r="M4725" s="5">
        <v>2</v>
      </c>
      <c r="N4725" s="4">
        <v>0.47</v>
      </c>
      <c r="O4725" t="s">
        <v>34</v>
      </c>
    </row>
    <row r="4726" spans="1:15" x14ac:dyDescent="0.3">
      <c r="A4726" t="s">
        <v>4154</v>
      </c>
      <c r="B4726" s="5">
        <v>62</v>
      </c>
      <c r="C4726" s="5" t="str" cm="1">
        <f t="array" ref="C4726">_xlfn.IFS(worksheet[[#This Row],[age]]&lt;25,"1. Young Adulthood (18-24)",worksheet[[#This Row],[age]]&lt; 35,"2. Early Adulthood (25-34)",worksheet[[#This Row],[age]]&lt; 45,"3. Mid Adulthood (35-44)",worksheet[[#This Row],[age]]&lt; 55,"4. Mature Adulthood (45-54)",TRUE,"5. Late Adulthood/Senior (55+)")</f>
        <v>5. Late Adulthood/Senior (55+)</v>
      </c>
      <c r="D4726" t="s">
        <v>27</v>
      </c>
      <c r="E4726" t="s">
        <v>32</v>
      </c>
      <c r="F4726" s="4">
        <v>6.03</v>
      </c>
      <c r="G4726" s="5">
        <v>49</v>
      </c>
      <c r="H4726" t="s">
        <v>33</v>
      </c>
      <c r="I4726" t="s">
        <v>18</v>
      </c>
      <c r="J4726" s="6">
        <v>17.989999999999998</v>
      </c>
      <c r="K4726">
        <v>1</v>
      </c>
      <c r="L4726" t="s">
        <v>37</v>
      </c>
      <c r="M4726" s="5">
        <v>2</v>
      </c>
      <c r="N4726" s="4">
        <v>0.12</v>
      </c>
      <c r="O4726" t="s">
        <v>34</v>
      </c>
    </row>
    <row r="4727" spans="1:15" x14ac:dyDescent="0.3">
      <c r="A4727" t="s">
        <v>4163</v>
      </c>
      <c r="B4727" s="5">
        <v>58</v>
      </c>
      <c r="C4727" s="5" t="str" cm="1">
        <f t="array" ref="C4727">_xlfn.IFS(worksheet[[#This Row],[age]]&lt;25,"1. Young Adulthood (18-24)",worksheet[[#This Row],[age]]&lt; 35,"2. Early Adulthood (25-34)",worksheet[[#This Row],[age]]&lt; 45,"3. Mid Adulthood (35-44)",worksheet[[#This Row],[age]]&lt; 55,"4. Mature Adulthood (45-54)",TRUE,"5. Late Adulthood/Senior (55+)")</f>
        <v>5. Late Adulthood/Senior (55+)</v>
      </c>
      <c r="D4727" t="s">
        <v>15</v>
      </c>
      <c r="E4727" t="s">
        <v>22</v>
      </c>
      <c r="F4727" s="4">
        <v>14.37</v>
      </c>
      <c r="G4727" s="5">
        <v>1</v>
      </c>
      <c r="H4727" t="s">
        <v>70</v>
      </c>
      <c r="I4727" t="s">
        <v>18</v>
      </c>
      <c r="J4727" s="6">
        <v>13.99</v>
      </c>
      <c r="K4727">
        <v>0</v>
      </c>
      <c r="L4727" t="s">
        <v>37</v>
      </c>
      <c r="M4727" s="5">
        <v>3</v>
      </c>
      <c r="N4727" s="4">
        <v>7.18</v>
      </c>
      <c r="O4727" t="s">
        <v>20</v>
      </c>
    </row>
    <row r="4728" spans="1:15" x14ac:dyDescent="0.3">
      <c r="A4728" t="s">
        <v>4167</v>
      </c>
      <c r="B4728" s="5">
        <v>57</v>
      </c>
      <c r="C4728" s="5" t="str" cm="1">
        <f t="array" ref="C4728">_xlfn.IFS(worksheet[[#This Row],[age]]&lt;25,"1. Young Adulthood (18-24)",worksheet[[#This Row],[age]]&lt; 35,"2. Early Adulthood (25-34)",worksheet[[#This Row],[age]]&lt; 45,"3. Mid Adulthood (35-44)",worksheet[[#This Row],[age]]&lt; 55,"4. Mature Adulthood (45-54)",TRUE,"5. Late Adulthood/Senior (55+)")</f>
        <v>5. Late Adulthood/Senior (55+)</v>
      </c>
      <c r="D4728" t="s">
        <v>15</v>
      </c>
      <c r="E4728" t="s">
        <v>32</v>
      </c>
      <c r="F4728" s="4">
        <v>13.72</v>
      </c>
      <c r="G4728" s="5">
        <v>29</v>
      </c>
      <c r="H4728" t="s">
        <v>49</v>
      </c>
      <c r="I4728" t="s">
        <v>55</v>
      </c>
      <c r="J4728" s="6">
        <v>17.989999999999998</v>
      </c>
      <c r="K4728">
        <v>0</v>
      </c>
      <c r="L4728" t="s">
        <v>61</v>
      </c>
      <c r="M4728" s="5">
        <v>1</v>
      </c>
      <c r="N4728" s="4">
        <v>0.46</v>
      </c>
      <c r="O4728" t="s">
        <v>25</v>
      </c>
    </row>
    <row r="4729" spans="1:15" x14ac:dyDescent="0.3">
      <c r="A4729" t="s">
        <v>4175</v>
      </c>
      <c r="B4729" s="5">
        <v>64</v>
      </c>
      <c r="C4729" s="5" t="str" cm="1">
        <f t="array" ref="C4729">_xlfn.IFS(worksheet[[#This Row],[age]]&lt;25,"1. Young Adulthood (18-24)",worksheet[[#This Row],[age]]&lt; 35,"2. Early Adulthood (25-34)",worksheet[[#This Row],[age]]&lt; 45,"3. Mid Adulthood (35-44)",worksheet[[#This Row],[age]]&lt; 55,"4. Mature Adulthood (45-54)",TRUE,"5. Late Adulthood/Senior (55+)")</f>
        <v>5. Late Adulthood/Senior (55+)</v>
      </c>
      <c r="D4729" t="s">
        <v>15</v>
      </c>
      <c r="E4729" t="s">
        <v>16</v>
      </c>
      <c r="F4729" s="4">
        <v>0.95</v>
      </c>
      <c r="G4729" s="5">
        <v>50</v>
      </c>
      <c r="H4729" t="s">
        <v>17</v>
      </c>
      <c r="I4729" t="s">
        <v>57</v>
      </c>
      <c r="J4729" s="6">
        <v>8.99</v>
      </c>
      <c r="K4729">
        <v>1</v>
      </c>
      <c r="L4729" t="s">
        <v>61</v>
      </c>
      <c r="M4729" s="5">
        <v>2</v>
      </c>
      <c r="N4729" s="4">
        <v>0.02</v>
      </c>
      <c r="O4729" t="s">
        <v>20</v>
      </c>
    </row>
    <row r="4730" spans="1:15" x14ac:dyDescent="0.3">
      <c r="A4730" t="s">
        <v>4178</v>
      </c>
      <c r="B4730" s="5">
        <v>56</v>
      </c>
      <c r="C4730" s="5" t="str" cm="1">
        <f t="array" ref="C4730">_xlfn.IFS(worksheet[[#This Row],[age]]&lt;25,"1. Young Adulthood (18-24)",worksheet[[#This Row],[age]]&lt; 35,"2. Early Adulthood (25-34)",worksheet[[#This Row],[age]]&lt; 45,"3. Mid Adulthood (35-44)",worksheet[[#This Row],[age]]&lt; 55,"4. Mature Adulthood (45-54)",TRUE,"5. Late Adulthood/Senior (55+)")</f>
        <v>5. Late Adulthood/Senior (55+)</v>
      </c>
      <c r="D4730" t="s">
        <v>15</v>
      </c>
      <c r="E4730" t="s">
        <v>22</v>
      </c>
      <c r="F4730" s="4">
        <v>34.799999999999997</v>
      </c>
      <c r="G4730" s="5">
        <v>2</v>
      </c>
      <c r="H4730" t="s">
        <v>33</v>
      </c>
      <c r="I4730" t="s">
        <v>55</v>
      </c>
      <c r="J4730" s="6">
        <v>13.99</v>
      </c>
      <c r="K4730">
        <v>0</v>
      </c>
      <c r="L4730" t="s">
        <v>37</v>
      </c>
      <c r="M4730" s="5">
        <v>4</v>
      </c>
      <c r="N4730" s="4">
        <v>11.6</v>
      </c>
      <c r="O4730" t="s">
        <v>30</v>
      </c>
    </row>
    <row r="4731" spans="1:15" x14ac:dyDescent="0.3">
      <c r="A4731" t="s">
        <v>4179</v>
      </c>
      <c r="B4731" s="5">
        <v>59</v>
      </c>
      <c r="C4731" s="5" t="str" cm="1">
        <f t="array" ref="C4731">_xlfn.IFS(worksheet[[#This Row],[age]]&lt;25,"1. Young Adulthood (18-24)",worksheet[[#This Row],[age]]&lt; 35,"2. Early Adulthood (25-34)",worksheet[[#This Row],[age]]&lt; 45,"3. Mid Adulthood (35-44)",worksheet[[#This Row],[age]]&lt; 55,"4. Mature Adulthood (45-54)",TRUE,"5. Late Adulthood/Senior (55+)")</f>
        <v>5. Late Adulthood/Senior (55+)</v>
      </c>
      <c r="D4731" t="s">
        <v>15</v>
      </c>
      <c r="E4731" t="s">
        <v>32</v>
      </c>
      <c r="F4731" s="4">
        <v>10.17</v>
      </c>
      <c r="G4731" s="5">
        <v>14</v>
      </c>
      <c r="H4731" t="s">
        <v>49</v>
      </c>
      <c r="I4731" t="s">
        <v>46</v>
      </c>
      <c r="J4731" s="6">
        <v>17.989999999999998</v>
      </c>
      <c r="K4731">
        <v>0</v>
      </c>
      <c r="L4731" t="s">
        <v>37</v>
      </c>
      <c r="M4731" s="5">
        <v>3</v>
      </c>
      <c r="N4731" s="4">
        <v>0.68</v>
      </c>
      <c r="O4731" t="s">
        <v>20</v>
      </c>
    </row>
    <row r="4732" spans="1:15" x14ac:dyDescent="0.3">
      <c r="A4732" t="s">
        <v>4181</v>
      </c>
      <c r="B4732" s="5">
        <v>68</v>
      </c>
      <c r="C4732" s="5" t="str" cm="1">
        <f t="array" ref="C4732">_xlfn.IFS(worksheet[[#This Row],[age]]&lt;25,"1. Young Adulthood (18-24)",worksheet[[#This Row],[age]]&lt; 35,"2. Early Adulthood (25-34)",worksheet[[#This Row],[age]]&lt; 45,"3. Mid Adulthood (35-44)",worksheet[[#This Row],[age]]&lt; 55,"4. Mature Adulthood (45-54)",TRUE,"5. Late Adulthood/Senior (55+)")</f>
        <v>5. Late Adulthood/Senior (55+)</v>
      </c>
      <c r="D4732" t="s">
        <v>15</v>
      </c>
      <c r="E4732" t="s">
        <v>32</v>
      </c>
      <c r="F4732" s="4">
        <v>13.82</v>
      </c>
      <c r="G4732" s="5">
        <v>44</v>
      </c>
      <c r="H4732" t="s">
        <v>33</v>
      </c>
      <c r="I4732" t="s">
        <v>18</v>
      </c>
      <c r="J4732" s="6">
        <v>17.989999999999998</v>
      </c>
      <c r="K4732">
        <v>1</v>
      </c>
      <c r="L4732" t="s">
        <v>19</v>
      </c>
      <c r="M4732" s="5">
        <v>4</v>
      </c>
      <c r="N4732" s="4">
        <v>0.31</v>
      </c>
      <c r="O4732" t="s">
        <v>47</v>
      </c>
    </row>
    <row r="4733" spans="1:15" x14ac:dyDescent="0.3">
      <c r="A4733" t="s">
        <v>4192</v>
      </c>
      <c r="B4733" s="5">
        <v>59</v>
      </c>
      <c r="C4733" s="5" t="str" cm="1">
        <f t="array" ref="C4733">_xlfn.IFS(worksheet[[#This Row],[age]]&lt;25,"1. Young Adulthood (18-24)",worksheet[[#This Row],[age]]&lt; 35,"2. Early Adulthood (25-34)",worksheet[[#This Row],[age]]&lt; 45,"3. Mid Adulthood (35-44)",worksheet[[#This Row],[age]]&lt; 55,"4. Mature Adulthood (45-54)",TRUE,"5. Late Adulthood/Senior (55+)")</f>
        <v>5. Late Adulthood/Senior (55+)</v>
      </c>
      <c r="D4733" t="s">
        <v>15</v>
      </c>
      <c r="E4733" t="s">
        <v>22</v>
      </c>
      <c r="F4733" s="4">
        <v>19.18</v>
      </c>
      <c r="G4733" s="5">
        <v>20</v>
      </c>
      <c r="H4733" t="s">
        <v>33</v>
      </c>
      <c r="I4733" t="s">
        <v>55</v>
      </c>
      <c r="J4733" s="6">
        <v>13.99</v>
      </c>
      <c r="K4733">
        <v>0</v>
      </c>
      <c r="L4733" t="s">
        <v>29</v>
      </c>
      <c r="M4733" s="5">
        <v>2</v>
      </c>
      <c r="N4733" s="4">
        <v>0.91</v>
      </c>
      <c r="O4733" t="s">
        <v>34</v>
      </c>
    </row>
    <row r="4734" spans="1:15" x14ac:dyDescent="0.3">
      <c r="A4734" t="s">
        <v>4196</v>
      </c>
      <c r="B4734" s="5">
        <v>56</v>
      </c>
      <c r="C4734" s="5" t="str" cm="1">
        <f t="array" ref="C4734">_xlfn.IFS(worksheet[[#This Row],[age]]&lt;25,"1. Young Adulthood (18-24)",worksheet[[#This Row],[age]]&lt; 35,"2. Early Adulthood (25-34)",worksheet[[#This Row],[age]]&lt; 45,"3. Mid Adulthood (35-44)",worksheet[[#This Row],[age]]&lt; 55,"4. Mature Adulthood (45-54)",TRUE,"5. Late Adulthood/Senior (55+)")</f>
        <v>5. Late Adulthood/Senior (55+)</v>
      </c>
      <c r="D4734" t="s">
        <v>41</v>
      </c>
      <c r="E4734" t="s">
        <v>32</v>
      </c>
      <c r="F4734" s="4">
        <v>42.86</v>
      </c>
      <c r="G4734" s="5">
        <v>41</v>
      </c>
      <c r="H4734" t="s">
        <v>23</v>
      </c>
      <c r="I4734" t="s">
        <v>18</v>
      </c>
      <c r="J4734" s="6">
        <v>17.989999999999998</v>
      </c>
      <c r="K4734">
        <v>0</v>
      </c>
      <c r="L4734" t="s">
        <v>43</v>
      </c>
      <c r="M4734" s="5">
        <v>3</v>
      </c>
      <c r="N4734" s="4">
        <v>1.02</v>
      </c>
      <c r="O4734" t="s">
        <v>20</v>
      </c>
    </row>
    <row r="4735" spans="1:15" x14ac:dyDescent="0.3">
      <c r="A4735" t="s">
        <v>4198</v>
      </c>
      <c r="B4735" s="5">
        <v>63</v>
      </c>
      <c r="C4735" s="5" t="str" cm="1">
        <f t="array" ref="C4735">_xlfn.IFS(worksheet[[#This Row],[age]]&lt;25,"1. Young Adulthood (18-24)",worksheet[[#This Row],[age]]&lt; 35,"2. Early Adulthood (25-34)",worksheet[[#This Row],[age]]&lt; 45,"3. Mid Adulthood (35-44)",worksheet[[#This Row],[age]]&lt; 55,"4. Mature Adulthood (45-54)",TRUE,"5. Late Adulthood/Senior (55+)")</f>
        <v>5. Late Adulthood/Senior (55+)</v>
      </c>
      <c r="D4735" t="s">
        <v>15</v>
      </c>
      <c r="E4735" t="s">
        <v>22</v>
      </c>
      <c r="F4735" s="4">
        <v>1.38</v>
      </c>
      <c r="G4735" s="5">
        <v>0</v>
      </c>
      <c r="H4735" t="s">
        <v>33</v>
      </c>
      <c r="I4735" t="s">
        <v>55</v>
      </c>
      <c r="J4735" s="6">
        <v>13.99</v>
      </c>
      <c r="K4735">
        <v>0</v>
      </c>
      <c r="L4735" t="s">
        <v>19</v>
      </c>
      <c r="M4735" s="5">
        <v>4</v>
      </c>
      <c r="N4735" s="4">
        <v>1.38</v>
      </c>
      <c r="O4735" t="s">
        <v>25</v>
      </c>
    </row>
    <row r="4736" spans="1:15" x14ac:dyDescent="0.3">
      <c r="A4736" t="s">
        <v>4202</v>
      </c>
      <c r="B4736" s="5">
        <v>57</v>
      </c>
      <c r="C4736" s="5" t="str" cm="1">
        <f t="array" ref="C4736">_xlfn.IFS(worksheet[[#This Row],[age]]&lt;25,"1. Young Adulthood (18-24)",worksheet[[#This Row],[age]]&lt; 35,"2. Early Adulthood (25-34)",worksheet[[#This Row],[age]]&lt; 45,"3. Mid Adulthood (35-44)",worksheet[[#This Row],[age]]&lt; 55,"4. Mature Adulthood (45-54)",TRUE,"5. Late Adulthood/Senior (55+)")</f>
        <v>5. Late Adulthood/Senior (55+)</v>
      </c>
      <c r="D4736" t="s">
        <v>15</v>
      </c>
      <c r="E4736" t="s">
        <v>32</v>
      </c>
      <c r="F4736" s="4">
        <v>7.31</v>
      </c>
      <c r="G4736" s="5">
        <v>53</v>
      </c>
      <c r="H4736" t="s">
        <v>33</v>
      </c>
      <c r="I4736" t="s">
        <v>57</v>
      </c>
      <c r="J4736" s="6">
        <v>17.989999999999998</v>
      </c>
      <c r="K4736">
        <v>1</v>
      </c>
      <c r="L4736" t="s">
        <v>43</v>
      </c>
      <c r="M4736" s="5">
        <v>3</v>
      </c>
      <c r="N4736" s="4">
        <v>0.14000000000000001</v>
      </c>
      <c r="O4736" t="s">
        <v>39</v>
      </c>
    </row>
    <row r="4737" spans="1:15" x14ac:dyDescent="0.3">
      <c r="A4737" t="s">
        <v>4205</v>
      </c>
      <c r="B4737" s="5">
        <v>58</v>
      </c>
      <c r="C4737" s="5" t="str" cm="1">
        <f t="array" ref="C4737">_xlfn.IFS(worksheet[[#This Row],[age]]&lt;25,"1. Young Adulthood (18-24)",worksheet[[#This Row],[age]]&lt; 35,"2. Early Adulthood (25-34)",worksheet[[#This Row],[age]]&lt; 45,"3. Mid Adulthood (35-44)",worksheet[[#This Row],[age]]&lt; 55,"4. Mature Adulthood (45-54)",TRUE,"5. Late Adulthood/Senior (55+)")</f>
        <v>5. Late Adulthood/Senior (55+)</v>
      </c>
      <c r="D4737" t="s">
        <v>27</v>
      </c>
      <c r="E4737" t="s">
        <v>16</v>
      </c>
      <c r="F4737" s="4">
        <v>31.06</v>
      </c>
      <c r="G4737" s="5">
        <v>38</v>
      </c>
      <c r="H4737" t="s">
        <v>70</v>
      </c>
      <c r="I4737" t="s">
        <v>24</v>
      </c>
      <c r="J4737" s="6">
        <v>8.99</v>
      </c>
      <c r="K4737">
        <v>0</v>
      </c>
      <c r="L4737" t="s">
        <v>43</v>
      </c>
      <c r="M4737" s="5">
        <v>2</v>
      </c>
      <c r="N4737" s="4">
        <v>0.8</v>
      </c>
      <c r="O4737" t="s">
        <v>25</v>
      </c>
    </row>
    <row r="4738" spans="1:15" x14ac:dyDescent="0.3">
      <c r="A4738" t="s">
        <v>4208</v>
      </c>
      <c r="B4738" s="5">
        <v>58</v>
      </c>
      <c r="C4738" s="5" t="str" cm="1">
        <f t="array" ref="C4738">_xlfn.IFS(worksheet[[#This Row],[age]]&lt;25,"1. Young Adulthood (18-24)",worksheet[[#This Row],[age]]&lt; 35,"2. Early Adulthood (25-34)",worksheet[[#This Row],[age]]&lt; 45,"3. Mid Adulthood (35-44)",worksheet[[#This Row],[age]]&lt; 55,"4. Mature Adulthood (45-54)",TRUE,"5. Late Adulthood/Senior (55+)")</f>
        <v>5. Late Adulthood/Senior (55+)</v>
      </c>
      <c r="D4738" t="s">
        <v>27</v>
      </c>
      <c r="E4738" t="s">
        <v>16</v>
      </c>
      <c r="F4738" s="4">
        <v>3.41</v>
      </c>
      <c r="G4738" s="5">
        <v>34</v>
      </c>
      <c r="H4738" t="s">
        <v>33</v>
      </c>
      <c r="I4738" t="s">
        <v>57</v>
      </c>
      <c r="J4738" s="6">
        <v>8.99</v>
      </c>
      <c r="K4738">
        <v>1</v>
      </c>
      <c r="L4738" t="s">
        <v>19</v>
      </c>
      <c r="M4738" s="5">
        <v>2</v>
      </c>
      <c r="N4738" s="4">
        <v>0.1</v>
      </c>
      <c r="O4738" t="s">
        <v>25</v>
      </c>
    </row>
    <row r="4739" spans="1:15" x14ac:dyDescent="0.3">
      <c r="A4739" t="s">
        <v>4210</v>
      </c>
      <c r="B4739" s="5">
        <v>69</v>
      </c>
      <c r="C4739" s="5" t="str" cm="1">
        <f t="array" ref="C4739">_xlfn.IFS(worksheet[[#This Row],[age]]&lt;25,"1. Young Adulthood (18-24)",worksheet[[#This Row],[age]]&lt; 35,"2. Early Adulthood (25-34)",worksheet[[#This Row],[age]]&lt; 45,"3. Mid Adulthood (35-44)",worksheet[[#This Row],[age]]&lt; 55,"4. Mature Adulthood (45-54)",TRUE,"5. Late Adulthood/Senior (55+)")</f>
        <v>5. Late Adulthood/Senior (55+)</v>
      </c>
      <c r="D4739" t="s">
        <v>27</v>
      </c>
      <c r="E4739" t="s">
        <v>16</v>
      </c>
      <c r="F4739" s="4">
        <v>16.43</v>
      </c>
      <c r="G4739" s="5">
        <v>10</v>
      </c>
      <c r="H4739" t="s">
        <v>33</v>
      </c>
      <c r="I4739" t="s">
        <v>57</v>
      </c>
      <c r="J4739" s="6">
        <v>8.99</v>
      </c>
      <c r="K4739">
        <v>0</v>
      </c>
      <c r="L4739" t="s">
        <v>37</v>
      </c>
      <c r="M4739" s="5">
        <v>1</v>
      </c>
      <c r="N4739" s="4">
        <v>1.49</v>
      </c>
      <c r="O4739" t="s">
        <v>20</v>
      </c>
    </row>
    <row r="4740" spans="1:15" x14ac:dyDescent="0.3">
      <c r="A4740" t="s">
        <v>4211</v>
      </c>
      <c r="B4740" s="5">
        <v>55</v>
      </c>
      <c r="C4740" s="5" t="str" cm="1">
        <f t="array" ref="C4740">_xlfn.IFS(worksheet[[#This Row],[age]]&lt;25,"1. Young Adulthood (18-24)",worksheet[[#This Row],[age]]&lt; 35,"2. Early Adulthood (25-34)",worksheet[[#This Row],[age]]&lt; 45,"3. Mid Adulthood (35-44)",worksheet[[#This Row],[age]]&lt; 55,"4. Mature Adulthood (45-54)",TRUE,"5. Late Adulthood/Senior (55+)")</f>
        <v>5. Late Adulthood/Senior (55+)</v>
      </c>
      <c r="D4740" t="s">
        <v>15</v>
      </c>
      <c r="E4740" t="s">
        <v>16</v>
      </c>
      <c r="F4740" s="4">
        <v>11.13</v>
      </c>
      <c r="G4740" s="5">
        <v>24</v>
      </c>
      <c r="H4740" t="s">
        <v>28</v>
      </c>
      <c r="I4740" t="s">
        <v>46</v>
      </c>
      <c r="J4740" s="6">
        <v>8.99</v>
      </c>
      <c r="K4740">
        <v>0</v>
      </c>
      <c r="L4740" t="s">
        <v>29</v>
      </c>
      <c r="M4740" s="5">
        <v>4</v>
      </c>
      <c r="N4740" s="4">
        <v>0.45</v>
      </c>
      <c r="O4740" t="s">
        <v>39</v>
      </c>
    </row>
    <row r="4741" spans="1:15" x14ac:dyDescent="0.3">
      <c r="A4741" t="s">
        <v>4213</v>
      </c>
      <c r="B4741" s="5">
        <v>60</v>
      </c>
      <c r="C4741" s="5" t="str" cm="1">
        <f t="array" ref="C4741">_xlfn.IFS(worksheet[[#This Row],[age]]&lt;25,"1. Young Adulthood (18-24)",worksheet[[#This Row],[age]]&lt; 35,"2. Early Adulthood (25-34)",worksheet[[#This Row],[age]]&lt; 45,"3. Mid Adulthood (35-44)",worksheet[[#This Row],[age]]&lt; 55,"4. Mature Adulthood (45-54)",TRUE,"5. Late Adulthood/Senior (55+)")</f>
        <v>5. Late Adulthood/Senior (55+)</v>
      </c>
      <c r="D4741" t="s">
        <v>27</v>
      </c>
      <c r="E4741" t="s">
        <v>22</v>
      </c>
      <c r="F4741" s="4">
        <v>5.0199999999999996</v>
      </c>
      <c r="G4741" s="5">
        <v>26</v>
      </c>
      <c r="H4741" t="s">
        <v>33</v>
      </c>
      <c r="I4741" t="s">
        <v>57</v>
      </c>
      <c r="J4741" s="6">
        <v>13.99</v>
      </c>
      <c r="K4741">
        <v>0</v>
      </c>
      <c r="L4741" t="s">
        <v>29</v>
      </c>
      <c r="M4741" s="5">
        <v>3</v>
      </c>
      <c r="N4741" s="4">
        <v>0.19</v>
      </c>
      <c r="O4741" t="s">
        <v>34</v>
      </c>
    </row>
    <row r="4742" spans="1:15" x14ac:dyDescent="0.3">
      <c r="A4742" t="s">
        <v>4218</v>
      </c>
      <c r="B4742" s="5">
        <v>63</v>
      </c>
      <c r="C4742" s="5" t="str" cm="1">
        <f t="array" ref="C4742">_xlfn.IFS(worksheet[[#This Row],[age]]&lt;25,"1. Young Adulthood (18-24)",worksheet[[#This Row],[age]]&lt; 35,"2. Early Adulthood (25-34)",worksheet[[#This Row],[age]]&lt; 45,"3. Mid Adulthood (35-44)",worksheet[[#This Row],[age]]&lt; 55,"4. Mature Adulthood (45-54)",TRUE,"5. Late Adulthood/Senior (55+)")</f>
        <v>5. Late Adulthood/Senior (55+)</v>
      </c>
      <c r="D4742" t="s">
        <v>41</v>
      </c>
      <c r="E4742" t="s">
        <v>22</v>
      </c>
      <c r="F4742" s="4">
        <v>15.51</v>
      </c>
      <c r="G4742" s="5">
        <v>9</v>
      </c>
      <c r="H4742" t="s">
        <v>49</v>
      </c>
      <c r="I4742" t="s">
        <v>46</v>
      </c>
      <c r="J4742" s="6">
        <v>13.99</v>
      </c>
      <c r="K4742">
        <v>0</v>
      </c>
      <c r="L4742" t="s">
        <v>43</v>
      </c>
      <c r="M4742" s="5">
        <v>1</v>
      </c>
      <c r="N4742" s="4">
        <v>1.55</v>
      </c>
      <c r="O4742" t="s">
        <v>20</v>
      </c>
    </row>
    <row r="4743" spans="1:15" x14ac:dyDescent="0.3">
      <c r="A4743" t="s">
        <v>4225</v>
      </c>
      <c r="B4743" s="5">
        <v>58</v>
      </c>
      <c r="C4743" s="5" t="str" cm="1">
        <f t="array" ref="C4743">_xlfn.IFS(worksheet[[#This Row],[age]]&lt;25,"1. Young Adulthood (18-24)",worksheet[[#This Row],[age]]&lt; 35,"2. Early Adulthood (25-34)",worksheet[[#This Row],[age]]&lt; 45,"3. Mid Adulthood (35-44)",worksheet[[#This Row],[age]]&lt; 55,"4. Mature Adulthood (45-54)",TRUE,"5. Late Adulthood/Senior (55+)")</f>
        <v>5. Late Adulthood/Senior (55+)</v>
      </c>
      <c r="D4743" t="s">
        <v>27</v>
      </c>
      <c r="E4743" t="s">
        <v>16</v>
      </c>
      <c r="F4743" s="4">
        <v>11.9</v>
      </c>
      <c r="G4743" s="5">
        <v>36</v>
      </c>
      <c r="H4743" t="s">
        <v>28</v>
      </c>
      <c r="I4743" t="s">
        <v>57</v>
      </c>
      <c r="J4743" s="6">
        <v>8.99</v>
      </c>
      <c r="K4743">
        <v>1</v>
      </c>
      <c r="L4743" t="s">
        <v>43</v>
      </c>
      <c r="M4743" s="5">
        <v>3</v>
      </c>
      <c r="N4743" s="4">
        <v>0.32</v>
      </c>
      <c r="O4743" t="s">
        <v>52</v>
      </c>
    </row>
    <row r="4744" spans="1:15" x14ac:dyDescent="0.3">
      <c r="A4744" t="s">
        <v>4228</v>
      </c>
      <c r="B4744" s="5">
        <v>61</v>
      </c>
      <c r="C4744" s="5" t="str" cm="1">
        <f t="array" ref="C4744">_xlfn.IFS(worksheet[[#This Row],[age]]&lt;25,"1. Young Adulthood (18-24)",worksheet[[#This Row],[age]]&lt; 35,"2. Early Adulthood (25-34)",worksheet[[#This Row],[age]]&lt; 45,"3. Mid Adulthood (35-44)",worksheet[[#This Row],[age]]&lt; 55,"4. Mature Adulthood (45-54)",TRUE,"5. Late Adulthood/Senior (55+)")</f>
        <v>5. Late Adulthood/Senior (55+)</v>
      </c>
      <c r="D4744" t="s">
        <v>27</v>
      </c>
      <c r="E4744" t="s">
        <v>22</v>
      </c>
      <c r="F4744" s="4">
        <v>4.1900000000000004</v>
      </c>
      <c r="G4744" s="5">
        <v>30</v>
      </c>
      <c r="H4744" t="s">
        <v>49</v>
      </c>
      <c r="I4744" t="s">
        <v>18</v>
      </c>
      <c r="J4744" s="6">
        <v>13.99</v>
      </c>
      <c r="K4744">
        <v>1</v>
      </c>
      <c r="L4744" t="s">
        <v>29</v>
      </c>
      <c r="M4744" s="5">
        <v>2</v>
      </c>
      <c r="N4744" s="4">
        <v>0.14000000000000001</v>
      </c>
      <c r="O4744" t="s">
        <v>47</v>
      </c>
    </row>
    <row r="4745" spans="1:15" x14ac:dyDescent="0.3">
      <c r="A4745" t="s">
        <v>4230</v>
      </c>
      <c r="B4745" s="5">
        <v>56</v>
      </c>
      <c r="C4745" s="5" t="str" cm="1">
        <f t="array" ref="C4745">_xlfn.IFS(worksheet[[#This Row],[age]]&lt;25,"1. Young Adulthood (18-24)",worksheet[[#This Row],[age]]&lt; 35,"2. Early Adulthood (25-34)",worksheet[[#This Row],[age]]&lt; 45,"3. Mid Adulthood (35-44)",worksheet[[#This Row],[age]]&lt; 55,"4. Mature Adulthood (45-54)",TRUE,"5. Late Adulthood/Senior (55+)")</f>
        <v>5. Late Adulthood/Senior (55+)</v>
      </c>
      <c r="D4745" t="s">
        <v>27</v>
      </c>
      <c r="E4745" t="s">
        <v>22</v>
      </c>
      <c r="F4745" s="4">
        <v>3.8</v>
      </c>
      <c r="G4745" s="5">
        <v>26</v>
      </c>
      <c r="H4745" t="s">
        <v>17</v>
      </c>
      <c r="I4745" t="s">
        <v>55</v>
      </c>
      <c r="J4745" s="6">
        <v>13.99</v>
      </c>
      <c r="K4745">
        <v>1</v>
      </c>
      <c r="L4745" t="s">
        <v>61</v>
      </c>
      <c r="M4745" s="5">
        <v>2</v>
      </c>
      <c r="N4745" s="4">
        <v>0.14000000000000001</v>
      </c>
      <c r="O4745" t="s">
        <v>39</v>
      </c>
    </row>
    <row r="4746" spans="1:15" x14ac:dyDescent="0.3">
      <c r="A4746" t="s">
        <v>4231</v>
      </c>
      <c r="B4746" s="5">
        <v>65</v>
      </c>
      <c r="C4746" s="5" t="str" cm="1">
        <f t="array" ref="C4746">_xlfn.IFS(worksheet[[#This Row],[age]]&lt;25,"1. Young Adulthood (18-24)",worksheet[[#This Row],[age]]&lt; 35,"2. Early Adulthood (25-34)",worksheet[[#This Row],[age]]&lt; 45,"3. Mid Adulthood (35-44)",worksheet[[#This Row],[age]]&lt; 55,"4. Mature Adulthood (45-54)",TRUE,"5. Late Adulthood/Senior (55+)")</f>
        <v>5. Late Adulthood/Senior (55+)</v>
      </c>
      <c r="D4746" t="s">
        <v>27</v>
      </c>
      <c r="E4746" t="s">
        <v>22</v>
      </c>
      <c r="F4746" s="4">
        <v>50.15</v>
      </c>
      <c r="G4746" s="5">
        <v>13</v>
      </c>
      <c r="H4746" t="s">
        <v>49</v>
      </c>
      <c r="I4746" t="s">
        <v>46</v>
      </c>
      <c r="J4746" s="6">
        <v>13.99</v>
      </c>
      <c r="K4746">
        <v>0</v>
      </c>
      <c r="L4746" t="s">
        <v>61</v>
      </c>
      <c r="M4746" s="5">
        <v>3</v>
      </c>
      <c r="N4746" s="4">
        <v>3.58</v>
      </c>
      <c r="O4746" t="s">
        <v>25</v>
      </c>
    </row>
    <row r="4747" spans="1:15" x14ac:dyDescent="0.3">
      <c r="A4747" t="s">
        <v>4234</v>
      </c>
      <c r="B4747" s="5">
        <v>65</v>
      </c>
      <c r="C4747" s="5" t="str" cm="1">
        <f t="array" ref="C4747">_xlfn.IFS(worksheet[[#This Row],[age]]&lt;25,"1. Young Adulthood (18-24)",worksheet[[#This Row],[age]]&lt; 35,"2. Early Adulthood (25-34)",worksheet[[#This Row],[age]]&lt; 45,"3. Mid Adulthood (35-44)",worksheet[[#This Row],[age]]&lt; 55,"4. Mature Adulthood (45-54)",TRUE,"5. Late Adulthood/Senior (55+)")</f>
        <v>5. Late Adulthood/Senior (55+)</v>
      </c>
      <c r="D4747" t="s">
        <v>15</v>
      </c>
      <c r="E4747" t="s">
        <v>22</v>
      </c>
      <c r="F4747" s="4">
        <v>9.15</v>
      </c>
      <c r="G4747" s="5">
        <v>30</v>
      </c>
      <c r="H4747" t="s">
        <v>23</v>
      </c>
      <c r="I4747" t="s">
        <v>46</v>
      </c>
      <c r="J4747" s="6">
        <v>13.99</v>
      </c>
      <c r="K4747">
        <v>0</v>
      </c>
      <c r="L4747" t="s">
        <v>19</v>
      </c>
      <c r="M4747" s="5">
        <v>4</v>
      </c>
      <c r="N4747" s="4">
        <v>0.3</v>
      </c>
      <c r="O4747" t="s">
        <v>34</v>
      </c>
    </row>
    <row r="4748" spans="1:15" x14ac:dyDescent="0.3">
      <c r="A4748" t="s">
        <v>4243</v>
      </c>
      <c r="B4748" s="5">
        <v>64</v>
      </c>
      <c r="C4748" s="5" t="str" cm="1">
        <f t="array" ref="C4748">_xlfn.IFS(worksheet[[#This Row],[age]]&lt;25,"1. Young Adulthood (18-24)",worksheet[[#This Row],[age]]&lt; 35,"2. Early Adulthood (25-34)",worksheet[[#This Row],[age]]&lt; 45,"3. Mid Adulthood (35-44)",worksheet[[#This Row],[age]]&lt; 55,"4. Mature Adulthood (45-54)",TRUE,"5. Late Adulthood/Senior (55+)")</f>
        <v>5. Late Adulthood/Senior (55+)</v>
      </c>
      <c r="D4748" t="s">
        <v>41</v>
      </c>
      <c r="E4748" t="s">
        <v>32</v>
      </c>
      <c r="F4748" s="4">
        <v>16.62</v>
      </c>
      <c r="G4748" s="5">
        <v>58</v>
      </c>
      <c r="H4748" t="s">
        <v>28</v>
      </c>
      <c r="I4748" t="s">
        <v>57</v>
      </c>
      <c r="J4748" s="6">
        <v>17.989999999999998</v>
      </c>
      <c r="K4748">
        <v>0</v>
      </c>
      <c r="L4748" t="s">
        <v>61</v>
      </c>
      <c r="M4748" s="5">
        <v>5</v>
      </c>
      <c r="N4748" s="4">
        <v>0.28000000000000003</v>
      </c>
      <c r="O4748" t="s">
        <v>52</v>
      </c>
    </row>
    <row r="4749" spans="1:15" x14ac:dyDescent="0.3">
      <c r="A4749" t="s">
        <v>4245</v>
      </c>
      <c r="B4749" s="5">
        <v>67</v>
      </c>
      <c r="C4749" s="5" t="str" cm="1">
        <f t="array" ref="C4749">_xlfn.IFS(worksheet[[#This Row],[age]]&lt;25,"1. Young Adulthood (18-24)",worksheet[[#This Row],[age]]&lt; 35,"2. Early Adulthood (25-34)",worksheet[[#This Row],[age]]&lt; 45,"3. Mid Adulthood (35-44)",worksheet[[#This Row],[age]]&lt; 55,"4. Mature Adulthood (45-54)",TRUE,"5. Late Adulthood/Senior (55+)")</f>
        <v>5. Late Adulthood/Senior (55+)</v>
      </c>
      <c r="D4749" t="s">
        <v>15</v>
      </c>
      <c r="E4749" t="s">
        <v>16</v>
      </c>
      <c r="F4749" s="4">
        <v>4.62</v>
      </c>
      <c r="G4749" s="5">
        <v>33</v>
      </c>
      <c r="H4749" t="s">
        <v>70</v>
      </c>
      <c r="I4749" t="s">
        <v>24</v>
      </c>
      <c r="J4749" s="6">
        <v>8.99</v>
      </c>
      <c r="K4749">
        <v>1</v>
      </c>
      <c r="L4749" t="s">
        <v>29</v>
      </c>
      <c r="M4749" s="5">
        <v>5</v>
      </c>
      <c r="N4749" s="4">
        <v>0.14000000000000001</v>
      </c>
      <c r="O4749" t="s">
        <v>34</v>
      </c>
    </row>
    <row r="4750" spans="1:15" x14ac:dyDescent="0.3">
      <c r="A4750" t="s">
        <v>4246</v>
      </c>
      <c r="B4750" s="5">
        <v>61</v>
      </c>
      <c r="C4750" s="5" t="str" cm="1">
        <f t="array" ref="C4750">_xlfn.IFS(worksheet[[#This Row],[age]]&lt;25,"1. Young Adulthood (18-24)",worksheet[[#This Row],[age]]&lt; 35,"2. Early Adulthood (25-34)",worksheet[[#This Row],[age]]&lt; 45,"3. Mid Adulthood (35-44)",worksheet[[#This Row],[age]]&lt; 55,"4. Mature Adulthood (45-54)",TRUE,"5. Late Adulthood/Senior (55+)")</f>
        <v>5. Late Adulthood/Senior (55+)</v>
      </c>
      <c r="D4750" t="s">
        <v>15</v>
      </c>
      <c r="E4750" t="s">
        <v>22</v>
      </c>
      <c r="F4750" s="4">
        <v>4.12</v>
      </c>
      <c r="G4750" s="5">
        <v>0</v>
      </c>
      <c r="H4750" t="s">
        <v>17</v>
      </c>
      <c r="I4750" t="s">
        <v>55</v>
      </c>
      <c r="J4750" s="6">
        <v>13.99</v>
      </c>
      <c r="K4750">
        <v>0</v>
      </c>
      <c r="L4750" t="s">
        <v>29</v>
      </c>
      <c r="M4750" s="5">
        <v>1</v>
      </c>
      <c r="N4750" s="4">
        <v>4.12</v>
      </c>
      <c r="O4750" t="s">
        <v>39</v>
      </c>
    </row>
    <row r="4751" spans="1:15" x14ac:dyDescent="0.3">
      <c r="A4751" t="s">
        <v>4247</v>
      </c>
      <c r="B4751" s="5">
        <v>67</v>
      </c>
      <c r="C4751" s="5" t="str" cm="1">
        <f t="array" ref="C4751">_xlfn.IFS(worksheet[[#This Row],[age]]&lt;25,"1. Young Adulthood (18-24)",worksheet[[#This Row],[age]]&lt; 35,"2. Early Adulthood (25-34)",worksheet[[#This Row],[age]]&lt; 45,"3. Mid Adulthood (35-44)",worksheet[[#This Row],[age]]&lt; 55,"4. Mature Adulthood (45-54)",TRUE,"5. Late Adulthood/Senior (55+)")</f>
        <v>5. Late Adulthood/Senior (55+)</v>
      </c>
      <c r="D4751" t="s">
        <v>41</v>
      </c>
      <c r="E4751" t="s">
        <v>22</v>
      </c>
      <c r="F4751" s="4">
        <v>0.08</v>
      </c>
      <c r="G4751" s="5">
        <v>20</v>
      </c>
      <c r="H4751" t="s">
        <v>70</v>
      </c>
      <c r="I4751" t="s">
        <v>24</v>
      </c>
      <c r="J4751" s="6">
        <v>13.99</v>
      </c>
      <c r="K4751">
        <v>1</v>
      </c>
      <c r="L4751" t="s">
        <v>19</v>
      </c>
      <c r="M4751" s="5">
        <v>2</v>
      </c>
      <c r="N4751" s="4">
        <v>0</v>
      </c>
      <c r="O4751" t="s">
        <v>30</v>
      </c>
    </row>
    <row r="4752" spans="1:15" x14ac:dyDescent="0.3">
      <c r="A4752" t="s">
        <v>4251</v>
      </c>
      <c r="B4752" s="5">
        <v>69</v>
      </c>
      <c r="C4752" s="5" t="str" cm="1">
        <f t="array" ref="C4752">_xlfn.IFS(worksheet[[#This Row],[age]]&lt;25,"1. Young Adulthood (18-24)",worksheet[[#This Row],[age]]&lt; 35,"2. Early Adulthood (25-34)",worksheet[[#This Row],[age]]&lt; 45,"3. Mid Adulthood (35-44)",worksheet[[#This Row],[age]]&lt; 55,"4. Mature Adulthood (45-54)",TRUE,"5. Late Adulthood/Senior (55+)")</f>
        <v>5. Late Adulthood/Senior (55+)</v>
      </c>
      <c r="D4752" t="s">
        <v>27</v>
      </c>
      <c r="E4752" t="s">
        <v>32</v>
      </c>
      <c r="F4752" s="4">
        <v>5.48</v>
      </c>
      <c r="G4752" s="5">
        <v>54</v>
      </c>
      <c r="H4752" t="s">
        <v>70</v>
      </c>
      <c r="I4752" t="s">
        <v>46</v>
      </c>
      <c r="J4752" s="6">
        <v>17.989999999999998</v>
      </c>
      <c r="K4752">
        <v>1</v>
      </c>
      <c r="L4752" t="s">
        <v>19</v>
      </c>
      <c r="M4752" s="5">
        <v>5</v>
      </c>
      <c r="N4752" s="4">
        <v>0.1</v>
      </c>
      <c r="O4752" t="s">
        <v>20</v>
      </c>
    </row>
    <row r="4753" spans="1:15" x14ac:dyDescent="0.3">
      <c r="A4753" t="s">
        <v>4252</v>
      </c>
      <c r="B4753" s="5">
        <v>55</v>
      </c>
      <c r="C4753" s="5" t="str" cm="1">
        <f t="array" ref="C4753">_xlfn.IFS(worksheet[[#This Row],[age]]&lt;25,"1. Young Adulthood (18-24)",worksheet[[#This Row],[age]]&lt; 35,"2. Early Adulthood (25-34)",worksheet[[#This Row],[age]]&lt; 45,"3. Mid Adulthood (35-44)",worksheet[[#This Row],[age]]&lt; 55,"4. Mature Adulthood (45-54)",TRUE,"5. Late Adulthood/Senior (55+)")</f>
        <v>5. Late Adulthood/Senior (55+)</v>
      </c>
      <c r="D4753" t="s">
        <v>15</v>
      </c>
      <c r="E4753" t="s">
        <v>16</v>
      </c>
      <c r="F4753" s="4">
        <v>28.25</v>
      </c>
      <c r="G4753" s="5">
        <v>23</v>
      </c>
      <c r="H4753" t="s">
        <v>17</v>
      </c>
      <c r="I4753" t="s">
        <v>18</v>
      </c>
      <c r="J4753" s="6">
        <v>8.99</v>
      </c>
      <c r="K4753">
        <v>0</v>
      </c>
      <c r="L4753" t="s">
        <v>61</v>
      </c>
      <c r="M4753" s="5">
        <v>1</v>
      </c>
      <c r="N4753" s="4">
        <v>1.18</v>
      </c>
      <c r="O4753" t="s">
        <v>20</v>
      </c>
    </row>
    <row r="4754" spans="1:15" x14ac:dyDescent="0.3">
      <c r="A4754" t="s">
        <v>4253</v>
      </c>
      <c r="B4754" s="5">
        <v>70</v>
      </c>
      <c r="C4754" s="5" t="str" cm="1">
        <f t="array" ref="C4754">_xlfn.IFS(worksheet[[#This Row],[age]]&lt;25,"1. Young Adulthood (18-24)",worksheet[[#This Row],[age]]&lt; 35,"2. Early Adulthood (25-34)",worksheet[[#This Row],[age]]&lt; 45,"3. Mid Adulthood (35-44)",worksheet[[#This Row],[age]]&lt; 55,"4. Mature Adulthood (45-54)",TRUE,"5. Late Adulthood/Senior (55+)")</f>
        <v>5. Late Adulthood/Senior (55+)</v>
      </c>
      <c r="D4754" t="s">
        <v>41</v>
      </c>
      <c r="E4754" t="s">
        <v>32</v>
      </c>
      <c r="F4754" s="4">
        <v>5.62</v>
      </c>
      <c r="G4754" s="5">
        <v>25</v>
      </c>
      <c r="H4754" t="s">
        <v>23</v>
      </c>
      <c r="I4754" t="s">
        <v>55</v>
      </c>
      <c r="J4754" s="6">
        <v>17.989999999999998</v>
      </c>
      <c r="K4754">
        <v>0</v>
      </c>
      <c r="L4754" t="s">
        <v>61</v>
      </c>
      <c r="M4754" s="5">
        <v>3</v>
      </c>
      <c r="N4754" s="4">
        <v>0.22</v>
      </c>
      <c r="O4754" t="s">
        <v>47</v>
      </c>
    </row>
    <row r="4755" spans="1:15" x14ac:dyDescent="0.3">
      <c r="A4755" t="s">
        <v>4254</v>
      </c>
      <c r="B4755" s="5">
        <v>70</v>
      </c>
      <c r="C4755" s="5" t="str" cm="1">
        <f t="array" ref="C4755">_xlfn.IFS(worksheet[[#This Row],[age]]&lt;25,"1. Young Adulthood (18-24)",worksheet[[#This Row],[age]]&lt; 35,"2. Early Adulthood (25-34)",worksheet[[#This Row],[age]]&lt; 45,"3. Mid Adulthood (35-44)",worksheet[[#This Row],[age]]&lt; 55,"4. Mature Adulthood (45-54)",TRUE,"5. Late Adulthood/Senior (55+)")</f>
        <v>5. Late Adulthood/Senior (55+)</v>
      </c>
      <c r="D4755" t="s">
        <v>41</v>
      </c>
      <c r="E4755" t="s">
        <v>22</v>
      </c>
      <c r="F4755" s="4">
        <v>15.52</v>
      </c>
      <c r="G4755" s="5">
        <v>12</v>
      </c>
      <c r="H4755" t="s">
        <v>17</v>
      </c>
      <c r="I4755" t="s">
        <v>24</v>
      </c>
      <c r="J4755" s="6">
        <v>13.99</v>
      </c>
      <c r="K4755">
        <v>0</v>
      </c>
      <c r="L4755" t="s">
        <v>19</v>
      </c>
      <c r="M4755" s="5">
        <v>5</v>
      </c>
      <c r="N4755" s="4">
        <v>1.19</v>
      </c>
      <c r="O4755" t="s">
        <v>30</v>
      </c>
    </row>
    <row r="4756" spans="1:15" x14ac:dyDescent="0.3">
      <c r="A4756" t="s">
        <v>4255</v>
      </c>
      <c r="B4756" s="5">
        <v>70</v>
      </c>
      <c r="C4756" s="5" t="str" cm="1">
        <f t="array" ref="C4756">_xlfn.IFS(worksheet[[#This Row],[age]]&lt;25,"1. Young Adulthood (18-24)",worksheet[[#This Row],[age]]&lt; 35,"2. Early Adulthood (25-34)",worksheet[[#This Row],[age]]&lt; 45,"3. Mid Adulthood (35-44)",worksheet[[#This Row],[age]]&lt; 55,"4. Mature Adulthood (45-54)",TRUE,"5. Late Adulthood/Senior (55+)")</f>
        <v>5. Late Adulthood/Senior (55+)</v>
      </c>
      <c r="D4756" t="s">
        <v>27</v>
      </c>
      <c r="E4756" t="s">
        <v>22</v>
      </c>
      <c r="F4756" s="4">
        <v>3.06</v>
      </c>
      <c r="G4756" s="5">
        <v>57</v>
      </c>
      <c r="H4756" t="s">
        <v>70</v>
      </c>
      <c r="I4756" t="s">
        <v>18</v>
      </c>
      <c r="J4756" s="6">
        <v>13.99</v>
      </c>
      <c r="K4756">
        <v>1</v>
      </c>
      <c r="L4756" t="s">
        <v>61</v>
      </c>
      <c r="M4756" s="5">
        <v>4</v>
      </c>
      <c r="N4756" s="4">
        <v>0.05</v>
      </c>
      <c r="O4756" t="s">
        <v>47</v>
      </c>
    </row>
    <row r="4757" spans="1:15" x14ac:dyDescent="0.3">
      <c r="A4757" t="s">
        <v>4258</v>
      </c>
      <c r="B4757" s="5">
        <v>63</v>
      </c>
      <c r="C4757" s="5" t="str" cm="1">
        <f t="array" ref="C4757">_xlfn.IFS(worksheet[[#This Row],[age]]&lt;25,"1. Young Adulthood (18-24)",worksheet[[#This Row],[age]]&lt; 35,"2. Early Adulthood (25-34)",worksheet[[#This Row],[age]]&lt; 45,"3. Mid Adulthood (35-44)",worksheet[[#This Row],[age]]&lt; 55,"4. Mature Adulthood (45-54)",TRUE,"5. Late Adulthood/Senior (55+)")</f>
        <v>5. Late Adulthood/Senior (55+)</v>
      </c>
      <c r="D4757" t="s">
        <v>15</v>
      </c>
      <c r="E4757" t="s">
        <v>16</v>
      </c>
      <c r="F4757" s="4">
        <v>36.14</v>
      </c>
      <c r="G4757" s="5">
        <v>53</v>
      </c>
      <c r="H4757" t="s">
        <v>23</v>
      </c>
      <c r="I4757" t="s">
        <v>24</v>
      </c>
      <c r="J4757" s="6">
        <v>8.99</v>
      </c>
      <c r="K4757">
        <v>0</v>
      </c>
      <c r="L4757" t="s">
        <v>61</v>
      </c>
      <c r="M4757" s="5">
        <v>4</v>
      </c>
      <c r="N4757" s="4">
        <v>0.67</v>
      </c>
      <c r="O4757" t="s">
        <v>30</v>
      </c>
    </row>
    <row r="4758" spans="1:15" x14ac:dyDescent="0.3">
      <c r="A4758" t="s">
        <v>4262</v>
      </c>
      <c r="B4758" s="5">
        <v>58</v>
      </c>
      <c r="C4758" s="5" t="str" cm="1">
        <f t="array" ref="C4758">_xlfn.IFS(worksheet[[#This Row],[age]]&lt;25,"1. Young Adulthood (18-24)",worksheet[[#This Row],[age]]&lt; 35,"2. Early Adulthood (25-34)",worksheet[[#This Row],[age]]&lt; 45,"3. Mid Adulthood (35-44)",worksheet[[#This Row],[age]]&lt; 55,"4. Mature Adulthood (45-54)",TRUE,"5. Late Adulthood/Senior (55+)")</f>
        <v>5. Late Adulthood/Senior (55+)</v>
      </c>
      <c r="D4758" t="s">
        <v>27</v>
      </c>
      <c r="E4758" t="s">
        <v>32</v>
      </c>
      <c r="F4758" s="4">
        <v>8.5299999999999994</v>
      </c>
      <c r="G4758" s="5">
        <v>48</v>
      </c>
      <c r="H4758" t="s">
        <v>33</v>
      </c>
      <c r="I4758" t="s">
        <v>46</v>
      </c>
      <c r="J4758" s="6">
        <v>17.989999999999998</v>
      </c>
      <c r="K4758">
        <v>0</v>
      </c>
      <c r="L4758" t="s">
        <v>43</v>
      </c>
      <c r="M4758" s="5">
        <v>4</v>
      </c>
      <c r="N4758" s="4">
        <v>0.17</v>
      </c>
      <c r="O4758" t="s">
        <v>34</v>
      </c>
    </row>
    <row r="4759" spans="1:15" x14ac:dyDescent="0.3">
      <c r="A4759" t="s">
        <v>4263</v>
      </c>
      <c r="B4759" s="5">
        <v>66</v>
      </c>
      <c r="C4759" s="5" t="str" cm="1">
        <f t="array" ref="C4759">_xlfn.IFS(worksheet[[#This Row],[age]]&lt;25,"1. Young Adulthood (18-24)",worksheet[[#This Row],[age]]&lt; 35,"2. Early Adulthood (25-34)",worksheet[[#This Row],[age]]&lt; 45,"3. Mid Adulthood (35-44)",worksheet[[#This Row],[age]]&lt; 55,"4. Mature Adulthood (45-54)",TRUE,"5. Late Adulthood/Senior (55+)")</f>
        <v>5. Late Adulthood/Senior (55+)</v>
      </c>
      <c r="D4759" t="s">
        <v>15</v>
      </c>
      <c r="E4759" t="s">
        <v>32</v>
      </c>
      <c r="F4759" s="4">
        <v>1.02</v>
      </c>
      <c r="G4759" s="5">
        <v>15</v>
      </c>
      <c r="H4759" t="s">
        <v>23</v>
      </c>
      <c r="I4759" t="s">
        <v>24</v>
      </c>
      <c r="J4759" s="6">
        <v>17.989999999999998</v>
      </c>
      <c r="K4759">
        <v>1</v>
      </c>
      <c r="L4759" t="s">
        <v>19</v>
      </c>
      <c r="M4759" s="5">
        <v>5</v>
      </c>
      <c r="N4759" s="4">
        <v>0.06</v>
      </c>
      <c r="O4759" t="s">
        <v>47</v>
      </c>
    </row>
    <row r="4760" spans="1:15" x14ac:dyDescent="0.3">
      <c r="A4760" t="s">
        <v>4264</v>
      </c>
      <c r="B4760" s="5">
        <v>55</v>
      </c>
      <c r="C4760" s="5" t="str" cm="1">
        <f t="array" ref="C4760">_xlfn.IFS(worksheet[[#This Row],[age]]&lt;25,"1. Young Adulthood (18-24)",worksheet[[#This Row],[age]]&lt; 35,"2. Early Adulthood (25-34)",worksheet[[#This Row],[age]]&lt; 45,"3. Mid Adulthood (35-44)",worksheet[[#This Row],[age]]&lt; 55,"4. Mature Adulthood (45-54)",TRUE,"5. Late Adulthood/Senior (55+)")</f>
        <v>5. Late Adulthood/Senior (55+)</v>
      </c>
      <c r="D4760" t="s">
        <v>27</v>
      </c>
      <c r="E4760" t="s">
        <v>22</v>
      </c>
      <c r="F4760" s="4">
        <v>3.81</v>
      </c>
      <c r="G4760" s="5">
        <v>2</v>
      </c>
      <c r="H4760" t="s">
        <v>33</v>
      </c>
      <c r="I4760" t="s">
        <v>18</v>
      </c>
      <c r="J4760" s="6">
        <v>13.99</v>
      </c>
      <c r="K4760">
        <v>0</v>
      </c>
      <c r="L4760" t="s">
        <v>19</v>
      </c>
      <c r="M4760" s="5">
        <v>1</v>
      </c>
      <c r="N4760" s="4">
        <v>1.27</v>
      </c>
      <c r="O4760" t="s">
        <v>25</v>
      </c>
    </row>
    <row r="4761" spans="1:15" x14ac:dyDescent="0.3">
      <c r="A4761" t="s">
        <v>4266</v>
      </c>
      <c r="B4761" s="5">
        <v>70</v>
      </c>
      <c r="C4761" s="5" t="str" cm="1">
        <f t="array" ref="C4761">_xlfn.IFS(worksheet[[#This Row],[age]]&lt;25,"1. Young Adulthood (18-24)",worksheet[[#This Row],[age]]&lt; 35,"2. Early Adulthood (25-34)",worksheet[[#This Row],[age]]&lt; 45,"3. Mid Adulthood (35-44)",worksheet[[#This Row],[age]]&lt; 55,"4. Mature Adulthood (45-54)",TRUE,"5. Late Adulthood/Senior (55+)")</f>
        <v>5. Late Adulthood/Senior (55+)</v>
      </c>
      <c r="D4761" t="s">
        <v>15</v>
      </c>
      <c r="E4761" t="s">
        <v>22</v>
      </c>
      <c r="F4761" s="4">
        <v>4.66</v>
      </c>
      <c r="G4761" s="5">
        <v>43</v>
      </c>
      <c r="H4761" t="s">
        <v>70</v>
      </c>
      <c r="I4761" t="s">
        <v>18</v>
      </c>
      <c r="J4761" s="6">
        <v>13.99</v>
      </c>
      <c r="K4761">
        <v>1</v>
      </c>
      <c r="L4761" t="s">
        <v>37</v>
      </c>
      <c r="M4761" s="5">
        <v>2</v>
      </c>
      <c r="N4761" s="4">
        <v>0.11</v>
      </c>
      <c r="O4761" t="s">
        <v>34</v>
      </c>
    </row>
    <row r="4762" spans="1:15" x14ac:dyDescent="0.3">
      <c r="A4762" t="s">
        <v>4267</v>
      </c>
      <c r="B4762" s="5">
        <v>70</v>
      </c>
      <c r="C4762" s="5" t="str" cm="1">
        <f t="array" ref="C4762">_xlfn.IFS(worksheet[[#This Row],[age]]&lt;25,"1. Young Adulthood (18-24)",worksheet[[#This Row],[age]]&lt; 35,"2. Early Adulthood (25-34)",worksheet[[#This Row],[age]]&lt; 45,"3. Mid Adulthood (35-44)",worksheet[[#This Row],[age]]&lt; 55,"4. Mature Adulthood (45-54)",TRUE,"5. Late Adulthood/Senior (55+)")</f>
        <v>5. Late Adulthood/Senior (55+)</v>
      </c>
      <c r="D4762" t="s">
        <v>41</v>
      </c>
      <c r="E4762" t="s">
        <v>32</v>
      </c>
      <c r="F4762" s="4">
        <v>18.46</v>
      </c>
      <c r="G4762" s="5">
        <v>8</v>
      </c>
      <c r="H4762" t="s">
        <v>70</v>
      </c>
      <c r="I4762" t="s">
        <v>18</v>
      </c>
      <c r="J4762" s="6">
        <v>17.989999999999998</v>
      </c>
      <c r="K4762">
        <v>0</v>
      </c>
      <c r="L4762" t="s">
        <v>61</v>
      </c>
      <c r="M4762" s="5">
        <v>4</v>
      </c>
      <c r="N4762" s="4">
        <v>2.0499999999999998</v>
      </c>
      <c r="O4762" t="s">
        <v>52</v>
      </c>
    </row>
    <row r="4763" spans="1:15" x14ac:dyDescent="0.3">
      <c r="A4763" s="1" t="s">
        <v>4269</v>
      </c>
      <c r="B4763" s="5">
        <v>57</v>
      </c>
      <c r="C4763" s="5" t="str" cm="1">
        <f t="array" ref="C4763">_xlfn.IFS(worksheet[[#This Row],[age]]&lt;25,"1. Young Adulthood (18-24)",worksheet[[#This Row],[age]]&lt; 35,"2. Early Adulthood (25-34)",worksheet[[#This Row],[age]]&lt; 45,"3. Mid Adulthood (35-44)",worksheet[[#This Row],[age]]&lt; 55,"4. Mature Adulthood (45-54)",TRUE,"5. Late Adulthood/Senior (55+)")</f>
        <v>5. Late Adulthood/Senior (55+)</v>
      </c>
      <c r="D4763" t="s">
        <v>15</v>
      </c>
      <c r="E4763" t="s">
        <v>22</v>
      </c>
      <c r="F4763" s="4">
        <v>9.9</v>
      </c>
      <c r="G4763" s="5">
        <v>45</v>
      </c>
      <c r="H4763" t="s">
        <v>70</v>
      </c>
      <c r="I4763" t="s">
        <v>24</v>
      </c>
      <c r="J4763" s="6">
        <v>13.99</v>
      </c>
      <c r="K4763">
        <v>0</v>
      </c>
      <c r="L4763" t="s">
        <v>37</v>
      </c>
      <c r="M4763" s="5">
        <v>4</v>
      </c>
      <c r="N4763" s="4">
        <v>0.22</v>
      </c>
      <c r="O4763" t="s">
        <v>52</v>
      </c>
    </row>
    <row r="4764" spans="1:15" x14ac:dyDescent="0.3">
      <c r="A4764" t="s">
        <v>4279</v>
      </c>
      <c r="B4764" s="5">
        <v>58</v>
      </c>
      <c r="C4764" s="5" t="str" cm="1">
        <f t="array" ref="C4764">_xlfn.IFS(worksheet[[#This Row],[age]]&lt;25,"1. Young Adulthood (18-24)",worksheet[[#This Row],[age]]&lt; 35,"2. Early Adulthood (25-34)",worksheet[[#This Row],[age]]&lt; 45,"3. Mid Adulthood (35-44)",worksheet[[#This Row],[age]]&lt; 55,"4. Mature Adulthood (45-54)",TRUE,"5. Late Adulthood/Senior (55+)")</f>
        <v>5. Late Adulthood/Senior (55+)</v>
      </c>
      <c r="D4764" t="s">
        <v>27</v>
      </c>
      <c r="E4764" t="s">
        <v>32</v>
      </c>
      <c r="F4764" s="4">
        <v>14.52</v>
      </c>
      <c r="G4764" s="5">
        <v>42</v>
      </c>
      <c r="H4764" t="s">
        <v>28</v>
      </c>
      <c r="I4764" t="s">
        <v>55</v>
      </c>
      <c r="J4764" s="6">
        <v>17.989999999999998</v>
      </c>
      <c r="K4764">
        <v>1</v>
      </c>
      <c r="L4764" t="s">
        <v>43</v>
      </c>
      <c r="M4764" s="5">
        <v>1</v>
      </c>
      <c r="N4764" s="4">
        <v>0.34</v>
      </c>
      <c r="O4764" t="s">
        <v>34</v>
      </c>
    </row>
    <row r="4765" spans="1:15" x14ac:dyDescent="0.3">
      <c r="A4765" t="s">
        <v>4280</v>
      </c>
      <c r="B4765" s="5">
        <v>56</v>
      </c>
      <c r="C4765" s="5" t="str" cm="1">
        <f t="array" ref="C4765">_xlfn.IFS(worksheet[[#This Row],[age]]&lt;25,"1. Young Adulthood (18-24)",worksheet[[#This Row],[age]]&lt; 35,"2. Early Adulthood (25-34)",worksheet[[#This Row],[age]]&lt; 45,"3. Mid Adulthood (35-44)",worksheet[[#This Row],[age]]&lt; 55,"4. Mature Adulthood (45-54)",TRUE,"5. Late Adulthood/Senior (55+)")</f>
        <v>5. Late Adulthood/Senior (55+)</v>
      </c>
      <c r="D4765" t="s">
        <v>27</v>
      </c>
      <c r="E4765" t="s">
        <v>22</v>
      </c>
      <c r="F4765" s="4">
        <v>35.01</v>
      </c>
      <c r="G4765" s="5">
        <v>2</v>
      </c>
      <c r="H4765" t="s">
        <v>28</v>
      </c>
      <c r="I4765" t="s">
        <v>55</v>
      </c>
      <c r="J4765" s="6">
        <v>13.99</v>
      </c>
      <c r="K4765">
        <v>0</v>
      </c>
      <c r="L4765" t="s">
        <v>29</v>
      </c>
      <c r="M4765" s="5">
        <v>4</v>
      </c>
      <c r="N4765" s="4">
        <v>11.67</v>
      </c>
      <c r="O4765" t="s">
        <v>25</v>
      </c>
    </row>
    <row r="4766" spans="1:15" x14ac:dyDescent="0.3">
      <c r="A4766" t="s">
        <v>4282</v>
      </c>
      <c r="B4766" s="5">
        <v>67</v>
      </c>
      <c r="C4766" s="5" t="str" cm="1">
        <f t="array" ref="C4766">_xlfn.IFS(worksheet[[#This Row],[age]]&lt;25,"1. Young Adulthood (18-24)",worksheet[[#This Row],[age]]&lt; 35,"2. Early Adulthood (25-34)",worksheet[[#This Row],[age]]&lt; 45,"3. Mid Adulthood (35-44)",worksheet[[#This Row],[age]]&lt; 55,"4. Mature Adulthood (45-54)",TRUE,"5. Late Adulthood/Senior (55+)")</f>
        <v>5. Late Adulthood/Senior (55+)</v>
      </c>
      <c r="D4766" t="s">
        <v>15</v>
      </c>
      <c r="E4766" t="s">
        <v>22</v>
      </c>
      <c r="F4766" s="4">
        <v>9.09</v>
      </c>
      <c r="G4766" s="5">
        <v>37</v>
      </c>
      <c r="H4766" t="s">
        <v>49</v>
      </c>
      <c r="I4766" t="s">
        <v>46</v>
      </c>
      <c r="J4766" s="6">
        <v>13.99</v>
      </c>
      <c r="K4766">
        <v>1</v>
      </c>
      <c r="L4766" t="s">
        <v>29</v>
      </c>
      <c r="M4766" s="5">
        <v>4</v>
      </c>
      <c r="N4766" s="4">
        <v>0.24</v>
      </c>
      <c r="O4766" t="s">
        <v>34</v>
      </c>
    </row>
    <row r="4767" spans="1:15" x14ac:dyDescent="0.3">
      <c r="A4767" t="s">
        <v>4284</v>
      </c>
      <c r="B4767" s="5">
        <v>68</v>
      </c>
      <c r="C4767" s="5" t="str" cm="1">
        <f t="array" ref="C4767">_xlfn.IFS(worksheet[[#This Row],[age]]&lt;25,"1. Young Adulthood (18-24)",worksheet[[#This Row],[age]]&lt; 35,"2. Early Adulthood (25-34)",worksheet[[#This Row],[age]]&lt; 45,"3. Mid Adulthood (35-44)",worksheet[[#This Row],[age]]&lt; 55,"4. Mature Adulthood (45-54)",TRUE,"5. Late Adulthood/Senior (55+)")</f>
        <v>5. Late Adulthood/Senior (55+)</v>
      </c>
      <c r="D4767" t="s">
        <v>41</v>
      </c>
      <c r="E4767" t="s">
        <v>22</v>
      </c>
      <c r="F4767" s="4">
        <v>7.02</v>
      </c>
      <c r="G4767" s="5">
        <v>58</v>
      </c>
      <c r="H4767" t="s">
        <v>33</v>
      </c>
      <c r="I4767" t="s">
        <v>55</v>
      </c>
      <c r="J4767" s="6">
        <v>13.99</v>
      </c>
      <c r="K4767">
        <v>0</v>
      </c>
      <c r="L4767" t="s">
        <v>37</v>
      </c>
      <c r="M4767" s="5">
        <v>4</v>
      </c>
      <c r="N4767" s="4">
        <v>0.12</v>
      </c>
      <c r="O4767" t="s">
        <v>39</v>
      </c>
    </row>
    <row r="4768" spans="1:15" x14ac:dyDescent="0.3">
      <c r="A4768" t="s">
        <v>4285</v>
      </c>
      <c r="B4768" s="5">
        <v>57</v>
      </c>
      <c r="C4768" s="5" t="str" cm="1">
        <f t="array" ref="C4768">_xlfn.IFS(worksheet[[#This Row],[age]]&lt;25,"1. Young Adulthood (18-24)",worksheet[[#This Row],[age]]&lt; 35,"2. Early Adulthood (25-34)",worksheet[[#This Row],[age]]&lt; 45,"3. Mid Adulthood (35-44)",worksheet[[#This Row],[age]]&lt; 55,"4. Mature Adulthood (45-54)",TRUE,"5. Late Adulthood/Senior (55+)")</f>
        <v>5. Late Adulthood/Senior (55+)</v>
      </c>
      <c r="D4768" t="s">
        <v>27</v>
      </c>
      <c r="E4768" t="s">
        <v>32</v>
      </c>
      <c r="F4768" s="4">
        <v>4.83</v>
      </c>
      <c r="G4768" s="5">
        <v>3</v>
      </c>
      <c r="H4768" t="s">
        <v>33</v>
      </c>
      <c r="I4768" t="s">
        <v>55</v>
      </c>
      <c r="J4768" s="6">
        <v>17.989999999999998</v>
      </c>
      <c r="K4768">
        <v>0</v>
      </c>
      <c r="L4768" t="s">
        <v>61</v>
      </c>
      <c r="M4768" s="5">
        <v>4</v>
      </c>
      <c r="N4768" s="4">
        <v>1.21</v>
      </c>
      <c r="O4768" t="s">
        <v>47</v>
      </c>
    </row>
    <row r="4769" spans="1:15" x14ac:dyDescent="0.3">
      <c r="A4769" t="s">
        <v>4292</v>
      </c>
      <c r="B4769" s="5">
        <v>55</v>
      </c>
      <c r="C4769" s="5" t="str" cm="1">
        <f t="array" ref="C4769">_xlfn.IFS(worksheet[[#This Row],[age]]&lt;25,"1. Young Adulthood (18-24)",worksheet[[#This Row],[age]]&lt; 35,"2. Early Adulthood (25-34)",worksheet[[#This Row],[age]]&lt; 45,"3. Mid Adulthood (35-44)",worksheet[[#This Row],[age]]&lt; 55,"4. Mature Adulthood (45-54)",TRUE,"5. Late Adulthood/Senior (55+)")</f>
        <v>5. Late Adulthood/Senior (55+)</v>
      </c>
      <c r="D4769" t="s">
        <v>15</v>
      </c>
      <c r="E4769" t="s">
        <v>32</v>
      </c>
      <c r="F4769" s="4">
        <v>7.53</v>
      </c>
      <c r="G4769" s="5">
        <v>8</v>
      </c>
      <c r="H4769" t="s">
        <v>33</v>
      </c>
      <c r="I4769" t="s">
        <v>18</v>
      </c>
      <c r="J4769" s="6">
        <v>17.989999999999998</v>
      </c>
      <c r="K4769">
        <v>0</v>
      </c>
      <c r="L4769" t="s">
        <v>29</v>
      </c>
      <c r="M4769" s="5">
        <v>2</v>
      </c>
      <c r="N4769" s="4">
        <v>0.84</v>
      </c>
      <c r="O4769" t="s">
        <v>34</v>
      </c>
    </row>
    <row r="4770" spans="1:15" x14ac:dyDescent="0.3">
      <c r="A4770" t="s">
        <v>4293</v>
      </c>
      <c r="B4770" s="5">
        <v>70</v>
      </c>
      <c r="C4770" s="5" t="str" cm="1">
        <f t="array" ref="C4770">_xlfn.IFS(worksheet[[#This Row],[age]]&lt;25,"1. Young Adulthood (18-24)",worksheet[[#This Row],[age]]&lt; 35,"2. Early Adulthood (25-34)",worksheet[[#This Row],[age]]&lt; 45,"3. Mid Adulthood (35-44)",worksheet[[#This Row],[age]]&lt; 55,"4. Mature Adulthood (45-54)",TRUE,"5. Late Adulthood/Senior (55+)")</f>
        <v>5. Late Adulthood/Senior (55+)</v>
      </c>
      <c r="D4770" t="s">
        <v>15</v>
      </c>
      <c r="E4770" t="s">
        <v>16</v>
      </c>
      <c r="F4770" s="4">
        <v>11.44</v>
      </c>
      <c r="G4770" s="5">
        <v>3</v>
      </c>
      <c r="H4770" t="s">
        <v>28</v>
      </c>
      <c r="I4770" t="s">
        <v>18</v>
      </c>
      <c r="J4770" s="6">
        <v>8.99</v>
      </c>
      <c r="K4770">
        <v>0</v>
      </c>
      <c r="L4770" t="s">
        <v>43</v>
      </c>
      <c r="M4770" s="5">
        <v>4</v>
      </c>
      <c r="N4770" s="4">
        <v>2.86</v>
      </c>
      <c r="O4770" t="s">
        <v>39</v>
      </c>
    </row>
    <row r="4771" spans="1:15" x14ac:dyDescent="0.3">
      <c r="A4771" t="s">
        <v>4296</v>
      </c>
      <c r="B4771" s="5">
        <v>57</v>
      </c>
      <c r="C4771" s="5" t="str" cm="1">
        <f t="array" ref="C4771">_xlfn.IFS(worksheet[[#This Row],[age]]&lt;25,"1. Young Adulthood (18-24)",worksheet[[#This Row],[age]]&lt; 35,"2. Early Adulthood (25-34)",worksheet[[#This Row],[age]]&lt; 45,"3. Mid Adulthood (35-44)",worksheet[[#This Row],[age]]&lt; 55,"4. Mature Adulthood (45-54)",TRUE,"5. Late Adulthood/Senior (55+)")</f>
        <v>5. Late Adulthood/Senior (55+)</v>
      </c>
      <c r="D4771" t="s">
        <v>41</v>
      </c>
      <c r="E4771" t="s">
        <v>16</v>
      </c>
      <c r="F4771" s="4">
        <v>28.44</v>
      </c>
      <c r="G4771" s="5">
        <v>41</v>
      </c>
      <c r="H4771" t="s">
        <v>70</v>
      </c>
      <c r="I4771" t="s">
        <v>24</v>
      </c>
      <c r="J4771" s="6">
        <v>8.99</v>
      </c>
      <c r="K4771">
        <v>0</v>
      </c>
      <c r="L4771" t="s">
        <v>61</v>
      </c>
      <c r="M4771" s="5">
        <v>1</v>
      </c>
      <c r="N4771" s="4">
        <v>0.68</v>
      </c>
      <c r="O4771" t="s">
        <v>47</v>
      </c>
    </row>
    <row r="4772" spans="1:15" x14ac:dyDescent="0.3">
      <c r="A4772" t="s">
        <v>4297</v>
      </c>
      <c r="B4772" s="5">
        <v>64</v>
      </c>
      <c r="C4772" s="5" t="str" cm="1">
        <f t="array" ref="C4772">_xlfn.IFS(worksheet[[#This Row],[age]]&lt;25,"1. Young Adulthood (18-24)",worksheet[[#This Row],[age]]&lt; 35,"2. Early Adulthood (25-34)",worksheet[[#This Row],[age]]&lt; 45,"3. Mid Adulthood (35-44)",worksheet[[#This Row],[age]]&lt; 55,"4. Mature Adulthood (45-54)",TRUE,"5. Late Adulthood/Senior (55+)")</f>
        <v>5. Late Adulthood/Senior (55+)</v>
      </c>
      <c r="D4772" t="s">
        <v>27</v>
      </c>
      <c r="E4772" t="s">
        <v>22</v>
      </c>
      <c r="F4772" s="4">
        <v>12.66</v>
      </c>
      <c r="G4772" s="5">
        <v>36</v>
      </c>
      <c r="H4772" t="s">
        <v>70</v>
      </c>
      <c r="I4772" t="s">
        <v>24</v>
      </c>
      <c r="J4772" s="6">
        <v>13.99</v>
      </c>
      <c r="K4772">
        <v>1</v>
      </c>
      <c r="L4772" t="s">
        <v>29</v>
      </c>
      <c r="M4772" s="5">
        <v>2</v>
      </c>
      <c r="N4772" s="4">
        <v>0.34</v>
      </c>
      <c r="O4772" t="s">
        <v>34</v>
      </c>
    </row>
    <row r="4773" spans="1:15" x14ac:dyDescent="0.3">
      <c r="A4773" t="s">
        <v>4298</v>
      </c>
      <c r="B4773" s="5">
        <v>69</v>
      </c>
      <c r="C4773" s="5" t="str" cm="1">
        <f t="array" ref="C4773">_xlfn.IFS(worksheet[[#This Row],[age]]&lt;25,"1. Young Adulthood (18-24)",worksheet[[#This Row],[age]]&lt; 35,"2. Early Adulthood (25-34)",worksheet[[#This Row],[age]]&lt; 45,"3. Mid Adulthood (35-44)",worksheet[[#This Row],[age]]&lt; 55,"4. Mature Adulthood (45-54)",TRUE,"5. Late Adulthood/Senior (55+)")</f>
        <v>5. Late Adulthood/Senior (55+)</v>
      </c>
      <c r="D4773" t="s">
        <v>15</v>
      </c>
      <c r="E4773" t="s">
        <v>32</v>
      </c>
      <c r="F4773" s="4">
        <v>3.05</v>
      </c>
      <c r="G4773" s="5">
        <v>57</v>
      </c>
      <c r="H4773" t="s">
        <v>23</v>
      </c>
      <c r="I4773" t="s">
        <v>18</v>
      </c>
      <c r="J4773" s="6">
        <v>17.989999999999998</v>
      </c>
      <c r="K4773">
        <v>1</v>
      </c>
      <c r="L4773" t="s">
        <v>43</v>
      </c>
      <c r="M4773" s="5">
        <v>4</v>
      </c>
      <c r="N4773" s="4">
        <v>0.05</v>
      </c>
      <c r="O4773" t="s">
        <v>47</v>
      </c>
    </row>
    <row r="4774" spans="1:15" x14ac:dyDescent="0.3">
      <c r="A4774" t="s">
        <v>4301</v>
      </c>
      <c r="B4774" s="5">
        <v>65</v>
      </c>
      <c r="C4774" s="5" t="str" cm="1">
        <f t="array" ref="C4774">_xlfn.IFS(worksheet[[#This Row],[age]]&lt;25,"1. Young Adulthood (18-24)",worksheet[[#This Row],[age]]&lt; 35,"2. Early Adulthood (25-34)",worksheet[[#This Row],[age]]&lt; 45,"3. Mid Adulthood (35-44)",worksheet[[#This Row],[age]]&lt; 55,"4. Mature Adulthood (45-54)",TRUE,"5. Late Adulthood/Senior (55+)")</f>
        <v>5. Late Adulthood/Senior (55+)</v>
      </c>
      <c r="D4774" t="s">
        <v>41</v>
      </c>
      <c r="E4774" t="s">
        <v>32</v>
      </c>
      <c r="F4774" s="4">
        <v>5.0199999999999996</v>
      </c>
      <c r="G4774" s="5">
        <v>51</v>
      </c>
      <c r="H4774" t="s">
        <v>17</v>
      </c>
      <c r="I4774" t="s">
        <v>46</v>
      </c>
      <c r="J4774" s="6">
        <v>17.989999999999998</v>
      </c>
      <c r="K4774">
        <v>1</v>
      </c>
      <c r="L4774" t="s">
        <v>29</v>
      </c>
      <c r="M4774" s="5">
        <v>3</v>
      </c>
      <c r="N4774" s="4">
        <v>0.1</v>
      </c>
      <c r="O4774" t="s">
        <v>47</v>
      </c>
    </row>
    <row r="4775" spans="1:15" x14ac:dyDescent="0.3">
      <c r="A4775" t="s">
        <v>4304</v>
      </c>
      <c r="B4775" s="5">
        <v>62</v>
      </c>
      <c r="C4775" s="5" t="str" cm="1">
        <f t="array" ref="C4775">_xlfn.IFS(worksheet[[#This Row],[age]]&lt;25,"1. Young Adulthood (18-24)",worksheet[[#This Row],[age]]&lt; 35,"2. Early Adulthood (25-34)",worksheet[[#This Row],[age]]&lt; 45,"3. Mid Adulthood (35-44)",worksheet[[#This Row],[age]]&lt; 55,"4. Mature Adulthood (45-54)",TRUE,"5. Late Adulthood/Senior (55+)")</f>
        <v>5. Late Adulthood/Senior (55+)</v>
      </c>
      <c r="D4775" t="s">
        <v>15</v>
      </c>
      <c r="E4775" t="s">
        <v>16</v>
      </c>
      <c r="F4775" s="4">
        <v>30.35</v>
      </c>
      <c r="G4775" s="5">
        <v>29</v>
      </c>
      <c r="H4775" t="s">
        <v>33</v>
      </c>
      <c r="I4775" t="s">
        <v>57</v>
      </c>
      <c r="J4775" s="6">
        <v>8.99</v>
      </c>
      <c r="K4775">
        <v>0</v>
      </c>
      <c r="L4775" t="s">
        <v>37</v>
      </c>
      <c r="M4775" s="5">
        <v>2</v>
      </c>
      <c r="N4775" s="4">
        <v>1.01</v>
      </c>
      <c r="O4775" t="s">
        <v>30</v>
      </c>
    </row>
    <row r="4776" spans="1:15" x14ac:dyDescent="0.3">
      <c r="A4776" t="s">
        <v>4311</v>
      </c>
      <c r="B4776" s="5">
        <v>63</v>
      </c>
      <c r="C4776" s="5" t="str" cm="1">
        <f t="array" ref="C4776">_xlfn.IFS(worksheet[[#This Row],[age]]&lt;25,"1. Young Adulthood (18-24)",worksheet[[#This Row],[age]]&lt; 35,"2. Early Adulthood (25-34)",worksheet[[#This Row],[age]]&lt; 45,"3. Mid Adulthood (35-44)",worksheet[[#This Row],[age]]&lt; 55,"4. Mature Adulthood (45-54)",TRUE,"5. Late Adulthood/Senior (55+)")</f>
        <v>5. Late Adulthood/Senior (55+)</v>
      </c>
      <c r="D4776" t="s">
        <v>41</v>
      </c>
      <c r="E4776" t="s">
        <v>16</v>
      </c>
      <c r="F4776" s="4">
        <v>6.79</v>
      </c>
      <c r="G4776" s="5">
        <v>46</v>
      </c>
      <c r="H4776" t="s">
        <v>28</v>
      </c>
      <c r="I4776" t="s">
        <v>57</v>
      </c>
      <c r="J4776" s="6">
        <v>8.99</v>
      </c>
      <c r="K4776">
        <v>1</v>
      </c>
      <c r="L4776" t="s">
        <v>61</v>
      </c>
      <c r="M4776" s="5">
        <v>1</v>
      </c>
      <c r="N4776" s="4">
        <v>0.14000000000000001</v>
      </c>
      <c r="O4776" t="s">
        <v>47</v>
      </c>
    </row>
    <row r="4777" spans="1:15" x14ac:dyDescent="0.3">
      <c r="A4777" t="s">
        <v>4312</v>
      </c>
      <c r="B4777" s="5">
        <v>57</v>
      </c>
      <c r="C4777" s="5" t="str" cm="1">
        <f t="array" ref="C4777">_xlfn.IFS(worksheet[[#This Row],[age]]&lt;25,"1. Young Adulthood (18-24)",worksheet[[#This Row],[age]]&lt; 35,"2. Early Adulthood (25-34)",worksheet[[#This Row],[age]]&lt; 45,"3. Mid Adulthood (35-44)",worksheet[[#This Row],[age]]&lt; 55,"4. Mature Adulthood (45-54)",TRUE,"5. Late Adulthood/Senior (55+)")</f>
        <v>5. Late Adulthood/Senior (55+)</v>
      </c>
      <c r="D4777" t="s">
        <v>41</v>
      </c>
      <c r="E4777" t="s">
        <v>32</v>
      </c>
      <c r="F4777" s="4">
        <v>14.69</v>
      </c>
      <c r="G4777" s="5">
        <v>12</v>
      </c>
      <c r="H4777" t="s">
        <v>17</v>
      </c>
      <c r="I4777" t="s">
        <v>55</v>
      </c>
      <c r="J4777" s="6">
        <v>17.989999999999998</v>
      </c>
      <c r="K4777">
        <v>0</v>
      </c>
      <c r="L4777" t="s">
        <v>29</v>
      </c>
      <c r="M4777" s="5">
        <v>5</v>
      </c>
      <c r="N4777" s="4">
        <v>1.1299999999999999</v>
      </c>
      <c r="O4777" t="s">
        <v>25</v>
      </c>
    </row>
    <row r="4778" spans="1:15" x14ac:dyDescent="0.3">
      <c r="A4778" t="s">
        <v>4314</v>
      </c>
      <c r="B4778" s="5">
        <v>56</v>
      </c>
      <c r="C4778" s="5" t="str" cm="1">
        <f t="array" ref="C4778">_xlfn.IFS(worksheet[[#This Row],[age]]&lt;25,"1. Young Adulthood (18-24)",worksheet[[#This Row],[age]]&lt; 35,"2. Early Adulthood (25-34)",worksheet[[#This Row],[age]]&lt; 45,"3. Mid Adulthood (35-44)",worksheet[[#This Row],[age]]&lt; 55,"4. Mature Adulthood (45-54)",TRUE,"5. Late Adulthood/Senior (55+)")</f>
        <v>5. Late Adulthood/Senior (55+)</v>
      </c>
      <c r="D4778" t="s">
        <v>27</v>
      </c>
      <c r="E4778" t="s">
        <v>32</v>
      </c>
      <c r="F4778" s="4">
        <v>8.83</v>
      </c>
      <c r="G4778" s="5">
        <v>10</v>
      </c>
      <c r="H4778" t="s">
        <v>23</v>
      </c>
      <c r="I4778" t="s">
        <v>57</v>
      </c>
      <c r="J4778" s="6">
        <v>17.989999999999998</v>
      </c>
      <c r="K4778">
        <v>0</v>
      </c>
      <c r="L4778" t="s">
        <v>37</v>
      </c>
      <c r="M4778" s="5">
        <v>1</v>
      </c>
      <c r="N4778" s="4">
        <v>0.8</v>
      </c>
      <c r="O4778" t="s">
        <v>52</v>
      </c>
    </row>
    <row r="4779" spans="1:15" x14ac:dyDescent="0.3">
      <c r="A4779" t="s">
        <v>4316</v>
      </c>
      <c r="B4779" s="5">
        <v>66</v>
      </c>
      <c r="C4779" s="5" t="str" cm="1">
        <f t="array" ref="C4779">_xlfn.IFS(worksheet[[#This Row],[age]]&lt;25,"1. Young Adulthood (18-24)",worksheet[[#This Row],[age]]&lt; 35,"2. Early Adulthood (25-34)",worksheet[[#This Row],[age]]&lt; 45,"3. Mid Adulthood (35-44)",worksheet[[#This Row],[age]]&lt; 55,"4. Mature Adulthood (45-54)",TRUE,"5. Late Adulthood/Senior (55+)")</f>
        <v>5. Late Adulthood/Senior (55+)</v>
      </c>
      <c r="D4779" t="s">
        <v>15</v>
      </c>
      <c r="E4779" t="s">
        <v>16</v>
      </c>
      <c r="F4779" s="4">
        <v>31.95</v>
      </c>
      <c r="G4779" s="5">
        <v>12</v>
      </c>
      <c r="H4779" t="s">
        <v>17</v>
      </c>
      <c r="I4779" t="s">
        <v>24</v>
      </c>
      <c r="J4779" s="6">
        <v>8.99</v>
      </c>
      <c r="K4779">
        <v>0</v>
      </c>
      <c r="L4779" t="s">
        <v>37</v>
      </c>
      <c r="M4779" s="5">
        <v>4</v>
      </c>
      <c r="N4779" s="4">
        <v>2.46</v>
      </c>
      <c r="O4779" t="s">
        <v>34</v>
      </c>
    </row>
    <row r="4780" spans="1:15" x14ac:dyDescent="0.3">
      <c r="A4780" t="s">
        <v>4320</v>
      </c>
      <c r="B4780" s="5">
        <v>64</v>
      </c>
      <c r="C4780" s="5" t="str" cm="1">
        <f t="array" ref="C4780">_xlfn.IFS(worksheet[[#This Row],[age]]&lt;25,"1. Young Adulthood (18-24)",worksheet[[#This Row],[age]]&lt; 35,"2. Early Adulthood (25-34)",worksheet[[#This Row],[age]]&lt; 45,"3. Mid Adulthood (35-44)",worksheet[[#This Row],[age]]&lt; 55,"4. Mature Adulthood (45-54)",TRUE,"5. Late Adulthood/Senior (55+)")</f>
        <v>5. Late Adulthood/Senior (55+)</v>
      </c>
      <c r="D4780" t="s">
        <v>41</v>
      </c>
      <c r="E4780" t="s">
        <v>22</v>
      </c>
      <c r="F4780" s="4">
        <v>28.71</v>
      </c>
      <c r="G4780" s="5">
        <v>15</v>
      </c>
      <c r="H4780" t="s">
        <v>49</v>
      </c>
      <c r="I4780" t="s">
        <v>24</v>
      </c>
      <c r="J4780" s="6">
        <v>13.99</v>
      </c>
      <c r="K4780">
        <v>0</v>
      </c>
      <c r="L4780" t="s">
        <v>43</v>
      </c>
      <c r="M4780" s="5">
        <v>4</v>
      </c>
      <c r="N4780" s="4">
        <v>1.79</v>
      </c>
      <c r="O4780" t="s">
        <v>52</v>
      </c>
    </row>
    <row r="4781" spans="1:15" x14ac:dyDescent="0.3">
      <c r="A4781" t="s">
        <v>4321</v>
      </c>
      <c r="B4781" s="5">
        <v>70</v>
      </c>
      <c r="C4781" s="5" t="str" cm="1">
        <f t="array" ref="C4781">_xlfn.IFS(worksheet[[#This Row],[age]]&lt;25,"1. Young Adulthood (18-24)",worksheet[[#This Row],[age]]&lt; 35,"2. Early Adulthood (25-34)",worksheet[[#This Row],[age]]&lt; 45,"3. Mid Adulthood (35-44)",worksheet[[#This Row],[age]]&lt; 55,"4. Mature Adulthood (45-54)",TRUE,"5. Late Adulthood/Senior (55+)")</f>
        <v>5. Late Adulthood/Senior (55+)</v>
      </c>
      <c r="D4781" t="s">
        <v>15</v>
      </c>
      <c r="E4781" t="s">
        <v>32</v>
      </c>
      <c r="F4781" s="4">
        <v>12.08</v>
      </c>
      <c r="G4781" s="5">
        <v>16</v>
      </c>
      <c r="H4781" t="s">
        <v>33</v>
      </c>
      <c r="I4781" t="s">
        <v>46</v>
      </c>
      <c r="J4781" s="6">
        <v>17.989999999999998</v>
      </c>
      <c r="K4781">
        <v>0</v>
      </c>
      <c r="L4781" t="s">
        <v>19</v>
      </c>
      <c r="M4781" s="5">
        <v>5</v>
      </c>
      <c r="N4781" s="4">
        <v>0.71</v>
      </c>
      <c r="O4781" t="s">
        <v>47</v>
      </c>
    </row>
    <row r="4782" spans="1:15" x14ac:dyDescent="0.3">
      <c r="A4782" t="s">
        <v>4323</v>
      </c>
      <c r="B4782" s="5">
        <v>62</v>
      </c>
      <c r="C4782" s="5" t="str" cm="1">
        <f t="array" ref="C4782">_xlfn.IFS(worksheet[[#This Row],[age]]&lt;25,"1. Young Adulthood (18-24)",worksheet[[#This Row],[age]]&lt; 35,"2. Early Adulthood (25-34)",worksheet[[#This Row],[age]]&lt; 45,"3. Mid Adulthood (35-44)",worksheet[[#This Row],[age]]&lt; 55,"4. Mature Adulthood (45-54)",TRUE,"5. Late Adulthood/Senior (55+)")</f>
        <v>5. Late Adulthood/Senior (55+)</v>
      </c>
      <c r="D4782" t="s">
        <v>15</v>
      </c>
      <c r="E4782" t="s">
        <v>16</v>
      </c>
      <c r="F4782" s="4">
        <v>0.98</v>
      </c>
      <c r="G4782" s="5">
        <v>36</v>
      </c>
      <c r="H4782" t="s">
        <v>23</v>
      </c>
      <c r="I4782" t="s">
        <v>55</v>
      </c>
      <c r="J4782" s="6">
        <v>8.99</v>
      </c>
      <c r="K4782">
        <v>1</v>
      </c>
      <c r="L4782" t="s">
        <v>19</v>
      </c>
      <c r="M4782" s="5">
        <v>4</v>
      </c>
      <c r="N4782" s="4">
        <v>0.03</v>
      </c>
      <c r="O4782" t="s">
        <v>47</v>
      </c>
    </row>
    <row r="4783" spans="1:15" x14ac:dyDescent="0.3">
      <c r="A4783" t="s">
        <v>4324</v>
      </c>
      <c r="B4783" s="5">
        <v>56</v>
      </c>
      <c r="C4783" s="5" t="str" cm="1">
        <f t="array" ref="C4783">_xlfn.IFS(worksheet[[#This Row],[age]]&lt;25,"1. Young Adulthood (18-24)",worksheet[[#This Row],[age]]&lt; 35,"2. Early Adulthood (25-34)",worksheet[[#This Row],[age]]&lt; 45,"3. Mid Adulthood (35-44)",worksheet[[#This Row],[age]]&lt; 55,"4. Mature Adulthood (45-54)",TRUE,"5. Late Adulthood/Senior (55+)")</f>
        <v>5. Late Adulthood/Senior (55+)</v>
      </c>
      <c r="D4783" t="s">
        <v>27</v>
      </c>
      <c r="E4783" t="s">
        <v>16</v>
      </c>
      <c r="F4783" s="4">
        <v>2.98</v>
      </c>
      <c r="G4783" s="5">
        <v>37</v>
      </c>
      <c r="H4783" t="s">
        <v>49</v>
      </c>
      <c r="I4783" t="s">
        <v>55</v>
      </c>
      <c r="J4783" s="6">
        <v>8.99</v>
      </c>
      <c r="K4783">
        <v>1</v>
      </c>
      <c r="L4783" t="s">
        <v>19</v>
      </c>
      <c r="M4783" s="5">
        <v>4</v>
      </c>
      <c r="N4783" s="4">
        <v>0.08</v>
      </c>
      <c r="O4783" t="s">
        <v>25</v>
      </c>
    </row>
    <row r="4784" spans="1:15" x14ac:dyDescent="0.3">
      <c r="A4784" t="s">
        <v>4325</v>
      </c>
      <c r="B4784" s="5">
        <v>66</v>
      </c>
      <c r="C4784" s="5" t="str" cm="1">
        <f t="array" ref="C4784">_xlfn.IFS(worksheet[[#This Row],[age]]&lt;25,"1. Young Adulthood (18-24)",worksheet[[#This Row],[age]]&lt; 35,"2. Early Adulthood (25-34)",worksheet[[#This Row],[age]]&lt; 45,"3. Mid Adulthood (35-44)",worksheet[[#This Row],[age]]&lt; 55,"4. Mature Adulthood (45-54)",TRUE,"5. Late Adulthood/Senior (55+)")</f>
        <v>5. Late Adulthood/Senior (55+)</v>
      </c>
      <c r="D4784" t="s">
        <v>41</v>
      </c>
      <c r="E4784" t="s">
        <v>16</v>
      </c>
      <c r="F4784" s="4">
        <v>16.190000000000001</v>
      </c>
      <c r="G4784" s="5">
        <v>25</v>
      </c>
      <c r="H4784" t="s">
        <v>17</v>
      </c>
      <c r="I4784" t="s">
        <v>18</v>
      </c>
      <c r="J4784" s="6">
        <v>8.99</v>
      </c>
      <c r="K4784">
        <v>0</v>
      </c>
      <c r="L4784" t="s">
        <v>19</v>
      </c>
      <c r="M4784" s="5">
        <v>4</v>
      </c>
      <c r="N4784" s="4">
        <v>0.62</v>
      </c>
      <c r="O4784" t="s">
        <v>30</v>
      </c>
    </row>
    <row r="4785" spans="1:15" x14ac:dyDescent="0.3">
      <c r="A4785" t="s">
        <v>4329</v>
      </c>
      <c r="B4785" s="5">
        <v>68</v>
      </c>
      <c r="C4785" s="5" t="str" cm="1">
        <f t="array" ref="C4785">_xlfn.IFS(worksheet[[#This Row],[age]]&lt;25,"1. Young Adulthood (18-24)",worksheet[[#This Row],[age]]&lt; 35,"2. Early Adulthood (25-34)",worksheet[[#This Row],[age]]&lt; 45,"3. Mid Adulthood (35-44)",worksheet[[#This Row],[age]]&lt; 55,"4. Mature Adulthood (45-54)",TRUE,"5. Late Adulthood/Senior (55+)")</f>
        <v>5. Late Adulthood/Senior (55+)</v>
      </c>
      <c r="D4785" t="s">
        <v>15</v>
      </c>
      <c r="E4785" t="s">
        <v>32</v>
      </c>
      <c r="F4785" s="4">
        <v>3.15</v>
      </c>
      <c r="G4785" s="5">
        <v>1</v>
      </c>
      <c r="H4785" t="s">
        <v>17</v>
      </c>
      <c r="I4785" t="s">
        <v>57</v>
      </c>
      <c r="J4785" s="6">
        <v>17.989999999999998</v>
      </c>
      <c r="K4785">
        <v>0</v>
      </c>
      <c r="L4785" t="s">
        <v>61</v>
      </c>
      <c r="M4785" s="5">
        <v>3</v>
      </c>
      <c r="N4785" s="4">
        <v>1.57</v>
      </c>
      <c r="O4785" t="s">
        <v>34</v>
      </c>
    </row>
    <row r="4786" spans="1:15" x14ac:dyDescent="0.3">
      <c r="A4786" t="s">
        <v>4330</v>
      </c>
      <c r="B4786" s="5">
        <v>56</v>
      </c>
      <c r="C4786" s="5" t="str" cm="1">
        <f t="array" ref="C4786">_xlfn.IFS(worksheet[[#This Row],[age]]&lt;25,"1. Young Adulthood (18-24)",worksheet[[#This Row],[age]]&lt; 35,"2. Early Adulthood (25-34)",worksheet[[#This Row],[age]]&lt; 45,"3. Mid Adulthood (35-44)",worksheet[[#This Row],[age]]&lt; 55,"4. Mature Adulthood (45-54)",TRUE,"5. Late Adulthood/Senior (55+)")</f>
        <v>5. Late Adulthood/Senior (55+)</v>
      </c>
      <c r="D4786" t="s">
        <v>41</v>
      </c>
      <c r="E4786" t="s">
        <v>32</v>
      </c>
      <c r="F4786" s="4">
        <v>24.37</v>
      </c>
      <c r="G4786" s="5">
        <v>26</v>
      </c>
      <c r="H4786" t="s">
        <v>23</v>
      </c>
      <c r="I4786" t="s">
        <v>46</v>
      </c>
      <c r="J4786" s="6">
        <v>17.989999999999998</v>
      </c>
      <c r="K4786">
        <v>0</v>
      </c>
      <c r="L4786" t="s">
        <v>43</v>
      </c>
      <c r="M4786" s="5">
        <v>3</v>
      </c>
      <c r="N4786" s="4">
        <v>0.9</v>
      </c>
      <c r="O4786" t="s">
        <v>39</v>
      </c>
    </row>
    <row r="4787" spans="1:15" x14ac:dyDescent="0.3">
      <c r="A4787" t="s">
        <v>4339</v>
      </c>
      <c r="B4787" s="5">
        <v>59</v>
      </c>
      <c r="C4787" s="5" t="str" cm="1">
        <f t="array" ref="C4787">_xlfn.IFS(worksheet[[#This Row],[age]]&lt;25,"1. Young Adulthood (18-24)",worksheet[[#This Row],[age]]&lt; 35,"2. Early Adulthood (25-34)",worksheet[[#This Row],[age]]&lt; 45,"3. Mid Adulthood (35-44)",worksheet[[#This Row],[age]]&lt; 55,"4. Mature Adulthood (45-54)",TRUE,"5. Late Adulthood/Senior (55+)")</f>
        <v>5. Late Adulthood/Senior (55+)</v>
      </c>
      <c r="D4787" t="s">
        <v>41</v>
      </c>
      <c r="E4787" t="s">
        <v>32</v>
      </c>
      <c r="F4787" s="4">
        <v>12.39</v>
      </c>
      <c r="G4787" s="5">
        <v>29</v>
      </c>
      <c r="H4787" t="s">
        <v>33</v>
      </c>
      <c r="I4787" t="s">
        <v>57</v>
      </c>
      <c r="J4787" s="6">
        <v>17.989999999999998</v>
      </c>
      <c r="K4787">
        <v>0</v>
      </c>
      <c r="L4787" t="s">
        <v>61</v>
      </c>
      <c r="M4787" s="5">
        <v>2</v>
      </c>
      <c r="N4787" s="4">
        <v>0.41</v>
      </c>
      <c r="O4787" t="s">
        <v>20</v>
      </c>
    </row>
    <row r="4788" spans="1:15" x14ac:dyDescent="0.3">
      <c r="A4788" t="s">
        <v>4340</v>
      </c>
      <c r="B4788" s="5">
        <v>64</v>
      </c>
      <c r="C4788" s="5" t="str" cm="1">
        <f t="array" ref="C4788">_xlfn.IFS(worksheet[[#This Row],[age]]&lt;25,"1. Young Adulthood (18-24)",worksheet[[#This Row],[age]]&lt; 35,"2. Early Adulthood (25-34)",worksheet[[#This Row],[age]]&lt; 45,"3. Mid Adulthood (35-44)",worksheet[[#This Row],[age]]&lt; 55,"4. Mature Adulthood (45-54)",TRUE,"5. Late Adulthood/Senior (55+)")</f>
        <v>5. Late Adulthood/Senior (55+)</v>
      </c>
      <c r="D4788" t="s">
        <v>27</v>
      </c>
      <c r="E4788" t="s">
        <v>16</v>
      </c>
      <c r="F4788" s="4">
        <v>2.11</v>
      </c>
      <c r="G4788" s="5">
        <v>31</v>
      </c>
      <c r="H4788" t="s">
        <v>17</v>
      </c>
      <c r="I4788" t="s">
        <v>57</v>
      </c>
      <c r="J4788" s="6">
        <v>8.99</v>
      </c>
      <c r="K4788">
        <v>1</v>
      </c>
      <c r="L4788" t="s">
        <v>37</v>
      </c>
      <c r="M4788" s="5">
        <v>4</v>
      </c>
      <c r="N4788" s="4">
        <v>7.0000000000000007E-2</v>
      </c>
      <c r="O4788" t="s">
        <v>52</v>
      </c>
    </row>
    <row r="4789" spans="1:15" x14ac:dyDescent="0.3">
      <c r="A4789" t="s">
        <v>4341</v>
      </c>
      <c r="B4789" s="5">
        <v>56</v>
      </c>
      <c r="C4789" s="5" t="str" cm="1">
        <f t="array" ref="C4789">_xlfn.IFS(worksheet[[#This Row],[age]]&lt;25,"1. Young Adulthood (18-24)",worksheet[[#This Row],[age]]&lt; 35,"2. Early Adulthood (25-34)",worksheet[[#This Row],[age]]&lt; 45,"3. Mid Adulthood (35-44)",worksheet[[#This Row],[age]]&lt; 55,"4. Mature Adulthood (45-54)",TRUE,"5. Late Adulthood/Senior (55+)")</f>
        <v>5. Late Adulthood/Senior (55+)</v>
      </c>
      <c r="D4789" t="s">
        <v>41</v>
      </c>
      <c r="E4789" t="s">
        <v>32</v>
      </c>
      <c r="F4789" s="4">
        <v>3.93</v>
      </c>
      <c r="G4789" s="5">
        <v>27</v>
      </c>
      <c r="H4789" t="s">
        <v>28</v>
      </c>
      <c r="I4789" t="s">
        <v>18</v>
      </c>
      <c r="J4789" s="6">
        <v>17.989999999999998</v>
      </c>
      <c r="K4789">
        <v>0</v>
      </c>
      <c r="L4789" t="s">
        <v>43</v>
      </c>
      <c r="M4789" s="5">
        <v>4</v>
      </c>
      <c r="N4789" s="4">
        <v>0.14000000000000001</v>
      </c>
      <c r="O4789" t="s">
        <v>30</v>
      </c>
    </row>
    <row r="4790" spans="1:15" x14ac:dyDescent="0.3">
      <c r="A4790" t="s">
        <v>4343</v>
      </c>
      <c r="B4790" s="5">
        <v>65</v>
      </c>
      <c r="C4790" s="5" t="str" cm="1">
        <f t="array" ref="C4790">_xlfn.IFS(worksheet[[#This Row],[age]]&lt;25,"1. Young Adulthood (18-24)",worksheet[[#This Row],[age]]&lt; 35,"2. Early Adulthood (25-34)",worksheet[[#This Row],[age]]&lt; 45,"3. Mid Adulthood (35-44)",worksheet[[#This Row],[age]]&lt; 55,"4. Mature Adulthood (45-54)",TRUE,"5. Late Adulthood/Senior (55+)")</f>
        <v>5. Late Adulthood/Senior (55+)</v>
      </c>
      <c r="D4790" t="s">
        <v>41</v>
      </c>
      <c r="E4790" t="s">
        <v>16</v>
      </c>
      <c r="F4790" s="4">
        <v>4.8499999999999996</v>
      </c>
      <c r="G4790" s="5">
        <v>45</v>
      </c>
      <c r="H4790" t="s">
        <v>17</v>
      </c>
      <c r="I4790" t="s">
        <v>46</v>
      </c>
      <c r="J4790" s="6">
        <v>8.99</v>
      </c>
      <c r="K4790">
        <v>1</v>
      </c>
      <c r="L4790" t="s">
        <v>29</v>
      </c>
      <c r="M4790" s="5">
        <v>4</v>
      </c>
      <c r="N4790" s="4">
        <v>0.11</v>
      </c>
      <c r="O4790" t="s">
        <v>39</v>
      </c>
    </row>
    <row r="4791" spans="1:15" x14ac:dyDescent="0.3">
      <c r="A4791" t="s">
        <v>4344</v>
      </c>
      <c r="B4791" s="5">
        <v>59</v>
      </c>
      <c r="C4791" s="5" t="str" cm="1">
        <f t="array" ref="C4791">_xlfn.IFS(worksheet[[#This Row],[age]]&lt;25,"1. Young Adulthood (18-24)",worksheet[[#This Row],[age]]&lt; 35,"2. Early Adulthood (25-34)",worksheet[[#This Row],[age]]&lt; 45,"3. Mid Adulthood (35-44)",worksheet[[#This Row],[age]]&lt; 55,"4. Mature Adulthood (45-54)",TRUE,"5. Late Adulthood/Senior (55+)")</f>
        <v>5. Late Adulthood/Senior (55+)</v>
      </c>
      <c r="D4791" t="s">
        <v>15</v>
      </c>
      <c r="E4791" t="s">
        <v>32</v>
      </c>
      <c r="F4791" s="4">
        <v>7.26</v>
      </c>
      <c r="G4791" s="5">
        <v>30</v>
      </c>
      <c r="H4791" t="s">
        <v>28</v>
      </c>
      <c r="I4791" t="s">
        <v>24</v>
      </c>
      <c r="J4791" s="6">
        <v>17.989999999999998</v>
      </c>
      <c r="K4791">
        <v>0</v>
      </c>
      <c r="L4791" t="s">
        <v>19</v>
      </c>
      <c r="M4791" s="5">
        <v>4</v>
      </c>
      <c r="N4791" s="4">
        <v>0.23</v>
      </c>
      <c r="O4791" t="s">
        <v>30</v>
      </c>
    </row>
    <row r="4792" spans="1:15" x14ac:dyDescent="0.3">
      <c r="A4792" t="s">
        <v>4345</v>
      </c>
      <c r="B4792" s="5">
        <v>64</v>
      </c>
      <c r="C4792" s="5" t="str" cm="1">
        <f t="array" ref="C4792">_xlfn.IFS(worksheet[[#This Row],[age]]&lt;25,"1. Young Adulthood (18-24)",worksheet[[#This Row],[age]]&lt; 35,"2. Early Adulthood (25-34)",worksheet[[#This Row],[age]]&lt; 45,"3. Mid Adulthood (35-44)",worksheet[[#This Row],[age]]&lt; 55,"4. Mature Adulthood (45-54)",TRUE,"5. Late Adulthood/Senior (55+)")</f>
        <v>5. Late Adulthood/Senior (55+)</v>
      </c>
      <c r="D4792" t="s">
        <v>41</v>
      </c>
      <c r="E4792" t="s">
        <v>32</v>
      </c>
      <c r="F4792" s="4">
        <v>31.16</v>
      </c>
      <c r="G4792" s="5">
        <v>47</v>
      </c>
      <c r="H4792" t="s">
        <v>33</v>
      </c>
      <c r="I4792" t="s">
        <v>24</v>
      </c>
      <c r="J4792" s="6">
        <v>17.989999999999998</v>
      </c>
      <c r="K4792">
        <v>0</v>
      </c>
      <c r="L4792" t="s">
        <v>61</v>
      </c>
      <c r="M4792" s="5">
        <v>5</v>
      </c>
      <c r="N4792" s="4">
        <v>0.65</v>
      </c>
      <c r="O4792" t="s">
        <v>39</v>
      </c>
    </row>
    <row r="4793" spans="1:15" x14ac:dyDescent="0.3">
      <c r="A4793" t="s">
        <v>4346</v>
      </c>
      <c r="B4793" s="5">
        <v>55</v>
      </c>
      <c r="C4793" s="5" t="str" cm="1">
        <f t="array" ref="C4793">_xlfn.IFS(worksheet[[#This Row],[age]]&lt;25,"1. Young Adulthood (18-24)",worksheet[[#This Row],[age]]&lt; 35,"2. Early Adulthood (25-34)",worksheet[[#This Row],[age]]&lt; 45,"3. Mid Adulthood (35-44)",worksheet[[#This Row],[age]]&lt; 55,"4. Mature Adulthood (45-54)",TRUE,"5. Late Adulthood/Senior (55+)")</f>
        <v>5. Late Adulthood/Senior (55+)</v>
      </c>
      <c r="D4793" t="s">
        <v>27</v>
      </c>
      <c r="E4793" t="s">
        <v>32</v>
      </c>
      <c r="F4793" s="4">
        <v>9.76</v>
      </c>
      <c r="G4793" s="5">
        <v>37</v>
      </c>
      <c r="H4793" t="s">
        <v>23</v>
      </c>
      <c r="I4793" t="s">
        <v>55</v>
      </c>
      <c r="J4793" s="6">
        <v>17.989999999999998</v>
      </c>
      <c r="K4793">
        <v>1</v>
      </c>
      <c r="L4793" t="s">
        <v>19</v>
      </c>
      <c r="M4793" s="5">
        <v>2</v>
      </c>
      <c r="N4793" s="4">
        <v>0.26</v>
      </c>
      <c r="O4793" t="s">
        <v>30</v>
      </c>
    </row>
    <row r="4794" spans="1:15" x14ac:dyDescent="0.3">
      <c r="A4794" t="s">
        <v>4355</v>
      </c>
      <c r="B4794" s="5">
        <v>58</v>
      </c>
      <c r="C4794" s="5" t="str" cm="1">
        <f t="array" ref="C4794">_xlfn.IFS(worksheet[[#This Row],[age]]&lt;25,"1. Young Adulthood (18-24)",worksheet[[#This Row],[age]]&lt; 35,"2. Early Adulthood (25-34)",worksheet[[#This Row],[age]]&lt; 45,"3. Mid Adulthood (35-44)",worksheet[[#This Row],[age]]&lt; 55,"4. Mature Adulthood (45-54)",TRUE,"5. Late Adulthood/Senior (55+)")</f>
        <v>5. Late Adulthood/Senior (55+)</v>
      </c>
      <c r="D4794" t="s">
        <v>15</v>
      </c>
      <c r="E4794" t="s">
        <v>16</v>
      </c>
      <c r="F4794" s="4">
        <v>1.03</v>
      </c>
      <c r="G4794" s="5">
        <v>50</v>
      </c>
      <c r="H4794" t="s">
        <v>17</v>
      </c>
      <c r="I4794" t="s">
        <v>24</v>
      </c>
      <c r="J4794" s="6">
        <v>8.99</v>
      </c>
      <c r="K4794">
        <v>1</v>
      </c>
      <c r="L4794" t="s">
        <v>61</v>
      </c>
      <c r="M4794" s="5">
        <v>4</v>
      </c>
      <c r="N4794" s="4">
        <v>0.02</v>
      </c>
      <c r="O4794" t="s">
        <v>30</v>
      </c>
    </row>
    <row r="4795" spans="1:15" x14ac:dyDescent="0.3">
      <c r="A4795" t="s">
        <v>4359</v>
      </c>
      <c r="B4795" s="5">
        <v>70</v>
      </c>
      <c r="C4795" s="5" t="str" cm="1">
        <f t="array" ref="C4795">_xlfn.IFS(worksheet[[#This Row],[age]]&lt;25,"1. Young Adulthood (18-24)",worksheet[[#This Row],[age]]&lt; 35,"2. Early Adulthood (25-34)",worksheet[[#This Row],[age]]&lt; 45,"3. Mid Adulthood (35-44)",worksheet[[#This Row],[age]]&lt; 55,"4. Mature Adulthood (45-54)",TRUE,"5. Late Adulthood/Senior (55+)")</f>
        <v>5. Late Adulthood/Senior (55+)</v>
      </c>
      <c r="D4795" t="s">
        <v>15</v>
      </c>
      <c r="E4795" t="s">
        <v>32</v>
      </c>
      <c r="F4795" s="4">
        <v>7.61</v>
      </c>
      <c r="G4795" s="5">
        <v>1</v>
      </c>
      <c r="H4795" t="s">
        <v>49</v>
      </c>
      <c r="I4795" t="s">
        <v>46</v>
      </c>
      <c r="J4795" s="6">
        <v>17.989999999999998</v>
      </c>
      <c r="K4795">
        <v>0</v>
      </c>
      <c r="L4795" t="s">
        <v>61</v>
      </c>
      <c r="M4795" s="5">
        <v>5</v>
      </c>
      <c r="N4795" s="4">
        <v>3.81</v>
      </c>
      <c r="O4795" t="s">
        <v>30</v>
      </c>
    </row>
    <row r="4796" spans="1:15" x14ac:dyDescent="0.3">
      <c r="A4796" t="s">
        <v>4363</v>
      </c>
      <c r="B4796" s="5">
        <v>55</v>
      </c>
      <c r="C4796" s="5" t="str" cm="1">
        <f t="array" ref="C4796">_xlfn.IFS(worksheet[[#This Row],[age]]&lt;25,"1. Young Adulthood (18-24)",worksheet[[#This Row],[age]]&lt; 35,"2. Early Adulthood (25-34)",worksheet[[#This Row],[age]]&lt; 45,"3. Mid Adulthood (35-44)",worksheet[[#This Row],[age]]&lt; 55,"4. Mature Adulthood (45-54)",TRUE,"5. Late Adulthood/Senior (55+)")</f>
        <v>5. Late Adulthood/Senior (55+)</v>
      </c>
      <c r="D4796" t="s">
        <v>41</v>
      </c>
      <c r="E4796" t="s">
        <v>16</v>
      </c>
      <c r="F4796" s="4">
        <v>12.56</v>
      </c>
      <c r="G4796" s="5">
        <v>46</v>
      </c>
      <c r="H4796" t="s">
        <v>28</v>
      </c>
      <c r="I4796" t="s">
        <v>46</v>
      </c>
      <c r="J4796" s="6">
        <v>8.99</v>
      </c>
      <c r="K4796">
        <v>1</v>
      </c>
      <c r="L4796" t="s">
        <v>43</v>
      </c>
      <c r="M4796" s="5">
        <v>1</v>
      </c>
      <c r="N4796" s="4">
        <v>0.27</v>
      </c>
      <c r="O4796" t="s">
        <v>34</v>
      </c>
    </row>
    <row r="4797" spans="1:15" x14ac:dyDescent="0.3">
      <c r="A4797" t="s">
        <v>4365</v>
      </c>
      <c r="B4797" s="5">
        <v>60</v>
      </c>
      <c r="C4797" s="5" t="str" cm="1">
        <f t="array" ref="C4797">_xlfn.IFS(worksheet[[#This Row],[age]]&lt;25,"1. Young Adulthood (18-24)",worksheet[[#This Row],[age]]&lt; 35,"2. Early Adulthood (25-34)",worksheet[[#This Row],[age]]&lt; 45,"3. Mid Adulthood (35-44)",worksheet[[#This Row],[age]]&lt; 55,"4. Mature Adulthood (45-54)",TRUE,"5. Late Adulthood/Senior (55+)")</f>
        <v>5. Late Adulthood/Senior (55+)</v>
      </c>
      <c r="D4797" t="s">
        <v>27</v>
      </c>
      <c r="E4797" t="s">
        <v>16</v>
      </c>
      <c r="F4797" s="4">
        <v>49.16</v>
      </c>
      <c r="G4797" s="5">
        <v>11</v>
      </c>
      <c r="H4797" t="s">
        <v>23</v>
      </c>
      <c r="I4797" t="s">
        <v>18</v>
      </c>
      <c r="J4797" s="6">
        <v>8.99</v>
      </c>
      <c r="K4797">
        <v>0</v>
      </c>
      <c r="L4797" t="s">
        <v>37</v>
      </c>
      <c r="M4797" s="5">
        <v>3</v>
      </c>
      <c r="N4797" s="4">
        <v>4.0999999999999996</v>
      </c>
      <c r="O4797" t="s">
        <v>52</v>
      </c>
    </row>
    <row r="4798" spans="1:15" x14ac:dyDescent="0.3">
      <c r="A4798" t="s">
        <v>4370</v>
      </c>
      <c r="B4798" s="5">
        <v>60</v>
      </c>
      <c r="C4798" s="5" t="str" cm="1">
        <f t="array" ref="C4798">_xlfn.IFS(worksheet[[#This Row],[age]]&lt;25,"1. Young Adulthood (18-24)",worksheet[[#This Row],[age]]&lt; 35,"2. Early Adulthood (25-34)",worksheet[[#This Row],[age]]&lt; 45,"3. Mid Adulthood (35-44)",worksheet[[#This Row],[age]]&lt; 55,"4. Mature Adulthood (45-54)",TRUE,"5. Late Adulthood/Senior (55+)")</f>
        <v>5. Late Adulthood/Senior (55+)</v>
      </c>
      <c r="D4798" t="s">
        <v>41</v>
      </c>
      <c r="E4798" t="s">
        <v>22</v>
      </c>
      <c r="F4798" s="4">
        <v>15.15</v>
      </c>
      <c r="G4798" s="5">
        <v>37</v>
      </c>
      <c r="H4798" t="s">
        <v>23</v>
      </c>
      <c r="I4798" t="s">
        <v>18</v>
      </c>
      <c r="J4798" s="6">
        <v>13.99</v>
      </c>
      <c r="K4798">
        <v>1</v>
      </c>
      <c r="L4798" t="s">
        <v>29</v>
      </c>
      <c r="M4798" s="5">
        <v>2</v>
      </c>
      <c r="N4798" s="4">
        <v>0.4</v>
      </c>
      <c r="O4798" t="s">
        <v>39</v>
      </c>
    </row>
    <row r="4799" spans="1:15" x14ac:dyDescent="0.3">
      <c r="A4799" t="s">
        <v>4377</v>
      </c>
      <c r="B4799" s="5">
        <v>70</v>
      </c>
      <c r="C4799" s="5" t="str" cm="1">
        <f t="array" ref="C4799">_xlfn.IFS(worksheet[[#This Row],[age]]&lt;25,"1. Young Adulthood (18-24)",worksheet[[#This Row],[age]]&lt; 35,"2. Early Adulthood (25-34)",worksheet[[#This Row],[age]]&lt; 45,"3. Mid Adulthood (35-44)",worksheet[[#This Row],[age]]&lt; 55,"4. Mature Adulthood (45-54)",TRUE,"5. Late Adulthood/Senior (55+)")</f>
        <v>5. Late Adulthood/Senior (55+)</v>
      </c>
      <c r="D4799" t="s">
        <v>15</v>
      </c>
      <c r="E4799" t="s">
        <v>22</v>
      </c>
      <c r="F4799" s="4">
        <v>18.5</v>
      </c>
      <c r="G4799" s="5">
        <v>54</v>
      </c>
      <c r="H4799" t="s">
        <v>33</v>
      </c>
      <c r="I4799" t="s">
        <v>24</v>
      </c>
      <c r="J4799" s="6">
        <v>13.99</v>
      </c>
      <c r="K4799">
        <v>0</v>
      </c>
      <c r="L4799" t="s">
        <v>37</v>
      </c>
      <c r="M4799" s="5">
        <v>4</v>
      </c>
      <c r="N4799" s="4">
        <v>0.34</v>
      </c>
      <c r="O4799" t="s">
        <v>20</v>
      </c>
    </row>
    <row r="4800" spans="1:15" x14ac:dyDescent="0.3">
      <c r="A4800" t="s">
        <v>4382</v>
      </c>
      <c r="B4800" s="5">
        <v>58</v>
      </c>
      <c r="C4800" s="5" t="str" cm="1">
        <f t="array" ref="C4800">_xlfn.IFS(worksheet[[#This Row],[age]]&lt;25,"1. Young Adulthood (18-24)",worksheet[[#This Row],[age]]&lt; 35,"2. Early Adulthood (25-34)",worksheet[[#This Row],[age]]&lt; 45,"3. Mid Adulthood (35-44)",worksheet[[#This Row],[age]]&lt; 55,"4. Mature Adulthood (45-54)",TRUE,"5. Late Adulthood/Senior (55+)")</f>
        <v>5. Late Adulthood/Senior (55+)</v>
      </c>
      <c r="D4800" t="s">
        <v>27</v>
      </c>
      <c r="E4800" t="s">
        <v>32</v>
      </c>
      <c r="F4800" s="4">
        <v>17.93</v>
      </c>
      <c r="G4800" s="5">
        <v>7</v>
      </c>
      <c r="H4800" t="s">
        <v>23</v>
      </c>
      <c r="I4800" t="s">
        <v>46</v>
      </c>
      <c r="J4800" s="6">
        <v>17.989999999999998</v>
      </c>
      <c r="K4800">
        <v>0</v>
      </c>
      <c r="L4800" t="s">
        <v>61</v>
      </c>
      <c r="M4800" s="5">
        <v>1</v>
      </c>
      <c r="N4800" s="4">
        <v>2.2400000000000002</v>
      </c>
      <c r="O4800" t="s">
        <v>52</v>
      </c>
    </row>
    <row r="4801" spans="1:15" x14ac:dyDescent="0.3">
      <c r="A4801" t="s">
        <v>4390</v>
      </c>
      <c r="B4801" s="5">
        <v>56</v>
      </c>
      <c r="C4801" s="5" t="str" cm="1">
        <f t="array" ref="C4801">_xlfn.IFS(worksheet[[#This Row],[age]]&lt;25,"1. Young Adulthood (18-24)",worksheet[[#This Row],[age]]&lt; 35,"2. Early Adulthood (25-34)",worksheet[[#This Row],[age]]&lt; 45,"3. Mid Adulthood (35-44)",worksheet[[#This Row],[age]]&lt; 55,"4. Mature Adulthood (45-54)",TRUE,"5. Late Adulthood/Senior (55+)")</f>
        <v>5. Late Adulthood/Senior (55+)</v>
      </c>
      <c r="D4801" t="s">
        <v>41</v>
      </c>
      <c r="E4801" t="s">
        <v>16</v>
      </c>
      <c r="F4801" s="4">
        <v>15.94</v>
      </c>
      <c r="G4801" s="5">
        <v>12</v>
      </c>
      <c r="H4801" t="s">
        <v>70</v>
      </c>
      <c r="I4801" t="s">
        <v>18</v>
      </c>
      <c r="J4801" s="6">
        <v>8.99</v>
      </c>
      <c r="K4801">
        <v>0</v>
      </c>
      <c r="L4801" t="s">
        <v>19</v>
      </c>
      <c r="M4801" s="5">
        <v>2</v>
      </c>
      <c r="N4801" s="4">
        <v>1.23</v>
      </c>
      <c r="O4801" t="s">
        <v>52</v>
      </c>
    </row>
    <row r="4802" spans="1:15" x14ac:dyDescent="0.3">
      <c r="A4802" t="s">
        <v>4391</v>
      </c>
      <c r="B4802" s="5">
        <v>63</v>
      </c>
      <c r="C4802" s="5" t="str" cm="1">
        <f t="array" ref="C4802">_xlfn.IFS(worksheet[[#This Row],[age]]&lt;25,"1. Young Adulthood (18-24)",worksheet[[#This Row],[age]]&lt; 35,"2. Early Adulthood (25-34)",worksheet[[#This Row],[age]]&lt; 45,"3. Mid Adulthood (35-44)",worksheet[[#This Row],[age]]&lt; 55,"4. Mature Adulthood (45-54)",TRUE,"5. Late Adulthood/Senior (55+)")</f>
        <v>5. Late Adulthood/Senior (55+)</v>
      </c>
      <c r="D4802" t="s">
        <v>41</v>
      </c>
      <c r="E4802" t="s">
        <v>16</v>
      </c>
      <c r="F4802" s="4">
        <v>27.89</v>
      </c>
      <c r="G4802" s="5">
        <v>30</v>
      </c>
      <c r="H4802" t="s">
        <v>28</v>
      </c>
      <c r="I4802" t="s">
        <v>55</v>
      </c>
      <c r="J4802" s="6">
        <v>8.99</v>
      </c>
      <c r="K4802">
        <v>0</v>
      </c>
      <c r="L4802" t="s">
        <v>37</v>
      </c>
      <c r="M4802" s="5">
        <v>4</v>
      </c>
      <c r="N4802" s="4">
        <v>0.9</v>
      </c>
      <c r="O4802" t="s">
        <v>39</v>
      </c>
    </row>
    <row r="4803" spans="1:15" x14ac:dyDescent="0.3">
      <c r="A4803" t="s">
        <v>4392</v>
      </c>
      <c r="B4803" s="5">
        <v>70</v>
      </c>
      <c r="C4803" s="5" t="str" cm="1">
        <f t="array" ref="C4803">_xlfn.IFS(worksheet[[#This Row],[age]]&lt;25,"1. Young Adulthood (18-24)",worksheet[[#This Row],[age]]&lt; 35,"2. Early Adulthood (25-34)",worksheet[[#This Row],[age]]&lt; 45,"3. Mid Adulthood (35-44)",worksheet[[#This Row],[age]]&lt; 55,"4. Mature Adulthood (45-54)",TRUE,"5. Late Adulthood/Senior (55+)")</f>
        <v>5. Late Adulthood/Senior (55+)</v>
      </c>
      <c r="D4803" t="s">
        <v>41</v>
      </c>
      <c r="E4803" t="s">
        <v>22</v>
      </c>
      <c r="F4803" s="4">
        <v>24.78</v>
      </c>
      <c r="G4803" s="5">
        <v>19</v>
      </c>
      <c r="H4803" t="s">
        <v>70</v>
      </c>
      <c r="I4803" t="s">
        <v>46</v>
      </c>
      <c r="J4803" s="6">
        <v>13.99</v>
      </c>
      <c r="K4803">
        <v>0</v>
      </c>
      <c r="L4803" t="s">
        <v>19</v>
      </c>
      <c r="M4803" s="5">
        <v>1</v>
      </c>
      <c r="N4803" s="4">
        <v>1.24</v>
      </c>
      <c r="O4803" t="s">
        <v>25</v>
      </c>
    </row>
    <row r="4804" spans="1:15" x14ac:dyDescent="0.3">
      <c r="A4804" t="s">
        <v>4394</v>
      </c>
      <c r="B4804" s="5">
        <v>61</v>
      </c>
      <c r="C4804" s="5" t="str" cm="1">
        <f t="array" ref="C4804">_xlfn.IFS(worksheet[[#This Row],[age]]&lt;25,"1. Young Adulthood (18-24)",worksheet[[#This Row],[age]]&lt; 35,"2. Early Adulthood (25-34)",worksheet[[#This Row],[age]]&lt; 45,"3. Mid Adulthood (35-44)",worksheet[[#This Row],[age]]&lt; 55,"4. Mature Adulthood (45-54)",TRUE,"5. Late Adulthood/Senior (55+)")</f>
        <v>5. Late Adulthood/Senior (55+)</v>
      </c>
      <c r="D4804" t="s">
        <v>27</v>
      </c>
      <c r="E4804" t="s">
        <v>32</v>
      </c>
      <c r="F4804" s="4">
        <v>16.07</v>
      </c>
      <c r="G4804" s="5">
        <v>32</v>
      </c>
      <c r="H4804" t="s">
        <v>28</v>
      </c>
      <c r="I4804" t="s">
        <v>55</v>
      </c>
      <c r="J4804" s="6">
        <v>17.989999999999998</v>
      </c>
      <c r="K4804">
        <v>1</v>
      </c>
      <c r="L4804" t="s">
        <v>19</v>
      </c>
      <c r="M4804" s="5">
        <v>5</v>
      </c>
      <c r="N4804" s="4">
        <v>0.49</v>
      </c>
      <c r="O4804" t="s">
        <v>20</v>
      </c>
    </row>
    <row r="4805" spans="1:15" x14ac:dyDescent="0.3">
      <c r="A4805" t="s">
        <v>4395</v>
      </c>
      <c r="B4805" s="5">
        <v>59</v>
      </c>
      <c r="C4805" s="5" t="str" cm="1">
        <f t="array" ref="C4805">_xlfn.IFS(worksheet[[#This Row],[age]]&lt;25,"1. Young Adulthood (18-24)",worksheet[[#This Row],[age]]&lt; 35,"2. Early Adulthood (25-34)",worksheet[[#This Row],[age]]&lt; 45,"3. Mid Adulthood (35-44)",worksheet[[#This Row],[age]]&lt; 55,"4. Mature Adulthood (45-54)",TRUE,"5. Late Adulthood/Senior (55+)")</f>
        <v>5. Late Adulthood/Senior (55+)</v>
      </c>
      <c r="D4805" t="s">
        <v>27</v>
      </c>
      <c r="E4805" t="s">
        <v>22</v>
      </c>
      <c r="F4805" s="4">
        <v>0.32</v>
      </c>
      <c r="G4805" s="5">
        <v>29</v>
      </c>
      <c r="H4805" t="s">
        <v>17</v>
      </c>
      <c r="I4805" t="s">
        <v>24</v>
      </c>
      <c r="J4805" s="6">
        <v>13.99</v>
      </c>
      <c r="K4805">
        <v>0</v>
      </c>
      <c r="L4805" t="s">
        <v>37</v>
      </c>
      <c r="M4805" s="5">
        <v>4</v>
      </c>
      <c r="N4805" s="4">
        <v>0.01</v>
      </c>
      <c r="O4805" t="s">
        <v>34</v>
      </c>
    </row>
    <row r="4806" spans="1:15" x14ac:dyDescent="0.3">
      <c r="A4806" t="s">
        <v>4399</v>
      </c>
      <c r="B4806" s="5">
        <v>64</v>
      </c>
      <c r="C4806" s="5" t="str" cm="1">
        <f t="array" ref="C4806">_xlfn.IFS(worksheet[[#This Row],[age]]&lt;25,"1. Young Adulthood (18-24)",worksheet[[#This Row],[age]]&lt; 35,"2. Early Adulthood (25-34)",worksheet[[#This Row],[age]]&lt; 45,"3. Mid Adulthood (35-44)",worksheet[[#This Row],[age]]&lt; 55,"4. Mature Adulthood (45-54)",TRUE,"5. Late Adulthood/Senior (55+)")</f>
        <v>5. Late Adulthood/Senior (55+)</v>
      </c>
      <c r="D4806" t="s">
        <v>27</v>
      </c>
      <c r="E4806" t="s">
        <v>16</v>
      </c>
      <c r="F4806" s="4">
        <v>1.74</v>
      </c>
      <c r="G4806" s="5">
        <v>20</v>
      </c>
      <c r="H4806" t="s">
        <v>23</v>
      </c>
      <c r="I4806" t="s">
        <v>46</v>
      </c>
      <c r="J4806" s="6">
        <v>8.99</v>
      </c>
      <c r="K4806">
        <v>1</v>
      </c>
      <c r="L4806" t="s">
        <v>37</v>
      </c>
      <c r="M4806" s="5">
        <v>5</v>
      </c>
      <c r="N4806" s="4">
        <v>0.08</v>
      </c>
      <c r="O4806" t="s">
        <v>20</v>
      </c>
    </row>
    <row r="4807" spans="1:15" x14ac:dyDescent="0.3">
      <c r="A4807" t="s">
        <v>4400</v>
      </c>
      <c r="B4807" s="5">
        <v>59</v>
      </c>
      <c r="C4807" s="5" t="str" cm="1">
        <f t="array" ref="C4807">_xlfn.IFS(worksheet[[#This Row],[age]]&lt;25,"1. Young Adulthood (18-24)",worksheet[[#This Row],[age]]&lt; 35,"2. Early Adulthood (25-34)",worksheet[[#This Row],[age]]&lt; 45,"3. Mid Adulthood (35-44)",worksheet[[#This Row],[age]]&lt; 55,"4. Mature Adulthood (45-54)",TRUE,"5. Late Adulthood/Senior (55+)")</f>
        <v>5. Late Adulthood/Senior (55+)</v>
      </c>
      <c r="D4807" t="s">
        <v>15</v>
      </c>
      <c r="E4807" t="s">
        <v>16</v>
      </c>
      <c r="F4807" s="4">
        <v>1.36</v>
      </c>
      <c r="G4807" s="5">
        <v>57</v>
      </c>
      <c r="H4807" t="s">
        <v>70</v>
      </c>
      <c r="I4807" t="s">
        <v>57</v>
      </c>
      <c r="J4807" s="6">
        <v>8.99</v>
      </c>
      <c r="K4807">
        <v>1</v>
      </c>
      <c r="L4807" t="s">
        <v>19</v>
      </c>
      <c r="M4807" s="5">
        <v>1</v>
      </c>
      <c r="N4807" s="4">
        <v>0.02</v>
      </c>
      <c r="O4807" t="s">
        <v>25</v>
      </c>
    </row>
    <row r="4808" spans="1:15" x14ac:dyDescent="0.3">
      <c r="A4808" t="s">
        <v>4404</v>
      </c>
      <c r="B4808" s="5">
        <v>66</v>
      </c>
      <c r="C4808" s="5" t="str" cm="1">
        <f t="array" ref="C4808">_xlfn.IFS(worksheet[[#This Row],[age]]&lt;25,"1. Young Adulthood (18-24)",worksheet[[#This Row],[age]]&lt; 35,"2. Early Adulthood (25-34)",worksheet[[#This Row],[age]]&lt; 45,"3. Mid Adulthood (35-44)",worksheet[[#This Row],[age]]&lt; 55,"4. Mature Adulthood (45-54)",TRUE,"5. Late Adulthood/Senior (55+)")</f>
        <v>5. Late Adulthood/Senior (55+)</v>
      </c>
      <c r="D4808" t="s">
        <v>27</v>
      </c>
      <c r="E4808" t="s">
        <v>16</v>
      </c>
      <c r="F4808" s="4">
        <v>5.27</v>
      </c>
      <c r="G4808" s="5">
        <v>6</v>
      </c>
      <c r="H4808" t="s">
        <v>49</v>
      </c>
      <c r="I4808" t="s">
        <v>24</v>
      </c>
      <c r="J4808" s="6">
        <v>8.99</v>
      </c>
      <c r="K4808">
        <v>0</v>
      </c>
      <c r="L4808" t="s">
        <v>61</v>
      </c>
      <c r="M4808" s="5">
        <v>5</v>
      </c>
      <c r="N4808" s="4">
        <v>0.75</v>
      </c>
      <c r="O4808" t="s">
        <v>52</v>
      </c>
    </row>
    <row r="4809" spans="1:15" x14ac:dyDescent="0.3">
      <c r="A4809" t="s">
        <v>4406</v>
      </c>
      <c r="B4809" s="5">
        <v>66</v>
      </c>
      <c r="C4809" s="5" t="str" cm="1">
        <f t="array" ref="C4809">_xlfn.IFS(worksheet[[#This Row],[age]]&lt;25,"1. Young Adulthood (18-24)",worksheet[[#This Row],[age]]&lt; 35,"2. Early Adulthood (25-34)",worksheet[[#This Row],[age]]&lt; 45,"3. Mid Adulthood (35-44)",worksheet[[#This Row],[age]]&lt; 55,"4. Mature Adulthood (45-54)",TRUE,"5. Late Adulthood/Senior (55+)")</f>
        <v>5. Late Adulthood/Senior (55+)</v>
      </c>
      <c r="D4809" t="s">
        <v>41</v>
      </c>
      <c r="E4809" t="s">
        <v>32</v>
      </c>
      <c r="F4809" s="4">
        <v>10.41</v>
      </c>
      <c r="G4809" s="5">
        <v>1</v>
      </c>
      <c r="H4809" t="s">
        <v>70</v>
      </c>
      <c r="I4809" t="s">
        <v>46</v>
      </c>
      <c r="J4809" s="6">
        <v>17.989999999999998</v>
      </c>
      <c r="K4809">
        <v>0</v>
      </c>
      <c r="L4809" t="s">
        <v>61</v>
      </c>
      <c r="M4809" s="5">
        <v>5</v>
      </c>
      <c r="N4809" s="4">
        <v>5.21</v>
      </c>
      <c r="O4809" t="s">
        <v>47</v>
      </c>
    </row>
    <row r="4810" spans="1:15" x14ac:dyDescent="0.3">
      <c r="A4810" t="s">
        <v>4407</v>
      </c>
      <c r="B4810" s="5">
        <v>60</v>
      </c>
      <c r="C4810" s="5" t="str" cm="1">
        <f t="array" ref="C4810">_xlfn.IFS(worksheet[[#This Row],[age]]&lt;25,"1. Young Adulthood (18-24)",worksheet[[#This Row],[age]]&lt; 35,"2. Early Adulthood (25-34)",worksheet[[#This Row],[age]]&lt; 45,"3. Mid Adulthood (35-44)",worksheet[[#This Row],[age]]&lt; 55,"4. Mature Adulthood (45-54)",TRUE,"5. Late Adulthood/Senior (55+)")</f>
        <v>5. Late Adulthood/Senior (55+)</v>
      </c>
      <c r="D4810" t="s">
        <v>27</v>
      </c>
      <c r="E4810" t="s">
        <v>16</v>
      </c>
      <c r="F4810" s="4">
        <v>20.76</v>
      </c>
      <c r="G4810" s="5">
        <v>8</v>
      </c>
      <c r="H4810" t="s">
        <v>28</v>
      </c>
      <c r="I4810" t="s">
        <v>46</v>
      </c>
      <c r="J4810" s="6">
        <v>8.99</v>
      </c>
      <c r="K4810">
        <v>0</v>
      </c>
      <c r="L4810" t="s">
        <v>61</v>
      </c>
      <c r="M4810" s="5">
        <v>4</v>
      </c>
      <c r="N4810" s="4">
        <v>2.31</v>
      </c>
      <c r="O4810" t="s">
        <v>20</v>
      </c>
    </row>
    <row r="4811" spans="1:15" x14ac:dyDescent="0.3">
      <c r="A4811" t="s">
        <v>4411</v>
      </c>
      <c r="B4811" s="5">
        <v>69</v>
      </c>
      <c r="C4811" s="5" t="str" cm="1">
        <f t="array" ref="C4811">_xlfn.IFS(worksheet[[#This Row],[age]]&lt;25,"1. Young Adulthood (18-24)",worksheet[[#This Row],[age]]&lt; 35,"2. Early Adulthood (25-34)",worksheet[[#This Row],[age]]&lt; 45,"3. Mid Adulthood (35-44)",worksheet[[#This Row],[age]]&lt; 55,"4. Mature Adulthood (45-54)",TRUE,"5. Late Adulthood/Senior (55+)")</f>
        <v>5. Late Adulthood/Senior (55+)</v>
      </c>
      <c r="D4811" t="s">
        <v>41</v>
      </c>
      <c r="E4811" t="s">
        <v>32</v>
      </c>
      <c r="F4811" s="4">
        <v>5.4</v>
      </c>
      <c r="G4811" s="5">
        <v>14</v>
      </c>
      <c r="H4811" t="s">
        <v>17</v>
      </c>
      <c r="I4811" t="s">
        <v>18</v>
      </c>
      <c r="J4811" s="6">
        <v>17.989999999999998</v>
      </c>
      <c r="K4811">
        <v>0</v>
      </c>
      <c r="L4811" t="s">
        <v>29</v>
      </c>
      <c r="M4811" s="5">
        <v>3</v>
      </c>
      <c r="N4811" s="4">
        <v>0.36</v>
      </c>
      <c r="O4811" t="s">
        <v>25</v>
      </c>
    </row>
    <row r="4812" spans="1:15" x14ac:dyDescent="0.3">
      <c r="A4812" t="s">
        <v>4417</v>
      </c>
      <c r="B4812" s="5">
        <v>65</v>
      </c>
      <c r="C4812" s="5" t="str" cm="1">
        <f t="array" ref="C4812">_xlfn.IFS(worksheet[[#This Row],[age]]&lt;25,"1. Young Adulthood (18-24)",worksheet[[#This Row],[age]]&lt; 35,"2. Early Adulthood (25-34)",worksheet[[#This Row],[age]]&lt; 45,"3. Mid Adulthood (35-44)",worksheet[[#This Row],[age]]&lt; 55,"4. Mature Adulthood (45-54)",TRUE,"5. Late Adulthood/Senior (55+)")</f>
        <v>5. Late Adulthood/Senior (55+)</v>
      </c>
      <c r="D4812" t="s">
        <v>15</v>
      </c>
      <c r="E4812" t="s">
        <v>16</v>
      </c>
      <c r="F4812" s="4">
        <v>3.84</v>
      </c>
      <c r="G4812" s="5">
        <v>3</v>
      </c>
      <c r="H4812" t="s">
        <v>33</v>
      </c>
      <c r="I4812" t="s">
        <v>55</v>
      </c>
      <c r="J4812" s="6">
        <v>8.99</v>
      </c>
      <c r="K4812">
        <v>0</v>
      </c>
      <c r="L4812" t="s">
        <v>61</v>
      </c>
      <c r="M4812" s="5">
        <v>3</v>
      </c>
      <c r="N4812" s="4">
        <v>0.96</v>
      </c>
      <c r="O4812" t="s">
        <v>47</v>
      </c>
    </row>
    <row r="4813" spans="1:15" x14ac:dyDescent="0.3">
      <c r="A4813" t="s">
        <v>4421</v>
      </c>
      <c r="B4813" s="5">
        <v>69</v>
      </c>
      <c r="C4813" s="5" t="str" cm="1">
        <f t="array" ref="C4813">_xlfn.IFS(worksheet[[#This Row],[age]]&lt;25,"1. Young Adulthood (18-24)",worksheet[[#This Row],[age]]&lt; 35,"2. Early Adulthood (25-34)",worksheet[[#This Row],[age]]&lt; 45,"3. Mid Adulthood (35-44)",worksheet[[#This Row],[age]]&lt; 55,"4. Mature Adulthood (45-54)",TRUE,"5. Late Adulthood/Senior (55+)")</f>
        <v>5. Late Adulthood/Senior (55+)</v>
      </c>
      <c r="D4813" t="s">
        <v>41</v>
      </c>
      <c r="E4813" t="s">
        <v>32</v>
      </c>
      <c r="F4813" s="4">
        <v>21.64</v>
      </c>
      <c r="G4813" s="5">
        <v>27</v>
      </c>
      <c r="H4813" t="s">
        <v>23</v>
      </c>
      <c r="I4813" t="s">
        <v>24</v>
      </c>
      <c r="J4813" s="6">
        <v>17.989999999999998</v>
      </c>
      <c r="K4813">
        <v>0</v>
      </c>
      <c r="L4813" t="s">
        <v>19</v>
      </c>
      <c r="M4813" s="5">
        <v>5</v>
      </c>
      <c r="N4813" s="4">
        <v>0.77</v>
      </c>
      <c r="O4813" t="s">
        <v>47</v>
      </c>
    </row>
    <row r="4814" spans="1:15" x14ac:dyDescent="0.3">
      <c r="A4814" t="s">
        <v>4422</v>
      </c>
      <c r="B4814" s="5">
        <v>57</v>
      </c>
      <c r="C4814" s="5" t="str" cm="1">
        <f t="array" ref="C4814">_xlfn.IFS(worksheet[[#This Row],[age]]&lt;25,"1. Young Adulthood (18-24)",worksheet[[#This Row],[age]]&lt; 35,"2. Early Adulthood (25-34)",worksheet[[#This Row],[age]]&lt; 45,"3. Mid Adulthood (35-44)",worksheet[[#This Row],[age]]&lt; 55,"4. Mature Adulthood (45-54)",TRUE,"5. Late Adulthood/Senior (55+)")</f>
        <v>5. Late Adulthood/Senior (55+)</v>
      </c>
      <c r="D4814" t="s">
        <v>27</v>
      </c>
      <c r="E4814" t="s">
        <v>16</v>
      </c>
      <c r="F4814" s="4">
        <v>4.12</v>
      </c>
      <c r="G4814" s="5">
        <v>10</v>
      </c>
      <c r="H4814" t="s">
        <v>49</v>
      </c>
      <c r="I4814" t="s">
        <v>18</v>
      </c>
      <c r="J4814" s="6">
        <v>8.99</v>
      </c>
      <c r="K4814">
        <v>1</v>
      </c>
      <c r="L4814" t="s">
        <v>37</v>
      </c>
      <c r="M4814" s="5">
        <v>1</v>
      </c>
      <c r="N4814" s="4">
        <v>0.37</v>
      </c>
      <c r="O4814" t="s">
        <v>25</v>
      </c>
    </row>
    <row r="4815" spans="1:15" x14ac:dyDescent="0.3">
      <c r="A4815" t="s">
        <v>4424</v>
      </c>
      <c r="B4815" s="5">
        <v>65</v>
      </c>
      <c r="C4815" s="5" t="str" cm="1">
        <f t="array" ref="C4815">_xlfn.IFS(worksheet[[#This Row],[age]]&lt;25,"1. Young Adulthood (18-24)",worksheet[[#This Row],[age]]&lt; 35,"2. Early Adulthood (25-34)",worksheet[[#This Row],[age]]&lt; 45,"3. Mid Adulthood (35-44)",worksheet[[#This Row],[age]]&lt; 55,"4. Mature Adulthood (45-54)",TRUE,"5. Late Adulthood/Senior (55+)")</f>
        <v>5. Late Adulthood/Senior (55+)</v>
      </c>
      <c r="D4815" t="s">
        <v>27</v>
      </c>
      <c r="E4815" t="s">
        <v>16</v>
      </c>
      <c r="F4815" s="4">
        <v>13.42</v>
      </c>
      <c r="G4815" s="5">
        <v>52</v>
      </c>
      <c r="H4815" t="s">
        <v>28</v>
      </c>
      <c r="I4815" t="s">
        <v>57</v>
      </c>
      <c r="J4815" s="6">
        <v>8.99</v>
      </c>
      <c r="K4815">
        <v>1</v>
      </c>
      <c r="L4815" t="s">
        <v>43</v>
      </c>
      <c r="M4815" s="5">
        <v>3</v>
      </c>
      <c r="N4815" s="4">
        <v>0.25</v>
      </c>
      <c r="O4815" t="s">
        <v>34</v>
      </c>
    </row>
    <row r="4816" spans="1:15" x14ac:dyDescent="0.3">
      <c r="A4816" t="s">
        <v>4434</v>
      </c>
      <c r="B4816" s="5">
        <v>64</v>
      </c>
      <c r="C4816" s="5" t="str" cm="1">
        <f t="array" ref="C4816">_xlfn.IFS(worksheet[[#This Row],[age]]&lt;25,"1. Young Adulthood (18-24)",worksheet[[#This Row],[age]]&lt; 35,"2. Early Adulthood (25-34)",worksheet[[#This Row],[age]]&lt; 45,"3. Mid Adulthood (35-44)",worksheet[[#This Row],[age]]&lt; 55,"4. Mature Adulthood (45-54)",TRUE,"5. Late Adulthood/Senior (55+)")</f>
        <v>5. Late Adulthood/Senior (55+)</v>
      </c>
      <c r="D4816" t="s">
        <v>15</v>
      </c>
      <c r="E4816" t="s">
        <v>32</v>
      </c>
      <c r="F4816" s="4">
        <v>0.34</v>
      </c>
      <c r="G4816" s="5">
        <v>1</v>
      </c>
      <c r="H4816" t="s">
        <v>23</v>
      </c>
      <c r="I4816" t="s">
        <v>55</v>
      </c>
      <c r="J4816" s="6">
        <v>17.989999999999998</v>
      </c>
      <c r="K4816">
        <v>1</v>
      </c>
      <c r="L4816" t="s">
        <v>19</v>
      </c>
      <c r="M4816" s="5">
        <v>3</v>
      </c>
      <c r="N4816" s="4">
        <v>0.17</v>
      </c>
      <c r="O4816" t="s">
        <v>47</v>
      </c>
    </row>
    <row r="4817" spans="1:15" x14ac:dyDescent="0.3">
      <c r="A4817" t="s">
        <v>4460</v>
      </c>
      <c r="B4817" s="5">
        <v>68</v>
      </c>
      <c r="C4817" s="5" t="str" cm="1">
        <f t="array" ref="C4817">_xlfn.IFS(worksheet[[#This Row],[age]]&lt;25,"1. Young Adulthood (18-24)",worksheet[[#This Row],[age]]&lt; 35,"2. Early Adulthood (25-34)",worksheet[[#This Row],[age]]&lt; 45,"3. Mid Adulthood (35-44)",worksheet[[#This Row],[age]]&lt; 55,"4. Mature Adulthood (45-54)",TRUE,"5. Late Adulthood/Senior (55+)")</f>
        <v>5. Late Adulthood/Senior (55+)</v>
      </c>
      <c r="D4817" t="s">
        <v>15</v>
      </c>
      <c r="E4817" t="s">
        <v>32</v>
      </c>
      <c r="F4817" s="4">
        <v>5.61</v>
      </c>
      <c r="G4817" s="5">
        <v>41</v>
      </c>
      <c r="H4817" t="s">
        <v>17</v>
      </c>
      <c r="I4817" t="s">
        <v>18</v>
      </c>
      <c r="J4817" s="6">
        <v>17.989999999999998</v>
      </c>
      <c r="K4817">
        <v>1</v>
      </c>
      <c r="L4817" t="s">
        <v>43</v>
      </c>
      <c r="M4817" s="5">
        <v>1</v>
      </c>
      <c r="N4817" s="4">
        <v>0.13</v>
      </c>
      <c r="O4817" t="s">
        <v>20</v>
      </c>
    </row>
    <row r="4818" spans="1:15" x14ac:dyDescent="0.3">
      <c r="A4818" t="s">
        <v>4462</v>
      </c>
      <c r="B4818" s="5">
        <v>55</v>
      </c>
      <c r="C4818" s="5" t="str" cm="1">
        <f t="array" ref="C4818">_xlfn.IFS(worksheet[[#This Row],[age]]&lt;25,"1. Young Adulthood (18-24)",worksheet[[#This Row],[age]]&lt; 35,"2. Early Adulthood (25-34)",worksheet[[#This Row],[age]]&lt; 45,"3. Mid Adulthood (35-44)",worksheet[[#This Row],[age]]&lt; 55,"4. Mature Adulthood (45-54)",TRUE,"5. Late Adulthood/Senior (55+)")</f>
        <v>5. Late Adulthood/Senior (55+)</v>
      </c>
      <c r="D4818" t="s">
        <v>41</v>
      </c>
      <c r="E4818" t="s">
        <v>22</v>
      </c>
      <c r="F4818" s="4">
        <v>13.16</v>
      </c>
      <c r="G4818" s="5">
        <v>57</v>
      </c>
      <c r="H4818" t="s">
        <v>17</v>
      </c>
      <c r="I4818" t="s">
        <v>24</v>
      </c>
      <c r="J4818" s="6">
        <v>13.99</v>
      </c>
      <c r="K4818">
        <v>1</v>
      </c>
      <c r="L4818" t="s">
        <v>29</v>
      </c>
      <c r="M4818" s="5">
        <v>5</v>
      </c>
      <c r="N4818" s="4">
        <v>0.23</v>
      </c>
      <c r="O4818" t="s">
        <v>25</v>
      </c>
    </row>
    <row r="4819" spans="1:15" x14ac:dyDescent="0.3">
      <c r="A4819" t="s">
        <v>4463</v>
      </c>
      <c r="B4819" s="5">
        <v>68</v>
      </c>
      <c r="C4819" s="5" t="str" cm="1">
        <f t="array" ref="C4819">_xlfn.IFS(worksheet[[#This Row],[age]]&lt;25,"1. Young Adulthood (18-24)",worksheet[[#This Row],[age]]&lt; 35,"2. Early Adulthood (25-34)",worksheet[[#This Row],[age]]&lt; 45,"3. Mid Adulthood (35-44)",worksheet[[#This Row],[age]]&lt; 55,"4. Mature Adulthood (45-54)",TRUE,"5. Late Adulthood/Senior (55+)")</f>
        <v>5. Late Adulthood/Senior (55+)</v>
      </c>
      <c r="D4819" t="s">
        <v>27</v>
      </c>
      <c r="E4819" t="s">
        <v>32</v>
      </c>
      <c r="F4819" s="4">
        <v>10.16</v>
      </c>
      <c r="G4819" s="5">
        <v>25</v>
      </c>
      <c r="H4819" t="s">
        <v>17</v>
      </c>
      <c r="I4819" t="s">
        <v>57</v>
      </c>
      <c r="J4819" s="6">
        <v>17.989999999999998</v>
      </c>
      <c r="K4819">
        <v>0</v>
      </c>
      <c r="L4819" t="s">
        <v>37</v>
      </c>
      <c r="M4819" s="5">
        <v>3</v>
      </c>
      <c r="N4819" s="4">
        <v>0.39</v>
      </c>
      <c r="O4819" t="s">
        <v>34</v>
      </c>
    </row>
    <row r="4820" spans="1:15" x14ac:dyDescent="0.3">
      <c r="A4820" t="s">
        <v>4467</v>
      </c>
      <c r="B4820" s="5">
        <v>70</v>
      </c>
      <c r="C4820" s="5" t="str" cm="1">
        <f t="array" ref="C4820">_xlfn.IFS(worksheet[[#This Row],[age]]&lt;25,"1. Young Adulthood (18-24)",worksheet[[#This Row],[age]]&lt; 35,"2. Early Adulthood (25-34)",worksheet[[#This Row],[age]]&lt; 45,"3. Mid Adulthood (35-44)",worksheet[[#This Row],[age]]&lt; 55,"4. Mature Adulthood (45-54)",TRUE,"5. Late Adulthood/Senior (55+)")</f>
        <v>5. Late Adulthood/Senior (55+)</v>
      </c>
      <c r="D4820" t="s">
        <v>15</v>
      </c>
      <c r="E4820" t="s">
        <v>32</v>
      </c>
      <c r="F4820" s="4">
        <v>4.55</v>
      </c>
      <c r="G4820" s="5">
        <v>22</v>
      </c>
      <c r="H4820" t="s">
        <v>33</v>
      </c>
      <c r="I4820" t="s">
        <v>24</v>
      </c>
      <c r="J4820" s="6">
        <v>17.989999999999998</v>
      </c>
      <c r="K4820">
        <v>1</v>
      </c>
      <c r="L4820" t="s">
        <v>37</v>
      </c>
      <c r="M4820" s="5">
        <v>1</v>
      </c>
      <c r="N4820" s="4">
        <v>0.2</v>
      </c>
      <c r="O4820" t="s">
        <v>25</v>
      </c>
    </row>
    <row r="4821" spans="1:15" x14ac:dyDescent="0.3">
      <c r="A4821" t="s">
        <v>4475</v>
      </c>
      <c r="B4821" s="5">
        <v>62</v>
      </c>
      <c r="C4821" s="5" t="str" cm="1">
        <f t="array" ref="C4821">_xlfn.IFS(worksheet[[#This Row],[age]]&lt;25,"1. Young Adulthood (18-24)",worksheet[[#This Row],[age]]&lt; 35,"2. Early Adulthood (25-34)",worksheet[[#This Row],[age]]&lt; 45,"3. Mid Adulthood (35-44)",worksheet[[#This Row],[age]]&lt; 55,"4. Mature Adulthood (45-54)",TRUE,"5. Late Adulthood/Senior (55+)")</f>
        <v>5. Late Adulthood/Senior (55+)</v>
      </c>
      <c r="D4821" t="s">
        <v>27</v>
      </c>
      <c r="E4821" t="s">
        <v>16</v>
      </c>
      <c r="F4821" s="4">
        <v>19.11</v>
      </c>
      <c r="G4821" s="5">
        <v>21</v>
      </c>
      <c r="H4821" t="s">
        <v>23</v>
      </c>
      <c r="I4821" t="s">
        <v>46</v>
      </c>
      <c r="J4821" s="6">
        <v>8.99</v>
      </c>
      <c r="K4821">
        <v>0</v>
      </c>
      <c r="L4821" t="s">
        <v>19</v>
      </c>
      <c r="M4821" s="5">
        <v>5</v>
      </c>
      <c r="N4821" s="4">
        <v>0.87</v>
      </c>
      <c r="O4821" t="s">
        <v>20</v>
      </c>
    </row>
    <row r="4822" spans="1:15" x14ac:dyDescent="0.3">
      <c r="A4822" t="s">
        <v>4478</v>
      </c>
      <c r="B4822" s="5">
        <v>66</v>
      </c>
      <c r="C4822" s="5" t="str" cm="1">
        <f t="array" ref="C4822">_xlfn.IFS(worksheet[[#This Row],[age]]&lt;25,"1. Young Adulthood (18-24)",worksheet[[#This Row],[age]]&lt; 35,"2. Early Adulthood (25-34)",worksheet[[#This Row],[age]]&lt; 45,"3. Mid Adulthood (35-44)",worksheet[[#This Row],[age]]&lt; 55,"4. Mature Adulthood (45-54)",TRUE,"5. Late Adulthood/Senior (55+)")</f>
        <v>5. Late Adulthood/Senior (55+)</v>
      </c>
      <c r="D4822" t="s">
        <v>41</v>
      </c>
      <c r="E4822" t="s">
        <v>32</v>
      </c>
      <c r="F4822" s="4">
        <v>7.68</v>
      </c>
      <c r="G4822" s="5">
        <v>52</v>
      </c>
      <c r="H4822" t="s">
        <v>23</v>
      </c>
      <c r="I4822" t="s">
        <v>24</v>
      </c>
      <c r="J4822" s="6">
        <v>17.989999999999998</v>
      </c>
      <c r="K4822">
        <v>1</v>
      </c>
      <c r="L4822" t="s">
        <v>37</v>
      </c>
      <c r="M4822" s="5">
        <v>2</v>
      </c>
      <c r="N4822" s="4">
        <v>0.14000000000000001</v>
      </c>
      <c r="O4822" t="s">
        <v>25</v>
      </c>
    </row>
    <row r="4823" spans="1:15" x14ac:dyDescent="0.3">
      <c r="A4823" t="s">
        <v>4485</v>
      </c>
      <c r="B4823" s="5">
        <v>65</v>
      </c>
      <c r="C4823" s="5" t="str" cm="1">
        <f t="array" ref="C4823">_xlfn.IFS(worksheet[[#This Row],[age]]&lt;25,"1. Young Adulthood (18-24)",worksheet[[#This Row],[age]]&lt; 35,"2. Early Adulthood (25-34)",worksheet[[#This Row],[age]]&lt; 45,"3. Mid Adulthood (35-44)",worksheet[[#This Row],[age]]&lt; 55,"4. Mature Adulthood (45-54)",TRUE,"5. Late Adulthood/Senior (55+)")</f>
        <v>5. Late Adulthood/Senior (55+)</v>
      </c>
      <c r="D4823" t="s">
        <v>41</v>
      </c>
      <c r="E4823" t="s">
        <v>16</v>
      </c>
      <c r="F4823" s="4">
        <v>2.96</v>
      </c>
      <c r="G4823" s="5">
        <v>33</v>
      </c>
      <c r="H4823" t="s">
        <v>17</v>
      </c>
      <c r="I4823" t="s">
        <v>24</v>
      </c>
      <c r="J4823" s="6">
        <v>8.99</v>
      </c>
      <c r="K4823">
        <v>1</v>
      </c>
      <c r="L4823" t="s">
        <v>43</v>
      </c>
      <c r="M4823" s="5">
        <v>1</v>
      </c>
      <c r="N4823" s="4">
        <v>0.09</v>
      </c>
      <c r="O4823" t="s">
        <v>25</v>
      </c>
    </row>
    <row r="4824" spans="1:15" x14ac:dyDescent="0.3">
      <c r="A4824" t="s">
        <v>4487</v>
      </c>
      <c r="B4824" s="5">
        <v>62</v>
      </c>
      <c r="C4824" s="5" t="str" cm="1">
        <f t="array" ref="C4824">_xlfn.IFS(worksheet[[#This Row],[age]]&lt;25,"1. Young Adulthood (18-24)",worksheet[[#This Row],[age]]&lt; 35,"2. Early Adulthood (25-34)",worksheet[[#This Row],[age]]&lt; 45,"3. Mid Adulthood (35-44)",worksheet[[#This Row],[age]]&lt; 55,"4. Mature Adulthood (45-54)",TRUE,"5. Late Adulthood/Senior (55+)")</f>
        <v>5. Late Adulthood/Senior (55+)</v>
      </c>
      <c r="D4824" t="s">
        <v>15</v>
      </c>
      <c r="E4824" t="s">
        <v>16</v>
      </c>
      <c r="F4824" s="4">
        <v>7.43</v>
      </c>
      <c r="G4824" s="5">
        <v>49</v>
      </c>
      <c r="H4824" t="s">
        <v>17</v>
      </c>
      <c r="I4824" t="s">
        <v>24</v>
      </c>
      <c r="J4824" s="6">
        <v>8.99</v>
      </c>
      <c r="K4824">
        <v>1</v>
      </c>
      <c r="L4824" t="s">
        <v>19</v>
      </c>
      <c r="M4824" s="5">
        <v>4</v>
      </c>
      <c r="N4824" s="4">
        <v>0.15</v>
      </c>
      <c r="O4824" t="s">
        <v>34</v>
      </c>
    </row>
    <row r="4825" spans="1:15" x14ac:dyDescent="0.3">
      <c r="A4825" t="s">
        <v>4492</v>
      </c>
      <c r="B4825" s="5">
        <v>61</v>
      </c>
      <c r="C4825" s="5" t="str" cm="1">
        <f t="array" ref="C4825">_xlfn.IFS(worksheet[[#This Row],[age]]&lt;25,"1. Young Adulthood (18-24)",worksheet[[#This Row],[age]]&lt; 35,"2. Early Adulthood (25-34)",worksheet[[#This Row],[age]]&lt; 45,"3. Mid Adulthood (35-44)",worksheet[[#This Row],[age]]&lt; 55,"4. Mature Adulthood (45-54)",TRUE,"5. Late Adulthood/Senior (55+)")</f>
        <v>5. Late Adulthood/Senior (55+)</v>
      </c>
      <c r="D4825" t="s">
        <v>27</v>
      </c>
      <c r="E4825" t="s">
        <v>22</v>
      </c>
      <c r="F4825" s="4">
        <v>2.36</v>
      </c>
      <c r="G4825" s="5">
        <v>6</v>
      </c>
      <c r="H4825" t="s">
        <v>28</v>
      </c>
      <c r="I4825" t="s">
        <v>18</v>
      </c>
      <c r="J4825" s="6">
        <v>13.99</v>
      </c>
      <c r="K4825">
        <v>1</v>
      </c>
      <c r="L4825" t="s">
        <v>29</v>
      </c>
      <c r="M4825" s="5">
        <v>1</v>
      </c>
      <c r="N4825" s="4">
        <v>0.34</v>
      </c>
      <c r="O4825" t="s">
        <v>30</v>
      </c>
    </row>
    <row r="4826" spans="1:15" x14ac:dyDescent="0.3">
      <c r="A4826" t="s">
        <v>4493</v>
      </c>
      <c r="B4826" s="5">
        <v>61</v>
      </c>
      <c r="C4826" s="5" t="str" cm="1">
        <f t="array" ref="C4826">_xlfn.IFS(worksheet[[#This Row],[age]]&lt;25,"1. Young Adulthood (18-24)",worksheet[[#This Row],[age]]&lt; 35,"2. Early Adulthood (25-34)",worksheet[[#This Row],[age]]&lt; 45,"3. Mid Adulthood (35-44)",worksheet[[#This Row],[age]]&lt; 55,"4. Mature Adulthood (45-54)",TRUE,"5. Late Adulthood/Senior (55+)")</f>
        <v>5. Late Adulthood/Senior (55+)</v>
      </c>
      <c r="D4826" t="s">
        <v>27</v>
      </c>
      <c r="E4826" t="s">
        <v>16</v>
      </c>
      <c r="F4826" s="4">
        <v>5.83</v>
      </c>
      <c r="G4826" s="5">
        <v>20</v>
      </c>
      <c r="H4826" t="s">
        <v>70</v>
      </c>
      <c r="I4826" t="s">
        <v>57</v>
      </c>
      <c r="J4826" s="6">
        <v>8.99</v>
      </c>
      <c r="K4826">
        <v>0</v>
      </c>
      <c r="L4826" t="s">
        <v>61</v>
      </c>
      <c r="M4826" s="5">
        <v>5</v>
      </c>
      <c r="N4826" s="4">
        <v>0.28000000000000003</v>
      </c>
      <c r="O4826" t="s">
        <v>20</v>
      </c>
    </row>
    <row r="4827" spans="1:15" x14ac:dyDescent="0.3">
      <c r="A4827" t="s">
        <v>4497</v>
      </c>
      <c r="B4827" s="5">
        <v>63</v>
      </c>
      <c r="C4827" s="5" t="str" cm="1">
        <f t="array" ref="C4827">_xlfn.IFS(worksheet[[#This Row],[age]]&lt;25,"1. Young Adulthood (18-24)",worksheet[[#This Row],[age]]&lt; 35,"2. Early Adulthood (25-34)",worksheet[[#This Row],[age]]&lt; 45,"3. Mid Adulthood (35-44)",worksheet[[#This Row],[age]]&lt; 55,"4. Mature Adulthood (45-54)",TRUE,"5. Late Adulthood/Senior (55+)")</f>
        <v>5. Late Adulthood/Senior (55+)</v>
      </c>
      <c r="D4827" t="s">
        <v>41</v>
      </c>
      <c r="E4827" t="s">
        <v>22</v>
      </c>
      <c r="F4827" s="4">
        <v>3.98</v>
      </c>
      <c r="G4827" s="5">
        <v>20</v>
      </c>
      <c r="H4827" t="s">
        <v>23</v>
      </c>
      <c r="I4827" t="s">
        <v>46</v>
      </c>
      <c r="J4827" s="6">
        <v>13.99</v>
      </c>
      <c r="K4827">
        <v>1</v>
      </c>
      <c r="L4827" t="s">
        <v>29</v>
      </c>
      <c r="M4827" s="5">
        <v>3</v>
      </c>
      <c r="N4827" s="4">
        <v>0.19</v>
      </c>
      <c r="O4827" t="s">
        <v>34</v>
      </c>
    </row>
    <row r="4828" spans="1:15" x14ac:dyDescent="0.3">
      <c r="A4828" t="s">
        <v>4501</v>
      </c>
      <c r="B4828" s="5">
        <v>63</v>
      </c>
      <c r="C4828" s="5" t="str" cm="1">
        <f t="array" ref="C4828">_xlfn.IFS(worksheet[[#This Row],[age]]&lt;25,"1. Young Adulthood (18-24)",worksheet[[#This Row],[age]]&lt; 35,"2. Early Adulthood (25-34)",worksheet[[#This Row],[age]]&lt; 45,"3. Mid Adulthood (35-44)",worksheet[[#This Row],[age]]&lt; 55,"4. Mature Adulthood (45-54)",TRUE,"5. Late Adulthood/Senior (55+)")</f>
        <v>5. Late Adulthood/Senior (55+)</v>
      </c>
      <c r="D4828" t="s">
        <v>41</v>
      </c>
      <c r="E4828" t="s">
        <v>32</v>
      </c>
      <c r="F4828" s="4">
        <v>0.67</v>
      </c>
      <c r="G4828" s="5">
        <v>9</v>
      </c>
      <c r="H4828" t="s">
        <v>17</v>
      </c>
      <c r="I4828" t="s">
        <v>57</v>
      </c>
      <c r="J4828" s="6">
        <v>17.989999999999998</v>
      </c>
      <c r="K4828">
        <v>0</v>
      </c>
      <c r="L4828" t="s">
        <v>61</v>
      </c>
      <c r="M4828" s="5">
        <v>5</v>
      </c>
      <c r="N4828" s="4">
        <v>7.0000000000000007E-2</v>
      </c>
      <c r="O4828" t="s">
        <v>34</v>
      </c>
    </row>
    <row r="4829" spans="1:15" x14ac:dyDescent="0.3">
      <c r="A4829" t="s">
        <v>4502</v>
      </c>
      <c r="B4829" s="5">
        <v>62</v>
      </c>
      <c r="C4829" s="5" t="str" cm="1">
        <f t="array" ref="C4829">_xlfn.IFS(worksheet[[#This Row],[age]]&lt;25,"1. Young Adulthood (18-24)",worksheet[[#This Row],[age]]&lt; 35,"2. Early Adulthood (25-34)",worksheet[[#This Row],[age]]&lt; 45,"3. Mid Adulthood (35-44)",worksheet[[#This Row],[age]]&lt; 55,"4. Mature Adulthood (45-54)",TRUE,"5. Late Adulthood/Senior (55+)")</f>
        <v>5. Late Adulthood/Senior (55+)</v>
      </c>
      <c r="D4829" t="s">
        <v>15</v>
      </c>
      <c r="E4829" t="s">
        <v>22</v>
      </c>
      <c r="F4829" s="4">
        <v>18.27</v>
      </c>
      <c r="G4829" s="5">
        <v>41</v>
      </c>
      <c r="H4829" t="s">
        <v>23</v>
      </c>
      <c r="I4829" t="s">
        <v>18</v>
      </c>
      <c r="J4829" s="6">
        <v>13.99</v>
      </c>
      <c r="K4829">
        <v>1</v>
      </c>
      <c r="L4829" t="s">
        <v>19</v>
      </c>
      <c r="M4829" s="5">
        <v>3</v>
      </c>
      <c r="N4829" s="4">
        <v>0.43</v>
      </c>
      <c r="O4829" t="s">
        <v>39</v>
      </c>
    </row>
    <row r="4830" spans="1:15" x14ac:dyDescent="0.3">
      <c r="A4830" t="s">
        <v>4505</v>
      </c>
      <c r="B4830" s="5">
        <v>66</v>
      </c>
      <c r="C4830" s="5" t="str" cm="1">
        <f t="array" ref="C4830">_xlfn.IFS(worksheet[[#This Row],[age]]&lt;25,"1. Young Adulthood (18-24)",worksheet[[#This Row],[age]]&lt; 35,"2. Early Adulthood (25-34)",worksheet[[#This Row],[age]]&lt; 45,"3. Mid Adulthood (35-44)",worksheet[[#This Row],[age]]&lt; 55,"4. Mature Adulthood (45-54)",TRUE,"5. Late Adulthood/Senior (55+)")</f>
        <v>5. Late Adulthood/Senior (55+)</v>
      </c>
      <c r="D4830" t="s">
        <v>27</v>
      </c>
      <c r="E4830" t="s">
        <v>16</v>
      </c>
      <c r="F4830" s="4">
        <v>2.61</v>
      </c>
      <c r="G4830" s="5">
        <v>44</v>
      </c>
      <c r="H4830" t="s">
        <v>33</v>
      </c>
      <c r="I4830" t="s">
        <v>18</v>
      </c>
      <c r="J4830" s="6">
        <v>8.99</v>
      </c>
      <c r="K4830">
        <v>1</v>
      </c>
      <c r="L4830" t="s">
        <v>61</v>
      </c>
      <c r="M4830" s="5">
        <v>1</v>
      </c>
      <c r="N4830" s="4">
        <v>0.06</v>
      </c>
      <c r="O4830" t="s">
        <v>20</v>
      </c>
    </row>
    <row r="4831" spans="1:15" x14ac:dyDescent="0.3">
      <c r="A4831" t="s">
        <v>4506</v>
      </c>
      <c r="B4831" s="5">
        <v>57</v>
      </c>
      <c r="C4831" s="5" t="str" cm="1">
        <f t="array" ref="C4831">_xlfn.IFS(worksheet[[#This Row],[age]]&lt;25,"1. Young Adulthood (18-24)",worksheet[[#This Row],[age]]&lt; 35,"2. Early Adulthood (25-34)",worksheet[[#This Row],[age]]&lt; 45,"3. Mid Adulthood (35-44)",worksheet[[#This Row],[age]]&lt; 55,"4. Mature Adulthood (45-54)",TRUE,"5. Late Adulthood/Senior (55+)")</f>
        <v>5. Late Adulthood/Senior (55+)</v>
      </c>
      <c r="D4831" t="s">
        <v>41</v>
      </c>
      <c r="E4831" t="s">
        <v>32</v>
      </c>
      <c r="F4831" s="4">
        <v>15.52</v>
      </c>
      <c r="G4831" s="5">
        <v>13</v>
      </c>
      <c r="H4831" t="s">
        <v>33</v>
      </c>
      <c r="I4831" t="s">
        <v>57</v>
      </c>
      <c r="J4831" s="6">
        <v>17.989999999999998</v>
      </c>
      <c r="K4831">
        <v>0</v>
      </c>
      <c r="L4831" t="s">
        <v>29</v>
      </c>
      <c r="M4831" s="5">
        <v>5</v>
      </c>
      <c r="N4831" s="4">
        <v>1.1100000000000001</v>
      </c>
      <c r="O4831" t="s">
        <v>20</v>
      </c>
    </row>
    <row r="4832" spans="1:15" x14ac:dyDescent="0.3">
      <c r="A4832" t="s">
        <v>4507</v>
      </c>
      <c r="B4832" s="5">
        <v>56</v>
      </c>
      <c r="C4832" s="5" t="str" cm="1">
        <f t="array" ref="C4832">_xlfn.IFS(worksheet[[#This Row],[age]]&lt;25,"1. Young Adulthood (18-24)",worksheet[[#This Row],[age]]&lt; 35,"2. Early Adulthood (25-34)",worksheet[[#This Row],[age]]&lt; 45,"3. Mid Adulthood (35-44)",worksheet[[#This Row],[age]]&lt; 55,"4. Mature Adulthood (45-54)",TRUE,"5. Late Adulthood/Senior (55+)")</f>
        <v>5. Late Adulthood/Senior (55+)</v>
      </c>
      <c r="D4832" t="s">
        <v>27</v>
      </c>
      <c r="E4832" t="s">
        <v>16</v>
      </c>
      <c r="F4832" s="4">
        <v>38.590000000000003</v>
      </c>
      <c r="G4832" s="5">
        <v>10</v>
      </c>
      <c r="H4832" t="s">
        <v>33</v>
      </c>
      <c r="I4832" t="s">
        <v>24</v>
      </c>
      <c r="J4832" s="6">
        <v>8.99</v>
      </c>
      <c r="K4832">
        <v>0</v>
      </c>
      <c r="L4832" t="s">
        <v>19</v>
      </c>
      <c r="M4832" s="5">
        <v>2</v>
      </c>
      <c r="N4832" s="4">
        <v>3.51</v>
      </c>
      <c r="O4832" t="s">
        <v>25</v>
      </c>
    </row>
    <row r="4833" spans="1:15" x14ac:dyDescent="0.3">
      <c r="A4833" t="s">
        <v>4509</v>
      </c>
      <c r="B4833" s="5">
        <v>69</v>
      </c>
      <c r="C4833" s="5" t="str" cm="1">
        <f t="array" ref="C4833">_xlfn.IFS(worksheet[[#This Row],[age]]&lt;25,"1. Young Adulthood (18-24)",worksheet[[#This Row],[age]]&lt; 35,"2. Early Adulthood (25-34)",worksheet[[#This Row],[age]]&lt; 45,"3. Mid Adulthood (35-44)",worksheet[[#This Row],[age]]&lt; 55,"4. Mature Adulthood (45-54)",TRUE,"5. Late Adulthood/Senior (55+)")</f>
        <v>5. Late Adulthood/Senior (55+)</v>
      </c>
      <c r="D4833" t="s">
        <v>41</v>
      </c>
      <c r="E4833" t="s">
        <v>22</v>
      </c>
      <c r="F4833" s="4">
        <v>3.46</v>
      </c>
      <c r="G4833" s="5">
        <v>60</v>
      </c>
      <c r="H4833" t="s">
        <v>70</v>
      </c>
      <c r="I4833" t="s">
        <v>55</v>
      </c>
      <c r="J4833" s="6">
        <v>13.99</v>
      </c>
      <c r="K4833">
        <v>1</v>
      </c>
      <c r="L4833" t="s">
        <v>29</v>
      </c>
      <c r="M4833" s="5">
        <v>5</v>
      </c>
      <c r="N4833" s="4">
        <v>0.06</v>
      </c>
      <c r="O4833" t="s">
        <v>20</v>
      </c>
    </row>
    <row r="4834" spans="1:15" x14ac:dyDescent="0.3">
      <c r="A4834" t="s">
        <v>4511</v>
      </c>
      <c r="B4834" s="5">
        <v>56</v>
      </c>
      <c r="C4834" s="5" t="str" cm="1">
        <f t="array" ref="C4834">_xlfn.IFS(worksheet[[#This Row],[age]]&lt;25,"1. Young Adulthood (18-24)",worksheet[[#This Row],[age]]&lt; 35,"2. Early Adulthood (25-34)",worksheet[[#This Row],[age]]&lt; 45,"3. Mid Adulthood (35-44)",worksheet[[#This Row],[age]]&lt; 55,"4. Mature Adulthood (45-54)",TRUE,"5. Late Adulthood/Senior (55+)")</f>
        <v>5. Late Adulthood/Senior (55+)</v>
      </c>
      <c r="D4834" t="s">
        <v>41</v>
      </c>
      <c r="E4834" t="s">
        <v>16</v>
      </c>
      <c r="F4834" s="4">
        <v>6.94</v>
      </c>
      <c r="G4834" s="5">
        <v>27</v>
      </c>
      <c r="H4834" t="s">
        <v>49</v>
      </c>
      <c r="I4834" t="s">
        <v>24</v>
      </c>
      <c r="J4834" s="6">
        <v>8.99</v>
      </c>
      <c r="K4834">
        <v>1</v>
      </c>
      <c r="L4834" t="s">
        <v>19</v>
      </c>
      <c r="M4834" s="5">
        <v>3</v>
      </c>
      <c r="N4834" s="4">
        <v>0.25</v>
      </c>
      <c r="O4834" t="s">
        <v>47</v>
      </c>
    </row>
    <row r="4835" spans="1:15" x14ac:dyDescent="0.3">
      <c r="A4835" t="s">
        <v>4515</v>
      </c>
      <c r="B4835" s="5">
        <v>60</v>
      </c>
      <c r="C4835" s="5" t="str" cm="1">
        <f t="array" ref="C4835">_xlfn.IFS(worksheet[[#This Row],[age]]&lt;25,"1. Young Adulthood (18-24)",worksheet[[#This Row],[age]]&lt; 35,"2. Early Adulthood (25-34)",worksheet[[#This Row],[age]]&lt; 45,"3. Mid Adulthood (35-44)",worksheet[[#This Row],[age]]&lt; 55,"4. Mature Adulthood (45-54)",TRUE,"5. Late Adulthood/Senior (55+)")</f>
        <v>5. Late Adulthood/Senior (55+)</v>
      </c>
      <c r="D4835" t="s">
        <v>27</v>
      </c>
      <c r="E4835" t="s">
        <v>16</v>
      </c>
      <c r="F4835" s="4">
        <v>6.3</v>
      </c>
      <c r="G4835" s="5">
        <v>3</v>
      </c>
      <c r="H4835" t="s">
        <v>70</v>
      </c>
      <c r="I4835" t="s">
        <v>24</v>
      </c>
      <c r="J4835" s="6">
        <v>8.99</v>
      </c>
      <c r="K4835">
        <v>0</v>
      </c>
      <c r="L4835" t="s">
        <v>37</v>
      </c>
      <c r="M4835" s="5">
        <v>2</v>
      </c>
      <c r="N4835" s="4">
        <v>1.57</v>
      </c>
      <c r="O4835" t="s">
        <v>47</v>
      </c>
    </row>
    <row r="4836" spans="1:15" x14ac:dyDescent="0.3">
      <c r="A4836" t="s">
        <v>4523</v>
      </c>
      <c r="B4836" s="5">
        <v>59</v>
      </c>
      <c r="C4836" s="5" t="str" cm="1">
        <f t="array" ref="C4836">_xlfn.IFS(worksheet[[#This Row],[age]]&lt;25,"1. Young Adulthood (18-24)",worksheet[[#This Row],[age]]&lt; 35,"2. Early Adulthood (25-34)",worksheet[[#This Row],[age]]&lt; 45,"3. Mid Adulthood (35-44)",worksheet[[#This Row],[age]]&lt; 55,"4. Mature Adulthood (45-54)",TRUE,"5. Late Adulthood/Senior (55+)")</f>
        <v>5. Late Adulthood/Senior (55+)</v>
      </c>
      <c r="D4836" t="s">
        <v>41</v>
      </c>
      <c r="E4836" t="s">
        <v>16</v>
      </c>
      <c r="F4836" s="4">
        <v>8.85</v>
      </c>
      <c r="G4836" s="5">
        <v>16</v>
      </c>
      <c r="H4836" t="s">
        <v>28</v>
      </c>
      <c r="I4836" t="s">
        <v>57</v>
      </c>
      <c r="J4836" s="6">
        <v>8.99</v>
      </c>
      <c r="K4836">
        <v>0</v>
      </c>
      <c r="L4836" t="s">
        <v>61</v>
      </c>
      <c r="M4836" s="5">
        <v>3</v>
      </c>
      <c r="N4836" s="4">
        <v>0.52</v>
      </c>
      <c r="O4836" t="s">
        <v>52</v>
      </c>
    </row>
    <row r="4837" spans="1:15" x14ac:dyDescent="0.3">
      <c r="A4837" t="s">
        <v>4525</v>
      </c>
      <c r="B4837" s="5">
        <v>70</v>
      </c>
      <c r="C4837" s="5" t="str" cm="1">
        <f t="array" ref="C4837">_xlfn.IFS(worksheet[[#This Row],[age]]&lt;25,"1. Young Adulthood (18-24)",worksheet[[#This Row],[age]]&lt; 35,"2. Early Adulthood (25-34)",worksheet[[#This Row],[age]]&lt; 45,"3. Mid Adulthood (35-44)",worksheet[[#This Row],[age]]&lt; 55,"4. Mature Adulthood (45-54)",TRUE,"5. Late Adulthood/Senior (55+)")</f>
        <v>5. Late Adulthood/Senior (55+)</v>
      </c>
      <c r="D4837" t="s">
        <v>15</v>
      </c>
      <c r="E4837" t="s">
        <v>32</v>
      </c>
      <c r="F4837" s="4">
        <v>20.54</v>
      </c>
      <c r="G4837" s="5">
        <v>19</v>
      </c>
      <c r="H4837" t="s">
        <v>23</v>
      </c>
      <c r="I4837" t="s">
        <v>18</v>
      </c>
      <c r="J4837" s="6">
        <v>17.989999999999998</v>
      </c>
      <c r="K4837">
        <v>0</v>
      </c>
      <c r="L4837" t="s">
        <v>29</v>
      </c>
      <c r="M4837" s="5">
        <v>4</v>
      </c>
      <c r="N4837" s="4">
        <v>1.03</v>
      </c>
      <c r="O4837" t="s">
        <v>34</v>
      </c>
    </row>
    <row r="4838" spans="1:15" x14ac:dyDescent="0.3">
      <c r="A4838" t="s">
        <v>4527</v>
      </c>
      <c r="B4838" s="5">
        <v>62</v>
      </c>
      <c r="C4838" s="5" t="str" cm="1">
        <f t="array" ref="C4838">_xlfn.IFS(worksheet[[#This Row],[age]]&lt;25,"1. Young Adulthood (18-24)",worksheet[[#This Row],[age]]&lt; 35,"2. Early Adulthood (25-34)",worksheet[[#This Row],[age]]&lt; 45,"3. Mid Adulthood (35-44)",worksheet[[#This Row],[age]]&lt; 55,"4. Mature Adulthood (45-54)",TRUE,"5. Late Adulthood/Senior (55+)")</f>
        <v>5. Late Adulthood/Senior (55+)</v>
      </c>
      <c r="D4838" t="s">
        <v>15</v>
      </c>
      <c r="E4838" t="s">
        <v>32</v>
      </c>
      <c r="F4838" s="4">
        <v>4.03</v>
      </c>
      <c r="G4838" s="5">
        <v>50</v>
      </c>
      <c r="H4838" t="s">
        <v>23</v>
      </c>
      <c r="I4838" t="s">
        <v>24</v>
      </c>
      <c r="J4838" s="6">
        <v>17.989999999999998</v>
      </c>
      <c r="K4838">
        <v>1</v>
      </c>
      <c r="L4838" t="s">
        <v>19</v>
      </c>
      <c r="M4838" s="5">
        <v>4</v>
      </c>
      <c r="N4838" s="4">
        <v>0.08</v>
      </c>
      <c r="O4838" t="s">
        <v>34</v>
      </c>
    </row>
    <row r="4839" spans="1:15" x14ac:dyDescent="0.3">
      <c r="A4839" t="s">
        <v>4530</v>
      </c>
      <c r="B4839" s="5">
        <v>63</v>
      </c>
      <c r="C4839" s="5" t="str" cm="1">
        <f t="array" ref="C4839">_xlfn.IFS(worksheet[[#This Row],[age]]&lt;25,"1. Young Adulthood (18-24)",worksheet[[#This Row],[age]]&lt; 35,"2. Early Adulthood (25-34)",worksheet[[#This Row],[age]]&lt; 45,"3. Mid Adulthood (35-44)",worksheet[[#This Row],[age]]&lt; 55,"4. Mature Adulthood (45-54)",TRUE,"5. Late Adulthood/Senior (55+)")</f>
        <v>5. Late Adulthood/Senior (55+)</v>
      </c>
      <c r="D4839" t="s">
        <v>15</v>
      </c>
      <c r="E4839" t="s">
        <v>22</v>
      </c>
      <c r="F4839" s="4">
        <v>17.510000000000002</v>
      </c>
      <c r="G4839" s="5">
        <v>12</v>
      </c>
      <c r="H4839" t="s">
        <v>49</v>
      </c>
      <c r="I4839" t="s">
        <v>57</v>
      </c>
      <c r="J4839" s="6">
        <v>13.99</v>
      </c>
      <c r="K4839">
        <v>0</v>
      </c>
      <c r="L4839" t="s">
        <v>43</v>
      </c>
      <c r="M4839" s="5">
        <v>1</v>
      </c>
      <c r="N4839" s="4">
        <v>1.35</v>
      </c>
      <c r="O4839" t="s">
        <v>39</v>
      </c>
    </row>
    <row r="4840" spans="1:15" x14ac:dyDescent="0.3">
      <c r="A4840" t="s">
        <v>4531</v>
      </c>
      <c r="B4840" s="5">
        <v>56</v>
      </c>
      <c r="C4840" s="5" t="str" cm="1">
        <f t="array" ref="C4840">_xlfn.IFS(worksheet[[#This Row],[age]]&lt;25,"1. Young Adulthood (18-24)",worksheet[[#This Row],[age]]&lt; 35,"2. Early Adulthood (25-34)",worksheet[[#This Row],[age]]&lt; 45,"3. Mid Adulthood (35-44)",worksheet[[#This Row],[age]]&lt; 55,"4. Mature Adulthood (45-54)",TRUE,"5. Late Adulthood/Senior (55+)")</f>
        <v>5. Late Adulthood/Senior (55+)</v>
      </c>
      <c r="D4840" t="s">
        <v>15</v>
      </c>
      <c r="E4840" t="s">
        <v>32</v>
      </c>
      <c r="F4840" s="4">
        <v>45.06</v>
      </c>
      <c r="G4840" s="5">
        <v>6</v>
      </c>
      <c r="H4840" t="s">
        <v>17</v>
      </c>
      <c r="I4840" t="s">
        <v>24</v>
      </c>
      <c r="J4840" s="6">
        <v>17.989999999999998</v>
      </c>
      <c r="K4840">
        <v>0</v>
      </c>
      <c r="L4840" t="s">
        <v>19</v>
      </c>
      <c r="M4840" s="5">
        <v>5</v>
      </c>
      <c r="N4840" s="4">
        <v>6.44</v>
      </c>
      <c r="O4840" t="s">
        <v>20</v>
      </c>
    </row>
    <row r="4841" spans="1:15" x14ac:dyDescent="0.3">
      <c r="A4841" t="s">
        <v>4532</v>
      </c>
      <c r="B4841" s="5">
        <v>56</v>
      </c>
      <c r="C4841" s="5" t="str" cm="1">
        <f t="array" ref="C4841">_xlfn.IFS(worksheet[[#This Row],[age]]&lt;25,"1. Young Adulthood (18-24)",worksheet[[#This Row],[age]]&lt; 35,"2. Early Adulthood (25-34)",worksheet[[#This Row],[age]]&lt; 45,"3. Mid Adulthood (35-44)",worksheet[[#This Row],[age]]&lt; 55,"4. Mature Adulthood (45-54)",TRUE,"5. Late Adulthood/Senior (55+)")</f>
        <v>5. Late Adulthood/Senior (55+)</v>
      </c>
      <c r="D4841" t="s">
        <v>15</v>
      </c>
      <c r="E4841" t="s">
        <v>22</v>
      </c>
      <c r="F4841" s="4">
        <v>21.77</v>
      </c>
      <c r="G4841" s="5">
        <v>51</v>
      </c>
      <c r="H4841" t="s">
        <v>28</v>
      </c>
      <c r="I4841" t="s">
        <v>18</v>
      </c>
      <c r="J4841" s="6">
        <v>13.99</v>
      </c>
      <c r="K4841">
        <v>0</v>
      </c>
      <c r="L4841" t="s">
        <v>61</v>
      </c>
      <c r="M4841" s="5">
        <v>2</v>
      </c>
      <c r="N4841" s="4">
        <v>0.42</v>
      </c>
      <c r="O4841" t="s">
        <v>30</v>
      </c>
    </row>
    <row r="4842" spans="1:15" x14ac:dyDescent="0.3">
      <c r="A4842" t="s">
        <v>4533</v>
      </c>
      <c r="B4842" s="5">
        <v>57</v>
      </c>
      <c r="C4842" s="5" t="str" cm="1">
        <f t="array" ref="C4842">_xlfn.IFS(worksheet[[#This Row],[age]]&lt;25,"1. Young Adulthood (18-24)",worksheet[[#This Row],[age]]&lt; 35,"2. Early Adulthood (25-34)",worksheet[[#This Row],[age]]&lt; 45,"3. Mid Adulthood (35-44)",worksheet[[#This Row],[age]]&lt; 55,"4. Mature Adulthood (45-54)",TRUE,"5. Late Adulthood/Senior (55+)")</f>
        <v>5. Late Adulthood/Senior (55+)</v>
      </c>
      <c r="D4842" t="s">
        <v>41</v>
      </c>
      <c r="E4842" t="s">
        <v>32</v>
      </c>
      <c r="F4842" s="4">
        <v>12.13</v>
      </c>
      <c r="G4842" s="5">
        <v>24</v>
      </c>
      <c r="H4842" t="s">
        <v>17</v>
      </c>
      <c r="I4842" t="s">
        <v>46</v>
      </c>
      <c r="J4842" s="6">
        <v>17.989999999999998</v>
      </c>
      <c r="K4842">
        <v>0</v>
      </c>
      <c r="L4842" t="s">
        <v>29</v>
      </c>
      <c r="M4842" s="5">
        <v>1</v>
      </c>
      <c r="N4842" s="4">
        <v>0.49</v>
      </c>
      <c r="O4842" t="s">
        <v>39</v>
      </c>
    </row>
    <row r="4843" spans="1:15" x14ac:dyDescent="0.3">
      <c r="A4843" t="s">
        <v>4534</v>
      </c>
      <c r="B4843" s="5">
        <v>64</v>
      </c>
      <c r="C4843" s="5" t="str" cm="1">
        <f t="array" ref="C4843">_xlfn.IFS(worksheet[[#This Row],[age]]&lt;25,"1. Young Adulthood (18-24)",worksheet[[#This Row],[age]]&lt; 35,"2. Early Adulthood (25-34)",worksheet[[#This Row],[age]]&lt; 45,"3. Mid Adulthood (35-44)",worksheet[[#This Row],[age]]&lt; 55,"4. Mature Adulthood (45-54)",TRUE,"5. Late Adulthood/Senior (55+)")</f>
        <v>5. Late Adulthood/Senior (55+)</v>
      </c>
      <c r="D4843" t="s">
        <v>15</v>
      </c>
      <c r="E4843" t="s">
        <v>22</v>
      </c>
      <c r="F4843" s="4">
        <v>3.68</v>
      </c>
      <c r="G4843" s="5">
        <v>55</v>
      </c>
      <c r="H4843" t="s">
        <v>49</v>
      </c>
      <c r="I4843" t="s">
        <v>24</v>
      </c>
      <c r="J4843" s="6">
        <v>13.99</v>
      </c>
      <c r="K4843">
        <v>1</v>
      </c>
      <c r="L4843" t="s">
        <v>29</v>
      </c>
      <c r="M4843" s="5">
        <v>5</v>
      </c>
      <c r="N4843" s="4">
        <v>7.0000000000000007E-2</v>
      </c>
      <c r="O4843" t="s">
        <v>47</v>
      </c>
    </row>
    <row r="4844" spans="1:15" x14ac:dyDescent="0.3">
      <c r="A4844" t="s">
        <v>4536</v>
      </c>
      <c r="B4844" s="5">
        <v>63</v>
      </c>
      <c r="C4844" s="5" t="str" cm="1">
        <f t="array" ref="C4844">_xlfn.IFS(worksheet[[#This Row],[age]]&lt;25,"1. Young Adulthood (18-24)",worksheet[[#This Row],[age]]&lt; 35,"2. Early Adulthood (25-34)",worksheet[[#This Row],[age]]&lt; 45,"3. Mid Adulthood (35-44)",worksheet[[#This Row],[age]]&lt; 55,"4. Mature Adulthood (45-54)",TRUE,"5. Late Adulthood/Senior (55+)")</f>
        <v>5. Late Adulthood/Senior (55+)</v>
      </c>
      <c r="D4844" t="s">
        <v>15</v>
      </c>
      <c r="E4844" t="s">
        <v>16</v>
      </c>
      <c r="F4844" s="4">
        <v>2.37</v>
      </c>
      <c r="G4844" s="5">
        <v>28</v>
      </c>
      <c r="H4844" t="s">
        <v>49</v>
      </c>
      <c r="I4844" t="s">
        <v>46</v>
      </c>
      <c r="J4844" s="6">
        <v>8.99</v>
      </c>
      <c r="K4844">
        <v>1</v>
      </c>
      <c r="L4844" t="s">
        <v>37</v>
      </c>
      <c r="M4844" s="5">
        <v>5</v>
      </c>
      <c r="N4844" s="4">
        <v>0.08</v>
      </c>
      <c r="O4844" t="s">
        <v>47</v>
      </c>
    </row>
    <row r="4845" spans="1:15" x14ac:dyDescent="0.3">
      <c r="A4845" t="s">
        <v>4546</v>
      </c>
      <c r="B4845" s="5">
        <v>63</v>
      </c>
      <c r="C4845" s="5" t="str" cm="1">
        <f t="array" ref="C4845">_xlfn.IFS(worksheet[[#This Row],[age]]&lt;25,"1. Young Adulthood (18-24)",worksheet[[#This Row],[age]]&lt; 35,"2. Early Adulthood (25-34)",worksheet[[#This Row],[age]]&lt; 45,"3. Mid Adulthood (35-44)",worksheet[[#This Row],[age]]&lt; 55,"4. Mature Adulthood (45-54)",TRUE,"5. Late Adulthood/Senior (55+)")</f>
        <v>5. Late Adulthood/Senior (55+)</v>
      </c>
      <c r="D4845" t="s">
        <v>41</v>
      </c>
      <c r="E4845" t="s">
        <v>16</v>
      </c>
      <c r="F4845" s="4">
        <v>1.3</v>
      </c>
      <c r="G4845" s="5">
        <v>20</v>
      </c>
      <c r="H4845" t="s">
        <v>17</v>
      </c>
      <c r="I4845" t="s">
        <v>46</v>
      </c>
      <c r="J4845" s="6">
        <v>8.99</v>
      </c>
      <c r="K4845">
        <v>1</v>
      </c>
      <c r="L4845" t="s">
        <v>29</v>
      </c>
      <c r="M4845" s="5">
        <v>5</v>
      </c>
      <c r="N4845" s="4">
        <v>0.06</v>
      </c>
      <c r="O4845" t="s">
        <v>34</v>
      </c>
    </row>
    <row r="4846" spans="1:15" x14ac:dyDescent="0.3">
      <c r="A4846" t="s">
        <v>4547</v>
      </c>
      <c r="B4846" s="5">
        <v>60</v>
      </c>
      <c r="C4846" s="5" t="str" cm="1">
        <f t="array" ref="C4846">_xlfn.IFS(worksheet[[#This Row],[age]]&lt;25,"1. Young Adulthood (18-24)",worksheet[[#This Row],[age]]&lt; 35,"2. Early Adulthood (25-34)",worksheet[[#This Row],[age]]&lt; 45,"3. Mid Adulthood (35-44)",worksheet[[#This Row],[age]]&lt; 55,"4. Mature Adulthood (45-54)",TRUE,"5. Late Adulthood/Senior (55+)")</f>
        <v>5. Late Adulthood/Senior (55+)</v>
      </c>
      <c r="D4846" t="s">
        <v>41</v>
      </c>
      <c r="E4846" t="s">
        <v>32</v>
      </c>
      <c r="F4846" s="4">
        <v>7.31</v>
      </c>
      <c r="G4846" s="5">
        <v>21</v>
      </c>
      <c r="H4846" t="s">
        <v>17</v>
      </c>
      <c r="I4846" t="s">
        <v>55</v>
      </c>
      <c r="J4846" s="6">
        <v>17.989999999999998</v>
      </c>
      <c r="K4846">
        <v>0</v>
      </c>
      <c r="L4846" t="s">
        <v>19</v>
      </c>
      <c r="M4846" s="5">
        <v>3</v>
      </c>
      <c r="N4846" s="4">
        <v>0.33</v>
      </c>
      <c r="O4846" t="s">
        <v>34</v>
      </c>
    </row>
    <row r="4847" spans="1:15" x14ac:dyDescent="0.3">
      <c r="A4847" t="s">
        <v>4550</v>
      </c>
      <c r="B4847" s="5">
        <v>55</v>
      </c>
      <c r="C4847" s="5" t="str" cm="1">
        <f t="array" ref="C4847">_xlfn.IFS(worksheet[[#This Row],[age]]&lt;25,"1. Young Adulthood (18-24)",worksheet[[#This Row],[age]]&lt; 35,"2. Early Adulthood (25-34)",worksheet[[#This Row],[age]]&lt; 45,"3. Mid Adulthood (35-44)",worksheet[[#This Row],[age]]&lt; 55,"4. Mature Adulthood (45-54)",TRUE,"5. Late Adulthood/Senior (55+)")</f>
        <v>5. Late Adulthood/Senior (55+)</v>
      </c>
      <c r="D4847" t="s">
        <v>27</v>
      </c>
      <c r="E4847" t="s">
        <v>16</v>
      </c>
      <c r="F4847" s="4">
        <v>17.61</v>
      </c>
      <c r="G4847" s="5">
        <v>35</v>
      </c>
      <c r="H4847" t="s">
        <v>49</v>
      </c>
      <c r="I4847" t="s">
        <v>55</v>
      </c>
      <c r="J4847" s="6">
        <v>8.99</v>
      </c>
      <c r="K4847">
        <v>1</v>
      </c>
      <c r="L4847" t="s">
        <v>19</v>
      </c>
      <c r="M4847" s="5">
        <v>1</v>
      </c>
      <c r="N4847" s="4">
        <v>0.49</v>
      </c>
      <c r="O4847" t="s">
        <v>47</v>
      </c>
    </row>
    <row r="4848" spans="1:15" x14ac:dyDescent="0.3">
      <c r="A4848" t="s">
        <v>4553</v>
      </c>
      <c r="B4848" s="5">
        <v>58</v>
      </c>
      <c r="C4848" s="5" t="str" cm="1">
        <f t="array" ref="C4848">_xlfn.IFS(worksheet[[#This Row],[age]]&lt;25,"1. Young Adulthood (18-24)",worksheet[[#This Row],[age]]&lt; 35,"2. Early Adulthood (25-34)",worksheet[[#This Row],[age]]&lt; 45,"3. Mid Adulthood (35-44)",worksheet[[#This Row],[age]]&lt; 55,"4. Mature Adulthood (45-54)",TRUE,"5. Late Adulthood/Senior (55+)")</f>
        <v>5. Late Adulthood/Senior (55+)</v>
      </c>
      <c r="D4848" t="s">
        <v>15</v>
      </c>
      <c r="E4848" t="s">
        <v>32</v>
      </c>
      <c r="F4848" s="4">
        <v>22.17</v>
      </c>
      <c r="G4848" s="5">
        <v>40</v>
      </c>
      <c r="H4848" t="s">
        <v>23</v>
      </c>
      <c r="I4848" t="s">
        <v>46</v>
      </c>
      <c r="J4848" s="6">
        <v>17.989999999999998</v>
      </c>
      <c r="K4848">
        <v>0</v>
      </c>
      <c r="L4848" t="s">
        <v>43</v>
      </c>
      <c r="M4848" s="5">
        <v>4</v>
      </c>
      <c r="N4848" s="4">
        <v>0.54</v>
      </c>
      <c r="O4848" t="s">
        <v>47</v>
      </c>
    </row>
    <row r="4849" spans="1:15" x14ac:dyDescent="0.3">
      <c r="A4849" t="s">
        <v>4555</v>
      </c>
      <c r="B4849" s="5">
        <v>69</v>
      </c>
      <c r="C4849" s="5" t="str" cm="1">
        <f t="array" ref="C4849">_xlfn.IFS(worksheet[[#This Row],[age]]&lt;25,"1. Young Adulthood (18-24)",worksheet[[#This Row],[age]]&lt; 35,"2. Early Adulthood (25-34)",worksheet[[#This Row],[age]]&lt; 45,"3. Mid Adulthood (35-44)",worksheet[[#This Row],[age]]&lt; 55,"4. Mature Adulthood (45-54)",TRUE,"5. Late Adulthood/Senior (55+)")</f>
        <v>5. Late Adulthood/Senior (55+)</v>
      </c>
      <c r="D4849" t="s">
        <v>27</v>
      </c>
      <c r="E4849" t="s">
        <v>32</v>
      </c>
      <c r="F4849" s="4">
        <v>5.8</v>
      </c>
      <c r="G4849" s="5">
        <v>26</v>
      </c>
      <c r="H4849" t="s">
        <v>70</v>
      </c>
      <c r="I4849" t="s">
        <v>57</v>
      </c>
      <c r="J4849" s="6">
        <v>17.989999999999998</v>
      </c>
      <c r="K4849">
        <v>0</v>
      </c>
      <c r="L4849" t="s">
        <v>43</v>
      </c>
      <c r="M4849" s="5">
        <v>5</v>
      </c>
      <c r="N4849" s="4">
        <v>0.21</v>
      </c>
      <c r="O4849" t="s">
        <v>39</v>
      </c>
    </row>
    <row r="4850" spans="1:15" x14ac:dyDescent="0.3">
      <c r="A4850" t="s">
        <v>4564</v>
      </c>
      <c r="B4850" s="5">
        <v>60</v>
      </c>
      <c r="C4850" s="5" t="str" cm="1">
        <f t="array" ref="C4850">_xlfn.IFS(worksheet[[#This Row],[age]]&lt;25,"1. Young Adulthood (18-24)",worksheet[[#This Row],[age]]&lt; 35,"2. Early Adulthood (25-34)",worksheet[[#This Row],[age]]&lt; 45,"3. Mid Adulthood (35-44)",worksheet[[#This Row],[age]]&lt; 55,"4. Mature Adulthood (45-54)",TRUE,"5. Late Adulthood/Senior (55+)")</f>
        <v>5. Late Adulthood/Senior (55+)</v>
      </c>
      <c r="D4850" t="s">
        <v>15</v>
      </c>
      <c r="E4850" t="s">
        <v>32</v>
      </c>
      <c r="F4850" s="4">
        <v>9.2200000000000006</v>
      </c>
      <c r="G4850" s="5">
        <v>45</v>
      </c>
      <c r="H4850" t="s">
        <v>33</v>
      </c>
      <c r="I4850" t="s">
        <v>55</v>
      </c>
      <c r="J4850" s="6">
        <v>17.989999999999998</v>
      </c>
      <c r="K4850">
        <v>1</v>
      </c>
      <c r="L4850" t="s">
        <v>29</v>
      </c>
      <c r="M4850" s="5">
        <v>2</v>
      </c>
      <c r="N4850" s="4">
        <v>0.2</v>
      </c>
      <c r="O4850" t="s">
        <v>52</v>
      </c>
    </row>
    <row r="4851" spans="1:15" x14ac:dyDescent="0.3">
      <c r="A4851" t="s">
        <v>4569</v>
      </c>
      <c r="B4851" s="5">
        <v>55</v>
      </c>
      <c r="C4851" s="5" t="str" cm="1">
        <f t="array" ref="C4851">_xlfn.IFS(worksheet[[#This Row],[age]]&lt;25,"1. Young Adulthood (18-24)",worksheet[[#This Row],[age]]&lt; 35,"2. Early Adulthood (25-34)",worksheet[[#This Row],[age]]&lt; 45,"3. Mid Adulthood (35-44)",worksheet[[#This Row],[age]]&lt; 55,"4. Mature Adulthood (45-54)",TRUE,"5. Late Adulthood/Senior (55+)")</f>
        <v>5. Late Adulthood/Senior (55+)</v>
      </c>
      <c r="D4851" t="s">
        <v>15</v>
      </c>
      <c r="E4851" t="s">
        <v>16</v>
      </c>
      <c r="F4851" s="4">
        <v>6.2</v>
      </c>
      <c r="G4851" s="5">
        <v>45</v>
      </c>
      <c r="H4851" t="s">
        <v>28</v>
      </c>
      <c r="I4851" t="s">
        <v>46</v>
      </c>
      <c r="J4851" s="6">
        <v>8.99</v>
      </c>
      <c r="K4851">
        <v>1</v>
      </c>
      <c r="L4851" t="s">
        <v>29</v>
      </c>
      <c r="M4851" s="5">
        <v>4</v>
      </c>
      <c r="N4851" s="4">
        <v>0.13</v>
      </c>
      <c r="O4851" t="s">
        <v>39</v>
      </c>
    </row>
    <row r="4852" spans="1:15" x14ac:dyDescent="0.3">
      <c r="A4852" t="s">
        <v>4577</v>
      </c>
      <c r="B4852" s="5">
        <v>67</v>
      </c>
      <c r="C4852" s="5" t="str" cm="1">
        <f t="array" ref="C4852">_xlfn.IFS(worksheet[[#This Row],[age]]&lt;25,"1. Young Adulthood (18-24)",worksheet[[#This Row],[age]]&lt; 35,"2. Early Adulthood (25-34)",worksheet[[#This Row],[age]]&lt; 45,"3. Mid Adulthood (35-44)",worksheet[[#This Row],[age]]&lt; 55,"4. Mature Adulthood (45-54)",TRUE,"5. Late Adulthood/Senior (55+)")</f>
        <v>5. Late Adulthood/Senior (55+)</v>
      </c>
      <c r="D4852" t="s">
        <v>15</v>
      </c>
      <c r="E4852" t="s">
        <v>22</v>
      </c>
      <c r="F4852" s="4">
        <v>10.24</v>
      </c>
      <c r="G4852" s="5">
        <v>11</v>
      </c>
      <c r="H4852" t="s">
        <v>49</v>
      </c>
      <c r="I4852" t="s">
        <v>55</v>
      </c>
      <c r="J4852" s="6">
        <v>13.99</v>
      </c>
      <c r="K4852">
        <v>0</v>
      </c>
      <c r="L4852" t="s">
        <v>37</v>
      </c>
      <c r="M4852" s="5">
        <v>2</v>
      </c>
      <c r="N4852" s="4">
        <v>0.85</v>
      </c>
      <c r="O4852" t="s">
        <v>39</v>
      </c>
    </row>
    <row r="4853" spans="1:15" x14ac:dyDescent="0.3">
      <c r="A4853" t="s">
        <v>4579</v>
      </c>
      <c r="B4853" s="5">
        <v>58</v>
      </c>
      <c r="C4853" s="5" t="str" cm="1">
        <f t="array" ref="C4853">_xlfn.IFS(worksheet[[#This Row],[age]]&lt;25,"1. Young Adulthood (18-24)",worksheet[[#This Row],[age]]&lt; 35,"2. Early Adulthood (25-34)",worksheet[[#This Row],[age]]&lt; 45,"3. Mid Adulthood (35-44)",worksheet[[#This Row],[age]]&lt; 55,"4. Mature Adulthood (45-54)",TRUE,"5. Late Adulthood/Senior (55+)")</f>
        <v>5. Late Adulthood/Senior (55+)</v>
      </c>
      <c r="D4853" t="s">
        <v>27</v>
      </c>
      <c r="E4853" t="s">
        <v>16</v>
      </c>
      <c r="F4853" s="4">
        <v>15.28</v>
      </c>
      <c r="G4853" s="5">
        <v>42</v>
      </c>
      <c r="H4853" t="s">
        <v>33</v>
      </c>
      <c r="I4853" t="s">
        <v>18</v>
      </c>
      <c r="J4853" s="6">
        <v>8.99</v>
      </c>
      <c r="K4853">
        <v>1</v>
      </c>
      <c r="L4853" t="s">
        <v>37</v>
      </c>
      <c r="M4853" s="5">
        <v>1</v>
      </c>
      <c r="N4853" s="4">
        <v>0.36</v>
      </c>
      <c r="O4853" t="s">
        <v>39</v>
      </c>
    </row>
    <row r="4854" spans="1:15" x14ac:dyDescent="0.3">
      <c r="A4854" t="s">
        <v>4580</v>
      </c>
      <c r="B4854" s="5">
        <v>66</v>
      </c>
      <c r="C4854" s="5" t="str" cm="1">
        <f t="array" ref="C4854">_xlfn.IFS(worksheet[[#This Row],[age]]&lt;25,"1. Young Adulthood (18-24)",worksheet[[#This Row],[age]]&lt; 35,"2. Early Adulthood (25-34)",worksheet[[#This Row],[age]]&lt; 45,"3. Mid Adulthood (35-44)",worksheet[[#This Row],[age]]&lt; 55,"4. Mature Adulthood (45-54)",TRUE,"5. Late Adulthood/Senior (55+)")</f>
        <v>5. Late Adulthood/Senior (55+)</v>
      </c>
      <c r="D4854" t="s">
        <v>27</v>
      </c>
      <c r="E4854" t="s">
        <v>22</v>
      </c>
      <c r="F4854" s="4">
        <v>4.96</v>
      </c>
      <c r="G4854" s="5">
        <v>4</v>
      </c>
      <c r="H4854" t="s">
        <v>70</v>
      </c>
      <c r="I4854" t="s">
        <v>46</v>
      </c>
      <c r="J4854" s="6">
        <v>13.99</v>
      </c>
      <c r="K4854">
        <v>0</v>
      </c>
      <c r="L4854" t="s">
        <v>19</v>
      </c>
      <c r="M4854" s="5">
        <v>1</v>
      </c>
      <c r="N4854" s="4">
        <v>0.99</v>
      </c>
      <c r="O4854" t="s">
        <v>25</v>
      </c>
    </row>
    <row r="4855" spans="1:15" x14ac:dyDescent="0.3">
      <c r="A4855" t="s">
        <v>4582</v>
      </c>
      <c r="B4855" s="5">
        <v>64</v>
      </c>
      <c r="C4855" s="5" t="str" cm="1">
        <f t="array" ref="C4855">_xlfn.IFS(worksheet[[#This Row],[age]]&lt;25,"1. Young Adulthood (18-24)",worksheet[[#This Row],[age]]&lt; 35,"2. Early Adulthood (25-34)",worksheet[[#This Row],[age]]&lt; 45,"3. Mid Adulthood (35-44)",worksheet[[#This Row],[age]]&lt; 55,"4. Mature Adulthood (45-54)",TRUE,"5. Late Adulthood/Senior (55+)")</f>
        <v>5. Late Adulthood/Senior (55+)</v>
      </c>
      <c r="D4855" t="s">
        <v>27</v>
      </c>
      <c r="E4855" t="s">
        <v>22</v>
      </c>
      <c r="F4855" s="4">
        <v>3.38</v>
      </c>
      <c r="G4855" s="5">
        <v>38</v>
      </c>
      <c r="H4855" t="s">
        <v>70</v>
      </c>
      <c r="I4855" t="s">
        <v>46</v>
      </c>
      <c r="J4855" s="6">
        <v>13.99</v>
      </c>
      <c r="K4855">
        <v>1</v>
      </c>
      <c r="L4855" t="s">
        <v>43</v>
      </c>
      <c r="M4855" s="5">
        <v>2</v>
      </c>
      <c r="N4855" s="4">
        <v>0.09</v>
      </c>
      <c r="O4855" t="s">
        <v>39</v>
      </c>
    </row>
    <row r="4856" spans="1:15" x14ac:dyDescent="0.3">
      <c r="A4856" t="s">
        <v>4583</v>
      </c>
      <c r="B4856" s="5">
        <v>55</v>
      </c>
      <c r="C4856" s="5" t="str" cm="1">
        <f t="array" ref="C4856">_xlfn.IFS(worksheet[[#This Row],[age]]&lt;25,"1. Young Adulthood (18-24)",worksheet[[#This Row],[age]]&lt; 35,"2. Early Adulthood (25-34)",worksheet[[#This Row],[age]]&lt; 45,"3. Mid Adulthood (35-44)",worksheet[[#This Row],[age]]&lt; 55,"4. Mature Adulthood (45-54)",TRUE,"5. Late Adulthood/Senior (55+)")</f>
        <v>5. Late Adulthood/Senior (55+)</v>
      </c>
      <c r="D4856" t="s">
        <v>41</v>
      </c>
      <c r="E4856" t="s">
        <v>32</v>
      </c>
      <c r="F4856" s="4">
        <v>11.61</v>
      </c>
      <c r="G4856" s="5">
        <v>21</v>
      </c>
      <c r="H4856" t="s">
        <v>49</v>
      </c>
      <c r="I4856" t="s">
        <v>55</v>
      </c>
      <c r="J4856" s="6">
        <v>17.989999999999998</v>
      </c>
      <c r="K4856">
        <v>0</v>
      </c>
      <c r="L4856" t="s">
        <v>37</v>
      </c>
      <c r="M4856" s="5">
        <v>4</v>
      </c>
      <c r="N4856" s="4">
        <v>0.53</v>
      </c>
      <c r="O4856" t="s">
        <v>39</v>
      </c>
    </row>
    <row r="4857" spans="1:15" x14ac:dyDescent="0.3">
      <c r="A4857" t="s">
        <v>4587</v>
      </c>
      <c r="B4857" s="5">
        <v>67</v>
      </c>
      <c r="C4857" s="5" t="str" cm="1">
        <f t="array" ref="C4857">_xlfn.IFS(worksheet[[#This Row],[age]]&lt;25,"1. Young Adulthood (18-24)",worksheet[[#This Row],[age]]&lt; 35,"2. Early Adulthood (25-34)",worksheet[[#This Row],[age]]&lt; 45,"3. Mid Adulthood (35-44)",worksheet[[#This Row],[age]]&lt; 55,"4. Mature Adulthood (45-54)",TRUE,"5. Late Adulthood/Senior (55+)")</f>
        <v>5. Late Adulthood/Senior (55+)</v>
      </c>
      <c r="D4857" t="s">
        <v>41</v>
      </c>
      <c r="E4857" t="s">
        <v>16</v>
      </c>
      <c r="F4857" s="4">
        <v>101.06</v>
      </c>
      <c r="G4857" s="5">
        <v>19</v>
      </c>
      <c r="H4857" t="s">
        <v>28</v>
      </c>
      <c r="I4857" t="s">
        <v>18</v>
      </c>
      <c r="J4857" s="6">
        <v>8.99</v>
      </c>
      <c r="K4857">
        <v>0</v>
      </c>
      <c r="L4857" t="s">
        <v>61</v>
      </c>
      <c r="M4857" s="5">
        <v>2</v>
      </c>
      <c r="N4857" s="4">
        <v>5.05</v>
      </c>
      <c r="O4857" t="s">
        <v>52</v>
      </c>
    </row>
    <row r="4858" spans="1:15" x14ac:dyDescent="0.3">
      <c r="A4858" t="s">
        <v>4588</v>
      </c>
      <c r="B4858" s="5">
        <v>62</v>
      </c>
      <c r="C4858" s="5" t="str" cm="1">
        <f t="array" ref="C4858">_xlfn.IFS(worksheet[[#This Row],[age]]&lt;25,"1. Young Adulthood (18-24)",worksheet[[#This Row],[age]]&lt; 35,"2. Early Adulthood (25-34)",worksheet[[#This Row],[age]]&lt; 45,"3. Mid Adulthood (35-44)",worksheet[[#This Row],[age]]&lt; 55,"4. Mature Adulthood (45-54)",TRUE,"5. Late Adulthood/Senior (55+)")</f>
        <v>5. Late Adulthood/Senior (55+)</v>
      </c>
      <c r="D4858" t="s">
        <v>41</v>
      </c>
      <c r="E4858" t="s">
        <v>22</v>
      </c>
      <c r="F4858" s="4">
        <v>3.95</v>
      </c>
      <c r="G4858" s="5">
        <v>54</v>
      </c>
      <c r="H4858" t="s">
        <v>33</v>
      </c>
      <c r="I4858" t="s">
        <v>18</v>
      </c>
      <c r="J4858" s="6">
        <v>13.99</v>
      </c>
      <c r="K4858">
        <v>1</v>
      </c>
      <c r="L4858" t="s">
        <v>37</v>
      </c>
      <c r="M4858" s="5">
        <v>4</v>
      </c>
      <c r="N4858" s="4">
        <v>7.0000000000000007E-2</v>
      </c>
      <c r="O4858" t="s">
        <v>30</v>
      </c>
    </row>
    <row r="4859" spans="1:15" x14ac:dyDescent="0.3">
      <c r="A4859" t="s">
        <v>4589</v>
      </c>
      <c r="B4859" s="5">
        <v>61</v>
      </c>
      <c r="C4859" s="5" t="str" cm="1">
        <f t="array" ref="C4859">_xlfn.IFS(worksheet[[#This Row],[age]]&lt;25,"1. Young Adulthood (18-24)",worksheet[[#This Row],[age]]&lt; 35,"2. Early Adulthood (25-34)",worksheet[[#This Row],[age]]&lt; 45,"3. Mid Adulthood (35-44)",worksheet[[#This Row],[age]]&lt; 55,"4. Mature Adulthood (45-54)",TRUE,"5. Late Adulthood/Senior (55+)")</f>
        <v>5. Late Adulthood/Senior (55+)</v>
      </c>
      <c r="D4859" t="s">
        <v>41</v>
      </c>
      <c r="E4859" t="s">
        <v>22</v>
      </c>
      <c r="F4859" s="4">
        <v>13.1</v>
      </c>
      <c r="G4859" s="5">
        <v>45</v>
      </c>
      <c r="H4859" t="s">
        <v>49</v>
      </c>
      <c r="I4859" t="s">
        <v>55</v>
      </c>
      <c r="J4859" s="6">
        <v>13.99</v>
      </c>
      <c r="K4859">
        <v>0</v>
      </c>
      <c r="L4859" t="s">
        <v>61</v>
      </c>
      <c r="M4859" s="5">
        <v>4</v>
      </c>
      <c r="N4859" s="4">
        <v>0.28000000000000003</v>
      </c>
      <c r="O4859" t="s">
        <v>47</v>
      </c>
    </row>
    <row r="4860" spans="1:15" x14ac:dyDescent="0.3">
      <c r="A4860" t="s">
        <v>4590</v>
      </c>
      <c r="B4860" s="5">
        <v>68</v>
      </c>
      <c r="C4860" s="5" t="str" cm="1">
        <f t="array" ref="C4860">_xlfn.IFS(worksheet[[#This Row],[age]]&lt;25,"1. Young Adulthood (18-24)",worksheet[[#This Row],[age]]&lt; 35,"2. Early Adulthood (25-34)",worksheet[[#This Row],[age]]&lt; 45,"3. Mid Adulthood (35-44)",worksheet[[#This Row],[age]]&lt; 55,"4. Mature Adulthood (45-54)",TRUE,"5. Late Adulthood/Senior (55+)")</f>
        <v>5. Late Adulthood/Senior (55+)</v>
      </c>
      <c r="D4860" t="s">
        <v>27</v>
      </c>
      <c r="E4860" t="s">
        <v>32</v>
      </c>
      <c r="F4860" s="4">
        <v>8.2799999999999994</v>
      </c>
      <c r="G4860" s="5">
        <v>47</v>
      </c>
      <c r="H4860" t="s">
        <v>23</v>
      </c>
      <c r="I4860" t="s">
        <v>46</v>
      </c>
      <c r="J4860" s="6">
        <v>17.989999999999998</v>
      </c>
      <c r="K4860">
        <v>1</v>
      </c>
      <c r="L4860" t="s">
        <v>37</v>
      </c>
      <c r="M4860" s="5">
        <v>1</v>
      </c>
      <c r="N4860" s="4">
        <v>0.17</v>
      </c>
      <c r="O4860" t="s">
        <v>39</v>
      </c>
    </row>
    <row r="4861" spans="1:15" x14ac:dyDescent="0.3">
      <c r="A4861" t="s">
        <v>4592</v>
      </c>
      <c r="B4861" s="5">
        <v>66</v>
      </c>
      <c r="C4861" s="5" t="str" cm="1">
        <f t="array" ref="C4861">_xlfn.IFS(worksheet[[#This Row],[age]]&lt;25,"1. Young Adulthood (18-24)",worksheet[[#This Row],[age]]&lt; 35,"2. Early Adulthood (25-34)",worksheet[[#This Row],[age]]&lt; 45,"3. Mid Adulthood (35-44)",worksheet[[#This Row],[age]]&lt; 55,"4. Mature Adulthood (45-54)",TRUE,"5. Late Adulthood/Senior (55+)")</f>
        <v>5. Late Adulthood/Senior (55+)</v>
      </c>
      <c r="D4861" t="s">
        <v>15</v>
      </c>
      <c r="E4861" t="s">
        <v>32</v>
      </c>
      <c r="F4861" s="4">
        <v>6.15</v>
      </c>
      <c r="G4861" s="5">
        <v>39</v>
      </c>
      <c r="H4861" t="s">
        <v>28</v>
      </c>
      <c r="I4861" t="s">
        <v>24</v>
      </c>
      <c r="J4861" s="6">
        <v>17.989999999999998</v>
      </c>
      <c r="K4861">
        <v>0</v>
      </c>
      <c r="L4861" t="s">
        <v>61</v>
      </c>
      <c r="M4861" s="5">
        <v>4</v>
      </c>
      <c r="N4861" s="4">
        <v>0.15</v>
      </c>
      <c r="O4861" t="s">
        <v>47</v>
      </c>
    </row>
    <row r="4862" spans="1:15" x14ac:dyDescent="0.3">
      <c r="A4862" t="s">
        <v>4597</v>
      </c>
      <c r="B4862" s="5">
        <v>70</v>
      </c>
      <c r="C4862" s="5" t="str" cm="1">
        <f t="array" ref="C4862">_xlfn.IFS(worksheet[[#This Row],[age]]&lt;25,"1. Young Adulthood (18-24)",worksheet[[#This Row],[age]]&lt; 35,"2. Early Adulthood (25-34)",worksheet[[#This Row],[age]]&lt; 45,"3. Mid Adulthood (35-44)",worksheet[[#This Row],[age]]&lt; 55,"4. Mature Adulthood (45-54)",TRUE,"5. Late Adulthood/Senior (55+)")</f>
        <v>5. Late Adulthood/Senior (55+)</v>
      </c>
      <c r="D4862" t="s">
        <v>27</v>
      </c>
      <c r="E4862" t="s">
        <v>22</v>
      </c>
      <c r="F4862" s="4">
        <v>19.11</v>
      </c>
      <c r="G4862" s="5">
        <v>28</v>
      </c>
      <c r="H4862" t="s">
        <v>17</v>
      </c>
      <c r="I4862" t="s">
        <v>46</v>
      </c>
      <c r="J4862" s="6">
        <v>13.99</v>
      </c>
      <c r="K4862">
        <v>0</v>
      </c>
      <c r="L4862" t="s">
        <v>43</v>
      </c>
      <c r="M4862" s="5">
        <v>4</v>
      </c>
      <c r="N4862" s="4">
        <v>0.66</v>
      </c>
      <c r="O4862" t="s">
        <v>39</v>
      </c>
    </row>
    <row r="4863" spans="1:15" x14ac:dyDescent="0.3">
      <c r="A4863" t="s">
        <v>4598</v>
      </c>
      <c r="B4863" s="5">
        <v>55</v>
      </c>
      <c r="C4863" s="5" t="str" cm="1">
        <f t="array" ref="C4863">_xlfn.IFS(worksheet[[#This Row],[age]]&lt;25,"1. Young Adulthood (18-24)",worksheet[[#This Row],[age]]&lt; 35,"2. Early Adulthood (25-34)",worksheet[[#This Row],[age]]&lt; 45,"3. Mid Adulthood (35-44)",worksheet[[#This Row],[age]]&lt; 55,"4. Mature Adulthood (45-54)",TRUE,"5. Late Adulthood/Senior (55+)")</f>
        <v>5. Late Adulthood/Senior (55+)</v>
      </c>
      <c r="D4863" t="s">
        <v>41</v>
      </c>
      <c r="E4863" t="s">
        <v>32</v>
      </c>
      <c r="F4863" s="4">
        <v>1.08</v>
      </c>
      <c r="G4863" s="5">
        <v>46</v>
      </c>
      <c r="H4863" t="s">
        <v>23</v>
      </c>
      <c r="I4863" t="s">
        <v>57</v>
      </c>
      <c r="J4863" s="6">
        <v>17.989999999999998</v>
      </c>
      <c r="K4863">
        <v>1</v>
      </c>
      <c r="L4863" t="s">
        <v>19</v>
      </c>
      <c r="M4863" s="5">
        <v>3</v>
      </c>
      <c r="N4863" s="4">
        <v>0.02</v>
      </c>
      <c r="O4863" t="s">
        <v>20</v>
      </c>
    </row>
    <row r="4864" spans="1:15" x14ac:dyDescent="0.3">
      <c r="A4864" t="s">
        <v>4599</v>
      </c>
      <c r="B4864" s="5">
        <v>64</v>
      </c>
      <c r="C4864" s="5" t="str" cm="1">
        <f t="array" ref="C4864">_xlfn.IFS(worksheet[[#This Row],[age]]&lt;25,"1. Young Adulthood (18-24)",worksheet[[#This Row],[age]]&lt; 35,"2. Early Adulthood (25-34)",worksheet[[#This Row],[age]]&lt; 45,"3. Mid Adulthood (35-44)",worksheet[[#This Row],[age]]&lt; 55,"4. Mature Adulthood (45-54)",TRUE,"5. Late Adulthood/Senior (55+)")</f>
        <v>5. Late Adulthood/Senior (55+)</v>
      </c>
      <c r="D4864" t="s">
        <v>41</v>
      </c>
      <c r="E4864" t="s">
        <v>22</v>
      </c>
      <c r="F4864" s="4">
        <v>1.29</v>
      </c>
      <c r="G4864" s="5">
        <v>9</v>
      </c>
      <c r="H4864" t="s">
        <v>17</v>
      </c>
      <c r="I4864" t="s">
        <v>24</v>
      </c>
      <c r="J4864" s="6">
        <v>13.99</v>
      </c>
      <c r="K4864">
        <v>1</v>
      </c>
      <c r="L4864" t="s">
        <v>29</v>
      </c>
      <c r="M4864" s="5">
        <v>1</v>
      </c>
      <c r="N4864" s="4">
        <v>0.13</v>
      </c>
      <c r="O4864" t="s">
        <v>25</v>
      </c>
    </row>
    <row r="4865" spans="1:15" x14ac:dyDescent="0.3">
      <c r="A4865" t="s">
        <v>4601</v>
      </c>
      <c r="B4865" s="5">
        <v>67</v>
      </c>
      <c r="C4865" s="5" t="str" cm="1">
        <f t="array" ref="C4865">_xlfn.IFS(worksheet[[#This Row],[age]]&lt;25,"1. Young Adulthood (18-24)",worksheet[[#This Row],[age]]&lt; 35,"2. Early Adulthood (25-34)",worksheet[[#This Row],[age]]&lt; 45,"3. Mid Adulthood (35-44)",worksheet[[#This Row],[age]]&lt; 55,"4. Mature Adulthood (45-54)",TRUE,"5. Late Adulthood/Senior (55+)")</f>
        <v>5. Late Adulthood/Senior (55+)</v>
      </c>
      <c r="D4865" t="s">
        <v>41</v>
      </c>
      <c r="E4865" t="s">
        <v>16</v>
      </c>
      <c r="F4865" s="4">
        <v>12</v>
      </c>
      <c r="G4865" s="5">
        <v>20</v>
      </c>
      <c r="H4865" t="s">
        <v>49</v>
      </c>
      <c r="I4865" t="s">
        <v>57</v>
      </c>
      <c r="J4865" s="6">
        <v>8.99</v>
      </c>
      <c r="K4865">
        <v>0</v>
      </c>
      <c r="L4865" t="s">
        <v>43</v>
      </c>
      <c r="M4865" s="5">
        <v>4</v>
      </c>
      <c r="N4865" s="4">
        <v>0.56999999999999995</v>
      </c>
      <c r="O4865" t="s">
        <v>47</v>
      </c>
    </row>
    <row r="4866" spans="1:15" x14ac:dyDescent="0.3">
      <c r="A4866" t="s">
        <v>4604</v>
      </c>
      <c r="B4866" s="5">
        <v>67</v>
      </c>
      <c r="C4866" s="5" t="str" cm="1">
        <f t="array" ref="C4866">_xlfn.IFS(worksheet[[#This Row],[age]]&lt;25,"1. Young Adulthood (18-24)",worksheet[[#This Row],[age]]&lt; 35,"2. Early Adulthood (25-34)",worksheet[[#This Row],[age]]&lt; 45,"3. Mid Adulthood (35-44)",worksheet[[#This Row],[age]]&lt; 55,"4. Mature Adulthood (45-54)",TRUE,"5. Late Adulthood/Senior (55+)")</f>
        <v>5. Late Adulthood/Senior (55+)</v>
      </c>
      <c r="D4866" t="s">
        <v>41</v>
      </c>
      <c r="E4866" t="s">
        <v>22</v>
      </c>
      <c r="F4866" s="4">
        <v>23.1</v>
      </c>
      <c r="G4866" s="5">
        <v>59</v>
      </c>
      <c r="H4866" t="s">
        <v>17</v>
      </c>
      <c r="I4866" t="s">
        <v>24</v>
      </c>
      <c r="J4866" s="6">
        <v>13.99</v>
      </c>
      <c r="K4866">
        <v>0</v>
      </c>
      <c r="L4866" t="s">
        <v>61</v>
      </c>
      <c r="M4866" s="5">
        <v>3</v>
      </c>
      <c r="N4866" s="4">
        <v>0.39</v>
      </c>
      <c r="O4866" t="s">
        <v>25</v>
      </c>
    </row>
    <row r="4867" spans="1:15" x14ac:dyDescent="0.3">
      <c r="A4867" s="1" t="s">
        <v>4611</v>
      </c>
      <c r="B4867" s="5">
        <v>58</v>
      </c>
      <c r="C4867" s="5" t="str" cm="1">
        <f t="array" ref="C4867">_xlfn.IFS(worksheet[[#This Row],[age]]&lt;25,"1. Young Adulthood (18-24)",worksheet[[#This Row],[age]]&lt; 35,"2. Early Adulthood (25-34)",worksheet[[#This Row],[age]]&lt; 45,"3. Mid Adulthood (35-44)",worksheet[[#This Row],[age]]&lt; 55,"4. Mature Adulthood (45-54)",TRUE,"5. Late Adulthood/Senior (55+)")</f>
        <v>5. Late Adulthood/Senior (55+)</v>
      </c>
      <c r="D4867" t="s">
        <v>27</v>
      </c>
      <c r="E4867" t="s">
        <v>32</v>
      </c>
      <c r="F4867" s="4">
        <v>0.14000000000000001</v>
      </c>
      <c r="G4867" s="5">
        <v>54</v>
      </c>
      <c r="H4867" t="s">
        <v>28</v>
      </c>
      <c r="I4867" t="s">
        <v>46</v>
      </c>
      <c r="J4867" s="6">
        <v>17.989999999999998</v>
      </c>
      <c r="K4867">
        <v>1</v>
      </c>
      <c r="L4867" t="s">
        <v>37</v>
      </c>
      <c r="M4867" s="5">
        <v>3</v>
      </c>
      <c r="N4867" s="4">
        <v>0</v>
      </c>
      <c r="O4867" t="s">
        <v>34</v>
      </c>
    </row>
    <row r="4868" spans="1:15" x14ac:dyDescent="0.3">
      <c r="A4868" t="s">
        <v>4615</v>
      </c>
      <c r="B4868" s="5">
        <v>55</v>
      </c>
      <c r="C4868" s="5" t="str" cm="1">
        <f t="array" ref="C4868">_xlfn.IFS(worksheet[[#This Row],[age]]&lt;25,"1. Young Adulthood (18-24)",worksheet[[#This Row],[age]]&lt; 35,"2. Early Adulthood (25-34)",worksheet[[#This Row],[age]]&lt; 45,"3. Mid Adulthood (35-44)",worksheet[[#This Row],[age]]&lt; 55,"4. Mature Adulthood (45-54)",TRUE,"5. Late Adulthood/Senior (55+)")</f>
        <v>5. Late Adulthood/Senior (55+)</v>
      </c>
      <c r="D4868" t="s">
        <v>27</v>
      </c>
      <c r="E4868" t="s">
        <v>32</v>
      </c>
      <c r="F4868" s="4">
        <v>0.15</v>
      </c>
      <c r="G4868" s="5">
        <v>0</v>
      </c>
      <c r="H4868" t="s">
        <v>49</v>
      </c>
      <c r="I4868" t="s">
        <v>18</v>
      </c>
      <c r="J4868" s="6">
        <v>17.989999999999998</v>
      </c>
      <c r="K4868">
        <v>0</v>
      </c>
      <c r="L4868" t="s">
        <v>43</v>
      </c>
      <c r="M4868" s="5">
        <v>4</v>
      </c>
      <c r="N4868" s="4">
        <v>0.15</v>
      </c>
      <c r="O4868" t="s">
        <v>52</v>
      </c>
    </row>
    <row r="4869" spans="1:15" x14ac:dyDescent="0.3">
      <c r="A4869" t="s">
        <v>4619</v>
      </c>
      <c r="B4869" s="5">
        <v>70</v>
      </c>
      <c r="C4869" s="5" t="str" cm="1">
        <f t="array" ref="C4869">_xlfn.IFS(worksheet[[#This Row],[age]]&lt;25,"1. Young Adulthood (18-24)",worksheet[[#This Row],[age]]&lt; 35,"2. Early Adulthood (25-34)",worksheet[[#This Row],[age]]&lt; 45,"3. Mid Adulthood (35-44)",worksheet[[#This Row],[age]]&lt; 55,"4. Mature Adulthood (45-54)",TRUE,"5. Late Adulthood/Senior (55+)")</f>
        <v>5. Late Adulthood/Senior (55+)</v>
      </c>
      <c r="D4869" t="s">
        <v>41</v>
      </c>
      <c r="E4869" t="s">
        <v>22</v>
      </c>
      <c r="F4869" s="4">
        <v>32.590000000000003</v>
      </c>
      <c r="G4869" s="5">
        <v>7</v>
      </c>
      <c r="H4869" t="s">
        <v>28</v>
      </c>
      <c r="I4869" t="s">
        <v>24</v>
      </c>
      <c r="J4869" s="6">
        <v>13.99</v>
      </c>
      <c r="K4869">
        <v>0</v>
      </c>
      <c r="L4869" t="s">
        <v>43</v>
      </c>
      <c r="M4869" s="5">
        <v>4</v>
      </c>
      <c r="N4869" s="4">
        <v>4.07</v>
      </c>
      <c r="O4869" t="s">
        <v>47</v>
      </c>
    </row>
    <row r="4870" spans="1:15" x14ac:dyDescent="0.3">
      <c r="A4870" t="s">
        <v>4621</v>
      </c>
      <c r="B4870" s="5">
        <v>65</v>
      </c>
      <c r="C4870" s="5" t="str" cm="1">
        <f t="array" ref="C4870">_xlfn.IFS(worksheet[[#This Row],[age]]&lt;25,"1. Young Adulthood (18-24)",worksheet[[#This Row],[age]]&lt; 35,"2. Early Adulthood (25-34)",worksheet[[#This Row],[age]]&lt; 45,"3. Mid Adulthood (35-44)",worksheet[[#This Row],[age]]&lt; 55,"4. Mature Adulthood (45-54)",TRUE,"5. Late Adulthood/Senior (55+)")</f>
        <v>5. Late Adulthood/Senior (55+)</v>
      </c>
      <c r="D4870" t="s">
        <v>41</v>
      </c>
      <c r="E4870" t="s">
        <v>32</v>
      </c>
      <c r="F4870" s="4">
        <v>15.52</v>
      </c>
      <c r="G4870" s="5">
        <v>0</v>
      </c>
      <c r="H4870" t="s">
        <v>49</v>
      </c>
      <c r="I4870" t="s">
        <v>24</v>
      </c>
      <c r="J4870" s="6">
        <v>17.989999999999998</v>
      </c>
      <c r="K4870">
        <v>0</v>
      </c>
      <c r="L4870" t="s">
        <v>19</v>
      </c>
      <c r="M4870" s="5">
        <v>4</v>
      </c>
      <c r="N4870" s="4">
        <v>15.52</v>
      </c>
      <c r="O4870" t="s">
        <v>30</v>
      </c>
    </row>
    <row r="4871" spans="1:15" x14ac:dyDescent="0.3">
      <c r="A4871" t="s">
        <v>4623</v>
      </c>
      <c r="B4871" s="5">
        <v>61</v>
      </c>
      <c r="C4871" s="5" t="str" cm="1">
        <f t="array" ref="C4871">_xlfn.IFS(worksheet[[#This Row],[age]]&lt;25,"1. Young Adulthood (18-24)",worksheet[[#This Row],[age]]&lt; 35,"2. Early Adulthood (25-34)",worksheet[[#This Row],[age]]&lt; 45,"3. Mid Adulthood (35-44)",worksheet[[#This Row],[age]]&lt; 55,"4. Mature Adulthood (45-54)",TRUE,"5. Late Adulthood/Senior (55+)")</f>
        <v>5. Late Adulthood/Senior (55+)</v>
      </c>
      <c r="D4871" t="s">
        <v>41</v>
      </c>
      <c r="E4871" t="s">
        <v>22</v>
      </c>
      <c r="F4871" s="4">
        <v>14.2</v>
      </c>
      <c r="G4871" s="5">
        <v>35</v>
      </c>
      <c r="H4871" t="s">
        <v>70</v>
      </c>
      <c r="I4871" t="s">
        <v>24</v>
      </c>
      <c r="J4871" s="6">
        <v>13.99</v>
      </c>
      <c r="K4871">
        <v>0</v>
      </c>
      <c r="L4871" t="s">
        <v>43</v>
      </c>
      <c r="M4871" s="5">
        <v>4</v>
      </c>
      <c r="N4871" s="4">
        <v>0.39</v>
      </c>
      <c r="O4871" t="s">
        <v>34</v>
      </c>
    </row>
    <row r="4872" spans="1:15" x14ac:dyDescent="0.3">
      <c r="A4872" t="s">
        <v>4627</v>
      </c>
      <c r="B4872" s="5">
        <v>57</v>
      </c>
      <c r="C4872" s="5" t="str" cm="1">
        <f t="array" ref="C4872">_xlfn.IFS(worksheet[[#This Row],[age]]&lt;25,"1. Young Adulthood (18-24)",worksheet[[#This Row],[age]]&lt; 35,"2. Early Adulthood (25-34)",worksheet[[#This Row],[age]]&lt; 45,"3. Mid Adulthood (35-44)",worksheet[[#This Row],[age]]&lt; 55,"4. Mature Adulthood (45-54)",TRUE,"5. Late Adulthood/Senior (55+)")</f>
        <v>5. Late Adulthood/Senior (55+)</v>
      </c>
      <c r="D4872" t="s">
        <v>41</v>
      </c>
      <c r="E4872" t="s">
        <v>16</v>
      </c>
      <c r="F4872" s="4">
        <v>4.76</v>
      </c>
      <c r="G4872" s="5">
        <v>58</v>
      </c>
      <c r="H4872" t="s">
        <v>17</v>
      </c>
      <c r="I4872" t="s">
        <v>57</v>
      </c>
      <c r="J4872" s="6">
        <v>8.99</v>
      </c>
      <c r="K4872">
        <v>1</v>
      </c>
      <c r="L4872" t="s">
        <v>61</v>
      </c>
      <c r="M4872" s="5">
        <v>1</v>
      </c>
      <c r="N4872" s="4">
        <v>0.08</v>
      </c>
      <c r="O4872" t="s">
        <v>20</v>
      </c>
    </row>
    <row r="4873" spans="1:15" x14ac:dyDescent="0.3">
      <c r="A4873" t="s">
        <v>4643</v>
      </c>
      <c r="B4873" s="5">
        <v>64</v>
      </c>
      <c r="C4873" s="5" t="str" cm="1">
        <f t="array" ref="C4873">_xlfn.IFS(worksheet[[#This Row],[age]]&lt;25,"1. Young Adulthood (18-24)",worksheet[[#This Row],[age]]&lt; 35,"2. Early Adulthood (25-34)",worksheet[[#This Row],[age]]&lt; 45,"3. Mid Adulthood (35-44)",worksheet[[#This Row],[age]]&lt; 55,"4. Mature Adulthood (45-54)",TRUE,"5. Late Adulthood/Senior (55+)")</f>
        <v>5. Late Adulthood/Senior (55+)</v>
      </c>
      <c r="D4873" t="s">
        <v>41</v>
      </c>
      <c r="E4873" t="s">
        <v>16</v>
      </c>
      <c r="F4873" s="4">
        <v>5.01</v>
      </c>
      <c r="G4873" s="5">
        <v>49</v>
      </c>
      <c r="H4873" t="s">
        <v>70</v>
      </c>
      <c r="I4873" t="s">
        <v>18</v>
      </c>
      <c r="J4873" s="6">
        <v>8.99</v>
      </c>
      <c r="K4873">
        <v>1</v>
      </c>
      <c r="L4873" t="s">
        <v>37</v>
      </c>
      <c r="M4873" s="5">
        <v>5</v>
      </c>
      <c r="N4873" s="4">
        <v>0.1</v>
      </c>
      <c r="O4873" t="s">
        <v>20</v>
      </c>
    </row>
    <row r="4874" spans="1:15" x14ac:dyDescent="0.3">
      <c r="A4874" t="s">
        <v>4646</v>
      </c>
      <c r="B4874" s="5">
        <v>62</v>
      </c>
      <c r="C4874" s="5" t="str" cm="1">
        <f t="array" ref="C4874">_xlfn.IFS(worksheet[[#This Row],[age]]&lt;25,"1. Young Adulthood (18-24)",worksheet[[#This Row],[age]]&lt; 35,"2. Early Adulthood (25-34)",worksheet[[#This Row],[age]]&lt; 45,"3. Mid Adulthood (35-44)",worksheet[[#This Row],[age]]&lt; 55,"4. Mature Adulthood (45-54)",TRUE,"5. Late Adulthood/Senior (55+)")</f>
        <v>5. Late Adulthood/Senior (55+)</v>
      </c>
      <c r="D4874" t="s">
        <v>41</v>
      </c>
      <c r="E4874" t="s">
        <v>16</v>
      </c>
      <c r="F4874" s="4">
        <v>1.71</v>
      </c>
      <c r="G4874" s="5">
        <v>13</v>
      </c>
      <c r="H4874" t="s">
        <v>33</v>
      </c>
      <c r="I4874" t="s">
        <v>46</v>
      </c>
      <c r="J4874" s="6">
        <v>8.99</v>
      </c>
      <c r="K4874">
        <v>1</v>
      </c>
      <c r="L4874" t="s">
        <v>43</v>
      </c>
      <c r="M4874" s="5">
        <v>4</v>
      </c>
      <c r="N4874" s="4">
        <v>0.12</v>
      </c>
      <c r="O4874" t="s">
        <v>30</v>
      </c>
    </row>
    <row r="4875" spans="1:15" x14ac:dyDescent="0.3">
      <c r="A4875" t="s">
        <v>4647</v>
      </c>
      <c r="B4875" s="5">
        <v>69</v>
      </c>
      <c r="C4875" s="5" t="str" cm="1">
        <f t="array" ref="C4875">_xlfn.IFS(worksheet[[#This Row],[age]]&lt;25,"1. Young Adulthood (18-24)",worksheet[[#This Row],[age]]&lt; 35,"2. Early Adulthood (25-34)",worksheet[[#This Row],[age]]&lt; 45,"3. Mid Adulthood (35-44)",worksheet[[#This Row],[age]]&lt; 55,"4. Mature Adulthood (45-54)",TRUE,"5. Late Adulthood/Senior (55+)")</f>
        <v>5. Late Adulthood/Senior (55+)</v>
      </c>
      <c r="D4875" t="s">
        <v>27</v>
      </c>
      <c r="E4875" t="s">
        <v>22</v>
      </c>
      <c r="F4875" s="4">
        <v>2.48</v>
      </c>
      <c r="G4875" s="5">
        <v>55</v>
      </c>
      <c r="H4875" t="s">
        <v>49</v>
      </c>
      <c r="I4875" t="s">
        <v>46</v>
      </c>
      <c r="J4875" s="6">
        <v>13.99</v>
      </c>
      <c r="K4875">
        <v>1</v>
      </c>
      <c r="L4875" t="s">
        <v>19</v>
      </c>
      <c r="M4875" s="5">
        <v>1</v>
      </c>
      <c r="N4875" s="4">
        <v>0.04</v>
      </c>
      <c r="O4875" t="s">
        <v>39</v>
      </c>
    </row>
    <row r="4876" spans="1:15" x14ac:dyDescent="0.3">
      <c r="A4876" t="s">
        <v>4648</v>
      </c>
      <c r="B4876" s="5">
        <v>63</v>
      </c>
      <c r="C4876" s="5" t="str" cm="1">
        <f t="array" ref="C4876">_xlfn.IFS(worksheet[[#This Row],[age]]&lt;25,"1. Young Adulthood (18-24)",worksheet[[#This Row],[age]]&lt; 35,"2. Early Adulthood (25-34)",worksheet[[#This Row],[age]]&lt; 45,"3. Mid Adulthood (35-44)",worksheet[[#This Row],[age]]&lt; 55,"4. Mature Adulthood (45-54)",TRUE,"5. Late Adulthood/Senior (55+)")</f>
        <v>5. Late Adulthood/Senior (55+)</v>
      </c>
      <c r="D4876" t="s">
        <v>27</v>
      </c>
      <c r="E4876" t="s">
        <v>32</v>
      </c>
      <c r="F4876" s="4">
        <v>7.58</v>
      </c>
      <c r="G4876" s="5">
        <v>25</v>
      </c>
      <c r="H4876" t="s">
        <v>49</v>
      </c>
      <c r="I4876" t="s">
        <v>24</v>
      </c>
      <c r="J4876" s="6">
        <v>17.989999999999998</v>
      </c>
      <c r="K4876">
        <v>0</v>
      </c>
      <c r="L4876" t="s">
        <v>43</v>
      </c>
      <c r="M4876" s="5">
        <v>1</v>
      </c>
      <c r="N4876" s="4">
        <v>0.28999999999999998</v>
      </c>
      <c r="O4876" t="s">
        <v>34</v>
      </c>
    </row>
    <row r="4877" spans="1:15" x14ac:dyDescent="0.3">
      <c r="A4877" t="s">
        <v>4650</v>
      </c>
      <c r="B4877" s="5">
        <v>68</v>
      </c>
      <c r="C4877" s="5" t="str" cm="1">
        <f t="array" ref="C4877">_xlfn.IFS(worksheet[[#This Row],[age]]&lt;25,"1. Young Adulthood (18-24)",worksheet[[#This Row],[age]]&lt; 35,"2. Early Adulthood (25-34)",worksheet[[#This Row],[age]]&lt; 45,"3. Mid Adulthood (35-44)",worksheet[[#This Row],[age]]&lt; 55,"4. Mature Adulthood (45-54)",TRUE,"5. Late Adulthood/Senior (55+)")</f>
        <v>5. Late Adulthood/Senior (55+)</v>
      </c>
      <c r="D4877" t="s">
        <v>27</v>
      </c>
      <c r="E4877" t="s">
        <v>32</v>
      </c>
      <c r="F4877" s="4">
        <v>15.56</v>
      </c>
      <c r="G4877" s="5">
        <v>53</v>
      </c>
      <c r="H4877" t="s">
        <v>17</v>
      </c>
      <c r="I4877" t="s">
        <v>46</v>
      </c>
      <c r="J4877" s="6">
        <v>17.989999999999998</v>
      </c>
      <c r="K4877">
        <v>1</v>
      </c>
      <c r="L4877" t="s">
        <v>29</v>
      </c>
      <c r="M4877" s="5">
        <v>3</v>
      </c>
      <c r="N4877" s="4">
        <v>0.28999999999999998</v>
      </c>
      <c r="O4877" t="s">
        <v>52</v>
      </c>
    </row>
    <row r="4878" spans="1:15" x14ac:dyDescent="0.3">
      <c r="A4878" t="s">
        <v>4651</v>
      </c>
      <c r="B4878" s="5">
        <v>60</v>
      </c>
      <c r="C4878" s="5" t="str" cm="1">
        <f t="array" ref="C4878">_xlfn.IFS(worksheet[[#This Row],[age]]&lt;25,"1. Young Adulthood (18-24)",worksheet[[#This Row],[age]]&lt; 35,"2. Early Adulthood (25-34)",worksheet[[#This Row],[age]]&lt; 45,"3. Mid Adulthood (35-44)",worksheet[[#This Row],[age]]&lt; 55,"4. Mature Adulthood (45-54)",TRUE,"5. Late Adulthood/Senior (55+)")</f>
        <v>5. Late Adulthood/Senior (55+)</v>
      </c>
      <c r="D4878" t="s">
        <v>15</v>
      </c>
      <c r="E4878" t="s">
        <v>32</v>
      </c>
      <c r="F4878" s="4">
        <v>2</v>
      </c>
      <c r="G4878" s="5">
        <v>32</v>
      </c>
      <c r="H4878" t="s">
        <v>70</v>
      </c>
      <c r="I4878" t="s">
        <v>24</v>
      </c>
      <c r="J4878" s="6">
        <v>17.989999999999998</v>
      </c>
      <c r="K4878">
        <v>1</v>
      </c>
      <c r="L4878" t="s">
        <v>61</v>
      </c>
      <c r="M4878" s="5">
        <v>5</v>
      </c>
      <c r="N4878" s="4">
        <v>0.06</v>
      </c>
      <c r="O4878" t="s">
        <v>52</v>
      </c>
    </row>
    <row r="4879" spans="1:15" x14ac:dyDescent="0.3">
      <c r="A4879" t="s">
        <v>4653</v>
      </c>
      <c r="B4879" s="5">
        <v>61</v>
      </c>
      <c r="C4879" s="5" t="str" cm="1">
        <f t="array" ref="C4879">_xlfn.IFS(worksheet[[#This Row],[age]]&lt;25,"1. Young Adulthood (18-24)",worksheet[[#This Row],[age]]&lt; 35,"2. Early Adulthood (25-34)",worksheet[[#This Row],[age]]&lt; 45,"3. Mid Adulthood (35-44)",worksheet[[#This Row],[age]]&lt; 55,"4. Mature Adulthood (45-54)",TRUE,"5. Late Adulthood/Senior (55+)")</f>
        <v>5. Late Adulthood/Senior (55+)</v>
      </c>
      <c r="D4879" t="s">
        <v>41</v>
      </c>
      <c r="E4879" t="s">
        <v>32</v>
      </c>
      <c r="F4879" s="4">
        <v>13.17</v>
      </c>
      <c r="G4879" s="5">
        <v>40</v>
      </c>
      <c r="H4879" t="s">
        <v>33</v>
      </c>
      <c r="I4879" t="s">
        <v>18</v>
      </c>
      <c r="J4879" s="6">
        <v>17.989999999999998</v>
      </c>
      <c r="K4879">
        <v>1</v>
      </c>
      <c r="L4879" t="s">
        <v>29</v>
      </c>
      <c r="M4879" s="5">
        <v>3</v>
      </c>
      <c r="N4879" s="4">
        <v>0.32</v>
      </c>
      <c r="O4879" t="s">
        <v>34</v>
      </c>
    </row>
    <row r="4880" spans="1:15" x14ac:dyDescent="0.3">
      <c r="A4880" t="s">
        <v>4654</v>
      </c>
      <c r="B4880" s="5">
        <v>56</v>
      </c>
      <c r="C4880" s="5" t="str" cm="1">
        <f t="array" ref="C4880">_xlfn.IFS(worksheet[[#This Row],[age]]&lt;25,"1. Young Adulthood (18-24)",worksheet[[#This Row],[age]]&lt; 35,"2. Early Adulthood (25-34)",worksheet[[#This Row],[age]]&lt; 45,"3. Mid Adulthood (35-44)",worksheet[[#This Row],[age]]&lt; 55,"4. Mature Adulthood (45-54)",TRUE,"5. Late Adulthood/Senior (55+)")</f>
        <v>5. Late Adulthood/Senior (55+)</v>
      </c>
      <c r="D4880" t="s">
        <v>41</v>
      </c>
      <c r="E4880" t="s">
        <v>16</v>
      </c>
      <c r="F4880" s="4">
        <v>9.9</v>
      </c>
      <c r="G4880" s="5">
        <v>41</v>
      </c>
      <c r="H4880" t="s">
        <v>70</v>
      </c>
      <c r="I4880" t="s">
        <v>46</v>
      </c>
      <c r="J4880" s="6">
        <v>8.99</v>
      </c>
      <c r="K4880">
        <v>1</v>
      </c>
      <c r="L4880" t="s">
        <v>43</v>
      </c>
      <c r="M4880" s="5">
        <v>5</v>
      </c>
      <c r="N4880" s="4">
        <v>0.24</v>
      </c>
      <c r="O4880" t="s">
        <v>30</v>
      </c>
    </row>
    <row r="4881" spans="1:15" x14ac:dyDescent="0.3">
      <c r="A4881" t="s">
        <v>4656</v>
      </c>
      <c r="B4881" s="5">
        <v>58</v>
      </c>
      <c r="C4881" s="5" t="str" cm="1">
        <f t="array" ref="C4881">_xlfn.IFS(worksheet[[#This Row],[age]]&lt;25,"1. Young Adulthood (18-24)",worksheet[[#This Row],[age]]&lt; 35,"2. Early Adulthood (25-34)",worksheet[[#This Row],[age]]&lt; 45,"3. Mid Adulthood (35-44)",worksheet[[#This Row],[age]]&lt; 55,"4. Mature Adulthood (45-54)",TRUE,"5. Late Adulthood/Senior (55+)")</f>
        <v>5. Late Adulthood/Senior (55+)</v>
      </c>
      <c r="D4881" t="s">
        <v>41</v>
      </c>
      <c r="E4881" t="s">
        <v>16</v>
      </c>
      <c r="F4881" s="4">
        <v>6.35</v>
      </c>
      <c r="G4881" s="5">
        <v>23</v>
      </c>
      <c r="H4881" t="s">
        <v>17</v>
      </c>
      <c r="I4881" t="s">
        <v>46</v>
      </c>
      <c r="J4881" s="6">
        <v>8.99</v>
      </c>
      <c r="K4881">
        <v>0</v>
      </c>
      <c r="L4881" t="s">
        <v>61</v>
      </c>
      <c r="M4881" s="5">
        <v>2</v>
      </c>
      <c r="N4881" s="4">
        <v>0.26</v>
      </c>
      <c r="O4881" t="s">
        <v>47</v>
      </c>
    </row>
    <row r="4882" spans="1:15" x14ac:dyDescent="0.3">
      <c r="A4882" t="s">
        <v>4659</v>
      </c>
      <c r="B4882" s="5">
        <v>59</v>
      </c>
      <c r="C4882" s="5" t="str" cm="1">
        <f t="array" ref="C4882">_xlfn.IFS(worksheet[[#This Row],[age]]&lt;25,"1. Young Adulthood (18-24)",worksheet[[#This Row],[age]]&lt; 35,"2. Early Adulthood (25-34)",worksheet[[#This Row],[age]]&lt; 45,"3. Mid Adulthood (35-44)",worksheet[[#This Row],[age]]&lt; 55,"4. Mature Adulthood (45-54)",TRUE,"5. Late Adulthood/Senior (55+)")</f>
        <v>5. Late Adulthood/Senior (55+)</v>
      </c>
      <c r="D4882" t="s">
        <v>27</v>
      </c>
      <c r="E4882" t="s">
        <v>22</v>
      </c>
      <c r="F4882" s="4">
        <v>4.17</v>
      </c>
      <c r="G4882" s="5">
        <v>57</v>
      </c>
      <c r="H4882" t="s">
        <v>28</v>
      </c>
      <c r="I4882" t="s">
        <v>57</v>
      </c>
      <c r="J4882" s="6">
        <v>13.99</v>
      </c>
      <c r="K4882">
        <v>1</v>
      </c>
      <c r="L4882" t="s">
        <v>43</v>
      </c>
      <c r="M4882" s="5">
        <v>4</v>
      </c>
      <c r="N4882" s="4">
        <v>7.0000000000000007E-2</v>
      </c>
      <c r="O4882" t="s">
        <v>34</v>
      </c>
    </row>
    <row r="4883" spans="1:15" x14ac:dyDescent="0.3">
      <c r="A4883" t="s">
        <v>4662</v>
      </c>
      <c r="B4883" s="5">
        <v>59</v>
      </c>
      <c r="C4883" s="5" t="str" cm="1">
        <f t="array" ref="C4883">_xlfn.IFS(worksheet[[#This Row],[age]]&lt;25,"1. Young Adulthood (18-24)",worksheet[[#This Row],[age]]&lt; 35,"2. Early Adulthood (25-34)",worksheet[[#This Row],[age]]&lt; 45,"3. Mid Adulthood (35-44)",worksheet[[#This Row],[age]]&lt; 55,"4. Mature Adulthood (45-54)",TRUE,"5. Late Adulthood/Senior (55+)")</f>
        <v>5. Late Adulthood/Senior (55+)</v>
      </c>
      <c r="D4883" t="s">
        <v>15</v>
      </c>
      <c r="E4883" t="s">
        <v>16</v>
      </c>
      <c r="F4883" s="4">
        <v>12.4</v>
      </c>
      <c r="G4883" s="5">
        <v>43</v>
      </c>
      <c r="H4883" t="s">
        <v>49</v>
      </c>
      <c r="I4883" t="s">
        <v>55</v>
      </c>
      <c r="J4883" s="6">
        <v>8.99</v>
      </c>
      <c r="K4883">
        <v>1</v>
      </c>
      <c r="L4883" t="s">
        <v>37</v>
      </c>
      <c r="M4883" s="5">
        <v>3</v>
      </c>
      <c r="N4883" s="4">
        <v>0.28000000000000003</v>
      </c>
      <c r="O4883" t="s">
        <v>34</v>
      </c>
    </row>
    <row r="4884" spans="1:15" x14ac:dyDescent="0.3">
      <c r="A4884" t="s">
        <v>4666</v>
      </c>
      <c r="B4884" s="5">
        <v>59</v>
      </c>
      <c r="C4884" s="5" t="str" cm="1">
        <f t="array" ref="C4884">_xlfn.IFS(worksheet[[#This Row],[age]]&lt;25,"1. Young Adulthood (18-24)",worksheet[[#This Row],[age]]&lt; 35,"2. Early Adulthood (25-34)",worksheet[[#This Row],[age]]&lt; 45,"3. Mid Adulthood (35-44)",worksheet[[#This Row],[age]]&lt; 55,"4. Mature Adulthood (45-54)",TRUE,"5. Late Adulthood/Senior (55+)")</f>
        <v>5. Late Adulthood/Senior (55+)</v>
      </c>
      <c r="D4884" t="s">
        <v>15</v>
      </c>
      <c r="E4884" t="s">
        <v>16</v>
      </c>
      <c r="F4884" s="4">
        <v>35.89</v>
      </c>
      <c r="G4884" s="5">
        <v>11</v>
      </c>
      <c r="H4884" t="s">
        <v>33</v>
      </c>
      <c r="I4884" t="s">
        <v>46</v>
      </c>
      <c r="J4884" s="6">
        <v>8.99</v>
      </c>
      <c r="K4884">
        <v>0</v>
      </c>
      <c r="L4884" t="s">
        <v>61</v>
      </c>
      <c r="M4884" s="5">
        <v>4</v>
      </c>
      <c r="N4884" s="4">
        <v>2.99</v>
      </c>
      <c r="O4884" t="s">
        <v>30</v>
      </c>
    </row>
    <row r="4885" spans="1:15" x14ac:dyDescent="0.3">
      <c r="A4885" t="s">
        <v>4667</v>
      </c>
      <c r="B4885" s="5">
        <v>58</v>
      </c>
      <c r="C4885" s="5" t="str" cm="1">
        <f t="array" ref="C4885">_xlfn.IFS(worksheet[[#This Row],[age]]&lt;25,"1. Young Adulthood (18-24)",worksheet[[#This Row],[age]]&lt; 35,"2. Early Adulthood (25-34)",worksheet[[#This Row],[age]]&lt; 45,"3. Mid Adulthood (35-44)",worksheet[[#This Row],[age]]&lt; 55,"4. Mature Adulthood (45-54)",TRUE,"5. Late Adulthood/Senior (55+)")</f>
        <v>5. Late Adulthood/Senior (55+)</v>
      </c>
      <c r="D4885" t="s">
        <v>27</v>
      </c>
      <c r="E4885" t="s">
        <v>16</v>
      </c>
      <c r="F4885" s="4">
        <v>8.5299999999999994</v>
      </c>
      <c r="G4885" s="5">
        <v>8</v>
      </c>
      <c r="H4885" t="s">
        <v>70</v>
      </c>
      <c r="I4885" t="s">
        <v>46</v>
      </c>
      <c r="J4885" s="6">
        <v>8.99</v>
      </c>
      <c r="K4885">
        <v>0</v>
      </c>
      <c r="L4885" t="s">
        <v>43</v>
      </c>
      <c r="M4885" s="5">
        <v>2</v>
      </c>
      <c r="N4885" s="4">
        <v>0.95</v>
      </c>
      <c r="O4885" t="s">
        <v>47</v>
      </c>
    </row>
    <row r="4886" spans="1:15" x14ac:dyDescent="0.3">
      <c r="A4886" t="s">
        <v>4670</v>
      </c>
      <c r="B4886" s="5">
        <v>59</v>
      </c>
      <c r="C4886" s="5" t="str" cm="1">
        <f t="array" ref="C4886">_xlfn.IFS(worksheet[[#This Row],[age]]&lt;25,"1. Young Adulthood (18-24)",worksheet[[#This Row],[age]]&lt; 35,"2. Early Adulthood (25-34)",worksheet[[#This Row],[age]]&lt; 45,"3. Mid Adulthood (35-44)",worksheet[[#This Row],[age]]&lt; 55,"4. Mature Adulthood (45-54)",TRUE,"5. Late Adulthood/Senior (55+)")</f>
        <v>5. Late Adulthood/Senior (55+)</v>
      </c>
      <c r="D4886" t="s">
        <v>27</v>
      </c>
      <c r="E4886" t="s">
        <v>16</v>
      </c>
      <c r="F4886" s="4">
        <v>12.03</v>
      </c>
      <c r="G4886" s="5">
        <v>33</v>
      </c>
      <c r="H4886" t="s">
        <v>28</v>
      </c>
      <c r="I4886" t="s">
        <v>18</v>
      </c>
      <c r="J4886" s="6">
        <v>8.99</v>
      </c>
      <c r="K4886">
        <v>1</v>
      </c>
      <c r="L4886" t="s">
        <v>37</v>
      </c>
      <c r="M4886" s="5">
        <v>1</v>
      </c>
      <c r="N4886" s="4">
        <v>0.35</v>
      </c>
      <c r="O4886" t="s">
        <v>20</v>
      </c>
    </row>
    <row r="4887" spans="1:15" x14ac:dyDescent="0.3">
      <c r="A4887" t="s">
        <v>4675</v>
      </c>
      <c r="B4887" s="5">
        <v>57</v>
      </c>
      <c r="C4887" s="5" t="str" cm="1">
        <f t="array" ref="C4887">_xlfn.IFS(worksheet[[#This Row],[age]]&lt;25,"1. Young Adulthood (18-24)",worksheet[[#This Row],[age]]&lt; 35,"2. Early Adulthood (25-34)",worksheet[[#This Row],[age]]&lt; 45,"3. Mid Adulthood (35-44)",worksheet[[#This Row],[age]]&lt; 55,"4. Mature Adulthood (45-54)",TRUE,"5. Late Adulthood/Senior (55+)")</f>
        <v>5. Late Adulthood/Senior (55+)</v>
      </c>
      <c r="D4887" t="s">
        <v>15</v>
      </c>
      <c r="E4887" t="s">
        <v>22</v>
      </c>
      <c r="F4887" s="4">
        <v>4.8099999999999996</v>
      </c>
      <c r="G4887" s="5">
        <v>21</v>
      </c>
      <c r="H4887" t="s">
        <v>28</v>
      </c>
      <c r="I4887" t="s">
        <v>55</v>
      </c>
      <c r="J4887" s="6">
        <v>13.99</v>
      </c>
      <c r="K4887">
        <v>1</v>
      </c>
      <c r="L4887" t="s">
        <v>37</v>
      </c>
      <c r="M4887" s="5">
        <v>2</v>
      </c>
      <c r="N4887" s="4">
        <v>0.22</v>
      </c>
      <c r="O4887" t="s">
        <v>34</v>
      </c>
    </row>
    <row r="4888" spans="1:15" x14ac:dyDescent="0.3">
      <c r="A4888" t="s">
        <v>4676</v>
      </c>
      <c r="B4888" s="5">
        <v>67</v>
      </c>
      <c r="C4888" s="5" t="str" cm="1">
        <f t="array" ref="C4888">_xlfn.IFS(worksheet[[#This Row],[age]]&lt;25,"1. Young Adulthood (18-24)",worksheet[[#This Row],[age]]&lt; 35,"2. Early Adulthood (25-34)",worksheet[[#This Row],[age]]&lt; 45,"3. Mid Adulthood (35-44)",worksheet[[#This Row],[age]]&lt; 55,"4. Mature Adulthood (45-54)",TRUE,"5. Late Adulthood/Senior (55+)")</f>
        <v>5. Late Adulthood/Senior (55+)</v>
      </c>
      <c r="D4888" t="s">
        <v>15</v>
      </c>
      <c r="E4888" t="s">
        <v>22</v>
      </c>
      <c r="F4888" s="4">
        <v>1.93</v>
      </c>
      <c r="G4888" s="5">
        <v>48</v>
      </c>
      <c r="H4888" t="s">
        <v>28</v>
      </c>
      <c r="I4888" t="s">
        <v>24</v>
      </c>
      <c r="J4888" s="6">
        <v>13.99</v>
      </c>
      <c r="K4888">
        <v>1</v>
      </c>
      <c r="L4888" t="s">
        <v>37</v>
      </c>
      <c r="M4888" s="5">
        <v>5</v>
      </c>
      <c r="N4888" s="4">
        <v>0.04</v>
      </c>
      <c r="O4888" t="s">
        <v>34</v>
      </c>
    </row>
    <row r="4889" spans="1:15" x14ac:dyDescent="0.3">
      <c r="A4889" t="s">
        <v>4677</v>
      </c>
      <c r="B4889" s="5">
        <v>67</v>
      </c>
      <c r="C4889" s="5" t="str" cm="1">
        <f t="array" ref="C4889">_xlfn.IFS(worksheet[[#This Row],[age]]&lt;25,"1. Young Adulthood (18-24)",worksheet[[#This Row],[age]]&lt; 35,"2. Early Adulthood (25-34)",worksheet[[#This Row],[age]]&lt; 45,"3. Mid Adulthood (35-44)",worksheet[[#This Row],[age]]&lt; 55,"4. Mature Adulthood (45-54)",TRUE,"5. Late Adulthood/Senior (55+)")</f>
        <v>5. Late Adulthood/Senior (55+)</v>
      </c>
      <c r="D4889" t="s">
        <v>41</v>
      </c>
      <c r="E4889" t="s">
        <v>22</v>
      </c>
      <c r="F4889" s="4">
        <v>0.01</v>
      </c>
      <c r="G4889" s="5">
        <v>1</v>
      </c>
      <c r="H4889" t="s">
        <v>49</v>
      </c>
      <c r="I4889" t="s">
        <v>55</v>
      </c>
      <c r="J4889" s="6">
        <v>13.99</v>
      </c>
      <c r="K4889">
        <v>0</v>
      </c>
      <c r="L4889" t="s">
        <v>29</v>
      </c>
      <c r="M4889" s="5">
        <v>4</v>
      </c>
      <c r="N4889" s="4">
        <v>0.01</v>
      </c>
      <c r="O4889" t="s">
        <v>34</v>
      </c>
    </row>
    <row r="4890" spans="1:15" x14ac:dyDescent="0.3">
      <c r="A4890" t="s">
        <v>4683</v>
      </c>
      <c r="B4890" s="5">
        <v>65</v>
      </c>
      <c r="C4890" s="5" t="str" cm="1">
        <f t="array" ref="C4890">_xlfn.IFS(worksheet[[#This Row],[age]]&lt;25,"1. Young Adulthood (18-24)",worksheet[[#This Row],[age]]&lt; 35,"2. Early Adulthood (25-34)",worksheet[[#This Row],[age]]&lt; 45,"3. Mid Adulthood (35-44)",worksheet[[#This Row],[age]]&lt; 55,"4. Mature Adulthood (45-54)",TRUE,"5. Late Adulthood/Senior (55+)")</f>
        <v>5. Late Adulthood/Senior (55+)</v>
      </c>
      <c r="D4890" t="s">
        <v>41</v>
      </c>
      <c r="E4890" t="s">
        <v>22</v>
      </c>
      <c r="F4890" s="4">
        <v>10.44</v>
      </c>
      <c r="G4890" s="5">
        <v>58</v>
      </c>
      <c r="H4890" t="s">
        <v>33</v>
      </c>
      <c r="I4890" t="s">
        <v>46</v>
      </c>
      <c r="J4890" s="6">
        <v>13.99</v>
      </c>
      <c r="K4890">
        <v>1</v>
      </c>
      <c r="L4890" t="s">
        <v>19</v>
      </c>
      <c r="M4890" s="5">
        <v>2</v>
      </c>
      <c r="N4890" s="4">
        <v>0.18</v>
      </c>
      <c r="O4890" t="s">
        <v>52</v>
      </c>
    </row>
    <row r="4891" spans="1:15" x14ac:dyDescent="0.3">
      <c r="A4891" t="s">
        <v>4684</v>
      </c>
      <c r="B4891" s="5">
        <v>59</v>
      </c>
      <c r="C4891" s="5" t="str" cm="1">
        <f t="array" ref="C4891">_xlfn.IFS(worksheet[[#This Row],[age]]&lt;25,"1. Young Adulthood (18-24)",worksheet[[#This Row],[age]]&lt; 35,"2. Early Adulthood (25-34)",worksheet[[#This Row],[age]]&lt; 45,"3. Mid Adulthood (35-44)",worksheet[[#This Row],[age]]&lt; 55,"4. Mature Adulthood (45-54)",TRUE,"5. Late Adulthood/Senior (55+)")</f>
        <v>5. Late Adulthood/Senior (55+)</v>
      </c>
      <c r="D4891" t="s">
        <v>27</v>
      </c>
      <c r="E4891" t="s">
        <v>16</v>
      </c>
      <c r="F4891" s="4">
        <v>24.62</v>
      </c>
      <c r="G4891" s="5">
        <v>21</v>
      </c>
      <c r="H4891" t="s">
        <v>70</v>
      </c>
      <c r="I4891" t="s">
        <v>18</v>
      </c>
      <c r="J4891" s="6">
        <v>8.99</v>
      </c>
      <c r="K4891">
        <v>0</v>
      </c>
      <c r="L4891" t="s">
        <v>61</v>
      </c>
      <c r="M4891" s="5">
        <v>3</v>
      </c>
      <c r="N4891" s="4">
        <v>1.1200000000000001</v>
      </c>
      <c r="O4891" t="s">
        <v>30</v>
      </c>
    </row>
    <row r="4892" spans="1:15" x14ac:dyDescent="0.3">
      <c r="A4892" s="1" t="s">
        <v>4687</v>
      </c>
      <c r="B4892" s="5">
        <v>61</v>
      </c>
      <c r="C4892" s="5" t="str" cm="1">
        <f t="array" ref="C4892">_xlfn.IFS(worksheet[[#This Row],[age]]&lt;25,"1. Young Adulthood (18-24)",worksheet[[#This Row],[age]]&lt; 35,"2. Early Adulthood (25-34)",worksheet[[#This Row],[age]]&lt; 45,"3. Mid Adulthood (35-44)",worksheet[[#This Row],[age]]&lt; 55,"4. Mature Adulthood (45-54)",TRUE,"5. Late Adulthood/Senior (55+)")</f>
        <v>5. Late Adulthood/Senior (55+)</v>
      </c>
      <c r="D4892" t="s">
        <v>41</v>
      </c>
      <c r="E4892" t="s">
        <v>32</v>
      </c>
      <c r="F4892" s="4">
        <v>1.63</v>
      </c>
      <c r="G4892" s="5">
        <v>36</v>
      </c>
      <c r="H4892" t="s">
        <v>17</v>
      </c>
      <c r="I4892" t="s">
        <v>24</v>
      </c>
      <c r="J4892" s="6">
        <v>17.989999999999998</v>
      </c>
      <c r="K4892">
        <v>1</v>
      </c>
      <c r="L4892" t="s">
        <v>29</v>
      </c>
      <c r="M4892" s="5">
        <v>5</v>
      </c>
      <c r="N4892" s="4">
        <v>0.04</v>
      </c>
      <c r="O4892" t="s">
        <v>30</v>
      </c>
    </row>
    <row r="4893" spans="1:15" x14ac:dyDescent="0.3">
      <c r="A4893" t="s">
        <v>4694</v>
      </c>
      <c r="B4893" s="5">
        <v>62</v>
      </c>
      <c r="C4893" s="5" t="str" cm="1">
        <f t="array" ref="C4893">_xlfn.IFS(worksheet[[#This Row],[age]]&lt;25,"1. Young Adulthood (18-24)",worksheet[[#This Row],[age]]&lt; 35,"2. Early Adulthood (25-34)",worksheet[[#This Row],[age]]&lt; 45,"3. Mid Adulthood (35-44)",worksheet[[#This Row],[age]]&lt; 55,"4. Mature Adulthood (45-54)",TRUE,"5. Late Adulthood/Senior (55+)")</f>
        <v>5. Late Adulthood/Senior (55+)</v>
      </c>
      <c r="D4893" t="s">
        <v>27</v>
      </c>
      <c r="E4893" t="s">
        <v>22</v>
      </c>
      <c r="F4893" s="4">
        <v>6.55</v>
      </c>
      <c r="G4893" s="5">
        <v>52</v>
      </c>
      <c r="H4893" t="s">
        <v>28</v>
      </c>
      <c r="I4893" t="s">
        <v>55</v>
      </c>
      <c r="J4893" s="6">
        <v>13.99</v>
      </c>
      <c r="K4893">
        <v>0</v>
      </c>
      <c r="L4893" t="s">
        <v>37</v>
      </c>
      <c r="M4893" s="5">
        <v>5</v>
      </c>
      <c r="N4893" s="4">
        <v>0.12</v>
      </c>
      <c r="O4893" t="s">
        <v>25</v>
      </c>
    </row>
    <row r="4894" spans="1:15" x14ac:dyDescent="0.3">
      <c r="A4894" t="s">
        <v>4697</v>
      </c>
      <c r="B4894" s="5">
        <v>65</v>
      </c>
      <c r="C4894" s="5" t="str" cm="1">
        <f t="array" ref="C4894">_xlfn.IFS(worksheet[[#This Row],[age]]&lt;25,"1. Young Adulthood (18-24)",worksheet[[#This Row],[age]]&lt; 35,"2. Early Adulthood (25-34)",worksheet[[#This Row],[age]]&lt; 45,"3. Mid Adulthood (35-44)",worksheet[[#This Row],[age]]&lt; 55,"4. Mature Adulthood (45-54)",TRUE,"5. Late Adulthood/Senior (55+)")</f>
        <v>5. Late Adulthood/Senior (55+)</v>
      </c>
      <c r="D4894" t="s">
        <v>27</v>
      </c>
      <c r="E4894" t="s">
        <v>16</v>
      </c>
      <c r="F4894" s="4">
        <v>0.24</v>
      </c>
      <c r="G4894" s="5">
        <v>28</v>
      </c>
      <c r="H4894" t="s">
        <v>28</v>
      </c>
      <c r="I4894" t="s">
        <v>57</v>
      </c>
      <c r="J4894" s="6">
        <v>8.99</v>
      </c>
      <c r="K4894">
        <v>1</v>
      </c>
      <c r="L4894" t="s">
        <v>43</v>
      </c>
      <c r="M4894" s="5">
        <v>5</v>
      </c>
      <c r="N4894" s="4">
        <v>0.01</v>
      </c>
      <c r="O4894" t="s">
        <v>25</v>
      </c>
    </row>
    <row r="4895" spans="1:15" x14ac:dyDescent="0.3">
      <c r="A4895" t="s">
        <v>4703</v>
      </c>
      <c r="B4895" s="5">
        <v>67</v>
      </c>
      <c r="C4895" s="5" t="str" cm="1">
        <f t="array" ref="C4895">_xlfn.IFS(worksheet[[#This Row],[age]]&lt;25,"1. Young Adulthood (18-24)",worksheet[[#This Row],[age]]&lt; 35,"2. Early Adulthood (25-34)",worksheet[[#This Row],[age]]&lt; 45,"3. Mid Adulthood (35-44)",worksheet[[#This Row],[age]]&lt; 55,"4. Mature Adulthood (45-54)",TRUE,"5. Late Adulthood/Senior (55+)")</f>
        <v>5. Late Adulthood/Senior (55+)</v>
      </c>
      <c r="D4895" t="s">
        <v>15</v>
      </c>
      <c r="E4895" t="s">
        <v>22</v>
      </c>
      <c r="F4895" s="4">
        <v>2.79</v>
      </c>
      <c r="G4895" s="5">
        <v>53</v>
      </c>
      <c r="H4895" t="s">
        <v>23</v>
      </c>
      <c r="I4895" t="s">
        <v>46</v>
      </c>
      <c r="J4895" s="6">
        <v>13.99</v>
      </c>
      <c r="K4895">
        <v>1</v>
      </c>
      <c r="L4895" t="s">
        <v>43</v>
      </c>
      <c r="M4895" s="5">
        <v>4</v>
      </c>
      <c r="N4895" s="4">
        <v>0.05</v>
      </c>
      <c r="O4895" t="s">
        <v>52</v>
      </c>
    </row>
    <row r="4896" spans="1:15" x14ac:dyDescent="0.3">
      <c r="A4896" t="s">
        <v>4712</v>
      </c>
      <c r="B4896" s="5">
        <v>69</v>
      </c>
      <c r="C4896" s="5" t="str" cm="1">
        <f t="array" ref="C4896">_xlfn.IFS(worksheet[[#This Row],[age]]&lt;25,"1. Young Adulthood (18-24)",worksheet[[#This Row],[age]]&lt; 35,"2. Early Adulthood (25-34)",worksheet[[#This Row],[age]]&lt; 45,"3. Mid Adulthood (35-44)",worksheet[[#This Row],[age]]&lt; 55,"4. Mature Adulthood (45-54)",TRUE,"5. Late Adulthood/Senior (55+)")</f>
        <v>5. Late Adulthood/Senior (55+)</v>
      </c>
      <c r="D4896" t="s">
        <v>41</v>
      </c>
      <c r="E4896" t="s">
        <v>16</v>
      </c>
      <c r="F4896" s="4">
        <v>7.66</v>
      </c>
      <c r="G4896" s="5">
        <v>46</v>
      </c>
      <c r="H4896" t="s">
        <v>17</v>
      </c>
      <c r="I4896" t="s">
        <v>18</v>
      </c>
      <c r="J4896" s="6">
        <v>8.99</v>
      </c>
      <c r="K4896">
        <v>1</v>
      </c>
      <c r="L4896" t="s">
        <v>43</v>
      </c>
      <c r="M4896" s="5">
        <v>3</v>
      </c>
      <c r="N4896" s="4">
        <v>0.16</v>
      </c>
      <c r="O4896" t="s">
        <v>34</v>
      </c>
    </row>
    <row r="4897" spans="1:15" x14ac:dyDescent="0.3">
      <c r="A4897" t="s">
        <v>4720</v>
      </c>
      <c r="B4897" s="5">
        <v>68</v>
      </c>
      <c r="C4897" s="5" t="str" cm="1">
        <f t="array" ref="C4897">_xlfn.IFS(worksheet[[#This Row],[age]]&lt;25,"1. Young Adulthood (18-24)",worksheet[[#This Row],[age]]&lt; 35,"2. Early Adulthood (25-34)",worksheet[[#This Row],[age]]&lt; 45,"3. Mid Adulthood (35-44)",worksheet[[#This Row],[age]]&lt; 55,"4. Mature Adulthood (45-54)",TRUE,"5. Late Adulthood/Senior (55+)")</f>
        <v>5. Late Adulthood/Senior (55+)</v>
      </c>
      <c r="D4897" t="s">
        <v>27</v>
      </c>
      <c r="E4897" t="s">
        <v>16</v>
      </c>
      <c r="F4897" s="4">
        <v>15.56</v>
      </c>
      <c r="G4897" s="5">
        <v>53</v>
      </c>
      <c r="H4897" t="s">
        <v>28</v>
      </c>
      <c r="I4897" t="s">
        <v>24</v>
      </c>
      <c r="J4897" s="6">
        <v>8.99</v>
      </c>
      <c r="K4897">
        <v>1</v>
      </c>
      <c r="L4897" t="s">
        <v>43</v>
      </c>
      <c r="M4897" s="5">
        <v>5</v>
      </c>
      <c r="N4897" s="4">
        <v>0.28999999999999998</v>
      </c>
      <c r="O4897" t="s">
        <v>34</v>
      </c>
    </row>
    <row r="4898" spans="1:15" x14ac:dyDescent="0.3">
      <c r="A4898" t="s">
        <v>4722</v>
      </c>
      <c r="B4898" s="5">
        <v>68</v>
      </c>
      <c r="C4898" s="5" t="str" cm="1">
        <f t="array" ref="C4898">_xlfn.IFS(worksheet[[#This Row],[age]]&lt;25,"1. Young Adulthood (18-24)",worksheet[[#This Row],[age]]&lt; 35,"2. Early Adulthood (25-34)",worksheet[[#This Row],[age]]&lt; 45,"3. Mid Adulthood (35-44)",worksheet[[#This Row],[age]]&lt; 55,"4. Mature Adulthood (45-54)",TRUE,"5. Late Adulthood/Senior (55+)")</f>
        <v>5. Late Adulthood/Senior (55+)</v>
      </c>
      <c r="D4898" t="s">
        <v>27</v>
      </c>
      <c r="E4898" t="s">
        <v>16</v>
      </c>
      <c r="F4898" s="4">
        <v>24.27</v>
      </c>
      <c r="G4898" s="5">
        <v>33</v>
      </c>
      <c r="H4898" t="s">
        <v>28</v>
      </c>
      <c r="I4898" t="s">
        <v>18</v>
      </c>
      <c r="J4898" s="6">
        <v>8.99</v>
      </c>
      <c r="K4898">
        <v>1</v>
      </c>
      <c r="L4898" t="s">
        <v>19</v>
      </c>
      <c r="M4898" s="5">
        <v>1</v>
      </c>
      <c r="N4898" s="4">
        <v>0.71</v>
      </c>
      <c r="O4898" t="s">
        <v>39</v>
      </c>
    </row>
    <row r="4899" spans="1:15" x14ac:dyDescent="0.3">
      <c r="A4899" t="s">
        <v>4729</v>
      </c>
      <c r="B4899" s="5">
        <v>56</v>
      </c>
      <c r="C4899" s="5" t="str" cm="1">
        <f t="array" ref="C4899">_xlfn.IFS(worksheet[[#This Row],[age]]&lt;25,"1. Young Adulthood (18-24)",worksheet[[#This Row],[age]]&lt; 35,"2. Early Adulthood (25-34)",worksheet[[#This Row],[age]]&lt; 45,"3. Mid Adulthood (35-44)",worksheet[[#This Row],[age]]&lt; 55,"4. Mature Adulthood (45-54)",TRUE,"5. Late Adulthood/Senior (55+)")</f>
        <v>5. Late Adulthood/Senior (55+)</v>
      </c>
      <c r="D4899" t="s">
        <v>27</v>
      </c>
      <c r="E4899" t="s">
        <v>22</v>
      </c>
      <c r="F4899" s="4">
        <v>4.05</v>
      </c>
      <c r="G4899" s="5">
        <v>4</v>
      </c>
      <c r="H4899" t="s">
        <v>23</v>
      </c>
      <c r="I4899" t="s">
        <v>18</v>
      </c>
      <c r="J4899" s="6">
        <v>13.99</v>
      </c>
      <c r="K4899">
        <v>0</v>
      </c>
      <c r="L4899" t="s">
        <v>43</v>
      </c>
      <c r="M4899" s="5">
        <v>4</v>
      </c>
      <c r="N4899" s="4">
        <v>0.81</v>
      </c>
      <c r="O4899" t="s">
        <v>30</v>
      </c>
    </row>
    <row r="4900" spans="1:15" x14ac:dyDescent="0.3">
      <c r="A4900" t="s">
        <v>4735</v>
      </c>
      <c r="B4900" s="5">
        <v>67</v>
      </c>
      <c r="C4900" s="5" t="str" cm="1">
        <f t="array" ref="C4900">_xlfn.IFS(worksheet[[#This Row],[age]]&lt;25,"1. Young Adulthood (18-24)",worksheet[[#This Row],[age]]&lt; 35,"2. Early Adulthood (25-34)",worksheet[[#This Row],[age]]&lt; 45,"3. Mid Adulthood (35-44)",worksheet[[#This Row],[age]]&lt; 55,"4. Mature Adulthood (45-54)",TRUE,"5. Late Adulthood/Senior (55+)")</f>
        <v>5. Late Adulthood/Senior (55+)</v>
      </c>
      <c r="D4900" t="s">
        <v>41</v>
      </c>
      <c r="E4900" t="s">
        <v>32</v>
      </c>
      <c r="F4900" s="4">
        <v>18.54</v>
      </c>
      <c r="G4900" s="5">
        <v>58</v>
      </c>
      <c r="H4900" t="s">
        <v>17</v>
      </c>
      <c r="I4900" t="s">
        <v>46</v>
      </c>
      <c r="J4900" s="6">
        <v>17.989999999999998</v>
      </c>
      <c r="K4900">
        <v>0</v>
      </c>
      <c r="L4900" t="s">
        <v>43</v>
      </c>
      <c r="M4900" s="5">
        <v>5</v>
      </c>
      <c r="N4900" s="4">
        <v>0.31</v>
      </c>
      <c r="O4900" t="s">
        <v>47</v>
      </c>
    </row>
    <row r="4901" spans="1:15" x14ac:dyDescent="0.3">
      <c r="A4901" t="s">
        <v>4738</v>
      </c>
      <c r="B4901" s="5">
        <v>59</v>
      </c>
      <c r="C4901" s="5" t="str" cm="1">
        <f t="array" ref="C4901">_xlfn.IFS(worksheet[[#This Row],[age]]&lt;25,"1. Young Adulthood (18-24)",worksheet[[#This Row],[age]]&lt; 35,"2. Early Adulthood (25-34)",worksheet[[#This Row],[age]]&lt; 45,"3. Mid Adulthood (35-44)",worksheet[[#This Row],[age]]&lt; 55,"4. Mature Adulthood (45-54)",TRUE,"5. Late Adulthood/Senior (55+)")</f>
        <v>5. Late Adulthood/Senior (55+)</v>
      </c>
      <c r="D4901" t="s">
        <v>41</v>
      </c>
      <c r="E4901" t="s">
        <v>32</v>
      </c>
      <c r="F4901" s="4">
        <v>47.14</v>
      </c>
      <c r="G4901" s="5">
        <v>35</v>
      </c>
      <c r="H4901" t="s">
        <v>33</v>
      </c>
      <c r="I4901" t="s">
        <v>57</v>
      </c>
      <c r="J4901" s="6">
        <v>17.989999999999998</v>
      </c>
      <c r="K4901">
        <v>0</v>
      </c>
      <c r="L4901" t="s">
        <v>29</v>
      </c>
      <c r="M4901" s="5">
        <v>3</v>
      </c>
      <c r="N4901" s="4">
        <v>1.31</v>
      </c>
      <c r="O4901" t="s">
        <v>47</v>
      </c>
    </row>
    <row r="4902" spans="1:15" x14ac:dyDescent="0.3">
      <c r="A4902" t="s">
        <v>4740</v>
      </c>
      <c r="B4902" s="5">
        <v>62</v>
      </c>
      <c r="C4902" s="5" t="str" cm="1">
        <f t="array" ref="C4902">_xlfn.IFS(worksheet[[#This Row],[age]]&lt;25,"1. Young Adulthood (18-24)",worksheet[[#This Row],[age]]&lt; 35,"2. Early Adulthood (25-34)",worksheet[[#This Row],[age]]&lt; 45,"3. Mid Adulthood (35-44)",worksheet[[#This Row],[age]]&lt; 55,"4. Mature Adulthood (45-54)",TRUE,"5. Late Adulthood/Senior (55+)")</f>
        <v>5. Late Adulthood/Senior (55+)</v>
      </c>
      <c r="D4902" t="s">
        <v>41</v>
      </c>
      <c r="E4902" t="s">
        <v>16</v>
      </c>
      <c r="F4902" s="4">
        <v>3.31</v>
      </c>
      <c r="G4902" s="5">
        <v>21</v>
      </c>
      <c r="H4902" t="s">
        <v>17</v>
      </c>
      <c r="I4902" t="s">
        <v>18</v>
      </c>
      <c r="J4902" s="6">
        <v>8.99</v>
      </c>
      <c r="K4902">
        <v>1</v>
      </c>
      <c r="L4902" t="s">
        <v>19</v>
      </c>
      <c r="M4902" s="5">
        <v>3</v>
      </c>
      <c r="N4902" s="4">
        <v>0.15</v>
      </c>
      <c r="O4902" t="s">
        <v>20</v>
      </c>
    </row>
    <row r="4903" spans="1:15" x14ac:dyDescent="0.3">
      <c r="A4903" t="s">
        <v>4742</v>
      </c>
      <c r="B4903" s="5">
        <v>68</v>
      </c>
      <c r="C4903" s="5" t="str" cm="1">
        <f t="array" ref="C4903">_xlfn.IFS(worksheet[[#This Row],[age]]&lt;25,"1. Young Adulthood (18-24)",worksheet[[#This Row],[age]]&lt; 35,"2. Early Adulthood (25-34)",worksheet[[#This Row],[age]]&lt; 45,"3. Mid Adulthood (35-44)",worksheet[[#This Row],[age]]&lt; 55,"4. Mature Adulthood (45-54)",TRUE,"5. Late Adulthood/Senior (55+)")</f>
        <v>5. Late Adulthood/Senior (55+)</v>
      </c>
      <c r="D4903" t="s">
        <v>15</v>
      </c>
      <c r="E4903" t="s">
        <v>22</v>
      </c>
      <c r="F4903" s="4">
        <v>37.299999999999997</v>
      </c>
      <c r="G4903" s="5">
        <v>31</v>
      </c>
      <c r="H4903" t="s">
        <v>17</v>
      </c>
      <c r="I4903" t="s">
        <v>55</v>
      </c>
      <c r="J4903" s="6">
        <v>13.99</v>
      </c>
      <c r="K4903">
        <v>0</v>
      </c>
      <c r="L4903" t="s">
        <v>29</v>
      </c>
      <c r="M4903" s="5">
        <v>5</v>
      </c>
      <c r="N4903" s="4">
        <v>1.17</v>
      </c>
      <c r="O4903" t="s">
        <v>20</v>
      </c>
    </row>
    <row r="4904" spans="1:15" x14ac:dyDescent="0.3">
      <c r="A4904" t="s">
        <v>4744</v>
      </c>
      <c r="B4904" s="5">
        <v>55</v>
      </c>
      <c r="C4904" s="5" t="str" cm="1">
        <f t="array" ref="C4904">_xlfn.IFS(worksheet[[#This Row],[age]]&lt;25,"1. Young Adulthood (18-24)",worksheet[[#This Row],[age]]&lt; 35,"2. Early Adulthood (25-34)",worksheet[[#This Row],[age]]&lt; 45,"3. Mid Adulthood (35-44)",worksheet[[#This Row],[age]]&lt; 55,"4. Mature Adulthood (45-54)",TRUE,"5. Late Adulthood/Senior (55+)")</f>
        <v>5. Late Adulthood/Senior (55+)</v>
      </c>
      <c r="D4904" t="s">
        <v>41</v>
      </c>
      <c r="E4904" t="s">
        <v>32</v>
      </c>
      <c r="F4904" s="4">
        <v>6.14</v>
      </c>
      <c r="G4904" s="5">
        <v>25</v>
      </c>
      <c r="H4904" t="s">
        <v>33</v>
      </c>
      <c r="I4904" t="s">
        <v>55</v>
      </c>
      <c r="J4904" s="6">
        <v>17.989999999999998</v>
      </c>
      <c r="K4904">
        <v>0</v>
      </c>
      <c r="L4904" t="s">
        <v>61</v>
      </c>
      <c r="M4904" s="5">
        <v>4</v>
      </c>
      <c r="N4904" s="4">
        <v>0.24</v>
      </c>
      <c r="O4904" t="s">
        <v>47</v>
      </c>
    </row>
    <row r="4905" spans="1:15" x14ac:dyDescent="0.3">
      <c r="A4905" t="s">
        <v>4745</v>
      </c>
      <c r="B4905" s="5">
        <v>70</v>
      </c>
      <c r="C4905" s="5" t="str" cm="1">
        <f t="array" ref="C4905">_xlfn.IFS(worksheet[[#This Row],[age]]&lt;25,"1. Young Adulthood (18-24)",worksheet[[#This Row],[age]]&lt; 35,"2. Early Adulthood (25-34)",worksheet[[#This Row],[age]]&lt; 45,"3. Mid Adulthood (35-44)",worksheet[[#This Row],[age]]&lt; 55,"4. Mature Adulthood (45-54)",TRUE,"5. Late Adulthood/Senior (55+)")</f>
        <v>5. Late Adulthood/Senior (55+)</v>
      </c>
      <c r="D4905" t="s">
        <v>15</v>
      </c>
      <c r="E4905" t="s">
        <v>22</v>
      </c>
      <c r="F4905" s="4">
        <v>4.75</v>
      </c>
      <c r="G4905" s="5">
        <v>54</v>
      </c>
      <c r="H4905" t="s">
        <v>23</v>
      </c>
      <c r="I4905" t="s">
        <v>24</v>
      </c>
      <c r="J4905" s="6">
        <v>13.99</v>
      </c>
      <c r="K4905">
        <v>1</v>
      </c>
      <c r="L4905" t="s">
        <v>19</v>
      </c>
      <c r="M4905" s="5">
        <v>3</v>
      </c>
      <c r="N4905" s="4">
        <v>0.09</v>
      </c>
      <c r="O4905" t="s">
        <v>39</v>
      </c>
    </row>
    <row r="4906" spans="1:15" x14ac:dyDescent="0.3">
      <c r="A4906" t="s">
        <v>4746</v>
      </c>
      <c r="B4906" s="5">
        <v>69</v>
      </c>
      <c r="C4906" s="5" t="str" cm="1">
        <f t="array" ref="C4906">_xlfn.IFS(worksheet[[#This Row],[age]]&lt;25,"1. Young Adulthood (18-24)",worksheet[[#This Row],[age]]&lt; 35,"2. Early Adulthood (25-34)",worksheet[[#This Row],[age]]&lt; 45,"3. Mid Adulthood (35-44)",worksheet[[#This Row],[age]]&lt; 55,"4. Mature Adulthood (45-54)",TRUE,"5. Late Adulthood/Senior (55+)")</f>
        <v>5. Late Adulthood/Senior (55+)</v>
      </c>
      <c r="D4906" t="s">
        <v>41</v>
      </c>
      <c r="E4906" t="s">
        <v>22</v>
      </c>
      <c r="F4906" s="4">
        <v>7.26</v>
      </c>
      <c r="G4906" s="5">
        <v>48</v>
      </c>
      <c r="H4906" t="s">
        <v>17</v>
      </c>
      <c r="I4906" t="s">
        <v>55</v>
      </c>
      <c r="J4906" s="6">
        <v>13.99</v>
      </c>
      <c r="K4906">
        <v>0</v>
      </c>
      <c r="L4906" t="s">
        <v>61</v>
      </c>
      <c r="M4906" s="5">
        <v>5</v>
      </c>
      <c r="N4906" s="4">
        <v>0.15</v>
      </c>
      <c r="O4906" t="s">
        <v>39</v>
      </c>
    </row>
    <row r="4907" spans="1:15" x14ac:dyDescent="0.3">
      <c r="A4907" t="s">
        <v>4748</v>
      </c>
      <c r="B4907" s="5">
        <v>55</v>
      </c>
      <c r="C4907" s="5" t="str" cm="1">
        <f t="array" ref="C4907">_xlfn.IFS(worksheet[[#This Row],[age]]&lt;25,"1. Young Adulthood (18-24)",worksheet[[#This Row],[age]]&lt; 35,"2. Early Adulthood (25-34)",worksheet[[#This Row],[age]]&lt; 45,"3. Mid Adulthood (35-44)",worksheet[[#This Row],[age]]&lt; 55,"4. Mature Adulthood (45-54)",TRUE,"5. Late Adulthood/Senior (55+)")</f>
        <v>5. Late Adulthood/Senior (55+)</v>
      </c>
      <c r="D4907" t="s">
        <v>27</v>
      </c>
      <c r="E4907" t="s">
        <v>16</v>
      </c>
      <c r="F4907" s="4">
        <v>7.86</v>
      </c>
      <c r="G4907" s="5">
        <v>36</v>
      </c>
      <c r="H4907" t="s">
        <v>70</v>
      </c>
      <c r="I4907" t="s">
        <v>55</v>
      </c>
      <c r="J4907" s="6">
        <v>8.99</v>
      </c>
      <c r="K4907">
        <v>1</v>
      </c>
      <c r="L4907" t="s">
        <v>61</v>
      </c>
      <c r="M4907" s="5">
        <v>4</v>
      </c>
      <c r="N4907" s="4">
        <v>0.21</v>
      </c>
      <c r="O4907" t="s">
        <v>34</v>
      </c>
    </row>
    <row r="4908" spans="1:15" x14ac:dyDescent="0.3">
      <c r="A4908" t="s">
        <v>4751</v>
      </c>
      <c r="B4908" s="5">
        <v>62</v>
      </c>
      <c r="C4908" s="5" t="str" cm="1">
        <f t="array" ref="C4908">_xlfn.IFS(worksheet[[#This Row],[age]]&lt;25,"1. Young Adulthood (18-24)",worksheet[[#This Row],[age]]&lt; 35,"2. Early Adulthood (25-34)",worksheet[[#This Row],[age]]&lt; 45,"3. Mid Adulthood (35-44)",worksheet[[#This Row],[age]]&lt; 55,"4. Mature Adulthood (45-54)",TRUE,"5. Late Adulthood/Senior (55+)")</f>
        <v>5. Late Adulthood/Senior (55+)</v>
      </c>
      <c r="D4908" t="s">
        <v>27</v>
      </c>
      <c r="E4908" t="s">
        <v>16</v>
      </c>
      <c r="F4908" s="4">
        <v>6.12</v>
      </c>
      <c r="G4908" s="5">
        <v>51</v>
      </c>
      <c r="H4908" t="s">
        <v>17</v>
      </c>
      <c r="I4908" t="s">
        <v>57</v>
      </c>
      <c r="J4908" s="6">
        <v>8.99</v>
      </c>
      <c r="K4908">
        <v>1</v>
      </c>
      <c r="L4908" t="s">
        <v>19</v>
      </c>
      <c r="M4908" s="5">
        <v>2</v>
      </c>
      <c r="N4908" s="4">
        <v>0.12</v>
      </c>
      <c r="O4908" t="s">
        <v>25</v>
      </c>
    </row>
    <row r="4909" spans="1:15" x14ac:dyDescent="0.3">
      <c r="A4909" t="s">
        <v>4752</v>
      </c>
      <c r="B4909" s="5">
        <v>63</v>
      </c>
      <c r="C4909" s="5" t="str" cm="1">
        <f t="array" ref="C4909">_xlfn.IFS(worksheet[[#This Row],[age]]&lt;25,"1. Young Adulthood (18-24)",worksheet[[#This Row],[age]]&lt; 35,"2. Early Adulthood (25-34)",worksheet[[#This Row],[age]]&lt; 45,"3. Mid Adulthood (35-44)",worksheet[[#This Row],[age]]&lt; 55,"4. Mature Adulthood (45-54)",TRUE,"5. Late Adulthood/Senior (55+)")</f>
        <v>5. Late Adulthood/Senior (55+)</v>
      </c>
      <c r="D4909" t="s">
        <v>15</v>
      </c>
      <c r="E4909" t="s">
        <v>16</v>
      </c>
      <c r="F4909" s="4">
        <v>10.71</v>
      </c>
      <c r="G4909" s="5">
        <v>43</v>
      </c>
      <c r="H4909" t="s">
        <v>28</v>
      </c>
      <c r="I4909" t="s">
        <v>46</v>
      </c>
      <c r="J4909" s="6">
        <v>8.99</v>
      </c>
      <c r="K4909">
        <v>1</v>
      </c>
      <c r="L4909" t="s">
        <v>37</v>
      </c>
      <c r="M4909" s="5">
        <v>2</v>
      </c>
      <c r="N4909" s="4">
        <v>0.24</v>
      </c>
      <c r="O4909" t="s">
        <v>47</v>
      </c>
    </row>
    <row r="4910" spans="1:15" x14ac:dyDescent="0.3">
      <c r="A4910" t="s">
        <v>4758</v>
      </c>
      <c r="B4910" s="5">
        <v>64</v>
      </c>
      <c r="C4910" s="5" t="str" cm="1">
        <f t="array" ref="C4910">_xlfn.IFS(worksheet[[#This Row],[age]]&lt;25,"1. Young Adulthood (18-24)",worksheet[[#This Row],[age]]&lt; 35,"2. Early Adulthood (25-34)",worksheet[[#This Row],[age]]&lt; 45,"3. Mid Adulthood (35-44)",worksheet[[#This Row],[age]]&lt; 55,"4. Mature Adulthood (45-54)",TRUE,"5. Late Adulthood/Senior (55+)")</f>
        <v>5. Late Adulthood/Senior (55+)</v>
      </c>
      <c r="D4910" t="s">
        <v>15</v>
      </c>
      <c r="E4910" t="s">
        <v>32</v>
      </c>
      <c r="F4910" s="4">
        <v>7</v>
      </c>
      <c r="G4910" s="5">
        <v>9</v>
      </c>
      <c r="H4910" t="s">
        <v>33</v>
      </c>
      <c r="I4910" t="s">
        <v>24</v>
      </c>
      <c r="J4910" s="6">
        <v>17.989999999999998</v>
      </c>
      <c r="K4910">
        <v>0</v>
      </c>
      <c r="L4910" t="s">
        <v>29</v>
      </c>
      <c r="M4910" s="5">
        <v>4</v>
      </c>
      <c r="N4910" s="4">
        <v>0.7</v>
      </c>
      <c r="O4910" t="s">
        <v>30</v>
      </c>
    </row>
    <row r="4911" spans="1:15" x14ac:dyDescent="0.3">
      <c r="A4911" t="s">
        <v>4762</v>
      </c>
      <c r="B4911" s="5">
        <v>67</v>
      </c>
      <c r="C4911" s="5" t="str" cm="1">
        <f t="array" ref="C4911">_xlfn.IFS(worksheet[[#This Row],[age]]&lt;25,"1. Young Adulthood (18-24)",worksheet[[#This Row],[age]]&lt; 35,"2. Early Adulthood (25-34)",worksheet[[#This Row],[age]]&lt; 45,"3. Mid Adulthood (35-44)",worksheet[[#This Row],[age]]&lt; 55,"4. Mature Adulthood (45-54)",TRUE,"5. Late Adulthood/Senior (55+)")</f>
        <v>5. Late Adulthood/Senior (55+)</v>
      </c>
      <c r="D4911" t="s">
        <v>41</v>
      </c>
      <c r="E4911" t="s">
        <v>22</v>
      </c>
      <c r="F4911" s="4">
        <v>0.44</v>
      </c>
      <c r="G4911" s="5">
        <v>27</v>
      </c>
      <c r="H4911" t="s">
        <v>49</v>
      </c>
      <c r="I4911" t="s">
        <v>57</v>
      </c>
      <c r="J4911" s="6">
        <v>13.99</v>
      </c>
      <c r="K4911">
        <v>1</v>
      </c>
      <c r="L4911" t="s">
        <v>61</v>
      </c>
      <c r="M4911" s="5">
        <v>3</v>
      </c>
      <c r="N4911" s="4">
        <v>0.02</v>
      </c>
      <c r="O4911" t="s">
        <v>20</v>
      </c>
    </row>
    <row r="4912" spans="1:15" x14ac:dyDescent="0.3">
      <c r="A4912" t="s">
        <v>4763</v>
      </c>
      <c r="B4912" s="5">
        <v>70</v>
      </c>
      <c r="C4912" s="5" t="str" cm="1">
        <f t="array" ref="C4912">_xlfn.IFS(worksheet[[#This Row],[age]]&lt;25,"1. Young Adulthood (18-24)",worksheet[[#This Row],[age]]&lt; 35,"2. Early Adulthood (25-34)",worksheet[[#This Row],[age]]&lt; 45,"3. Mid Adulthood (35-44)",worksheet[[#This Row],[age]]&lt; 55,"4. Mature Adulthood (45-54)",TRUE,"5. Late Adulthood/Senior (55+)")</f>
        <v>5. Late Adulthood/Senior (55+)</v>
      </c>
      <c r="D4912" t="s">
        <v>27</v>
      </c>
      <c r="E4912" t="s">
        <v>22</v>
      </c>
      <c r="F4912" s="4">
        <v>7.16</v>
      </c>
      <c r="G4912" s="5">
        <v>40</v>
      </c>
      <c r="H4912" t="s">
        <v>23</v>
      </c>
      <c r="I4912" t="s">
        <v>57</v>
      </c>
      <c r="J4912" s="6">
        <v>13.99</v>
      </c>
      <c r="K4912">
        <v>1</v>
      </c>
      <c r="L4912" t="s">
        <v>37</v>
      </c>
      <c r="M4912" s="5">
        <v>1</v>
      </c>
      <c r="N4912" s="4">
        <v>0.17</v>
      </c>
      <c r="O4912" t="s">
        <v>47</v>
      </c>
    </row>
    <row r="4913" spans="1:15" x14ac:dyDescent="0.3">
      <c r="A4913" t="s">
        <v>4764</v>
      </c>
      <c r="B4913" s="5">
        <v>58</v>
      </c>
      <c r="C4913" s="5" t="str" cm="1">
        <f t="array" ref="C4913">_xlfn.IFS(worksheet[[#This Row],[age]]&lt;25,"1. Young Adulthood (18-24)",worksheet[[#This Row],[age]]&lt; 35,"2. Early Adulthood (25-34)",worksheet[[#This Row],[age]]&lt; 45,"3. Mid Adulthood (35-44)",worksheet[[#This Row],[age]]&lt; 55,"4. Mature Adulthood (45-54)",TRUE,"5. Late Adulthood/Senior (55+)")</f>
        <v>5. Late Adulthood/Senior (55+)</v>
      </c>
      <c r="D4913" t="s">
        <v>15</v>
      </c>
      <c r="E4913" t="s">
        <v>22</v>
      </c>
      <c r="F4913" s="4">
        <v>0.73</v>
      </c>
      <c r="G4913" s="5">
        <v>14</v>
      </c>
      <c r="H4913" t="s">
        <v>23</v>
      </c>
      <c r="I4913" t="s">
        <v>24</v>
      </c>
      <c r="J4913" s="6">
        <v>13.99</v>
      </c>
      <c r="K4913">
        <v>1</v>
      </c>
      <c r="L4913" t="s">
        <v>19</v>
      </c>
      <c r="M4913" s="5">
        <v>3</v>
      </c>
      <c r="N4913" s="4">
        <v>0.05</v>
      </c>
      <c r="O4913" t="s">
        <v>20</v>
      </c>
    </row>
    <row r="4914" spans="1:15" x14ac:dyDescent="0.3">
      <c r="A4914" t="s">
        <v>4767</v>
      </c>
      <c r="B4914" s="5">
        <v>61</v>
      </c>
      <c r="C4914" s="5" t="str" cm="1">
        <f t="array" ref="C4914">_xlfn.IFS(worksheet[[#This Row],[age]]&lt;25,"1. Young Adulthood (18-24)",worksheet[[#This Row],[age]]&lt; 35,"2. Early Adulthood (25-34)",worksheet[[#This Row],[age]]&lt; 45,"3. Mid Adulthood (35-44)",worksheet[[#This Row],[age]]&lt; 55,"4. Mature Adulthood (45-54)",TRUE,"5. Late Adulthood/Senior (55+)")</f>
        <v>5. Late Adulthood/Senior (55+)</v>
      </c>
      <c r="D4914" t="s">
        <v>41</v>
      </c>
      <c r="E4914" t="s">
        <v>16</v>
      </c>
      <c r="F4914" s="4">
        <v>20.11</v>
      </c>
      <c r="G4914" s="5">
        <v>17</v>
      </c>
      <c r="H4914" t="s">
        <v>70</v>
      </c>
      <c r="I4914" t="s">
        <v>55</v>
      </c>
      <c r="J4914" s="6">
        <v>8.99</v>
      </c>
      <c r="K4914">
        <v>0</v>
      </c>
      <c r="L4914" t="s">
        <v>37</v>
      </c>
      <c r="M4914" s="5">
        <v>1</v>
      </c>
      <c r="N4914" s="4">
        <v>1.1200000000000001</v>
      </c>
      <c r="O4914" t="s">
        <v>47</v>
      </c>
    </row>
    <row r="4915" spans="1:15" x14ac:dyDescent="0.3">
      <c r="A4915" t="s">
        <v>4769</v>
      </c>
      <c r="B4915" s="5">
        <v>63</v>
      </c>
      <c r="C4915" s="5" t="str" cm="1">
        <f t="array" ref="C4915">_xlfn.IFS(worksheet[[#This Row],[age]]&lt;25,"1. Young Adulthood (18-24)",worksheet[[#This Row],[age]]&lt; 35,"2. Early Adulthood (25-34)",worksheet[[#This Row],[age]]&lt; 45,"3. Mid Adulthood (35-44)",worksheet[[#This Row],[age]]&lt; 55,"4. Mature Adulthood (45-54)",TRUE,"5. Late Adulthood/Senior (55+)")</f>
        <v>5. Late Adulthood/Senior (55+)</v>
      </c>
      <c r="D4915" t="s">
        <v>15</v>
      </c>
      <c r="E4915" t="s">
        <v>22</v>
      </c>
      <c r="F4915" s="4">
        <v>11.42</v>
      </c>
      <c r="G4915" s="5">
        <v>57</v>
      </c>
      <c r="H4915" t="s">
        <v>23</v>
      </c>
      <c r="I4915" t="s">
        <v>55</v>
      </c>
      <c r="J4915" s="6">
        <v>13.99</v>
      </c>
      <c r="K4915">
        <v>1</v>
      </c>
      <c r="L4915" t="s">
        <v>61</v>
      </c>
      <c r="M4915" s="5">
        <v>1</v>
      </c>
      <c r="N4915" s="4">
        <v>0.2</v>
      </c>
      <c r="O4915" t="s">
        <v>34</v>
      </c>
    </row>
    <row r="4916" spans="1:15" x14ac:dyDescent="0.3">
      <c r="A4916" t="s">
        <v>4775</v>
      </c>
      <c r="B4916" s="5">
        <v>63</v>
      </c>
      <c r="C4916" s="5" t="str" cm="1">
        <f t="array" ref="C4916">_xlfn.IFS(worksheet[[#This Row],[age]]&lt;25,"1. Young Adulthood (18-24)",worksheet[[#This Row],[age]]&lt; 35,"2. Early Adulthood (25-34)",worksheet[[#This Row],[age]]&lt; 45,"3. Mid Adulthood (35-44)",worksheet[[#This Row],[age]]&lt; 55,"4. Mature Adulthood (45-54)",TRUE,"5. Late Adulthood/Senior (55+)")</f>
        <v>5. Late Adulthood/Senior (55+)</v>
      </c>
      <c r="D4916" t="s">
        <v>41</v>
      </c>
      <c r="E4916" t="s">
        <v>22</v>
      </c>
      <c r="F4916" s="4">
        <v>16.41</v>
      </c>
      <c r="G4916" s="5">
        <v>34</v>
      </c>
      <c r="H4916" t="s">
        <v>70</v>
      </c>
      <c r="I4916" t="s">
        <v>18</v>
      </c>
      <c r="J4916" s="6">
        <v>13.99</v>
      </c>
      <c r="K4916">
        <v>1</v>
      </c>
      <c r="L4916" t="s">
        <v>43</v>
      </c>
      <c r="M4916" s="5">
        <v>1</v>
      </c>
      <c r="N4916" s="4">
        <v>0.47</v>
      </c>
      <c r="O4916" t="s">
        <v>25</v>
      </c>
    </row>
    <row r="4917" spans="1:15" x14ac:dyDescent="0.3">
      <c r="A4917" t="s">
        <v>4781</v>
      </c>
      <c r="B4917" s="5">
        <v>66</v>
      </c>
      <c r="C4917" s="5" t="str" cm="1">
        <f t="array" ref="C4917">_xlfn.IFS(worksheet[[#This Row],[age]]&lt;25,"1. Young Adulthood (18-24)",worksheet[[#This Row],[age]]&lt; 35,"2. Early Adulthood (25-34)",worksheet[[#This Row],[age]]&lt; 45,"3. Mid Adulthood (35-44)",worksheet[[#This Row],[age]]&lt; 55,"4. Mature Adulthood (45-54)",TRUE,"5. Late Adulthood/Senior (55+)")</f>
        <v>5. Late Adulthood/Senior (55+)</v>
      </c>
      <c r="D4917" t="s">
        <v>15</v>
      </c>
      <c r="E4917" t="s">
        <v>16</v>
      </c>
      <c r="F4917" s="4">
        <v>1.21</v>
      </c>
      <c r="G4917" s="5">
        <v>7</v>
      </c>
      <c r="H4917" t="s">
        <v>17</v>
      </c>
      <c r="I4917" t="s">
        <v>18</v>
      </c>
      <c r="J4917" s="6">
        <v>8.99</v>
      </c>
      <c r="K4917">
        <v>1</v>
      </c>
      <c r="L4917" t="s">
        <v>29</v>
      </c>
      <c r="M4917" s="5">
        <v>5</v>
      </c>
      <c r="N4917" s="4">
        <v>0.15</v>
      </c>
      <c r="O4917" t="s">
        <v>52</v>
      </c>
    </row>
    <row r="4918" spans="1:15" x14ac:dyDescent="0.3">
      <c r="A4918" t="s">
        <v>4793</v>
      </c>
      <c r="B4918" s="5">
        <v>68</v>
      </c>
      <c r="C4918" s="5" t="str" cm="1">
        <f t="array" ref="C4918">_xlfn.IFS(worksheet[[#This Row],[age]]&lt;25,"1. Young Adulthood (18-24)",worksheet[[#This Row],[age]]&lt; 35,"2. Early Adulthood (25-34)",worksheet[[#This Row],[age]]&lt; 45,"3. Mid Adulthood (35-44)",worksheet[[#This Row],[age]]&lt; 55,"4. Mature Adulthood (45-54)",TRUE,"5. Late Adulthood/Senior (55+)")</f>
        <v>5. Late Adulthood/Senior (55+)</v>
      </c>
      <c r="D4918" t="s">
        <v>15</v>
      </c>
      <c r="E4918" t="s">
        <v>16</v>
      </c>
      <c r="F4918" s="4">
        <v>21.58</v>
      </c>
      <c r="G4918" s="5">
        <v>30</v>
      </c>
      <c r="H4918" t="s">
        <v>33</v>
      </c>
      <c r="I4918" t="s">
        <v>57</v>
      </c>
      <c r="J4918" s="6">
        <v>8.99</v>
      </c>
      <c r="K4918">
        <v>0</v>
      </c>
      <c r="L4918" t="s">
        <v>61</v>
      </c>
      <c r="M4918" s="5">
        <v>2</v>
      </c>
      <c r="N4918" s="4">
        <v>0.7</v>
      </c>
      <c r="O4918" t="s">
        <v>34</v>
      </c>
    </row>
    <row r="4919" spans="1:15" x14ac:dyDescent="0.3">
      <c r="A4919" t="s">
        <v>4798</v>
      </c>
      <c r="B4919" s="5">
        <v>70</v>
      </c>
      <c r="C4919" s="5" t="str" cm="1">
        <f t="array" ref="C4919">_xlfn.IFS(worksheet[[#This Row],[age]]&lt;25,"1. Young Adulthood (18-24)",worksheet[[#This Row],[age]]&lt; 35,"2. Early Adulthood (25-34)",worksheet[[#This Row],[age]]&lt; 45,"3. Mid Adulthood (35-44)",worksheet[[#This Row],[age]]&lt; 55,"4. Mature Adulthood (45-54)",TRUE,"5. Late Adulthood/Senior (55+)")</f>
        <v>5. Late Adulthood/Senior (55+)</v>
      </c>
      <c r="D4919" t="s">
        <v>15</v>
      </c>
      <c r="E4919" t="s">
        <v>22</v>
      </c>
      <c r="F4919" s="4">
        <v>1.42</v>
      </c>
      <c r="G4919" s="5">
        <v>17</v>
      </c>
      <c r="H4919" t="s">
        <v>49</v>
      </c>
      <c r="I4919" t="s">
        <v>46</v>
      </c>
      <c r="J4919" s="6">
        <v>13.99</v>
      </c>
      <c r="K4919">
        <v>1</v>
      </c>
      <c r="L4919" t="s">
        <v>37</v>
      </c>
      <c r="M4919" s="5">
        <v>2</v>
      </c>
      <c r="N4919" s="4">
        <v>0.08</v>
      </c>
      <c r="O4919" t="s">
        <v>47</v>
      </c>
    </row>
    <row r="4920" spans="1:15" x14ac:dyDescent="0.3">
      <c r="A4920" t="s">
        <v>4801</v>
      </c>
      <c r="B4920" s="5">
        <v>56</v>
      </c>
      <c r="C4920" s="5" t="str" cm="1">
        <f t="array" ref="C4920">_xlfn.IFS(worksheet[[#This Row],[age]]&lt;25,"1. Young Adulthood (18-24)",worksheet[[#This Row],[age]]&lt; 35,"2. Early Adulthood (25-34)",worksheet[[#This Row],[age]]&lt; 45,"3. Mid Adulthood (35-44)",worksheet[[#This Row],[age]]&lt; 55,"4. Mature Adulthood (45-54)",TRUE,"5. Late Adulthood/Senior (55+)")</f>
        <v>5. Late Adulthood/Senior (55+)</v>
      </c>
      <c r="D4920" t="s">
        <v>27</v>
      </c>
      <c r="E4920" t="s">
        <v>32</v>
      </c>
      <c r="F4920" s="4">
        <v>10.31</v>
      </c>
      <c r="G4920" s="5">
        <v>31</v>
      </c>
      <c r="H4920" t="s">
        <v>23</v>
      </c>
      <c r="I4920" t="s">
        <v>46</v>
      </c>
      <c r="J4920" s="6">
        <v>17.989999999999998</v>
      </c>
      <c r="K4920">
        <v>1</v>
      </c>
      <c r="L4920" t="s">
        <v>19</v>
      </c>
      <c r="M4920" s="5">
        <v>3</v>
      </c>
      <c r="N4920" s="4">
        <v>0.32</v>
      </c>
      <c r="O4920" t="s">
        <v>47</v>
      </c>
    </row>
    <row r="4921" spans="1:15" x14ac:dyDescent="0.3">
      <c r="A4921" t="s">
        <v>4810</v>
      </c>
      <c r="B4921" s="5">
        <v>56</v>
      </c>
      <c r="C4921" s="5" t="str" cm="1">
        <f t="array" ref="C4921">_xlfn.IFS(worksheet[[#This Row],[age]]&lt;25,"1. Young Adulthood (18-24)",worksheet[[#This Row],[age]]&lt; 35,"2. Early Adulthood (25-34)",worksheet[[#This Row],[age]]&lt; 45,"3. Mid Adulthood (35-44)",worksheet[[#This Row],[age]]&lt; 55,"4. Mature Adulthood (45-54)",TRUE,"5. Late Adulthood/Senior (55+)")</f>
        <v>5. Late Adulthood/Senior (55+)</v>
      </c>
      <c r="D4921" t="s">
        <v>41</v>
      </c>
      <c r="E4921" t="s">
        <v>16</v>
      </c>
      <c r="F4921" s="4">
        <v>6.72</v>
      </c>
      <c r="G4921" s="5">
        <v>1</v>
      </c>
      <c r="H4921" t="s">
        <v>33</v>
      </c>
      <c r="I4921" t="s">
        <v>46</v>
      </c>
      <c r="J4921" s="6">
        <v>8.99</v>
      </c>
      <c r="K4921">
        <v>0</v>
      </c>
      <c r="L4921" t="s">
        <v>37</v>
      </c>
      <c r="M4921" s="5">
        <v>2</v>
      </c>
      <c r="N4921" s="4">
        <v>3.36</v>
      </c>
      <c r="O4921" t="s">
        <v>39</v>
      </c>
    </row>
    <row r="4922" spans="1:15" x14ac:dyDescent="0.3">
      <c r="A4922" t="s">
        <v>4814</v>
      </c>
      <c r="B4922" s="5">
        <v>68</v>
      </c>
      <c r="C4922" s="5" t="str" cm="1">
        <f t="array" ref="C4922">_xlfn.IFS(worksheet[[#This Row],[age]]&lt;25,"1. Young Adulthood (18-24)",worksheet[[#This Row],[age]]&lt; 35,"2. Early Adulthood (25-34)",worksheet[[#This Row],[age]]&lt; 45,"3. Mid Adulthood (35-44)",worksheet[[#This Row],[age]]&lt; 55,"4. Mature Adulthood (45-54)",TRUE,"5. Late Adulthood/Senior (55+)")</f>
        <v>5. Late Adulthood/Senior (55+)</v>
      </c>
      <c r="D4922" t="s">
        <v>15</v>
      </c>
      <c r="E4922" t="s">
        <v>16</v>
      </c>
      <c r="F4922" s="4">
        <v>23.54</v>
      </c>
      <c r="G4922" s="5">
        <v>33</v>
      </c>
      <c r="H4922" t="s">
        <v>70</v>
      </c>
      <c r="I4922" t="s">
        <v>57</v>
      </c>
      <c r="J4922" s="6">
        <v>8.99</v>
      </c>
      <c r="K4922">
        <v>0</v>
      </c>
      <c r="L4922" t="s">
        <v>19</v>
      </c>
      <c r="M4922" s="5">
        <v>5</v>
      </c>
      <c r="N4922" s="4">
        <v>0.69</v>
      </c>
      <c r="O4922" t="s">
        <v>20</v>
      </c>
    </row>
    <row r="4923" spans="1:15" x14ac:dyDescent="0.3">
      <c r="A4923" t="s">
        <v>4818</v>
      </c>
      <c r="B4923" s="5">
        <v>64</v>
      </c>
      <c r="C4923" s="5" t="str" cm="1">
        <f t="array" ref="C4923">_xlfn.IFS(worksheet[[#This Row],[age]]&lt;25,"1. Young Adulthood (18-24)",worksheet[[#This Row],[age]]&lt; 35,"2. Early Adulthood (25-34)",worksheet[[#This Row],[age]]&lt; 45,"3. Mid Adulthood (35-44)",worksheet[[#This Row],[age]]&lt; 55,"4. Mature Adulthood (45-54)",TRUE,"5. Late Adulthood/Senior (55+)")</f>
        <v>5. Late Adulthood/Senior (55+)</v>
      </c>
      <c r="D4923" t="s">
        <v>27</v>
      </c>
      <c r="E4923" t="s">
        <v>22</v>
      </c>
      <c r="F4923" s="4">
        <v>13.89</v>
      </c>
      <c r="G4923" s="5">
        <v>43</v>
      </c>
      <c r="H4923" t="s">
        <v>33</v>
      </c>
      <c r="I4923" t="s">
        <v>57</v>
      </c>
      <c r="J4923" s="6">
        <v>13.99</v>
      </c>
      <c r="K4923">
        <v>1</v>
      </c>
      <c r="L4923" t="s">
        <v>61</v>
      </c>
      <c r="M4923" s="5">
        <v>1</v>
      </c>
      <c r="N4923" s="4">
        <v>0.32</v>
      </c>
      <c r="O4923" t="s">
        <v>52</v>
      </c>
    </row>
    <row r="4924" spans="1:15" x14ac:dyDescent="0.3">
      <c r="A4924" t="s">
        <v>4822</v>
      </c>
      <c r="B4924" s="5">
        <v>56</v>
      </c>
      <c r="C4924" s="5" t="str" cm="1">
        <f t="array" ref="C4924">_xlfn.IFS(worksheet[[#This Row],[age]]&lt;25,"1. Young Adulthood (18-24)",worksheet[[#This Row],[age]]&lt; 35,"2. Early Adulthood (25-34)",worksheet[[#This Row],[age]]&lt; 45,"3. Mid Adulthood (35-44)",worksheet[[#This Row],[age]]&lt; 55,"4. Mature Adulthood (45-54)",TRUE,"5. Late Adulthood/Senior (55+)")</f>
        <v>5. Late Adulthood/Senior (55+)</v>
      </c>
      <c r="D4924" t="s">
        <v>27</v>
      </c>
      <c r="E4924" t="s">
        <v>32</v>
      </c>
      <c r="F4924" s="4">
        <v>32.380000000000003</v>
      </c>
      <c r="G4924" s="5">
        <v>15</v>
      </c>
      <c r="H4924" t="s">
        <v>49</v>
      </c>
      <c r="I4924" t="s">
        <v>46</v>
      </c>
      <c r="J4924" s="6">
        <v>17.989999999999998</v>
      </c>
      <c r="K4924">
        <v>0</v>
      </c>
      <c r="L4924" t="s">
        <v>37</v>
      </c>
      <c r="M4924" s="5">
        <v>5</v>
      </c>
      <c r="N4924" s="4">
        <v>2.02</v>
      </c>
      <c r="O4924" t="s">
        <v>47</v>
      </c>
    </row>
    <row r="4925" spans="1:15" x14ac:dyDescent="0.3">
      <c r="A4925" t="s">
        <v>4823</v>
      </c>
      <c r="B4925" s="5">
        <v>59</v>
      </c>
      <c r="C4925" s="5" t="str" cm="1">
        <f t="array" ref="C4925">_xlfn.IFS(worksheet[[#This Row],[age]]&lt;25,"1. Young Adulthood (18-24)",worksheet[[#This Row],[age]]&lt; 35,"2. Early Adulthood (25-34)",worksheet[[#This Row],[age]]&lt; 45,"3. Mid Adulthood (35-44)",worksheet[[#This Row],[age]]&lt; 55,"4. Mature Adulthood (45-54)",TRUE,"5. Late Adulthood/Senior (55+)")</f>
        <v>5. Late Adulthood/Senior (55+)</v>
      </c>
      <c r="D4925" t="s">
        <v>41</v>
      </c>
      <c r="E4925" t="s">
        <v>22</v>
      </c>
      <c r="F4925" s="4">
        <v>4.41</v>
      </c>
      <c r="G4925" s="5">
        <v>35</v>
      </c>
      <c r="H4925" t="s">
        <v>23</v>
      </c>
      <c r="I4925" t="s">
        <v>18</v>
      </c>
      <c r="J4925" s="6">
        <v>13.99</v>
      </c>
      <c r="K4925">
        <v>1</v>
      </c>
      <c r="L4925" t="s">
        <v>29</v>
      </c>
      <c r="M4925" s="5">
        <v>3</v>
      </c>
      <c r="N4925" s="4">
        <v>0.12</v>
      </c>
      <c r="O4925" t="s">
        <v>39</v>
      </c>
    </row>
    <row r="4926" spans="1:15" x14ac:dyDescent="0.3">
      <c r="A4926" t="s">
        <v>4825</v>
      </c>
      <c r="B4926" s="5">
        <v>56</v>
      </c>
      <c r="C4926" s="5" t="str" cm="1">
        <f t="array" ref="C4926">_xlfn.IFS(worksheet[[#This Row],[age]]&lt;25,"1. Young Adulthood (18-24)",worksheet[[#This Row],[age]]&lt; 35,"2. Early Adulthood (25-34)",worksheet[[#This Row],[age]]&lt; 45,"3. Mid Adulthood (35-44)",worksheet[[#This Row],[age]]&lt; 55,"4. Mature Adulthood (45-54)",TRUE,"5. Late Adulthood/Senior (55+)")</f>
        <v>5. Late Adulthood/Senior (55+)</v>
      </c>
      <c r="D4926" t="s">
        <v>41</v>
      </c>
      <c r="E4926" t="s">
        <v>16</v>
      </c>
      <c r="F4926" s="4">
        <v>7.39</v>
      </c>
      <c r="G4926" s="5">
        <v>53</v>
      </c>
      <c r="H4926" t="s">
        <v>49</v>
      </c>
      <c r="I4926" t="s">
        <v>24</v>
      </c>
      <c r="J4926" s="6">
        <v>8.99</v>
      </c>
      <c r="K4926">
        <v>1</v>
      </c>
      <c r="L4926" t="s">
        <v>37</v>
      </c>
      <c r="M4926" s="5">
        <v>1</v>
      </c>
      <c r="N4926" s="4">
        <v>0.14000000000000001</v>
      </c>
      <c r="O4926" t="s">
        <v>47</v>
      </c>
    </row>
    <row r="4927" spans="1:15" x14ac:dyDescent="0.3">
      <c r="A4927" t="s">
        <v>4827</v>
      </c>
      <c r="B4927" s="5">
        <v>65</v>
      </c>
      <c r="C4927" s="5" t="str" cm="1">
        <f t="array" ref="C4927">_xlfn.IFS(worksheet[[#This Row],[age]]&lt;25,"1. Young Adulthood (18-24)",worksheet[[#This Row],[age]]&lt; 35,"2. Early Adulthood (25-34)",worksheet[[#This Row],[age]]&lt; 45,"3. Mid Adulthood (35-44)",worksheet[[#This Row],[age]]&lt; 55,"4. Mature Adulthood (45-54)",TRUE,"5. Late Adulthood/Senior (55+)")</f>
        <v>5. Late Adulthood/Senior (55+)</v>
      </c>
      <c r="D4927" t="s">
        <v>15</v>
      </c>
      <c r="E4927" t="s">
        <v>22</v>
      </c>
      <c r="F4927" s="4">
        <v>2.92</v>
      </c>
      <c r="G4927" s="5">
        <v>1</v>
      </c>
      <c r="H4927" t="s">
        <v>17</v>
      </c>
      <c r="I4927" t="s">
        <v>18</v>
      </c>
      <c r="J4927" s="6">
        <v>13.99</v>
      </c>
      <c r="K4927">
        <v>0</v>
      </c>
      <c r="L4927" t="s">
        <v>61</v>
      </c>
      <c r="M4927" s="5">
        <v>5</v>
      </c>
      <c r="N4927" s="4">
        <v>1.46</v>
      </c>
      <c r="O4927" t="s">
        <v>52</v>
      </c>
    </row>
    <row r="4928" spans="1:15" x14ac:dyDescent="0.3">
      <c r="A4928" t="s">
        <v>4830</v>
      </c>
      <c r="B4928" s="5">
        <v>66</v>
      </c>
      <c r="C4928" s="5" t="str" cm="1">
        <f t="array" ref="C4928">_xlfn.IFS(worksheet[[#This Row],[age]]&lt;25,"1. Young Adulthood (18-24)",worksheet[[#This Row],[age]]&lt; 35,"2. Early Adulthood (25-34)",worksheet[[#This Row],[age]]&lt; 45,"3. Mid Adulthood (35-44)",worksheet[[#This Row],[age]]&lt; 55,"4. Mature Adulthood (45-54)",TRUE,"5. Late Adulthood/Senior (55+)")</f>
        <v>5. Late Adulthood/Senior (55+)</v>
      </c>
      <c r="D4928" t="s">
        <v>41</v>
      </c>
      <c r="E4928" t="s">
        <v>32</v>
      </c>
      <c r="F4928" s="4">
        <v>42.58</v>
      </c>
      <c r="G4928" s="5">
        <v>54</v>
      </c>
      <c r="H4928" t="s">
        <v>70</v>
      </c>
      <c r="I4928" t="s">
        <v>55</v>
      </c>
      <c r="J4928" s="6">
        <v>17.989999999999998</v>
      </c>
      <c r="K4928">
        <v>0</v>
      </c>
      <c r="L4928" t="s">
        <v>61</v>
      </c>
      <c r="M4928" s="5">
        <v>3</v>
      </c>
      <c r="N4928" s="4">
        <v>0.77</v>
      </c>
      <c r="O4928" t="s">
        <v>39</v>
      </c>
    </row>
    <row r="4929" spans="1:15" x14ac:dyDescent="0.3">
      <c r="A4929" t="s">
        <v>4831</v>
      </c>
      <c r="B4929" s="5">
        <v>70</v>
      </c>
      <c r="C4929" s="5" t="str" cm="1">
        <f t="array" ref="C4929">_xlfn.IFS(worksheet[[#This Row],[age]]&lt;25,"1. Young Adulthood (18-24)",worksheet[[#This Row],[age]]&lt; 35,"2. Early Adulthood (25-34)",worksheet[[#This Row],[age]]&lt; 45,"3. Mid Adulthood (35-44)",worksheet[[#This Row],[age]]&lt; 55,"4. Mature Adulthood (45-54)",TRUE,"5. Late Adulthood/Senior (55+)")</f>
        <v>5. Late Adulthood/Senior (55+)</v>
      </c>
      <c r="D4929" t="s">
        <v>15</v>
      </c>
      <c r="E4929" t="s">
        <v>16</v>
      </c>
      <c r="F4929" s="4">
        <v>7.97</v>
      </c>
      <c r="G4929" s="5">
        <v>24</v>
      </c>
      <c r="H4929" t="s">
        <v>23</v>
      </c>
      <c r="I4929" t="s">
        <v>55</v>
      </c>
      <c r="J4929" s="6">
        <v>8.99</v>
      </c>
      <c r="K4929">
        <v>1</v>
      </c>
      <c r="L4929" t="s">
        <v>19</v>
      </c>
      <c r="M4929" s="5">
        <v>2</v>
      </c>
      <c r="N4929" s="4">
        <v>0.32</v>
      </c>
      <c r="O4929" t="s">
        <v>30</v>
      </c>
    </row>
    <row r="4930" spans="1:15" x14ac:dyDescent="0.3">
      <c r="A4930" t="s">
        <v>4833</v>
      </c>
      <c r="B4930" s="5">
        <v>64</v>
      </c>
      <c r="C4930" s="5" t="str" cm="1">
        <f t="array" ref="C4930">_xlfn.IFS(worksheet[[#This Row],[age]]&lt;25,"1. Young Adulthood (18-24)",worksheet[[#This Row],[age]]&lt; 35,"2. Early Adulthood (25-34)",worksheet[[#This Row],[age]]&lt; 45,"3. Mid Adulthood (35-44)",worksheet[[#This Row],[age]]&lt; 55,"4. Mature Adulthood (45-54)",TRUE,"5. Late Adulthood/Senior (55+)")</f>
        <v>5. Late Adulthood/Senior (55+)</v>
      </c>
      <c r="D4930" t="s">
        <v>41</v>
      </c>
      <c r="E4930" t="s">
        <v>32</v>
      </c>
      <c r="F4930" s="4">
        <v>6.42</v>
      </c>
      <c r="G4930" s="5">
        <v>35</v>
      </c>
      <c r="H4930" t="s">
        <v>33</v>
      </c>
      <c r="I4930" t="s">
        <v>57</v>
      </c>
      <c r="J4930" s="6">
        <v>17.989999999999998</v>
      </c>
      <c r="K4930">
        <v>1</v>
      </c>
      <c r="L4930" t="s">
        <v>29</v>
      </c>
      <c r="M4930" s="5">
        <v>5</v>
      </c>
      <c r="N4930" s="4">
        <v>0.18</v>
      </c>
      <c r="O4930" t="s">
        <v>25</v>
      </c>
    </row>
    <row r="4931" spans="1:15" x14ac:dyDescent="0.3">
      <c r="A4931" t="s">
        <v>4834</v>
      </c>
      <c r="B4931" s="5">
        <v>58</v>
      </c>
      <c r="C4931" s="5" t="str" cm="1">
        <f t="array" ref="C4931">_xlfn.IFS(worksheet[[#This Row],[age]]&lt;25,"1. Young Adulthood (18-24)",worksheet[[#This Row],[age]]&lt; 35,"2. Early Adulthood (25-34)",worksheet[[#This Row],[age]]&lt; 45,"3. Mid Adulthood (35-44)",worksheet[[#This Row],[age]]&lt; 55,"4. Mature Adulthood (45-54)",TRUE,"5. Late Adulthood/Senior (55+)")</f>
        <v>5. Late Adulthood/Senior (55+)</v>
      </c>
      <c r="D4931" t="s">
        <v>27</v>
      </c>
      <c r="E4931" t="s">
        <v>32</v>
      </c>
      <c r="F4931" s="4">
        <v>30.44</v>
      </c>
      <c r="G4931" s="5">
        <v>57</v>
      </c>
      <c r="H4931" t="s">
        <v>23</v>
      </c>
      <c r="I4931" t="s">
        <v>57</v>
      </c>
      <c r="J4931" s="6">
        <v>17.989999999999998</v>
      </c>
      <c r="K4931">
        <v>0</v>
      </c>
      <c r="L4931" t="s">
        <v>29</v>
      </c>
      <c r="M4931" s="5">
        <v>3</v>
      </c>
      <c r="N4931" s="4">
        <v>0.52</v>
      </c>
      <c r="O4931" t="s">
        <v>52</v>
      </c>
    </row>
    <row r="4932" spans="1:15" x14ac:dyDescent="0.3">
      <c r="A4932" t="s">
        <v>4835</v>
      </c>
      <c r="B4932" s="5">
        <v>58</v>
      </c>
      <c r="C4932" s="5" t="str" cm="1">
        <f t="array" ref="C4932">_xlfn.IFS(worksheet[[#This Row],[age]]&lt;25,"1. Young Adulthood (18-24)",worksheet[[#This Row],[age]]&lt; 35,"2. Early Adulthood (25-34)",worksheet[[#This Row],[age]]&lt; 45,"3. Mid Adulthood (35-44)",worksheet[[#This Row],[age]]&lt; 55,"4. Mature Adulthood (45-54)",TRUE,"5. Late Adulthood/Senior (55+)")</f>
        <v>5. Late Adulthood/Senior (55+)</v>
      </c>
      <c r="D4932" t="s">
        <v>41</v>
      </c>
      <c r="E4932" t="s">
        <v>32</v>
      </c>
      <c r="F4932" s="4">
        <v>32.880000000000003</v>
      </c>
      <c r="G4932" s="5">
        <v>0</v>
      </c>
      <c r="H4932" t="s">
        <v>49</v>
      </c>
      <c r="I4932" t="s">
        <v>57</v>
      </c>
      <c r="J4932" s="6">
        <v>17.989999999999998</v>
      </c>
      <c r="K4932">
        <v>0</v>
      </c>
      <c r="L4932" t="s">
        <v>37</v>
      </c>
      <c r="M4932" s="5">
        <v>5</v>
      </c>
      <c r="N4932" s="4">
        <v>32.880000000000003</v>
      </c>
      <c r="O4932" t="s">
        <v>39</v>
      </c>
    </row>
    <row r="4933" spans="1:15" x14ac:dyDescent="0.3">
      <c r="A4933" t="s">
        <v>4838</v>
      </c>
      <c r="B4933" s="5">
        <v>58</v>
      </c>
      <c r="C4933" s="5" t="str" cm="1">
        <f t="array" ref="C4933">_xlfn.IFS(worksheet[[#This Row],[age]]&lt;25,"1. Young Adulthood (18-24)",worksheet[[#This Row],[age]]&lt; 35,"2. Early Adulthood (25-34)",worksheet[[#This Row],[age]]&lt; 45,"3. Mid Adulthood (35-44)",worksheet[[#This Row],[age]]&lt; 55,"4. Mature Adulthood (45-54)",TRUE,"5. Late Adulthood/Senior (55+)")</f>
        <v>5. Late Adulthood/Senior (55+)</v>
      </c>
      <c r="D4933" t="s">
        <v>27</v>
      </c>
      <c r="E4933" t="s">
        <v>32</v>
      </c>
      <c r="F4933" s="4">
        <v>30.18</v>
      </c>
      <c r="G4933" s="5">
        <v>48</v>
      </c>
      <c r="H4933" t="s">
        <v>28</v>
      </c>
      <c r="I4933" t="s">
        <v>55</v>
      </c>
      <c r="J4933" s="6">
        <v>17.989999999999998</v>
      </c>
      <c r="K4933">
        <v>0</v>
      </c>
      <c r="L4933" t="s">
        <v>61</v>
      </c>
      <c r="M4933" s="5">
        <v>4</v>
      </c>
      <c r="N4933" s="4">
        <v>0.62</v>
      </c>
      <c r="O4933" t="s">
        <v>34</v>
      </c>
    </row>
    <row r="4934" spans="1:15" x14ac:dyDescent="0.3">
      <c r="A4934" t="s">
        <v>4839</v>
      </c>
      <c r="B4934" s="5">
        <v>62</v>
      </c>
      <c r="C4934" s="5" t="str" cm="1">
        <f t="array" ref="C4934">_xlfn.IFS(worksheet[[#This Row],[age]]&lt;25,"1. Young Adulthood (18-24)",worksheet[[#This Row],[age]]&lt; 35,"2. Early Adulthood (25-34)",worksheet[[#This Row],[age]]&lt; 45,"3. Mid Adulthood (35-44)",worksheet[[#This Row],[age]]&lt; 55,"4. Mature Adulthood (45-54)",TRUE,"5. Late Adulthood/Senior (55+)")</f>
        <v>5. Late Adulthood/Senior (55+)</v>
      </c>
      <c r="D4934" t="s">
        <v>15</v>
      </c>
      <c r="E4934" t="s">
        <v>22</v>
      </c>
      <c r="F4934" s="4">
        <v>3.61</v>
      </c>
      <c r="G4934" s="5">
        <v>0</v>
      </c>
      <c r="H4934" t="s">
        <v>33</v>
      </c>
      <c r="I4934" t="s">
        <v>55</v>
      </c>
      <c r="J4934" s="6">
        <v>13.99</v>
      </c>
      <c r="K4934">
        <v>0</v>
      </c>
      <c r="L4934" t="s">
        <v>43</v>
      </c>
      <c r="M4934" s="5">
        <v>3</v>
      </c>
      <c r="N4934" s="4">
        <v>3.61</v>
      </c>
      <c r="O4934" t="s">
        <v>39</v>
      </c>
    </row>
    <row r="4935" spans="1:15" x14ac:dyDescent="0.3">
      <c r="A4935" t="s">
        <v>4846</v>
      </c>
      <c r="B4935" s="5">
        <v>64</v>
      </c>
      <c r="C4935" s="5" t="str" cm="1">
        <f t="array" ref="C4935">_xlfn.IFS(worksheet[[#This Row],[age]]&lt;25,"1. Young Adulthood (18-24)",worksheet[[#This Row],[age]]&lt; 35,"2. Early Adulthood (25-34)",worksheet[[#This Row],[age]]&lt; 45,"3. Mid Adulthood (35-44)",worksheet[[#This Row],[age]]&lt; 55,"4. Mature Adulthood (45-54)",TRUE,"5. Late Adulthood/Senior (55+)")</f>
        <v>5. Late Adulthood/Senior (55+)</v>
      </c>
      <c r="D4935" t="s">
        <v>41</v>
      </c>
      <c r="E4935" t="s">
        <v>22</v>
      </c>
      <c r="F4935" s="4">
        <v>7.6</v>
      </c>
      <c r="G4935" s="5">
        <v>44</v>
      </c>
      <c r="H4935" t="s">
        <v>17</v>
      </c>
      <c r="I4935" t="s">
        <v>46</v>
      </c>
      <c r="J4935" s="6">
        <v>13.99</v>
      </c>
      <c r="K4935">
        <v>1</v>
      </c>
      <c r="L4935" t="s">
        <v>37</v>
      </c>
      <c r="M4935" s="5">
        <v>1</v>
      </c>
      <c r="N4935" s="4">
        <v>0.17</v>
      </c>
      <c r="O4935" t="s">
        <v>30</v>
      </c>
    </row>
    <row r="4936" spans="1:15" x14ac:dyDescent="0.3">
      <c r="A4936" t="s">
        <v>4847</v>
      </c>
      <c r="B4936" s="5">
        <v>60</v>
      </c>
      <c r="C4936" s="5" t="str" cm="1">
        <f t="array" ref="C4936">_xlfn.IFS(worksheet[[#This Row],[age]]&lt;25,"1. Young Adulthood (18-24)",worksheet[[#This Row],[age]]&lt; 35,"2. Early Adulthood (25-34)",worksheet[[#This Row],[age]]&lt; 45,"3. Mid Adulthood (35-44)",worksheet[[#This Row],[age]]&lt; 55,"4. Mature Adulthood (45-54)",TRUE,"5. Late Adulthood/Senior (55+)")</f>
        <v>5. Late Adulthood/Senior (55+)</v>
      </c>
      <c r="D4936" t="s">
        <v>15</v>
      </c>
      <c r="E4936" t="s">
        <v>32</v>
      </c>
      <c r="F4936" s="4">
        <v>8.4</v>
      </c>
      <c r="G4936" s="5">
        <v>53</v>
      </c>
      <c r="H4936" t="s">
        <v>23</v>
      </c>
      <c r="I4936" t="s">
        <v>18</v>
      </c>
      <c r="J4936" s="6">
        <v>17.989999999999998</v>
      </c>
      <c r="K4936">
        <v>1</v>
      </c>
      <c r="L4936" t="s">
        <v>61</v>
      </c>
      <c r="M4936" s="5">
        <v>2</v>
      </c>
      <c r="N4936" s="4">
        <v>0.16</v>
      </c>
      <c r="O4936" t="s">
        <v>52</v>
      </c>
    </row>
    <row r="4937" spans="1:15" x14ac:dyDescent="0.3">
      <c r="A4937" t="s">
        <v>4848</v>
      </c>
      <c r="B4937" s="5">
        <v>59</v>
      </c>
      <c r="C4937" s="5" t="str" cm="1">
        <f t="array" ref="C4937">_xlfn.IFS(worksheet[[#This Row],[age]]&lt;25,"1. Young Adulthood (18-24)",worksheet[[#This Row],[age]]&lt; 35,"2. Early Adulthood (25-34)",worksheet[[#This Row],[age]]&lt; 45,"3. Mid Adulthood (35-44)",worksheet[[#This Row],[age]]&lt; 55,"4. Mature Adulthood (45-54)",TRUE,"5. Late Adulthood/Senior (55+)")</f>
        <v>5. Late Adulthood/Senior (55+)</v>
      </c>
      <c r="D4937" t="s">
        <v>27</v>
      </c>
      <c r="E4937" t="s">
        <v>22</v>
      </c>
      <c r="F4937" s="4">
        <v>29.55</v>
      </c>
      <c r="G4937" s="5">
        <v>0</v>
      </c>
      <c r="H4937" t="s">
        <v>49</v>
      </c>
      <c r="I4937" t="s">
        <v>46</v>
      </c>
      <c r="J4937" s="6">
        <v>13.99</v>
      </c>
      <c r="K4937">
        <v>0</v>
      </c>
      <c r="L4937" t="s">
        <v>29</v>
      </c>
      <c r="M4937" s="5">
        <v>5</v>
      </c>
      <c r="N4937" s="4">
        <v>29.55</v>
      </c>
      <c r="O4937" t="s">
        <v>39</v>
      </c>
    </row>
    <row r="4938" spans="1:15" x14ac:dyDescent="0.3">
      <c r="A4938" t="s">
        <v>4850</v>
      </c>
      <c r="B4938" s="5">
        <v>61</v>
      </c>
      <c r="C4938" s="5" t="str" cm="1">
        <f t="array" ref="C4938">_xlfn.IFS(worksheet[[#This Row],[age]]&lt;25,"1. Young Adulthood (18-24)",worksheet[[#This Row],[age]]&lt; 35,"2. Early Adulthood (25-34)",worksheet[[#This Row],[age]]&lt; 45,"3. Mid Adulthood (35-44)",worksheet[[#This Row],[age]]&lt; 55,"4. Mature Adulthood (45-54)",TRUE,"5. Late Adulthood/Senior (55+)")</f>
        <v>5. Late Adulthood/Senior (55+)</v>
      </c>
      <c r="D4938" t="s">
        <v>27</v>
      </c>
      <c r="E4938" t="s">
        <v>32</v>
      </c>
      <c r="F4938" s="4">
        <v>0.78</v>
      </c>
      <c r="G4938" s="5">
        <v>33</v>
      </c>
      <c r="H4938" t="s">
        <v>70</v>
      </c>
      <c r="I4938" t="s">
        <v>18</v>
      </c>
      <c r="J4938" s="6">
        <v>17.989999999999998</v>
      </c>
      <c r="K4938">
        <v>1</v>
      </c>
      <c r="L4938" t="s">
        <v>43</v>
      </c>
      <c r="M4938" s="5">
        <v>5</v>
      </c>
      <c r="N4938" s="4">
        <v>0.02</v>
      </c>
      <c r="O4938" t="s">
        <v>25</v>
      </c>
    </row>
    <row r="4939" spans="1:15" x14ac:dyDescent="0.3">
      <c r="A4939" s="1" t="s">
        <v>4851</v>
      </c>
      <c r="B4939" s="5">
        <v>65</v>
      </c>
      <c r="C4939" s="5" t="str" cm="1">
        <f t="array" ref="C4939">_xlfn.IFS(worksheet[[#This Row],[age]]&lt;25,"1. Young Adulthood (18-24)",worksheet[[#This Row],[age]]&lt; 35,"2. Early Adulthood (25-34)",worksheet[[#This Row],[age]]&lt; 45,"3. Mid Adulthood (35-44)",worksheet[[#This Row],[age]]&lt; 55,"4. Mature Adulthood (45-54)",TRUE,"5. Late Adulthood/Senior (55+)")</f>
        <v>5. Late Adulthood/Senior (55+)</v>
      </c>
      <c r="D4939" t="s">
        <v>41</v>
      </c>
      <c r="E4939" t="s">
        <v>32</v>
      </c>
      <c r="F4939" s="4">
        <v>31.99</v>
      </c>
      <c r="G4939" s="5">
        <v>57</v>
      </c>
      <c r="H4939" t="s">
        <v>28</v>
      </c>
      <c r="I4939" t="s">
        <v>24</v>
      </c>
      <c r="J4939" s="6">
        <v>17.989999999999998</v>
      </c>
      <c r="K4939">
        <v>0</v>
      </c>
      <c r="L4939" t="s">
        <v>43</v>
      </c>
      <c r="M4939" s="5">
        <v>2</v>
      </c>
      <c r="N4939" s="4">
        <v>0.55000000000000004</v>
      </c>
      <c r="O4939" t="s">
        <v>20</v>
      </c>
    </row>
    <row r="4940" spans="1:15" x14ac:dyDescent="0.3">
      <c r="A4940" t="s">
        <v>4857</v>
      </c>
      <c r="B4940" s="5">
        <v>65</v>
      </c>
      <c r="C4940" s="5" t="str" cm="1">
        <f t="array" ref="C4940">_xlfn.IFS(worksheet[[#This Row],[age]]&lt;25,"1. Young Adulthood (18-24)",worksheet[[#This Row],[age]]&lt; 35,"2. Early Adulthood (25-34)",worksheet[[#This Row],[age]]&lt; 45,"3. Mid Adulthood (35-44)",worksheet[[#This Row],[age]]&lt; 55,"4. Mature Adulthood (45-54)",TRUE,"5. Late Adulthood/Senior (55+)")</f>
        <v>5. Late Adulthood/Senior (55+)</v>
      </c>
      <c r="D4940" t="s">
        <v>27</v>
      </c>
      <c r="E4940" t="s">
        <v>16</v>
      </c>
      <c r="F4940" s="4">
        <v>1.64</v>
      </c>
      <c r="G4940" s="5">
        <v>43</v>
      </c>
      <c r="H4940" t="s">
        <v>17</v>
      </c>
      <c r="I4940" t="s">
        <v>57</v>
      </c>
      <c r="J4940" s="6">
        <v>8.99</v>
      </c>
      <c r="K4940">
        <v>1</v>
      </c>
      <c r="L4940" t="s">
        <v>19</v>
      </c>
      <c r="M4940" s="5">
        <v>1</v>
      </c>
      <c r="N4940" s="4">
        <v>0.04</v>
      </c>
      <c r="O4940" t="s">
        <v>47</v>
      </c>
    </row>
    <row r="4941" spans="1:15" x14ac:dyDescent="0.3">
      <c r="A4941" t="s">
        <v>4858</v>
      </c>
      <c r="B4941" s="5">
        <v>63</v>
      </c>
      <c r="C4941" s="5" t="str" cm="1">
        <f t="array" ref="C4941">_xlfn.IFS(worksheet[[#This Row],[age]]&lt;25,"1. Young Adulthood (18-24)",worksheet[[#This Row],[age]]&lt; 35,"2. Early Adulthood (25-34)",worksheet[[#This Row],[age]]&lt; 45,"3. Mid Adulthood (35-44)",worksheet[[#This Row],[age]]&lt; 55,"4. Mature Adulthood (45-54)",TRUE,"5. Late Adulthood/Senior (55+)")</f>
        <v>5. Late Adulthood/Senior (55+)</v>
      </c>
      <c r="D4941" t="s">
        <v>15</v>
      </c>
      <c r="E4941" t="s">
        <v>32</v>
      </c>
      <c r="F4941" s="4">
        <v>51.75</v>
      </c>
      <c r="G4941" s="5">
        <v>30</v>
      </c>
      <c r="H4941" t="s">
        <v>28</v>
      </c>
      <c r="I4941" t="s">
        <v>18</v>
      </c>
      <c r="J4941" s="6">
        <v>17.989999999999998</v>
      </c>
      <c r="K4941">
        <v>0</v>
      </c>
      <c r="L4941" t="s">
        <v>29</v>
      </c>
      <c r="M4941" s="5">
        <v>1</v>
      </c>
      <c r="N4941" s="4">
        <v>1.67</v>
      </c>
      <c r="O4941" t="s">
        <v>34</v>
      </c>
    </row>
    <row r="4942" spans="1:15" x14ac:dyDescent="0.3">
      <c r="A4942" t="s">
        <v>4872</v>
      </c>
      <c r="B4942" s="5">
        <v>57</v>
      </c>
      <c r="C4942" s="5" t="str" cm="1">
        <f t="array" ref="C4942">_xlfn.IFS(worksheet[[#This Row],[age]]&lt;25,"1. Young Adulthood (18-24)",worksheet[[#This Row],[age]]&lt; 35,"2. Early Adulthood (25-34)",worksheet[[#This Row],[age]]&lt; 45,"3. Mid Adulthood (35-44)",worksheet[[#This Row],[age]]&lt; 55,"4. Mature Adulthood (45-54)",TRUE,"5. Late Adulthood/Senior (55+)")</f>
        <v>5. Late Adulthood/Senior (55+)</v>
      </c>
      <c r="D4942" t="s">
        <v>41</v>
      </c>
      <c r="E4942" t="s">
        <v>22</v>
      </c>
      <c r="F4942" s="4">
        <v>1.24</v>
      </c>
      <c r="G4942" s="5">
        <v>37</v>
      </c>
      <c r="H4942" t="s">
        <v>23</v>
      </c>
      <c r="I4942" t="s">
        <v>55</v>
      </c>
      <c r="J4942" s="6">
        <v>13.99</v>
      </c>
      <c r="K4942">
        <v>1</v>
      </c>
      <c r="L4942" t="s">
        <v>19</v>
      </c>
      <c r="M4942" s="5">
        <v>2</v>
      </c>
      <c r="N4942" s="4">
        <v>0.03</v>
      </c>
      <c r="O4942" t="s">
        <v>30</v>
      </c>
    </row>
    <row r="4943" spans="1:15" x14ac:dyDescent="0.3">
      <c r="A4943" t="s">
        <v>4874</v>
      </c>
      <c r="B4943" s="5">
        <v>65</v>
      </c>
      <c r="C4943" s="5" t="str" cm="1">
        <f t="array" ref="C4943">_xlfn.IFS(worksheet[[#This Row],[age]]&lt;25,"1. Young Adulthood (18-24)",worksheet[[#This Row],[age]]&lt; 35,"2. Early Adulthood (25-34)",worksheet[[#This Row],[age]]&lt; 45,"3. Mid Adulthood (35-44)",worksheet[[#This Row],[age]]&lt; 55,"4. Mature Adulthood (45-54)",TRUE,"5. Late Adulthood/Senior (55+)")</f>
        <v>5. Late Adulthood/Senior (55+)</v>
      </c>
      <c r="D4943" t="s">
        <v>41</v>
      </c>
      <c r="E4943" t="s">
        <v>16</v>
      </c>
      <c r="F4943" s="4">
        <v>24.31</v>
      </c>
      <c r="G4943" s="5">
        <v>25</v>
      </c>
      <c r="H4943" t="s">
        <v>23</v>
      </c>
      <c r="I4943" t="s">
        <v>55</v>
      </c>
      <c r="J4943" s="6">
        <v>8.99</v>
      </c>
      <c r="K4943">
        <v>0</v>
      </c>
      <c r="L4943" t="s">
        <v>29</v>
      </c>
      <c r="M4943" s="5">
        <v>4</v>
      </c>
      <c r="N4943" s="4">
        <v>0.93</v>
      </c>
      <c r="O4943" t="s">
        <v>34</v>
      </c>
    </row>
    <row r="4944" spans="1:15" x14ac:dyDescent="0.3">
      <c r="A4944" t="s">
        <v>4876</v>
      </c>
      <c r="B4944" s="5">
        <v>59</v>
      </c>
      <c r="C4944" s="5" t="str" cm="1">
        <f t="array" ref="C4944">_xlfn.IFS(worksheet[[#This Row],[age]]&lt;25,"1. Young Adulthood (18-24)",worksheet[[#This Row],[age]]&lt; 35,"2. Early Adulthood (25-34)",worksheet[[#This Row],[age]]&lt; 45,"3. Mid Adulthood (35-44)",worksheet[[#This Row],[age]]&lt; 55,"4. Mature Adulthood (45-54)",TRUE,"5. Late Adulthood/Senior (55+)")</f>
        <v>5. Late Adulthood/Senior (55+)</v>
      </c>
      <c r="D4944" t="s">
        <v>15</v>
      </c>
      <c r="E4944" t="s">
        <v>32</v>
      </c>
      <c r="F4944" s="4">
        <v>4.17</v>
      </c>
      <c r="G4944" s="5">
        <v>1</v>
      </c>
      <c r="H4944" t="s">
        <v>49</v>
      </c>
      <c r="I4944" t="s">
        <v>55</v>
      </c>
      <c r="J4944" s="6">
        <v>17.989999999999998</v>
      </c>
      <c r="K4944">
        <v>0</v>
      </c>
      <c r="L4944" t="s">
        <v>37</v>
      </c>
      <c r="M4944" s="5">
        <v>4</v>
      </c>
      <c r="N4944" s="4">
        <v>2.08</v>
      </c>
      <c r="O4944" t="s">
        <v>47</v>
      </c>
    </row>
    <row r="4945" spans="1:15" x14ac:dyDescent="0.3">
      <c r="A4945" t="s">
        <v>4878</v>
      </c>
      <c r="B4945" s="5">
        <v>59</v>
      </c>
      <c r="C4945" s="5" t="str" cm="1">
        <f t="array" ref="C4945">_xlfn.IFS(worksheet[[#This Row],[age]]&lt;25,"1. Young Adulthood (18-24)",worksheet[[#This Row],[age]]&lt; 35,"2. Early Adulthood (25-34)",worksheet[[#This Row],[age]]&lt; 45,"3. Mid Adulthood (35-44)",worksheet[[#This Row],[age]]&lt; 55,"4. Mature Adulthood (45-54)",TRUE,"5. Late Adulthood/Senior (55+)")</f>
        <v>5. Late Adulthood/Senior (55+)</v>
      </c>
      <c r="D4945" t="s">
        <v>41</v>
      </c>
      <c r="E4945" t="s">
        <v>32</v>
      </c>
      <c r="F4945" s="4">
        <v>31.05</v>
      </c>
      <c r="G4945" s="5">
        <v>3</v>
      </c>
      <c r="H4945" t="s">
        <v>70</v>
      </c>
      <c r="I4945" t="s">
        <v>24</v>
      </c>
      <c r="J4945" s="6">
        <v>17.989999999999998</v>
      </c>
      <c r="K4945">
        <v>0</v>
      </c>
      <c r="L4945" t="s">
        <v>61</v>
      </c>
      <c r="M4945" s="5">
        <v>5</v>
      </c>
      <c r="N4945" s="4">
        <v>7.76</v>
      </c>
      <c r="O4945" t="s">
        <v>20</v>
      </c>
    </row>
    <row r="4946" spans="1:15" x14ac:dyDescent="0.3">
      <c r="A4946" t="s">
        <v>4880</v>
      </c>
      <c r="B4946" s="5">
        <v>61</v>
      </c>
      <c r="C4946" s="5" t="str" cm="1">
        <f t="array" ref="C4946">_xlfn.IFS(worksheet[[#This Row],[age]]&lt;25,"1. Young Adulthood (18-24)",worksheet[[#This Row],[age]]&lt; 35,"2. Early Adulthood (25-34)",worksheet[[#This Row],[age]]&lt; 45,"3. Mid Adulthood (35-44)",worksheet[[#This Row],[age]]&lt; 55,"4. Mature Adulthood (45-54)",TRUE,"5. Late Adulthood/Senior (55+)")</f>
        <v>5. Late Adulthood/Senior (55+)</v>
      </c>
      <c r="D4946" t="s">
        <v>27</v>
      </c>
      <c r="E4946" t="s">
        <v>22</v>
      </c>
      <c r="F4946" s="4">
        <v>30</v>
      </c>
      <c r="G4946" s="5">
        <v>50</v>
      </c>
      <c r="H4946" t="s">
        <v>70</v>
      </c>
      <c r="I4946" t="s">
        <v>24</v>
      </c>
      <c r="J4946" s="6">
        <v>13.99</v>
      </c>
      <c r="K4946">
        <v>0</v>
      </c>
      <c r="L4946" t="s">
        <v>61</v>
      </c>
      <c r="M4946" s="5">
        <v>2</v>
      </c>
      <c r="N4946" s="4">
        <v>0.59</v>
      </c>
      <c r="O4946" t="s">
        <v>47</v>
      </c>
    </row>
    <row r="4947" spans="1:15" x14ac:dyDescent="0.3">
      <c r="A4947" t="s">
        <v>4883</v>
      </c>
      <c r="B4947" s="5">
        <v>66</v>
      </c>
      <c r="C4947" s="5" t="str" cm="1">
        <f t="array" ref="C4947">_xlfn.IFS(worksheet[[#This Row],[age]]&lt;25,"1. Young Adulthood (18-24)",worksheet[[#This Row],[age]]&lt; 35,"2. Early Adulthood (25-34)",worksheet[[#This Row],[age]]&lt; 45,"3. Mid Adulthood (35-44)",worksheet[[#This Row],[age]]&lt; 55,"4. Mature Adulthood (45-54)",TRUE,"5. Late Adulthood/Senior (55+)")</f>
        <v>5. Late Adulthood/Senior (55+)</v>
      </c>
      <c r="D4947" t="s">
        <v>27</v>
      </c>
      <c r="E4947" t="s">
        <v>16</v>
      </c>
      <c r="F4947" s="4">
        <v>0.74</v>
      </c>
      <c r="G4947" s="5">
        <v>27</v>
      </c>
      <c r="H4947" t="s">
        <v>33</v>
      </c>
      <c r="I4947" t="s">
        <v>24</v>
      </c>
      <c r="J4947" s="6">
        <v>8.99</v>
      </c>
      <c r="K4947">
        <v>1</v>
      </c>
      <c r="L4947" t="s">
        <v>29</v>
      </c>
      <c r="M4947" s="5">
        <v>3</v>
      </c>
      <c r="N4947" s="4">
        <v>0.03</v>
      </c>
      <c r="O4947" t="s">
        <v>20</v>
      </c>
    </row>
    <row r="4948" spans="1:15" x14ac:dyDescent="0.3">
      <c r="A4948" t="s">
        <v>4884</v>
      </c>
      <c r="B4948" s="5">
        <v>59</v>
      </c>
      <c r="C4948" s="5" t="str" cm="1">
        <f t="array" ref="C4948">_xlfn.IFS(worksheet[[#This Row],[age]]&lt;25,"1. Young Adulthood (18-24)",worksheet[[#This Row],[age]]&lt; 35,"2. Early Adulthood (25-34)",worksheet[[#This Row],[age]]&lt; 45,"3. Mid Adulthood (35-44)",worksheet[[#This Row],[age]]&lt; 55,"4. Mature Adulthood (45-54)",TRUE,"5. Late Adulthood/Senior (55+)")</f>
        <v>5. Late Adulthood/Senior (55+)</v>
      </c>
      <c r="D4948" t="s">
        <v>41</v>
      </c>
      <c r="E4948" t="s">
        <v>22</v>
      </c>
      <c r="F4948" s="4">
        <v>9.77</v>
      </c>
      <c r="G4948" s="5">
        <v>30</v>
      </c>
      <c r="H4948" t="s">
        <v>23</v>
      </c>
      <c r="I4948" t="s">
        <v>18</v>
      </c>
      <c r="J4948" s="6">
        <v>13.99</v>
      </c>
      <c r="K4948">
        <v>0</v>
      </c>
      <c r="L4948" t="s">
        <v>61</v>
      </c>
      <c r="M4948" s="5">
        <v>5</v>
      </c>
      <c r="N4948" s="4">
        <v>0.32</v>
      </c>
      <c r="O4948" t="s">
        <v>47</v>
      </c>
    </row>
    <row r="4949" spans="1:15" x14ac:dyDescent="0.3">
      <c r="A4949" t="s">
        <v>4886</v>
      </c>
      <c r="B4949" s="5">
        <v>62</v>
      </c>
      <c r="C4949" s="5" t="str" cm="1">
        <f t="array" ref="C4949">_xlfn.IFS(worksheet[[#This Row],[age]]&lt;25,"1. Young Adulthood (18-24)",worksheet[[#This Row],[age]]&lt; 35,"2. Early Adulthood (25-34)",worksheet[[#This Row],[age]]&lt; 45,"3. Mid Adulthood (35-44)",worksheet[[#This Row],[age]]&lt; 55,"4. Mature Adulthood (45-54)",TRUE,"5. Late Adulthood/Senior (55+)")</f>
        <v>5. Late Adulthood/Senior (55+)</v>
      </c>
      <c r="D4949" t="s">
        <v>27</v>
      </c>
      <c r="E4949" t="s">
        <v>16</v>
      </c>
      <c r="F4949" s="4">
        <v>6.69</v>
      </c>
      <c r="G4949" s="5">
        <v>30</v>
      </c>
      <c r="H4949" t="s">
        <v>17</v>
      </c>
      <c r="I4949" t="s">
        <v>24</v>
      </c>
      <c r="J4949" s="6">
        <v>8.99</v>
      </c>
      <c r="K4949">
        <v>1</v>
      </c>
      <c r="L4949" t="s">
        <v>19</v>
      </c>
      <c r="M4949" s="5">
        <v>1</v>
      </c>
      <c r="N4949" s="4">
        <v>0.22</v>
      </c>
      <c r="O4949" t="s">
        <v>47</v>
      </c>
    </row>
    <row r="4950" spans="1:15" x14ac:dyDescent="0.3">
      <c r="A4950" t="s">
        <v>4888</v>
      </c>
      <c r="B4950" s="5">
        <v>65</v>
      </c>
      <c r="C4950" s="5" t="str" cm="1">
        <f t="array" ref="C4950">_xlfn.IFS(worksheet[[#This Row],[age]]&lt;25,"1. Young Adulthood (18-24)",worksheet[[#This Row],[age]]&lt; 35,"2. Early Adulthood (25-34)",worksheet[[#This Row],[age]]&lt; 45,"3. Mid Adulthood (35-44)",worksheet[[#This Row],[age]]&lt; 55,"4. Mature Adulthood (45-54)",TRUE,"5. Late Adulthood/Senior (55+)")</f>
        <v>5. Late Adulthood/Senior (55+)</v>
      </c>
      <c r="D4950" t="s">
        <v>27</v>
      </c>
      <c r="E4950" t="s">
        <v>16</v>
      </c>
      <c r="F4950" s="4">
        <v>26.98</v>
      </c>
      <c r="G4950" s="5">
        <v>0</v>
      </c>
      <c r="H4950" t="s">
        <v>49</v>
      </c>
      <c r="I4950" t="s">
        <v>18</v>
      </c>
      <c r="J4950" s="6">
        <v>8.99</v>
      </c>
      <c r="K4950">
        <v>0</v>
      </c>
      <c r="L4950" t="s">
        <v>37</v>
      </c>
      <c r="M4950" s="5">
        <v>2</v>
      </c>
      <c r="N4950" s="4">
        <v>26.98</v>
      </c>
      <c r="O4950" t="s">
        <v>39</v>
      </c>
    </row>
    <row r="4951" spans="1:15" x14ac:dyDescent="0.3">
      <c r="A4951" s="1" t="s">
        <v>4892</v>
      </c>
      <c r="B4951" s="5">
        <v>58</v>
      </c>
      <c r="C4951" s="5" t="str" cm="1">
        <f t="array" ref="C4951">_xlfn.IFS(worksheet[[#This Row],[age]]&lt;25,"1. Young Adulthood (18-24)",worksheet[[#This Row],[age]]&lt; 35,"2. Early Adulthood (25-34)",worksheet[[#This Row],[age]]&lt; 45,"3. Mid Adulthood (35-44)",worksheet[[#This Row],[age]]&lt; 55,"4. Mature Adulthood (45-54)",TRUE,"5. Late Adulthood/Senior (55+)")</f>
        <v>5. Late Adulthood/Senior (55+)</v>
      </c>
      <c r="D4951" t="s">
        <v>27</v>
      </c>
      <c r="E4951" t="s">
        <v>32</v>
      </c>
      <c r="F4951" s="4">
        <v>2.91</v>
      </c>
      <c r="G4951" s="5">
        <v>17</v>
      </c>
      <c r="H4951" t="s">
        <v>28</v>
      </c>
      <c r="I4951" t="s">
        <v>57</v>
      </c>
      <c r="J4951" s="6">
        <v>17.989999999999998</v>
      </c>
      <c r="K4951">
        <v>1</v>
      </c>
      <c r="L4951" t="s">
        <v>29</v>
      </c>
      <c r="M4951" s="5">
        <v>1</v>
      </c>
      <c r="N4951" s="4">
        <v>0.16</v>
      </c>
      <c r="O4951" t="s">
        <v>47</v>
      </c>
    </row>
    <row r="4952" spans="1:15" x14ac:dyDescent="0.3">
      <c r="A4952" t="s">
        <v>4894</v>
      </c>
      <c r="B4952" s="5">
        <v>66</v>
      </c>
      <c r="C4952" s="5" t="str" cm="1">
        <f t="array" ref="C4952">_xlfn.IFS(worksheet[[#This Row],[age]]&lt;25,"1. Young Adulthood (18-24)",worksheet[[#This Row],[age]]&lt; 35,"2. Early Adulthood (25-34)",worksheet[[#This Row],[age]]&lt; 45,"3. Mid Adulthood (35-44)",worksheet[[#This Row],[age]]&lt; 55,"4. Mature Adulthood (45-54)",TRUE,"5. Late Adulthood/Senior (55+)")</f>
        <v>5. Late Adulthood/Senior (55+)</v>
      </c>
      <c r="D4952" t="s">
        <v>15</v>
      </c>
      <c r="E4952" t="s">
        <v>32</v>
      </c>
      <c r="F4952" s="4">
        <v>0.15</v>
      </c>
      <c r="G4952" s="5">
        <v>44</v>
      </c>
      <c r="H4952" t="s">
        <v>49</v>
      </c>
      <c r="I4952" t="s">
        <v>57</v>
      </c>
      <c r="J4952" s="6">
        <v>17.989999999999998</v>
      </c>
      <c r="K4952">
        <v>1</v>
      </c>
      <c r="L4952" t="s">
        <v>61</v>
      </c>
      <c r="M4952" s="5">
        <v>1</v>
      </c>
      <c r="N4952" s="4">
        <v>0</v>
      </c>
      <c r="O4952" t="s">
        <v>47</v>
      </c>
    </row>
    <row r="4953" spans="1:15" x14ac:dyDescent="0.3">
      <c r="A4953" t="s">
        <v>4895</v>
      </c>
      <c r="B4953" s="5">
        <v>57</v>
      </c>
      <c r="C4953" s="5" t="str" cm="1">
        <f t="array" ref="C4953">_xlfn.IFS(worksheet[[#This Row],[age]]&lt;25,"1. Young Adulthood (18-24)",worksheet[[#This Row],[age]]&lt; 35,"2. Early Adulthood (25-34)",worksheet[[#This Row],[age]]&lt; 45,"3. Mid Adulthood (35-44)",worksheet[[#This Row],[age]]&lt; 55,"4. Mature Adulthood (45-54)",TRUE,"5. Late Adulthood/Senior (55+)")</f>
        <v>5. Late Adulthood/Senior (55+)</v>
      </c>
      <c r="D4953" t="s">
        <v>15</v>
      </c>
      <c r="E4953" t="s">
        <v>16</v>
      </c>
      <c r="F4953" s="4">
        <v>4.59</v>
      </c>
      <c r="G4953" s="5">
        <v>54</v>
      </c>
      <c r="H4953" t="s">
        <v>17</v>
      </c>
      <c r="I4953" t="s">
        <v>18</v>
      </c>
      <c r="J4953" s="6">
        <v>8.99</v>
      </c>
      <c r="K4953">
        <v>1</v>
      </c>
      <c r="L4953" t="s">
        <v>43</v>
      </c>
      <c r="M4953" s="5">
        <v>4</v>
      </c>
      <c r="N4953" s="4">
        <v>0.08</v>
      </c>
      <c r="O4953" t="s">
        <v>52</v>
      </c>
    </row>
    <row r="4954" spans="1:15" x14ac:dyDescent="0.3">
      <c r="A4954" t="s">
        <v>4897</v>
      </c>
      <c r="B4954" s="5">
        <v>67</v>
      </c>
      <c r="C4954" s="5" t="str" cm="1">
        <f t="array" ref="C4954">_xlfn.IFS(worksheet[[#This Row],[age]]&lt;25,"1. Young Adulthood (18-24)",worksheet[[#This Row],[age]]&lt; 35,"2. Early Adulthood (25-34)",worksheet[[#This Row],[age]]&lt; 45,"3. Mid Adulthood (35-44)",worksheet[[#This Row],[age]]&lt; 55,"4. Mature Adulthood (45-54)",TRUE,"5. Late Adulthood/Senior (55+)")</f>
        <v>5. Late Adulthood/Senior (55+)</v>
      </c>
      <c r="D4954" t="s">
        <v>41</v>
      </c>
      <c r="E4954" t="s">
        <v>22</v>
      </c>
      <c r="F4954" s="4">
        <v>10.29</v>
      </c>
      <c r="G4954" s="5">
        <v>44</v>
      </c>
      <c r="H4954" t="s">
        <v>33</v>
      </c>
      <c r="I4954" t="s">
        <v>57</v>
      </c>
      <c r="J4954" s="6">
        <v>13.99</v>
      </c>
      <c r="K4954">
        <v>1</v>
      </c>
      <c r="L4954" t="s">
        <v>43</v>
      </c>
      <c r="M4954" s="5">
        <v>2</v>
      </c>
      <c r="N4954" s="4">
        <v>0.23</v>
      </c>
      <c r="O4954" t="s">
        <v>47</v>
      </c>
    </row>
    <row r="4955" spans="1:15" x14ac:dyDescent="0.3">
      <c r="A4955" t="s">
        <v>4904</v>
      </c>
      <c r="B4955" s="5">
        <v>61</v>
      </c>
      <c r="C4955" s="5" t="str" cm="1">
        <f t="array" ref="C4955">_xlfn.IFS(worksheet[[#This Row],[age]]&lt;25,"1. Young Adulthood (18-24)",worksheet[[#This Row],[age]]&lt; 35,"2. Early Adulthood (25-34)",worksheet[[#This Row],[age]]&lt; 45,"3. Mid Adulthood (35-44)",worksheet[[#This Row],[age]]&lt; 55,"4. Mature Adulthood (45-54)",TRUE,"5. Late Adulthood/Senior (55+)")</f>
        <v>5. Late Adulthood/Senior (55+)</v>
      </c>
      <c r="D4955" t="s">
        <v>15</v>
      </c>
      <c r="E4955" t="s">
        <v>16</v>
      </c>
      <c r="F4955" s="4">
        <v>4.71</v>
      </c>
      <c r="G4955" s="5">
        <v>8</v>
      </c>
      <c r="H4955" t="s">
        <v>33</v>
      </c>
      <c r="I4955" t="s">
        <v>24</v>
      </c>
      <c r="J4955" s="6">
        <v>8.99</v>
      </c>
      <c r="K4955">
        <v>1</v>
      </c>
      <c r="L4955" t="s">
        <v>29</v>
      </c>
      <c r="M4955" s="5">
        <v>2</v>
      </c>
      <c r="N4955" s="4">
        <v>0.52</v>
      </c>
      <c r="O4955" t="s">
        <v>20</v>
      </c>
    </row>
    <row r="4956" spans="1:15" x14ac:dyDescent="0.3">
      <c r="A4956" t="s">
        <v>4906</v>
      </c>
      <c r="B4956" s="5">
        <v>56</v>
      </c>
      <c r="C4956" s="5" t="str" cm="1">
        <f t="array" ref="C4956">_xlfn.IFS(worksheet[[#This Row],[age]]&lt;25,"1. Young Adulthood (18-24)",worksheet[[#This Row],[age]]&lt; 35,"2. Early Adulthood (25-34)",worksheet[[#This Row],[age]]&lt; 45,"3. Mid Adulthood (35-44)",worksheet[[#This Row],[age]]&lt; 55,"4. Mature Adulthood (45-54)",TRUE,"5. Late Adulthood/Senior (55+)")</f>
        <v>5. Late Adulthood/Senior (55+)</v>
      </c>
      <c r="D4956" t="s">
        <v>27</v>
      </c>
      <c r="E4956" t="s">
        <v>16</v>
      </c>
      <c r="F4956" s="4">
        <v>2.86</v>
      </c>
      <c r="G4956" s="5">
        <v>58</v>
      </c>
      <c r="H4956" t="s">
        <v>28</v>
      </c>
      <c r="I4956" t="s">
        <v>18</v>
      </c>
      <c r="J4956" s="6">
        <v>8.99</v>
      </c>
      <c r="K4956">
        <v>1</v>
      </c>
      <c r="L4956" t="s">
        <v>29</v>
      </c>
      <c r="M4956" s="5">
        <v>3</v>
      </c>
      <c r="N4956" s="4">
        <v>0.05</v>
      </c>
      <c r="O4956" t="s">
        <v>39</v>
      </c>
    </row>
    <row r="4957" spans="1:15" x14ac:dyDescent="0.3">
      <c r="A4957" t="s">
        <v>4907</v>
      </c>
      <c r="B4957" s="5">
        <v>61</v>
      </c>
      <c r="C4957" s="5" t="str" cm="1">
        <f t="array" ref="C4957">_xlfn.IFS(worksheet[[#This Row],[age]]&lt;25,"1. Young Adulthood (18-24)",worksheet[[#This Row],[age]]&lt; 35,"2. Early Adulthood (25-34)",worksheet[[#This Row],[age]]&lt; 45,"3. Mid Adulthood (35-44)",worksheet[[#This Row],[age]]&lt; 55,"4. Mature Adulthood (45-54)",TRUE,"5. Late Adulthood/Senior (55+)")</f>
        <v>5. Late Adulthood/Senior (55+)</v>
      </c>
      <c r="D4957" t="s">
        <v>41</v>
      </c>
      <c r="E4957" t="s">
        <v>22</v>
      </c>
      <c r="F4957" s="4">
        <v>2.19</v>
      </c>
      <c r="G4957" s="5">
        <v>48</v>
      </c>
      <c r="H4957" t="s">
        <v>17</v>
      </c>
      <c r="I4957" t="s">
        <v>46</v>
      </c>
      <c r="J4957" s="6">
        <v>13.99</v>
      </c>
      <c r="K4957">
        <v>1</v>
      </c>
      <c r="L4957" t="s">
        <v>43</v>
      </c>
      <c r="M4957" s="5">
        <v>3</v>
      </c>
      <c r="N4957" s="4">
        <v>0.04</v>
      </c>
      <c r="O4957" t="s">
        <v>52</v>
      </c>
    </row>
    <row r="4958" spans="1:15" x14ac:dyDescent="0.3">
      <c r="A4958" t="s">
        <v>4910</v>
      </c>
      <c r="B4958" s="5">
        <v>59</v>
      </c>
      <c r="C4958" s="5" t="str" cm="1">
        <f t="array" ref="C4958">_xlfn.IFS(worksheet[[#This Row],[age]]&lt;25,"1. Young Adulthood (18-24)",worksheet[[#This Row],[age]]&lt; 35,"2. Early Adulthood (25-34)",worksheet[[#This Row],[age]]&lt; 45,"3. Mid Adulthood (35-44)",worksheet[[#This Row],[age]]&lt; 55,"4. Mature Adulthood (45-54)",TRUE,"5. Late Adulthood/Senior (55+)")</f>
        <v>5. Late Adulthood/Senior (55+)</v>
      </c>
      <c r="D4958" t="s">
        <v>15</v>
      </c>
      <c r="E4958" t="s">
        <v>16</v>
      </c>
      <c r="F4958" s="4">
        <v>8.26</v>
      </c>
      <c r="G4958" s="5">
        <v>39</v>
      </c>
      <c r="H4958" t="s">
        <v>17</v>
      </c>
      <c r="I4958" t="s">
        <v>18</v>
      </c>
      <c r="J4958" s="6">
        <v>8.99</v>
      </c>
      <c r="K4958">
        <v>1</v>
      </c>
      <c r="L4958" t="s">
        <v>43</v>
      </c>
      <c r="M4958" s="5">
        <v>1</v>
      </c>
      <c r="N4958" s="4">
        <v>0.21</v>
      </c>
      <c r="O4958" t="s">
        <v>47</v>
      </c>
    </row>
    <row r="4959" spans="1:15" x14ac:dyDescent="0.3">
      <c r="A4959" t="s">
        <v>4914</v>
      </c>
      <c r="B4959" s="5">
        <v>62</v>
      </c>
      <c r="C4959" s="5" t="str" cm="1">
        <f t="array" ref="C4959">_xlfn.IFS(worksheet[[#This Row],[age]]&lt;25,"1. Young Adulthood (18-24)",worksheet[[#This Row],[age]]&lt; 35,"2. Early Adulthood (25-34)",worksheet[[#This Row],[age]]&lt; 45,"3. Mid Adulthood (35-44)",worksheet[[#This Row],[age]]&lt; 55,"4. Mature Adulthood (45-54)",TRUE,"5. Late Adulthood/Senior (55+)")</f>
        <v>5. Late Adulthood/Senior (55+)</v>
      </c>
      <c r="D4959" t="s">
        <v>27</v>
      </c>
      <c r="E4959" t="s">
        <v>22</v>
      </c>
      <c r="F4959" s="4">
        <v>1.1200000000000001</v>
      </c>
      <c r="G4959" s="5">
        <v>42</v>
      </c>
      <c r="H4959" t="s">
        <v>28</v>
      </c>
      <c r="I4959" t="s">
        <v>18</v>
      </c>
      <c r="J4959" s="6">
        <v>13.99</v>
      </c>
      <c r="K4959">
        <v>1</v>
      </c>
      <c r="L4959" t="s">
        <v>61</v>
      </c>
      <c r="M4959" s="5">
        <v>1</v>
      </c>
      <c r="N4959" s="4">
        <v>0.03</v>
      </c>
      <c r="O4959" t="s">
        <v>25</v>
      </c>
    </row>
    <row r="4960" spans="1:15" x14ac:dyDescent="0.3">
      <c r="A4960" t="s">
        <v>4916</v>
      </c>
      <c r="B4960" s="5">
        <v>70</v>
      </c>
      <c r="C4960" s="5" t="str" cm="1">
        <f t="array" ref="C4960">_xlfn.IFS(worksheet[[#This Row],[age]]&lt;25,"1. Young Adulthood (18-24)",worksheet[[#This Row],[age]]&lt; 35,"2. Early Adulthood (25-34)",worksheet[[#This Row],[age]]&lt; 45,"3. Mid Adulthood (35-44)",worksheet[[#This Row],[age]]&lt; 55,"4. Mature Adulthood (45-54)",TRUE,"5. Late Adulthood/Senior (55+)")</f>
        <v>5. Late Adulthood/Senior (55+)</v>
      </c>
      <c r="D4960" t="s">
        <v>41</v>
      </c>
      <c r="E4960" t="s">
        <v>32</v>
      </c>
      <c r="F4960" s="4">
        <v>15.29</v>
      </c>
      <c r="G4960" s="5">
        <v>43</v>
      </c>
      <c r="H4960" t="s">
        <v>17</v>
      </c>
      <c r="I4960" t="s">
        <v>24</v>
      </c>
      <c r="J4960" s="6">
        <v>17.989999999999998</v>
      </c>
      <c r="K4960">
        <v>1</v>
      </c>
      <c r="L4960" t="s">
        <v>29</v>
      </c>
      <c r="M4960" s="5">
        <v>4</v>
      </c>
      <c r="N4960" s="4">
        <v>0.35</v>
      </c>
      <c r="O4960" t="s">
        <v>25</v>
      </c>
    </row>
    <row r="4961" spans="1:15" x14ac:dyDescent="0.3">
      <c r="A4961" t="s">
        <v>4921</v>
      </c>
      <c r="B4961" s="5">
        <v>62</v>
      </c>
      <c r="C4961" s="5" t="str" cm="1">
        <f t="array" ref="C4961">_xlfn.IFS(worksheet[[#This Row],[age]]&lt;25,"1. Young Adulthood (18-24)",worksheet[[#This Row],[age]]&lt; 35,"2. Early Adulthood (25-34)",worksheet[[#This Row],[age]]&lt; 45,"3. Mid Adulthood (35-44)",worksheet[[#This Row],[age]]&lt; 55,"4. Mature Adulthood (45-54)",TRUE,"5. Late Adulthood/Senior (55+)")</f>
        <v>5. Late Adulthood/Senior (55+)</v>
      </c>
      <c r="D4961" t="s">
        <v>15</v>
      </c>
      <c r="E4961" t="s">
        <v>16</v>
      </c>
      <c r="F4961" s="4">
        <v>17.149999999999999</v>
      </c>
      <c r="G4961" s="5">
        <v>24</v>
      </c>
      <c r="H4961" t="s">
        <v>23</v>
      </c>
      <c r="I4961" t="s">
        <v>18</v>
      </c>
      <c r="J4961" s="6">
        <v>8.99</v>
      </c>
      <c r="K4961">
        <v>0</v>
      </c>
      <c r="L4961" t="s">
        <v>43</v>
      </c>
      <c r="M4961" s="5">
        <v>5</v>
      </c>
      <c r="N4961" s="4">
        <v>0.69</v>
      </c>
      <c r="O4961" t="s">
        <v>47</v>
      </c>
    </row>
    <row r="4962" spans="1:15" x14ac:dyDescent="0.3">
      <c r="A4962" t="s">
        <v>4928</v>
      </c>
      <c r="B4962" s="5">
        <v>63</v>
      </c>
      <c r="C4962" s="5" t="str" cm="1">
        <f t="array" ref="C4962">_xlfn.IFS(worksheet[[#This Row],[age]]&lt;25,"1. Young Adulthood (18-24)",worksheet[[#This Row],[age]]&lt; 35,"2. Early Adulthood (25-34)",worksheet[[#This Row],[age]]&lt; 45,"3. Mid Adulthood (35-44)",worksheet[[#This Row],[age]]&lt; 55,"4. Mature Adulthood (45-54)",TRUE,"5. Late Adulthood/Senior (55+)")</f>
        <v>5. Late Adulthood/Senior (55+)</v>
      </c>
      <c r="D4962" t="s">
        <v>15</v>
      </c>
      <c r="E4962" t="s">
        <v>22</v>
      </c>
      <c r="F4962" s="4">
        <v>1.97</v>
      </c>
      <c r="G4962" s="5">
        <v>21</v>
      </c>
      <c r="H4962" t="s">
        <v>28</v>
      </c>
      <c r="I4962" t="s">
        <v>24</v>
      </c>
      <c r="J4962" s="6">
        <v>13.99</v>
      </c>
      <c r="K4962">
        <v>1</v>
      </c>
      <c r="L4962" t="s">
        <v>29</v>
      </c>
      <c r="M4962" s="5">
        <v>2</v>
      </c>
      <c r="N4962" s="4">
        <v>0.09</v>
      </c>
      <c r="O4962" t="s">
        <v>52</v>
      </c>
    </row>
    <row r="4963" spans="1:15" x14ac:dyDescent="0.3">
      <c r="A4963" t="s">
        <v>4931</v>
      </c>
      <c r="B4963" s="5">
        <v>68</v>
      </c>
      <c r="C4963" s="5" t="str" cm="1">
        <f t="array" ref="C4963">_xlfn.IFS(worksheet[[#This Row],[age]]&lt;25,"1. Young Adulthood (18-24)",worksheet[[#This Row],[age]]&lt; 35,"2. Early Adulthood (25-34)",worksheet[[#This Row],[age]]&lt; 45,"3. Mid Adulthood (35-44)",worksheet[[#This Row],[age]]&lt; 55,"4. Mature Adulthood (45-54)",TRUE,"5. Late Adulthood/Senior (55+)")</f>
        <v>5. Late Adulthood/Senior (55+)</v>
      </c>
      <c r="D4963" t="s">
        <v>15</v>
      </c>
      <c r="E4963" t="s">
        <v>32</v>
      </c>
      <c r="F4963" s="4">
        <v>11.27</v>
      </c>
      <c r="G4963" s="5">
        <v>52</v>
      </c>
      <c r="H4963" t="s">
        <v>49</v>
      </c>
      <c r="I4963" t="s">
        <v>18</v>
      </c>
      <c r="J4963" s="6">
        <v>17.989999999999998</v>
      </c>
      <c r="K4963">
        <v>1</v>
      </c>
      <c r="L4963" t="s">
        <v>29</v>
      </c>
      <c r="M4963" s="5">
        <v>4</v>
      </c>
      <c r="N4963" s="4">
        <v>0.21</v>
      </c>
      <c r="O4963" t="s">
        <v>52</v>
      </c>
    </row>
    <row r="4964" spans="1:15" x14ac:dyDescent="0.3">
      <c r="A4964" t="s">
        <v>4934</v>
      </c>
      <c r="B4964" s="5">
        <v>59</v>
      </c>
      <c r="C4964" s="5" t="str" cm="1">
        <f t="array" ref="C4964">_xlfn.IFS(worksheet[[#This Row],[age]]&lt;25,"1. Young Adulthood (18-24)",worksheet[[#This Row],[age]]&lt; 35,"2. Early Adulthood (25-34)",worksheet[[#This Row],[age]]&lt; 45,"3. Mid Adulthood (35-44)",worksheet[[#This Row],[age]]&lt; 55,"4. Mature Adulthood (45-54)",TRUE,"5. Late Adulthood/Senior (55+)")</f>
        <v>5. Late Adulthood/Senior (55+)</v>
      </c>
      <c r="D4964" t="s">
        <v>15</v>
      </c>
      <c r="E4964" t="s">
        <v>16</v>
      </c>
      <c r="F4964" s="4">
        <v>2.58</v>
      </c>
      <c r="G4964" s="5">
        <v>54</v>
      </c>
      <c r="H4964" t="s">
        <v>33</v>
      </c>
      <c r="I4964" t="s">
        <v>46</v>
      </c>
      <c r="J4964" s="6">
        <v>8.99</v>
      </c>
      <c r="K4964">
        <v>1</v>
      </c>
      <c r="L4964" t="s">
        <v>61</v>
      </c>
      <c r="M4964" s="5">
        <v>4</v>
      </c>
      <c r="N4964" s="4">
        <v>0.05</v>
      </c>
      <c r="O4964" t="s">
        <v>39</v>
      </c>
    </row>
    <row r="4965" spans="1:15" x14ac:dyDescent="0.3">
      <c r="A4965" t="s">
        <v>4936</v>
      </c>
      <c r="B4965" s="5">
        <v>55</v>
      </c>
      <c r="C4965" s="5" t="str" cm="1">
        <f t="array" ref="C4965">_xlfn.IFS(worksheet[[#This Row],[age]]&lt;25,"1. Young Adulthood (18-24)",worksheet[[#This Row],[age]]&lt; 35,"2. Early Adulthood (25-34)",worksheet[[#This Row],[age]]&lt; 45,"3. Mid Adulthood (35-44)",worksheet[[#This Row],[age]]&lt; 55,"4. Mature Adulthood (45-54)",TRUE,"5. Late Adulthood/Senior (55+)")</f>
        <v>5. Late Adulthood/Senior (55+)</v>
      </c>
      <c r="D4965" t="s">
        <v>15</v>
      </c>
      <c r="E4965" t="s">
        <v>22</v>
      </c>
      <c r="F4965" s="4">
        <v>47.33</v>
      </c>
      <c r="G4965" s="5">
        <v>27</v>
      </c>
      <c r="H4965" t="s">
        <v>17</v>
      </c>
      <c r="I4965" t="s">
        <v>57</v>
      </c>
      <c r="J4965" s="6">
        <v>13.99</v>
      </c>
      <c r="K4965">
        <v>0</v>
      </c>
      <c r="L4965" t="s">
        <v>37</v>
      </c>
      <c r="M4965" s="5">
        <v>5</v>
      </c>
      <c r="N4965" s="4">
        <v>1.69</v>
      </c>
      <c r="O4965" t="s">
        <v>52</v>
      </c>
    </row>
    <row r="4966" spans="1:15" x14ac:dyDescent="0.3">
      <c r="A4966" t="s">
        <v>4944</v>
      </c>
      <c r="B4966" s="5">
        <v>69</v>
      </c>
      <c r="C4966" s="5" t="str" cm="1">
        <f t="array" ref="C4966">_xlfn.IFS(worksheet[[#This Row],[age]]&lt;25,"1. Young Adulthood (18-24)",worksheet[[#This Row],[age]]&lt; 35,"2. Early Adulthood (25-34)",worksheet[[#This Row],[age]]&lt; 45,"3. Mid Adulthood (35-44)",worksheet[[#This Row],[age]]&lt; 55,"4. Mature Adulthood (45-54)",TRUE,"5. Late Adulthood/Senior (55+)")</f>
        <v>5. Late Adulthood/Senior (55+)</v>
      </c>
      <c r="D4966" t="s">
        <v>27</v>
      </c>
      <c r="E4966" t="s">
        <v>32</v>
      </c>
      <c r="F4966" s="4">
        <v>50.94</v>
      </c>
      <c r="G4966" s="5">
        <v>59</v>
      </c>
      <c r="H4966" t="s">
        <v>70</v>
      </c>
      <c r="I4966" t="s">
        <v>55</v>
      </c>
      <c r="J4966" s="6">
        <v>17.989999999999998</v>
      </c>
      <c r="K4966">
        <v>0</v>
      </c>
      <c r="L4966" t="s">
        <v>37</v>
      </c>
      <c r="M4966" s="5">
        <v>4</v>
      </c>
      <c r="N4966" s="4">
        <v>0.85</v>
      </c>
      <c r="O4966" t="s">
        <v>30</v>
      </c>
    </row>
    <row r="4967" spans="1:15" x14ac:dyDescent="0.3">
      <c r="A4967" t="s">
        <v>4952</v>
      </c>
      <c r="B4967" s="5">
        <v>69</v>
      </c>
      <c r="C4967" s="5" t="str" cm="1">
        <f t="array" ref="C4967">_xlfn.IFS(worksheet[[#This Row],[age]]&lt;25,"1. Young Adulthood (18-24)",worksheet[[#This Row],[age]]&lt; 35,"2. Early Adulthood (25-34)",worksheet[[#This Row],[age]]&lt; 45,"3. Mid Adulthood (35-44)",worksheet[[#This Row],[age]]&lt; 55,"4. Mature Adulthood (45-54)",TRUE,"5. Late Adulthood/Senior (55+)")</f>
        <v>5. Late Adulthood/Senior (55+)</v>
      </c>
      <c r="D4967" t="s">
        <v>15</v>
      </c>
      <c r="E4967" t="s">
        <v>32</v>
      </c>
      <c r="F4967" s="4">
        <v>5.07</v>
      </c>
      <c r="G4967" s="5">
        <v>25</v>
      </c>
      <c r="H4967" t="s">
        <v>49</v>
      </c>
      <c r="I4967" t="s">
        <v>46</v>
      </c>
      <c r="J4967" s="6">
        <v>17.989999999999998</v>
      </c>
      <c r="K4967">
        <v>0</v>
      </c>
      <c r="L4967" t="s">
        <v>29</v>
      </c>
      <c r="M4967" s="5">
        <v>4</v>
      </c>
      <c r="N4967" s="4">
        <v>0.2</v>
      </c>
      <c r="O4967" t="s">
        <v>20</v>
      </c>
    </row>
    <row r="4968" spans="1:15" x14ac:dyDescent="0.3">
      <c r="A4968" t="s">
        <v>4963</v>
      </c>
      <c r="B4968" s="5">
        <v>59</v>
      </c>
      <c r="C4968" s="5" t="str" cm="1">
        <f t="array" ref="C4968">_xlfn.IFS(worksheet[[#This Row],[age]]&lt;25,"1. Young Adulthood (18-24)",worksheet[[#This Row],[age]]&lt; 35,"2. Early Adulthood (25-34)",worksheet[[#This Row],[age]]&lt; 45,"3. Mid Adulthood (35-44)",worksheet[[#This Row],[age]]&lt; 55,"4. Mature Adulthood (45-54)",TRUE,"5. Late Adulthood/Senior (55+)")</f>
        <v>5. Late Adulthood/Senior (55+)</v>
      </c>
      <c r="D4968" t="s">
        <v>15</v>
      </c>
      <c r="E4968" t="s">
        <v>22</v>
      </c>
      <c r="F4968" s="4">
        <v>8.76</v>
      </c>
      <c r="G4968" s="5">
        <v>11</v>
      </c>
      <c r="H4968" t="s">
        <v>33</v>
      </c>
      <c r="I4968" t="s">
        <v>46</v>
      </c>
      <c r="J4968" s="6">
        <v>13.99</v>
      </c>
      <c r="K4968">
        <v>0</v>
      </c>
      <c r="L4968" t="s">
        <v>37</v>
      </c>
      <c r="M4968" s="5">
        <v>3</v>
      </c>
      <c r="N4968" s="4">
        <v>0.73</v>
      </c>
      <c r="O4968" t="s">
        <v>25</v>
      </c>
    </row>
    <row r="4969" spans="1:15" x14ac:dyDescent="0.3">
      <c r="A4969" t="s">
        <v>4969</v>
      </c>
      <c r="B4969" s="5">
        <v>69</v>
      </c>
      <c r="C4969" s="5" t="str" cm="1">
        <f t="array" ref="C4969">_xlfn.IFS(worksheet[[#This Row],[age]]&lt;25,"1. Young Adulthood (18-24)",worksheet[[#This Row],[age]]&lt; 35,"2. Early Adulthood (25-34)",worksheet[[#This Row],[age]]&lt; 45,"3. Mid Adulthood (35-44)",worksheet[[#This Row],[age]]&lt; 55,"4. Mature Adulthood (45-54)",TRUE,"5. Late Adulthood/Senior (55+)")</f>
        <v>5. Late Adulthood/Senior (55+)</v>
      </c>
      <c r="D4969" t="s">
        <v>27</v>
      </c>
      <c r="E4969" t="s">
        <v>22</v>
      </c>
      <c r="F4969" s="4">
        <v>2.78</v>
      </c>
      <c r="G4969" s="5">
        <v>28</v>
      </c>
      <c r="H4969" t="s">
        <v>17</v>
      </c>
      <c r="I4969" t="s">
        <v>57</v>
      </c>
      <c r="J4969" s="6">
        <v>13.99</v>
      </c>
      <c r="K4969">
        <v>1</v>
      </c>
      <c r="L4969" t="s">
        <v>29</v>
      </c>
      <c r="M4969" s="5">
        <v>5</v>
      </c>
      <c r="N4969" s="4">
        <v>0.1</v>
      </c>
      <c r="O4969" t="s">
        <v>25</v>
      </c>
    </row>
    <row r="4970" spans="1:15" x14ac:dyDescent="0.3">
      <c r="A4970" t="s">
        <v>4971</v>
      </c>
      <c r="B4970" s="5">
        <v>65</v>
      </c>
      <c r="C4970" s="5" t="str" cm="1">
        <f t="array" ref="C4970">_xlfn.IFS(worksheet[[#This Row],[age]]&lt;25,"1. Young Adulthood (18-24)",worksheet[[#This Row],[age]]&lt; 35,"2. Early Adulthood (25-34)",worksheet[[#This Row],[age]]&lt; 45,"3. Mid Adulthood (35-44)",worksheet[[#This Row],[age]]&lt; 55,"4. Mature Adulthood (45-54)",TRUE,"5. Late Adulthood/Senior (55+)")</f>
        <v>5. Late Adulthood/Senior (55+)</v>
      </c>
      <c r="D4970" t="s">
        <v>27</v>
      </c>
      <c r="E4970" t="s">
        <v>16</v>
      </c>
      <c r="F4970" s="4">
        <v>20</v>
      </c>
      <c r="G4970" s="5">
        <v>26</v>
      </c>
      <c r="H4970" t="s">
        <v>70</v>
      </c>
      <c r="I4970" t="s">
        <v>18</v>
      </c>
      <c r="J4970" s="6">
        <v>8.99</v>
      </c>
      <c r="K4970">
        <v>0</v>
      </c>
      <c r="L4970" t="s">
        <v>43</v>
      </c>
      <c r="M4970" s="5">
        <v>4</v>
      </c>
      <c r="N4970" s="4">
        <v>0.74</v>
      </c>
      <c r="O4970" t="s">
        <v>20</v>
      </c>
    </row>
    <row r="4971" spans="1:15" x14ac:dyDescent="0.3">
      <c r="A4971" t="s">
        <v>4972</v>
      </c>
      <c r="B4971" s="5">
        <v>59</v>
      </c>
      <c r="C4971" s="5" t="str" cm="1">
        <f t="array" ref="C4971">_xlfn.IFS(worksheet[[#This Row],[age]]&lt;25,"1. Young Adulthood (18-24)",worksheet[[#This Row],[age]]&lt; 35,"2. Early Adulthood (25-34)",worksheet[[#This Row],[age]]&lt; 45,"3. Mid Adulthood (35-44)",worksheet[[#This Row],[age]]&lt; 55,"4. Mature Adulthood (45-54)",TRUE,"5. Late Adulthood/Senior (55+)")</f>
        <v>5. Late Adulthood/Senior (55+)</v>
      </c>
      <c r="D4971" t="s">
        <v>27</v>
      </c>
      <c r="E4971" t="s">
        <v>32</v>
      </c>
      <c r="F4971" s="4">
        <v>6</v>
      </c>
      <c r="G4971" s="5">
        <v>8</v>
      </c>
      <c r="H4971" t="s">
        <v>49</v>
      </c>
      <c r="I4971" t="s">
        <v>55</v>
      </c>
      <c r="J4971" s="6">
        <v>17.989999999999998</v>
      </c>
      <c r="K4971">
        <v>0</v>
      </c>
      <c r="L4971" t="s">
        <v>29</v>
      </c>
      <c r="M4971" s="5">
        <v>2</v>
      </c>
      <c r="N4971" s="4">
        <v>0.67</v>
      </c>
      <c r="O4971" t="s">
        <v>52</v>
      </c>
    </row>
    <row r="4972" spans="1:15" x14ac:dyDescent="0.3">
      <c r="A4972" t="s">
        <v>4974</v>
      </c>
      <c r="B4972" s="5">
        <v>70</v>
      </c>
      <c r="C4972" s="5" t="str" cm="1">
        <f t="array" ref="C4972">_xlfn.IFS(worksheet[[#This Row],[age]]&lt;25,"1. Young Adulthood (18-24)",worksheet[[#This Row],[age]]&lt; 35,"2. Early Adulthood (25-34)",worksheet[[#This Row],[age]]&lt; 45,"3. Mid Adulthood (35-44)",worksheet[[#This Row],[age]]&lt; 55,"4. Mature Adulthood (45-54)",TRUE,"5. Late Adulthood/Senior (55+)")</f>
        <v>5. Late Adulthood/Senior (55+)</v>
      </c>
      <c r="D4972" t="s">
        <v>41</v>
      </c>
      <c r="E4972" t="s">
        <v>16</v>
      </c>
      <c r="F4972" s="4">
        <v>6.86</v>
      </c>
      <c r="G4972" s="5">
        <v>58</v>
      </c>
      <c r="H4972" t="s">
        <v>23</v>
      </c>
      <c r="I4972" t="s">
        <v>57</v>
      </c>
      <c r="J4972" s="6">
        <v>8.99</v>
      </c>
      <c r="K4972">
        <v>1</v>
      </c>
      <c r="L4972" t="s">
        <v>43</v>
      </c>
      <c r="M4972" s="5">
        <v>1</v>
      </c>
      <c r="N4972" s="4">
        <v>0.12</v>
      </c>
      <c r="O4972" t="s">
        <v>20</v>
      </c>
    </row>
    <row r="4973" spans="1:15" x14ac:dyDescent="0.3">
      <c r="A4973" t="s">
        <v>4975</v>
      </c>
      <c r="B4973" s="5">
        <v>64</v>
      </c>
      <c r="C4973" s="5" t="str" cm="1">
        <f t="array" ref="C4973">_xlfn.IFS(worksheet[[#This Row],[age]]&lt;25,"1. Young Adulthood (18-24)",worksheet[[#This Row],[age]]&lt; 35,"2. Early Adulthood (25-34)",worksheet[[#This Row],[age]]&lt; 45,"3. Mid Adulthood (35-44)",worksheet[[#This Row],[age]]&lt; 55,"4. Mature Adulthood (45-54)",TRUE,"5. Late Adulthood/Senior (55+)")</f>
        <v>5. Late Adulthood/Senior (55+)</v>
      </c>
      <c r="D4973" t="s">
        <v>27</v>
      </c>
      <c r="E4973" t="s">
        <v>16</v>
      </c>
      <c r="F4973" s="4">
        <v>5.78</v>
      </c>
      <c r="G4973" s="5">
        <v>22</v>
      </c>
      <c r="H4973" t="s">
        <v>49</v>
      </c>
      <c r="I4973" t="s">
        <v>46</v>
      </c>
      <c r="J4973" s="6">
        <v>8.99</v>
      </c>
      <c r="K4973">
        <v>0</v>
      </c>
      <c r="L4973" t="s">
        <v>19</v>
      </c>
      <c r="M4973" s="5">
        <v>5</v>
      </c>
      <c r="N4973" s="4">
        <v>0.25</v>
      </c>
      <c r="O4973" t="s">
        <v>20</v>
      </c>
    </row>
    <row r="4974" spans="1:15" x14ac:dyDescent="0.3">
      <c r="A4974" t="s">
        <v>4983</v>
      </c>
      <c r="B4974" s="5">
        <v>70</v>
      </c>
      <c r="C4974" s="5" t="str" cm="1">
        <f t="array" ref="C4974">_xlfn.IFS(worksheet[[#This Row],[age]]&lt;25,"1. Young Adulthood (18-24)",worksheet[[#This Row],[age]]&lt; 35,"2. Early Adulthood (25-34)",worksheet[[#This Row],[age]]&lt; 45,"3. Mid Adulthood (35-44)",worksheet[[#This Row],[age]]&lt; 55,"4. Mature Adulthood (45-54)",TRUE,"5. Late Adulthood/Senior (55+)")</f>
        <v>5. Late Adulthood/Senior (55+)</v>
      </c>
      <c r="D4974" t="s">
        <v>41</v>
      </c>
      <c r="E4974" t="s">
        <v>16</v>
      </c>
      <c r="F4974" s="4">
        <v>6.01</v>
      </c>
      <c r="G4974" s="5">
        <v>13</v>
      </c>
      <c r="H4974" t="s">
        <v>28</v>
      </c>
      <c r="I4974" t="s">
        <v>18</v>
      </c>
      <c r="J4974" s="6">
        <v>8.99</v>
      </c>
      <c r="K4974">
        <v>1</v>
      </c>
      <c r="L4974" t="s">
        <v>29</v>
      </c>
      <c r="M4974" s="5">
        <v>1</v>
      </c>
      <c r="N4974" s="4">
        <v>0.43</v>
      </c>
      <c r="O4974" t="s">
        <v>20</v>
      </c>
    </row>
    <row r="4975" spans="1:15" x14ac:dyDescent="0.3">
      <c r="A4975" t="s">
        <v>4986</v>
      </c>
      <c r="B4975" s="5">
        <v>60</v>
      </c>
      <c r="C4975" s="5" t="str" cm="1">
        <f t="array" ref="C4975">_xlfn.IFS(worksheet[[#This Row],[age]]&lt;25,"1. Young Adulthood (18-24)",worksheet[[#This Row],[age]]&lt; 35,"2. Early Adulthood (25-34)",worksheet[[#This Row],[age]]&lt; 45,"3. Mid Adulthood (35-44)",worksheet[[#This Row],[age]]&lt; 55,"4. Mature Adulthood (45-54)",TRUE,"5. Late Adulthood/Senior (55+)")</f>
        <v>5. Late Adulthood/Senior (55+)</v>
      </c>
      <c r="D4975" t="s">
        <v>27</v>
      </c>
      <c r="E4975" t="s">
        <v>16</v>
      </c>
      <c r="F4975" s="4">
        <v>3.49</v>
      </c>
      <c r="G4975" s="5">
        <v>22</v>
      </c>
      <c r="H4975" t="s">
        <v>28</v>
      </c>
      <c r="I4975" t="s">
        <v>24</v>
      </c>
      <c r="J4975" s="6">
        <v>8.99</v>
      </c>
      <c r="K4975">
        <v>1</v>
      </c>
      <c r="L4975" t="s">
        <v>29</v>
      </c>
      <c r="M4975" s="5">
        <v>2</v>
      </c>
      <c r="N4975" s="4">
        <v>0.15</v>
      </c>
      <c r="O4975" t="s">
        <v>34</v>
      </c>
    </row>
    <row r="4976" spans="1:15" x14ac:dyDescent="0.3">
      <c r="A4976" t="s">
        <v>4988</v>
      </c>
      <c r="B4976" s="5">
        <v>55</v>
      </c>
      <c r="C4976" s="5" t="str" cm="1">
        <f t="array" ref="C4976">_xlfn.IFS(worksheet[[#This Row],[age]]&lt;25,"1. Young Adulthood (18-24)",worksheet[[#This Row],[age]]&lt; 35,"2. Early Adulthood (25-34)",worksheet[[#This Row],[age]]&lt; 45,"3. Mid Adulthood (35-44)",worksheet[[#This Row],[age]]&lt; 55,"4. Mature Adulthood (45-54)",TRUE,"5. Late Adulthood/Senior (55+)")</f>
        <v>5. Late Adulthood/Senior (55+)</v>
      </c>
      <c r="D4976" t="s">
        <v>15</v>
      </c>
      <c r="E4976" t="s">
        <v>32</v>
      </c>
      <c r="F4976" s="4">
        <v>18.87</v>
      </c>
      <c r="G4976" s="5">
        <v>58</v>
      </c>
      <c r="H4976" t="s">
        <v>28</v>
      </c>
      <c r="I4976" t="s">
        <v>46</v>
      </c>
      <c r="J4976" s="6">
        <v>17.989999999999998</v>
      </c>
      <c r="K4976">
        <v>1</v>
      </c>
      <c r="L4976" t="s">
        <v>19</v>
      </c>
      <c r="M4976" s="5">
        <v>2</v>
      </c>
      <c r="N4976" s="4">
        <v>0.32</v>
      </c>
      <c r="O4976" t="s">
        <v>47</v>
      </c>
    </row>
    <row r="4977" spans="1:15" x14ac:dyDescent="0.3">
      <c r="A4977" t="s">
        <v>4989</v>
      </c>
      <c r="B4977" s="5">
        <v>65</v>
      </c>
      <c r="C4977" s="5" t="str" cm="1">
        <f t="array" ref="C4977">_xlfn.IFS(worksheet[[#This Row],[age]]&lt;25,"1. Young Adulthood (18-24)",worksheet[[#This Row],[age]]&lt; 35,"2. Early Adulthood (25-34)",worksheet[[#This Row],[age]]&lt; 45,"3. Mid Adulthood (35-44)",worksheet[[#This Row],[age]]&lt; 55,"4. Mature Adulthood (45-54)",TRUE,"5. Late Adulthood/Senior (55+)")</f>
        <v>5. Late Adulthood/Senior (55+)</v>
      </c>
      <c r="D4977" t="s">
        <v>15</v>
      </c>
      <c r="E4977" t="s">
        <v>16</v>
      </c>
      <c r="F4977" s="4">
        <v>1.68</v>
      </c>
      <c r="G4977" s="5">
        <v>3</v>
      </c>
      <c r="H4977" t="s">
        <v>28</v>
      </c>
      <c r="I4977" t="s">
        <v>18</v>
      </c>
      <c r="J4977" s="6">
        <v>8.99</v>
      </c>
      <c r="K4977">
        <v>1</v>
      </c>
      <c r="L4977" t="s">
        <v>43</v>
      </c>
      <c r="M4977" s="5">
        <v>1</v>
      </c>
      <c r="N4977" s="4">
        <v>0.42</v>
      </c>
      <c r="O4977" t="s">
        <v>25</v>
      </c>
    </row>
    <row r="4978" spans="1:15" x14ac:dyDescent="0.3">
      <c r="A4978" t="s">
        <v>4992</v>
      </c>
      <c r="B4978" s="5">
        <v>69</v>
      </c>
      <c r="C4978" s="5" t="str" cm="1">
        <f t="array" ref="C4978">_xlfn.IFS(worksheet[[#This Row],[age]]&lt;25,"1. Young Adulthood (18-24)",worksheet[[#This Row],[age]]&lt; 35,"2. Early Adulthood (25-34)",worksheet[[#This Row],[age]]&lt; 45,"3. Mid Adulthood (35-44)",worksheet[[#This Row],[age]]&lt; 55,"4. Mature Adulthood (45-54)",TRUE,"5. Late Adulthood/Senior (55+)")</f>
        <v>5. Late Adulthood/Senior (55+)</v>
      </c>
      <c r="D4978" t="s">
        <v>41</v>
      </c>
      <c r="E4978" t="s">
        <v>16</v>
      </c>
      <c r="F4978" s="4">
        <v>14.35</v>
      </c>
      <c r="G4978" s="5">
        <v>50</v>
      </c>
      <c r="H4978" t="s">
        <v>70</v>
      </c>
      <c r="I4978" t="s">
        <v>24</v>
      </c>
      <c r="J4978" s="6">
        <v>8.99</v>
      </c>
      <c r="K4978">
        <v>1</v>
      </c>
      <c r="L4978" t="s">
        <v>61</v>
      </c>
      <c r="M4978" s="5">
        <v>5</v>
      </c>
      <c r="N4978" s="4">
        <v>0.28000000000000003</v>
      </c>
      <c r="O4978" t="s">
        <v>30</v>
      </c>
    </row>
    <row r="4979" spans="1:15" x14ac:dyDescent="0.3">
      <c r="A4979" s="1" t="s">
        <v>4993</v>
      </c>
      <c r="B4979" s="5">
        <v>59</v>
      </c>
      <c r="C4979" s="5" t="str" cm="1">
        <f t="array" ref="C4979">_xlfn.IFS(worksheet[[#This Row],[age]]&lt;25,"1. Young Adulthood (18-24)",worksheet[[#This Row],[age]]&lt; 35,"2. Early Adulthood (25-34)",worksheet[[#This Row],[age]]&lt; 45,"3. Mid Adulthood (35-44)",worksheet[[#This Row],[age]]&lt; 55,"4. Mature Adulthood (45-54)",TRUE,"5. Late Adulthood/Senior (55+)")</f>
        <v>5. Late Adulthood/Senior (55+)</v>
      </c>
      <c r="D4979" t="s">
        <v>41</v>
      </c>
      <c r="E4979" t="s">
        <v>22</v>
      </c>
      <c r="F4979" s="4">
        <v>1.65</v>
      </c>
      <c r="G4979" s="5">
        <v>53</v>
      </c>
      <c r="H4979" t="s">
        <v>17</v>
      </c>
      <c r="I4979" t="s">
        <v>55</v>
      </c>
      <c r="J4979" s="6">
        <v>13.99</v>
      </c>
      <c r="K4979">
        <v>1</v>
      </c>
      <c r="L4979" t="s">
        <v>37</v>
      </c>
      <c r="M4979" s="5">
        <v>1</v>
      </c>
      <c r="N4979" s="4">
        <v>0.03</v>
      </c>
      <c r="O4979" t="s">
        <v>20</v>
      </c>
    </row>
    <row r="4980" spans="1:15" x14ac:dyDescent="0.3">
      <c r="A4980" t="s">
        <v>4997</v>
      </c>
      <c r="B4980" s="5">
        <v>70</v>
      </c>
      <c r="C4980" s="5" t="str" cm="1">
        <f t="array" ref="C4980">_xlfn.IFS(worksheet[[#This Row],[age]]&lt;25,"1. Young Adulthood (18-24)",worksheet[[#This Row],[age]]&lt; 35,"2. Early Adulthood (25-34)",worksheet[[#This Row],[age]]&lt; 45,"3. Mid Adulthood (35-44)",worksheet[[#This Row],[age]]&lt; 55,"4. Mature Adulthood (45-54)",TRUE,"5. Late Adulthood/Senior (55+)")</f>
        <v>5. Late Adulthood/Senior (55+)</v>
      </c>
      <c r="D4980" t="s">
        <v>15</v>
      </c>
      <c r="E4980" t="s">
        <v>16</v>
      </c>
      <c r="F4980" s="4">
        <v>1.33</v>
      </c>
      <c r="G4980" s="5">
        <v>54</v>
      </c>
      <c r="H4980" t="s">
        <v>33</v>
      </c>
      <c r="I4980" t="s">
        <v>18</v>
      </c>
      <c r="J4980" s="6">
        <v>8.99</v>
      </c>
      <c r="K4980">
        <v>1</v>
      </c>
      <c r="L4980" t="s">
        <v>29</v>
      </c>
      <c r="M4980" s="5">
        <v>5</v>
      </c>
      <c r="N4980" s="4">
        <v>0.02</v>
      </c>
      <c r="O4980" t="s">
        <v>39</v>
      </c>
    </row>
    <row r="4981" spans="1:15" x14ac:dyDescent="0.3">
      <c r="A4981" t="s">
        <v>5000</v>
      </c>
      <c r="B4981" s="5">
        <v>59</v>
      </c>
      <c r="C4981" s="5" t="str" cm="1">
        <f t="array" ref="C4981">_xlfn.IFS(worksheet[[#This Row],[age]]&lt;25,"1. Young Adulthood (18-24)",worksheet[[#This Row],[age]]&lt; 35,"2. Early Adulthood (25-34)",worksheet[[#This Row],[age]]&lt; 45,"3. Mid Adulthood (35-44)",worksheet[[#This Row],[age]]&lt; 55,"4. Mature Adulthood (45-54)",TRUE,"5. Late Adulthood/Senior (55+)")</f>
        <v>5. Late Adulthood/Senior (55+)</v>
      </c>
      <c r="D4981" t="s">
        <v>41</v>
      </c>
      <c r="E4981" t="s">
        <v>22</v>
      </c>
      <c r="F4981" s="4">
        <v>0.98</v>
      </c>
      <c r="G4981" s="5">
        <v>19</v>
      </c>
      <c r="H4981" t="s">
        <v>23</v>
      </c>
      <c r="I4981" t="s">
        <v>24</v>
      </c>
      <c r="J4981" s="6">
        <v>13.99</v>
      </c>
      <c r="K4981">
        <v>1</v>
      </c>
      <c r="L4981" t="s">
        <v>19</v>
      </c>
      <c r="M4981" s="5">
        <v>4</v>
      </c>
      <c r="N4981" s="4">
        <v>0.05</v>
      </c>
      <c r="O4981" t="s">
        <v>34</v>
      </c>
    </row>
    <row r="4982" spans="1:15" x14ac:dyDescent="0.3">
      <c r="A4982" t="s">
        <v>5001</v>
      </c>
      <c r="B4982" s="5">
        <v>61</v>
      </c>
      <c r="C4982" s="5" t="str" cm="1">
        <f t="array" ref="C4982">_xlfn.IFS(worksheet[[#This Row],[age]]&lt;25,"1. Young Adulthood (18-24)",worksheet[[#This Row],[age]]&lt; 35,"2. Early Adulthood (25-34)",worksheet[[#This Row],[age]]&lt; 45,"3. Mid Adulthood (35-44)",worksheet[[#This Row],[age]]&lt; 55,"4. Mature Adulthood (45-54)",TRUE,"5. Late Adulthood/Senior (55+)")</f>
        <v>5. Late Adulthood/Senior (55+)</v>
      </c>
      <c r="D4982" t="s">
        <v>15</v>
      </c>
      <c r="E4982" t="s">
        <v>22</v>
      </c>
      <c r="F4982" s="4">
        <v>0.94</v>
      </c>
      <c r="G4982" s="5">
        <v>19</v>
      </c>
      <c r="H4982" t="s">
        <v>49</v>
      </c>
      <c r="I4982" t="s">
        <v>18</v>
      </c>
      <c r="J4982" s="6">
        <v>13.99</v>
      </c>
      <c r="K4982">
        <v>0</v>
      </c>
      <c r="L4982" t="s">
        <v>37</v>
      </c>
      <c r="M4982" s="5">
        <v>4</v>
      </c>
      <c r="N4982" s="4">
        <v>0.05</v>
      </c>
      <c r="O4982" t="s">
        <v>39</v>
      </c>
    </row>
    <row r="4983" spans="1:15" x14ac:dyDescent="0.3">
      <c r="A4983" t="s">
        <v>5005</v>
      </c>
      <c r="B4983" s="5">
        <v>65</v>
      </c>
      <c r="C4983" s="5" t="str" cm="1">
        <f t="array" ref="C4983">_xlfn.IFS(worksheet[[#This Row],[age]]&lt;25,"1. Young Adulthood (18-24)",worksheet[[#This Row],[age]]&lt; 35,"2. Early Adulthood (25-34)",worksheet[[#This Row],[age]]&lt; 45,"3. Mid Adulthood (35-44)",worksheet[[#This Row],[age]]&lt; 55,"4. Mature Adulthood (45-54)",TRUE,"5. Late Adulthood/Senior (55+)")</f>
        <v>5. Late Adulthood/Senior (55+)</v>
      </c>
      <c r="D4983" t="s">
        <v>27</v>
      </c>
      <c r="E4983" t="s">
        <v>22</v>
      </c>
      <c r="F4983" s="4">
        <v>70.989999999999995</v>
      </c>
      <c r="G4983" s="5">
        <v>36</v>
      </c>
      <c r="H4983" t="s">
        <v>33</v>
      </c>
      <c r="I4983" t="s">
        <v>24</v>
      </c>
      <c r="J4983" s="6">
        <v>13.99</v>
      </c>
      <c r="K4983">
        <v>0</v>
      </c>
      <c r="L4983" t="s">
        <v>29</v>
      </c>
      <c r="M4983" s="5">
        <v>2</v>
      </c>
      <c r="N4983" s="4">
        <v>1.92</v>
      </c>
      <c r="O4983" t="s">
        <v>34</v>
      </c>
    </row>
    <row r="4984" spans="1:15" x14ac:dyDescent="0.3">
      <c r="A4984" s="1" t="s">
        <v>5006</v>
      </c>
      <c r="B4984" s="5">
        <v>65</v>
      </c>
      <c r="C4984" s="5" t="str" cm="1">
        <f t="array" ref="C4984">_xlfn.IFS(worksheet[[#This Row],[age]]&lt;25,"1. Young Adulthood (18-24)",worksheet[[#This Row],[age]]&lt; 35,"2. Early Adulthood (25-34)",worksheet[[#This Row],[age]]&lt; 45,"3. Mid Adulthood (35-44)",worksheet[[#This Row],[age]]&lt; 55,"4. Mature Adulthood (45-54)",TRUE,"5. Late Adulthood/Senior (55+)")</f>
        <v>5. Late Adulthood/Senior (55+)</v>
      </c>
      <c r="D4984" t="s">
        <v>15</v>
      </c>
      <c r="E4984" t="s">
        <v>22</v>
      </c>
      <c r="F4984" s="4">
        <v>20.56</v>
      </c>
      <c r="G4984" s="5">
        <v>10</v>
      </c>
      <c r="H4984" t="s">
        <v>23</v>
      </c>
      <c r="I4984" t="s">
        <v>46</v>
      </c>
      <c r="J4984" s="6">
        <v>13.99</v>
      </c>
      <c r="K4984">
        <v>0</v>
      </c>
      <c r="L4984" t="s">
        <v>37</v>
      </c>
      <c r="M4984" s="5">
        <v>5</v>
      </c>
      <c r="N4984" s="4">
        <v>1.87</v>
      </c>
      <c r="O4984" t="s">
        <v>25</v>
      </c>
    </row>
    <row r="4985" spans="1:15" x14ac:dyDescent="0.3">
      <c r="A4985" t="s">
        <v>5009</v>
      </c>
      <c r="B4985" s="5">
        <v>64</v>
      </c>
      <c r="C4985" s="5" t="str" cm="1">
        <f t="array" ref="C4985">_xlfn.IFS(worksheet[[#This Row],[age]]&lt;25,"1. Young Adulthood (18-24)",worksheet[[#This Row],[age]]&lt; 35,"2. Early Adulthood (25-34)",worksheet[[#This Row],[age]]&lt; 45,"3. Mid Adulthood (35-44)",worksheet[[#This Row],[age]]&lt; 55,"4. Mature Adulthood (45-54)",TRUE,"5. Late Adulthood/Senior (55+)")</f>
        <v>5. Late Adulthood/Senior (55+)</v>
      </c>
      <c r="D4985" t="s">
        <v>27</v>
      </c>
      <c r="E4985" t="s">
        <v>16</v>
      </c>
      <c r="F4985" s="4">
        <v>28.66</v>
      </c>
      <c r="G4985" s="5">
        <v>28</v>
      </c>
      <c r="H4985" t="s">
        <v>33</v>
      </c>
      <c r="I4985" t="s">
        <v>55</v>
      </c>
      <c r="J4985" s="6">
        <v>8.99</v>
      </c>
      <c r="K4985">
        <v>0</v>
      </c>
      <c r="L4985" t="s">
        <v>19</v>
      </c>
      <c r="M4985" s="5">
        <v>4</v>
      </c>
      <c r="N4985" s="4">
        <v>0.99</v>
      </c>
      <c r="O4985" t="s">
        <v>39</v>
      </c>
    </row>
    <row r="4986" spans="1:15" x14ac:dyDescent="0.3">
      <c r="A4986" t="s">
        <v>5014</v>
      </c>
      <c r="B4986" s="5">
        <v>59</v>
      </c>
      <c r="C4986" s="5" t="str" cm="1">
        <f t="array" ref="C4986">_xlfn.IFS(worksheet[[#This Row],[age]]&lt;25,"1. Young Adulthood (18-24)",worksheet[[#This Row],[age]]&lt; 35,"2. Early Adulthood (25-34)",worksheet[[#This Row],[age]]&lt; 45,"3. Mid Adulthood (35-44)",worksheet[[#This Row],[age]]&lt; 55,"4. Mature Adulthood (45-54)",TRUE,"5. Late Adulthood/Senior (55+)")</f>
        <v>5. Late Adulthood/Senior (55+)</v>
      </c>
      <c r="D4986" t="s">
        <v>15</v>
      </c>
      <c r="E4986" t="s">
        <v>32</v>
      </c>
      <c r="F4986" s="4">
        <v>6.25</v>
      </c>
      <c r="G4986" s="5">
        <v>1</v>
      </c>
      <c r="H4986" t="s">
        <v>49</v>
      </c>
      <c r="I4986" t="s">
        <v>46</v>
      </c>
      <c r="J4986" s="6">
        <v>17.989999999999998</v>
      </c>
      <c r="K4986">
        <v>0</v>
      </c>
      <c r="L4986" t="s">
        <v>37</v>
      </c>
      <c r="M4986" s="5">
        <v>1</v>
      </c>
      <c r="N4986" s="4">
        <v>3.12</v>
      </c>
      <c r="O4986" t="s">
        <v>39</v>
      </c>
    </row>
    <row r="4987" spans="1:15" x14ac:dyDescent="0.3">
      <c r="A4987" s="1" t="s">
        <v>5015</v>
      </c>
      <c r="B4987" s="5">
        <v>69</v>
      </c>
      <c r="C4987" s="5" t="str" cm="1">
        <f t="array" ref="C4987">_xlfn.IFS(worksheet[[#This Row],[age]]&lt;25,"1. Young Adulthood (18-24)",worksheet[[#This Row],[age]]&lt; 35,"2. Early Adulthood (25-34)",worksheet[[#This Row],[age]]&lt; 45,"3. Mid Adulthood (35-44)",worksheet[[#This Row],[age]]&lt; 55,"4. Mature Adulthood (45-54)",TRUE,"5. Late Adulthood/Senior (55+)")</f>
        <v>5. Late Adulthood/Senior (55+)</v>
      </c>
      <c r="D4987" t="s">
        <v>27</v>
      </c>
      <c r="E4987" t="s">
        <v>22</v>
      </c>
      <c r="F4987" s="4">
        <v>6.08</v>
      </c>
      <c r="G4987" s="5">
        <v>47</v>
      </c>
      <c r="H4987" t="s">
        <v>17</v>
      </c>
      <c r="I4987" t="s">
        <v>57</v>
      </c>
      <c r="J4987" s="6">
        <v>13.99</v>
      </c>
      <c r="K4987">
        <v>1</v>
      </c>
      <c r="L4987" t="s">
        <v>43</v>
      </c>
      <c r="M4987" s="5">
        <v>3</v>
      </c>
      <c r="N4987" s="4">
        <v>0.13</v>
      </c>
      <c r="O4987" t="s">
        <v>34</v>
      </c>
    </row>
    <row r="4988" spans="1:15" x14ac:dyDescent="0.3">
      <c r="A4988" t="s">
        <v>5018</v>
      </c>
      <c r="B4988" s="5">
        <v>64</v>
      </c>
      <c r="C4988" s="5" t="str" cm="1">
        <f t="array" ref="C4988">_xlfn.IFS(worksheet[[#This Row],[age]]&lt;25,"1. Young Adulthood (18-24)",worksheet[[#This Row],[age]]&lt; 35,"2. Early Adulthood (25-34)",worksheet[[#This Row],[age]]&lt; 45,"3. Mid Adulthood (35-44)",worksheet[[#This Row],[age]]&lt; 55,"4. Mature Adulthood (45-54)",TRUE,"5. Late Adulthood/Senior (55+)")</f>
        <v>5. Late Adulthood/Senior (55+)</v>
      </c>
      <c r="D4988" t="s">
        <v>27</v>
      </c>
      <c r="E4988" t="s">
        <v>22</v>
      </c>
      <c r="F4988" s="4">
        <v>8.11</v>
      </c>
      <c r="G4988" s="5">
        <v>6</v>
      </c>
      <c r="H4988" t="s">
        <v>70</v>
      </c>
      <c r="I4988" t="s">
        <v>57</v>
      </c>
      <c r="J4988" s="6">
        <v>13.99</v>
      </c>
      <c r="K4988">
        <v>0</v>
      </c>
      <c r="L4988" t="s">
        <v>19</v>
      </c>
      <c r="M4988" s="5">
        <v>3</v>
      </c>
      <c r="N4988" s="4">
        <v>1.1599999999999999</v>
      </c>
      <c r="O4988" t="s">
        <v>20</v>
      </c>
    </row>
    <row r="4989" spans="1:15" x14ac:dyDescent="0.3">
      <c r="A4989" t="s">
        <v>5021</v>
      </c>
      <c r="B4989" s="5">
        <v>63</v>
      </c>
      <c r="C4989" s="5" t="str" cm="1">
        <f t="array" ref="C4989">_xlfn.IFS(worksheet[[#This Row],[age]]&lt;25,"1. Young Adulthood (18-24)",worksheet[[#This Row],[age]]&lt; 35,"2. Early Adulthood (25-34)",worksheet[[#This Row],[age]]&lt; 45,"3. Mid Adulthood (35-44)",worksheet[[#This Row],[age]]&lt; 55,"4. Mature Adulthood (45-54)",TRUE,"5. Late Adulthood/Senior (55+)")</f>
        <v>5. Late Adulthood/Senior (55+)</v>
      </c>
      <c r="D4989" t="s">
        <v>41</v>
      </c>
      <c r="E4989" t="s">
        <v>22</v>
      </c>
      <c r="F4989" s="4">
        <v>27.07</v>
      </c>
      <c r="G4989" s="5">
        <v>18</v>
      </c>
      <c r="H4989" t="s">
        <v>49</v>
      </c>
      <c r="I4989" t="s">
        <v>55</v>
      </c>
      <c r="J4989" s="6">
        <v>13.99</v>
      </c>
      <c r="K4989">
        <v>0</v>
      </c>
      <c r="L4989" t="s">
        <v>37</v>
      </c>
      <c r="M4989" s="5">
        <v>3</v>
      </c>
      <c r="N4989" s="4">
        <v>1.42</v>
      </c>
      <c r="O4989" t="s">
        <v>25</v>
      </c>
    </row>
    <row r="4990" spans="1:15" x14ac:dyDescent="0.3">
      <c r="A4990" t="s">
        <v>5023</v>
      </c>
      <c r="B4990" s="5">
        <v>57</v>
      </c>
      <c r="C4990" s="5" t="str" cm="1">
        <f t="array" ref="C4990">_xlfn.IFS(worksheet[[#This Row],[age]]&lt;25,"1. Young Adulthood (18-24)",worksheet[[#This Row],[age]]&lt; 35,"2. Early Adulthood (25-34)",worksheet[[#This Row],[age]]&lt; 45,"3. Mid Adulthood (35-44)",worksheet[[#This Row],[age]]&lt; 55,"4. Mature Adulthood (45-54)",TRUE,"5. Late Adulthood/Senior (55+)")</f>
        <v>5. Late Adulthood/Senior (55+)</v>
      </c>
      <c r="D4990" t="s">
        <v>41</v>
      </c>
      <c r="E4990" t="s">
        <v>22</v>
      </c>
      <c r="F4990" s="4">
        <v>3.64</v>
      </c>
      <c r="G4990" s="5">
        <v>36</v>
      </c>
      <c r="H4990" t="s">
        <v>49</v>
      </c>
      <c r="I4990" t="s">
        <v>46</v>
      </c>
      <c r="J4990" s="6">
        <v>13.99</v>
      </c>
      <c r="K4990">
        <v>1</v>
      </c>
      <c r="L4990" t="s">
        <v>29</v>
      </c>
      <c r="M4990" s="5">
        <v>5</v>
      </c>
      <c r="N4990" s="4">
        <v>0.1</v>
      </c>
      <c r="O4990" t="s">
        <v>47</v>
      </c>
    </row>
    <row r="4991" spans="1:15" x14ac:dyDescent="0.3">
      <c r="A4991" t="s">
        <v>5027</v>
      </c>
      <c r="B4991" s="5">
        <v>69</v>
      </c>
      <c r="C4991" s="5" t="str" cm="1">
        <f t="array" ref="C4991">_xlfn.IFS(worksheet[[#This Row],[age]]&lt;25,"1. Young Adulthood (18-24)",worksheet[[#This Row],[age]]&lt; 35,"2. Early Adulthood (25-34)",worksheet[[#This Row],[age]]&lt; 45,"3. Mid Adulthood (35-44)",worksheet[[#This Row],[age]]&lt; 55,"4. Mature Adulthood (45-54)",TRUE,"5. Late Adulthood/Senior (55+)")</f>
        <v>5. Late Adulthood/Senior (55+)</v>
      </c>
      <c r="D4991" t="s">
        <v>15</v>
      </c>
      <c r="E4991" t="s">
        <v>32</v>
      </c>
      <c r="F4991" s="4">
        <v>11.3</v>
      </c>
      <c r="G4991" s="5">
        <v>33</v>
      </c>
      <c r="H4991" t="s">
        <v>28</v>
      </c>
      <c r="I4991" t="s">
        <v>55</v>
      </c>
      <c r="J4991" s="6">
        <v>17.989999999999998</v>
      </c>
      <c r="K4991">
        <v>0</v>
      </c>
      <c r="L4991" t="s">
        <v>37</v>
      </c>
      <c r="M4991" s="5">
        <v>4</v>
      </c>
      <c r="N4991" s="4">
        <v>0.33</v>
      </c>
      <c r="O4991" t="s">
        <v>20</v>
      </c>
    </row>
    <row r="4992" spans="1:15" x14ac:dyDescent="0.3">
      <c r="A4992" t="s">
        <v>5028</v>
      </c>
      <c r="B4992" s="5">
        <v>58</v>
      </c>
      <c r="C4992" s="5" t="str" cm="1">
        <f t="array" ref="C4992">_xlfn.IFS(worksheet[[#This Row],[age]]&lt;25,"1. Young Adulthood (18-24)",worksheet[[#This Row],[age]]&lt; 35,"2. Early Adulthood (25-34)",worksheet[[#This Row],[age]]&lt; 45,"3. Mid Adulthood (35-44)",worksheet[[#This Row],[age]]&lt; 55,"4. Mature Adulthood (45-54)",TRUE,"5. Late Adulthood/Senior (55+)")</f>
        <v>5. Late Adulthood/Senior (55+)</v>
      </c>
      <c r="D4992" t="s">
        <v>27</v>
      </c>
      <c r="E4992" t="s">
        <v>32</v>
      </c>
      <c r="F4992" s="4">
        <v>7.58</v>
      </c>
      <c r="G4992" s="5">
        <v>40</v>
      </c>
      <c r="H4992" t="s">
        <v>70</v>
      </c>
      <c r="I4992" t="s">
        <v>18</v>
      </c>
      <c r="J4992" s="6">
        <v>17.989999999999998</v>
      </c>
      <c r="K4992">
        <v>1</v>
      </c>
      <c r="L4992" t="s">
        <v>19</v>
      </c>
      <c r="M4992" s="5">
        <v>5</v>
      </c>
      <c r="N4992" s="4">
        <v>0.18</v>
      </c>
      <c r="O4992" t="s">
        <v>39</v>
      </c>
    </row>
    <row r="4993" spans="1:15" x14ac:dyDescent="0.3">
      <c r="A4993" t="s">
        <v>5031</v>
      </c>
      <c r="B4993" s="5">
        <v>67</v>
      </c>
      <c r="C4993" s="5" t="str" cm="1">
        <f t="array" ref="C4993">_xlfn.IFS(worksheet[[#This Row],[age]]&lt;25,"1. Young Adulthood (18-24)",worksheet[[#This Row],[age]]&lt; 35,"2. Early Adulthood (25-34)",worksheet[[#This Row],[age]]&lt; 45,"3. Mid Adulthood (35-44)",worksheet[[#This Row],[age]]&lt; 55,"4. Mature Adulthood (45-54)",TRUE,"5. Late Adulthood/Senior (55+)")</f>
        <v>5. Late Adulthood/Senior (55+)</v>
      </c>
      <c r="D4993" t="s">
        <v>27</v>
      </c>
      <c r="E4993" t="s">
        <v>22</v>
      </c>
      <c r="F4993" s="4">
        <v>16.059999999999999</v>
      </c>
      <c r="G4993" s="5">
        <v>18</v>
      </c>
      <c r="H4993" t="s">
        <v>23</v>
      </c>
      <c r="I4993" t="s">
        <v>46</v>
      </c>
      <c r="J4993" s="6">
        <v>13.99</v>
      </c>
      <c r="K4993">
        <v>0</v>
      </c>
      <c r="L4993" t="s">
        <v>43</v>
      </c>
      <c r="M4993" s="5">
        <v>5</v>
      </c>
      <c r="N4993" s="4">
        <v>0.85</v>
      </c>
      <c r="O4993" t="s">
        <v>34</v>
      </c>
    </row>
    <row r="4994" spans="1:15" x14ac:dyDescent="0.3">
      <c r="A4994" t="s">
        <v>5032</v>
      </c>
      <c r="B4994" s="5">
        <v>69</v>
      </c>
      <c r="C4994" s="5" t="str" cm="1">
        <f t="array" ref="C4994">_xlfn.IFS(worksheet[[#This Row],[age]]&lt;25,"1. Young Adulthood (18-24)",worksheet[[#This Row],[age]]&lt; 35,"2. Early Adulthood (25-34)",worksheet[[#This Row],[age]]&lt; 45,"3. Mid Adulthood (35-44)",worksheet[[#This Row],[age]]&lt; 55,"4. Mature Adulthood (45-54)",TRUE,"5. Late Adulthood/Senior (55+)")</f>
        <v>5. Late Adulthood/Senior (55+)</v>
      </c>
      <c r="D4994" t="s">
        <v>41</v>
      </c>
      <c r="E4994" t="s">
        <v>22</v>
      </c>
      <c r="F4994" s="4">
        <v>42.72</v>
      </c>
      <c r="G4994" s="5">
        <v>52</v>
      </c>
      <c r="H4994" t="s">
        <v>49</v>
      </c>
      <c r="I4994" t="s">
        <v>57</v>
      </c>
      <c r="J4994" s="6">
        <v>13.99</v>
      </c>
      <c r="K4994">
        <v>0</v>
      </c>
      <c r="L4994" t="s">
        <v>29</v>
      </c>
      <c r="M4994" s="5">
        <v>3</v>
      </c>
      <c r="N4994" s="4">
        <v>0.81</v>
      </c>
      <c r="O4994" t="s">
        <v>30</v>
      </c>
    </row>
    <row r="4995" spans="1:15" x14ac:dyDescent="0.3">
      <c r="A4995" t="s">
        <v>5033</v>
      </c>
      <c r="B4995" s="5">
        <v>57</v>
      </c>
      <c r="C4995" s="5" t="str" cm="1">
        <f t="array" ref="C4995">_xlfn.IFS(worksheet[[#This Row],[age]]&lt;25,"1. Young Adulthood (18-24)",worksheet[[#This Row],[age]]&lt; 35,"2. Early Adulthood (25-34)",worksheet[[#This Row],[age]]&lt; 45,"3. Mid Adulthood (35-44)",worksheet[[#This Row],[age]]&lt; 55,"4. Mature Adulthood (45-54)",TRUE,"5. Late Adulthood/Senior (55+)")</f>
        <v>5. Late Adulthood/Senior (55+)</v>
      </c>
      <c r="D4995" t="s">
        <v>41</v>
      </c>
      <c r="E4995" t="s">
        <v>22</v>
      </c>
      <c r="F4995" s="4">
        <v>2.09</v>
      </c>
      <c r="G4995" s="5">
        <v>13</v>
      </c>
      <c r="H4995" t="s">
        <v>28</v>
      </c>
      <c r="I4995" t="s">
        <v>18</v>
      </c>
      <c r="J4995" s="6">
        <v>13.99</v>
      </c>
      <c r="K4995">
        <v>1</v>
      </c>
      <c r="L4995" t="s">
        <v>29</v>
      </c>
      <c r="M4995" s="5">
        <v>3</v>
      </c>
      <c r="N4995" s="4">
        <v>0.15</v>
      </c>
      <c r="O4995" t="s">
        <v>39</v>
      </c>
    </row>
    <row r="4996" spans="1:15" x14ac:dyDescent="0.3">
      <c r="A4996" t="s">
        <v>5034</v>
      </c>
      <c r="B4996" s="5">
        <v>62</v>
      </c>
      <c r="C4996" s="5" t="str" cm="1">
        <f t="array" ref="C4996">_xlfn.IFS(worksheet[[#This Row],[age]]&lt;25,"1. Young Adulthood (18-24)",worksheet[[#This Row],[age]]&lt; 35,"2. Early Adulthood (25-34)",worksheet[[#This Row],[age]]&lt; 45,"3. Mid Adulthood (35-44)",worksheet[[#This Row],[age]]&lt; 55,"4. Mature Adulthood (45-54)",TRUE,"5. Late Adulthood/Senior (55+)")</f>
        <v>5. Late Adulthood/Senior (55+)</v>
      </c>
      <c r="D4996" t="s">
        <v>41</v>
      </c>
      <c r="E4996" t="s">
        <v>22</v>
      </c>
      <c r="F4996" s="4">
        <v>7.31</v>
      </c>
      <c r="G4996" s="5">
        <v>26</v>
      </c>
      <c r="H4996" t="s">
        <v>33</v>
      </c>
      <c r="I4996" t="s">
        <v>55</v>
      </c>
      <c r="J4996" s="6">
        <v>13.99</v>
      </c>
      <c r="K4996">
        <v>0</v>
      </c>
      <c r="L4996" t="s">
        <v>61</v>
      </c>
      <c r="M4996" s="5">
        <v>2</v>
      </c>
      <c r="N4996" s="4">
        <v>0.27</v>
      </c>
      <c r="O4996" t="s">
        <v>25</v>
      </c>
    </row>
    <row r="4997" spans="1:15" x14ac:dyDescent="0.3">
      <c r="A4997" t="s">
        <v>5037</v>
      </c>
      <c r="B4997" s="5">
        <v>58</v>
      </c>
      <c r="C4997" s="5" t="str" cm="1">
        <f t="array" ref="C4997">_xlfn.IFS(worksheet[[#This Row],[age]]&lt;25,"1. Young Adulthood (18-24)",worksheet[[#This Row],[age]]&lt; 35,"2. Early Adulthood (25-34)",worksheet[[#This Row],[age]]&lt; 45,"3. Mid Adulthood (35-44)",worksheet[[#This Row],[age]]&lt; 55,"4. Mature Adulthood (45-54)",TRUE,"5. Late Adulthood/Senior (55+)")</f>
        <v>5. Late Adulthood/Senior (55+)</v>
      </c>
      <c r="D4997" t="s">
        <v>15</v>
      </c>
      <c r="E4997" t="s">
        <v>16</v>
      </c>
      <c r="F4997" s="4">
        <v>10.9</v>
      </c>
      <c r="G4997" s="5">
        <v>22</v>
      </c>
      <c r="H4997" t="s">
        <v>23</v>
      </c>
      <c r="I4997" t="s">
        <v>18</v>
      </c>
      <c r="J4997" s="6">
        <v>8.99</v>
      </c>
      <c r="K4997">
        <v>0</v>
      </c>
      <c r="L4997" t="s">
        <v>61</v>
      </c>
      <c r="M4997" s="5">
        <v>3</v>
      </c>
      <c r="N4997" s="4">
        <v>0.47</v>
      </c>
      <c r="O4997" t="s">
        <v>20</v>
      </c>
    </row>
    <row r="4998" spans="1:15" x14ac:dyDescent="0.3">
      <c r="A4998" t="s">
        <v>5039</v>
      </c>
      <c r="B4998" s="5">
        <v>67</v>
      </c>
      <c r="C4998" s="5" t="str" cm="1">
        <f t="array" ref="C4998">_xlfn.IFS(worksheet[[#This Row],[age]]&lt;25,"1. Young Adulthood (18-24)",worksheet[[#This Row],[age]]&lt; 35,"2. Early Adulthood (25-34)",worksheet[[#This Row],[age]]&lt; 45,"3. Mid Adulthood (35-44)",worksheet[[#This Row],[age]]&lt; 55,"4. Mature Adulthood (45-54)",TRUE,"5. Late Adulthood/Senior (55+)")</f>
        <v>5. Late Adulthood/Senior (55+)</v>
      </c>
      <c r="D4998" t="s">
        <v>27</v>
      </c>
      <c r="E4998" t="s">
        <v>16</v>
      </c>
      <c r="F4998" s="4">
        <v>9.24</v>
      </c>
      <c r="G4998" s="5">
        <v>2</v>
      </c>
      <c r="H4998" t="s">
        <v>70</v>
      </c>
      <c r="I4998" t="s">
        <v>55</v>
      </c>
      <c r="J4998" s="6">
        <v>8.99</v>
      </c>
      <c r="K4998">
        <v>0</v>
      </c>
      <c r="L4998" t="s">
        <v>43</v>
      </c>
      <c r="M4998" s="5">
        <v>3</v>
      </c>
      <c r="N4998" s="4">
        <v>3.08</v>
      </c>
      <c r="O4998" t="s">
        <v>52</v>
      </c>
    </row>
    <row r="4999" spans="1:15" x14ac:dyDescent="0.3">
      <c r="A4999" t="s">
        <v>5040</v>
      </c>
      <c r="B4999" s="5">
        <v>66</v>
      </c>
      <c r="C4999" s="5" t="str" cm="1">
        <f t="array" ref="C4999">_xlfn.IFS(worksheet[[#This Row],[age]]&lt;25,"1. Young Adulthood (18-24)",worksheet[[#This Row],[age]]&lt; 35,"2. Early Adulthood (25-34)",worksheet[[#This Row],[age]]&lt; 45,"3. Mid Adulthood (35-44)",worksheet[[#This Row],[age]]&lt; 55,"4. Mature Adulthood (45-54)",TRUE,"5. Late Adulthood/Senior (55+)")</f>
        <v>5. Late Adulthood/Senior (55+)</v>
      </c>
      <c r="D4999" t="s">
        <v>41</v>
      </c>
      <c r="E4999" t="s">
        <v>22</v>
      </c>
      <c r="F4999" s="4">
        <v>16.55</v>
      </c>
      <c r="G4999" s="5">
        <v>49</v>
      </c>
      <c r="H4999" t="s">
        <v>49</v>
      </c>
      <c r="I4999" t="s">
        <v>55</v>
      </c>
      <c r="J4999" s="6">
        <v>13.99</v>
      </c>
      <c r="K4999">
        <v>1</v>
      </c>
      <c r="L4999" t="s">
        <v>37</v>
      </c>
      <c r="M4999" s="5">
        <v>2</v>
      </c>
      <c r="N4999" s="4">
        <v>0.33</v>
      </c>
      <c r="O4999" t="s">
        <v>20</v>
      </c>
    </row>
    <row r="5000" spans="1:15" x14ac:dyDescent="0.3">
      <c r="A5000" t="s">
        <v>5041</v>
      </c>
      <c r="B5000" s="5">
        <v>59</v>
      </c>
      <c r="C5000" s="5" t="str" cm="1">
        <f t="array" ref="C5000">_xlfn.IFS(worksheet[[#This Row],[age]]&lt;25,"1. Young Adulthood (18-24)",worksheet[[#This Row],[age]]&lt; 35,"2. Early Adulthood (25-34)",worksheet[[#This Row],[age]]&lt; 45,"3. Mid Adulthood (35-44)",worksheet[[#This Row],[age]]&lt; 55,"4. Mature Adulthood (45-54)",TRUE,"5. Late Adulthood/Senior (55+)")</f>
        <v>5. Late Adulthood/Senior (55+)</v>
      </c>
      <c r="D5000" t="s">
        <v>27</v>
      </c>
      <c r="E5000" t="s">
        <v>16</v>
      </c>
      <c r="F5000" s="4">
        <v>9.1199999999999992</v>
      </c>
      <c r="G5000" s="5">
        <v>3</v>
      </c>
      <c r="H5000" t="s">
        <v>23</v>
      </c>
      <c r="I5000" t="s">
        <v>46</v>
      </c>
      <c r="J5000" s="6">
        <v>8.99</v>
      </c>
      <c r="K5000">
        <v>0</v>
      </c>
      <c r="L5000" t="s">
        <v>61</v>
      </c>
      <c r="M5000" s="5">
        <v>4</v>
      </c>
      <c r="N5000" s="4">
        <v>2.2799999999999998</v>
      </c>
      <c r="O5000" t="s">
        <v>25</v>
      </c>
    </row>
    <row r="5001" spans="1:15" x14ac:dyDescent="0.3">
      <c r="A5001" t="s">
        <v>5042</v>
      </c>
      <c r="B5001" s="5">
        <v>57</v>
      </c>
      <c r="C5001" s="5" t="str" cm="1">
        <f t="array" ref="C5001">_xlfn.IFS(worksheet[[#This Row],[age]]&lt;25,"1. Young Adulthood (18-24)",worksheet[[#This Row],[age]]&lt; 35,"2. Early Adulthood (25-34)",worksheet[[#This Row],[age]]&lt; 45,"3. Mid Adulthood (35-44)",worksheet[[#This Row],[age]]&lt; 55,"4. Mature Adulthood (45-54)",TRUE,"5. Late Adulthood/Senior (55+)")</f>
        <v>5. Late Adulthood/Senior (55+)</v>
      </c>
      <c r="D5001" t="s">
        <v>41</v>
      </c>
      <c r="E5001" t="s">
        <v>16</v>
      </c>
      <c r="F5001" s="4">
        <v>1.62</v>
      </c>
      <c r="G5001" s="5">
        <v>17</v>
      </c>
      <c r="H5001" t="s">
        <v>17</v>
      </c>
      <c r="I5001" t="s">
        <v>24</v>
      </c>
      <c r="J5001" s="6">
        <v>8.99</v>
      </c>
      <c r="K5001">
        <v>1</v>
      </c>
      <c r="L5001" t="s">
        <v>29</v>
      </c>
      <c r="M5001" s="5">
        <v>2</v>
      </c>
      <c r="N5001" s="4">
        <v>0.09</v>
      </c>
      <c r="O5001" t="s">
        <v>20</v>
      </c>
    </row>
  </sheetData>
  <pageMargins left="0.7" right="0.7" top="0.75" bottom="0.75" header="0.3" footer="0.3"/>
  <pageSetup paperSize="9" orientation="portrait" horizontalDpi="0"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597B-089C-4917-A667-CBE9D4115D21}">
  <dimension ref="B2:K76"/>
  <sheetViews>
    <sheetView showGridLines="0" tabSelected="1" workbookViewId="0">
      <selection activeCell="M10" sqref="M10"/>
    </sheetView>
  </sheetViews>
  <sheetFormatPr defaultRowHeight="14.4" x14ac:dyDescent="0.3"/>
  <sheetData>
    <row r="2" spans="2:11" ht="14.4" customHeight="1" x14ac:dyDescent="0.3">
      <c r="B2" s="19" t="s">
        <v>5081</v>
      </c>
      <c r="C2" s="19"/>
      <c r="D2" s="19"/>
      <c r="E2" s="19"/>
      <c r="F2" s="19"/>
      <c r="G2" s="19"/>
      <c r="H2" s="19"/>
      <c r="I2" s="19"/>
      <c r="J2" s="19"/>
      <c r="K2" s="19"/>
    </row>
    <row r="3" spans="2:11" x14ac:dyDescent="0.3">
      <c r="B3" s="19"/>
      <c r="C3" s="19"/>
      <c r="D3" s="19"/>
      <c r="E3" s="19"/>
      <c r="F3" s="19"/>
      <c r="G3" s="19"/>
      <c r="H3" s="19"/>
      <c r="I3" s="19"/>
      <c r="J3" s="19"/>
      <c r="K3" s="19"/>
    </row>
    <row r="4" spans="2:11" x14ac:dyDescent="0.3">
      <c r="B4" s="19"/>
      <c r="C4" s="19"/>
      <c r="D4" s="19"/>
      <c r="E4" s="19"/>
      <c r="F4" s="19"/>
      <c r="G4" s="19"/>
      <c r="H4" s="19"/>
      <c r="I4" s="19"/>
      <c r="J4" s="19"/>
      <c r="K4" s="19"/>
    </row>
    <row r="5" spans="2:11" x14ac:dyDescent="0.3">
      <c r="B5" s="19"/>
      <c r="C5" s="19"/>
      <c r="D5" s="19"/>
      <c r="E5" s="19"/>
      <c r="F5" s="19"/>
      <c r="G5" s="19"/>
      <c r="H5" s="19"/>
      <c r="I5" s="19"/>
      <c r="J5" s="19"/>
      <c r="K5" s="19"/>
    </row>
    <row r="6" spans="2:11" x14ac:dyDescent="0.3">
      <c r="B6" s="19"/>
      <c r="C6" s="19"/>
      <c r="D6" s="19"/>
      <c r="E6" s="19"/>
      <c r="F6" s="19"/>
      <c r="G6" s="19"/>
      <c r="H6" s="19"/>
      <c r="I6" s="19"/>
      <c r="J6" s="19"/>
      <c r="K6" s="19"/>
    </row>
    <row r="7" spans="2:11" x14ac:dyDescent="0.3">
      <c r="B7" s="19"/>
      <c r="C7" s="19"/>
      <c r="D7" s="19"/>
      <c r="E7" s="19"/>
      <c r="F7" s="19"/>
      <c r="G7" s="19"/>
      <c r="H7" s="19"/>
      <c r="I7" s="19"/>
      <c r="J7" s="19"/>
      <c r="K7" s="19"/>
    </row>
    <row r="8" spans="2:11" x14ac:dyDescent="0.3">
      <c r="B8" s="19"/>
      <c r="C8" s="19"/>
      <c r="D8" s="19"/>
      <c r="E8" s="19"/>
      <c r="F8" s="19"/>
      <c r="G8" s="19"/>
      <c r="H8" s="19"/>
      <c r="I8" s="19"/>
      <c r="J8" s="19"/>
      <c r="K8" s="19"/>
    </row>
    <row r="9" spans="2:11" x14ac:dyDescent="0.3">
      <c r="B9" s="19"/>
      <c r="C9" s="19"/>
      <c r="D9" s="19"/>
      <c r="E9" s="19"/>
      <c r="F9" s="19"/>
      <c r="G9" s="19"/>
      <c r="H9" s="19"/>
      <c r="I9" s="19"/>
      <c r="J9" s="19"/>
      <c r="K9" s="19"/>
    </row>
    <row r="10" spans="2:11" x14ac:dyDescent="0.3">
      <c r="B10" s="19"/>
      <c r="C10" s="19"/>
      <c r="D10" s="19"/>
      <c r="E10" s="19"/>
      <c r="F10" s="19"/>
      <c r="G10" s="19"/>
      <c r="H10" s="19"/>
      <c r="I10" s="19"/>
      <c r="J10" s="19"/>
      <c r="K10" s="19"/>
    </row>
    <row r="11" spans="2:11" x14ac:dyDescent="0.3">
      <c r="B11" s="19"/>
      <c r="C11" s="19"/>
      <c r="D11" s="19"/>
      <c r="E11" s="19"/>
      <c r="F11" s="19"/>
      <c r="G11" s="19"/>
      <c r="H11" s="19"/>
      <c r="I11" s="19"/>
      <c r="J11" s="19"/>
      <c r="K11" s="19"/>
    </row>
    <row r="12" spans="2:11" x14ac:dyDescent="0.3">
      <c r="B12" s="19"/>
      <c r="C12" s="19"/>
      <c r="D12" s="19"/>
      <c r="E12" s="19"/>
      <c r="F12" s="19"/>
      <c r="G12" s="19"/>
      <c r="H12" s="19"/>
      <c r="I12" s="19"/>
      <c r="J12" s="19"/>
      <c r="K12" s="19"/>
    </row>
    <row r="13" spans="2:11" x14ac:dyDescent="0.3">
      <c r="B13" s="19"/>
      <c r="C13" s="19"/>
      <c r="D13" s="19"/>
      <c r="E13" s="19"/>
      <c r="F13" s="19"/>
      <c r="G13" s="19"/>
      <c r="H13" s="19"/>
      <c r="I13" s="19"/>
      <c r="J13" s="19"/>
      <c r="K13" s="19"/>
    </row>
    <row r="14" spans="2:11" x14ac:dyDescent="0.3">
      <c r="B14" s="19"/>
      <c r="C14" s="19"/>
      <c r="D14" s="19"/>
      <c r="E14" s="19"/>
      <c r="F14" s="19"/>
      <c r="G14" s="19"/>
      <c r="H14" s="19"/>
      <c r="I14" s="19"/>
      <c r="J14" s="19"/>
      <c r="K14" s="19"/>
    </row>
    <row r="15" spans="2:11" x14ac:dyDescent="0.3">
      <c r="B15" s="19"/>
      <c r="C15" s="19"/>
      <c r="D15" s="19"/>
      <c r="E15" s="19"/>
      <c r="F15" s="19"/>
      <c r="G15" s="19"/>
      <c r="H15" s="19"/>
      <c r="I15" s="19"/>
      <c r="J15" s="19"/>
      <c r="K15" s="19"/>
    </row>
    <row r="16" spans="2:11" x14ac:dyDescent="0.3">
      <c r="B16" s="19"/>
      <c r="C16" s="19"/>
      <c r="D16" s="19"/>
      <c r="E16" s="19"/>
      <c r="F16" s="19"/>
      <c r="G16" s="19"/>
      <c r="H16" s="19"/>
      <c r="I16" s="19"/>
      <c r="J16" s="19"/>
      <c r="K16" s="19"/>
    </row>
    <row r="17" spans="2:11" x14ac:dyDescent="0.3">
      <c r="B17" s="19"/>
      <c r="C17" s="19"/>
      <c r="D17" s="19"/>
      <c r="E17" s="19"/>
      <c r="F17" s="19"/>
      <c r="G17" s="19"/>
      <c r="H17" s="19"/>
      <c r="I17" s="19"/>
      <c r="J17" s="19"/>
      <c r="K17" s="19"/>
    </row>
    <row r="18" spans="2:11" x14ac:dyDescent="0.3">
      <c r="B18" s="19"/>
      <c r="C18" s="19"/>
      <c r="D18" s="19"/>
      <c r="E18" s="19"/>
      <c r="F18" s="19"/>
      <c r="G18" s="19"/>
      <c r="H18" s="19"/>
      <c r="I18" s="19"/>
      <c r="J18" s="19"/>
      <c r="K18" s="19"/>
    </row>
    <row r="19" spans="2:11" x14ac:dyDescent="0.3">
      <c r="B19" s="19"/>
      <c r="C19" s="19"/>
      <c r="D19" s="19"/>
      <c r="E19" s="19"/>
      <c r="F19" s="19"/>
      <c r="G19" s="19"/>
      <c r="H19" s="19"/>
      <c r="I19" s="19"/>
      <c r="J19" s="19"/>
      <c r="K19" s="19"/>
    </row>
    <row r="20" spans="2:11" x14ac:dyDescent="0.3">
      <c r="B20" s="19"/>
      <c r="C20" s="19"/>
      <c r="D20" s="19"/>
      <c r="E20" s="19"/>
      <c r="F20" s="19"/>
      <c r="G20" s="19"/>
      <c r="H20" s="19"/>
      <c r="I20" s="19"/>
      <c r="J20" s="19"/>
      <c r="K20" s="19"/>
    </row>
    <row r="21" spans="2:11" x14ac:dyDescent="0.3">
      <c r="B21" s="19"/>
      <c r="C21" s="19"/>
      <c r="D21" s="19"/>
      <c r="E21" s="19"/>
      <c r="F21" s="19"/>
      <c r="G21" s="19"/>
      <c r="H21" s="19"/>
      <c r="I21" s="19"/>
      <c r="J21" s="19"/>
      <c r="K21" s="19"/>
    </row>
    <row r="22" spans="2:11" x14ac:dyDescent="0.3">
      <c r="B22" s="19"/>
      <c r="C22" s="19"/>
      <c r="D22" s="19"/>
      <c r="E22" s="19"/>
      <c r="F22" s="19"/>
      <c r="G22" s="19"/>
      <c r="H22" s="19"/>
      <c r="I22" s="19"/>
      <c r="J22" s="19"/>
      <c r="K22" s="19"/>
    </row>
    <row r="23" spans="2:11" x14ac:dyDescent="0.3">
      <c r="B23" s="19"/>
      <c r="C23" s="19"/>
      <c r="D23" s="19"/>
      <c r="E23" s="19"/>
      <c r="F23" s="19"/>
      <c r="G23" s="19"/>
      <c r="H23" s="19"/>
      <c r="I23" s="19"/>
      <c r="J23" s="19"/>
      <c r="K23" s="19"/>
    </row>
    <row r="24" spans="2:11" x14ac:dyDescent="0.3">
      <c r="B24" s="19"/>
      <c r="C24" s="19"/>
      <c r="D24" s="19"/>
      <c r="E24" s="19"/>
      <c r="F24" s="19"/>
      <c r="G24" s="19"/>
      <c r="H24" s="19"/>
      <c r="I24" s="19"/>
      <c r="J24" s="19"/>
      <c r="K24" s="19"/>
    </row>
    <row r="25" spans="2:11" x14ac:dyDescent="0.3">
      <c r="B25" s="19"/>
      <c r="C25" s="19"/>
      <c r="D25" s="19"/>
      <c r="E25" s="19"/>
      <c r="F25" s="19"/>
      <c r="G25" s="19"/>
      <c r="H25" s="19"/>
      <c r="I25" s="19"/>
      <c r="J25" s="19"/>
      <c r="K25" s="19"/>
    </row>
    <row r="26" spans="2:11" x14ac:dyDescent="0.3">
      <c r="B26" s="19"/>
      <c r="C26" s="19"/>
      <c r="D26" s="19"/>
      <c r="E26" s="19"/>
      <c r="F26" s="19"/>
      <c r="G26" s="19"/>
      <c r="H26" s="19"/>
      <c r="I26" s="19"/>
      <c r="J26" s="19"/>
      <c r="K26" s="19"/>
    </row>
    <row r="27" spans="2:11" x14ac:dyDescent="0.3">
      <c r="B27" s="19"/>
      <c r="C27" s="19"/>
      <c r="D27" s="19"/>
      <c r="E27" s="19"/>
      <c r="F27" s="19"/>
      <c r="G27" s="19"/>
      <c r="H27" s="19"/>
      <c r="I27" s="19"/>
      <c r="J27" s="19"/>
      <c r="K27" s="19"/>
    </row>
    <row r="28" spans="2:11" x14ac:dyDescent="0.3">
      <c r="B28" s="19"/>
      <c r="C28" s="19"/>
      <c r="D28" s="19"/>
      <c r="E28" s="19"/>
      <c r="F28" s="19"/>
      <c r="G28" s="19"/>
      <c r="H28" s="19"/>
      <c r="I28" s="19"/>
      <c r="J28" s="19"/>
      <c r="K28" s="19"/>
    </row>
    <row r="29" spans="2:11" x14ac:dyDescent="0.3">
      <c r="B29" s="19"/>
      <c r="C29" s="19"/>
      <c r="D29" s="19"/>
      <c r="E29" s="19"/>
      <c r="F29" s="19"/>
      <c r="G29" s="19"/>
      <c r="H29" s="19"/>
      <c r="I29" s="19"/>
      <c r="J29" s="19"/>
      <c r="K29" s="19"/>
    </row>
    <row r="30" spans="2:11" x14ac:dyDescent="0.3">
      <c r="B30" s="19"/>
      <c r="C30" s="19"/>
      <c r="D30" s="19"/>
      <c r="E30" s="19"/>
      <c r="F30" s="19"/>
      <c r="G30" s="19"/>
      <c r="H30" s="19"/>
      <c r="I30" s="19"/>
      <c r="J30" s="19"/>
      <c r="K30" s="19"/>
    </row>
    <row r="31" spans="2:11" x14ac:dyDescent="0.3">
      <c r="B31" s="18"/>
      <c r="C31" s="18"/>
      <c r="D31" s="18"/>
      <c r="E31" s="18"/>
      <c r="F31" s="18"/>
      <c r="G31" s="18"/>
      <c r="H31" s="18"/>
      <c r="I31" s="18"/>
      <c r="J31" s="18"/>
      <c r="K31" s="18"/>
    </row>
    <row r="32" spans="2:11" x14ac:dyDescent="0.3">
      <c r="B32" s="18"/>
      <c r="C32" s="18"/>
      <c r="D32" s="18"/>
      <c r="E32" s="18"/>
      <c r="F32" s="18"/>
      <c r="G32" s="18"/>
      <c r="H32" s="18"/>
      <c r="I32" s="18"/>
      <c r="J32" s="18"/>
      <c r="K32" s="18"/>
    </row>
    <row r="33" spans="2:11" x14ac:dyDescent="0.3">
      <c r="B33" s="18"/>
      <c r="C33" s="18"/>
      <c r="D33" s="18"/>
      <c r="E33" s="18"/>
      <c r="F33" s="18"/>
      <c r="G33" s="18"/>
      <c r="H33" s="18"/>
      <c r="I33" s="18"/>
      <c r="J33" s="18"/>
      <c r="K33" s="18"/>
    </row>
    <row r="34" spans="2:11" x14ac:dyDescent="0.3">
      <c r="B34" s="18"/>
      <c r="C34" s="18"/>
      <c r="D34" s="18"/>
      <c r="E34" s="18"/>
      <c r="F34" s="18"/>
      <c r="G34" s="18"/>
      <c r="H34" s="18"/>
      <c r="I34" s="18"/>
      <c r="J34" s="18"/>
      <c r="K34" s="18"/>
    </row>
    <row r="35" spans="2:11" x14ac:dyDescent="0.3">
      <c r="B35" s="18"/>
      <c r="C35" s="18"/>
      <c r="D35" s="18"/>
      <c r="E35" s="18"/>
      <c r="F35" s="18"/>
      <c r="G35" s="18"/>
      <c r="H35" s="18"/>
      <c r="I35" s="18"/>
      <c r="J35" s="18"/>
      <c r="K35" s="18"/>
    </row>
    <row r="36" spans="2:11" x14ac:dyDescent="0.3">
      <c r="B36" s="18"/>
      <c r="C36" s="18"/>
      <c r="D36" s="18"/>
      <c r="E36" s="18"/>
      <c r="F36" s="18"/>
      <c r="G36" s="18"/>
      <c r="H36" s="18"/>
      <c r="I36" s="18"/>
      <c r="J36" s="18"/>
      <c r="K36" s="18"/>
    </row>
    <row r="37" spans="2:11" x14ac:dyDescent="0.3">
      <c r="B37" s="18"/>
      <c r="C37" s="18"/>
      <c r="D37" s="18"/>
      <c r="E37" s="18"/>
      <c r="F37" s="18"/>
      <c r="G37" s="18"/>
      <c r="H37" s="18"/>
      <c r="I37" s="18"/>
      <c r="J37" s="18"/>
      <c r="K37" s="18"/>
    </row>
    <row r="38" spans="2:11" x14ac:dyDescent="0.3">
      <c r="B38" s="18"/>
      <c r="C38" s="18"/>
      <c r="D38" s="18"/>
      <c r="E38" s="18"/>
      <c r="F38" s="18"/>
      <c r="G38" s="18"/>
      <c r="H38" s="18"/>
      <c r="I38" s="18"/>
      <c r="J38" s="18"/>
      <c r="K38" s="18"/>
    </row>
    <row r="39" spans="2:11" x14ac:dyDescent="0.3">
      <c r="B39" s="18"/>
      <c r="C39" s="18"/>
      <c r="D39" s="18"/>
      <c r="E39" s="18"/>
      <c r="F39" s="18"/>
      <c r="G39" s="18"/>
      <c r="H39" s="18"/>
      <c r="I39" s="18"/>
      <c r="J39" s="18"/>
      <c r="K39" s="18"/>
    </row>
    <row r="40" spans="2:11" x14ac:dyDescent="0.3">
      <c r="B40" s="18"/>
      <c r="C40" s="18"/>
      <c r="D40" s="18"/>
      <c r="E40" s="18"/>
      <c r="F40" s="18"/>
      <c r="G40" s="18"/>
      <c r="H40" s="18"/>
      <c r="I40" s="18"/>
      <c r="J40" s="18"/>
      <c r="K40" s="18"/>
    </row>
    <row r="41" spans="2:11" x14ac:dyDescent="0.3">
      <c r="B41" s="18"/>
      <c r="C41" s="18"/>
      <c r="D41" s="18"/>
      <c r="E41" s="18"/>
      <c r="F41" s="18"/>
      <c r="G41" s="18"/>
      <c r="H41" s="18"/>
      <c r="I41" s="18"/>
      <c r="J41" s="18"/>
      <c r="K41" s="18"/>
    </row>
    <row r="42" spans="2:11" x14ac:dyDescent="0.3">
      <c r="B42" s="18"/>
      <c r="C42" s="18"/>
      <c r="D42" s="18"/>
      <c r="E42" s="18"/>
      <c r="F42" s="18"/>
      <c r="G42" s="18"/>
      <c r="H42" s="18"/>
      <c r="I42" s="18"/>
      <c r="J42" s="18"/>
      <c r="K42" s="18"/>
    </row>
    <row r="43" spans="2:11" x14ac:dyDescent="0.3">
      <c r="B43" s="18"/>
      <c r="C43" s="18"/>
      <c r="D43" s="18"/>
      <c r="E43" s="18"/>
      <c r="F43" s="18"/>
      <c r="G43" s="18"/>
      <c r="H43" s="18"/>
      <c r="I43" s="18"/>
      <c r="J43" s="18"/>
      <c r="K43" s="18"/>
    </row>
    <row r="44" spans="2:11" x14ac:dyDescent="0.3">
      <c r="B44" s="18"/>
      <c r="C44" s="18"/>
      <c r="D44" s="18"/>
      <c r="E44" s="18"/>
      <c r="F44" s="18"/>
      <c r="G44" s="18"/>
      <c r="H44" s="18"/>
      <c r="I44" s="18"/>
      <c r="J44" s="18"/>
      <c r="K44" s="18"/>
    </row>
    <row r="45" spans="2:11" x14ac:dyDescent="0.3">
      <c r="B45" s="18"/>
      <c r="C45" s="18"/>
      <c r="D45" s="18"/>
      <c r="E45" s="18"/>
      <c r="F45" s="18"/>
      <c r="G45" s="18"/>
      <c r="H45" s="18"/>
      <c r="I45" s="18"/>
      <c r="J45" s="18"/>
      <c r="K45" s="18"/>
    </row>
    <row r="46" spans="2:11" x14ac:dyDescent="0.3">
      <c r="B46" s="18"/>
      <c r="C46" s="18"/>
      <c r="D46" s="18"/>
      <c r="E46" s="18"/>
      <c r="F46" s="18"/>
      <c r="G46" s="18"/>
      <c r="H46" s="18"/>
      <c r="I46" s="18"/>
      <c r="J46" s="18"/>
      <c r="K46" s="18"/>
    </row>
    <row r="47" spans="2:11" x14ac:dyDescent="0.3">
      <c r="B47" s="18"/>
      <c r="C47" s="18"/>
      <c r="D47" s="18"/>
      <c r="E47" s="18"/>
      <c r="F47" s="18"/>
      <c r="G47" s="18"/>
      <c r="H47" s="18"/>
      <c r="I47" s="18"/>
      <c r="J47" s="18"/>
      <c r="K47" s="18"/>
    </row>
    <row r="48" spans="2:11" x14ac:dyDescent="0.3">
      <c r="B48" s="18"/>
      <c r="C48" s="18"/>
      <c r="D48" s="18"/>
      <c r="E48" s="18"/>
      <c r="F48" s="18"/>
      <c r="G48" s="18"/>
      <c r="H48" s="18"/>
      <c r="I48" s="18"/>
      <c r="J48" s="18"/>
      <c r="K48" s="18"/>
    </row>
    <row r="49" spans="2:11" x14ac:dyDescent="0.3">
      <c r="B49" s="18"/>
      <c r="C49" s="18"/>
      <c r="D49" s="18"/>
      <c r="E49" s="18"/>
      <c r="F49" s="18"/>
      <c r="G49" s="18"/>
      <c r="H49" s="18"/>
      <c r="I49" s="18"/>
      <c r="J49" s="18"/>
      <c r="K49" s="18"/>
    </row>
    <row r="50" spans="2:11" x14ac:dyDescent="0.3">
      <c r="B50" s="18"/>
      <c r="C50" s="18"/>
      <c r="D50" s="18"/>
      <c r="E50" s="18"/>
      <c r="F50" s="18"/>
      <c r="G50" s="18"/>
      <c r="H50" s="18"/>
      <c r="I50" s="18"/>
      <c r="J50" s="18"/>
      <c r="K50" s="18"/>
    </row>
    <row r="51" spans="2:11" x14ac:dyDescent="0.3">
      <c r="B51" s="18"/>
      <c r="C51" s="18"/>
      <c r="D51" s="18"/>
      <c r="E51" s="18"/>
      <c r="F51" s="18"/>
      <c r="G51" s="18"/>
      <c r="H51" s="18"/>
      <c r="I51" s="18"/>
      <c r="J51" s="18"/>
      <c r="K51" s="18"/>
    </row>
    <row r="52" spans="2:11" x14ac:dyDescent="0.3">
      <c r="B52" s="18"/>
      <c r="C52" s="18"/>
      <c r="D52" s="18"/>
      <c r="E52" s="18"/>
      <c r="F52" s="18"/>
      <c r="G52" s="18"/>
      <c r="H52" s="18"/>
      <c r="I52" s="18"/>
      <c r="J52" s="18"/>
      <c r="K52" s="18"/>
    </row>
    <row r="53" spans="2:11" x14ac:dyDescent="0.3">
      <c r="B53" s="18"/>
      <c r="C53" s="18"/>
      <c r="D53" s="18"/>
      <c r="E53" s="18"/>
      <c r="F53" s="18"/>
      <c r="G53" s="18"/>
      <c r="H53" s="18"/>
      <c r="I53" s="18"/>
      <c r="J53" s="18"/>
      <c r="K53" s="18"/>
    </row>
    <row r="54" spans="2:11" x14ac:dyDescent="0.3">
      <c r="B54" s="18"/>
      <c r="C54" s="18"/>
      <c r="D54" s="18"/>
      <c r="E54" s="18"/>
      <c r="F54" s="18"/>
      <c r="G54" s="18"/>
      <c r="H54" s="18"/>
      <c r="I54" s="18"/>
      <c r="J54" s="18"/>
      <c r="K54" s="18"/>
    </row>
    <row r="55" spans="2:11" x14ac:dyDescent="0.3">
      <c r="B55" s="18"/>
      <c r="C55" s="18"/>
      <c r="D55" s="18"/>
      <c r="E55" s="18"/>
      <c r="F55" s="18"/>
      <c r="G55" s="18"/>
      <c r="H55" s="18"/>
      <c r="I55" s="18"/>
      <c r="J55" s="18"/>
      <c r="K55" s="18"/>
    </row>
    <row r="56" spans="2:11" x14ac:dyDescent="0.3">
      <c r="B56" s="18"/>
      <c r="C56" s="18"/>
      <c r="D56" s="18"/>
      <c r="E56" s="18"/>
      <c r="F56" s="18"/>
      <c r="G56" s="18"/>
      <c r="H56" s="18"/>
      <c r="I56" s="18"/>
      <c r="J56" s="18"/>
      <c r="K56" s="18"/>
    </row>
    <row r="57" spans="2:11" x14ac:dyDescent="0.3">
      <c r="B57" s="18"/>
      <c r="C57" s="18"/>
      <c r="D57" s="18"/>
      <c r="E57" s="18"/>
      <c r="F57" s="18"/>
      <c r="G57" s="18"/>
      <c r="H57" s="18"/>
      <c r="I57" s="18"/>
      <c r="J57" s="18"/>
      <c r="K57" s="18"/>
    </row>
    <row r="58" spans="2:11" x14ac:dyDescent="0.3">
      <c r="B58" s="18"/>
      <c r="C58" s="18"/>
      <c r="D58" s="18"/>
      <c r="E58" s="18"/>
      <c r="F58" s="18"/>
      <c r="G58" s="18"/>
      <c r="H58" s="18"/>
      <c r="I58" s="18"/>
      <c r="J58" s="18"/>
      <c r="K58" s="18"/>
    </row>
    <row r="59" spans="2:11" x14ac:dyDescent="0.3">
      <c r="B59" s="18"/>
      <c r="C59" s="18"/>
      <c r="D59" s="18"/>
      <c r="E59" s="18"/>
      <c r="F59" s="18"/>
      <c r="G59" s="18"/>
      <c r="H59" s="18"/>
      <c r="I59" s="18"/>
      <c r="J59" s="18"/>
      <c r="K59" s="18"/>
    </row>
    <row r="60" spans="2:11" x14ac:dyDescent="0.3">
      <c r="B60" s="18"/>
      <c r="C60" s="18"/>
      <c r="D60" s="18"/>
      <c r="E60" s="18"/>
      <c r="F60" s="18"/>
      <c r="G60" s="18"/>
      <c r="H60" s="18"/>
      <c r="I60" s="18"/>
      <c r="J60" s="18"/>
      <c r="K60" s="18"/>
    </row>
    <row r="61" spans="2:11" x14ac:dyDescent="0.3">
      <c r="B61" s="18"/>
      <c r="C61" s="18"/>
      <c r="D61" s="18"/>
      <c r="E61" s="18"/>
      <c r="F61" s="18"/>
      <c r="G61" s="18"/>
      <c r="H61" s="18"/>
      <c r="I61" s="18"/>
      <c r="J61" s="18"/>
      <c r="K61" s="18"/>
    </row>
    <row r="62" spans="2:11" x14ac:dyDescent="0.3">
      <c r="B62" s="18"/>
      <c r="C62" s="18"/>
      <c r="D62" s="18"/>
      <c r="E62" s="18"/>
      <c r="F62" s="18"/>
      <c r="G62" s="18"/>
      <c r="H62" s="18"/>
      <c r="I62" s="18"/>
      <c r="J62" s="18"/>
      <c r="K62" s="18"/>
    </row>
    <row r="63" spans="2:11" x14ac:dyDescent="0.3">
      <c r="B63" s="18"/>
      <c r="C63" s="18"/>
      <c r="D63" s="18"/>
      <c r="E63" s="18"/>
      <c r="F63" s="18"/>
      <c r="G63" s="18"/>
      <c r="H63" s="18"/>
      <c r="I63" s="18"/>
      <c r="J63" s="18"/>
      <c r="K63" s="18"/>
    </row>
    <row r="64" spans="2:11" x14ac:dyDescent="0.3">
      <c r="B64" s="18"/>
      <c r="C64" s="18"/>
      <c r="D64" s="18"/>
      <c r="E64" s="18"/>
      <c r="F64" s="18"/>
      <c r="G64" s="18"/>
      <c r="H64" s="18"/>
      <c r="I64" s="18"/>
      <c r="J64" s="18"/>
      <c r="K64" s="18"/>
    </row>
    <row r="65" spans="2:11" x14ac:dyDescent="0.3">
      <c r="B65" s="18"/>
      <c r="C65" s="18"/>
      <c r="D65" s="18"/>
      <c r="E65" s="18"/>
      <c r="F65" s="18"/>
      <c r="G65" s="18"/>
      <c r="H65" s="18"/>
      <c r="I65" s="18"/>
      <c r="J65" s="18"/>
      <c r="K65" s="18"/>
    </row>
    <row r="66" spans="2:11" x14ac:dyDescent="0.3">
      <c r="B66" s="18"/>
      <c r="C66" s="18"/>
      <c r="D66" s="18"/>
      <c r="E66" s="18"/>
      <c r="F66" s="18"/>
      <c r="G66" s="18"/>
      <c r="H66" s="18"/>
      <c r="I66" s="18"/>
      <c r="J66" s="18"/>
      <c r="K66" s="18"/>
    </row>
    <row r="67" spans="2:11" x14ac:dyDescent="0.3">
      <c r="B67" s="18"/>
      <c r="C67" s="18"/>
      <c r="D67" s="18"/>
      <c r="E67" s="18"/>
      <c r="F67" s="18"/>
      <c r="G67" s="18"/>
      <c r="H67" s="18"/>
      <c r="I67" s="18"/>
      <c r="J67" s="18"/>
      <c r="K67" s="18"/>
    </row>
    <row r="68" spans="2:11" x14ac:dyDescent="0.3">
      <c r="B68" s="18"/>
      <c r="C68" s="18"/>
      <c r="D68" s="18"/>
      <c r="E68" s="18"/>
      <c r="F68" s="18"/>
      <c r="G68" s="18"/>
      <c r="H68" s="18"/>
      <c r="I68" s="18"/>
      <c r="J68" s="18"/>
      <c r="K68" s="18"/>
    </row>
    <row r="69" spans="2:11" x14ac:dyDescent="0.3">
      <c r="B69" s="18"/>
      <c r="C69" s="18"/>
      <c r="D69" s="18"/>
      <c r="E69" s="18"/>
      <c r="F69" s="18"/>
      <c r="G69" s="18"/>
      <c r="H69" s="18"/>
      <c r="I69" s="18"/>
      <c r="J69" s="18"/>
      <c r="K69" s="18"/>
    </row>
    <row r="70" spans="2:11" x14ac:dyDescent="0.3">
      <c r="B70" s="18"/>
      <c r="C70" s="18"/>
      <c r="D70" s="18"/>
      <c r="E70" s="18"/>
      <c r="F70" s="18"/>
      <c r="G70" s="18"/>
      <c r="H70" s="18"/>
      <c r="I70" s="18"/>
      <c r="J70" s="18"/>
      <c r="K70" s="18"/>
    </row>
    <row r="71" spans="2:11" x14ac:dyDescent="0.3">
      <c r="B71" s="18"/>
      <c r="C71" s="18"/>
      <c r="D71" s="18"/>
      <c r="E71" s="18"/>
      <c r="F71" s="18"/>
      <c r="G71" s="18"/>
      <c r="H71" s="18"/>
      <c r="I71" s="18"/>
      <c r="J71" s="18"/>
      <c r="K71" s="18"/>
    </row>
    <row r="72" spans="2:11" x14ac:dyDescent="0.3">
      <c r="B72" s="18"/>
      <c r="C72" s="18"/>
      <c r="D72" s="18"/>
      <c r="E72" s="18"/>
      <c r="F72" s="18"/>
      <c r="G72" s="18"/>
      <c r="H72" s="18"/>
      <c r="I72" s="18"/>
      <c r="J72" s="18"/>
      <c r="K72" s="18"/>
    </row>
    <row r="73" spans="2:11" x14ac:dyDescent="0.3">
      <c r="B73" s="18"/>
      <c r="C73" s="18"/>
      <c r="D73" s="18"/>
      <c r="E73" s="18"/>
      <c r="F73" s="18"/>
      <c r="G73" s="18"/>
      <c r="H73" s="18"/>
      <c r="I73" s="18"/>
      <c r="J73" s="18"/>
      <c r="K73" s="18"/>
    </row>
    <row r="74" spans="2:11" x14ac:dyDescent="0.3">
      <c r="B74" s="18"/>
      <c r="C74" s="18"/>
      <c r="D74" s="18"/>
      <c r="E74" s="18"/>
      <c r="F74" s="18"/>
      <c r="G74" s="18"/>
      <c r="H74" s="18"/>
      <c r="I74" s="18"/>
      <c r="J74" s="18"/>
      <c r="K74" s="18"/>
    </row>
    <row r="75" spans="2:11" x14ac:dyDescent="0.3">
      <c r="B75" s="18"/>
      <c r="C75" s="18"/>
      <c r="D75" s="18"/>
      <c r="E75" s="18"/>
      <c r="F75" s="18"/>
      <c r="G75" s="18"/>
      <c r="H75" s="18"/>
      <c r="I75" s="18"/>
      <c r="J75" s="18"/>
      <c r="K75" s="18"/>
    </row>
    <row r="76" spans="2:11" x14ac:dyDescent="0.3">
      <c r="B76" s="18"/>
      <c r="C76" s="18"/>
      <c r="D76" s="18"/>
      <c r="E76" s="18"/>
      <c r="F76" s="18"/>
      <c r="G76" s="18"/>
      <c r="H76" s="18"/>
      <c r="I76" s="18"/>
      <c r="J76" s="18"/>
      <c r="K76" s="18"/>
    </row>
  </sheetData>
  <mergeCells count="1">
    <mergeCell ref="B2:K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EBFD7-B2B3-4AC5-8AE2-D2E8F82FDCF8}">
  <dimension ref="B3:G81"/>
  <sheetViews>
    <sheetView workbookViewId="0">
      <selection activeCell="B75" sqref="B75"/>
    </sheetView>
  </sheetViews>
  <sheetFormatPr defaultRowHeight="14.4" x14ac:dyDescent="0.3"/>
  <cols>
    <col min="2" max="2" width="12.6640625" bestFit="1" customWidth="1"/>
    <col min="3" max="3" width="10.88671875" bestFit="1" customWidth="1"/>
    <col min="4" max="4" width="14.109375" bestFit="1" customWidth="1"/>
    <col min="5" max="5" width="26.109375" bestFit="1" customWidth="1"/>
    <col min="6" max="7" width="26.44140625" bestFit="1" customWidth="1"/>
    <col min="8" max="8" width="10.5546875" bestFit="1" customWidth="1"/>
    <col min="9" max="10" width="20.33203125" bestFit="1" customWidth="1"/>
    <col min="11" max="11" width="24.88671875" bestFit="1" customWidth="1"/>
    <col min="12" max="12" width="19.21875" bestFit="1" customWidth="1"/>
    <col min="13" max="13" width="6.5546875" bestFit="1" customWidth="1"/>
    <col min="14" max="14" width="7.5546875" bestFit="1" customWidth="1"/>
    <col min="15" max="24" width="6.5546875" bestFit="1" customWidth="1"/>
    <col min="25" max="25" width="7.5546875" bestFit="1" customWidth="1"/>
    <col min="26" max="27" width="6.5546875" bestFit="1" customWidth="1"/>
    <col min="28" max="28" width="7.5546875" bestFit="1" customWidth="1"/>
    <col min="29" max="35" width="6.5546875" bestFit="1" customWidth="1"/>
    <col min="36" max="36" width="5.5546875" bestFit="1" customWidth="1"/>
    <col min="37" max="41" width="6.5546875" bestFit="1" customWidth="1"/>
    <col min="42" max="42" width="5.5546875" bestFit="1" customWidth="1"/>
    <col min="43" max="52" width="6.5546875" bestFit="1" customWidth="1"/>
    <col min="53" max="53" width="7.5546875" bestFit="1" customWidth="1"/>
    <col min="54" max="68" width="6.5546875" bestFit="1" customWidth="1"/>
    <col min="69" max="69" width="7.5546875" bestFit="1" customWidth="1"/>
    <col min="70" max="76" width="6.5546875" bestFit="1" customWidth="1"/>
    <col min="77" max="77" width="7.5546875" bestFit="1" customWidth="1"/>
    <col min="78" max="92" width="6.5546875" bestFit="1" customWidth="1"/>
    <col min="93" max="93" width="5.5546875" bestFit="1" customWidth="1"/>
    <col min="94" max="104" width="6.5546875" bestFit="1" customWidth="1"/>
    <col min="105" max="105" width="7.5546875" bestFit="1" customWidth="1"/>
    <col min="106" max="112" width="6.5546875" bestFit="1" customWidth="1"/>
    <col min="113" max="113" width="7.5546875" bestFit="1" customWidth="1"/>
    <col min="114" max="115" width="6.5546875" bestFit="1" customWidth="1"/>
    <col min="116" max="116" width="5.5546875" bestFit="1" customWidth="1"/>
    <col min="117" max="119" width="6.5546875" bestFit="1" customWidth="1"/>
    <col min="120" max="121" width="7.5546875" bestFit="1" customWidth="1"/>
    <col min="122" max="122" width="6.5546875" bestFit="1" customWidth="1"/>
    <col min="123" max="123" width="7.5546875" bestFit="1" customWidth="1"/>
    <col min="124" max="139" width="6.5546875" bestFit="1" customWidth="1"/>
    <col min="140" max="140" width="7.5546875" bestFit="1" customWidth="1"/>
    <col min="141" max="147" width="6.5546875" bestFit="1" customWidth="1"/>
    <col min="148" max="148" width="5.5546875" bestFit="1" customWidth="1"/>
    <col min="149" max="164" width="6.5546875" bestFit="1" customWidth="1"/>
    <col min="165" max="165" width="7.5546875" bestFit="1" customWidth="1"/>
    <col min="166" max="179" width="6.5546875" bestFit="1" customWidth="1"/>
    <col min="180" max="180" width="7.5546875" bestFit="1" customWidth="1"/>
    <col min="181" max="181" width="6.5546875" bestFit="1" customWidth="1"/>
    <col min="182" max="182" width="7.5546875" bestFit="1" customWidth="1"/>
    <col min="183" max="211" width="6.5546875" bestFit="1" customWidth="1"/>
    <col min="212" max="212" width="5.5546875" bestFit="1" customWidth="1"/>
    <col min="213" max="222" width="6.5546875" bestFit="1" customWidth="1"/>
    <col min="223" max="223" width="7.5546875" bestFit="1" customWidth="1"/>
    <col min="224" max="230" width="6.5546875" bestFit="1" customWidth="1"/>
    <col min="231" max="231" width="5.5546875" bestFit="1" customWidth="1"/>
    <col min="232" max="239" width="6.5546875" bestFit="1" customWidth="1"/>
    <col min="240" max="240" width="5.5546875" bestFit="1" customWidth="1"/>
    <col min="241" max="271" width="6.5546875" bestFit="1" customWidth="1"/>
    <col min="272" max="272" width="5.5546875" bestFit="1" customWidth="1"/>
    <col min="273" max="288" width="6.5546875" bestFit="1" customWidth="1"/>
    <col min="289" max="289" width="7.5546875" bestFit="1" customWidth="1"/>
    <col min="290" max="295" width="6.5546875" bestFit="1" customWidth="1"/>
    <col min="296" max="296" width="7.5546875" bestFit="1" customWidth="1"/>
    <col min="297" max="313" width="6.5546875" bestFit="1" customWidth="1"/>
    <col min="314" max="314" width="5.5546875" bestFit="1" customWidth="1"/>
    <col min="315" max="339" width="6.5546875" bestFit="1" customWidth="1"/>
    <col min="340" max="340" width="5.5546875" bestFit="1" customWidth="1"/>
    <col min="341" max="369" width="6.5546875" bestFit="1" customWidth="1"/>
    <col min="370" max="370" width="5.5546875" bestFit="1" customWidth="1"/>
    <col min="371" max="397" width="6.5546875" bestFit="1" customWidth="1"/>
    <col min="398" max="398" width="7.5546875" bestFit="1" customWidth="1"/>
    <col min="399" max="402" width="6.5546875" bestFit="1" customWidth="1"/>
    <col min="403" max="403" width="7.5546875" bestFit="1" customWidth="1"/>
    <col min="404" max="416" width="6.5546875" bestFit="1" customWidth="1"/>
    <col min="417" max="417" width="5.5546875" bestFit="1" customWidth="1"/>
    <col min="418" max="431" width="6.5546875" bestFit="1" customWidth="1"/>
    <col min="432" max="433" width="5.5546875" bestFit="1" customWidth="1"/>
    <col min="434" max="449" width="6.5546875" bestFit="1" customWidth="1"/>
    <col min="450" max="450" width="7.5546875" bestFit="1" customWidth="1"/>
    <col min="451" max="451" width="6.5546875" bestFit="1" customWidth="1"/>
    <col min="452" max="452" width="7.5546875" bestFit="1" customWidth="1"/>
    <col min="453" max="482" width="6.5546875" bestFit="1" customWidth="1"/>
    <col min="483" max="483" width="5.5546875" bestFit="1" customWidth="1"/>
    <col min="484" max="494" width="6.5546875" bestFit="1" customWidth="1"/>
    <col min="495" max="495" width="5.5546875" bestFit="1" customWidth="1"/>
    <col min="496" max="498" width="6.5546875" bestFit="1" customWidth="1"/>
    <col min="499" max="500" width="5.5546875" bestFit="1" customWidth="1"/>
    <col min="501" max="505" width="6.5546875" bestFit="1" customWidth="1"/>
    <col min="506" max="507" width="5.5546875" bestFit="1" customWidth="1"/>
    <col min="508" max="527" width="6.5546875" bestFit="1" customWidth="1"/>
    <col min="528" max="528" width="5.5546875" bestFit="1" customWidth="1"/>
    <col min="529" max="543" width="6.5546875" bestFit="1" customWidth="1"/>
    <col min="544" max="544" width="5.5546875" bestFit="1" customWidth="1"/>
    <col min="545" max="564" width="6.5546875" bestFit="1" customWidth="1"/>
    <col min="565" max="566" width="5.5546875" bestFit="1" customWidth="1"/>
    <col min="567" max="572" width="6.5546875" bestFit="1" customWidth="1"/>
    <col min="573" max="574" width="5.5546875" bestFit="1" customWidth="1"/>
    <col min="575" max="576" width="6.5546875" bestFit="1" customWidth="1"/>
    <col min="577" max="577" width="5.5546875" bestFit="1" customWidth="1"/>
    <col min="578" max="578" width="6.5546875" bestFit="1" customWidth="1"/>
    <col min="579" max="579" width="5.5546875" bestFit="1" customWidth="1"/>
    <col min="580" max="588" width="6.5546875" bestFit="1" customWidth="1"/>
    <col min="589" max="589" width="5.5546875" bestFit="1" customWidth="1"/>
    <col min="590" max="598" width="6.5546875" bestFit="1" customWidth="1"/>
    <col min="599" max="599" width="5.5546875" bestFit="1" customWidth="1"/>
    <col min="600" max="605" width="6.5546875" bestFit="1" customWidth="1"/>
    <col min="606" max="606" width="5.5546875" bestFit="1" customWidth="1"/>
    <col min="607" max="609" width="6.5546875" bestFit="1" customWidth="1"/>
    <col min="610" max="610" width="5.5546875" bestFit="1" customWidth="1"/>
    <col min="611" max="614" width="6.5546875" bestFit="1" customWidth="1"/>
    <col min="615" max="615" width="7.5546875" bestFit="1" customWidth="1"/>
    <col min="616" max="622" width="6.5546875" bestFit="1" customWidth="1"/>
    <col min="623" max="624" width="5.5546875" bestFit="1" customWidth="1"/>
    <col min="625" max="629" width="6.5546875" bestFit="1" customWidth="1"/>
    <col min="630" max="630" width="5.5546875" bestFit="1" customWidth="1"/>
    <col min="631" max="639" width="6.5546875" bestFit="1" customWidth="1"/>
    <col min="640" max="640" width="5.5546875" bestFit="1" customWidth="1"/>
    <col min="641" max="646" width="6.5546875" bestFit="1" customWidth="1"/>
    <col min="647" max="647" width="5.5546875" bestFit="1" customWidth="1"/>
    <col min="648" max="654" width="6.5546875" bestFit="1" customWidth="1"/>
    <col min="655" max="655" width="5.5546875" bestFit="1" customWidth="1"/>
    <col min="656" max="661" width="6.5546875" bestFit="1" customWidth="1"/>
    <col min="662" max="662" width="5.5546875" bestFit="1" customWidth="1"/>
    <col min="663" max="671" width="6.5546875" bestFit="1" customWidth="1"/>
    <col min="672" max="672" width="5.5546875" bestFit="1" customWidth="1"/>
    <col min="673" max="710" width="6.5546875" bestFit="1" customWidth="1"/>
    <col min="711" max="711" width="5.5546875" bestFit="1" customWidth="1"/>
    <col min="712" max="728" width="6.5546875" bestFit="1" customWidth="1"/>
    <col min="729" max="730" width="5.5546875" bestFit="1" customWidth="1"/>
    <col min="731" max="731" width="6.5546875" bestFit="1" customWidth="1"/>
    <col min="732" max="732" width="5.5546875" bestFit="1" customWidth="1"/>
    <col min="733" max="740" width="6.5546875" bestFit="1" customWidth="1"/>
    <col min="741" max="741" width="5.5546875" bestFit="1" customWidth="1"/>
    <col min="742" max="767" width="6.5546875" bestFit="1" customWidth="1"/>
    <col min="768" max="768" width="5.5546875" bestFit="1" customWidth="1"/>
    <col min="769" max="772" width="6.5546875" bestFit="1" customWidth="1"/>
    <col min="773" max="773" width="5.5546875" bestFit="1" customWidth="1"/>
    <col min="774" max="775" width="6.5546875" bestFit="1" customWidth="1"/>
    <col min="776" max="776" width="5.5546875" bestFit="1" customWidth="1"/>
    <col min="777" max="786" width="6.5546875" bestFit="1" customWidth="1"/>
    <col min="787" max="787" width="5.5546875" bestFit="1" customWidth="1"/>
    <col min="788" max="802" width="6.5546875" bestFit="1" customWidth="1"/>
    <col min="803" max="803" width="5.5546875" bestFit="1" customWidth="1"/>
    <col min="804" max="841" width="6.5546875" bestFit="1" customWidth="1"/>
    <col min="842" max="843" width="5.5546875" bestFit="1" customWidth="1"/>
    <col min="844" max="850" width="6.5546875" bestFit="1" customWidth="1"/>
    <col min="851" max="851" width="5.5546875" bestFit="1" customWidth="1"/>
    <col min="852" max="854" width="6.5546875" bestFit="1" customWidth="1"/>
    <col min="855" max="855" width="5.5546875" bestFit="1" customWidth="1"/>
    <col min="856" max="860" width="6.5546875" bestFit="1" customWidth="1"/>
    <col min="861" max="861" width="5.5546875" bestFit="1" customWidth="1"/>
    <col min="862" max="879" width="6.5546875" bestFit="1" customWidth="1"/>
    <col min="880" max="880" width="5.5546875" bestFit="1" customWidth="1"/>
    <col min="881" max="882" width="6.5546875" bestFit="1" customWidth="1"/>
    <col min="883" max="883" width="5.5546875" bestFit="1" customWidth="1"/>
    <col min="884" max="885" width="6.5546875" bestFit="1" customWidth="1"/>
    <col min="886" max="886" width="5.5546875" bestFit="1" customWidth="1"/>
    <col min="887" max="889" width="6.5546875" bestFit="1" customWidth="1"/>
    <col min="890" max="890" width="5.5546875" bestFit="1" customWidth="1"/>
    <col min="891" max="929" width="6.5546875" bestFit="1" customWidth="1"/>
    <col min="930" max="931" width="5.5546875" bestFit="1" customWidth="1"/>
    <col min="932" max="941" width="6.5546875" bestFit="1" customWidth="1"/>
    <col min="942" max="942" width="5.5546875" bestFit="1" customWidth="1"/>
    <col min="943" max="952" width="6.5546875" bestFit="1" customWidth="1"/>
    <col min="953" max="953" width="5.5546875" bestFit="1" customWidth="1"/>
    <col min="954" max="965" width="6.5546875" bestFit="1" customWidth="1"/>
    <col min="966" max="966" width="5.5546875" bestFit="1" customWidth="1"/>
    <col min="967" max="987" width="6.5546875" bestFit="1" customWidth="1"/>
    <col min="988" max="988" width="5.5546875" bestFit="1" customWidth="1"/>
    <col min="989" max="1004" width="6.5546875" bestFit="1" customWidth="1"/>
    <col min="1005" max="1006" width="5.5546875" bestFit="1" customWidth="1"/>
    <col min="1007" max="1007" width="6.5546875" bestFit="1" customWidth="1"/>
    <col min="1008" max="1008" width="5.5546875" bestFit="1" customWidth="1"/>
    <col min="1009" max="1009" width="6.5546875" bestFit="1" customWidth="1"/>
    <col min="1010" max="1010" width="5.5546875" bestFit="1" customWidth="1"/>
    <col min="1011" max="1011" width="6.5546875" bestFit="1" customWidth="1"/>
    <col min="1012" max="1012" width="5.5546875" bestFit="1" customWidth="1"/>
    <col min="1013" max="1026" width="6.5546875" bestFit="1" customWidth="1"/>
    <col min="1027" max="1027" width="5.5546875" bestFit="1" customWidth="1"/>
    <col min="1028" max="1037" width="6.5546875" bestFit="1" customWidth="1"/>
    <col min="1038" max="1038" width="5.5546875" bestFit="1" customWidth="1"/>
    <col min="1039" max="1039" width="6.5546875" bestFit="1" customWidth="1"/>
    <col min="1040" max="1040" width="5.5546875" bestFit="1" customWidth="1"/>
    <col min="1041" max="1048" width="6.5546875" bestFit="1" customWidth="1"/>
    <col min="1049" max="1050" width="5.5546875" bestFit="1" customWidth="1"/>
    <col min="1051" max="1062" width="6.5546875" bestFit="1" customWidth="1"/>
    <col min="1063" max="1063" width="5.5546875" bestFit="1" customWidth="1"/>
    <col min="1064" max="1092" width="6.5546875" bestFit="1" customWidth="1"/>
    <col min="1093" max="1094" width="5.5546875" bestFit="1" customWidth="1"/>
    <col min="1095" max="1101" width="6.5546875" bestFit="1" customWidth="1"/>
    <col min="1102" max="1102" width="5.5546875" bestFit="1" customWidth="1"/>
    <col min="1103" max="1108" width="6.5546875" bestFit="1" customWidth="1"/>
    <col min="1109" max="1109" width="5.5546875" bestFit="1" customWidth="1"/>
    <col min="1110" max="1126" width="6.5546875" bestFit="1" customWidth="1"/>
    <col min="1127" max="1128" width="5.5546875" bestFit="1" customWidth="1"/>
    <col min="1129" max="1129" width="6.5546875" bestFit="1" customWidth="1"/>
    <col min="1130" max="1130" width="5.5546875" bestFit="1" customWidth="1"/>
    <col min="1131" max="1136" width="6.5546875" bestFit="1" customWidth="1"/>
    <col min="1137" max="1137" width="7.5546875" bestFit="1" customWidth="1"/>
    <col min="1138" max="1138" width="6.5546875" bestFit="1" customWidth="1"/>
    <col min="1139" max="1140" width="5.5546875" bestFit="1" customWidth="1"/>
    <col min="1141" max="1148" width="6.5546875" bestFit="1" customWidth="1"/>
    <col min="1149" max="1149" width="5.5546875" bestFit="1" customWidth="1"/>
    <col min="1150" max="1150" width="6.5546875" bestFit="1" customWidth="1"/>
    <col min="1151" max="1151" width="5.5546875" bestFit="1" customWidth="1"/>
    <col min="1152" max="1152" width="6.5546875" bestFit="1" customWidth="1"/>
    <col min="1153" max="1153" width="5.5546875" bestFit="1" customWidth="1"/>
    <col min="1154" max="1159" width="6.5546875" bestFit="1" customWidth="1"/>
    <col min="1160" max="1160" width="5.5546875" bestFit="1" customWidth="1"/>
    <col min="1161" max="1163" width="6.5546875" bestFit="1" customWidth="1"/>
    <col min="1164" max="1165" width="5.5546875" bestFit="1" customWidth="1"/>
    <col min="1166" max="1185" width="6.5546875" bestFit="1" customWidth="1"/>
    <col min="1186" max="1186" width="5.5546875" bestFit="1" customWidth="1"/>
    <col min="1187" max="1196" width="6.5546875" bestFit="1" customWidth="1"/>
    <col min="1197" max="1198" width="5.5546875" bestFit="1" customWidth="1"/>
    <col min="1199" max="1205" width="6.5546875" bestFit="1" customWidth="1"/>
    <col min="1206" max="1206" width="5.5546875" bestFit="1" customWidth="1"/>
    <col min="1207" max="1215" width="6.5546875" bestFit="1" customWidth="1"/>
    <col min="1216" max="1216" width="5.5546875" bestFit="1" customWidth="1"/>
    <col min="1217" max="1229" width="6.5546875" bestFit="1" customWidth="1"/>
    <col min="1230" max="1230" width="5.5546875" bestFit="1" customWidth="1"/>
    <col min="1231" max="1232" width="6.5546875" bestFit="1" customWidth="1"/>
    <col min="1233" max="1233" width="5.5546875" bestFit="1" customWidth="1"/>
    <col min="1234" max="1235" width="6.5546875" bestFit="1" customWidth="1"/>
    <col min="1236" max="1236" width="5.5546875" bestFit="1" customWidth="1"/>
    <col min="1237" max="1239" width="6.5546875" bestFit="1" customWidth="1"/>
    <col min="1240" max="1242" width="5.5546875" bestFit="1" customWidth="1"/>
    <col min="1243" max="1243" width="6.5546875" bestFit="1" customWidth="1"/>
    <col min="1244" max="1244" width="5.5546875" bestFit="1" customWidth="1"/>
    <col min="1245" max="1245" width="6.5546875" bestFit="1" customWidth="1"/>
    <col min="1246" max="1247" width="5.5546875" bestFit="1" customWidth="1"/>
    <col min="1248" max="1248" width="6.5546875" bestFit="1" customWidth="1"/>
    <col min="1249" max="1249" width="5.5546875" bestFit="1" customWidth="1"/>
    <col min="1250" max="1253" width="6.5546875" bestFit="1" customWidth="1"/>
    <col min="1254" max="1255" width="5.5546875" bestFit="1" customWidth="1"/>
    <col min="1256" max="1263" width="6.5546875" bestFit="1" customWidth="1"/>
    <col min="1264" max="1265" width="5.5546875" bestFit="1" customWidth="1"/>
    <col min="1266" max="1270" width="6.5546875" bestFit="1" customWidth="1"/>
    <col min="1271" max="1271" width="5.5546875" bestFit="1" customWidth="1"/>
    <col min="1272" max="1295" width="6.5546875" bestFit="1" customWidth="1"/>
    <col min="1296" max="1296" width="5.5546875" bestFit="1" customWidth="1"/>
    <col min="1297" max="1300" width="6.5546875" bestFit="1" customWidth="1"/>
    <col min="1301" max="1301" width="5.5546875" bestFit="1" customWidth="1"/>
    <col min="1302" max="1306" width="6.5546875" bestFit="1" customWidth="1"/>
    <col min="1307" max="1307" width="5.5546875" bestFit="1" customWidth="1"/>
    <col min="1308" max="1309" width="6.5546875" bestFit="1" customWidth="1"/>
    <col min="1310" max="1310" width="5.5546875" bestFit="1" customWidth="1"/>
    <col min="1311" max="1316" width="6.5546875" bestFit="1" customWidth="1"/>
    <col min="1317" max="1317" width="5.5546875" bestFit="1" customWidth="1"/>
    <col min="1318" max="1318" width="6.5546875" bestFit="1" customWidth="1"/>
    <col min="1319" max="1319" width="5.5546875" bestFit="1" customWidth="1"/>
    <col min="1320" max="1321" width="6.5546875" bestFit="1" customWidth="1"/>
    <col min="1322" max="1322" width="5.5546875" bestFit="1" customWidth="1"/>
    <col min="1323" max="1324" width="6.5546875" bestFit="1" customWidth="1"/>
    <col min="1325" max="1325" width="5.5546875" bestFit="1" customWidth="1"/>
    <col min="1326" max="1329" width="6.5546875" bestFit="1" customWidth="1"/>
    <col min="1330" max="1330" width="5.5546875" bestFit="1" customWidth="1"/>
    <col min="1331" max="1331" width="6.5546875" bestFit="1" customWidth="1"/>
    <col min="1332" max="1332" width="5.5546875" bestFit="1" customWidth="1"/>
    <col min="1333" max="1340" width="6.5546875" bestFit="1" customWidth="1"/>
    <col min="1341" max="1341" width="5.5546875" bestFit="1" customWidth="1"/>
    <col min="1342" max="1350" width="6.5546875" bestFit="1" customWidth="1"/>
    <col min="1351" max="1352" width="5.5546875" bestFit="1" customWidth="1"/>
    <col min="1353" max="1360" width="6.5546875" bestFit="1" customWidth="1"/>
    <col min="1361" max="1361" width="5.5546875" bestFit="1" customWidth="1"/>
    <col min="1362" max="1363" width="6.5546875" bestFit="1" customWidth="1"/>
    <col min="1364" max="1364" width="5.5546875" bestFit="1" customWidth="1"/>
    <col min="1365" max="1373" width="6.5546875" bestFit="1" customWidth="1"/>
    <col min="1374" max="1374" width="5.5546875" bestFit="1" customWidth="1"/>
    <col min="1375" max="1385" width="6.5546875" bestFit="1" customWidth="1"/>
    <col min="1386" max="1386" width="5.5546875" bestFit="1" customWidth="1"/>
    <col min="1387" max="1408" width="6.5546875" bestFit="1" customWidth="1"/>
    <col min="1409" max="1409" width="5.5546875" bestFit="1" customWidth="1"/>
    <col min="1410" max="1415" width="6.5546875" bestFit="1" customWidth="1"/>
    <col min="1416" max="1416" width="5.5546875" bestFit="1" customWidth="1"/>
    <col min="1417" max="1421" width="6.5546875" bestFit="1" customWidth="1"/>
    <col min="1422" max="1422" width="5.5546875" bestFit="1" customWidth="1"/>
    <col min="1423" max="1423" width="6.5546875" bestFit="1" customWidth="1"/>
    <col min="1424" max="1424" width="5.5546875" bestFit="1" customWidth="1"/>
    <col min="1425" max="1427" width="6.5546875" bestFit="1" customWidth="1"/>
    <col min="1428" max="1428" width="5.5546875" bestFit="1" customWidth="1"/>
    <col min="1429" max="1439" width="6.5546875" bestFit="1" customWidth="1"/>
    <col min="1440" max="1440" width="5.5546875" bestFit="1" customWidth="1"/>
    <col min="1441" max="1443" width="6.5546875" bestFit="1" customWidth="1"/>
    <col min="1444" max="1445" width="5.5546875" bestFit="1" customWidth="1"/>
    <col min="1446" max="1450" width="6.5546875" bestFit="1" customWidth="1"/>
    <col min="1451" max="1452" width="5.5546875" bestFit="1" customWidth="1"/>
    <col min="1453" max="1462" width="6.5546875" bestFit="1" customWidth="1"/>
    <col min="1463" max="1463" width="5.5546875" bestFit="1" customWidth="1"/>
    <col min="1464" max="1465" width="6.5546875" bestFit="1" customWidth="1"/>
    <col min="1466" max="1466" width="5.5546875" bestFit="1" customWidth="1"/>
    <col min="1467" max="1477" width="6.5546875" bestFit="1" customWidth="1"/>
    <col min="1478" max="1478" width="5.5546875" bestFit="1" customWidth="1"/>
    <col min="1479" max="1479" width="6.5546875" bestFit="1" customWidth="1"/>
    <col min="1480" max="1480" width="5.5546875" bestFit="1" customWidth="1"/>
    <col min="1481" max="1484" width="6.5546875" bestFit="1" customWidth="1"/>
    <col min="1485" max="1485" width="5.5546875" bestFit="1" customWidth="1"/>
    <col min="1486" max="1496" width="6.5546875" bestFit="1" customWidth="1"/>
    <col min="1497" max="1497" width="5.5546875" bestFit="1" customWidth="1"/>
    <col min="1498" max="1506" width="6.5546875" bestFit="1" customWidth="1"/>
    <col min="1507" max="1507" width="5.5546875" bestFit="1" customWidth="1"/>
    <col min="1508" max="1511" width="6.5546875" bestFit="1" customWidth="1"/>
    <col min="1512" max="1512" width="5.5546875" bestFit="1" customWidth="1"/>
    <col min="1513" max="1514" width="6.5546875" bestFit="1" customWidth="1"/>
    <col min="1515" max="1515" width="5.5546875" bestFit="1" customWidth="1"/>
    <col min="1516" max="1520" width="6.5546875" bestFit="1" customWidth="1"/>
    <col min="1521" max="1521" width="5.5546875" bestFit="1" customWidth="1"/>
    <col min="1522" max="1523" width="6.5546875" bestFit="1" customWidth="1"/>
    <col min="1524" max="1525" width="5.5546875" bestFit="1" customWidth="1"/>
    <col min="1526" max="1526" width="6.5546875" bestFit="1" customWidth="1"/>
    <col min="1527" max="1528" width="5.5546875" bestFit="1" customWidth="1"/>
    <col min="1529" max="1539" width="6.5546875" bestFit="1" customWidth="1"/>
    <col min="1540" max="1540" width="5.5546875" bestFit="1" customWidth="1"/>
    <col min="1541" max="1544" width="6.5546875" bestFit="1" customWidth="1"/>
    <col min="1545" max="1546" width="5.5546875" bestFit="1" customWidth="1"/>
    <col min="1547" max="1547" width="6.5546875" bestFit="1" customWidth="1"/>
    <col min="1548" max="1549" width="5.5546875" bestFit="1" customWidth="1"/>
    <col min="1550" max="1553" width="6.5546875" bestFit="1" customWidth="1"/>
    <col min="1554" max="1554" width="5.5546875" bestFit="1" customWidth="1"/>
    <col min="1555" max="1565" width="6.5546875" bestFit="1" customWidth="1"/>
    <col min="1566" max="1566" width="5.5546875" bestFit="1" customWidth="1"/>
    <col min="1567" max="1577" width="6.5546875" bestFit="1" customWidth="1"/>
    <col min="1578" max="1579" width="5.5546875" bestFit="1" customWidth="1"/>
    <col min="1580" max="1588" width="6.5546875" bestFit="1" customWidth="1"/>
    <col min="1589" max="1589" width="5.5546875" bestFit="1" customWidth="1"/>
    <col min="1590" max="1597" width="6.5546875" bestFit="1" customWidth="1"/>
    <col min="1598" max="1598" width="5.5546875" bestFit="1" customWidth="1"/>
    <col min="1599" max="1608" width="6.5546875" bestFit="1" customWidth="1"/>
    <col min="1609" max="1609" width="5.5546875" bestFit="1" customWidth="1"/>
    <col min="1610" max="1612" width="6.5546875" bestFit="1" customWidth="1"/>
    <col min="1613" max="1613" width="5.5546875" bestFit="1" customWidth="1"/>
    <col min="1614" max="1614" width="6.5546875" bestFit="1" customWidth="1"/>
    <col min="1615" max="1615" width="5.5546875" bestFit="1" customWidth="1"/>
    <col min="1616" max="1616" width="6.5546875" bestFit="1" customWidth="1"/>
    <col min="1617" max="1618" width="5.5546875" bestFit="1" customWidth="1"/>
    <col min="1619" max="1623" width="6.5546875" bestFit="1" customWidth="1"/>
    <col min="1624" max="1625" width="5.5546875" bestFit="1" customWidth="1"/>
    <col min="1626" max="1634" width="6.5546875" bestFit="1" customWidth="1"/>
    <col min="1635" max="1635" width="5.5546875" bestFit="1" customWidth="1"/>
    <col min="1636" max="1643" width="6.5546875" bestFit="1" customWidth="1"/>
    <col min="1644" max="1644" width="5.5546875" bestFit="1" customWidth="1"/>
    <col min="1645" max="1645" width="6.5546875" bestFit="1" customWidth="1"/>
    <col min="1646" max="1646" width="5.5546875" bestFit="1" customWidth="1"/>
    <col min="1647" max="1650" width="6.5546875" bestFit="1" customWidth="1"/>
    <col min="1651" max="1651" width="5.5546875" bestFit="1" customWidth="1"/>
    <col min="1652" max="1652" width="6.5546875" bestFit="1" customWidth="1"/>
    <col min="1653" max="1653" width="5.5546875" bestFit="1" customWidth="1"/>
    <col min="1654" max="1661" width="6.5546875" bestFit="1" customWidth="1"/>
    <col min="1662" max="1662" width="5.5546875" bestFit="1" customWidth="1"/>
    <col min="1663" max="1664" width="6.5546875" bestFit="1" customWidth="1"/>
    <col min="1665" max="1667" width="5.5546875" bestFit="1" customWidth="1"/>
    <col min="1668" max="1668" width="6.5546875" bestFit="1" customWidth="1"/>
    <col min="1669" max="1669" width="5.5546875" bestFit="1" customWidth="1"/>
    <col min="1670" max="1678" width="6.5546875" bestFit="1" customWidth="1"/>
    <col min="1679" max="1679" width="5.5546875" bestFit="1" customWidth="1"/>
    <col min="1680" max="1682" width="6.5546875" bestFit="1" customWidth="1"/>
    <col min="1683" max="1683" width="5.5546875" bestFit="1" customWidth="1"/>
    <col min="1684" max="1685" width="6.5546875" bestFit="1" customWidth="1"/>
    <col min="1686" max="1687" width="5.5546875" bestFit="1" customWidth="1"/>
    <col min="1688" max="1691" width="6.5546875" bestFit="1" customWidth="1"/>
    <col min="1692" max="1692" width="5.5546875" bestFit="1" customWidth="1"/>
    <col min="1693" max="1695" width="6.5546875" bestFit="1" customWidth="1"/>
    <col min="1696" max="1696" width="5.5546875" bestFit="1" customWidth="1"/>
    <col min="1697" max="1698" width="6.5546875" bestFit="1" customWidth="1"/>
    <col min="1699" max="1699" width="5.5546875" bestFit="1" customWidth="1"/>
    <col min="1700" max="1700" width="6.5546875" bestFit="1" customWidth="1"/>
    <col min="1701" max="1701" width="5.5546875" bestFit="1" customWidth="1"/>
    <col min="1702" max="1702" width="6.5546875" bestFit="1" customWidth="1"/>
    <col min="1703" max="1703" width="5.5546875" bestFit="1" customWidth="1"/>
    <col min="1704" max="1710" width="6.5546875" bestFit="1" customWidth="1"/>
    <col min="1711" max="1711" width="5.5546875" bestFit="1" customWidth="1"/>
    <col min="1712" max="1720" width="6.5546875" bestFit="1" customWidth="1"/>
    <col min="1721" max="1721" width="5.5546875" bestFit="1" customWidth="1"/>
    <col min="1722" max="1728" width="6.5546875" bestFit="1" customWidth="1"/>
    <col min="1729" max="1731" width="5.5546875" bestFit="1" customWidth="1"/>
    <col min="1732" max="1738" width="6.5546875" bestFit="1" customWidth="1"/>
    <col min="1739" max="1739" width="5.5546875" bestFit="1" customWidth="1"/>
    <col min="1740" max="1750" width="6.5546875" bestFit="1" customWidth="1"/>
    <col min="1751" max="1751" width="5.5546875" bestFit="1" customWidth="1"/>
    <col min="1752" max="1762" width="6.5546875" bestFit="1" customWidth="1"/>
    <col min="1763" max="1763" width="5.5546875" bestFit="1" customWidth="1"/>
    <col min="1764" max="1764" width="6.5546875" bestFit="1" customWidth="1"/>
    <col min="1765" max="1765" width="5.5546875" bestFit="1" customWidth="1"/>
    <col min="1766" max="1766" width="6.5546875" bestFit="1" customWidth="1"/>
    <col min="1767" max="1767" width="5.5546875" bestFit="1" customWidth="1"/>
    <col min="1768" max="1773" width="6.5546875" bestFit="1" customWidth="1"/>
    <col min="1774" max="1774" width="5.5546875" bestFit="1" customWidth="1"/>
    <col min="1775" max="1780" width="6.5546875" bestFit="1" customWidth="1"/>
    <col min="1781" max="1781" width="5.5546875" bestFit="1" customWidth="1"/>
    <col min="1782" max="1785" width="6.5546875" bestFit="1" customWidth="1"/>
    <col min="1786" max="1786" width="5.5546875" bestFit="1" customWidth="1"/>
    <col min="1787" max="1787" width="6.5546875" bestFit="1" customWidth="1"/>
    <col min="1788" max="1788" width="5.5546875" bestFit="1" customWidth="1"/>
    <col min="1789" max="1789" width="6.5546875" bestFit="1" customWidth="1"/>
    <col min="1790" max="1790" width="5.5546875" bestFit="1" customWidth="1"/>
    <col min="1791" max="1792" width="6.5546875" bestFit="1" customWidth="1"/>
    <col min="1793" max="1793" width="5.5546875" bestFit="1" customWidth="1"/>
    <col min="1794" max="1797" width="6.5546875" bestFit="1" customWidth="1"/>
    <col min="1798" max="1798" width="5.5546875" bestFit="1" customWidth="1"/>
    <col min="1799" max="1802" width="6.5546875" bestFit="1" customWidth="1"/>
    <col min="1803" max="1803" width="5.5546875" bestFit="1" customWidth="1"/>
    <col min="1804" max="1804" width="6.5546875" bestFit="1" customWidth="1"/>
    <col min="1805" max="1805" width="5.5546875" bestFit="1" customWidth="1"/>
    <col min="1806" max="1806" width="6.5546875" bestFit="1" customWidth="1"/>
    <col min="1807" max="1807" width="5.5546875" bestFit="1" customWidth="1"/>
    <col min="1808" max="1808" width="6.5546875" bestFit="1" customWidth="1"/>
    <col min="1809" max="1809" width="5.5546875" bestFit="1" customWidth="1"/>
    <col min="1810" max="1810" width="6.5546875" bestFit="1" customWidth="1"/>
    <col min="1811" max="1812" width="5.5546875" bestFit="1" customWidth="1"/>
    <col min="1813" max="1814" width="6.5546875" bestFit="1" customWidth="1"/>
    <col min="1815" max="1819" width="5.5546875" bestFit="1" customWidth="1"/>
    <col min="1820" max="1821" width="6.5546875" bestFit="1" customWidth="1"/>
    <col min="1822" max="1822" width="5.5546875" bestFit="1" customWidth="1"/>
    <col min="1823" max="1825" width="6.5546875" bestFit="1" customWidth="1"/>
    <col min="1826" max="1827" width="5.5546875" bestFit="1" customWidth="1"/>
    <col min="1828" max="1828" width="6.5546875" bestFit="1" customWidth="1"/>
    <col min="1829" max="1830" width="5.5546875" bestFit="1" customWidth="1"/>
    <col min="1831" max="1833" width="6.5546875" bestFit="1" customWidth="1"/>
    <col min="1834" max="1835" width="5.5546875" bestFit="1" customWidth="1"/>
    <col min="1836" max="1837" width="6.5546875" bestFit="1" customWidth="1"/>
    <col min="1838" max="1838" width="5.5546875" bestFit="1" customWidth="1"/>
    <col min="1839" max="1840" width="6.5546875" bestFit="1" customWidth="1"/>
    <col min="1841" max="1841" width="5.5546875" bestFit="1" customWidth="1"/>
    <col min="1842" max="1844" width="6.5546875" bestFit="1" customWidth="1"/>
    <col min="1845" max="1845" width="5.5546875" bestFit="1" customWidth="1"/>
    <col min="1846" max="1849" width="6.5546875" bestFit="1" customWidth="1"/>
    <col min="1850" max="1851" width="5.5546875" bestFit="1" customWidth="1"/>
    <col min="1852" max="1857" width="6.5546875" bestFit="1" customWidth="1"/>
    <col min="1858" max="1858" width="5.5546875" bestFit="1" customWidth="1"/>
    <col min="1859" max="1859" width="6.5546875" bestFit="1" customWidth="1"/>
    <col min="1860" max="1860" width="5.5546875" bestFit="1" customWidth="1"/>
    <col min="1861" max="1867" width="6.5546875" bestFit="1" customWidth="1"/>
    <col min="1868" max="1871" width="5.5546875" bestFit="1" customWidth="1"/>
    <col min="1872" max="1874" width="6.5546875" bestFit="1" customWidth="1"/>
    <col min="1875" max="1875" width="5.5546875" bestFit="1" customWidth="1"/>
    <col min="1876" max="1879" width="6.5546875" bestFit="1" customWidth="1"/>
    <col min="1880" max="1881" width="5.5546875" bestFit="1" customWidth="1"/>
    <col min="1882" max="1892" width="6.5546875" bestFit="1" customWidth="1"/>
    <col min="1893" max="1893" width="5.5546875" bestFit="1" customWidth="1"/>
    <col min="1894" max="1897" width="6.5546875" bestFit="1" customWidth="1"/>
    <col min="1898" max="1898" width="5.5546875" bestFit="1" customWidth="1"/>
    <col min="1899" max="1902" width="6.5546875" bestFit="1" customWidth="1"/>
    <col min="1903" max="1903" width="5.5546875" bestFit="1" customWidth="1"/>
    <col min="1904" max="1913" width="6.5546875" bestFit="1" customWidth="1"/>
    <col min="1914" max="1914" width="5.5546875" bestFit="1" customWidth="1"/>
    <col min="1915" max="1918" width="6.5546875" bestFit="1" customWidth="1"/>
    <col min="1919" max="1919" width="5.5546875" bestFit="1" customWidth="1"/>
    <col min="1920" max="1925" width="6.5546875" bestFit="1" customWidth="1"/>
    <col min="1926" max="1926" width="5.5546875" bestFit="1" customWidth="1"/>
    <col min="1927" max="1930" width="6.5546875" bestFit="1" customWidth="1"/>
    <col min="1931" max="1931" width="5.5546875" bestFit="1" customWidth="1"/>
    <col min="1932" max="1932" width="6.5546875" bestFit="1" customWidth="1"/>
    <col min="1933" max="1933" width="5.5546875" bestFit="1" customWidth="1"/>
    <col min="1934" max="1939" width="6.5546875" bestFit="1" customWidth="1"/>
    <col min="1940" max="1940" width="5.5546875" bestFit="1" customWidth="1"/>
    <col min="1941" max="1944" width="6.5546875" bestFit="1" customWidth="1"/>
    <col min="1945" max="1946" width="5.5546875" bestFit="1" customWidth="1"/>
    <col min="1947" max="1951" width="6.5546875" bestFit="1" customWidth="1"/>
    <col min="1952" max="1952" width="5.5546875" bestFit="1" customWidth="1"/>
    <col min="1953" max="1953" width="6.5546875" bestFit="1" customWidth="1"/>
    <col min="1954" max="1954" width="5.5546875" bestFit="1" customWidth="1"/>
    <col min="1955" max="1959" width="6.5546875" bestFit="1" customWidth="1"/>
    <col min="1960" max="1961" width="5.5546875" bestFit="1" customWidth="1"/>
    <col min="1962" max="1982" width="6.5546875" bestFit="1" customWidth="1"/>
    <col min="1983" max="1986" width="5.5546875" bestFit="1" customWidth="1"/>
    <col min="1987" max="1988" width="6.5546875" bestFit="1" customWidth="1"/>
    <col min="1989" max="1989" width="5.5546875" bestFit="1" customWidth="1"/>
    <col min="1990" max="1991" width="6.5546875" bestFit="1" customWidth="1"/>
    <col min="1992" max="1992" width="5.5546875" bestFit="1" customWidth="1"/>
    <col min="1993" max="1998" width="6.5546875" bestFit="1" customWidth="1"/>
    <col min="1999" max="1999" width="5.5546875" bestFit="1" customWidth="1"/>
    <col min="2000" max="2008" width="6.5546875" bestFit="1" customWidth="1"/>
    <col min="2009" max="2009" width="5.5546875" bestFit="1" customWidth="1"/>
    <col min="2010" max="2013" width="6.5546875" bestFit="1" customWidth="1"/>
    <col min="2014" max="2015" width="5.5546875" bestFit="1" customWidth="1"/>
    <col min="2016" max="2019" width="6.5546875" bestFit="1" customWidth="1"/>
    <col min="2020" max="2020" width="5.5546875" bestFit="1" customWidth="1"/>
    <col min="2021" max="2027" width="6.5546875" bestFit="1" customWidth="1"/>
    <col min="2028" max="2029" width="5.5546875" bestFit="1" customWidth="1"/>
    <col min="2030" max="2032" width="6.5546875" bestFit="1" customWidth="1"/>
    <col min="2033" max="2033" width="5.5546875" bestFit="1" customWidth="1"/>
    <col min="2034" max="2034" width="6.5546875" bestFit="1" customWidth="1"/>
    <col min="2035" max="2035" width="5.5546875" bestFit="1" customWidth="1"/>
    <col min="2036" max="2044" width="6.5546875" bestFit="1" customWidth="1"/>
    <col min="2045" max="2045" width="5.5546875" bestFit="1" customWidth="1"/>
    <col min="2046" max="2050" width="6.5546875" bestFit="1" customWidth="1"/>
    <col min="2051" max="2051" width="5.5546875" bestFit="1" customWidth="1"/>
    <col min="2052" max="2055" width="6.5546875" bestFit="1" customWidth="1"/>
    <col min="2056" max="2057" width="5.5546875" bestFit="1" customWidth="1"/>
    <col min="2058" max="2060" width="6.5546875" bestFit="1" customWidth="1"/>
    <col min="2061" max="2061" width="5.5546875" bestFit="1" customWidth="1"/>
    <col min="2062" max="2066" width="6.5546875" bestFit="1" customWidth="1"/>
    <col min="2067" max="2067" width="5.5546875" bestFit="1" customWidth="1"/>
    <col min="2068" max="2071" width="6.5546875" bestFit="1" customWidth="1"/>
    <col min="2072" max="2072" width="5.5546875" bestFit="1" customWidth="1"/>
    <col min="2073" max="2077" width="6.5546875" bestFit="1" customWidth="1"/>
    <col min="2078" max="2078" width="5.5546875" bestFit="1" customWidth="1"/>
    <col min="2079" max="2086" width="6.5546875" bestFit="1" customWidth="1"/>
    <col min="2087" max="2087" width="5.5546875" bestFit="1" customWidth="1"/>
    <col min="2088" max="2088" width="6.5546875" bestFit="1" customWidth="1"/>
    <col min="2089" max="2089" width="5.5546875" bestFit="1" customWidth="1"/>
    <col min="2090" max="2090" width="6.5546875" bestFit="1" customWidth="1"/>
    <col min="2091" max="2091" width="5.5546875" bestFit="1" customWidth="1"/>
    <col min="2092" max="2094" width="6.5546875" bestFit="1" customWidth="1"/>
    <col min="2095" max="2097" width="5.5546875" bestFit="1" customWidth="1"/>
    <col min="2098" max="2101" width="6.5546875" bestFit="1" customWidth="1"/>
    <col min="2102" max="2102" width="5.5546875" bestFit="1" customWidth="1"/>
    <col min="2103" max="2103" width="6.5546875" bestFit="1" customWidth="1"/>
    <col min="2104" max="2104" width="5.5546875" bestFit="1" customWidth="1"/>
    <col min="2105" max="2108" width="6.5546875" bestFit="1" customWidth="1"/>
    <col min="2109" max="2111" width="5.5546875" bestFit="1" customWidth="1"/>
    <col min="2112" max="2112" width="6.5546875" bestFit="1" customWidth="1"/>
    <col min="2113" max="2113" width="5.5546875" bestFit="1" customWidth="1"/>
    <col min="2114" max="2115" width="6.5546875" bestFit="1" customWidth="1"/>
    <col min="2116" max="2116" width="5.5546875" bestFit="1" customWidth="1"/>
    <col min="2117" max="2117" width="6.5546875" bestFit="1" customWidth="1"/>
    <col min="2118" max="2118" width="5.5546875" bestFit="1" customWidth="1"/>
    <col min="2119" max="2119" width="6.5546875" bestFit="1" customWidth="1"/>
    <col min="2120" max="2120" width="5.5546875" bestFit="1" customWidth="1"/>
    <col min="2121" max="2123" width="6.5546875" bestFit="1" customWidth="1"/>
    <col min="2124" max="2124" width="5.5546875" bestFit="1" customWidth="1"/>
    <col min="2125" max="2125" width="6.5546875" bestFit="1" customWidth="1"/>
    <col min="2126" max="2126" width="5.5546875" bestFit="1" customWidth="1"/>
    <col min="2127" max="2132" width="6.5546875" bestFit="1" customWidth="1"/>
    <col min="2133" max="2133" width="5.5546875" bestFit="1" customWidth="1"/>
    <col min="2134" max="2134" width="6.5546875" bestFit="1" customWidth="1"/>
    <col min="2135" max="2135" width="5.5546875" bestFit="1" customWidth="1"/>
    <col min="2136" max="2137" width="6.5546875" bestFit="1" customWidth="1"/>
    <col min="2138" max="2139" width="5.5546875" bestFit="1" customWidth="1"/>
    <col min="2140" max="2147" width="6.5546875" bestFit="1" customWidth="1"/>
    <col min="2148" max="2148" width="5.5546875" bestFit="1" customWidth="1"/>
    <col min="2149" max="2150" width="6.5546875" bestFit="1" customWidth="1"/>
    <col min="2151" max="2151" width="5.5546875" bestFit="1" customWidth="1"/>
    <col min="2152" max="2152" width="6.5546875" bestFit="1" customWidth="1"/>
    <col min="2153" max="2153" width="5.5546875" bestFit="1" customWidth="1"/>
    <col min="2154" max="2154" width="6.5546875" bestFit="1" customWidth="1"/>
    <col min="2155" max="2155" width="5.5546875" bestFit="1" customWidth="1"/>
    <col min="2156" max="2157" width="6.5546875" bestFit="1" customWidth="1"/>
    <col min="2158" max="2159" width="5.5546875" bestFit="1" customWidth="1"/>
    <col min="2160" max="2160" width="6.5546875" bestFit="1" customWidth="1"/>
    <col min="2161" max="2161" width="5.5546875" bestFit="1" customWidth="1"/>
    <col min="2162" max="2165" width="6.5546875" bestFit="1" customWidth="1"/>
    <col min="2166" max="2166" width="5.5546875" bestFit="1" customWidth="1"/>
    <col min="2167" max="2168" width="6.5546875" bestFit="1" customWidth="1"/>
    <col min="2169" max="2169" width="5.5546875" bestFit="1" customWidth="1"/>
    <col min="2170" max="2173" width="6.5546875" bestFit="1" customWidth="1"/>
    <col min="2174" max="2174" width="5.5546875" bestFit="1" customWidth="1"/>
    <col min="2175" max="2175" width="6.5546875" bestFit="1" customWidth="1"/>
    <col min="2176" max="2177" width="5.5546875" bestFit="1" customWidth="1"/>
    <col min="2178" max="2178" width="6.5546875" bestFit="1" customWidth="1"/>
    <col min="2179" max="2179" width="5.5546875" bestFit="1" customWidth="1"/>
    <col min="2180" max="2180" width="6.5546875" bestFit="1" customWidth="1"/>
    <col min="2181" max="2182" width="5.5546875" bestFit="1" customWidth="1"/>
    <col min="2183" max="2184" width="6.5546875" bestFit="1" customWidth="1"/>
    <col min="2185" max="2185" width="5.5546875" bestFit="1" customWidth="1"/>
    <col min="2186" max="2186" width="6.5546875" bestFit="1" customWidth="1"/>
    <col min="2187" max="2187" width="5.5546875" bestFit="1" customWidth="1"/>
    <col min="2188" max="2197" width="6.5546875" bestFit="1" customWidth="1"/>
    <col min="2198" max="2198" width="5.5546875" bestFit="1" customWidth="1"/>
    <col min="2199" max="2213" width="6.5546875" bestFit="1" customWidth="1"/>
    <col min="2214" max="2214" width="5.5546875" bestFit="1" customWidth="1"/>
    <col min="2215" max="2216" width="6.5546875" bestFit="1" customWidth="1"/>
    <col min="2217" max="2217" width="5.5546875" bestFit="1" customWidth="1"/>
    <col min="2218" max="2220" width="6.5546875" bestFit="1" customWidth="1"/>
    <col min="2221" max="2221" width="5.5546875" bestFit="1" customWidth="1"/>
    <col min="2222" max="2231" width="6.5546875" bestFit="1" customWidth="1"/>
    <col min="2232" max="2232" width="5.5546875" bestFit="1" customWidth="1"/>
    <col min="2233" max="2236" width="6.5546875" bestFit="1" customWidth="1"/>
    <col min="2237" max="2237" width="5.5546875" bestFit="1" customWidth="1"/>
    <col min="2238" max="2239" width="6.5546875" bestFit="1" customWidth="1"/>
    <col min="2240" max="2240" width="5.5546875" bestFit="1" customWidth="1"/>
    <col min="2241" max="2242" width="6.5546875" bestFit="1" customWidth="1"/>
    <col min="2243" max="2243" width="5.5546875" bestFit="1" customWidth="1"/>
    <col min="2244" max="2244" width="6.5546875" bestFit="1" customWidth="1"/>
    <col min="2245" max="2245" width="5.5546875" bestFit="1" customWidth="1"/>
    <col min="2246" max="2249" width="6.5546875" bestFit="1" customWidth="1"/>
    <col min="2250" max="2250" width="5.5546875" bestFit="1" customWidth="1"/>
    <col min="2251" max="2251" width="6.5546875" bestFit="1" customWidth="1"/>
    <col min="2252" max="2254" width="5.5546875" bestFit="1" customWidth="1"/>
    <col min="2255" max="2255" width="6.5546875" bestFit="1" customWidth="1"/>
    <col min="2256" max="2256" width="5.5546875" bestFit="1" customWidth="1"/>
    <col min="2257" max="2257" width="6.5546875" bestFit="1" customWidth="1"/>
    <col min="2258" max="2259" width="5.5546875" bestFit="1" customWidth="1"/>
    <col min="2260" max="2262" width="6.5546875" bestFit="1" customWidth="1"/>
    <col min="2263" max="2263" width="5.5546875" bestFit="1" customWidth="1"/>
    <col min="2264" max="2266" width="6.5546875" bestFit="1" customWidth="1"/>
    <col min="2267" max="2268" width="5.5546875" bestFit="1" customWidth="1"/>
    <col min="2269" max="2273" width="6.5546875" bestFit="1" customWidth="1"/>
    <col min="2274" max="2274" width="5.5546875" bestFit="1" customWidth="1"/>
    <col min="2275" max="2281" width="6.5546875" bestFit="1" customWidth="1"/>
    <col min="2282" max="2283" width="5.5546875" bestFit="1" customWidth="1"/>
    <col min="2284" max="2286" width="6.5546875" bestFit="1" customWidth="1"/>
    <col min="2287" max="2288" width="5.5546875" bestFit="1" customWidth="1"/>
    <col min="2289" max="2291" width="6.5546875" bestFit="1" customWidth="1"/>
    <col min="2292" max="2292" width="5.5546875" bestFit="1" customWidth="1"/>
    <col min="2293" max="2296" width="6.5546875" bestFit="1" customWidth="1"/>
    <col min="2297" max="2298" width="5.5546875" bestFit="1" customWidth="1"/>
    <col min="2299" max="2300" width="6.5546875" bestFit="1" customWidth="1"/>
    <col min="2301" max="2301" width="5.5546875" bestFit="1" customWidth="1"/>
    <col min="2302" max="2304" width="6.5546875" bestFit="1" customWidth="1"/>
    <col min="2305" max="2305" width="5.5546875" bestFit="1" customWidth="1"/>
    <col min="2306" max="2306" width="6.5546875" bestFit="1" customWidth="1"/>
    <col min="2307" max="2307" width="5.5546875" bestFit="1" customWidth="1"/>
    <col min="2308" max="2311" width="6.5546875" bestFit="1" customWidth="1"/>
    <col min="2312" max="2313" width="5.5546875" bestFit="1" customWidth="1"/>
    <col min="2314" max="2316" width="6.5546875" bestFit="1" customWidth="1"/>
    <col min="2317" max="2317" width="5.5546875" bestFit="1" customWidth="1"/>
    <col min="2318" max="2321" width="6.5546875" bestFit="1" customWidth="1"/>
    <col min="2322" max="2322" width="5.5546875" bestFit="1" customWidth="1"/>
    <col min="2323" max="2324" width="6.5546875" bestFit="1" customWidth="1"/>
    <col min="2325" max="2327" width="5.5546875" bestFit="1" customWidth="1"/>
    <col min="2328" max="2328" width="6.5546875" bestFit="1" customWidth="1"/>
    <col min="2329" max="2329" width="5.5546875" bestFit="1" customWidth="1"/>
    <col min="2330" max="2333" width="6.5546875" bestFit="1" customWidth="1"/>
    <col min="2334" max="2335" width="5.5546875" bestFit="1" customWidth="1"/>
    <col min="2336" max="2340" width="6.5546875" bestFit="1" customWidth="1"/>
    <col min="2341" max="2341" width="5.5546875" bestFit="1" customWidth="1"/>
    <col min="2342" max="2342" width="6.5546875" bestFit="1" customWidth="1"/>
    <col min="2343" max="2343" width="5.5546875" bestFit="1" customWidth="1"/>
    <col min="2344" max="2345" width="6.5546875" bestFit="1" customWidth="1"/>
    <col min="2346" max="2346" width="10.5546875" bestFit="1" customWidth="1"/>
  </cols>
  <sheetData>
    <row r="3" spans="2:4" x14ac:dyDescent="0.3">
      <c r="B3" s="7" t="s">
        <v>5057</v>
      </c>
      <c r="C3" t="s">
        <v>5070</v>
      </c>
      <c r="D3" t="s">
        <v>5071</v>
      </c>
    </row>
    <row r="4" spans="2:4" x14ac:dyDescent="0.3">
      <c r="B4" t="s">
        <v>5069</v>
      </c>
      <c r="C4" s="4">
        <v>10.504196428571419</v>
      </c>
      <c r="D4" s="9">
        <v>0.14021421616358326</v>
      </c>
    </row>
    <row r="5" spans="2:4" x14ac:dyDescent="0.3">
      <c r="B5" t="s">
        <v>5065</v>
      </c>
      <c r="C5" s="4">
        <v>11.437658862876264</v>
      </c>
      <c r="D5" s="9">
        <v>0.18597857838364168</v>
      </c>
    </row>
    <row r="6" spans="2:4" x14ac:dyDescent="0.3">
      <c r="B6" t="s">
        <v>5066</v>
      </c>
      <c r="C6" s="4">
        <v>12.918333333333337</v>
      </c>
      <c r="D6" s="9">
        <v>0.17234664070107109</v>
      </c>
    </row>
    <row r="7" spans="2:4" x14ac:dyDescent="0.3">
      <c r="B7" t="s">
        <v>5067</v>
      </c>
      <c r="C7" s="4">
        <v>11.623980891719748</v>
      </c>
      <c r="D7" s="9">
        <v>0.19279454722492698</v>
      </c>
    </row>
    <row r="8" spans="2:4" x14ac:dyDescent="0.3">
      <c r="B8" t="s">
        <v>5068</v>
      </c>
      <c r="C8" s="4">
        <v>11.23783203125001</v>
      </c>
      <c r="D8" s="9">
        <v>0.30866601752677703</v>
      </c>
    </row>
    <row r="9" spans="2:4" x14ac:dyDescent="0.3">
      <c r="B9" t="s">
        <v>5058</v>
      </c>
      <c r="C9" s="4">
        <v>11.563527995183644</v>
      </c>
      <c r="D9" s="9">
        <v>1</v>
      </c>
    </row>
    <row r="12" spans="2:4" x14ac:dyDescent="0.3">
      <c r="B12" s="7" t="s">
        <v>6</v>
      </c>
      <c r="C12" t="s">
        <v>5072</v>
      </c>
      <c r="D12" t="s">
        <v>5071</v>
      </c>
    </row>
    <row r="13" spans="2:4" x14ac:dyDescent="0.3">
      <c r="B13" t="s">
        <v>49</v>
      </c>
      <c r="C13" s="6">
        <v>2696.9999999999859</v>
      </c>
      <c r="D13" s="9">
        <v>0.1830574488802337</v>
      </c>
    </row>
    <row r="14" spans="2:4" x14ac:dyDescent="0.3">
      <c r="B14" t="s">
        <v>70</v>
      </c>
      <c r="C14" s="6">
        <v>2607.0999999999881</v>
      </c>
      <c r="D14" s="9">
        <v>0.1733203505355404</v>
      </c>
    </row>
    <row r="15" spans="2:4" x14ac:dyDescent="0.3">
      <c r="B15" t="s">
        <v>28</v>
      </c>
      <c r="C15" s="6">
        <v>2562.1499999999892</v>
      </c>
      <c r="D15" s="9">
        <v>0.16747809152872445</v>
      </c>
    </row>
    <row r="16" spans="2:4" x14ac:dyDescent="0.3">
      <c r="B16" t="s">
        <v>23</v>
      </c>
      <c r="C16" s="6">
        <v>2553.1599999999894</v>
      </c>
      <c r="D16" s="9">
        <v>0.1733203505355404</v>
      </c>
    </row>
    <row r="17" spans="2:4" x14ac:dyDescent="0.3">
      <c r="B17" t="s">
        <v>17</v>
      </c>
      <c r="C17" s="6">
        <v>2337.3999999999946</v>
      </c>
      <c r="D17" s="9">
        <v>0.15579357351509251</v>
      </c>
    </row>
    <row r="18" spans="2:4" x14ac:dyDescent="0.3">
      <c r="B18" t="s">
        <v>33</v>
      </c>
      <c r="C18" s="6">
        <v>2175.5799999999986</v>
      </c>
      <c r="D18" s="9">
        <v>0.14703018500486856</v>
      </c>
    </row>
    <row r="19" spans="2:4" x14ac:dyDescent="0.3">
      <c r="B19" t="s">
        <v>5058</v>
      </c>
      <c r="C19" s="6">
        <v>14932.389999999945</v>
      </c>
      <c r="D19" s="9">
        <v>1</v>
      </c>
    </row>
    <row r="20" spans="2:4" x14ac:dyDescent="0.3">
      <c r="B20" t="s">
        <v>5074</v>
      </c>
      <c r="C20" s="13">
        <f>GETPIVOTDATA("Monthly Fee",$B$12)</f>
        <v>14932.389999999945</v>
      </c>
    </row>
    <row r="24" spans="2:4" x14ac:dyDescent="0.3">
      <c r="B24" s="7" t="s">
        <v>3</v>
      </c>
      <c r="C24" t="s">
        <v>5071</v>
      </c>
      <c r="D24" t="s">
        <v>5076</v>
      </c>
    </row>
    <row r="25" spans="2:4" x14ac:dyDescent="0.3">
      <c r="B25" t="s">
        <v>32</v>
      </c>
      <c r="C25" s="9">
        <v>0.29423459244532801</v>
      </c>
      <c r="D25" s="6">
        <v>30457.07000000108</v>
      </c>
    </row>
    <row r="26" spans="2:4" x14ac:dyDescent="0.3">
      <c r="B26" t="s">
        <v>22</v>
      </c>
      <c r="C26" s="9">
        <v>0.29741550695825048</v>
      </c>
      <c r="D26" s="6">
        <v>23027.540000000539</v>
      </c>
    </row>
    <row r="27" spans="2:4" x14ac:dyDescent="0.3">
      <c r="B27" t="s">
        <v>16</v>
      </c>
      <c r="C27" s="9">
        <v>0.40834990059642146</v>
      </c>
      <c r="D27" s="6">
        <v>14932.38999999969</v>
      </c>
    </row>
    <row r="28" spans="2:4" x14ac:dyDescent="0.3">
      <c r="B28" t="s">
        <v>5058</v>
      </c>
      <c r="C28" s="9">
        <v>1</v>
      </c>
      <c r="D28" s="6">
        <v>68417.00000000131</v>
      </c>
    </row>
    <row r="31" spans="2:4" x14ac:dyDescent="0.3">
      <c r="B31" t="s">
        <v>5062</v>
      </c>
      <c r="C31" t="s">
        <v>5059</v>
      </c>
      <c r="D31" s="8" t="s">
        <v>5063</v>
      </c>
    </row>
    <row r="32" spans="2:4" x14ac:dyDescent="0.3">
      <c r="B32" s="12">
        <v>1661</v>
      </c>
      <c r="C32" s="12">
        <v>1027</v>
      </c>
      <c r="D32" s="10">
        <f>GETPIVOTDATA("Sum of churned",$B$31)/GETPIVOTDATA("Count of customer_id",$B$31)</f>
        <v>0.61830222757375075</v>
      </c>
    </row>
    <row r="33" spans="2:7" x14ac:dyDescent="0.3">
      <c r="D33" s="14"/>
    </row>
    <row r="35" spans="2:7" x14ac:dyDescent="0.3">
      <c r="B35" s="7" t="s">
        <v>5064</v>
      </c>
      <c r="C35" t="s">
        <v>5062</v>
      </c>
    </row>
    <row r="36" spans="2:7" x14ac:dyDescent="0.3">
      <c r="B36" s="11" t="s">
        <v>27</v>
      </c>
      <c r="C36" s="9">
        <v>0.36484045755568933</v>
      </c>
    </row>
    <row r="37" spans="2:7" x14ac:dyDescent="0.3">
      <c r="B37" s="11" t="s">
        <v>41</v>
      </c>
      <c r="C37" s="9">
        <v>0.3040337146297411</v>
      </c>
    </row>
    <row r="38" spans="2:7" x14ac:dyDescent="0.3">
      <c r="B38" s="11" t="s">
        <v>15</v>
      </c>
      <c r="C38" s="9">
        <v>0.33112582781456956</v>
      </c>
    </row>
    <row r="39" spans="2:7" x14ac:dyDescent="0.3">
      <c r="B39" s="11" t="s">
        <v>5058</v>
      </c>
      <c r="C39" s="9">
        <v>1</v>
      </c>
    </row>
    <row r="42" spans="2:7" x14ac:dyDescent="0.3">
      <c r="B42" t="s">
        <v>5061</v>
      </c>
      <c r="C42" t="s">
        <v>5073</v>
      </c>
    </row>
    <row r="43" spans="2:7" x14ac:dyDescent="0.3">
      <c r="B43" s="4">
        <v>11.563527995183637</v>
      </c>
      <c r="C43" s="4">
        <f>GETPIVOTDATA("watch_hours",$B$42)</f>
        <v>11.563527995183637</v>
      </c>
      <c r="D43" s="10"/>
      <c r="G43" s="1"/>
    </row>
    <row r="46" spans="2:7" x14ac:dyDescent="0.3">
      <c r="B46" s="7" t="s">
        <v>5064</v>
      </c>
      <c r="C46" t="s">
        <v>5075</v>
      </c>
      <c r="D46" t="s">
        <v>5071</v>
      </c>
    </row>
    <row r="47" spans="2:7" x14ac:dyDescent="0.3">
      <c r="B47" s="11" t="s">
        <v>43</v>
      </c>
      <c r="C47" s="12">
        <v>361</v>
      </c>
      <c r="D47" s="9">
        <v>0.22005842259006816</v>
      </c>
    </row>
    <row r="48" spans="2:7" x14ac:dyDescent="0.3">
      <c r="B48" s="11" t="s">
        <v>61</v>
      </c>
      <c r="C48" s="12">
        <v>345</v>
      </c>
      <c r="D48" s="9">
        <v>0.19961051606621227</v>
      </c>
    </row>
    <row r="49" spans="2:4" x14ac:dyDescent="0.3">
      <c r="B49" s="11" t="s">
        <v>37</v>
      </c>
      <c r="C49" s="12">
        <v>338</v>
      </c>
      <c r="D49" s="9">
        <v>0.19766309639727361</v>
      </c>
    </row>
    <row r="50" spans="2:4" x14ac:dyDescent="0.3">
      <c r="B50" s="11" t="s">
        <v>19</v>
      </c>
      <c r="C50" s="12">
        <v>317</v>
      </c>
      <c r="D50" s="9">
        <v>0.19961051606621227</v>
      </c>
    </row>
    <row r="51" spans="2:4" x14ac:dyDescent="0.3">
      <c r="B51" s="11" t="s">
        <v>29</v>
      </c>
      <c r="C51" s="12">
        <v>300</v>
      </c>
      <c r="D51" s="9">
        <v>0.1830574488802337</v>
      </c>
    </row>
    <row r="52" spans="2:4" x14ac:dyDescent="0.3">
      <c r="B52" s="11" t="s">
        <v>5058</v>
      </c>
      <c r="C52" s="12">
        <v>1661</v>
      </c>
      <c r="D52" s="9">
        <v>1</v>
      </c>
    </row>
    <row r="54" spans="2:4" x14ac:dyDescent="0.3">
      <c r="B54" s="7" t="s">
        <v>5064</v>
      </c>
      <c r="C54" t="s">
        <v>5077</v>
      </c>
      <c r="D54" t="s">
        <v>5060</v>
      </c>
    </row>
    <row r="55" spans="2:4" x14ac:dyDescent="0.3">
      <c r="B55" s="11" t="s">
        <v>55</v>
      </c>
      <c r="C55" s="4">
        <v>13.036713286713287</v>
      </c>
      <c r="D55" s="6">
        <v>2571.139999999989</v>
      </c>
    </row>
    <row r="56" spans="2:4" x14ac:dyDescent="0.3">
      <c r="B56" s="11" t="s">
        <v>46</v>
      </c>
      <c r="C56" s="4">
        <v>10.681590214067276</v>
      </c>
      <c r="D56" s="6">
        <v>2939.72999999998</v>
      </c>
    </row>
    <row r="57" spans="2:4" x14ac:dyDescent="0.3">
      <c r="B57" s="11" t="s">
        <v>24</v>
      </c>
      <c r="C57" s="4">
        <v>11.479385964912288</v>
      </c>
      <c r="D57" s="6">
        <v>3074.5799999999767</v>
      </c>
    </row>
    <row r="58" spans="2:4" x14ac:dyDescent="0.3">
      <c r="B58" s="11" t="s">
        <v>57</v>
      </c>
      <c r="C58" s="4">
        <v>10.274817927170867</v>
      </c>
      <c r="D58" s="6">
        <v>3209.4299999999735</v>
      </c>
    </row>
    <row r="59" spans="2:4" x14ac:dyDescent="0.3">
      <c r="B59" s="11" t="s">
        <v>18</v>
      </c>
      <c r="C59" s="4">
        <v>12.583323782234967</v>
      </c>
      <c r="D59" s="6">
        <v>3137.5099999999752</v>
      </c>
    </row>
    <row r="60" spans="2:4" x14ac:dyDescent="0.3">
      <c r="B60" s="11" t="s">
        <v>5058</v>
      </c>
      <c r="C60" s="4">
        <v>11.563527995183646</v>
      </c>
      <c r="D60" s="6">
        <v>14932.38999999969</v>
      </c>
    </row>
    <row r="64" spans="2:4" x14ac:dyDescent="0.3">
      <c r="B64" s="7" t="s">
        <v>5064</v>
      </c>
      <c r="C64" t="s">
        <v>5062</v>
      </c>
    </row>
    <row r="65" spans="2:5" x14ac:dyDescent="0.3">
      <c r="B65" s="11" t="s">
        <v>34</v>
      </c>
      <c r="C65" s="12">
        <v>224</v>
      </c>
    </row>
    <row r="66" spans="2:5" x14ac:dyDescent="0.3">
      <c r="B66" s="11" t="s">
        <v>25</v>
      </c>
      <c r="C66" s="12">
        <v>224</v>
      </c>
    </row>
    <row r="67" spans="2:5" x14ac:dyDescent="0.3">
      <c r="B67" s="11" t="s">
        <v>52</v>
      </c>
      <c r="C67" s="12">
        <v>231</v>
      </c>
    </row>
    <row r="68" spans="2:5" x14ac:dyDescent="0.3">
      <c r="B68" s="11" t="s">
        <v>30</v>
      </c>
      <c r="C68" s="12">
        <v>235</v>
      </c>
    </row>
    <row r="69" spans="2:5" x14ac:dyDescent="0.3">
      <c r="B69" s="11" t="s">
        <v>47</v>
      </c>
      <c r="C69" s="12">
        <v>236</v>
      </c>
    </row>
    <row r="70" spans="2:5" x14ac:dyDescent="0.3">
      <c r="B70" s="11" t="s">
        <v>20</v>
      </c>
      <c r="C70" s="12">
        <v>253</v>
      </c>
    </row>
    <row r="71" spans="2:5" x14ac:dyDescent="0.3">
      <c r="B71" s="11" t="s">
        <v>39</v>
      </c>
      <c r="C71" s="12">
        <v>258</v>
      </c>
    </row>
    <row r="72" spans="2:5" x14ac:dyDescent="0.3">
      <c r="B72" s="11" t="s">
        <v>5058</v>
      </c>
      <c r="C72" s="12">
        <v>1661</v>
      </c>
    </row>
    <row r="75" spans="2:5" x14ac:dyDescent="0.3">
      <c r="B75" s="7" t="s">
        <v>5064</v>
      </c>
      <c r="C75" t="s">
        <v>5061</v>
      </c>
      <c r="D75" t="s">
        <v>5078</v>
      </c>
      <c r="E75" t="s">
        <v>5080</v>
      </c>
    </row>
    <row r="76" spans="2:5" x14ac:dyDescent="0.3">
      <c r="B76" s="11" t="s">
        <v>5069</v>
      </c>
      <c r="C76" s="4">
        <v>10.504196428571419</v>
      </c>
      <c r="D76" s="5">
        <v>30.272321428571427</v>
      </c>
      <c r="E76" s="5">
        <v>2.9285714285714284</v>
      </c>
    </row>
    <row r="77" spans="2:5" x14ac:dyDescent="0.3">
      <c r="B77" s="11" t="s">
        <v>5065</v>
      </c>
      <c r="C77" s="4">
        <v>11.437658862876264</v>
      </c>
      <c r="D77" s="5">
        <v>31.789297658862875</v>
      </c>
      <c r="E77" s="5">
        <v>3.0535117056856187</v>
      </c>
    </row>
    <row r="78" spans="2:5" x14ac:dyDescent="0.3">
      <c r="B78" s="11" t="s">
        <v>5066</v>
      </c>
      <c r="C78" s="4">
        <v>12.918333333333337</v>
      </c>
      <c r="D78" s="5">
        <v>28.66346153846154</v>
      </c>
      <c r="E78" s="5">
        <v>2.9647435897435899</v>
      </c>
    </row>
    <row r="79" spans="2:5" x14ac:dyDescent="0.3">
      <c r="B79" s="11" t="s">
        <v>5067</v>
      </c>
      <c r="C79" s="4">
        <v>11.623980891719748</v>
      </c>
      <c r="D79" s="5">
        <v>31.828025477707005</v>
      </c>
      <c r="E79" s="5">
        <v>3.0222929936305731</v>
      </c>
    </row>
    <row r="80" spans="2:5" x14ac:dyDescent="0.3">
      <c r="B80" s="11" t="s">
        <v>5068</v>
      </c>
      <c r="C80" s="4">
        <v>11.23783203125001</v>
      </c>
      <c r="D80" s="5">
        <v>28.90625</v>
      </c>
      <c r="E80" s="5">
        <v>2.994140625</v>
      </c>
    </row>
    <row r="81" spans="2:5" x14ac:dyDescent="0.3">
      <c r="B81" s="11" t="s">
        <v>5058</v>
      </c>
      <c r="C81" s="4">
        <v>11.563527995183644</v>
      </c>
      <c r="D81" s="5">
        <v>30.116195063214931</v>
      </c>
      <c r="E81" s="5">
        <v>2.9957856712823601</v>
      </c>
    </row>
  </sheetData>
  <conditionalFormatting pivot="1" sqref="D13:D18">
    <cfRule type="colorScale" priority="12">
      <colorScale>
        <cfvo type="min"/>
        <cfvo type="percentile" val="50"/>
        <cfvo type="max"/>
        <color rgb="FF5A8AC6"/>
        <color rgb="FFFCFCFF"/>
        <color rgb="FFF8696B"/>
      </colorScale>
    </cfRule>
  </conditionalFormatting>
  <conditionalFormatting pivot="1">
    <cfRule type="colorScale" priority="11">
      <colorScale>
        <cfvo type="min"/>
        <cfvo type="percentile" val="50"/>
        <cfvo type="max"/>
        <color rgb="FF5A8AC6"/>
        <color rgb="FFFCFCFF"/>
        <color rgb="FFF8696B"/>
      </colorScale>
    </cfRule>
  </conditionalFormatting>
  <conditionalFormatting pivot="1" sqref="C25:C27">
    <cfRule type="colorScale" priority="10">
      <colorScale>
        <cfvo type="min"/>
        <cfvo type="percentile" val="50"/>
        <cfvo type="max"/>
        <color rgb="FF5A8AC6"/>
        <color rgb="FFFCFCFF"/>
        <color rgb="FFF8696B"/>
      </colorScale>
    </cfRule>
  </conditionalFormatting>
  <conditionalFormatting pivot="1" sqref="C5:C8">
    <cfRule type="colorScale" priority="8">
      <colorScale>
        <cfvo type="min"/>
        <cfvo type="percentile" val="50"/>
        <cfvo type="max"/>
        <color rgb="FF63BE7B"/>
        <color rgb="FFFFEB84"/>
        <color rgb="FFF8696B"/>
      </colorScale>
    </cfRule>
  </conditionalFormatting>
  <conditionalFormatting pivot="1" sqref="D5:D8">
    <cfRule type="colorScale" priority="7">
      <colorScale>
        <cfvo type="min"/>
        <cfvo type="max"/>
        <color rgb="FFFCFCFF"/>
        <color rgb="FF63BE7B"/>
      </colorScale>
    </cfRule>
  </conditionalFormatting>
  <conditionalFormatting pivot="1" sqref="C4:C8">
    <cfRule type="colorScale" priority="6">
      <colorScale>
        <cfvo type="min"/>
        <cfvo type="max"/>
        <color rgb="FFFCFCFF"/>
        <color rgb="FF63BE7B"/>
      </colorScale>
    </cfRule>
  </conditionalFormatting>
  <conditionalFormatting pivot="1" sqref="C13:C18">
    <cfRule type="colorScale" priority="5">
      <colorScale>
        <cfvo type="min"/>
        <cfvo type="percentile" val="50"/>
        <cfvo type="max"/>
        <color rgb="FFF8696B"/>
        <color rgb="FFFCFCFF"/>
        <color rgb="FF5A8AC6"/>
      </colorScale>
    </cfRule>
  </conditionalFormatting>
  <conditionalFormatting pivot="1" sqref="D47:D51">
    <cfRule type="colorScale" priority="4">
      <colorScale>
        <cfvo type="min"/>
        <cfvo type="percentile" val="50"/>
        <cfvo type="max"/>
        <color rgb="FF5A8AC6"/>
        <color rgb="FFFCFCFF"/>
        <color rgb="FFF8696B"/>
      </colorScale>
    </cfRule>
  </conditionalFormatting>
  <conditionalFormatting pivot="1" sqref="C65:C71">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F1C0-4A89-4BD1-BA16-04A3AE15F1CC}">
  <dimension ref="A1:AC41"/>
  <sheetViews>
    <sheetView showGridLines="0" zoomScale="70" zoomScaleNormal="70" workbookViewId="0">
      <selection activeCell="AF26" sqref="AF26"/>
    </sheetView>
  </sheetViews>
  <sheetFormatPr defaultRowHeight="14.4" x14ac:dyDescent="0.3"/>
  <sheetData>
    <row r="1" spans="1:29" ht="14.4" customHeight="1" x14ac:dyDescent="0.3">
      <c r="A1" s="16" t="s">
        <v>5079</v>
      </c>
      <c r="B1" s="16"/>
      <c r="C1" s="16"/>
      <c r="D1" s="16"/>
      <c r="E1" s="16"/>
      <c r="F1" s="16"/>
      <c r="G1" s="16"/>
      <c r="H1" s="16"/>
      <c r="I1" s="16"/>
      <c r="J1" s="16"/>
      <c r="K1" s="16"/>
      <c r="L1" s="16"/>
      <c r="M1" s="16"/>
      <c r="N1" s="16"/>
      <c r="O1" s="16"/>
      <c r="P1" s="16"/>
      <c r="Q1" s="16"/>
      <c r="R1" s="16"/>
      <c r="S1" s="16"/>
      <c r="T1" s="16"/>
      <c r="U1" s="15"/>
      <c r="V1" s="15"/>
      <c r="W1" s="15"/>
      <c r="X1" s="15"/>
      <c r="Y1" s="15"/>
      <c r="Z1" s="15"/>
      <c r="AA1" s="15"/>
      <c r="AB1" s="15"/>
      <c r="AC1" s="15"/>
    </row>
    <row r="2" spans="1:29" ht="14.4" customHeight="1" x14ac:dyDescent="0.3">
      <c r="A2" s="16"/>
      <c r="B2" s="16"/>
      <c r="C2" s="16"/>
      <c r="D2" s="16"/>
      <c r="E2" s="16"/>
      <c r="F2" s="16"/>
      <c r="G2" s="16"/>
      <c r="H2" s="16"/>
      <c r="I2" s="16"/>
      <c r="J2" s="16"/>
      <c r="K2" s="16"/>
      <c r="L2" s="16"/>
      <c r="M2" s="16"/>
      <c r="N2" s="16"/>
      <c r="O2" s="16"/>
      <c r="P2" s="16"/>
      <c r="Q2" s="16"/>
      <c r="R2" s="16"/>
      <c r="S2" s="16"/>
      <c r="T2" s="16"/>
      <c r="U2" s="15"/>
      <c r="V2" s="15"/>
      <c r="W2" s="15"/>
      <c r="X2" s="15"/>
      <c r="Y2" s="15"/>
      <c r="Z2" s="15"/>
      <c r="AA2" s="15"/>
      <c r="AB2" s="15"/>
      <c r="AC2" s="15"/>
    </row>
    <row r="3" spans="1:29" ht="14.4" customHeight="1" x14ac:dyDescent="0.3">
      <c r="A3" s="16"/>
      <c r="B3" s="16"/>
      <c r="C3" s="16"/>
      <c r="D3" s="16"/>
      <c r="E3" s="16"/>
      <c r="F3" s="16"/>
      <c r="G3" s="16"/>
      <c r="H3" s="16"/>
      <c r="I3" s="16"/>
      <c r="J3" s="16"/>
      <c r="K3" s="16"/>
      <c r="L3" s="16"/>
      <c r="M3" s="16"/>
      <c r="N3" s="16"/>
      <c r="O3" s="16"/>
      <c r="P3" s="16"/>
      <c r="Q3" s="16"/>
      <c r="R3" s="16"/>
      <c r="S3" s="16"/>
      <c r="T3" s="16"/>
      <c r="U3" s="15"/>
      <c r="V3" s="15"/>
      <c r="W3" s="15"/>
      <c r="X3" s="15"/>
      <c r="Y3" s="15"/>
      <c r="Z3" s="15"/>
      <c r="AA3" s="15"/>
      <c r="AB3" s="15"/>
      <c r="AC3" s="15"/>
    </row>
    <row r="4" spans="1:29" ht="14.4" customHeight="1" x14ac:dyDescent="0.3">
      <c r="A4" s="16"/>
      <c r="B4" s="16"/>
      <c r="C4" s="16"/>
      <c r="D4" s="16"/>
      <c r="E4" s="16"/>
      <c r="F4" s="16"/>
      <c r="G4" s="16"/>
      <c r="H4" s="16"/>
      <c r="I4" s="16"/>
      <c r="J4" s="16"/>
      <c r="K4" s="16"/>
      <c r="L4" s="16"/>
      <c r="M4" s="16"/>
      <c r="N4" s="16"/>
      <c r="O4" s="16"/>
      <c r="P4" s="16"/>
      <c r="Q4" s="16"/>
      <c r="R4" s="16"/>
      <c r="S4" s="16"/>
      <c r="T4" s="16"/>
      <c r="U4" s="15"/>
      <c r="V4" s="15"/>
      <c r="W4" s="15"/>
      <c r="X4" s="15"/>
      <c r="Y4" s="15"/>
      <c r="Z4" s="15"/>
      <c r="AA4" s="15"/>
      <c r="AB4" s="15"/>
      <c r="AC4" s="15"/>
    </row>
    <row r="5" spans="1:29" ht="14.4" customHeight="1" x14ac:dyDescent="0.3">
      <c r="A5" s="16"/>
      <c r="B5" s="16"/>
      <c r="C5" s="16"/>
      <c r="D5" s="16"/>
      <c r="E5" s="16"/>
      <c r="F5" s="16"/>
      <c r="G5" s="16"/>
      <c r="H5" s="16"/>
      <c r="I5" s="16"/>
      <c r="J5" s="16"/>
      <c r="K5" s="16"/>
      <c r="L5" s="16"/>
      <c r="M5" s="16"/>
      <c r="N5" s="16"/>
      <c r="O5" s="16"/>
      <c r="P5" s="16"/>
      <c r="Q5" s="16"/>
      <c r="R5" s="16"/>
      <c r="S5" s="16"/>
      <c r="T5" s="16"/>
      <c r="U5" s="15"/>
      <c r="V5" s="15"/>
      <c r="W5" s="15"/>
      <c r="X5" s="15"/>
      <c r="Y5" s="15"/>
      <c r="Z5" s="15"/>
      <c r="AA5" s="15"/>
      <c r="AB5" s="15"/>
      <c r="AC5" s="15"/>
    </row>
    <row r="6" spans="1:29" ht="14.4" customHeight="1" x14ac:dyDescent="0.3">
      <c r="A6" s="16"/>
      <c r="B6" s="16"/>
      <c r="C6" s="16"/>
      <c r="D6" s="16"/>
      <c r="E6" s="16"/>
      <c r="F6" s="16"/>
      <c r="G6" s="16"/>
      <c r="H6" s="16"/>
      <c r="I6" s="16"/>
      <c r="J6" s="16"/>
      <c r="K6" s="16"/>
      <c r="L6" s="16"/>
      <c r="M6" s="16"/>
      <c r="N6" s="16"/>
      <c r="O6" s="16"/>
      <c r="P6" s="16"/>
      <c r="Q6" s="16"/>
      <c r="R6" s="16"/>
      <c r="S6" s="16"/>
      <c r="T6" s="16"/>
      <c r="U6" s="15"/>
      <c r="V6" s="15"/>
      <c r="W6" s="15"/>
      <c r="X6" s="15"/>
      <c r="Y6" s="15"/>
      <c r="Z6" s="15"/>
      <c r="AA6" s="15"/>
      <c r="AB6" s="15"/>
      <c r="AC6" s="15"/>
    </row>
    <row r="7" spans="1:29" ht="14.4" customHeight="1" x14ac:dyDescent="0.3">
      <c r="A7" s="16"/>
      <c r="B7" s="16"/>
      <c r="C7" s="16"/>
      <c r="D7" s="16"/>
      <c r="E7" s="16"/>
      <c r="F7" s="16"/>
      <c r="G7" s="16"/>
      <c r="H7" s="16"/>
      <c r="I7" s="16"/>
      <c r="J7" s="16"/>
      <c r="K7" s="16"/>
      <c r="L7" s="16"/>
      <c r="M7" s="16"/>
      <c r="N7" s="16"/>
      <c r="O7" s="16"/>
      <c r="P7" s="16"/>
      <c r="Q7" s="16"/>
      <c r="R7" s="16"/>
      <c r="S7" s="16"/>
      <c r="T7" s="16"/>
      <c r="U7" s="15"/>
      <c r="V7" s="15"/>
      <c r="W7" s="15"/>
      <c r="X7" s="15"/>
      <c r="Y7" s="15"/>
      <c r="Z7" s="15"/>
      <c r="AA7" s="15"/>
      <c r="AB7" s="15"/>
      <c r="AC7" s="15"/>
    </row>
    <row r="8" spans="1:29" ht="14.4" customHeight="1" x14ac:dyDescent="0.3">
      <c r="A8" s="17"/>
      <c r="B8" s="17"/>
      <c r="C8" s="17"/>
      <c r="D8" s="17"/>
      <c r="E8" s="17"/>
      <c r="F8" s="17"/>
      <c r="G8" s="17"/>
      <c r="H8" s="17"/>
      <c r="I8" s="17"/>
      <c r="J8" s="17"/>
      <c r="K8" s="17"/>
      <c r="L8" s="17"/>
      <c r="M8" s="17"/>
      <c r="N8" s="17"/>
      <c r="O8" s="17"/>
      <c r="P8" s="17"/>
      <c r="Q8" s="17"/>
      <c r="R8" s="17"/>
      <c r="S8" s="17"/>
      <c r="T8" s="17"/>
      <c r="U8" s="15"/>
      <c r="V8" s="15"/>
      <c r="W8" s="15"/>
      <c r="X8" s="15"/>
      <c r="Y8" s="15"/>
      <c r="Z8" s="15"/>
      <c r="AA8" s="15"/>
      <c r="AB8" s="15"/>
      <c r="AC8" s="15"/>
    </row>
    <row r="9" spans="1:29" ht="14.4" customHeight="1" x14ac:dyDescent="0.3">
      <c r="A9" s="17"/>
      <c r="B9" s="17"/>
      <c r="C9" s="17"/>
      <c r="D9" s="17"/>
      <c r="E9" s="17"/>
      <c r="F9" s="17"/>
      <c r="G9" s="17"/>
      <c r="H9" s="17"/>
      <c r="I9" s="17"/>
      <c r="J9" s="17"/>
      <c r="K9" s="17"/>
      <c r="L9" s="17"/>
      <c r="M9" s="17"/>
      <c r="N9" s="17"/>
      <c r="O9" s="17"/>
      <c r="P9" s="17"/>
      <c r="Q9" s="17"/>
      <c r="R9" s="17"/>
      <c r="S9" s="17"/>
      <c r="T9" s="17"/>
      <c r="U9" s="15"/>
      <c r="V9" s="15"/>
      <c r="W9" s="15"/>
      <c r="X9" s="15"/>
      <c r="Y9" s="15"/>
      <c r="Z9" s="15"/>
      <c r="AA9" s="15"/>
      <c r="AB9" s="15"/>
      <c r="AC9" s="15"/>
    </row>
    <row r="10" spans="1:29"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row>
    <row r="11" spans="1:29"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row>
    <row r="12" spans="1:29"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row>
    <row r="13" spans="1:29"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row>
    <row r="14" spans="1:29"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spans="1:29"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row>
    <row r="16" spans="1:29"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row>
    <row r="17" spans="1:29"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row>
    <row r="18" spans="1:29"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row>
    <row r="19" spans="1:29"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row>
    <row r="20" spans="1:29"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row>
    <row r="21" spans="1:29"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row>
    <row r="22" spans="1:29"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row>
    <row r="23" spans="1:29"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row>
    <row r="24" spans="1:29"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row>
    <row r="25" spans="1:29"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row>
    <row r="26" spans="1:29"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row>
    <row r="27" spans="1:29"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row>
    <row r="28" spans="1:29"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row>
    <row r="29" spans="1:29"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spans="1:29"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spans="1:29"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row>
    <row r="32" spans="1:29"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spans="1:29"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row>
    <row r="34" spans="1:29"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spans="1:29"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spans="1:29"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spans="1:29"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spans="1:29"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spans="1:29"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spans="1:29"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row>
    <row r="41" spans="1:29"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row>
  </sheetData>
  <mergeCells count="1">
    <mergeCell ref="A1: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3BA878-5216-4898-B2B0-8D9C901204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netflix_customer_churn</vt:lpstr>
      <vt:lpstr>Summary</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Herrera</dc:creator>
  <cp:lastModifiedBy>Paulo Herrera</cp:lastModifiedBy>
  <dcterms:created xsi:type="dcterms:W3CDTF">2025-12-06T14:45:34Z</dcterms:created>
  <dcterms:modified xsi:type="dcterms:W3CDTF">2025-12-11T15:18:20Z</dcterms:modified>
</cp:coreProperties>
</file>